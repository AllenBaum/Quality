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ml.chartshapes+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3.xml" ContentType="application/vnd.openxmlformats-officedocument.drawingml.chartshapes+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4.xml" ContentType="application/vnd.openxmlformats-officedocument.drawingml.chartshapes+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5.xml" ContentType="application/vnd.openxmlformats-officedocument.drawingml.chartshapes+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drawings/drawing6.xml" ContentType="application/vnd.openxmlformats-officedocument.drawingml.chartshapes+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pivotTables/pivotTable1.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hidePivotFieldList="1" defaultThemeVersion="153222"/>
  <mc:AlternateContent xmlns:mc="http://schemas.openxmlformats.org/markup-compatibility/2006">
    <mc:Choice Requires="x15">
      <x15ac:absPath xmlns:x15ac="http://schemas.microsoft.com/office/spreadsheetml/2010/11/ac" url="Q:\Anesthesia\_DropOff\ED_Reports\Site_Data_Capture\CONSOLIDATED_DATA\Supporting_Detail\"/>
    </mc:Choice>
  </mc:AlternateContent>
  <bookViews>
    <workbookView xWindow="0" yWindow="0" windowWidth="28800" windowHeight="12045" activeTab="1"/>
  </bookViews>
  <sheets>
    <sheet name="Sheet1" sheetId="6" r:id="rId1"/>
    <sheet name="Reg1" sheetId="5" r:id="rId2"/>
    <sheet name="Satisfaction" sheetId="3" r:id="rId3"/>
    <sheet name="Pivot" sheetId="4" r:id="rId4"/>
    <sheet name="survey_data" sheetId="1" r:id="rId5"/>
    <sheet name="comments" sheetId="2" r:id="rId6"/>
  </sheets>
  <definedNames>
    <definedName name="_xlnm._FilterDatabase" localSheetId="4" hidden="1">survey_data!$A$1:$K$757</definedName>
    <definedName name="Category">survey_data!$F$2:$F$1699</definedName>
    <definedName name="n_apr">Satisfaction!$K$9:$K$40,Satisfaction!$K$48:$K$79,Satisfaction!$K$87:$K$118,Satisfaction!$K$126:$K$157,Satisfaction!$K$165:$K$196,Satisfaction!$K$204:$K$235</definedName>
    <definedName name="Period">survey_data!$B$2:$B$1699</definedName>
    <definedName name="Provider">survey_data!$E$2:$E$1699</definedName>
    <definedName name="Responses">survey_data!$H$2:$H$1699</definedName>
    <definedName name="Score">survey_data!$G$2:$G$1699</definedName>
  </definedNames>
  <calcPr calcId="152511" concurrentManualCount="7"/>
  <pivotCaches>
    <pivotCache cacheId="3" r:id="rId7"/>
  </pivotCaches>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T33" i="5" l="1"/>
  <c r="BT38" i="5"/>
  <c r="BT37" i="5"/>
  <c r="BT36" i="5"/>
  <c r="BT35" i="5"/>
  <c r="BT34" i="5"/>
  <c r="BT32" i="5"/>
  <c r="BT31" i="5"/>
  <c r="BT30" i="5"/>
  <c r="BT29" i="5"/>
  <c r="BT28" i="5"/>
  <c r="BT27" i="5"/>
  <c r="BT26" i="5"/>
  <c r="BT25" i="5"/>
  <c r="BT24" i="5"/>
  <c r="BT23" i="5"/>
  <c r="BT22" i="5"/>
  <c r="BT21" i="5"/>
  <c r="BT20" i="5"/>
  <c r="BT19" i="5"/>
  <c r="BT18" i="5"/>
  <c r="BT17" i="5"/>
  <c r="BT16" i="5"/>
  <c r="BT15" i="5"/>
  <c r="BT14" i="5"/>
  <c r="BT13" i="5"/>
  <c r="BT12" i="5"/>
  <c r="BT11" i="5"/>
  <c r="BT10" i="5"/>
  <c r="BT9" i="5"/>
  <c r="BT8" i="5"/>
  <c r="BT7" i="5"/>
  <c r="BT6" i="5"/>
  <c r="BT5" i="5"/>
  <c r="BC38" i="5"/>
  <c r="BC37" i="5"/>
  <c r="BC36" i="5"/>
  <c r="BC35" i="5"/>
  <c r="BC34" i="5"/>
  <c r="BC33" i="5"/>
  <c r="BD33" i="5" s="1"/>
  <c r="BC32" i="5"/>
  <c r="BD32" i="5" s="1"/>
  <c r="BC31" i="5"/>
  <c r="BD31" i="5" s="1"/>
  <c r="BC30" i="5"/>
  <c r="BC29" i="5"/>
  <c r="BC28" i="5"/>
  <c r="BC27" i="5"/>
  <c r="BC26" i="5"/>
  <c r="BC25" i="5"/>
  <c r="BC24" i="5"/>
  <c r="BD24" i="5" s="1"/>
  <c r="BC23" i="5"/>
  <c r="BD23" i="5" s="1"/>
  <c r="BC22" i="5"/>
  <c r="BC21" i="5"/>
  <c r="BC20" i="5"/>
  <c r="BC19" i="5"/>
  <c r="BC18" i="5"/>
  <c r="BC17" i="5"/>
  <c r="BC16" i="5"/>
  <c r="BD16" i="5" s="1"/>
  <c r="BC15" i="5"/>
  <c r="BD15" i="5" s="1"/>
  <c r="BC14" i="5"/>
  <c r="BC13" i="5"/>
  <c r="BC12" i="5"/>
  <c r="BC11" i="5"/>
  <c r="BC10" i="5"/>
  <c r="BC9" i="5"/>
  <c r="BC8" i="5"/>
  <c r="BD8" i="5" s="1"/>
  <c r="BC7" i="5"/>
  <c r="BD7" i="5" s="1"/>
  <c r="BC6" i="5"/>
  <c r="BC5" i="5"/>
  <c r="BD5" i="5" s="1"/>
  <c r="BS42" i="5"/>
  <c r="BR42" i="5"/>
  <c r="BS38" i="5"/>
  <c r="BU38" i="5" s="1"/>
  <c r="BR38" i="5"/>
  <c r="BU37" i="5"/>
  <c r="BR37" i="5"/>
  <c r="BU36" i="5"/>
  <c r="BU35" i="5"/>
  <c r="BU34" i="5"/>
  <c r="BU32" i="5"/>
  <c r="BU31" i="5"/>
  <c r="BU30" i="5"/>
  <c r="BU29" i="5"/>
  <c r="BU28" i="5"/>
  <c r="BU27" i="5"/>
  <c r="BU26" i="5"/>
  <c r="BU25" i="5"/>
  <c r="BU24" i="5"/>
  <c r="BU23" i="5"/>
  <c r="BU22" i="5"/>
  <c r="BU21" i="5"/>
  <c r="BU20" i="5"/>
  <c r="BU19" i="5"/>
  <c r="BU18" i="5"/>
  <c r="BU17" i="5"/>
  <c r="BU16" i="5"/>
  <c r="BU15" i="5"/>
  <c r="BU14" i="5"/>
  <c r="BU13" i="5"/>
  <c r="BU12" i="5"/>
  <c r="BU11" i="5"/>
  <c r="BU10" i="5"/>
  <c r="BU9" i="5"/>
  <c r="BU8" i="5"/>
  <c r="BU7" i="5"/>
  <c r="BU6" i="5"/>
  <c r="BU5" i="5"/>
  <c r="BB42" i="5"/>
  <c r="BA42" i="5"/>
  <c r="BB38" i="5"/>
  <c r="BA38" i="5"/>
  <c r="BD37" i="5"/>
  <c r="BB37" i="5"/>
  <c r="BA37" i="5"/>
  <c r="BD36" i="5"/>
  <c r="BD35" i="5"/>
  <c r="BD34" i="5"/>
  <c r="BD30" i="5"/>
  <c r="BD29" i="5"/>
  <c r="BD28" i="5"/>
  <c r="BD27" i="5"/>
  <c r="BD26" i="5"/>
  <c r="BD25" i="5"/>
  <c r="BD22" i="5"/>
  <c r="BD21" i="5"/>
  <c r="BD20" i="5"/>
  <c r="BD19" i="5"/>
  <c r="BD18" i="5"/>
  <c r="BD17" i="5"/>
  <c r="BD14" i="5"/>
  <c r="BD13" i="5"/>
  <c r="BD12" i="5"/>
  <c r="BD11" i="5"/>
  <c r="BD10" i="5"/>
  <c r="BD9" i="5"/>
  <c r="BD6" i="5"/>
  <c r="AL37" i="5"/>
  <c r="AL33" i="5"/>
  <c r="AM33" i="5" s="1"/>
  <c r="U33" i="5"/>
  <c r="B33" i="5"/>
  <c r="C33" i="5"/>
  <c r="C42" i="5"/>
  <c r="B42" i="5"/>
  <c r="T42" i="5"/>
  <c r="S42" i="5"/>
  <c r="AK42" i="5"/>
  <c r="AJ42" i="5"/>
  <c r="AL38" i="5"/>
  <c r="AL36" i="5"/>
  <c r="AM36" i="5" s="1"/>
  <c r="AL35" i="5"/>
  <c r="AL34" i="5"/>
  <c r="AL32" i="5"/>
  <c r="AM32" i="5" s="1"/>
  <c r="AL31" i="5"/>
  <c r="AM31" i="5" s="1"/>
  <c r="AL30" i="5"/>
  <c r="AL29" i="5"/>
  <c r="AL28" i="5"/>
  <c r="AM28" i="5" s="1"/>
  <c r="AL27" i="5"/>
  <c r="AL26" i="5"/>
  <c r="AM26" i="5" s="1"/>
  <c r="AL25" i="5"/>
  <c r="AM25" i="5" s="1"/>
  <c r="AL24" i="5"/>
  <c r="AM24" i="5" s="1"/>
  <c r="AL23" i="5"/>
  <c r="AL22" i="5"/>
  <c r="AL21" i="5"/>
  <c r="AL20" i="5"/>
  <c r="AL19" i="5"/>
  <c r="AL18" i="5"/>
  <c r="AM18" i="5" s="1"/>
  <c r="AL17" i="5"/>
  <c r="AM17" i="5" s="1"/>
  <c r="AL16" i="5"/>
  <c r="AM16" i="5" s="1"/>
  <c r="AL15" i="5"/>
  <c r="AL14" i="5"/>
  <c r="AM14" i="5" s="1"/>
  <c r="AL13" i="5"/>
  <c r="AL12" i="5"/>
  <c r="AL11" i="5"/>
  <c r="AL10" i="5"/>
  <c r="AM10" i="5" s="1"/>
  <c r="AL9" i="5"/>
  <c r="AM9" i="5" s="1"/>
  <c r="AL8" i="5"/>
  <c r="AM8" i="5" s="1"/>
  <c r="AL7" i="5"/>
  <c r="AM7" i="5" s="1"/>
  <c r="AL6" i="5"/>
  <c r="AL5" i="5"/>
  <c r="AK38" i="5"/>
  <c r="AJ38" i="5"/>
  <c r="AM35" i="5"/>
  <c r="AM34" i="5"/>
  <c r="AM30" i="5"/>
  <c r="AM29" i="5"/>
  <c r="AM27" i="5"/>
  <c r="AM23" i="5"/>
  <c r="AM22" i="5"/>
  <c r="AM21" i="5"/>
  <c r="AM20" i="5"/>
  <c r="AM19" i="5"/>
  <c r="AM15" i="5"/>
  <c r="AM13" i="5"/>
  <c r="AM12" i="5"/>
  <c r="AM11" i="5"/>
  <c r="AM6" i="5"/>
  <c r="AM5" i="5"/>
  <c r="U36" i="5"/>
  <c r="V36" i="5" s="1"/>
  <c r="U35" i="5"/>
  <c r="U34" i="5"/>
  <c r="U32" i="5"/>
  <c r="U31" i="5"/>
  <c r="U30" i="5"/>
  <c r="V30" i="5" s="1"/>
  <c r="U29" i="5"/>
  <c r="U28" i="5"/>
  <c r="V28" i="5" s="1"/>
  <c r="U27" i="5"/>
  <c r="U26" i="5"/>
  <c r="U25" i="5"/>
  <c r="U24" i="5"/>
  <c r="V24" i="5" s="1"/>
  <c r="U23" i="5"/>
  <c r="U22" i="5"/>
  <c r="V22" i="5" s="1"/>
  <c r="U21" i="5"/>
  <c r="U20" i="5"/>
  <c r="V20" i="5" s="1"/>
  <c r="U19" i="5"/>
  <c r="U18" i="5"/>
  <c r="U17" i="5"/>
  <c r="U16" i="5"/>
  <c r="V16" i="5" s="1"/>
  <c r="U15" i="5"/>
  <c r="U14" i="5"/>
  <c r="V14" i="5" s="1"/>
  <c r="U13" i="5"/>
  <c r="U12" i="5"/>
  <c r="V12" i="5" s="1"/>
  <c r="U11" i="5"/>
  <c r="U10" i="5"/>
  <c r="U9" i="5"/>
  <c r="U8" i="5"/>
  <c r="V8" i="5" s="1"/>
  <c r="U7" i="5"/>
  <c r="U6" i="5"/>
  <c r="V6" i="5" s="1"/>
  <c r="U5" i="5"/>
  <c r="T38" i="5"/>
  <c r="S38" i="5"/>
  <c r="U38" i="5" s="1"/>
  <c r="T37" i="5"/>
  <c r="S37" i="5"/>
  <c r="U37" i="5" s="1"/>
  <c r="V34" i="5"/>
  <c r="V32" i="5"/>
  <c r="V26" i="5"/>
  <c r="V18" i="5"/>
  <c r="V10" i="5"/>
  <c r="BU33" i="5" l="1"/>
  <c r="BD38" i="5"/>
  <c r="AM38" i="5"/>
  <c r="AM37" i="5"/>
  <c r="V38" i="5"/>
  <c r="V23" i="5"/>
  <c r="V15" i="5"/>
  <c r="V31" i="5"/>
  <c r="V7" i="5"/>
  <c r="V27" i="5"/>
  <c r="V5" i="5"/>
  <c r="V9" i="5"/>
  <c r="V13" i="5"/>
  <c r="V17" i="5"/>
  <c r="V21" i="5"/>
  <c r="V25" i="5"/>
  <c r="V29" i="5"/>
  <c r="V33" i="5"/>
  <c r="V37" i="5"/>
  <c r="V19" i="5"/>
  <c r="V11" i="5"/>
  <c r="V35" i="5"/>
  <c r="BW237" i="3" a="1"/>
  <c r="BW237" i="3" s="1"/>
  <c r="BU237" i="3" a="1"/>
  <c r="BU237" i="3" s="1"/>
  <c r="BW236" i="3" a="1"/>
  <c r="BW236" i="3" s="1"/>
  <c r="BU236" i="3" a="1"/>
  <c r="BU236" i="3" s="1"/>
  <c r="BW235" i="3" a="1"/>
  <c r="BW235" i="3" s="1"/>
  <c r="BU235" i="3" a="1"/>
  <c r="BU235" i="3" s="1"/>
  <c r="BW234" i="3" a="1"/>
  <c r="BW234" i="3" s="1"/>
  <c r="BU234" i="3" a="1"/>
  <c r="BU234" i="3" s="1"/>
  <c r="BW233" i="3" a="1"/>
  <c r="BW233" i="3" s="1"/>
  <c r="BU233" i="3" a="1"/>
  <c r="BU233" i="3" s="1"/>
  <c r="BW232" i="3" a="1"/>
  <c r="BW232" i="3" s="1"/>
  <c r="BU232" i="3" a="1"/>
  <c r="BU232" i="3" s="1"/>
  <c r="BW231" i="3" a="1"/>
  <c r="BW231" i="3" s="1"/>
  <c r="BU231" i="3" a="1"/>
  <c r="BU231" i="3" s="1"/>
  <c r="BW230" i="3" a="1"/>
  <c r="BW230" i="3" s="1"/>
  <c r="BU230" i="3" a="1"/>
  <c r="BU230" i="3" s="1"/>
  <c r="BW229" i="3" a="1"/>
  <c r="BW229" i="3" s="1"/>
  <c r="BU229" i="3" a="1"/>
  <c r="BU229" i="3" s="1"/>
  <c r="BW228" i="3" a="1"/>
  <c r="BW228" i="3" s="1"/>
  <c r="BU228" i="3" a="1"/>
  <c r="BU228" i="3" s="1"/>
  <c r="BW227" i="3" a="1"/>
  <c r="BW227" i="3" s="1"/>
  <c r="BU227" i="3" a="1"/>
  <c r="BU227" i="3" s="1"/>
  <c r="BW226" i="3" a="1"/>
  <c r="BW226" i="3" s="1"/>
  <c r="BU226" i="3" a="1"/>
  <c r="BU226" i="3" s="1"/>
  <c r="BW225" i="3" a="1"/>
  <c r="BW225" i="3" s="1"/>
  <c r="BU225" i="3" a="1"/>
  <c r="BU225" i="3" s="1"/>
  <c r="BW224" i="3" a="1"/>
  <c r="BW224" i="3" s="1"/>
  <c r="BU224" i="3" a="1"/>
  <c r="BU224" i="3" s="1"/>
  <c r="BW223" i="3" a="1"/>
  <c r="BW223" i="3" s="1"/>
  <c r="BU223" i="3" a="1"/>
  <c r="BU223" i="3" s="1"/>
  <c r="BW222" i="3" a="1"/>
  <c r="BW222" i="3" s="1"/>
  <c r="BU222" i="3" a="1"/>
  <c r="BU222" i="3" s="1"/>
  <c r="BW221" i="3" a="1"/>
  <c r="BW221" i="3" s="1"/>
  <c r="BU221" i="3" a="1"/>
  <c r="BU221" i="3" s="1"/>
  <c r="BW220" i="3" a="1"/>
  <c r="BW220" i="3" s="1"/>
  <c r="BU220" i="3" a="1"/>
  <c r="BU220" i="3" s="1"/>
  <c r="BW219" i="3" a="1"/>
  <c r="BW219" i="3" s="1"/>
  <c r="BU219" i="3" a="1"/>
  <c r="BU219" i="3" s="1"/>
  <c r="BW218" i="3" a="1"/>
  <c r="BW218" i="3" s="1"/>
  <c r="BU218" i="3" a="1"/>
  <c r="BU218" i="3" s="1"/>
  <c r="BW217" i="3" a="1"/>
  <c r="BW217" i="3" s="1"/>
  <c r="BU217" i="3" a="1"/>
  <c r="BU217" i="3" s="1"/>
  <c r="BW216" i="3" a="1"/>
  <c r="BW216" i="3" s="1"/>
  <c r="BU216" i="3" a="1"/>
  <c r="BU216" i="3" s="1"/>
  <c r="BW215" i="3" a="1"/>
  <c r="BW215" i="3" s="1"/>
  <c r="BU215" i="3" a="1"/>
  <c r="BU215" i="3" s="1"/>
  <c r="BW214" i="3" a="1"/>
  <c r="BW214" i="3" s="1"/>
  <c r="BU214" i="3" a="1"/>
  <c r="BU214" i="3" s="1"/>
  <c r="BW213" i="3" a="1"/>
  <c r="BW213" i="3" s="1"/>
  <c r="BU213" i="3" a="1"/>
  <c r="BU213" i="3" s="1"/>
  <c r="BW212" i="3" a="1"/>
  <c r="BW212" i="3" s="1"/>
  <c r="BU212" i="3" a="1"/>
  <c r="BU212" i="3" s="1"/>
  <c r="BW211" i="3" a="1"/>
  <c r="BW211" i="3" s="1"/>
  <c r="BU211" i="3" a="1"/>
  <c r="BU211" i="3" s="1"/>
  <c r="BW210" i="3" a="1"/>
  <c r="BW210" i="3" s="1"/>
  <c r="BU210" i="3" a="1"/>
  <c r="BU210" i="3" s="1"/>
  <c r="BW209" i="3" a="1"/>
  <c r="BW209" i="3" s="1"/>
  <c r="BU209" i="3" a="1"/>
  <c r="BU209" i="3" s="1"/>
  <c r="BW208" i="3" a="1"/>
  <c r="BW208" i="3" s="1"/>
  <c r="BU208" i="3" a="1"/>
  <c r="BU208" i="3" s="1"/>
  <c r="BW207" i="3" a="1"/>
  <c r="BW207" i="3" s="1"/>
  <c r="BU207" i="3" a="1"/>
  <c r="BU207" i="3" s="1"/>
  <c r="BW206" i="3" a="1"/>
  <c r="BW206" i="3" s="1"/>
  <c r="BU206" i="3" a="1"/>
  <c r="BU206" i="3" s="1"/>
  <c r="BW205" i="3" a="1"/>
  <c r="BW205" i="3" s="1"/>
  <c r="BU205" i="3" a="1"/>
  <c r="BU205" i="3" s="1"/>
  <c r="BW204" i="3" a="1"/>
  <c r="BW204" i="3" s="1"/>
  <c r="BU204" i="3" a="1"/>
  <c r="BU204" i="3" s="1"/>
  <c r="BW198" i="3" a="1"/>
  <c r="BW198" i="3" s="1"/>
  <c r="BU198" i="3" a="1"/>
  <c r="BU198" i="3" s="1"/>
  <c r="BW197" i="3" a="1"/>
  <c r="BW197" i="3" s="1"/>
  <c r="BU197" i="3" a="1"/>
  <c r="BU197" i="3" s="1"/>
  <c r="BW196" i="3" a="1"/>
  <c r="BW196" i="3" s="1"/>
  <c r="BU196" i="3" a="1"/>
  <c r="BU196" i="3" s="1"/>
  <c r="BW195" i="3" a="1"/>
  <c r="BW195" i="3" s="1"/>
  <c r="BU195" i="3" a="1"/>
  <c r="BU195" i="3" s="1"/>
  <c r="BW194" i="3" a="1"/>
  <c r="BW194" i="3" s="1"/>
  <c r="BU194" i="3" a="1"/>
  <c r="BU194" i="3" s="1"/>
  <c r="BW193" i="3" a="1"/>
  <c r="BW193" i="3" s="1"/>
  <c r="BU193" i="3" a="1"/>
  <c r="BU193" i="3" s="1"/>
  <c r="BW192" i="3" a="1"/>
  <c r="BW192" i="3" s="1"/>
  <c r="BU192" i="3" a="1"/>
  <c r="BU192" i="3" s="1"/>
  <c r="BW191" i="3" a="1"/>
  <c r="BW191" i="3" s="1"/>
  <c r="BU191" i="3" a="1"/>
  <c r="BU191" i="3" s="1"/>
  <c r="BW190" i="3" a="1"/>
  <c r="BW190" i="3" s="1"/>
  <c r="BU190" i="3" a="1"/>
  <c r="BU190" i="3" s="1"/>
  <c r="BW189" i="3" a="1"/>
  <c r="BW189" i="3" s="1"/>
  <c r="BU189" i="3" a="1"/>
  <c r="BU189" i="3" s="1"/>
  <c r="BW188" i="3" a="1"/>
  <c r="BW188" i="3" s="1"/>
  <c r="BU188" i="3" a="1"/>
  <c r="BU188" i="3" s="1"/>
  <c r="BW187" i="3" a="1"/>
  <c r="BW187" i="3" s="1"/>
  <c r="BU187" i="3" a="1"/>
  <c r="BU187" i="3" s="1"/>
  <c r="BW186" i="3" a="1"/>
  <c r="BW186" i="3" s="1"/>
  <c r="BU186" i="3" a="1"/>
  <c r="BU186" i="3" s="1"/>
  <c r="BW185" i="3" a="1"/>
  <c r="BW185" i="3" s="1"/>
  <c r="BU185" i="3" a="1"/>
  <c r="BU185" i="3" s="1"/>
  <c r="BW184" i="3" a="1"/>
  <c r="BW184" i="3" s="1"/>
  <c r="BU184" i="3" a="1"/>
  <c r="BU184" i="3" s="1"/>
  <c r="BW183" i="3" a="1"/>
  <c r="BW183" i="3" s="1"/>
  <c r="BU183" i="3" a="1"/>
  <c r="BU183" i="3" s="1"/>
  <c r="BW182" i="3" a="1"/>
  <c r="BW182" i="3" s="1"/>
  <c r="BU182" i="3" a="1"/>
  <c r="BU182" i="3" s="1"/>
  <c r="BW181" i="3" a="1"/>
  <c r="BW181" i="3" s="1"/>
  <c r="BU181" i="3" a="1"/>
  <c r="BU181" i="3" s="1"/>
  <c r="BW180" i="3" a="1"/>
  <c r="BW180" i="3" s="1"/>
  <c r="BU180" i="3" a="1"/>
  <c r="BU180" i="3" s="1"/>
  <c r="BW179" i="3" a="1"/>
  <c r="BW179" i="3" s="1"/>
  <c r="BU179" i="3" a="1"/>
  <c r="BU179" i="3" s="1"/>
  <c r="BW178" i="3" a="1"/>
  <c r="BW178" i="3" s="1"/>
  <c r="BU178" i="3" a="1"/>
  <c r="BU178" i="3" s="1"/>
  <c r="BW177" i="3" a="1"/>
  <c r="BW177" i="3" s="1"/>
  <c r="BU177" i="3" a="1"/>
  <c r="BU177" i="3" s="1"/>
  <c r="BW176" i="3" a="1"/>
  <c r="BW176" i="3" s="1"/>
  <c r="BU176" i="3" a="1"/>
  <c r="BU176" i="3" s="1"/>
  <c r="BW175" i="3" a="1"/>
  <c r="BW175" i="3" s="1"/>
  <c r="BU175" i="3" a="1"/>
  <c r="BU175" i="3" s="1"/>
  <c r="BW174" i="3" a="1"/>
  <c r="BW174" i="3" s="1"/>
  <c r="BU174" i="3" a="1"/>
  <c r="BU174" i="3" s="1"/>
  <c r="BW173" i="3" a="1"/>
  <c r="BW173" i="3" s="1"/>
  <c r="BU173" i="3" a="1"/>
  <c r="BU173" i="3" s="1"/>
  <c r="BW172" i="3" a="1"/>
  <c r="BW172" i="3" s="1"/>
  <c r="BU172" i="3" a="1"/>
  <c r="BU172" i="3" s="1"/>
  <c r="BW171" i="3" a="1"/>
  <c r="BW171" i="3" s="1"/>
  <c r="BU171" i="3" a="1"/>
  <c r="BU171" i="3" s="1"/>
  <c r="BW170" i="3" a="1"/>
  <c r="BW170" i="3" s="1"/>
  <c r="BU170" i="3" a="1"/>
  <c r="BU170" i="3" s="1"/>
  <c r="BW169" i="3" a="1"/>
  <c r="BW169" i="3" s="1"/>
  <c r="BU169" i="3" a="1"/>
  <c r="BU169" i="3" s="1"/>
  <c r="BW168" i="3" a="1"/>
  <c r="BW168" i="3" s="1"/>
  <c r="BU168" i="3" a="1"/>
  <c r="BU168" i="3" s="1"/>
  <c r="BW167" i="3" a="1"/>
  <c r="BW167" i="3" s="1"/>
  <c r="BU167" i="3" a="1"/>
  <c r="BU167" i="3" s="1"/>
  <c r="BW166" i="3" a="1"/>
  <c r="BW166" i="3" s="1"/>
  <c r="BU166" i="3" a="1"/>
  <c r="BU166" i="3" s="1"/>
  <c r="BW165" i="3" a="1"/>
  <c r="BW165" i="3" s="1"/>
  <c r="BU165" i="3" a="1"/>
  <c r="BU165" i="3" s="1"/>
  <c r="BW159" i="3" a="1"/>
  <c r="BW159" i="3" s="1"/>
  <c r="BU159" i="3" a="1"/>
  <c r="BU159" i="3" s="1"/>
  <c r="BW158" i="3" a="1"/>
  <c r="BW158" i="3" s="1"/>
  <c r="BU158" i="3" a="1"/>
  <c r="BU158" i="3" s="1"/>
  <c r="BW157" i="3" a="1"/>
  <c r="BW157" i="3" s="1"/>
  <c r="BU157" i="3" a="1"/>
  <c r="BU157" i="3" s="1"/>
  <c r="BW156" i="3" a="1"/>
  <c r="BW156" i="3" s="1"/>
  <c r="BU156" i="3" a="1"/>
  <c r="BU156" i="3" s="1"/>
  <c r="BW155" i="3" a="1"/>
  <c r="BW155" i="3" s="1"/>
  <c r="BU155" i="3" a="1"/>
  <c r="BU155" i="3" s="1"/>
  <c r="BW154" i="3" a="1"/>
  <c r="BW154" i="3" s="1"/>
  <c r="BU154" i="3" a="1"/>
  <c r="BU154" i="3" s="1"/>
  <c r="BW153" i="3" a="1"/>
  <c r="BW153" i="3" s="1"/>
  <c r="BU153" i="3" a="1"/>
  <c r="BU153" i="3" s="1"/>
  <c r="BW152" i="3" a="1"/>
  <c r="BW152" i="3" s="1"/>
  <c r="BU152" i="3" a="1"/>
  <c r="BU152" i="3" s="1"/>
  <c r="BW151" i="3" a="1"/>
  <c r="BW151" i="3" s="1"/>
  <c r="BU151" i="3" a="1"/>
  <c r="BU151" i="3" s="1"/>
  <c r="BW150" i="3" a="1"/>
  <c r="BW150" i="3" s="1"/>
  <c r="BU150" i="3" a="1"/>
  <c r="BU150" i="3" s="1"/>
  <c r="BW149" i="3" a="1"/>
  <c r="BW149" i="3" s="1"/>
  <c r="BU149" i="3" a="1"/>
  <c r="BU149" i="3" s="1"/>
  <c r="BW148" i="3" a="1"/>
  <c r="BW148" i="3" s="1"/>
  <c r="BU148" i="3" a="1"/>
  <c r="BU148" i="3" s="1"/>
  <c r="BW147" i="3" a="1"/>
  <c r="BW147" i="3" s="1"/>
  <c r="BU147" i="3" a="1"/>
  <c r="BU147" i="3" s="1"/>
  <c r="BW146" i="3" a="1"/>
  <c r="BW146" i="3" s="1"/>
  <c r="BU146" i="3" a="1"/>
  <c r="BU146" i="3" s="1"/>
  <c r="BW145" i="3" a="1"/>
  <c r="BW145" i="3" s="1"/>
  <c r="BU145" i="3" a="1"/>
  <c r="BU145" i="3" s="1"/>
  <c r="BW144" i="3" a="1"/>
  <c r="BW144" i="3" s="1"/>
  <c r="BU144" i="3" a="1"/>
  <c r="BU144" i="3" s="1"/>
  <c r="BW143" i="3" a="1"/>
  <c r="BW143" i="3" s="1"/>
  <c r="BU143" i="3" a="1"/>
  <c r="BU143" i="3" s="1"/>
  <c r="BW142" i="3" a="1"/>
  <c r="BW142" i="3" s="1"/>
  <c r="BU142" i="3" a="1"/>
  <c r="BU142" i="3" s="1"/>
  <c r="BW141" i="3" a="1"/>
  <c r="BW141" i="3" s="1"/>
  <c r="BU141" i="3" a="1"/>
  <c r="BU141" i="3" s="1"/>
  <c r="BW140" i="3" a="1"/>
  <c r="BW140" i="3" s="1"/>
  <c r="BU140" i="3" a="1"/>
  <c r="BU140" i="3" s="1"/>
  <c r="BW139" i="3" a="1"/>
  <c r="BW139" i="3" s="1"/>
  <c r="BU139" i="3" a="1"/>
  <c r="BU139" i="3" s="1"/>
  <c r="BW138" i="3" a="1"/>
  <c r="BW138" i="3" s="1"/>
  <c r="BU138" i="3" a="1"/>
  <c r="BU138" i="3" s="1"/>
  <c r="BW137" i="3" a="1"/>
  <c r="BW137" i="3" s="1"/>
  <c r="BU137" i="3" a="1"/>
  <c r="BU137" i="3" s="1"/>
  <c r="BW136" i="3" a="1"/>
  <c r="BW136" i="3" s="1"/>
  <c r="BU136" i="3" a="1"/>
  <c r="BU136" i="3" s="1"/>
  <c r="BW135" i="3" a="1"/>
  <c r="BW135" i="3" s="1"/>
  <c r="BU135" i="3" a="1"/>
  <c r="BU135" i="3" s="1"/>
  <c r="BW134" i="3" a="1"/>
  <c r="BW134" i="3" s="1"/>
  <c r="BU134" i="3" a="1"/>
  <c r="BU134" i="3" s="1"/>
  <c r="BW133" i="3" a="1"/>
  <c r="BW133" i="3" s="1"/>
  <c r="BU133" i="3" a="1"/>
  <c r="BU133" i="3" s="1"/>
  <c r="BW132" i="3" a="1"/>
  <c r="BW132" i="3" s="1"/>
  <c r="BU132" i="3" a="1"/>
  <c r="BU132" i="3" s="1"/>
  <c r="BW131" i="3" a="1"/>
  <c r="BW131" i="3" s="1"/>
  <c r="BU131" i="3" a="1"/>
  <c r="BU131" i="3" s="1"/>
  <c r="BW130" i="3" a="1"/>
  <c r="BW130" i="3" s="1"/>
  <c r="BU130" i="3" a="1"/>
  <c r="BU130" i="3" s="1"/>
  <c r="BW129" i="3" a="1"/>
  <c r="BW129" i="3" s="1"/>
  <c r="BU129" i="3" a="1"/>
  <c r="BU129" i="3" s="1"/>
  <c r="BW128" i="3" a="1"/>
  <c r="BW128" i="3" s="1"/>
  <c r="BU128" i="3" a="1"/>
  <c r="BU128" i="3" s="1"/>
  <c r="BW127" i="3" a="1"/>
  <c r="BW127" i="3" s="1"/>
  <c r="BU127" i="3" a="1"/>
  <c r="BU127" i="3" s="1"/>
  <c r="BW126" i="3" a="1"/>
  <c r="BW126" i="3" s="1"/>
  <c r="BU126" i="3" a="1"/>
  <c r="BU126" i="3" s="1"/>
  <c r="BW120" i="3" a="1"/>
  <c r="BW120" i="3" s="1"/>
  <c r="BU120" i="3" a="1"/>
  <c r="BU120" i="3" s="1"/>
  <c r="BW119" i="3" a="1"/>
  <c r="BW119" i="3" s="1"/>
  <c r="BU119" i="3" a="1"/>
  <c r="BU119" i="3" s="1"/>
  <c r="BW118" i="3" a="1"/>
  <c r="BW118" i="3" s="1"/>
  <c r="BU118" i="3" a="1"/>
  <c r="BU118" i="3" s="1"/>
  <c r="BW117" i="3" a="1"/>
  <c r="BW117" i="3" s="1"/>
  <c r="BU117" i="3" a="1"/>
  <c r="BU117" i="3" s="1"/>
  <c r="BW116" i="3" a="1"/>
  <c r="BW116" i="3" s="1"/>
  <c r="BU116" i="3" a="1"/>
  <c r="BU116" i="3" s="1"/>
  <c r="BW115" i="3" a="1"/>
  <c r="BW115" i="3" s="1"/>
  <c r="BU115" i="3" a="1"/>
  <c r="BU115" i="3" s="1"/>
  <c r="BW114" i="3" a="1"/>
  <c r="BW114" i="3" s="1"/>
  <c r="BU114" i="3" a="1"/>
  <c r="BU114" i="3" s="1"/>
  <c r="BW113" i="3" a="1"/>
  <c r="BW113" i="3" s="1"/>
  <c r="BU113" i="3" a="1"/>
  <c r="BU113" i="3" s="1"/>
  <c r="BW112" i="3" a="1"/>
  <c r="BW112" i="3" s="1"/>
  <c r="BU112" i="3" a="1"/>
  <c r="BU112" i="3" s="1"/>
  <c r="BW111" i="3" a="1"/>
  <c r="BW111" i="3" s="1"/>
  <c r="BU111" i="3" a="1"/>
  <c r="BU111" i="3" s="1"/>
  <c r="BW110" i="3" a="1"/>
  <c r="BW110" i="3" s="1"/>
  <c r="BU110" i="3" a="1"/>
  <c r="BU110" i="3" s="1"/>
  <c r="BW109" i="3" a="1"/>
  <c r="BW109" i="3" s="1"/>
  <c r="BU109" i="3" a="1"/>
  <c r="BU109" i="3" s="1"/>
  <c r="BW108" i="3" a="1"/>
  <c r="BW108" i="3" s="1"/>
  <c r="BU108" i="3" a="1"/>
  <c r="BU108" i="3" s="1"/>
  <c r="BW107" i="3" a="1"/>
  <c r="BW107" i="3" s="1"/>
  <c r="BU107" i="3" a="1"/>
  <c r="BU107" i="3" s="1"/>
  <c r="BW106" i="3" a="1"/>
  <c r="BW106" i="3" s="1"/>
  <c r="BU106" i="3" a="1"/>
  <c r="BU106" i="3" s="1"/>
  <c r="BW105" i="3" a="1"/>
  <c r="BW105" i="3" s="1"/>
  <c r="BU105" i="3" a="1"/>
  <c r="BU105" i="3" s="1"/>
  <c r="BW104" i="3" a="1"/>
  <c r="BW104" i="3" s="1"/>
  <c r="BU104" i="3" a="1"/>
  <c r="BU104" i="3" s="1"/>
  <c r="BW103" i="3" a="1"/>
  <c r="BW103" i="3" s="1"/>
  <c r="BU103" i="3" a="1"/>
  <c r="BU103" i="3" s="1"/>
  <c r="BW102" i="3" a="1"/>
  <c r="BW102" i="3" s="1"/>
  <c r="BU102" i="3" a="1"/>
  <c r="BU102" i="3" s="1"/>
  <c r="BW101" i="3" a="1"/>
  <c r="BW101" i="3" s="1"/>
  <c r="BU101" i="3" a="1"/>
  <c r="BU101" i="3" s="1"/>
  <c r="BW100" i="3" a="1"/>
  <c r="BW100" i="3" s="1"/>
  <c r="BU100" i="3" a="1"/>
  <c r="BU100" i="3" s="1"/>
  <c r="BW99" i="3" a="1"/>
  <c r="BW99" i="3" s="1"/>
  <c r="BU99" i="3" a="1"/>
  <c r="BU99" i="3" s="1"/>
  <c r="BW98" i="3" a="1"/>
  <c r="BW98" i="3" s="1"/>
  <c r="BU98" i="3" a="1"/>
  <c r="BU98" i="3" s="1"/>
  <c r="BW97" i="3" a="1"/>
  <c r="BW97" i="3" s="1"/>
  <c r="BU97" i="3" a="1"/>
  <c r="BU97" i="3" s="1"/>
  <c r="BW96" i="3" a="1"/>
  <c r="BW96" i="3" s="1"/>
  <c r="BU96" i="3" a="1"/>
  <c r="BU96" i="3" s="1"/>
  <c r="BW95" i="3" a="1"/>
  <c r="BW95" i="3" s="1"/>
  <c r="BU95" i="3" a="1"/>
  <c r="BU95" i="3" s="1"/>
  <c r="BW94" i="3" a="1"/>
  <c r="BW94" i="3" s="1"/>
  <c r="BU94" i="3" a="1"/>
  <c r="BU94" i="3" s="1"/>
  <c r="BW93" i="3" a="1"/>
  <c r="BW93" i="3" s="1"/>
  <c r="BU93" i="3" a="1"/>
  <c r="BU93" i="3" s="1"/>
  <c r="BW92" i="3" a="1"/>
  <c r="BW92" i="3" s="1"/>
  <c r="BU92" i="3" a="1"/>
  <c r="BU92" i="3" s="1"/>
  <c r="BW91" i="3" a="1"/>
  <c r="BW91" i="3" s="1"/>
  <c r="BU91" i="3" a="1"/>
  <c r="BU91" i="3" s="1"/>
  <c r="BW90" i="3" a="1"/>
  <c r="BW90" i="3" s="1"/>
  <c r="BU90" i="3" a="1"/>
  <c r="BU90" i="3" s="1"/>
  <c r="BW89" i="3" a="1"/>
  <c r="BW89" i="3" s="1"/>
  <c r="BU89" i="3" a="1"/>
  <c r="BU89" i="3" s="1"/>
  <c r="BW88" i="3" a="1"/>
  <c r="BW88" i="3" s="1"/>
  <c r="BU88" i="3" a="1"/>
  <c r="BU88" i="3" s="1"/>
  <c r="BW87" i="3" a="1"/>
  <c r="BW87" i="3" s="1"/>
  <c r="BU87" i="3" a="1"/>
  <c r="BU87" i="3" s="1"/>
  <c r="BW81" i="3" a="1"/>
  <c r="BW81" i="3" s="1"/>
  <c r="BU81" i="3" a="1"/>
  <c r="BU81" i="3" s="1"/>
  <c r="BW80" i="3" a="1"/>
  <c r="BW80" i="3" s="1"/>
  <c r="BU80" i="3" a="1"/>
  <c r="BU80" i="3" s="1"/>
  <c r="BW79" i="3" a="1"/>
  <c r="BW79" i="3" s="1"/>
  <c r="BU79" i="3" a="1"/>
  <c r="BU79" i="3" s="1"/>
  <c r="BW78" i="3" a="1"/>
  <c r="BW78" i="3" s="1"/>
  <c r="BU78" i="3" a="1"/>
  <c r="BU78" i="3" s="1"/>
  <c r="BW77" i="3" a="1"/>
  <c r="BW77" i="3" s="1"/>
  <c r="BU77" i="3" a="1"/>
  <c r="BU77" i="3" s="1"/>
  <c r="BW76" i="3" a="1"/>
  <c r="BW76" i="3" s="1"/>
  <c r="BU76" i="3" a="1"/>
  <c r="BU76" i="3" s="1"/>
  <c r="BW75" i="3" a="1"/>
  <c r="BW75" i="3" s="1"/>
  <c r="BU75" i="3" a="1"/>
  <c r="BU75" i="3" s="1"/>
  <c r="BW74" i="3" a="1"/>
  <c r="BW74" i="3" s="1"/>
  <c r="BU74" i="3" a="1"/>
  <c r="BU74" i="3" s="1"/>
  <c r="BW73" i="3" a="1"/>
  <c r="BW73" i="3" s="1"/>
  <c r="BU73" i="3" a="1"/>
  <c r="BU73" i="3" s="1"/>
  <c r="BW72" i="3" a="1"/>
  <c r="BW72" i="3" s="1"/>
  <c r="BU72" i="3" a="1"/>
  <c r="BU72" i="3" s="1"/>
  <c r="BW71" i="3" a="1"/>
  <c r="BW71" i="3" s="1"/>
  <c r="BU71" i="3" a="1"/>
  <c r="BU71" i="3" s="1"/>
  <c r="BW70" i="3" a="1"/>
  <c r="BW70" i="3" s="1"/>
  <c r="BU70" i="3" a="1"/>
  <c r="BU70" i="3" s="1"/>
  <c r="BW69" i="3" a="1"/>
  <c r="BW69" i="3" s="1"/>
  <c r="BU69" i="3" a="1"/>
  <c r="BU69" i="3" s="1"/>
  <c r="BW68" i="3" a="1"/>
  <c r="BW68" i="3" s="1"/>
  <c r="BU68" i="3" a="1"/>
  <c r="BU68" i="3" s="1"/>
  <c r="BW67" i="3" a="1"/>
  <c r="BW67" i="3" s="1"/>
  <c r="BU67" i="3" a="1"/>
  <c r="BU67" i="3" s="1"/>
  <c r="BW66" i="3" a="1"/>
  <c r="BW66" i="3" s="1"/>
  <c r="BU66" i="3" a="1"/>
  <c r="BU66" i="3" s="1"/>
  <c r="BW65" i="3" a="1"/>
  <c r="BW65" i="3" s="1"/>
  <c r="BU65" i="3" a="1"/>
  <c r="BU65" i="3" s="1"/>
  <c r="BW64" i="3" a="1"/>
  <c r="BW64" i="3" s="1"/>
  <c r="BU64" i="3" a="1"/>
  <c r="BU64" i="3" s="1"/>
  <c r="BW63" i="3" a="1"/>
  <c r="BW63" i="3" s="1"/>
  <c r="BU63" i="3" a="1"/>
  <c r="BU63" i="3" s="1"/>
  <c r="BW62" i="3" a="1"/>
  <c r="BW62" i="3" s="1"/>
  <c r="BU62" i="3" a="1"/>
  <c r="BU62" i="3" s="1"/>
  <c r="BW61" i="3" a="1"/>
  <c r="BW61" i="3" s="1"/>
  <c r="BU61" i="3" a="1"/>
  <c r="BU61" i="3" s="1"/>
  <c r="BW60" i="3" a="1"/>
  <c r="BW60" i="3" s="1"/>
  <c r="BU60" i="3" a="1"/>
  <c r="BU60" i="3" s="1"/>
  <c r="BW59" i="3" a="1"/>
  <c r="BW59" i="3" s="1"/>
  <c r="BU59" i="3" a="1"/>
  <c r="BU59" i="3" s="1"/>
  <c r="BW58" i="3" a="1"/>
  <c r="BW58" i="3" s="1"/>
  <c r="BU58" i="3" a="1"/>
  <c r="BU58" i="3" s="1"/>
  <c r="BW57" i="3" a="1"/>
  <c r="BW57" i="3" s="1"/>
  <c r="BU57" i="3" a="1"/>
  <c r="BU57" i="3" s="1"/>
  <c r="BW56" i="3" a="1"/>
  <c r="BW56" i="3" s="1"/>
  <c r="BU56" i="3" a="1"/>
  <c r="BU56" i="3" s="1"/>
  <c r="BW55" i="3" a="1"/>
  <c r="BW55" i="3" s="1"/>
  <c r="BU55" i="3" a="1"/>
  <c r="BU55" i="3" s="1"/>
  <c r="BW54" i="3" a="1"/>
  <c r="BW54" i="3" s="1"/>
  <c r="BU54" i="3" a="1"/>
  <c r="BU54" i="3" s="1"/>
  <c r="BW53" i="3" a="1"/>
  <c r="BW53" i="3" s="1"/>
  <c r="BU53" i="3" a="1"/>
  <c r="BU53" i="3" s="1"/>
  <c r="BW52" i="3" a="1"/>
  <c r="BW52" i="3" s="1"/>
  <c r="BU52" i="3" a="1"/>
  <c r="BU52" i="3" s="1"/>
  <c r="BW51" i="3" a="1"/>
  <c r="BW51" i="3" s="1"/>
  <c r="BU51" i="3" a="1"/>
  <c r="BU51" i="3" s="1"/>
  <c r="BW50" i="3" a="1"/>
  <c r="BW50" i="3" s="1"/>
  <c r="BU50" i="3" a="1"/>
  <c r="BU50" i="3" s="1"/>
  <c r="BW49" i="3" a="1"/>
  <c r="BW49" i="3" s="1"/>
  <c r="BU49" i="3" a="1"/>
  <c r="BU49" i="3" s="1"/>
  <c r="BW48" i="3" a="1"/>
  <c r="BW48" i="3" s="1"/>
  <c r="BU48" i="3" a="1"/>
  <c r="BU48" i="3" s="1"/>
  <c r="BW42" i="3" a="1"/>
  <c r="BW42" i="3" s="1"/>
  <c r="BU42" i="3" a="1"/>
  <c r="BU42" i="3" s="1"/>
  <c r="BW41" i="3" a="1"/>
  <c r="BW41" i="3" s="1"/>
  <c r="BU41" i="3" a="1"/>
  <c r="BU41" i="3" s="1"/>
  <c r="BW40" i="3" a="1"/>
  <c r="BW40" i="3" s="1"/>
  <c r="BU40" i="3" a="1"/>
  <c r="BU40" i="3" s="1"/>
  <c r="BW39" i="3" a="1"/>
  <c r="BW39" i="3" s="1"/>
  <c r="BU39" i="3" a="1"/>
  <c r="BU39" i="3" s="1"/>
  <c r="BW38" i="3" a="1"/>
  <c r="BW38" i="3" s="1"/>
  <c r="BU38" i="3" a="1"/>
  <c r="BU38" i="3" s="1"/>
  <c r="BW37" i="3" a="1"/>
  <c r="BW37" i="3" s="1"/>
  <c r="BU37" i="3" a="1"/>
  <c r="BU37" i="3" s="1"/>
  <c r="BW36" i="3" a="1"/>
  <c r="BW36" i="3" s="1"/>
  <c r="BU36" i="3" a="1"/>
  <c r="BU36" i="3" s="1"/>
  <c r="BW35" i="3" a="1"/>
  <c r="BW35" i="3" s="1"/>
  <c r="BU35" i="3" a="1"/>
  <c r="BU35" i="3" s="1"/>
  <c r="BW34" i="3" a="1"/>
  <c r="BW34" i="3" s="1"/>
  <c r="BU34" i="3" a="1"/>
  <c r="BU34" i="3" s="1"/>
  <c r="BW33" i="3" a="1"/>
  <c r="BW33" i="3" s="1"/>
  <c r="BU33" i="3" a="1"/>
  <c r="BU33" i="3" s="1"/>
  <c r="BW32" i="3" a="1"/>
  <c r="BW32" i="3" s="1"/>
  <c r="BU32" i="3" a="1"/>
  <c r="BU32" i="3" s="1"/>
  <c r="BW31" i="3" a="1"/>
  <c r="BW31" i="3" s="1"/>
  <c r="BU31" i="3" a="1"/>
  <c r="BU31" i="3" s="1"/>
  <c r="BW30" i="3" a="1"/>
  <c r="BW30" i="3" s="1"/>
  <c r="BU30" i="3" a="1"/>
  <c r="BU30" i="3" s="1"/>
  <c r="BW29" i="3" a="1"/>
  <c r="BW29" i="3" s="1"/>
  <c r="BU29" i="3" a="1"/>
  <c r="BU29" i="3" s="1"/>
  <c r="BW28" i="3" a="1"/>
  <c r="BW28" i="3" s="1"/>
  <c r="BU28" i="3" a="1"/>
  <c r="BU28" i="3" s="1"/>
  <c r="BW27" i="3" a="1"/>
  <c r="BW27" i="3" s="1"/>
  <c r="BU27" i="3" a="1"/>
  <c r="BU27" i="3" s="1"/>
  <c r="BW26" i="3" a="1"/>
  <c r="BW26" i="3" s="1"/>
  <c r="BU26" i="3" a="1"/>
  <c r="BU26" i="3" s="1"/>
  <c r="BW25" i="3" a="1"/>
  <c r="BW25" i="3" s="1"/>
  <c r="BU25" i="3" a="1"/>
  <c r="BU25" i="3" s="1"/>
  <c r="BW24" i="3" a="1"/>
  <c r="BW24" i="3" s="1"/>
  <c r="BU24" i="3" a="1"/>
  <c r="BU24" i="3" s="1"/>
  <c r="BW23" i="3" a="1"/>
  <c r="BW23" i="3" s="1"/>
  <c r="BU23" i="3" a="1"/>
  <c r="BU23" i="3" s="1"/>
  <c r="BW22" i="3" a="1"/>
  <c r="BW22" i="3" s="1"/>
  <c r="BU22" i="3" a="1"/>
  <c r="BU22" i="3" s="1"/>
  <c r="BW21" i="3" a="1"/>
  <c r="BW21" i="3" s="1"/>
  <c r="BU21" i="3" a="1"/>
  <c r="BU21" i="3" s="1"/>
  <c r="BW20" i="3" a="1"/>
  <c r="BW20" i="3" s="1"/>
  <c r="BU20" i="3" a="1"/>
  <c r="BU20" i="3" s="1"/>
  <c r="BW19" i="3" a="1"/>
  <c r="BW19" i="3" s="1"/>
  <c r="BU19" i="3" a="1"/>
  <c r="BU19" i="3" s="1"/>
  <c r="BW18" i="3" a="1"/>
  <c r="BW18" i="3" s="1"/>
  <c r="BU18" i="3" a="1"/>
  <c r="BU18" i="3" s="1"/>
  <c r="BW17" i="3" a="1"/>
  <c r="BW17" i="3" s="1"/>
  <c r="BU17" i="3" a="1"/>
  <c r="BU17" i="3" s="1"/>
  <c r="BW16" i="3" a="1"/>
  <c r="BW16" i="3" s="1"/>
  <c r="BU16" i="3" a="1"/>
  <c r="BU16" i="3" s="1"/>
  <c r="BW15" i="3" a="1"/>
  <c r="BW15" i="3" s="1"/>
  <c r="BU15" i="3" a="1"/>
  <c r="BU15" i="3" s="1"/>
  <c r="BW14" i="3" a="1"/>
  <c r="BW14" i="3" s="1"/>
  <c r="BU14" i="3" a="1"/>
  <c r="BU14" i="3" s="1"/>
  <c r="BW13" i="3" a="1"/>
  <c r="BW13" i="3" s="1"/>
  <c r="BU13" i="3" a="1"/>
  <c r="BU13" i="3" s="1"/>
  <c r="BW12" i="3" a="1"/>
  <c r="BW12" i="3" s="1"/>
  <c r="BU12" i="3" a="1"/>
  <c r="BU12" i="3" s="1"/>
  <c r="BW11" i="3" a="1"/>
  <c r="BW11" i="3" s="1"/>
  <c r="BU11" i="3" a="1"/>
  <c r="BU11" i="3" s="1"/>
  <c r="BW10" i="3" a="1"/>
  <c r="BW10" i="3" s="1"/>
  <c r="BU10" i="3" a="1"/>
  <c r="BU10" i="3" s="1"/>
  <c r="BW9" i="3" a="1"/>
  <c r="BW9" i="3" s="1"/>
  <c r="BU9" i="3" a="1"/>
  <c r="BU9" i="3" s="1"/>
  <c r="BO237" i="3" a="1"/>
  <c r="BO237" i="3" s="1"/>
  <c r="BM237" i="3" a="1"/>
  <c r="BM237" i="3" s="1"/>
  <c r="BO236" i="3" a="1"/>
  <c r="BO236" i="3" s="1"/>
  <c r="BM236" i="3" a="1"/>
  <c r="BM236" i="3" s="1"/>
  <c r="BO235" i="3" a="1"/>
  <c r="BO235" i="3" s="1"/>
  <c r="BM235" i="3" a="1"/>
  <c r="BM235" i="3" s="1"/>
  <c r="BO234" i="3" a="1"/>
  <c r="BO234" i="3" s="1"/>
  <c r="BM234" i="3" a="1"/>
  <c r="BM234" i="3" s="1"/>
  <c r="BO233" i="3" a="1"/>
  <c r="BO233" i="3" s="1"/>
  <c r="BM233" i="3" a="1"/>
  <c r="BM233" i="3" s="1"/>
  <c r="BO232" i="3" a="1"/>
  <c r="BO232" i="3" s="1"/>
  <c r="BM232" i="3" a="1"/>
  <c r="BM232" i="3" s="1"/>
  <c r="BO231" i="3" a="1"/>
  <c r="BO231" i="3" s="1"/>
  <c r="BM231" i="3" a="1"/>
  <c r="BM231" i="3" s="1"/>
  <c r="BO230" i="3" a="1"/>
  <c r="BO230" i="3" s="1"/>
  <c r="BM230" i="3" a="1"/>
  <c r="BM230" i="3" s="1"/>
  <c r="BO229" i="3" a="1"/>
  <c r="BO229" i="3" s="1"/>
  <c r="BM229" i="3" a="1"/>
  <c r="BM229" i="3" s="1"/>
  <c r="BO228" i="3" a="1"/>
  <c r="BO228" i="3" s="1"/>
  <c r="BM228" i="3" a="1"/>
  <c r="BM228" i="3" s="1"/>
  <c r="BO227" i="3" a="1"/>
  <c r="BO227" i="3" s="1"/>
  <c r="BM227" i="3" a="1"/>
  <c r="BM227" i="3" s="1"/>
  <c r="BO226" i="3" a="1"/>
  <c r="BO226" i="3" s="1"/>
  <c r="BM226" i="3" a="1"/>
  <c r="BM226" i="3" s="1"/>
  <c r="BO225" i="3" a="1"/>
  <c r="BO225" i="3" s="1"/>
  <c r="BM225" i="3" a="1"/>
  <c r="BM225" i="3" s="1"/>
  <c r="BO224" i="3" a="1"/>
  <c r="BO224" i="3" s="1"/>
  <c r="BM224" i="3" a="1"/>
  <c r="BM224" i="3" s="1"/>
  <c r="BO223" i="3" a="1"/>
  <c r="BO223" i="3" s="1"/>
  <c r="BM223" i="3" a="1"/>
  <c r="BM223" i="3" s="1"/>
  <c r="BO222" i="3" a="1"/>
  <c r="BO222" i="3" s="1"/>
  <c r="BM222" i="3" a="1"/>
  <c r="BM222" i="3" s="1"/>
  <c r="BO221" i="3" a="1"/>
  <c r="BO221" i="3" s="1"/>
  <c r="BM221" i="3" a="1"/>
  <c r="BM221" i="3" s="1"/>
  <c r="BO220" i="3" a="1"/>
  <c r="BO220" i="3" s="1"/>
  <c r="BM220" i="3" a="1"/>
  <c r="BM220" i="3" s="1"/>
  <c r="BO219" i="3" a="1"/>
  <c r="BO219" i="3" s="1"/>
  <c r="BM219" i="3" a="1"/>
  <c r="BM219" i="3" s="1"/>
  <c r="BO218" i="3" a="1"/>
  <c r="BO218" i="3" s="1"/>
  <c r="BM218" i="3" a="1"/>
  <c r="BM218" i="3" s="1"/>
  <c r="BO217" i="3" a="1"/>
  <c r="BO217" i="3" s="1"/>
  <c r="BM217" i="3" a="1"/>
  <c r="BM217" i="3" s="1"/>
  <c r="BO216" i="3" a="1"/>
  <c r="BO216" i="3" s="1"/>
  <c r="BM216" i="3" a="1"/>
  <c r="BM216" i="3" s="1"/>
  <c r="BO215" i="3" a="1"/>
  <c r="BO215" i="3" s="1"/>
  <c r="BM215" i="3" a="1"/>
  <c r="BM215" i="3" s="1"/>
  <c r="BO214" i="3" a="1"/>
  <c r="BO214" i="3" s="1"/>
  <c r="BM214" i="3" a="1"/>
  <c r="BM214" i="3" s="1"/>
  <c r="BO213" i="3" a="1"/>
  <c r="BO213" i="3" s="1"/>
  <c r="BM213" i="3" a="1"/>
  <c r="BM213" i="3" s="1"/>
  <c r="BO212" i="3" a="1"/>
  <c r="BO212" i="3" s="1"/>
  <c r="BM212" i="3" a="1"/>
  <c r="BM212" i="3" s="1"/>
  <c r="BO211" i="3" a="1"/>
  <c r="BO211" i="3" s="1"/>
  <c r="BM211" i="3" a="1"/>
  <c r="BM211" i="3" s="1"/>
  <c r="BO210" i="3" a="1"/>
  <c r="BO210" i="3" s="1"/>
  <c r="BM210" i="3" a="1"/>
  <c r="BM210" i="3" s="1"/>
  <c r="BO209" i="3" a="1"/>
  <c r="BO209" i="3" s="1"/>
  <c r="BM209" i="3" a="1"/>
  <c r="BM209" i="3" s="1"/>
  <c r="BO208" i="3" a="1"/>
  <c r="BO208" i="3" s="1"/>
  <c r="BM208" i="3" a="1"/>
  <c r="BM208" i="3" s="1"/>
  <c r="BO207" i="3" a="1"/>
  <c r="BO207" i="3" s="1"/>
  <c r="BM207" i="3" a="1"/>
  <c r="BM207" i="3" s="1"/>
  <c r="BO206" i="3" a="1"/>
  <c r="BO206" i="3" s="1"/>
  <c r="BM206" i="3" a="1"/>
  <c r="BM206" i="3" s="1"/>
  <c r="BO205" i="3" a="1"/>
  <c r="BO205" i="3" s="1"/>
  <c r="BM205" i="3" a="1"/>
  <c r="BM205" i="3" s="1"/>
  <c r="BO204" i="3" a="1"/>
  <c r="BO204" i="3" s="1"/>
  <c r="BM204" i="3" a="1"/>
  <c r="BM204" i="3" s="1"/>
  <c r="BO198" i="3" a="1"/>
  <c r="BO198" i="3" s="1"/>
  <c r="BM198" i="3" a="1"/>
  <c r="BM198" i="3" s="1"/>
  <c r="BO197" i="3" a="1"/>
  <c r="BO197" i="3" s="1"/>
  <c r="BM197" i="3" a="1"/>
  <c r="BM197" i="3" s="1"/>
  <c r="BO196" i="3" a="1"/>
  <c r="BO196" i="3" s="1"/>
  <c r="BM196" i="3" a="1"/>
  <c r="BM196" i="3" s="1"/>
  <c r="BO195" i="3" a="1"/>
  <c r="BO195" i="3" s="1"/>
  <c r="BM195" i="3" a="1"/>
  <c r="BM195" i="3" s="1"/>
  <c r="BO194" i="3" a="1"/>
  <c r="BO194" i="3" s="1"/>
  <c r="BM194" i="3" a="1"/>
  <c r="BM194" i="3" s="1"/>
  <c r="BO193" i="3" a="1"/>
  <c r="BO193" i="3" s="1"/>
  <c r="BM193" i="3" a="1"/>
  <c r="BM193" i="3" s="1"/>
  <c r="BO192" i="3" a="1"/>
  <c r="BO192" i="3" s="1"/>
  <c r="BM192" i="3" a="1"/>
  <c r="BM192" i="3" s="1"/>
  <c r="BO191" i="3" a="1"/>
  <c r="BO191" i="3" s="1"/>
  <c r="BM191" i="3" a="1"/>
  <c r="BM191" i="3" s="1"/>
  <c r="BO190" i="3" a="1"/>
  <c r="BO190" i="3" s="1"/>
  <c r="BM190" i="3" a="1"/>
  <c r="BM190" i="3" s="1"/>
  <c r="BO189" i="3" a="1"/>
  <c r="BO189" i="3" s="1"/>
  <c r="BM189" i="3" a="1"/>
  <c r="BM189" i="3" s="1"/>
  <c r="BO188" i="3" a="1"/>
  <c r="BO188" i="3" s="1"/>
  <c r="BM188" i="3" a="1"/>
  <c r="BM188" i="3" s="1"/>
  <c r="BO187" i="3" a="1"/>
  <c r="BO187" i="3" s="1"/>
  <c r="BM187" i="3" a="1"/>
  <c r="BM187" i="3" s="1"/>
  <c r="BO186" i="3" a="1"/>
  <c r="BO186" i="3" s="1"/>
  <c r="BM186" i="3" a="1"/>
  <c r="BM186" i="3" s="1"/>
  <c r="BO185" i="3" a="1"/>
  <c r="BO185" i="3" s="1"/>
  <c r="BM185" i="3" a="1"/>
  <c r="BM185" i="3" s="1"/>
  <c r="BO184" i="3" a="1"/>
  <c r="BO184" i="3" s="1"/>
  <c r="BM184" i="3" a="1"/>
  <c r="BM184" i="3" s="1"/>
  <c r="BO183" i="3" a="1"/>
  <c r="BO183" i="3" s="1"/>
  <c r="BM183" i="3" a="1"/>
  <c r="BM183" i="3" s="1"/>
  <c r="BO182" i="3" a="1"/>
  <c r="BO182" i="3" s="1"/>
  <c r="BM182" i="3" a="1"/>
  <c r="BM182" i="3" s="1"/>
  <c r="BO181" i="3" a="1"/>
  <c r="BO181" i="3" s="1"/>
  <c r="BM181" i="3" a="1"/>
  <c r="BM181" i="3" s="1"/>
  <c r="BO180" i="3" a="1"/>
  <c r="BO180" i="3" s="1"/>
  <c r="BM180" i="3" a="1"/>
  <c r="BM180" i="3" s="1"/>
  <c r="BO179" i="3" a="1"/>
  <c r="BO179" i="3" s="1"/>
  <c r="BM179" i="3" a="1"/>
  <c r="BM179" i="3" s="1"/>
  <c r="BO178" i="3" a="1"/>
  <c r="BO178" i="3" s="1"/>
  <c r="BM178" i="3" a="1"/>
  <c r="BM178" i="3" s="1"/>
  <c r="BO177" i="3" a="1"/>
  <c r="BO177" i="3" s="1"/>
  <c r="BM177" i="3" a="1"/>
  <c r="BM177" i="3" s="1"/>
  <c r="BO176" i="3" a="1"/>
  <c r="BO176" i="3" s="1"/>
  <c r="BM176" i="3" a="1"/>
  <c r="BM176" i="3" s="1"/>
  <c r="BO175" i="3" a="1"/>
  <c r="BO175" i="3" s="1"/>
  <c r="BM175" i="3" a="1"/>
  <c r="BM175" i="3" s="1"/>
  <c r="BO174" i="3" a="1"/>
  <c r="BO174" i="3" s="1"/>
  <c r="BM174" i="3" a="1"/>
  <c r="BM174" i="3" s="1"/>
  <c r="BO173" i="3" a="1"/>
  <c r="BO173" i="3" s="1"/>
  <c r="BM173" i="3" a="1"/>
  <c r="BM173" i="3" s="1"/>
  <c r="BO172" i="3" a="1"/>
  <c r="BO172" i="3" s="1"/>
  <c r="BM172" i="3" a="1"/>
  <c r="BM172" i="3" s="1"/>
  <c r="BO171" i="3" a="1"/>
  <c r="BO171" i="3" s="1"/>
  <c r="BM171" i="3" a="1"/>
  <c r="BM171" i="3" s="1"/>
  <c r="BO170" i="3" a="1"/>
  <c r="BO170" i="3" s="1"/>
  <c r="BM170" i="3" a="1"/>
  <c r="BM170" i="3" s="1"/>
  <c r="BO169" i="3" a="1"/>
  <c r="BO169" i="3" s="1"/>
  <c r="BM169" i="3" a="1"/>
  <c r="BM169" i="3" s="1"/>
  <c r="BO168" i="3" a="1"/>
  <c r="BO168" i="3" s="1"/>
  <c r="BM168" i="3" a="1"/>
  <c r="BM168" i="3" s="1"/>
  <c r="BO167" i="3" a="1"/>
  <c r="BO167" i="3" s="1"/>
  <c r="BM167" i="3" a="1"/>
  <c r="BM167" i="3" s="1"/>
  <c r="BO166" i="3" a="1"/>
  <c r="BO166" i="3" s="1"/>
  <c r="BM166" i="3" a="1"/>
  <c r="BM166" i="3" s="1"/>
  <c r="BO165" i="3" a="1"/>
  <c r="BO165" i="3" s="1"/>
  <c r="BM165" i="3" a="1"/>
  <c r="BM165" i="3" s="1"/>
  <c r="BO159" i="3" a="1"/>
  <c r="BO159" i="3" s="1"/>
  <c r="BM159" i="3" a="1"/>
  <c r="BM159" i="3" s="1"/>
  <c r="BO158" i="3" a="1"/>
  <c r="BO158" i="3" s="1"/>
  <c r="BM158" i="3" a="1"/>
  <c r="BM158" i="3" s="1"/>
  <c r="BO157" i="3" a="1"/>
  <c r="BO157" i="3" s="1"/>
  <c r="BM157" i="3" a="1"/>
  <c r="BM157" i="3" s="1"/>
  <c r="BO156" i="3" a="1"/>
  <c r="BO156" i="3" s="1"/>
  <c r="BM156" i="3" a="1"/>
  <c r="BM156" i="3" s="1"/>
  <c r="BO155" i="3" a="1"/>
  <c r="BO155" i="3" s="1"/>
  <c r="BM155" i="3" a="1"/>
  <c r="BM155" i="3" s="1"/>
  <c r="BO154" i="3" a="1"/>
  <c r="BO154" i="3" s="1"/>
  <c r="BM154" i="3" a="1"/>
  <c r="BM154" i="3" s="1"/>
  <c r="BO153" i="3" a="1"/>
  <c r="BO153" i="3" s="1"/>
  <c r="BM153" i="3" a="1"/>
  <c r="BM153" i="3" s="1"/>
  <c r="BO152" i="3" a="1"/>
  <c r="BO152" i="3" s="1"/>
  <c r="BM152" i="3" a="1"/>
  <c r="BM152" i="3" s="1"/>
  <c r="BO151" i="3" a="1"/>
  <c r="BO151" i="3" s="1"/>
  <c r="BM151" i="3" a="1"/>
  <c r="BM151" i="3" s="1"/>
  <c r="BO150" i="3" a="1"/>
  <c r="BO150" i="3" s="1"/>
  <c r="BM150" i="3" a="1"/>
  <c r="BM150" i="3" s="1"/>
  <c r="BO149" i="3" a="1"/>
  <c r="BO149" i="3" s="1"/>
  <c r="BM149" i="3" a="1"/>
  <c r="BM149" i="3" s="1"/>
  <c r="BO148" i="3" a="1"/>
  <c r="BO148" i="3" s="1"/>
  <c r="BM148" i="3" a="1"/>
  <c r="BM148" i="3" s="1"/>
  <c r="BO147" i="3" a="1"/>
  <c r="BO147" i="3" s="1"/>
  <c r="BM147" i="3" a="1"/>
  <c r="BM147" i="3" s="1"/>
  <c r="BO146" i="3" a="1"/>
  <c r="BO146" i="3" s="1"/>
  <c r="BM146" i="3" a="1"/>
  <c r="BM146" i="3" s="1"/>
  <c r="BO145" i="3" a="1"/>
  <c r="BO145" i="3" s="1"/>
  <c r="BM145" i="3" a="1"/>
  <c r="BM145" i="3" s="1"/>
  <c r="BO144" i="3" a="1"/>
  <c r="BO144" i="3" s="1"/>
  <c r="BM144" i="3" a="1"/>
  <c r="BM144" i="3" s="1"/>
  <c r="BO143" i="3" a="1"/>
  <c r="BO143" i="3" s="1"/>
  <c r="BM143" i="3" a="1"/>
  <c r="BM143" i="3" s="1"/>
  <c r="BO142" i="3" a="1"/>
  <c r="BO142" i="3" s="1"/>
  <c r="BM142" i="3" a="1"/>
  <c r="BM142" i="3" s="1"/>
  <c r="BO141" i="3" a="1"/>
  <c r="BO141" i="3" s="1"/>
  <c r="BM141" i="3" a="1"/>
  <c r="BM141" i="3" s="1"/>
  <c r="BO140" i="3" a="1"/>
  <c r="BO140" i="3" s="1"/>
  <c r="BM140" i="3" a="1"/>
  <c r="BM140" i="3" s="1"/>
  <c r="BO139" i="3" a="1"/>
  <c r="BO139" i="3" s="1"/>
  <c r="BM139" i="3" a="1"/>
  <c r="BM139" i="3" s="1"/>
  <c r="BO138" i="3" a="1"/>
  <c r="BO138" i="3" s="1"/>
  <c r="BM138" i="3" a="1"/>
  <c r="BM138" i="3" s="1"/>
  <c r="BO137" i="3" a="1"/>
  <c r="BO137" i="3" s="1"/>
  <c r="BM137" i="3" a="1"/>
  <c r="BM137" i="3" s="1"/>
  <c r="BO136" i="3" a="1"/>
  <c r="BO136" i="3" s="1"/>
  <c r="BM136" i="3" a="1"/>
  <c r="BM136" i="3" s="1"/>
  <c r="BO135" i="3" a="1"/>
  <c r="BO135" i="3" s="1"/>
  <c r="BM135" i="3" a="1"/>
  <c r="BM135" i="3" s="1"/>
  <c r="BO134" i="3" a="1"/>
  <c r="BO134" i="3" s="1"/>
  <c r="BM134" i="3" a="1"/>
  <c r="BM134" i="3" s="1"/>
  <c r="BO133" i="3" a="1"/>
  <c r="BO133" i="3" s="1"/>
  <c r="BM133" i="3" a="1"/>
  <c r="BM133" i="3" s="1"/>
  <c r="BO132" i="3" a="1"/>
  <c r="BO132" i="3" s="1"/>
  <c r="BM132" i="3" a="1"/>
  <c r="BM132" i="3" s="1"/>
  <c r="BO131" i="3" a="1"/>
  <c r="BO131" i="3" s="1"/>
  <c r="BM131" i="3" a="1"/>
  <c r="BM131" i="3" s="1"/>
  <c r="BO130" i="3" a="1"/>
  <c r="BO130" i="3" s="1"/>
  <c r="BM130" i="3" a="1"/>
  <c r="BM130" i="3" s="1"/>
  <c r="BO129" i="3" a="1"/>
  <c r="BO129" i="3" s="1"/>
  <c r="BM129" i="3" a="1"/>
  <c r="BM129" i="3" s="1"/>
  <c r="BO128" i="3" a="1"/>
  <c r="BO128" i="3" s="1"/>
  <c r="BM128" i="3" a="1"/>
  <c r="BM128" i="3" s="1"/>
  <c r="BO127" i="3" a="1"/>
  <c r="BO127" i="3" s="1"/>
  <c r="BM127" i="3" a="1"/>
  <c r="BM127" i="3" s="1"/>
  <c r="BO126" i="3" a="1"/>
  <c r="BO126" i="3" s="1"/>
  <c r="BM126" i="3" a="1"/>
  <c r="BM126" i="3" s="1"/>
  <c r="BO120" i="3" a="1"/>
  <c r="BO120" i="3" s="1"/>
  <c r="BM120" i="3" a="1"/>
  <c r="BM120" i="3" s="1"/>
  <c r="BO119" i="3" a="1"/>
  <c r="BO119" i="3" s="1"/>
  <c r="BM119" i="3" a="1"/>
  <c r="BM119" i="3" s="1"/>
  <c r="BO118" i="3" a="1"/>
  <c r="BO118" i="3" s="1"/>
  <c r="BM118" i="3" a="1"/>
  <c r="BM118" i="3" s="1"/>
  <c r="BO117" i="3" a="1"/>
  <c r="BO117" i="3" s="1"/>
  <c r="BM117" i="3" a="1"/>
  <c r="BM117" i="3" s="1"/>
  <c r="BO116" i="3" a="1"/>
  <c r="BO116" i="3" s="1"/>
  <c r="BM116" i="3" a="1"/>
  <c r="BM116" i="3" s="1"/>
  <c r="BO115" i="3" a="1"/>
  <c r="BO115" i="3" s="1"/>
  <c r="BM115" i="3" a="1"/>
  <c r="BM115" i="3" s="1"/>
  <c r="BO114" i="3" a="1"/>
  <c r="BO114" i="3" s="1"/>
  <c r="BM114" i="3" a="1"/>
  <c r="BM114" i="3" s="1"/>
  <c r="BO113" i="3" a="1"/>
  <c r="BO113" i="3" s="1"/>
  <c r="BM113" i="3" a="1"/>
  <c r="BM113" i="3" s="1"/>
  <c r="BO112" i="3" a="1"/>
  <c r="BO112" i="3" s="1"/>
  <c r="BM112" i="3" a="1"/>
  <c r="BM112" i="3" s="1"/>
  <c r="BO111" i="3" a="1"/>
  <c r="BO111" i="3" s="1"/>
  <c r="BM111" i="3" a="1"/>
  <c r="BM111" i="3" s="1"/>
  <c r="BO110" i="3" a="1"/>
  <c r="BO110" i="3" s="1"/>
  <c r="BM110" i="3" a="1"/>
  <c r="BM110" i="3" s="1"/>
  <c r="BO109" i="3" a="1"/>
  <c r="BO109" i="3" s="1"/>
  <c r="BM109" i="3" a="1"/>
  <c r="BM109" i="3" s="1"/>
  <c r="BO108" i="3" a="1"/>
  <c r="BO108" i="3" s="1"/>
  <c r="BM108" i="3" a="1"/>
  <c r="BM108" i="3" s="1"/>
  <c r="BO107" i="3" a="1"/>
  <c r="BO107" i="3" s="1"/>
  <c r="BM107" i="3" a="1"/>
  <c r="BM107" i="3" s="1"/>
  <c r="BO106" i="3" a="1"/>
  <c r="BO106" i="3" s="1"/>
  <c r="BM106" i="3" a="1"/>
  <c r="BM106" i="3" s="1"/>
  <c r="BO105" i="3" a="1"/>
  <c r="BO105" i="3" s="1"/>
  <c r="BM105" i="3" a="1"/>
  <c r="BM105" i="3" s="1"/>
  <c r="BO104" i="3" a="1"/>
  <c r="BO104" i="3" s="1"/>
  <c r="BM104" i="3" a="1"/>
  <c r="BM104" i="3" s="1"/>
  <c r="BO103" i="3" a="1"/>
  <c r="BO103" i="3" s="1"/>
  <c r="BM103" i="3" a="1"/>
  <c r="BM103" i="3" s="1"/>
  <c r="BO102" i="3" a="1"/>
  <c r="BO102" i="3" s="1"/>
  <c r="BM102" i="3" a="1"/>
  <c r="BM102" i="3" s="1"/>
  <c r="BO101" i="3" a="1"/>
  <c r="BO101" i="3" s="1"/>
  <c r="BM101" i="3" a="1"/>
  <c r="BM101" i="3" s="1"/>
  <c r="BO100" i="3" a="1"/>
  <c r="BO100" i="3" s="1"/>
  <c r="BM100" i="3" a="1"/>
  <c r="BM100" i="3" s="1"/>
  <c r="BO99" i="3" a="1"/>
  <c r="BO99" i="3" s="1"/>
  <c r="BM99" i="3" a="1"/>
  <c r="BM99" i="3" s="1"/>
  <c r="BO98" i="3" a="1"/>
  <c r="BO98" i="3" s="1"/>
  <c r="BM98" i="3" a="1"/>
  <c r="BM98" i="3" s="1"/>
  <c r="BO97" i="3" a="1"/>
  <c r="BO97" i="3" s="1"/>
  <c r="BM97" i="3" a="1"/>
  <c r="BM97" i="3" s="1"/>
  <c r="BO96" i="3" a="1"/>
  <c r="BO96" i="3" s="1"/>
  <c r="BM96" i="3" a="1"/>
  <c r="BM96" i="3" s="1"/>
  <c r="BO95" i="3" a="1"/>
  <c r="BO95" i="3" s="1"/>
  <c r="BM95" i="3" a="1"/>
  <c r="BM95" i="3" s="1"/>
  <c r="BO94" i="3" a="1"/>
  <c r="BO94" i="3" s="1"/>
  <c r="BM94" i="3" a="1"/>
  <c r="BM94" i="3" s="1"/>
  <c r="BO93" i="3" a="1"/>
  <c r="BO93" i="3" s="1"/>
  <c r="BM93" i="3" a="1"/>
  <c r="BM93" i="3" s="1"/>
  <c r="BO92" i="3" a="1"/>
  <c r="BO92" i="3" s="1"/>
  <c r="BM92" i="3" a="1"/>
  <c r="BM92" i="3" s="1"/>
  <c r="BO91" i="3" a="1"/>
  <c r="BO91" i="3" s="1"/>
  <c r="BM91" i="3" a="1"/>
  <c r="BM91" i="3" s="1"/>
  <c r="BO90" i="3" a="1"/>
  <c r="BO90" i="3" s="1"/>
  <c r="BM90" i="3" a="1"/>
  <c r="BM90" i="3" s="1"/>
  <c r="BO89" i="3" a="1"/>
  <c r="BO89" i="3" s="1"/>
  <c r="BM89" i="3" a="1"/>
  <c r="BM89" i="3" s="1"/>
  <c r="BO88" i="3" a="1"/>
  <c r="BO88" i="3" s="1"/>
  <c r="BM88" i="3" a="1"/>
  <c r="BM88" i="3" s="1"/>
  <c r="BO87" i="3" a="1"/>
  <c r="BO87" i="3" s="1"/>
  <c r="BM87" i="3" a="1"/>
  <c r="BM87" i="3" s="1"/>
  <c r="BO81" i="3" a="1"/>
  <c r="BO81" i="3" s="1"/>
  <c r="BM81" i="3" a="1"/>
  <c r="BM81" i="3" s="1"/>
  <c r="BO80" i="3" a="1"/>
  <c r="BO80" i="3" s="1"/>
  <c r="BM80" i="3" a="1"/>
  <c r="BM80" i="3" s="1"/>
  <c r="BO79" i="3" a="1"/>
  <c r="BO79" i="3" s="1"/>
  <c r="BM79" i="3" a="1"/>
  <c r="BM79" i="3" s="1"/>
  <c r="BO78" i="3" a="1"/>
  <c r="BO78" i="3" s="1"/>
  <c r="BM78" i="3" a="1"/>
  <c r="BM78" i="3" s="1"/>
  <c r="BO77" i="3" a="1"/>
  <c r="BO77" i="3" s="1"/>
  <c r="BM77" i="3" a="1"/>
  <c r="BM77" i="3" s="1"/>
  <c r="BO76" i="3" a="1"/>
  <c r="BO76" i="3" s="1"/>
  <c r="BM76" i="3" a="1"/>
  <c r="BM76" i="3" s="1"/>
  <c r="BO75" i="3" a="1"/>
  <c r="BO75" i="3" s="1"/>
  <c r="BM75" i="3" a="1"/>
  <c r="BM75" i="3" s="1"/>
  <c r="BO74" i="3" a="1"/>
  <c r="BO74" i="3" s="1"/>
  <c r="BM74" i="3" a="1"/>
  <c r="BM74" i="3" s="1"/>
  <c r="BO73" i="3" a="1"/>
  <c r="BO73" i="3" s="1"/>
  <c r="BM73" i="3" a="1"/>
  <c r="BM73" i="3" s="1"/>
  <c r="BO72" i="3" a="1"/>
  <c r="BO72" i="3" s="1"/>
  <c r="BM72" i="3" a="1"/>
  <c r="BM72" i="3" s="1"/>
  <c r="BO71" i="3" a="1"/>
  <c r="BO71" i="3" s="1"/>
  <c r="BM71" i="3" a="1"/>
  <c r="BM71" i="3" s="1"/>
  <c r="BO70" i="3" a="1"/>
  <c r="BO70" i="3" s="1"/>
  <c r="BM70" i="3" a="1"/>
  <c r="BM70" i="3" s="1"/>
  <c r="BO69" i="3" a="1"/>
  <c r="BO69" i="3" s="1"/>
  <c r="BM69" i="3" a="1"/>
  <c r="BM69" i="3" s="1"/>
  <c r="BO68" i="3" a="1"/>
  <c r="BO68" i="3" s="1"/>
  <c r="BM68" i="3" a="1"/>
  <c r="BM68" i="3" s="1"/>
  <c r="BO67" i="3" a="1"/>
  <c r="BO67" i="3" s="1"/>
  <c r="BM67" i="3" a="1"/>
  <c r="BM67" i="3" s="1"/>
  <c r="BO66" i="3" a="1"/>
  <c r="BO66" i="3" s="1"/>
  <c r="BM66" i="3" a="1"/>
  <c r="BM66" i="3" s="1"/>
  <c r="BO65" i="3" a="1"/>
  <c r="BO65" i="3" s="1"/>
  <c r="BM65" i="3" a="1"/>
  <c r="BM65" i="3" s="1"/>
  <c r="BO64" i="3" a="1"/>
  <c r="BO64" i="3" s="1"/>
  <c r="BM64" i="3" a="1"/>
  <c r="BM64" i="3" s="1"/>
  <c r="BO63" i="3" a="1"/>
  <c r="BO63" i="3" s="1"/>
  <c r="BM63" i="3" a="1"/>
  <c r="BM63" i="3" s="1"/>
  <c r="BO62" i="3" a="1"/>
  <c r="BO62" i="3" s="1"/>
  <c r="BM62" i="3" a="1"/>
  <c r="BM62" i="3" s="1"/>
  <c r="BO61" i="3" a="1"/>
  <c r="BO61" i="3" s="1"/>
  <c r="BM61" i="3" a="1"/>
  <c r="BM61" i="3" s="1"/>
  <c r="BO60" i="3" a="1"/>
  <c r="BO60" i="3" s="1"/>
  <c r="BM60" i="3" a="1"/>
  <c r="BM60" i="3" s="1"/>
  <c r="BO59" i="3" a="1"/>
  <c r="BO59" i="3" s="1"/>
  <c r="BM59" i="3" a="1"/>
  <c r="BM59" i="3" s="1"/>
  <c r="BO58" i="3" a="1"/>
  <c r="BO58" i="3" s="1"/>
  <c r="BM58" i="3" a="1"/>
  <c r="BM58" i="3" s="1"/>
  <c r="BO57" i="3" a="1"/>
  <c r="BO57" i="3" s="1"/>
  <c r="BM57" i="3" a="1"/>
  <c r="BM57" i="3" s="1"/>
  <c r="BO56" i="3" a="1"/>
  <c r="BO56" i="3" s="1"/>
  <c r="BM56" i="3" a="1"/>
  <c r="BM56" i="3" s="1"/>
  <c r="BO55" i="3" a="1"/>
  <c r="BO55" i="3" s="1"/>
  <c r="BM55" i="3" a="1"/>
  <c r="BM55" i="3" s="1"/>
  <c r="BO54" i="3" a="1"/>
  <c r="BO54" i="3" s="1"/>
  <c r="BM54" i="3" a="1"/>
  <c r="BM54" i="3" s="1"/>
  <c r="BO53" i="3" a="1"/>
  <c r="BO53" i="3" s="1"/>
  <c r="BM53" i="3" a="1"/>
  <c r="BM53" i="3" s="1"/>
  <c r="BO52" i="3" a="1"/>
  <c r="BO52" i="3" s="1"/>
  <c r="BM52" i="3" a="1"/>
  <c r="BM52" i="3" s="1"/>
  <c r="BO51" i="3" a="1"/>
  <c r="BO51" i="3" s="1"/>
  <c r="BM51" i="3" a="1"/>
  <c r="BM51" i="3" s="1"/>
  <c r="BO50" i="3" a="1"/>
  <c r="BO50" i="3" s="1"/>
  <c r="BM50" i="3" a="1"/>
  <c r="BM50" i="3" s="1"/>
  <c r="BO49" i="3" a="1"/>
  <c r="BO49" i="3" s="1"/>
  <c r="BM49" i="3" a="1"/>
  <c r="BM49" i="3" s="1"/>
  <c r="BO48" i="3" a="1"/>
  <c r="BO48" i="3" s="1"/>
  <c r="BM48" i="3" a="1"/>
  <c r="BM48" i="3" s="1"/>
  <c r="BO42" i="3" a="1"/>
  <c r="BO42" i="3" s="1"/>
  <c r="BM42" i="3" a="1"/>
  <c r="BM42" i="3" s="1"/>
  <c r="BO41" i="3" a="1"/>
  <c r="BO41" i="3" s="1"/>
  <c r="BM41" i="3" a="1"/>
  <c r="BM41" i="3" s="1"/>
  <c r="BO40" i="3" a="1"/>
  <c r="BO40" i="3" s="1"/>
  <c r="BM40" i="3" a="1"/>
  <c r="BM40" i="3" s="1"/>
  <c r="BO39" i="3" a="1"/>
  <c r="BO39" i="3" s="1"/>
  <c r="BM39" i="3" a="1"/>
  <c r="BM39" i="3" s="1"/>
  <c r="BO38" i="3" a="1"/>
  <c r="BO38" i="3" s="1"/>
  <c r="BM38" i="3" a="1"/>
  <c r="BM38" i="3" s="1"/>
  <c r="BO37" i="3" a="1"/>
  <c r="BO37" i="3" s="1"/>
  <c r="BM37" i="3" a="1"/>
  <c r="BM37" i="3" s="1"/>
  <c r="BO36" i="3" a="1"/>
  <c r="BO36" i="3" s="1"/>
  <c r="BM36" i="3" a="1"/>
  <c r="BM36" i="3" s="1"/>
  <c r="BO35" i="3" a="1"/>
  <c r="BO35" i="3" s="1"/>
  <c r="BM35" i="3" a="1"/>
  <c r="BM35" i="3" s="1"/>
  <c r="BO34" i="3" a="1"/>
  <c r="BO34" i="3" s="1"/>
  <c r="BM34" i="3" a="1"/>
  <c r="BM34" i="3" s="1"/>
  <c r="BO33" i="3" a="1"/>
  <c r="BO33" i="3" s="1"/>
  <c r="BM33" i="3" a="1"/>
  <c r="BM33" i="3" s="1"/>
  <c r="BO32" i="3" a="1"/>
  <c r="BO32" i="3" s="1"/>
  <c r="BM32" i="3" a="1"/>
  <c r="BM32" i="3" s="1"/>
  <c r="BO31" i="3" a="1"/>
  <c r="BO31" i="3" s="1"/>
  <c r="BM31" i="3" a="1"/>
  <c r="BM31" i="3" s="1"/>
  <c r="BO30" i="3" a="1"/>
  <c r="BO30" i="3" s="1"/>
  <c r="BM30" i="3" a="1"/>
  <c r="BM30" i="3" s="1"/>
  <c r="BO29" i="3" a="1"/>
  <c r="BO29" i="3" s="1"/>
  <c r="BM29" i="3" a="1"/>
  <c r="BM29" i="3" s="1"/>
  <c r="BO28" i="3" a="1"/>
  <c r="BO28" i="3" s="1"/>
  <c r="BM28" i="3" a="1"/>
  <c r="BM28" i="3" s="1"/>
  <c r="BO27" i="3" a="1"/>
  <c r="BO27" i="3" s="1"/>
  <c r="BM27" i="3" a="1"/>
  <c r="BM27" i="3" s="1"/>
  <c r="BO26" i="3" a="1"/>
  <c r="BO26" i="3" s="1"/>
  <c r="BM26" i="3" a="1"/>
  <c r="BM26" i="3" s="1"/>
  <c r="BO25" i="3" a="1"/>
  <c r="BO25" i="3" s="1"/>
  <c r="BM25" i="3" a="1"/>
  <c r="BM25" i="3" s="1"/>
  <c r="BO24" i="3" a="1"/>
  <c r="BO24" i="3" s="1"/>
  <c r="BM24" i="3" a="1"/>
  <c r="BM24" i="3" s="1"/>
  <c r="BO23" i="3" a="1"/>
  <c r="BO23" i="3" s="1"/>
  <c r="BM23" i="3" a="1"/>
  <c r="BM23" i="3" s="1"/>
  <c r="BO22" i="3" a="1"/>
  <c r="BO22" i="3" s="1"/>
  <c r="BM22" i="3" a="1"/>
  <c r="BM22" i="3" s="1"/>
  <c r="BO21" i="3" a="1"/>
  <c r="BO21" i="3" s="1"/>
  <c r="BM21" i="3" a="1"/>
  <c r="BM21" i="3" s="1"/>
  <c r="BO20" i="3" a="1"/>
  <c r="BO20" i="3" s="1"/>
  <c r="BM20" i="3" a="1"/>
  <c r="BM20" i="3" s="1"/>
  <c r="BO19" i="3" a="1"/>
  <c r="BO19" i="3" s="1"/>
  <c r="BM19" i="3" a="1"/>
  <c r="BM19" i="3" s="1"/>
  <c r="BO18" i="3" a="1"/>
  <c r="BO18" i="3" s="1"/>
  <c r="BM18" i="3" a="1"/>
  <c r="BM18" i="3" s="1"/>
  <c r="BO17" i="3" a="1"/>
  <c r="BO17" i="3" s="1"/>
  <c r="BM17" i="3" a="1"/>
  <c r="BM17" i="3" s="1"/>
  <c r="BO16" i="3" a="1"/>
  <c r="BO16" i="3" s="1"/>
  <c r="BM16" i="3" a="1"/>
  <c r="BM16" i="3" s="1"/>
  <c r="BO15" i="3" a="1"/>
  <c r="BO15" i="3" s="1"/>
  <c r="BM15" i="3" a="1"/>
  <c r="BM15" i="3" s="1"/>
  <c r="BO14" i="3" a="1"/>
  <c r="BO14" i="3" s="1"/>
  <c r="BM14" i="3" a="1"/>
  <c r="BM14" i="3" s="1"/>
  <c r="BO13" i="3" a="1"/>
  <c r="BO13" i="3" s="1"/>
  <c r="BM13" i="3" a="1"/>
  <c r="BM13" i="3" s="1"/>
  <c r="BO12" i="3" a="1"/>
  <c r="BO12" i="3" s="1"/>
  <c r="BM12" i="3" a="1"/>
  <c r="BM12" i="3" s="1"/>
  <c r="BO11" i="3" a="1"/>
  <c r="BO11" i="3" s="1"/>
  <c r="BM11" i="3" a="1"/>
  <c r="BM11" i="3" s="1"/>
  <c r="BO10" i="3" a="1"/>
  <c r="BO10" i="3" s="1"/>
  <c r="BM10" i="3" a="1"/>
  <c r="BM10" i="3" s="1"/>
  <c r="BO9" i="3" a="1"/>
  <c r="BO9" i="3" s="1"/>
  <c r="BM9" i="3" a="1"/>
  <c r="BM9" i="3" s="1"/>
  <c r="BG237" i="3" a="1"/>
  <c r="BG237" i="3" s="1"/>
  <c r="BE237" i="3" a="1"/>
  <c r="BE237" i="3" s="1"/>
  <c r="BG236" i="3" a="1"/>
  <c r="BG236" i="3" s="1"/>
  <c r="BE236" i="3" a="1"/>
  <c r="BE236" i="3" s="1"/>
  <c r="BG235" i="3" a="1"/>
  <c r="BG235" i="3" s="1"/>
  <c r="BE235" i="3" a="1"/>
  <c r="BE235" i="3" s="1"/>
  <c r="BG234" i="3" a="1"/>
  <c r="BG234" i="3" s="1"/>
  <c r="BE234" i="3" a="1"/>
  <c r="BE234" i="3" s="1"/>
  <c r="BG233" i="3" a="1"/>
  <c r="BG233" i="3" s="1"/>
  <c r="BE233" i="3" a="1"/>
  <c r="BE233" i="3" s="1"/>
  <c r="BG232" i="3" a="1"/>
  <c r="BG232" i="3" s="1"/>
  <c r="BE232" i="3" a="1"/>
  <c r="BE232" i="3" s="1"/>
  <c r="BG231" i="3" a="1"/>
  <c r="BG231" i="3" s="1"/>
  <c r="BE231" i="3" a="1"/>
  <c r="BE231" i="3" s="1"/>
  <c r="BG230" i="3" a="1"/>
  <c r="BG230" i="3" s="1"/>
  <c r="BE230" i="3" a="1"/>
  <c r="BE230" i="3" s="1"/>
  <c r="BG229" i="3" a="1"/>
  <c r="BG229" i="3" s="1"/>
  <c r="BE229" i="3" a="1"/>
  <c r="BE229" i="3" s="1"/>
  <c r="BG228" i="3" a="1"/>
  <c r="BG228" i="3" s="1"/>
  <c r="BE228" i="3" a="1"/>
  <c r="BE228" i="3" s="1"/>
  <c r="BG227" i="3" a="1"/>
  <c r="BG227" i="3" s="1"/>
  <c r="BE227" i="3" a="1"/>
  <c r="BE227" i="3" s="1"/>
  <c r="BG226" i="3" a="1"/>
  <c r="BG226" i="3" s="1"/>
  <c r="BE226" i="3" a="1"/>
  <c r="BE226" i="3" s="1"/>
  <c r="BG225" i="3" a="1"/>
  <c r="BG225" i="3" s="1"/>
  <c r="BE225" i="3" a="1"/>
  <c r="BE225" i="3" s="1"/>
  <c r="BG224" i="3" a="1"/>
  <c r="BG224" i="3" s="1"/>
  <c r="BE224" i="3" a="1"/>
  <c r="BE224" i="3" s="1"/>
  <c r="BG223" i="3" a="1"/>
  <c r="BG223" i="3" s="1"/>
  <c r="BE223" i="3" a="1"/>
  <c r="BE223" i="3" s="1"/>
  <c r="BG222" i="3" a="1"/>
  <c r="BG222" i="3" s="1"/>
  <c r="BE222" i="3" a="1"/>
  <c r="BE222" i="3" s="1"/>
  <c r="BG221" i="3" a="1"/>
  <c r="BG221" i="3" s="1"/>
  <c r="BE221" i="3" a="1"/>
  <c r="BE221" i="3" s="1"/>
  <c r="BG220" i="3" a="1"/>
  <c r="BG220" i="3" s="1"/>
  <c r="BE220" i="3" a="1"/>
  <c r="BE220" i="3" s="1"/>
  <c r="BG219" i="3" a="1"/>
  <c r="BG219" i="3" s="1"/>
  <c r="BE219" i="3" a="1"/>
  <c r="BE219" i="3" s="1"/>
  <c r="BG218" i="3" a="1"/>
  <c r="BG218" i="3" s="1"/>
  <c r="BE218" i="3" a="1"/>
  <c r="BE218" i="3" s="1"/>
  <c r="BG217" i="3" a="1"/>
  <c r="BG217" i="3" s="1"/>
  <c r="BE217" i="3" a="1"/>
  <c r="BE217" i="3" s="1"/>
  <c r="BG216" i="3" a="1"/>
  <c r="BG216" i="3" s="1"/>
  <c r="BE216" i="3" a="1"/>
  <c r="BE216" i="3" s="1"/>
  <c r="BG215" i="3" a="1"/>
  <c r="BG215" i="3" s="1"/>
  <c r="BE215" i="3" a="1"/>
  <c r="BE215" i="3" s="1"/>
  <c r="BG214" i="3" a="1"/>
  <c r="BG214" i="3" s="1"/>
  <c r="BE214" i="3" a="1"/>
  <c r="BE214" i="3" s="1"/>
  <c r="BG213" i="3" a="1"/>
  <c r="BG213" i="3" s="1"/>
  <c r="BE213" i="3" a="1"/>
  <c r="BE213" i="3" s="1"/>
  <c r="BG212" i="3" a="1"/>
  <c r="BG212" i="3" s="1"/>
  <c r="BE212" i="3" a="1"/>
  <c r="BE212" i="3" s="1"/>
  <c r="BG211" i="3" a="1"/>
  <c r="BG211" i="3" s="1"/>
  <c r="BE211" i="3" a="1"/>
  <c r="BE211" i="3" s="1"/>
  <c r="BG210" i="3" a="1"/>
  <c r="BG210" i="3" s="1"/>
  <c r="BE210" i="3" a="1"/>
  <c r="BE210" i="3" s="1"/>
  <c r="BG209" i="3" a="1"/>
  <c r="BG209" i="3" s="1"/>
  <c r="BE209" i="3" a="1"/>
  <c r="BE209" i="3" s="1"/>
  <c r="BG208" i="3" a="1"/>
  <c r="BG208" i="3" s="1"/>
  <c r="BE208" i="3" a="1"/>
  <c r="BE208" i="3" s="1"/>
  <c r="BG207" i="3" a="1"/>
  <c r="BG207" i="3" s="1"/>
  <c r="BE207" i="3" a="1"/>
  <c r="BE207" i="3" s="1"/>
  <c r="BG206" i="3" a="1"/>
  <c r="BG206" i="3" s="1"/>
  <c r="BE206" i="3" a="1"/>
  <c r="BE206" i="3" s="1"/>
  <c r="BG205" i="3" a="1"/>
  <c r="BG205" i="3" s="1"/>
  <c r="BE205" i="3" a="1"/>
  <c r="BE205" i="3" s="1"/>
  <c r="BG204" i="3" a="1"/>
  <c r="BG204" i="3" s="1"/>
  <c r="BE204" i="3" a="1"/>
  <c r="BE204" i="3" s="1"/>
  <c r="BG198" i="3" a="1"/>
  <c r="BG198" i="3" s="1"/>
  <c r="BE198" i="3" a="1"/>
  <c r="BE198" i="3" s="1"/>
  <c r="BG197" i="3" a="1"/>
  <c r="BG197" i="3" s="1"/>
  <c r="BE197" i="3" a="1"/>
  <c r="BE197" i="3" s="1"/>
  <c r="BG196" i="3" a="1"/>
  <c r="BG196" i="3" s="1"/>
  <c r="BE196" i="3" a="1"/>
  <c r="BE196" i="3" s="1"/>
  <c r="BG195" i="3" a="1"/>
  <c r="BG195" i="3" s="1"/>
  <c r="BE195" i="3" a="1"/>
  <c r="BE195" i="3" s="1"/>
  <c r="BG194" i="3" a="1"/>
  <c r="BG194" i="3" s="1"/>
  <c r="BE194" i="3" a="1"/>
  <c r="BE194" i="3" s="1"/>
  <c r="BG193" i="3" a="1"/>
  <c r="BG193" i="3" s="1"/>
  <c r="BE193" i="3" a="1"/>
  <c r="BE193" i="3" s="1"/>
  <c r="BG192" i="3" a="1"/>
  <c r="BG192" i="3" s="1"/>
  <c r="BE192" i="3" a="1"/>
  <c r="BE192" i="3" s="1"/>
  <c r="BG191" i="3" a="1"/>
  <c r="BG191" i="3" s="1"/>
  <c r="BE191" i="3" a="1"/>
  <c r="BE191" i="3" s="1"/>
  <c r="BG190" i="3" a="1"/>
  <c r="BG190" i="3" s="1"/>
  <c r="BE190" i="3" a="1"/>
  <c r="BE190" i="3" s="1"/>
  <c r="BG189" i="3" a="1"/>
  <c r="BG189" i="3" s="1"/>
  <c r="BE189" i="3" a="1"/>
  <c r="BE189" i="3" s="1"/>
  <c r="BG188" i="3" a="1"/>
  <c r="BG188" i="3" s="1"/>
  <c r="BE188" i="3" a="1"/>
  <c r="BE188" i="3" s="1"/>
  <c r="BG187" i="3" a="1"/>
  <c r="BG187" i="3" s="1"/>
  <c r="BE187" i="3" a="1"/>
  <c r="BE187" i="3" s="1"/>
  <c r="BG186" i="3" a="1"/>
  <c r="BG186" i="3" s="1"/>
  <c r="BE186" i="3" a="1"/>
  <c r="BE186" i="3" s="1"/>
  <c r="BG185" i="3" a="1"/>
  <c r="BG185" i="3" s="1"/>
  <c r="BE185" i="3" a="1"/>
  <c r="BE185" i="3" s="1"/>
  <c r="BG184" i="3" a="1"/>
  <c r="BG184" i="3" s="1"/>
  <c r="BE184" i="3" a="1"/>
  <c r="BE184" i="3" s="1"/>
  <c r="BG183" i="3" a="1"/>
  <c r="BG183" i="3" s="1"/>
  <c r="BE183" i="3" a="1"/>
  <c r="BE183" i="3" s="1"/>
  <c r="BG182" i="3" a="1"/>
  <c r="BG182" i="3" s="1"/>
  <c r="BE182" i="3" a="1"/>
  <c r="BE182" i="3" s="1"/>
  <c r="BG181" i="3" a="1"/>
  <c r="BG181" i="3" s="1"/>
  <c r="BE181" i="3" a="1"/>
  <c r="BE181" i="3" s="1"/>
  <c r="BG180" i="3" a="1"/>
  <c r="BG180" i="3" s="1"/>
  <c r="BE180" i="3" a="1"/>
  <c r="BE180" i="3" s="1"/>
  <c r="BG179" i="3" a="1"/>
  <c r="BG179" i="3" s="1"/>
  <c r="BE179" i="3" a="1"/>
  <c r="BE179" i="3" s="1"/>
  <c r="BG178" i="3" a="1"/>
  <c r="BG178" i="3" s="1"/>
  <c r="BE178" i="3" a="1"/>
  <c r="BE178" i="3" s="1"/>
  <c r="BG177" i="3" a="1"/>
  <c r="BG177" i="3" s="1"/>
  <c r="BE177" i="3" a="1"/>
  <c r="BE177" i="3" s="1"/>
  <c r="BG176" i="3" a="1"/>
  <c r="BG176" i="3" s="1"/>
  <c r="BE176" i="3" a="1"/>
  <c r="BE176" i="3" s="1"/>
  <c r="BG175" i="3" a="1"/>
  <c r="BG175" i="3" s="1"/>
  <c r="BE175" i="3" a="1"/>
  <c r="BE175" i="3" s="1"/>
  <c r="BG174" i="3" a="1"/>
  <c r="BG174" i="3" s="1"/>
  <c r="BE174" i="3" a="1"/>
  <c r="BE174" i="3" s="1"/>
  <c r="BG173" i="3" a="1"/>
  <c r="BG173" i="3" s="1"/>
  <c r="BE173" i="3" a="1"/>
  <c r="BE173" i="3" s="1"/>
  <c r="BG172" i="3" a="1"/>
  <c r="BG172" i="3" s="1"/>
  <c r="BE172" i="3" a="1"/>
  <c r="BE172" i="3" s="1"/>
  <c r="BG171" i="3" a="1"/>
  <c r="BG171" i="3" s="1"/>
  <c r="BE171" i="3" a="1"/>
  <c r="BE171" i="3" s="1"/>
  <c r="BG170" i="3" a="1"/>
  <c r="BG170" i="3" s="1"/>
  <c r="BE170" i="3" a="1"/>
  <c r="BE170" i="3" s="1"/>
  <c r="BG169" i="3" a="1"/>
  <c r="BG169" i="3" s="1"/>
  <c r="BE169" i="3" a="1"/>
  <c r="BE169" i="3" s="1"/>
  <c r="BG168" i="3" a="1"/>
  <c r="BG168" i="3" s="1"/>
  <c r="BE168" i="3" a="1"/>
  <c r="BE168" i="3" s="1"/>
  <c r="BG167" i="3" a="1"/>
  <c r="BG167" i="3" s="1"/>
  <c r="BE167" i="3" a="1"/>
  <c r="BE167" i="3" s="1"/>
  <c r="BG166" i="3" a="1"/>
  <c r="BG166" i="3" s="1"/>
  <c r="BE166" i="3" a="1"/>
  <c r="BE166" i="3" s="1"/>
  <c r="BG165" i="3" a="1"/>
  <c r="BG165" i="3" s="1"/>
  <c r="BE165" i="3" a="1"/>
  <c r="BE165" i="3" s="1"/>
  <c r="BG159" i="3" a="1"/>
  <c r="BG159" i="3" s="1"/>
  <c r="BE159" i="3" a="1"/>
  <c r="BE159" i="3" s="1"/>
  <c r="BG158" i="3" a="1"/>
  <c r="BG158" i="3" s="1"/>
  <c r="BE158" i="3" a="1"/>
  <c r="BE158" i="3" s="1"/>
  <c r="BG157" i="3" a="1"/>
  <c r="BG157" i="3" s="1"/>
  <c r="BE157" i="3" a="1"/>
  <c r="BE157" i="3" s="1"/>
  <c r="BG156" i="3" a="1"/>
  <c r="BG156" i="3" s="1"/>
  <c r="BE156" i="3" a="1"/>
  <c r="BE156" i="3" s="1"/>
  <c r="BG155" i="3" a="1"/>
  <c r="BG155" i="3" s="1"/>
  <c r="BE155" i="3" a="1"/>
  <c r="BE155" i="3" s="1"/>
  <c r="BG154" i="3" a="1"/>
  <c r="BG154" i="3" s="1"/>
  <c r="BE154" i="3" a="1"/>
  <c r="BE154" i="3" s="1"/>
  <c r="BG153" i="3" a="1"/>
  <c r="BG153" i="3" s="1"/>
  <c r="BE153" i="3" a="1"/>
  <c r="BE153" i="3" s="1"/>
  <c r="BG152" i="3" a="1"/>
  <c r="BG152" i="3" s="1"/>
  <c r="BE152" i="3" a="1"/>
  <c r="BE152" i="3" s="1"/>
  <c r="BG151" i="3" a="1"/>
  <c r="BG151" i="3" s="1"/>
  <c r="BE151" i="3" a="1"/>
  <c r="BE151" i="3" s="1"/>
  <c r="BG150" i="3" a="1"/>
  <c r="BG150" i="3" s="1"/>
  <c r="BE150" i="3" a="1"/>
  <c r="BE150" i="3" s="1"/>
  <c r="BG149" i="3" a="1"/>
  <c r="BG149" i="3" s="1"/>
  <c r="BE149" i="3" a="1"/>
  <c r="BE149" i="3" s="1"/>
  <c r="BG148" i="3" a="1"/>
  <c r="BG148" i="3" s="1"/>
  <c r="BE148" i="3" a="1"/>
  <c r="BE148" i="3" s="1"/>
  <c r="BG147" i="3" a="1"/>
  <c r="BG147" i="3" s="1"/>
  <c r="BE147" i="3" a="1"/>
  <c r="BE147" i="3" s="1"/>
  <c r="BG146" i="3" a="1"/>
  <c r="BG146" i="3" s="1"/>
  <c r="BE146" i="3" a="1"/>
  <c r="BE146" i="3" s="1"/>
  <c r="BG145" i="3" a="1"/>
  <c r="BG145" i="3" s="1"/>
  <c r="BE145" i="3" a="1"/>
  <c r="BE145" i="3" s="1"/>
  <c r="BG144" i="3" a="1"/>
  <c r="BG144" i="3" s="1"/>
  <c r="BE144" i="3" a="1"/>
  <c r="BE144" i="3" s="1"/>
  <c r="BG143" i="3" a="1"/>
  <c r="BG143" i="3" s="1"/>
  <c r="BE143" i="3" a="1"/>
  <c r="BE143" i="3" s="1"/>
  <c r="BG142" i="3" a="1"/>
  <c r="BG142" i="3" s="1"/>
  <c r="BE142" i="3" a="1"/>
  <c r="BE142" i="3" s="1"/>
  <c r="BG141" i="3" a="1"/>
  <c r="BG141" i="3" s="1"/>
  <c r="BE141" i="3" a="1"/>
  <c r="BE141" i="3" s="1"/>
  <c r="BG140" i="3" a="1"/>
  <c r="BG140" i="3" s="1"/>
  <c r="BE140" i="3" a="1"/>
  <c r="BE140" i="3" s="1"/>
  <c r="BG139" i="3" a="1"/>
  <c r="BG139" i="3" s="1"/>
  <c r="BE139" i="3" a="1"/>
  <c r="BE139" i="3" s="1"/>
  <c r="BG138" i="3" a="1"/>
  <c r="BG138" i="3" s="1"/>
  <c r="BE138" i="3" a="1"/>
  <c r="BE138" i="3" s="1"/>
  <c r="BG137" i="3" a="1"/>
  <c r="BG137" i="3" s="1"/>
  <c r="BE137" i="3" a="1"/>
  <c r="BE137" i="3" s="1"/>
  <c r="BG136" i="3" a="1"/>
  <c r="BG136" i="3" s="1"/>
  <c r="BE136" i="3" a="1"/>
  <c r="BE136" i="3" s="1"/>
  <c r="BG135" i="3" a="1"/>
  <c r="BG135" i="3" s="1"/>
  <c r="BE135" i="3" a="1"/>
  <c r="BE135" i="3" s="1"/>
  <c r="BG134" i="3" a="1"/>
  <c r="BG134" i="3" s="1"/>
  <c r="BE134" i="3" a="1"/>
  <c r="BE134" i="3" s="1"/>
  <c r="BG133" i="3" a="1"/>
  <c r="BG133" i="3" s="1"/>
  <c r="BE133" i="3" a="1"/>
  <c r="BE133" i="3" s="1"/>
  <c r="BG132" i="3" a="1"/>
  <c r="BG132" i="3" s="1"/>
  <c r="BE132" i="3" a="1"/>
  <c r="BE132" i="3" s="1"/>
  <c r="BG131" i="3" a="1"/>
  <c r="BG131" i="3" s="1"/>
  <c r="BE131" i="3" a="1"/>
  <c r="BE131" i="3" s="1"/>
  <c r="BG130" i="3" a="1"/>
  <c r="BG130" i="3" s="1"/>
  <c r="BE130" i="3" a="1"/>
  <c r="BE130" i="3" s="1"/>
  <c r="BG129" i="3" a="1"/>
  <c r="BG129" i="3" s="1"/>
  <c r="BE129" i="3" a="1"/>
  <c r="BE129" i="3" s="1"/>
  <c r="BG128" i="3" a="1"/>
  <c r="BG128" i="3" s="1"/>
  <c r="BE128" i="3" a="1"/>
  <c r="BE128" i="3" s="1"/>
  <c r="BG127" i="3" a="1"/>
  <c r="BG127" i="3" s="1"/>
  <c r="BE127" i="3" a="1"/>
  <c r="BE127" i="3" s="1"/>
  <c r="BG126" i="3" a="1"/>
  <c r="BG126" i="3" s="1"/>
  <c r="BE126" i="3" a="1"/>
  <c r="BE126" i="3" s="1"/>
  <c r="BG120" i="3" a="1"/>
  <c r="BG120" i="3" s="1"/>
  <c r="BE120" i="3" a="1"/>
  <c r="BE120" i="3" s="1"/>
  <c r="BG119" i="3" a="1"/>
  <c r="BG119" i="3" s="1"/>
  <c r="BE119" i="3" a="1"/>
  <c r="BE119" i="3" s="1"/>
  <c r="BG118" i="3" a="1"/>
  <c r="BG118" i="3" s="1"/>
  <c r="BE118" i="3" a="1"/>
  <c r="BE118" i="3" s="1"/>
  <c r="BG117" i="3" a="1"/>
  <c r="BG117" i="3" s="1"/>
  <c r="BE117" i="3" a="1"/>
  <c r="BE117" i="3" s="1"/>
  <c r="BG116" i="3" a="1"/>
  <c r="BG116" i="3" s="1"/>
  <c r="BE116" i="3" a="1"/>
  <c r="BE116" i="3" s="1"/>
  <c r="BG115" i="3" a="1"/>
  <c r="BG115" i="3" s="1"/>
  <c r="BE115" i="3" a="1"/>
  <c r="BE115" i="3" s="1"/>
  <c r="BG114" i="3" a="1"/>
  <c r="BG114" i="3" s="1"/>
  <c r="BE114" i="3" a="1"/>
  <c r="BE114" i="3" s="1"/>
  <c r="BG113" i="3" a="1"/>
  <c r="BG113" i="3" s="1"/>
  <c r="BE113" i="3" a="1"/>
  <c r="BE113" i="3" s="1"/>
  <c r="BG112" i="3" a="1"/>
  <c r="BG112" i="3" s="1"/>
  <c r="BE112" i="3" a="1"/>
  <c r="BE112" i="3" s="1"/>
  <c r="BG111" i="3" a="1"/>
  <c r="BG111" i="3" s="1"/>
  <c r="BE111" i="3" a="1"/>
  <c r="BE111" i="3" s="1"/>
  <c r="BG110" i="3" a="1"/>
  <c r="BG110" i="3" s="1"/>
  <c r="BE110" i="3" a="1"/>
  <c r="BE110" i="3" s="1"/>
  <c r="BG109" i="3" a="1"/>
  <c r="BG109" i="3" s="1"/>
  <c r="BE109" i="3" a="1"/>
  <c r="BE109" i="3" s="1"/>
  <c r="BG108" i="3" a="1"/>
  <c r="BG108" i="3" s="1"/>
  <c r="BE108" i="3" a="1"/>
  <c r="BE108" i="3" s="1"/>
  <c r="BG107" i="3" a="1"/>
  <c r="BG107" i="3" s="1"/>
  <c r="BE107" i="3" a="1"/>
  <c r="BE107" i="3" s="1"/>
  <c r="BG106" i="3" a="1"/>
  <c r="BG106" i="3" s="1"/>
  <c r="BE106" i="3" a="1"/>
  <c r="BE106" i="3" s="1"/>
  <c r="BG105" i="3" a="1"/>
  <c r="BG105" i="3" s="1"/>
  <c r="BE105" i="3" a="1"/>
  <c r="BE105" i="3" s="1"/>
  <c r="BG104" i="3" a="1"/>
  <c r="BG104" i="3" s="1"/>
  <c r="BE104" i="3" a="1"/>
  <c r="BE104" i="3" s="1"/>
  <c r="BG103" i="3" a="1"/>
  <c r="BG103" i="3" s="1"/>
  <c r="BE103" i="3" a="1"/>
  <c r="BE103" i="3" s="1"/>
  <c r="BG102" i="3" a="1"/>
  <c r="BG102" i="3" s="1"/>
  <c r="BE102" i="3" a="1"/>
  <c r="BE102" i="3" s="1"/>
  <c r="BG101" i="3" a="1"/>
  <c r="BG101" i="3" s="1"/>
  <c r="BE101" i="3" a="1"/>
  <c r="BE101" i="3" s="1"/>
  <c r="BG100" i="3" a="1"/>
  <c r="BG100" i="3" s="1"/>
  <c r="BE100" i="3" a="1"/>
  <c r="BE100" i="3" s="1"/>
  <c r="BG99" i="3" a="1"/>
  <c r="BG99" i="3" s="1"/>
  <c r="BE99" i="3" a="1"/>
  <c r="BE99" i="3" s="1"/>
  <c r="BG98" i="3" a="1"/>
  <c r="BG98" i="3" s="1"/>
  <c r="BE98" i="3" a="1"/>
  <c r="BE98" i="3" s="1"/>
  <c r="BG97" i="3" a="1"/>
  <c r="BG97" i="3" s="1"/>
  <c r="BE97" i="3" a="1"/>
  <c r="BE97" i="3" s="1"/>
  <c r="BG96" i="3" a="1"/>
  <c r="BG96" i="3" s="1"/>
  <c r="BE96" i="3" a="1"/>
  <c r="BE96" i="3" s="1"/>
  <c r="BG95" i="3" a="1"/>
  <c r="BG95" i="3" s="1"/>
  <c r="BE95" i="3" a="1"/>
  <c r="BE95" i="3" s="1"/>
  <c r="BG94" i="3" a="1"/>
  <c r="BG94" i="3" s="1"/>
  <c r="BE94" i="3" a="1"/>
  <c r="BE94" i="3" s="1"/>
  <c r="BG93" i="3" a="1"/>
  <c r="BG93" i="3" s="1"/>
  <c r="BE93" i="3" a="1"/>
  <c r="BE93" i="3" s="1"/>
  <c r="BG92" i="3" a="1"/>
  <c r="BG92" i="3" s="1"/>
  <c r="BE92" i="3" a="1"/>
  <c r="BE92" i="3" s="1"/>
  <c r="BG91" i="3" a="1"/>
  <c r="BG91" i="3" s="1"/>
  <c r="BE91" i="3" a="1"/>
  <c r="BE91" i="3" s="1"/>
  <c r="BG90" i="3" a="1"/>
  <c r="BG90" i="3" s="1"/>
  <c r="BE90" i="3" a="1"/>
  <c r="BE90" i="3" s="1"/>
  <c r="BG89" i="3" a="1"/>
  <c r="BG89" i="3" s="1"/>
  <c r="BE89" i="3" a="1"/>
  <c r="BE89" i="3" s="1"/>
  <c r="BG88" i="3" a="1"/>
  <c r="BG88" i="3" s="1"/>
  <c r="BE88" i="3" a="1"/>
  <c r="BE88" i="3" s="1"/>
  <c r="BG87" i="3" a="1"/>
  <c r="BG87" i="3" s="1"/>
  <c r="BE87" i="3" a="1"/>
  <c r="BE87" i="3" s="1"/>
  <c r="BG81" i="3" a="1"/>
  <c r="BG81" i="3" s="1"/>
  <c r="BE81" i="3" a="1"/>
  <c r="BE81" i="3" s="1"/>
  <c r="BG80" i="3" a="1"/>
  <c r="BG80" i="3" s="1"/>
  <c r="BE80" i="3" a="1"/>
  <c r="BE80" i="3" s="1"/>
  <c r="BG79" i="3" a="1"/>
  <c r="BG79" i="3" s="1"/>
  <c r="BE79" i="3" a="1"/>
  <c r="BE79" i="3" s="1"/>
  <c r="BG78" i="3" a="1"/>
  <c r="BG78" i="3" s="1"/>
  <c r="BE78" i="3" a="1"/>
  <c r="BE78" i="3" s="1"/>
  <c r="BG77" i="3" a="1"/>
  <c r="BG77" i="3" s="1"/>
  <c r="BE77" i="3" a="1"/>
  <c r="BE77" i="3" s="1"/>
  <c r="BG76" i="3" a="1"/>
  <c r="BG76" i="3" s="1"/>
  <c r="BE76" i="3" a="1"/>
  <c r="BE76" i="3" s="1"/>
  <c r="BG75" i="3" a="1"/>
  <c r="BG75" i="3" s="1"/>
  <c r="BE75" i="3" a="1"/>
  <c r="BE75" i="3" s="1"/>
  <c r="BG74" i="3" a="1"/>
  <c r="BG74" i="3" s="1"/>
  <c r="BE74" i="3" a="1"/>
  <c r="BE74" i="3" s="1"/>
  <c r="BG73" i="3" a="1"/>
  <c r="BG73" i="3" s="1"/>
  <c r="BE73" i="3" a="1"/>
  <c r="BE73" i="3" s="1"/>
  <c r="BG72" i="3" a="1"/>
  <c r="BG72" i="3" s="1"/>
  <c r="BE72" i="3" a="1"/>
  <c r="BE72" i="3" s="1"/>
  <c r="BG71" i="3" a="1"/>
  <c r="BG71" i="3" s="1"/>
  <c r="BE71" i="3" a="1"/>
  <c r="BE71" i="3" s="1"/>
  <c r="BG70" i="3" a="1"/>
  <c r="BG70" i="3" s="1"/>
  <c r="BE70" i="3" a="1"/>
  <c r="BE70" i="3" s="1"/>
  <c r="BG69" i="3" a="1"/>
  <c r="BG69" i="3" s="1"/>
  <c r="BE69" i="3" a="1"/>
  <c r="BE69" i="3" s="1"/>
  <c r="BG68" i="3" a="1"/>
  <c r="BG68" i="3" s="1"/>
  <c r="BE68" i="3" a="1"/>
  <c r="BE68" i="3" s="1"/>
  <c r="BG67" i="3" a="1"/>
  <c r="BG67" i="3" s="1"/>
  <c r="BE67" i="3" a="1"/>
  <c r="BE67" i="3" s="1"/>
  <c r="BG66" i="3" a="1"/>
  <c r="BG66" i="3" s="1"/>
  <c r="BE66" i="3" a="1"/>
  <c r="BE66" i="3" s="1"/>
  <c r="BG65" i="3" a="1"/>
  <c r="BG65" i="3" s="1"/>
  <c r="BE65" i="3" a="1"/>
  <c r="BE65" i="3" s="1"/>
  <c r="BG64" i="3" a="1"/>
  <c r="BG64" i="3" s="1"/>
  <c r="BE64" i="3" a="1"/>
  <c r="BE64" i="3" s="1"/>
  <c r="BG63" i="3" a="1"/>
  <c r="BG63" i="3" s="1"/>
  <c r="BE63" i="3" a="1"/>
  <c r="BE63" i="3" s="1"/>
  <c r="BG62" i="3" a="1"/>
  <c r="BG62" i="3" s="1"/>
  <c r="BE62" i="3" a="1"/>
  <c r="BE62" i="3" s="1"/>
  <c r="BG61" i="3" a="1"/>
  <c r="BG61" i="3" s="1"/>
  <c r="BE61" i="3" a="1"/>
  <c r="BE61" i="3" s="1"/>
  <c r="BG60" i="3" a="1"/>
  <c r="BG60" i="3" s="1"/>
  <c r="BE60" i="3" a="1"/>
  <c r="BE60" i="3" s="1"/>
  <c r="BG59" i="3" a="1"/>
  <c r="BG59" i="3" s="1"/>
  <c r="BE59" i="3" a="1"/>
  <c r="BE59" i="3" s="1"/>
  <c r="BG58" i="3" a="1"/>
  <c r="BG58" i="3" s="1"/>
  <c r="BE58" i="3" a="1"/>
  <c r="BE58" i="3" s="1"/>
  <c r="BG57" i="3" a="1"/>
  <c r="BG57" i="3" s="1"/>
  <c r="BE57" i="3" a="1"/>
  <c r="BE57" i="3" s="1"/>
  <c r="BG56" i="3" a="1"/>
  <c r="BG56" i="3" s="1"/>
  <c r="BE56" i="3" a="1"/>
  <c r="BE56" i="3" s="1"/>
  <c r="BG55" i="3" a="1"/>
  <c r="BG55" i="3" s="1"/>
  <c r="BE55" i="3" a="1"/>
  <c r="BE55" i="3" s="1"/>
  <c r="BG54" i="3" a="1"/>
  <c r="BG54" i="3" s="1"/>
  <c r="BE54" i="3" a="1"/>
  <c r="BE54" i="3" s="1"/>
  <c r="BG53" i="3" a="1"/>
  <c r="BG53" i="3" s="1"/>
  <c r="BE53" i="3" a="1"/>
  <c r="BE53" i="3" s="1"/>
  <c r="BG52" i="3" a="1"/>
  <c r="BG52" i="3" s="1"/>
  <c r="BE52" i="3" a="1"/>
  <c r="BE52" i="3" s="1"/>
  <c r="BG51" i="3" a="1"/>
  <c r="BG51" i="3" s="1"/>
  <c r="BE51" i="3" a="1"/>
  <c r="BE51" i="3" s="1"/>
  <c r="BG50" i="3" a="1"/>
  <c r="BG50" i="3" s="1"/>
  <c r="BE50" i="3" a="1"/>
  <c r="BE50" i="3" s="1"/>
  <c r="BG49" i="3" a="1"/>
  <c r="BG49" i="3" s="1"/>
  <c r="BE49" i="3" a="1"/>
  <c r="BE49" i="3" s="1"/>
  <c r="BG48" i="3" a="1"/>
  <c r="BG48" i="3" s="1"/>
  <c r="BE48" i="3" a="1"/>
  <c r="BE48" i="3" s="1"/>
  <c r="BG42" i="3" a="1"/>
  <c r="BG42" i="3" s="1"/>
  <c r="BE42" i="3" a="1"/>
  <c r="BE42" i="3" s="1"/>
  <c r="BG41" i="3" a="1"/>
  <c r="BG41" i="3" s="1"/>
  <c r="BE41" i="3" a="1"/>
  <c r="BE41" i="3" s="1"/>
  <c r="BG40" i="3" a="1"/>
  <c r="BG40" i="3" s="1"/>
  <c r="BE40" i="3" a="1"/>
  <c r="BE40" i="3" s="1"/>
  <c r="BG39" i="3" a="1"/>
  <c r="BG39" i="3" s="1"/>
  <c r="BE39" i="3" a="1"/>
  <c r="BE39" i="3" s="1"/>
  <c r="BG38" i="3" a="1"/>
  <c r="BG38" i="3" s="1"/>
  <c r="BE38" i="3" a="1"/>
  <c r="BE38" i="3" s="1"/>
  <c r="BG37" i="3" a="1"/>
  <c r="BG37" i="3" s="1"/>
  <c r="BE37" i="3" a="1"/>
  <c r="BE37" i="3" s="1"/>
  <c r="BG36" i="3" a="1"/>
  <c r="BG36" i="3" s="1"/>
  <c r="BE36" i="3" a="1"/>
  <c r="BE36" i="3" s="1"/>
  <c r="BG35" i="3" a="1"/>
  <c r="BG35" i="3" s="1"/>
  <c r="BE35" i="3" a="1"/>
  <c r="BE35" i="3" s="1"/>
  <c r="BG34" i="3" a="1"/>
  <c r="BG34" i="3" s="1"/>
  <c r="BE34" i="3" a="1"/>
  <c r="BE34" i="3" s="1"/>
  <c r="BG33" i="3" a="1"/>
  <c r="BG33" i="3" s="1"/>
  <c r="BE33" i="3" a="1"/>
  <c r="BE33" i="3" s="1"/>
  <c r="BG32" i="3" a="1"/>
  <c r="BG32" i="3" s="1"/>
  <c r="BE32" i="3" a="1"/>
  <c r="BE32" i="3" s="1"/>
  <c r="BG31" i="3" a="1"/>
  <c r="BG31" i="3" s="1"/>
  <c r="BE31" i="3" a="1"/>
  <c r="BE31" i="3" s="1"/>
  <c r="BG30" i="3" a="1"/>
  <c r="BG30" i="3" s="1"/>
  <c r="BE30" i="3" a="1"/>
  <c r="BE30" i="3" s="1"/>
  <c r="BG29" i="3" a="1"/>
  <c r="BG29" i="3" s="1"/>
  <c r="BE29" i="3" a="1"/>
  <c r="BE29" i="3" s="1"/>
  <c r="BG28" i="3" a="1"/>
  <c r="BG28" i="3" s="1"/>
  <c r="BE28" i="3" a="1"/>
  <c r="BE28" i="3" s="1"/>
  <c r="BG27" i="3" a="1"/>
  <c r="BG27" i="3" s="1"/>
  <c r="BE27" i="3" a="1"/>
  <c r="BE27" i="3" s="1"/>
  <c r="BG26" i="3" a="1"/>
  <c r="BG26" i="3" s="1"/>
  <c r="BE26" i="3" a="1"/>
  <c r="BE26" i="3" s="1"/>
  <c r="BG25" i="3" a="1"/>
  <c r="BG25" i="3" s="1"/>
  <c r="BE25" i="3" a="1"/>
  <c r="BE25" i="3" s="1"/>
  <c r="BG24" i="3" a="1"/>
  <c r="BG24" i="3" s="1"/>
  <c r="BE24" i="3" a="1"/>
  <c r="BE24" i="3" s="1"/>
  <c r="BG23" i="3" a="1"/>
  <c r="BG23" i="3" s="1"/>
  <c r="BE23" i="3" a="1"/>
  <c r="BE23" i="3" s="1"/>
  <c r="BG22" i="3" a="1"/>
  <c r="BG22" i="3" s="1"/>
  <c r="BE22" i="3" a="1"/>
  <c r="BE22" i="3" s="1"/>
  <c r="BG21" i="3" a="1"/>
  <c r="BG21" i="3" s="1"/>
  <c r="BE21" i="3" a="1"/>
  <c r="BE21" i="3" s="1"/>
  <c r="BG20" i="3" a="1"/>
  <c r="BG20" i="3" s="1"/>
  <c r="BE20" i="3" a="1"/>
  <c r="BE20" i="3" s="1"/>
  <c r="BG19" i="3" a="1"/>
  <c r="BG19" i="3" s="1"/>
  <c r="BE19" i="3" a="1"/>
  <c r="BE19" i="3" s="1"/>
  <c r="BG18" i="3" a="1"/>
  <c r="BG18" i="3" s="1"/>
  <c r="BE18" i="3" a="1"/>
  <c r="BE18" i="3" s="1"/>
  <c r="BG17" i="3" a="1"/>
  <c r="BG17" i="3" s="1"/>
  <c r="BE17" i="3" a="1"/>
  <c r="BE17" i="3" s="1"/>
  <c r="BG16" i="3" a="1"/>
  <c r="BG16" i="3" s="1"/>
  <c r="BE16" i="3" a="1"/>
  <c r="BE16" i="3" s="1"/>
  <c r="BG15" i="3" a="1"/>
  <c r="BG15" i="3" s="1"/>
  <c r="BE15" i="3" a="1"/>
  <c r="BE15" i="3" s="1"/>
  <c r="BG14" i="3" a="1"/>
  <c r="BG14" i="3" s="1"/>
  <c r="BE14" i="3" a="1"/>
  <c r="BE14" i="3" s="1"/>
  <c r="BG13" i="3" a="1"/>
  <c r="BG13" i="3" s="1"/>
  <c r="BE13" i="3" a="1"/>
  <c r="BE13" i="3" s="1"/>
  <c r="BG12" i="3" a="1"/>
  <c r="BG12" i="3" s="1"/>
  <c r="BE12" i="3" a="1"/>
  <c r="BE12" i="3" s="1"/>
  <c r="BG11" i="3" a="1"/>
  <c r="BG11" i="3" s="1"/>
  <c r="BE11" i="3" a="1"/>
  <c r="BE11" i="3" s="1"/>
  <c r="BG10" i="3" a="1"/>
  <c r="BG10" i="3" s="1"/>
  <c r="BE10" i="3" a="1"/>
  <c r="BE10" i="3" s="1"/>
  <c r="BG9" i="3" a="1"/>
  <c r="BG9" i="3" s="1"/>
  <c r="BE9" i="3" a="1"/>
  <c r="BE9" i="3" s="1"/>
  <c r="AY237" i="3" a="1"/>
  <c r="AY237" i="3" s="1"/>
  <c r="AW237" i="3" a="1"/>
  <c r="AW237" i="3" s="1"/>
  <c r="AY236" i="3" a="1"/>
  <c r="AY236" i="3" s="1"/>
  <c r="AW236" i="3" a="1"/>
  <c r="AW236" i="3" s="1"/>
  <c r="AY235" i="3" a="1"/>
  <c r="AY235" i="3" s="1"/>
  <c r="AW235" i="3" a="1"/>
  <c r="AW235" i="3" s="1"/>
  <c r="AY234" i="3" a="1"/>
  <c r="AY234" i="3" s="1"/>
  <c r="AW234" i="3" a="1"/>
  <c r="AW234" i="3" s="1"/>
  <c r="AY233" i="3" a="1"/>
  <c r="AY233" i="3" s="1"/>
  <c r="AW233" i="3" a="1"/>
  <c r="AW233" i="3" s="1"/>
  <c r="AY232" i="3" a="1"/>
  <c r="AY232" i="3" s="1"/>
  <c r="AW232" i="3" a="1"/>
  <c r="AW232" i="3" s="1"/>
  <c r="AY231" i="3" a="1"/>
  <c r="AY231" i="3" s="1"/>
  <c r="AW231" i="3" a="1"/>
  <c r="AW231" i="3" s="1"/>
  <c r="AY230" i="3" a="1"/>
  <c r="AY230" i="3" s="1"/>
  <c r="AW230" i="3" a="1"/>
  <c r="AW230" i="3" s="1"/>
  <c r="AY229" i="3" a="1"/>
  <c r="AY229" i="3" s="1"/>
  <c r="AW229" i="3" a="1"/>
  <c r="AW229" i="3" s="1"/>
  <c r="AY228" i="3" a="1"/>
  <c r="AY228" i="3" s="1"/>
  <c r="AW228" i="3" a="1"/>
  <c r="AW228" i="3" s="1"/>
  <c r="AY227" i="3" a="1"/>
  <c r="AY227" i="3" s="1"/>
  <c r="AW227" i="3" a="1"/>
  <c r="AW227" i="3" s="1"/>
  <c r="AY226" i="3" a="1"/>
  <c r="AY226" i="3" s="1"/>
  <c r="AW226" i="3" a="1"/>
  <c r="AW226" i="3" s="1"/>
  <c r="AY225" i="3" a="1"/>
  <c r="AY225" i="3" s="1"/>
  <c r="AW225" i="3" a="1"/>
  <c r="AW225" i="3" s="1"/>
  <c r="AY224" i="3" a="1"/>
  <c r="AY224" i="3" s="1"/>
  <c r="AW224" i="3" a="1"/>
  <c r="AW224" i="3" s="1"/>
  <c r="AY223" i="3" a="1"/>
  <c r="AY223" i="3" s="1"/>
  <c r="AW223" i="3" a="1"/>
  <c r="AW223" i="3" s="1"/>
  <c r="AY222" i="3" a="1"/>
  <c r="AY222" i="3" s="1"/>
  <c r="AW222" i="3" a="1"/>
  <c r="AW222" i="3" s="1"/>
  <c r="AY221" i="3" a="1"/>
  <c r="AY221" i="3" s="1"/>
  <c r="AW221" i="3" a="1"/>
  <c r="AW221" i="3" s="1"/>
  <c r="AY220" i="3" a="1"/>
  <c r="AY220" i="3" s="1"/>
  <c r="AW220" i="3" a="1"/>
  <c r="AW220" i="3" s="1"/>
  <c r="AY219" i="3" a="1"/>
  <c r="AY219" i="3" s="1"/>
  <c r="AW219" i="3" a="1"/>
  <c r="AW219" i="3" s="1"/>
  <c r="AY218" i="3" a="1"/>
  <c r="AY218" i="3" s="1"/>
  <c r="AW218" i="3" a="1"/>
  <c r="AW218" i="3" s="1"/>
  <c r="AY217" i="3" a="1"/>
  <c r="AY217" i="3" s="1"/>
  <c r="AW217" i="3" a="1"/>
  <c r="AW217" i="3" s="1"/>
  <c r="AY216" i="3" a="1"/>
  <c r="AY216" i="3" s="1"/>
  <c r="AW216" i="3" a="1"/>
  <c r="AW216" i="3" s="1"/>
  <c r="AY215" i="3" a="1"/>
  <c r="AY215" i="3" s="1"/>
  <c r="AW215" i="3" a="1"/>
  <c r="AW215" i="3" s="1"/>
  <c r="AY214" i="3" a="1"/>
  <c r="AY214" i="3" s="1"/>
  <c r="AW214" i="3" a="1"/>
  <c r="AW214" i="3" s="1"/>
  <c r="AY213" i="3" a="1"/>
  <c r="AY213" i="3" s="1"/>
  <c r="AW213" i="3" a="1"/>
  <c r="AW213" i="3" s="1"/>
  <c r="AY212" i="3" a="1"/>
  <c r="AY212" i="3" s="1"/>
  <c r="AW212" i="3" a="1"/>
  <c r="AW212" i="3" s="1"/>
  <c r="AY211" i="3" a="1"/>
  <c r="AY211" i="3" s="1"/>
  <c r="AW211" i="3" a="1"/>
  <c r="AW211" i="3" s="1"/>
  <c r="AY210" i="3" a="1"/>
  <c r="AY210" i="3" s="1"/>
  <c r="AW210" i="3" a="1"/>
  <c r="AW210" i="3" s="1"/>
  <c r="AY209" i="3" a="1"/>
  <c r="AY209" i="3" s="1"/>
  <c r="AW209" i="3" a="1"/>
  <c r="AW209" i="3" s="1"/>
  <c r="AY208" i="3" a="1"/>
  <c r="AY208" i="3" s="1"/>
  <c r="AW208" i="3" a="1"/>
  <c r="AW208" i="3" s="1"/>
  <c r="AY207" i="3" a="1"/>
  <c r="AY207" i="3" s="1"/>
  <c r="AW207" i="3" a="1"/>
  <c r="AW207" i="3" s="1"/>
  <c r="AY206" i="3" a="1"/>
  <c r="AY206" i="3" s="1"/>
  <c r="AW206" i="3" a="1"/>
  <c r="AW206" i="3" s="1"/>
  <c r="AY205" i="3" a="1"/>
  <c r="AY205" i="3" s="1"/>
  <c r="AW205" i="3" a="1"/>
  <c r="AW205" i="3" s="1"/>
  <c r="AY204" i="3" a="1"/>
  <c r="AY204" i="3" s="1"/>
  <c r="AW204" i="3" a="1"/>
  <c r="AW204" i="3" s="1"/>
  <c r="AY198" i="3" a="1"/>
  <c r="AY198" i="3" s="1"/>
  <c r="AW198" i="3" a="1"/>
  <c r="AW198" i="3" s="1"/>
  <c r="AY197" i="3" a="1"/>
  <c r="AY197" i="3" s="1"/>
  <c r="AW197" i="3" a="1"/>
  <c r="AW197" i="3" s="1"/>
  <c r="AY196" i="3" a="1"/>
  <c r="AY196" i="3" s="1"/>
  <c r="AW196" i="3" a="1"/>
  <c r="AW196" i="3" s="1"/>
  <c r="AY195" i="3" a="1"/>
  <c r="AY195" i="3" s="1"/>
  <c r="AW195" i="3" a="1"/>
  <c r="AW195" i="3" s="1"/>
  <c r="AY194" i="3" a="1"/>
  <c r="AY194" i="3" s="1"/>
  <c r="AW194" i="3" a="1"/>
  <c r="AW194" i="3" s="1"/>
  <c r="AY193" i="3" a="1"/>
  <c r="AY193" i="3" s="1"/>
  <c r="AW193" i="3" a="1"/>
  <c r="AW193" i="3" s="1"/>
  <c r="AY192" i="3" a="1"/>
  <c r="AY192" i="3" s="1"/>
  <c r="AW192" i="3" a="1"/>
  <c r="AW192" i="3" s="1"/>
  <c r="AY191" i="3" a="1"/>
  <c r="AY191" i="3" s="1"/>
  <c r="AW191" i="3" a="1"/>
  <c r="AW191" i="3" s="1"/>
  <c r="AY190" i="3" a="1"/>
  <c r="AY190" i="3" s="1"/>
  <c r="AW190" i="3" a="1"/>
  <c r="AW190" i="3" s="1"/>
  <c r="AY189" i="3" a="1"/>
  <c r="AY189" i="3" s="1"/>
  <c r="AW189" i="3" a="1"/>
  <c r="AW189" i="3" s="1"/>
  <c r="AY188" i="3" a="1"/>
  <c r="AY188" i="3" s="1"/>
  <c r="AW188" i="3" a="1"/>
  <c r="AW188" i="3" s="1"/>
  <c r="AY187" i="3" a="1"/>
  <c r="AY187" i="3" s="1"/>
  <c r="AW187" i="3" a="1"/>
  <c r="AW187" i="3" s="1"/>
  <c r="AY186" i="3" a="1"/>
  <c r="AY186" i="3" s="1"/>
  <c r="AW186" i="3" a="1"/>
  <c r="AW186" i="3" s="1"/>
  <c r="AY185" i="3" a="1"/>
  <c r="AY185" i="3" s="1"/>
  <c r="AW185" i="3" a="1"/>
  <c r="AW185" i="3" s="1"/>
  <c r="AY184" i="3" a="1"/>
  <c r="AY184" i="3" s="1"/>
  <c r="AW184" i="3" a="1"/>
  <c r="AW184" i="3" s="1"/>
  <c r="AY183" i="3" a="1"/>
  <c r="AY183" i="3" s="1"/>
  <c r="AW183" i="3" a="1"/>
  <c r="AW183" i="3" s="1"/>
  <c r="AY182" i="3" a="1"/>
  <c r="AY182" i="3" s="1"/>
  <c r="AW182" i="3" a="1"/>
  <c r="AW182" i="3" s="1"/>
  <c r="AY181" i="3" a="1"/>
  <c r="AY181" i="3" s="1"/>
  <c r="AW181" i="3" a="1"/>
  <c r="AW181" i="3" s="1"/>
  <c r="AY180" i="3" a="1"/>
  <c r="AY180" i="3" s="1"/>
  <c r="AW180" i="3" a="1"/>
  <c r="AW180" i="3" s="1"/>
  <c r="AY179" i="3" a="1"/>
  <c r="AY179" i="3" s="1"/>
  <c r="AW179" i="3" a="1"/>
  <c r="AW179" i="3" s="1"/>
  <c r="AY178" i="3" a="1"/>
  <c r="AY178" i="3" s="1"/>
  <c r="AW178" i="3" a="1"/>
  <c r="AW178" i="3" s="1"/>
  <c r="AY177" i="3" a="1"/>
  <c r="AY177" i="3" s="1"/>
  <c r="AW177" i="3" a="1"/>
  <c r="AW177" i="3" s="1"/>
  <c r="AY176" i="3" a="1"/>
  <c r="AY176" i="3" s="1"/>
  <c r="AW176" i="3" a="1"/>
  <c r="AW176" i="3" s="1"/>
  <c r="AY175" i="3" a="1"/>
  <c r="AY175" i="3" s="1"/>
  <c r="AW175" i="3" a="1"/>
  <c r="AW175" i="3" s="1"/>
  <c r="AY174" i="3" a="1"/>
  <c r="AY174" i="3" s="1"/>
  <c r="AW174" i="3" a="1"/>
  <c r="AW174" i="3" s="1"/>
  <c r="AY173" i="3" a="1"/>
  <c r="AY173" i="3" s="1"/>
  <c r="AW173" i="3" a="1"/>
  <c r="AW173" i="3" s="1"/>
  <c r="AY172" i="3" a="1"/>
  <c r="AY172" i="3" s="1"/>
  <c r="AW172" i="3" a="1"/>
  <c r="AW172" i="3" s="1"/>
  <c r="AY171" i="3" a="1"/>
  <c r="AY171" i="3" s="1"/>
  <c r="AW171" i="3" a="1"/>
  <c r="AW171" i="3" s="1"/>
  <c r="AY170" i="3" a="1"/>
  <c r="AY170" i="3" s="1"/>
  <c r="AW170" i="3" a="1"/>
  <c r="AW170" i="3" s="1"/>
  <c r="AY169" i="3" a="1"/>
  <c r="AY169" i="3" s="1"/>
  <c r="AW169" i="3" a="1"/>
  <c r="AW169" i="3" s="1"/>
  <c r="AY168" i="3" a="1"/>
  <c r="AY168" i="3" s="1"/>
  <c r="AW168" i="3" a="1"/>
  <c r="AW168" i="3" s="1"/>
  <c r="AY167" i="3" a="1"/>
  <c r="AY167" i="3" s="1"/>
  <c r="AW167" i="3" a="1"/>
  <c r="AW167" i="3" s="1"/>
  <c r="AY166" i="3" a="1"/>
  <c r="AY166" i="3" s="1"/>
  <c r="AW166" i="3" a="1"/>
  <c r="AW166" i="3" s="1"/>
  <c r="AY165" i="3" a="1"/>
  <c r="AY165" i="3" s="1"/>
  <c r="AW165" i="3" a="1"/>
  <c r="AW165" i="3" s="1"/>
  <c r="AY159" i="3" a="1"/>
  <c r="AY159" i="3" s="1"/>
  <c r="AW159" i="3" a="1"/>
  <c r="AW159" i="3" s="1"/>
  <c r="AY158" i="3" a="1"/>
  <c r="AY158" i="3" s="1"/>
  <c r="AW158" i="3" a="1"/>
  <c r="AW158" i="3" s="1"/>
  <c r="AY157" i="3" a="1"/>
  <c r="AY157" i="3" s="1"/>
  <c r="AW157" i="3" a="1"/>
  <c r="AW157" i="3" s="1"/>
  <c r="AY156" i="3" a="1"/>
  <c r="AY156" i="3" s="1"/>
  <c r="AW156" i="3" a="1"/>
  <c r="AW156" i="3" s="1"/>
  <c r="AY155" i="3" a="1"/>
  <c r="AY155" i="3" s="1"/>
  <c r="AW155" i="3" a="1"/>
  <c r="AW155" i="3" s="1"/>
  <c r="AY154" i="3" a="1"/>
  <c r="AY154" i="3" s="1"/>
  <c r="AW154" i="3" a="1"/>
  <c r="AW154" i="3" s="1"/>
  <c r="AY153" i="3" a="1"/>
  <c r="AY153" i="3" s="1"/>
  <c r="AW153" i="3" a="1"/>
  <c r="AW153" i="3" s="1"/>
  <c r="AY152" i="3" a="1"/>
  <c r="AY152" i="3" s="1"/>
  <c r="AW152" i="3" a="1"/>
  <c r="AW152" i="3" s="1"/>
  <c r="AY151" i="3" a="1"/>
  <c r="AY151" i="3" s="1"/>
  <c r="AW151" i="3" a="1"/>
  <c r="AW151" i="3" s="1"/>
  <c r="AY150" i="3" a="1"/>
  <c r="AY150" i="3" s="1"/>
  <c r="AW150" i="3" a="1"/>
  <c r="AW150" i="3" s="1"/>
  <c r="AY149" i="3" a="1"/>
  <c r="AY149" i="3" s="1"/>
  <c r="AW149" i="3" a="1"/>
  <c r="AW149" i="3" s="1"/>
  <c r="AY148" i="3" a="1"/>
  <c r="AY148" i="3" s="1"/>
  <c r="AW148" i="3" a="1"/>
  <c r="AW148" i="3" s="1"/>
  <c r="AY147" i="3" a="1"/>
  <c r="AY147" i="3" s="1"/>
  <c r="AW147" i="3" a="1"/>
  <c r="AW147" i="3" s="1"/>
  <c r="AY146" i="3" a="1"/>
  <c r="AY146" i="3" s="1"/>
  <c r="AW146" i="3" a="1"/>
  <c r="AW146" i="3" s="1"/>
  <c r="AY145" i="3" a="1"/>
  <c r="AY145" i="3" s="1"/>
  <c r="AW145" i="3" a="1"/>
  <c r="AW145" i="3" s="1"/>
  <c r="AY144" i="3" a="1"/>
  <c r="AY144" i="3" s="1"/>
  <c r="AW144" i="3" a="1"/>
  <c r="AW144" i="3" s="1"/>
  <c r="AY143" i="3" a="1"/>
  <c r="AY143" i="3" s="1"/>
  <c r="AW143" i="3" a="1"/>
  <c r="AW143" i="3" s="1"/>
  <c r="AY142" i="3" a="1"/>
  <c r="AY142" i="3" s="1"/>
  <c r="AW142" i="3" a="1"/>
  <c r="AW142" i="3" s="1"/>
  <c r="AY141" i="3" a="1"/>
  <c r="AY141" i="3" s="1"/>
  <c r="AW141" i="3" a="1"/>
  <c r="AW141" i="3" s="1"/>
  <c r="AY140" i="3" a="1"/>
  <c r="AY140" i="3" s="1"/>
  <c r="AW140" i="3" a="1"/>
  <c r="AW140" i="3" s="1"/>
  <c r="AY139" i="3" a="1"/>
  <c r="AY139" i="3" s="1"/>
  <c r="AW139" i="3" a="1"/>
  <c r="AW139" i="3" s="1"/>
  <c r="AY138" i="3" a="1"/>
  <c r="AY138" i="3" s="1"/>
  <c r="AW138" i="3" a="1"/>
  <c r="AW138" i="3" s="1"/>
  <c r="AY137" i="3" a="1"/>
  <c r="AY137" i="3" s="1"/>
  <c r="AW137" i="3" a="1"/>
  <c r="AW137" i="3" s="1"/>
  <c r="AY136" i="3" a="1"/>
  <c r="AY136" i="3" s="1"/>
  <c r="AW136" i="3" a="1"/>
  <c r="AW136" i="3" s="1"/>
  <c r="AY135" i="3" a="1"/>
  <c r="AY135" i="3" s="1"/>
  <c r="AW135" i="3" a="1"/>
  <c r="AW135" i="3" s="1"/>
  <c r="AY134" i="3" a="1"/>
  <c r="AY134" i="3" s="1"/>
  <c r="AW134" i="3" a="1"/>
  <c r="AW134" i="3" s="1"/>
  <c r="AY133" i="3" a="1"/>
  <c r="AY133" i="3" s="1"/>
  <c r="AW133" i="3" a="1"/>
  <c r="AW133" i="3" s="1"/>
  <c r="AY132" i="3" a="1"/>
  <c r="AY132" i="3" s="1"/>
  <c r="AW132" i="3" a="1"/>
  <c r="AW132" i="3" s="1"/>
  <c r="AY131" i="3" a="1"/>
  <c r="AY131" i="3" s="1"/>
  <c r="AW131" i="3" a="1"/>
  <c r="AW131" i="3" s="1"/>
  <c r="AY130" i="3" a="1"/>
  <c r="AY130" i="3" s="1"/>
  <c r="AW130" i="3" a="1"/>
  <c r="AW130" i="3" s="1"/>
  <c r="AY129" i="3" a="1"/>
  <c r="AY129" i="3" s="1"/>
  <c r="AW129" i="3" a="1"/>
  <c r="AW129" i="3" s="1"/>
  <c r="AY128" i="3" a="1"/>
  <c r="AY128" i="3" s="1"/>
  <c r="AW128" i="3" a="1"/>
  <c r="AW128" i="3" s="1"/>
  <c r="AY127" i="3" a="1"/>
  <c r="AY127" i="3" s="1"/>
  <c r="AW127" i="3" a="1"/>
  <c r="AW127" i="3" s="1"/>
  <c r="AY126" i="3" a="1"/>
  <c r="AY126" i="3" s="1"/>
  <c r="AW126" i="3" a="1"/>
  <c r="AW126" i="3" s="1"/>
  <c r="AY120" i="3" a="1"/>
  <c r="AY120" i="3" s="1"/>
  <c r="AW120" i="3" a="1"/>
  <c r="AW120" i="3" s="1"/>
  <c r="AY119" i="3" a="1"/>
  <c r="AY119" i="3" s="1"/>
  <c r="AW119" i="3" a="1"/>
  <c r="AW119" i="3" s="1"/>
  <c r="AY118" i="3" a="1"/>
  <c r="AY118" i="3" s="1"/>
  <c r="AW118" i="3" a="1"/>
  <c r="AW118" i="3" s="1"/>
  <c r="AY117" i="3" a="1"/>
  <c r="AY117" i="3" s="1"/>
  <c r="AW117" i="3" a="1"/>
  <c r="AW117" i="3" s="1"/>
  <c r="AY116" i="3" a="1"/>
  <c r="AY116" i="3" s="1"/>
  <c r="AW116" i="3" a="1"/>
  <c r="AW116" i="3" s="1"/>
  <c r="AY115" i="3" a="1"/>
  <c r="AY115" i="3" s="1"/>
  <c r="AW115" i="3" a="1"/>
  <c r="AW115" i="3" s="1"/>
  <c r="AY114" i="3" a="1"/>
  <c r="AY114" i="3" s="1"/>
  <c r="AW114" i="3" a="1"/>
  <c r="AW114" i="3" s="1"/>
  <c r="AY113" i="3" a="1"/>
  <c r="AY113" i="3" s="1"/>
  <c r="AW113" i="3" a="1"/>
  <c r="AW113" i="3" s="1"/>
  <c r="AY112" i="3" a="1"/>
  <c r="AY112" i="3" s="1"/>
  <c r="AW112" i="3" a="1"/>
  <c r="AW112" i="3" s="1"/>
  <c r="AY111" i="3" a="1"/>
  <c r="AY111" i="3" s="1"/>
  <c r="AW111" i="3" a="1"/>
  <c r="AW111" i="3" s="1"/>
  <c r="AY110" i="3" a="1"/>
  <c r="AY110" i="3" s="1"/>
  <c r="AW110" i="3" a="1"/>
  <c r="AW110" i="3" s="1"/>
  <c r="AY109" i="3" a="1"/>
  <c r="AY109" i="3" s="1"/>
  <c r="AW109" i="3" a="1"/>
  <c r="AW109" i="3" s="1"/>
  <c r="AY108" i="3" a="1"/>
  <c r="AY108" i="3" s="1"/>
  <c r="AW108" i="3" a="1"/>
  <c r="AW108" i="3" s="1"/>
  <c r="AY107" i="3" a="1"/>
  <c r="AY107" i="3" s="1"/>
  <c r="AW107" i="3" a="1"/>
  <c r="AW107" i="3" s="1"/>
  <c r="AY106" i="3" a="1"/>
  <c r="AY106" i="3" s="1"/>
  <c r="AW106" i="3" a="1"/>
  <c r="AW106" i="3" s="1"/>
  <c r="AY105" i="3" a="1"/>
  <c r="AY105" i="3" s="1"/>
  <c r="AW105" i="3" a="1"/>
  <c r="AW105" i="3" s="1"/>
  <c r="AY104" i="3" a="1"/>
  <c r="AY104" i="3" s="1"/>
  <c r="AW104" i="3" a="1"/>
  <c r="AW104" i="3" s="1"/>
  <c r="AY103" i="3" a="1"/>
  <c r="AY103" i="3" s="1"/>
  <c r="AW103" i="3" a="1"/>
  <c r="AW103" i="3" s="1"/>
  <c r="AY102" i="3" a="1"/>
  <c r="AY102" i="3" s="1"/>
  <c r="AW102" i="3" a="1"/>
  <c r="AW102" i="3" s="1"/>
  <c r="AY101" i="3" a="1"/>
  <c r="AY101" i="3" s="1"/>
  <c r="AW101" i="3" a="1"/>
  <c r="AW101" i="3" s="1"/>
  <c r="AY100" i="3" a="1"/>
  <c r="AY100" i="3" s="1"/>
  <c r="AW100" i="3" a="1"/>
  <c r="AW100" i="3" s="1"/>
  <c r="AY99" i="3" a="1"/>
  <c r="AY99" i="3" s="1"/>
  <c r="AW99" i="3" a="1"/>
  <c r="AW99" i="3" s="1"/>
  <c r="AY98" i="3" a="1"/>
  <c r="AY98" i="3" s="1"/>
  <c r="AW98" i="3" a="1"/>
  <c r="AW98" i="3" s="1"/>
  <c r="AY97" i="3" a="1"/>
  <c r="AY97" i="3" s="1"/>
  <c r="AW97" i="3" a="1"/>
  <c r="AW97" i="3" s="1"/>
  <c r="AY96" i="3" a="1"/>
  <c r="AY96" i="3" s="1"/>
  <c r="AW96" i="3" a="1"/>
  <c r="AW96" i="3" s="1"/>
  <c r="AY95" i="3" a="1"/>
  <c r="AY95" i="3" s="1"/>
  <c r="AW95" i="3" a="1"/>
  <c r="AW95" i="3" s="1"/>
  <c r="AY94" i="3" a="1"/>
  <c r="AY94" i="3" s="1"/>
  <c r="AW94" i="3" a="1"/>
  <c r="AW94" i="3" s="1"/>
  <c r="AY93" i="3" a="1"/>
  <c r="AY93" i="3" s="1"/>
  <c r="AW93" i="3" a="1"/>
  <c r="AW93" i="3" s="1"/>
  <c r="AY92" i="3" a="1"/>
  <c r="AY92" i="3" s="1"/>
  <c r="AW92" i="3" a="1"/>
  <c r="AW92" i="3" s="1"/>
  <c r="AY91" i="3" a="1"/>
  <c r="AY91" i="3" s="1"/>
  <c r="AW91" i="3" a="1"/>
  <c r="AW91" i="3" s="1"/>
  <c r="AY90" i="3" a="1"/>
  <c r="AY90" i="3" s="1"/>
  <c r="AW90" i="3" a="1"/>
  <c r="AW90" i="3" s="1"/>
  <c r="AY89" i="3" a="1"/>
  <c r="AY89" i="3" s="1"/>
  <c r="AW89" i="3" a="1"/>
  <c r="AW89" i="3" s="1"/>
  <c r="AY88" i="3" a="1"/>
  <c r="AY88" i="3" s="1"/>
  <c r="AW88" i="3" a="1"/>
  <c r="AW88" i="3" s="1"/>
  <c r="AY87" i="3" a="1"/>
  <c r="AY87" i="3" s="1"/>
  <c r="AW87" i="3" a="1"/>
  <c r="AW87" i="3" s="1"/>
  <c r="AY81" i="3" a="1"/>
  <c r="AY81" i="3" s="1"/>
  <c r="AW81" i="3" a="1"/>
  <c r="AW81" i="3" s="1"/>
  <c r="AY80" i="3" a="1"/>
  <c r="AY80" i="3" s="1"/>
  <c r="AW80" i="3" a="1"/>
  <c r="AW80" i="3" s="1"/>
  <c r="AY79" i="3" a="1"/>
  <c r="AY79" i="3" s="1"/>
  <c r="AW79" i="3" a="1"/>
  <c r="AW79" i="3" s="1"/>
  <c r="AY78" i="3" a="1"/>
  <c r="AY78" i="3" s="1"/>
  <c r="AW78" i="3" a="1"/>
  <c r="AW78" i="3" s="1"/>
  <c r="AY77" i="3" a="1"/>
  <c r="AY77" i="3" s="1"/>
  <c r="AW77" i="3" a="1"/>
  <c r="AW77" i="3" s="1"/>
  <c r="AY76" i="3" a="1"/>
  <c r="AY76" i="3" s="1"/>
  <c r="AW76" i="3" a="1"/>
  <c r="AW76" i="3" s="1"/>
  <c r="AY75" i="3" a="1"/>
  <c r="AY75" i="3" s="1"/>
  <c r="AW75" i="3" a="1"/>
  <c r="AW75" i="3" s="1"/>
  <c r="AY74" i="3" a="1"/>
  <c r="AY74" i="3" s="1"/>
  <c r="AW74" i="3" a="1"/>
  <c r="AW74" i="3" s="1"/>
  <c r="AY73" i="3" a="1"/>
  <c r="AY73" i="3" s="1"/>
  <c r="AW73" i="3" a="1"/>
  <c r="AW73" i="3" s="1"/>
  <c r="AY72" i="3" a="1"/>
  <c r="AY72" i="3" s="1"/>
  <c r="AW72" i="3" a="1"/>
  <c r="AW72" i="3" s="1"/>
  <c r="AY71" i="3" a="1"/>
  <c r="AY71" i="3" s="1"/>
  <c r="AW71" i="3" a="1"/>
  <c r="AW71" i="3" s="1"/>
  <c r="AY70" i="3" a="1"/>
  <c r="AY70" i="3" s="1"/>
  <c r="AW70" i="3" a="1"/>
  <c r="AW70" i="3" s="1"/>
  <c r="AY69" i="3" a="1"/>
  <c r="AY69" i="3" s="1"/>
  <c r="AW69" i="3" a="1"/>
  <c r="AW69" i="3" s="1"/>
  <c r="AY68" i="3" a="1"/>
  <c r="AY68" i="3" s="1"/>
  <c r="AW68" i="3" a="1"/>
  <c r="AW68" i="3" s="1"/>
  <c r="AY67" i="3" a="1"/>
  <c r="AY67" i="3" s="1"/>
  <c r="AW67" i="3" a="1"/>
  <c r="AW67" i="3" s="1"/>
  <c r="AY66" i="3" a="1"/>
  <c r="AY66" i="3" s="1"/>
  <c r="AW66" i="3" a="1"/>
  <c r="AW66" i="3" s="1"/>
  <c r="AY65" i="3" a="1"/>
  <c r="AY65" i="3" s="1"/>
  <c r="AW65" i="3" a="1"/>
  <c r="AW65" i="3" s="1"/>
  <c r="AY64" i="3" a="1"/>
  <c r="AY64" i="3" s="1"/>
  <c r="AW64" i="3" a="1"/>
  <c r="AW64" i="3" s="1"/>
  <c r="AY63" i="3" a="1"/>
  <c r="AY63" i="3" s="1"/>
  <c r="AW63" i="3" a="1"/>
  <c r="AW63" i="3" s="1"/>
  <c r="AY62" i="3" a="1"/>
  <c r="AY62" i="3" s="1"/>
  <c r="AW62" i="3" a="1"/>
  <c r="AW62" i="3" s="1"/>
  <c r="AY61" i="3" a="1"/>
  <c r="AY61" i="3" s="1"/>
  <c r="AW61" i="3" a="1"/>
  <c r="AW61" i="3" s="1"/>
  <c r="AY60" i="3" a="1"/>
  <c r="AY60" i="3" s="1"/>
  <c r="AW60" i="3" a="1"/>
  <c r="AW60" i="3" s="1"/>
  <c r="AY59" i="3" a="1"/>
  <c r="AY59" i="3" s="1"/>
  <c r="AW59" i="3" a="1"/>
  <c r="AW59" i="3" s="1"/>
  <c r="AY58" i="3" a="1"/>
  <c r="AY58" i="3" s="1"/>
  <c r="AW58" i="3" a="1"/>
  <c r="AW58" i="3" s="1"/>
  <c r="AY57" i="3" a="1"/>
  <c r="AY57" i="3" s="1"/>
  <c r="AW57" i="3" a="1"/>
  <c r="AW57" i="3" s="1"/>
  <c r="AY56" i="3" a="1"/>
  <c r="AY56" i="3" s="1"/>
  <c r="AW56" i="3" a="1"/>
  <c r="AW56" i="3" s="1"/>
  <c r="AY55" i="3" a="1"/>
  <c r="AY55" i="3" s="1"/>
  <c r="AW55" i="3" a="1"/>
  <c r="AW55" i="3" s="1"/>
  <c r="AY54" i="3" a="1"/>
  <c r="AY54" i="3" s="1"/>
  <c r="AW54" i="3" a="1"/>
  <c r="AW54" i="3" s="1"/>
  <c r="AY53" i="3" a="1"/>
  <c r="AY53" i="3" s="1"/>
  <c r="AW53" i="3" a="1"/>
  <c r="AW53" i="3" s="1"/>
  <c r="AY52" i="3" a="1"/>
  <c r="AY52" i="3" s="1"/>
  <c r="AW52" i="3" a="1"/>
  <c r="AW52" i="3" s="1"/>
  <c r="AY51" i="3" a="1"/>
  <c r="AY51" i="3" s="1"/>
  <c r="AW51" i="3" a="1"/>
  <c r="AW51" i="3" s="1"/>
  <c r="AY50" i="3" a="1"/>
  <c r="AY50" i="3" s="1"/>
  <c r="AW50" i="3" a="1"/>
  <c r="AW50" i="3" s="1"/>
  <c r="AY49" i="3" a="1"/>
  <c r="AY49" i="3" s="1"/>
  <c r="AW49" i="3" a="1"/>
  <c r="AW49" i="3" s="1"/>
  <c r="AY48" i="3" a="1"/>
  <c r="AY48" i="3" s="1"/>
  <c r="AW48" i="3" a="1"/>
  <c r="AW48" i="3" s="1"/>
  <c r="AY42" i="3" a="1"/>
  <c r="AY42" i="3" s="1"/>
  <c r="AW42" i="3" a="1"/>
  <c r="AW42" i="3" s="1"/>
  <c r="AY41" i="3" a="1"/>
  <c r="AY41" i="3" s="1"/>
  <c r="AW41" i="3" a="1"/>
  <c r="AW41" i="3" s="1"/>
  <c r="AY40" i="3" a="1"/>
  <c r="AY40" i="3" s="1"/>
  <c r="AW40" i="3" a="1"/>
  <c r="AW40" i="3" s="1"/>
  <c r="AY39" i="3" a="1"/>
  <c r="AY39" i="3" s="1"/>
  <c r="AW39" i="3" a="1"/>
  <c r="AW39" i="3" s="1"/>
  <c r="AY38" i="3" a="1"/>
  <c r="AY38" i="3" s="1"/>
  <c r="AW38" i="3" a="1"/>
  <c r="AW38" i="3" s="1"/>
  <c r="AY37" i="3" a="1"/>
  <c r="AY37" i="3" s="1"/>
  <c r="AW37" i="3" a="1"/>
  <c r="AW37" i="3" s="1"/>
  <c r="AY36" i="3" a="1"/>
  <c r="AY36" i="3" s="1"/>
  <c r="AW36" i="3" a="1"/>
  <c r="AW36" i="3" s="1"/>
  <c r="AY35" i="3" a="1"/>
  <c r="AY35" i="3" s="1"/>
  <c r="AW35" i="3" a="1"/>
  <c r="AW35" i="3" s="1"/>
  <c r="AY34" i="3" a="1"/>
  <c r="AY34" i="3" s="1"/>
  <c r="AW34" i="3" a="1"/>
  <c r="AW34" i="3" s="1"/>
  <c r="AY33" i="3" a="1"/>
  <c r="AY33" i="3" s="1"/>
  <c r="AW33" i="3" a="1"/>
  <c r="AW33" i="3" s="1"/>
  <c r="AY32" i="3" a="1"/>
  <c r="AY32" i="3" s="1"/>
  <c r="AW32" i="3" a="1"/>
  <c r="AW32" i="3" s="1"/>
  <c r="AY31" i="3" a="1"/>
  <c r="AY31" i="3" s="1"/>
  <c r="AW31" i="3" a="1"/>
  <c r="AW31" i="3" s="1"/>
  <c r="AY30" i="3" a="1"/>
  <c r="AY30" i="3" s="1"/>
  <c r="AW30" i="3" a="1"/>
  <c r="AW30" i="3" s="1"/>
  <c r="AY29" i="3" a="1"/>
  <c r="AY29" i="3" s="1"/>
  <c r="AW29" i="3" a="1"/>
  <c r="AW29" i="3" s="1"/>
  <c r="AY28" i="3" a="1"/>
  <c r="AY28" i="3" s="1"/>
  <c r="AW28" i="3" a="1"/>
  <c r="AW28" i="3" s="1"/>
  <c r="AY27" i="3" a="1"/>
  <c r="AY27" i="3" s="1"/>
  <c r="AW27" i="3" a="1"/>
  <c r="AW27" i="3" s="1"/>
  <c r="AY26" i="3" a="1"/>
  <c r="AY26" i="3" s="1"/>
  <c r="AW26" i="3" a="1"/>
  <c r="AW26" i="3" s="1"/>
  <c r="AY25" i="3" a="1"/>
  <c r="AY25" i="3" s="1"/>
  <c r="AW25" i="3" a="1"/>
  <c r="AW25" i="3" s="1"/>
  <c r="AY24" i="3" a="1"/>
  <c r="AY24" i="3" s="1"/>
  <c r="AW24" i="3" a="1"/>
  <c r="AW24" i="3" s="1"/>
  <c r="AY23" i="3" a="1"/>
  <c r="AY23" i="3" s="1"/>
  <c r="AW23" i="3" a="1"/>
  <c r="AW23" i="3" s="1"/>
  <c r="AY22" i="3" a="1"/>
  <c r="AY22" i="3" s="1"/>
  <c r="AW22" i="3" a="1"/>
  <c r="AW22" i="3" s="1"/>
  <c r="AY21" i="3" a="1"/>
  <c r="AY21" i="3" s="1"/>
  <c r="AW21" i="3" a="1"/>
  <c r="AW21" i="3" s="1"/>
  <c r="AY20" i="3" a="1"/>
  <c r="AY20" i="3" s="1"/>
  <c r="AW20" i="3" a="1"/>
  <c r="AW20" i="3" s="1"/>
  <c r="AY19" i="3" a="1"/>
  <c r="AY19" i="3" s="1"/>
  <c r="AW19" i="3" a="1"/>
  <c r="AW19" i="3" s="1"/>
  <c r="AY18" i="3" a="1"/>
  <c r="AY18" i="3" s="1"/>
  <c r="AW18" i="3" a="1"/>
  <c r="AW18" i="3" s="1"/>
  <c r="AY17" i="3" a="1"/>
  <c r="AY17" i="3" s="1"/>
  <c r="AW17" i="3" a="1"/>
  <c r="AW17" i="3" s="1"/>
  <c r="AY16" i="3" a="1"/>
  <c r="AY16" i="3" s="1"/>
  <c r="AW16" i="3" a="1"/>
  <c r="AW16" i="3" s="1"/>
  <c r="AY15" i="3" a="1"/>
  <c r="AY15" i="3" s="1"/>
  <c r="AW15" i="3" a="1"/>
  <c r="AW15" i="3" s="1"/>
  <c r="AY14" i="3" a="1"/>
  <c r="AY14" i="3" s="1"/>
  <c r="AW14" i="3" a="1"/>
  <c r="AW14" i="3" s="1"/>
  <c r="AY13" i="3" a="1"/>
  <c r="AY13" i="3" s="1"/>
  <c r="AW13" i="3" a="1"/>
  <c r="AW13" i="3" s="1"/>
  <c r="AY12" i="3" a="1"/>
  <c r="AY12" i="3" s="1"/>
  <c r="AW12" i="3" a="1"/>
  <c r="AW12" i="3" s="1"/>
  <c r="AY11" i="3" a="1"/>
  <c r="AY11" i="3" s="1"/>
  <c r="AW11" i="3" a="1"/>
  <c r="AW11" i="3" s="1"/>
  <c r="AY10" i="3" a="1"/>
  <c r="AY10" i="3" s="1"/>
  <c r="AW10" i="3" a="1"/>
  <c r="AW10" i="3" s="1"/>
  <c r="AY9" i="3" a="1"/>
  <c r="AY9" i="3" s="1"/>
  <c r="AW9" i="3" a="1"/>
  <c r="AW9" i="3" s="1"/>
  <c r="AQ237" i="3" a="1"/>
  <c r="AQ237" i="3" s="1"/>
  <c r="AO237" i="3" a="1"/>
  <c r="AO237" i="3" s="1"/>
  <c r="AQ236" i="3" a="1"/>
  <c r="AQ236" i="3" s="1"/>
  <c r="AO236" i="3" a="1"/>
  <c r="AO236" i="3" s="1"/>
  <c r="AQ235" i="3" a="1"/>
  <c r="AQ235" i="3" s="1"/>
  <c r="AO235" i="3" a="1"/>
  <c r="AO235" i="3" s="1"/>
  <c r="AQ234" i="3" a="1"/>
  <c r="AQ234" i="3" s="1"/>
  <c r="AO234" i="3" a="1"/>
  <c r="AO234" i="3" s="1"/>
  <c r="AQ233" i="3" a="1"/>
  <c r="AQ233" i="3" s="1"/>
  <c r="AO233" i="3" a="1"/>
  <c r="AO233" i="3" s="1"/>
  <c r="AQ232" i="3" a="1"/>
  <c r="AQ232" i="3" s="1"/>
  <c r="AO232" i="3" a="1"/>
  <c r="AO232" i="3" s="1"/>
  <c r="AQ231" i="3" a="1"/>
  <c r="AQ231" i="3" s="1"/>
  <c r="AO231" i="3" a="1"/>
  <c r="AO231" i="3" s="1"/>
  <c r="AQ230" i="3" a="1"/>
  <c r="AQ230" i="3" s="1"/>
  <c r="AO230" i="3" a="1"/>
  <c r="AO230" i="3" s="1"/>
  <c r="AQ229" i="3" a="1"/>
  <c r="AQ229" i="3" s="1"/>
  <c r="AO229" i="3" a="1"/>
  <c r="AO229" i="3" s="1"/>
  <c r="AQ228" i="3" a="1"/>
  <c r="AQ228" i="3" s="1"/>
  <c r="AO228" i="3" a="1"/>
  <c r="AO228" i="3" s="1"/>
  <c r="AQ227" i="3" a="1"/>
  <c r="AQ227" i="3" s="1"/>
  <c r="AO227" i="3" a="1"/>
  <c r="AO227" i="3" s="1"/>
  <c r="AQ226" i="3" a="1"/>
  <c r="AQ226" i="3" s="1"/>
  <c r="AO226" i="3" a="1"/>
  <c r="AO226" i="3" s="1"/>
  <c r="AQ225" i="3" a="1"/>
  <c r="AQ225" i="3" s="1"/>
  <c r="AO225" i="3" a="1"/>
  <c r="AO225" i="3" s="1"/>
  <c r="AQ224" i="3" a="1"/>
  <c r="AQ224" i="3" s="1"/>
  <c r="AO224" i="3" a="1"/>
  <c r="AO224" i="3" s="1"/>
  <c r="AQ223" i="3" a="1"/>
  <c r="AQ223" i="3" s="1"/>
  <c r="AO223" i="3" a="1"/>
  <c r="AO223" i="3" s="1"/>
  <c r="AQ222" i="3" a="1"/>
  <c r="AQ222" i="3" s="1"/>
  <c r="AO222" i="3" a="1"/>
  <c r="AO222" i="3" s="1"/>
  <c r="AQ221" i="3" a="1"/>
  <c r="AQ221" i="3" s="1"/>
  <c r="AO221" i="3" a="1"/>
  <c r="AO221" i="3" s="1"/>
  <c r="AQ220" i="3" a="1"/>
  <c r="AQ220" i="3" s="1"/>
  <c r="AO220" i="3" a="1"/>
  <c r="AO220" i="3" s="1"/>
  <c r="AQ219" i="3" a="1"/>
  <c r="AQ219" i="3" s="1"/>
  <c r="AO219" i="3" a="1"/>
  <c r="AO219" i="3" s="1"/>
  <c r="AQ218" i="3" a="1"/>
  <c r="AQ218" i="3" s="1"/>
  <c r="AO218" i="3" a="1"/>
  <c r="AO218" i="3" s="1"/>
  <c r="AQ217" i="3" a="1"/>
  <c r="AQ217" i="3" s="1"/>
  <c r="AO217" i="3" a="1"/>
  <c r="AO217" i="3" s="1"/>
  <c r="AQ216" i="3" a="1"/>
  <c r="AQ216" i="3" s="1"/>
  <c r="AO216" i="3" a="1"/>
  <c r="AO216" i="3" s="1"/>
  <c r="AQ215" i="3" a="1"/>
  <c r="AQ215" i="3" s="1"/>
  <c r="AO215" i="3" a="1"/>
  <c r="AO215" i="3" s="1"/>
  <c r="AQ214" i="3" a="1"/>
  <c r="AQ214" i="3" s="1"/>
  <c r="AO214" i="3" a="1"/>
  <c r="AO214" i="3" s="1"/>
  <c r="AQ213" i="3" a="1"/>
  <c r="AQ213" i="3" s="1"/>
  <c r="AO213" i="3" a="1"/>
  <c r="AO213" i="3" s="1"/>
  <c r="AQ212" i="3" a="1"/>
  <c r="AQ212" i="3" s="1"/>
  <c r="AO212" i="3" a="1"/>
  <c r="AO212" i="3" s="1"/>
  <c r="AQ211" i="3" a="1"/>
  <c r="AQ211" i="3" s="1"/>
  <c r="AO211" i="3" a="1"/>
  <c r="AO211" i="3" s="1"/>
  <c r="AQ210" i="3" a="1"/>
  <c r="AQ210" i="3" s="1"/>
  <c r="AO210" i="3" a="1"/>
  <c r="AO210" i="3" s="1"/>
  <c r="AQ209" i="3" a="1"/>
  <c r="AQ209" i="3" s="1"/>
  <c r="AO209" i="3" a="1"/>
  <c r="AO209" i="3" s="1"/>
  <c r="AQ208" i="3" a="1"/>
  <c r="AQ208" i="3" s="1"/>
  <c r="AO208" i="3" a="1"/>
  <c r="AO208" i="3" s="1"/>
  <c r="AQ207" i="3" a="1"/>
  <c r="AQ207" i="3" s="1"/>
  <c r="AO207" i="3" a="1"/>
  <c r="AO207" i="3" s="1"/>
  <c r="AQ206" i="3" a="1"/>
  <c r="AQ206" i="3" s="1"/>
  <c r="AO206" i="3" a="1"/>
  <c r="AO206" i="3" s="1"/>
  <c r="AQ205" i="3" a="1"/>
  <c r="AQ205" i="3" s="1"/>
  <c r="AO205" i="3" a="1"/>
  <c r="AO205" i="3" s="1"/>
  <c r="AQ204" i="3" a="1"/>
  <c r="AQ204" i="3" s="1"/>
  <c r="AO204" i="3" a="1"/>
  <c r="AO204" i="3" s="1"/>
  <c r="AQ198" i="3" a="1"/>
  <c r="AQ198" i="3" s="1"/>
  <c r="AO198" i="3" a="1"/>
  <c r="AO198" i="3" s="1"/>
  <c r="AQ197" i="3" a="1"/>
  <c r="AQ197" i="3" s="1"/>
  <c r="AO197" i="3" a="1"/>
  <c r="AO197" i="3" s="1"/>
  <c r="AQ196" i="3" a="1"/>
  <c r="AQ196" i="3" s="1"/>
  <c r="AO196" i="3" a="1"/>
  <c r="AO196" i="3" s="1"/>
  <c r="AQ195" i="3" a="1"/>
  <c r="AQ195" i="3" s="1"/>
  <c r="AO195" i="3" a="1"/>
  <c r="AO195" i="3" s="1"/>
  <c r="AQ194" i="3" a="1"/>
  <c r="AQ194" i="3" s="1"/>
  <c r="AO194" i="3" a="1"/>
  <c r="AO194" i="3" s="1"/>
  <c r="AQ193" i="3" a="1"/>
  <c r="AQ193" i="3" s="1"/>
  <c r="AO193" i="3" a="1"/>
  <c r="AO193" i="3" s="1"/>
  <c r="AQ192" i="3" a="1"/>
  <c r="AQ192" i="3" s="1"/>
  <c r="AO192" i="3" a="1"/>
  <c r="AO192" i="3" s="1"/>
  <c r="AQ191" i="3" a="1"/>
  <c r="AQ191" i="3" s="1"/>
  <c r="AO191" i="3" a="1"/>
  <c r="AO191" i="3" s="1"/>
  <c r="AQ190" i="3" a="1"/>
  <c r="AQ190" i="3" s="1"/>
  <c r="AO190" i="3" a="1"/>
  <c r="AO190" i="3" s="1"/>
  <c r="AQ189" i="3" a="1"/>
  <c r="AQ189" i="3" s="1"/>
  <c r="AO189" i="3" a="1"/>
  <c r="AO189" i="3" s="1"/>
  <c r="AQ188" i="3" a="1"/>
  <c r="AQ188" i="3" s="1"/>
  <c r="AO188" i="3" a="1"/>
  <c r="AO188" i="3" s="1"/>
  <c r="AQ187" i="3" a="1"/>
  <c r="AQ187" i="3" s="1"/>
  <c r="AO187" i="3" a="1"/>
  <c r="AO187" i="3" s="1"/>
  <c r="AQ186" i="3" a="1"/>
  <c r="AQ186" i="3" s="1"/>
  <c r="AO186" i="3" a="1"/>
  <c r="AO186" i="3" s="1"/>
  <c r="AQ185" i="3" a="1"/>
  <c r="AQ185" i="3" s="1"/>
  <c r="AO185" i="3" a="1"/>
  <c r="AO185" i="3" s="1"/>
  <c r="AQ184" i="3" a="1"/>
  <c r="AQ184" i="3" s="1"/>
  <c r="AO184" i="3" a="1"/>
  <c r="AO184" i="3" s="1"/>
  <c r="AQ183" i="3" a="1"/>
  <c r="AQ183" i="3" s="1"/>
  <c r="AO183" i="3" a="1"/>
  <c r="AO183" i="3" s="1"/>
  <c r="AQ182" i="3" a="1"/>
  <c r="AQ182" i="3" s="1"/>
  <c r="AO182" i="3" a="1"/>
  <c r="AO182" i="3" s="1"/>
  <c r="AQ181" i="3" a="1"/>
  <c r="AQ181" i="3" s="1"/>
  <c r="AO181" i="3" a="1"/>
  <c r="AO181" i="3" s="1"/>
  <c r="AQ180" i="3" a="1"/>
  <c r="AQ180" i="3" s="1"/>
  <c r="AO180" i="3" a="1"/>
  <c r="AO180" i="3" s="1"/>
  <c r="AQ179" i="3" a="1"/>
  <c r="AQ179" i="3" s="1"/>
  <c r="AO179" i="3" a="1"/>
  <c r="AO179" i="3" s="1"/>
  <c r="AQ178" i="3" a="1"/>
  <c r="AQ178" i="3" s="1"/>
  <c r="AO178" i="3" a="1"/>
  <c r="AO178" i="3" s="1"/>
  <c r="AQ177" i="3" a="1"/>
  <c r="AQ177" i="3" s="1"/>
  <c r="AO177" i="3" a="1"/>
  <c r="AO177" i="3" s="1"/>
  <c r="AQ176" i="3" a="1"/>
  <c r="AQ176" i="3" s="1"/>
  <c r="AO176" i="3" a="1"/>
  <c r="AO176" i="3" s="1"/>
  <c r="AQ175" i="3" a="1"/>
  <c r="AQ175" i="3" s="1"/>
  <c r="AO175" i="3" a="1"/>
  <c r="AO175" i="3" s="1"/>
  <c r="AQ174" i="3" a="1"/>
  <c r="AQ174" i="3" s="1"/>
  <c r="AO174" i="3" a="1"/>
  <c r="AO174" i="3" s="1"/>
  <c r="AQ173" i="3" a="1"/>
  <c r="AQ173" i="3" s="1"/>
  <c r="AO173" i="3" a="1"/>
  <c r="AO173" i="3" s="1"/>
  <c r="AQ172" i="3" a="1"/>
  <c r="AQ172" i="3" s="1"/>
  <c r="AO172" i="3" a="1"/>
  <c r="AO172" i="3" s="1"/>
  <c r="AQ171" i="3" a="1"/>
  <c r="AQ171" i="3" s="1"/>
  <c r="AO171" i="3" a="1"/>
  <c r="AO171" i="3" s="1"/>
  <c r="AQ170" i="3" a="1"/>
  <c r="AQ170" i="3" s="1"/>
  <c r="AO170" i="3" a="1"/>
  <c r="AO170" i="3" s="1"/>
  <c r="AQ169" i="3" a="1"/>
  <c r="AQ169" i="3" s="1"/>
  <c r="AO169" i="3" a="1"/>
  <c r="AO169" i="3" s="1"/>
  <c r="AQ168" i="3" a="1"/>
  <c r="AQ168" i="3" s="1"/>
  <c r="AO168" i="3" a="1"/>
  <c r="AO168" i="3" s="1"/>
  <c r="AQ167" i="3" a="1"/>
  <c r="AQ167" i="3" s="1"/>
  <c r="AO167" i="3" a="1"/>
  <c r="AO167" i="3" s="1"/>
  <c r="AQ166" i="3" a="1"/>
  <c r="AQ166" i="3" s="1"/>
  <c r="AO166" i="3" a="1"/>
  <c r="AO166" i="3" s="1"/>
  <c r="AQ165" i="3" a="1"/>
  <c r="AQ165" i="3" s="1"/>
  <c r="AO165" i="3" a="1"/>
  <c r="AO165" i="3" s="1"/>
  <c r="AQ159" i="3" a="1"/>
  <c r="AQ159" i="3" s="1"/>
  <c r="AO159" i="3" a="1"/>
  <c r="AO159" i="3" s="1"/>
  <c r="AQ158" i="3" a="1"/>
  <c r="AQ158" i="3" s="1"/>
  <c r="AO158" i="3" a="1"/>
  <c r="AO158" i="3" s="1"/>
  <c r="AQ157" i="3" a="1"/>
  <c r="AQ157" i="3" s="1"/>
  <c r="AO157" i="3" a="1"/>
  <c r="AO157" i="3" s="1"/>
  <c r="AQ156" i="3" a="1"/>
  <c r="AQ156" i="3" s="1"/>
  <c r="AO156" i="3" a="1"/>
  <c r="AO156" i="3" s="1"/>
  <c r="AQ155" i="3" a="1"/>
  <c r="AQ155" i="3" s="1"/>
  <c r="AO155" i="3" a="1"/>
  <c r="AO155" i="3" s="1"/>
  <c r="AQ154" i="3" a="1"/>
  <c r="AQ154" i="3" s="1"/>
  <c r="AO154" i="3" a="1"/>
  <c r="AO154" i="3" s="1"/>
  <c r="AQ153" i="3" a="1"/>
  <c r="AQ153" i="3" s="1"/>
  <c r="AO153" i="3" a="1"/>
  <c r="AO153" i="3" s="1"/>
  <c r="AQ152" i="3" a="1"/>
  <c r="AQ152" i="3" s="1"/>
  <c r="AO152" i="3" a="1"/>
  <c r="AO152" i="3" s="1"/>
  <c r="AQ151" i="3" a="1"/>
  <c r="AQ151" i="3" s="1"/>
  <c r="AO151" i="3" a="1"/>
  <c r="AO151" i="3" s="1"/>
  <c r="AQ150" i="3" a="1"/>
  <c r="AQ150" i="3" s="1"/>
  <c r="AO150" i="3" a="1"/>
  <c r="AO150" i="3" s="1"/>
  <c r="AQ149" i="3" a="1"/>
  <c r="AQ149" i="3" s="1"/>
  <c r="AO149" i="3" a="1"/>
  <c r="AO149" i="3" s="1"/>
  <c r="AQ148" i="3" a="1"/>
  <c r="AQ148" i="3" s="1"/>
  <c r="AO148" i="3" a="1"/>
  <c r="AO148" i="3" s="1"/>
  <c r="AQ147" i="3" a="1"/>
  <c r="AQ147" i="3" s="1"/>
  <c r="AO147" i="3" a="1"/>
  <c r="AO147" i="3" s="1"/>
  <c r="AQ146" i="3" a="1"/>
  <c r="AQ146" i="3" s="1"/>
  <c r="AO146" i="3" a="1"/>
  <c r="AO146" i="3" s="1"/>
  <c r="AQ145" i="3" a="1"/>
  <c r="AQ145" i="3" s="1"/>
  <c r="AO145" i="3" a="1"/>
  <c r="AO145" i="3" s="1"/>
  <c r="AQ144" i="3" a="1"/>
  <c r="AQ144" i="3" s="1"/>
  <c r="AO144" i="3" a="1"/>
  <c r="AO144" i="3" s="1"/>
  <c r="AQ143" i="3" a="1"/>
  <c r="AQ143" i="3" s="1"/>
  <c r="AO143" i="3" a="1"/>
  <c r="AO143" i="3" s="1"/>
  <c r="AQ142" i="3" a="1"/>
  <c r="AQ142" i="3" s="1"/>
  <c r="AO142" i="3" a="1"/>
  <c r="AO142" i="3" s="1"/>
  <c r="AQ141" i="3" a="1"/>
  <c r="AQ141" i="3" s="1"/>
  <c r="AO141" i="3" a="1"/>
  <c r="AO141" i="3" s="1"/>
  <c r="AQ140" i="3" a="1"/>
  <c r="AQ140" i="3" s="1"/>
  <c r="AO140" i="3" a="1"/>
  <c r="AO140" i="3" s="1"/>
  <c r="AQ139" i="3" a="1"/>
  <c r="AQ139" i="3" s="1"/>
  <c r="AO139" i="3" a="1"/>
  <c r="AO139" i="3" s="1"/>
  <c r="AQ138" i="3" a="1"/>
  <c r="AQ138" i="3" s="1"/>
  <c r="AO138" i="3" a="1"/>
  <c r="AO138" i="3" s="1"/>
  <c r="AQ137" i="3" a="1"/>
  <c r="AQ137" i="3" s="1"/>
  <c r="AO137" i="3" a="1"/>
  <c r="AO137" i="3" s="1"/>
  <c r="AQ136" i="3" a="1"/>
  <c r="AQ136" i="3" s="1"/>
  <c r="AO136" i="3" a="1"/>
  <c r="AO136" i="3" s="1"/>
  <c r="AQ135" i="3" a="1"/>
  <c r="AQ135" i="3" s="1"/>
  <c r="AO135" i="3" a="1"/>
  <c r="AO135" i="3" s="1"/>
  <c r="AQ134" i="3" a="1"/>
  <c r="AQ134" i="3" s="1"/>
  <c r="AO134" i="3" a="1"/>
  <c r="AO134" i="3" s="1"/>
  <c r="AQ133" i="3" a="1"/>
  <c r="AQ133" i="3" s="1"/>
  <c r="AO133" i="3" a="1"/>
  <c r="AO133" i="3" s="1"/>
  <c r="AQ132" i="3" a="1"/>
  <c r="AQ132" i="3" s="1"/>
  <c r="AO132" i="3" a="1"/>
  <c r="AO132" i="3" s="1"/>
  <c r="AQ131" i="3" a="1"/>
  <c r="AQ131" i="3" s="1"/>
  <c r="AO131" i="3" a="1"/>
  <c r="AO131" i="3" s="1"/>
  <c r="AQ130" i="3" a="1"/>
  <c r="AQ130" i="3" s="1"/>
  <c r="AO130" i="3" a="1"/>
  <c r="AO130" i="3" s="1"/>
  <c r="AQ129" i="3" a="1"/>
  <c r="AQ129" i="3" s="1"/>
  <c r="AO129" i="3" a="1"/>
  <c r="AO129" i="3" s="1"/>
  <c r="AQ128" i="3" a="1"/>
  <c r="AQ128" i="3" s="1"/>
  <c r="AO128" i="3" a="1"/>
  <c r="AO128" i="3" s="1"/>
  <c r="AQ127" i="3" a="1"/>
  <c r="AQ127" i="3" s="1"/>
  <c r="AO127" i="3" a="1"/>
  <c r="AO127" i="3" s="1"/>
  <c r="AQ126" i="3" a="1"/>
  <c r="AQ126" i="3" s="1"/>
  <c r="AO126" i="3" a="1"/>
  <c r="AO126" i="3" s="1"/>
  <c r="AQ120" i="3" a="1"/>
  <c r="AQ120" i="3" s="1"/>
  <c r="AO120" i="3" a="1"/>
  <c r="AO120" i="3" s="1"/>
  <c r="AQ119" i="3" a="1"/>
  <c r="AQ119" i="3" s="1"/>
  <c r="AO119" i="3" a="1"/>
  <c r="AO119" i="3" s="1"/>
  <c r="AQ118" i="3" a="1"/>
  <c r="AQ118" i="3" s="1"/>
  <c r="AO118" i="3" a="1"/>
  <c r="AO118" i="3" s="1"/>
  <c r="AQ117" i="3" a="1"/>
  <c r="AQ117" i="3" s="1"/>
  <c r="AO117" i="3" a="1"/>
  <c r="AO117" i="3" s="1"/>
  <c r="AQ116" i="3" a="1"/>
  <c r="AQ116" i="3" s="1"/>
  <c r="AO116" i="3" a="1"/>
  <c r="AO116" i="3" s="1"/>
  <c r="AQ115" i="3" a="1"/>
  <c r="AQ115" i="3" s="1"/>
  <c r="AO115" i="3" a="1"/>
  <c r="AO115" i="3" s="1"/>
  <c r="AQ114" i="3" a="1"/>
  <c r="AQ114" i="3" s="1"/>
  <c r="AO114" i="3" a="1"/>
  <c r="AO114" i="3" s="1"/>
  <c r="AQ113" i="3" a="1"/>
  <c r="AQ113" i="3" s="1"/>
  <c r="AO113" i="3" a="1"/>
  <c r="AO113" i="3" s="1"/>
  <c r="AQ112" i="3" a="1"/>
  <c r="AQ112" i="3" s="1"/>
  <c r="AO112" i="3" a="1"/>
  <c r="AO112" i="3" s="1"/>
  <c r="AQ111" i="3" a="1"/>
  <c r="AQ111" i="3" s="1"/>
  <c r="AO111" i="3" a="1"/>
  <c r="AO111" i="3" s="1"/>
  <c r="AQ110" i="3" a="1"/>
  <c r="AQ110" i="3" s="1"/>
  <c r="AO110" i="3" a="1"/>
  <c r="AO110" i="3" s="1"/>
  <c r="AQ109" i="3" a="1"/>
  <c r="AQ109" i="3" s="1"/>
  <c r="AO109" i="3" a="1"/>
  <c r="AO109" i="3" s="1"/>
  <c r="AQ108" i="3" a="1"/>
  <c r="AQ108" i="3" s="1"/>
  <c r="AO108" i="3" a="1"/>
  <c r="AO108" i="3" s="1"/>
  <c r="AQ107" i="3" a="1"/>
  <c r="AQ107" i="3" s="1"/>
  <c r="AO107" i="3" a="1"/>
  <c r="AO107" i="3" s="1"/>
  <c r="AQ106" i="3" a="1"/>
  <c r="AQ106" i="3" s="1"/>
  <c r="AO106" i="3" a="1"/>
  <c r="AO106" i="3" s="1"/>
  <c r="AQ105" i="3" a="1"/>
  <c r="AQ105" i="3" s="1"/>
  <c r="AO105" i="3" a="1"/>
  <c r="AO105" i="3" s="1"/>
  <c r="AQ104" i="3" a="1"/>
  <c r="AQ104" i="3" s="1"/>
  <c r="AO104" i="3" a="1"/>
  <c r="AO104" i="3" s="1"/>
  <c r="AQ103" i="3" a="1"/>
  <c r="AQ103" i="3" s="1"/>
  <c r="AO103" i="3" a="1"/>
  <c r="AO103" i="3" s="1"/>
  <c r="AQ102" i="3" a="1"/>
  <c r="AQ102" i="3" s="1"/>
  <c r="AO102" i="3" a="1"/>
  <c r="AO102" i="3" s="1"/>
  <c r="AQ101" i="3" a="1"/>
  <c r="AQ101" i="3" s="1"/>
  <c r="AO101" i="3" a="1"/>
  <c r="AO101" i="3" s="1"/>
  <c r="AQ100" i="3" a="1"/>
  <c r="AQ100" i="3" s="1"/>
  <c r="AO100" i="3" a="1"/>
  <c r="AO100" i="3" s="1"/>
  <c r="AQ99" i="3" a="1"/>
  <c r="AQ99" i="3" s="1"/>
  <c r="AO99" i="3" a="1"/>
  <c r="AO99" i="3" s="1"/>
  <c r="AQ98" i="3" a="1"/>
  <c r="AQ98" i="3" s="1"/>
  <c r="AO98" i="3" a="1"/>
  <c r="AO98" i="3" s="1"/>
  <c r="AQ97" i="3" a="1"/>
  <c r="AQ97" i="3" s="1"/>
  <c r="AO97" i="3" a="1"/>
  <c r="AO97" i="3" s="1"/>
  <c r="AQ96" i="3" a="1"/>
  <c r="AQ96" i="3" s="1"/>
  <c r="AO96" i="3" a="1"/>
  <c r="AO96" i="3" s="1"/>
  <c r="AQ95" i="3" a="1"/>
  <c r="AQ95" i="3" s="1"/>
  <c r="AO95" i="3" a="1"/>
  <c r="AO95" i="3" s="1"/>
  <c r="AQ94" i="3" a="1"/>
  <c r="AQ94" i="3" s="1"/>
  <c r="AO94" i="3" a="1"/>
  <c r="AO94" i="3" s="1"/>
  <c r="AQ93" i="3" a="1"/>
  <c r="AQ93" i="3" s="1"/>
  <c r="AO93" i="3" a="1"/>
  <c r="AO93" i="3" s="1"/>
  <c r="AQ92" i="3" a="1"/>
  <c r="AQ92" i="3" s="1"/>
  <c r="AO92" i="3" a="1"/>
  <c r="AO92" i="3" s="1"/>
  <c r="AQ91" i="3" a="1"/>
  <c r="AQ91" i="3" s="1"/>
  <c r="AO91" i="3" a="1"/>
  <c r="AO91" i="3" s="1"/>
  <c r="AQ90" i="3" a="1"/>
  <c r="AQ90" i="3" s="1"/>
  <c r="AO90" i="3" a="1"/>
  <c r="AO90" i="3" s="1"/>
  <c r="AQ89" i="3" a="1"/>
  <c r="AQ89" i="3" s="1"/>
  <c r="AO89" i="3" a="1"/>
  <c r="AO89" i="3" s="1"/>
  <c r="AQ88" i="3" a="1"/>
  <c r="AQ88" i="3" s="1"/>
  <c r="AO88" i="3" a="1"/>
  <c r="AO88" i="3" s="1"/>
  <c r="AQ87" i="3" a="1"/>
  <c r="AQ87" i="3" s="1"/>
  <c r="AO87" i="3" a="1"/>
  <c r="AO87" i="3" s="1"/>
  <c r="AQ81" i="3" a="1"/>
  <c r="AQ81" i="3" s="1"/>
  <c r="AO81" i="3" a="1"/>
  <c r="AO81" i="3" s="1"/>
  <c r="AQ80" i="3" a="1"/>
  <c r="AQ80" i="3" s="1"/>
  <c r="AO80" i="3" a="1"/>
  <c r="AO80" i="3" s="1"/>
  <c r="AQ79" i="3" a="1"/>
  <c r="AQ79" i="3" s="1"/>
  <c r="AO79" i="3" a="1"/>
  <c r="AO79" i="3" s="1"/>
  <c r="AQ78" i="3" a="1"/>
  <c r="AQ78" i="3" s="1"/>
  <c r="AO78" i="3" a="1"/>
  <c r="AO78" i="3" s="1"/>
  <c r="AQ77" i="3" a="1"/>
  <c r="AQ77" i="3" s="1"/>
  <c r="AO77" i="3" a="1"/>
  <c r="AO77" i="3" s="1"/>
  <c r="AQ76" i="3" a="1"/>
  <c r="AQ76" i="3" s="1"/>
  <c r="AO76" i="3" a="1"/>
  <c r="AO76" i="3" s="1"/>
  <c r="AQ75" i="3" a="1"/>
  <c r="AQ75" i="3" s="1"/>
  <c r="AO75" i="3" a="1"/>
  <c r="AO75" i="3" s="1"/>
  <c r="AQ74" i="3" a="1"/>
  <c r="AQ74" i="3" s="1"/>
  <c r="AO74" i="3" a="1"/>
  <c r="AO74" i="3" s="1"/>
  <c r="AQ73" i="3" a="1"/>
  <c r="AQ73" i="3" s="1"/>
  <c r="AO73" i="3" a="1"/>
  <c r="AO73" i="3" s="1"/>
  <c r="AQ72" i="3" a="1"/>
  <c r="AQ72" i="3" s="1"/>
  <c r="AO72" i="3" a="1"/>
  <c r="AO72" i="3" s="1"/>
  <c r="AQ71" i="3" a="1"/>
  <c r="AQ71" i="3" s="1"/>
  <c r="AO71" i="3" a="1"/>
  <c r="AO71" i="3" s="1"/>
  <c r="AQ70" i="3" a="1"/>
  <c r="AQ70" i="3" s="1"/>
  <c r="AO70" i="3" a="1"/>
  <c r="AO70" i="3" s="1"/>
  <c r="AQ69" i="3" a="1"/>
  <c r="AQ69" i="3" s="1"/>
  <c r="AO69" i="3" a="1"/>
  <c r="AO69" i="3" s="1"/>
  <c r="AQ68" i="3" a="1"/>
  <c r="AQ68" i="3" s="1"/>
  <c r="AO68" i="3" a="1"/>
  <c r="AO68" i="3" s="1"/>
  <c r="AQ67" i="3" a="1"/>
  <c r="AQ67" i="3" s="1"/>
  <c r="AO67" i="3" a="1"/>
  <c r="AO67" i="3" s="1"/>
  <c r="AQ66" i="3" a="1"/>
  <c r="AQ66" i="3" s="1"/>
  <c r="AO66" i="3" a="1"/>
  <c r="AO66" i="3" s="1"/>
  <c r="AQ65" i="3" a="1"/>
  <c r="AQ65" i="3" s="1"/>
  <c r="AO65" i="3" a="1"/>
  <c r="AO65" i="3" s="1"/>
  <c r="AQ64" i="3" a="1"/>
  <c r="AQ64" i="3" s="1"/>
  <c r="AO64" i="3" a="1"/>
  <c r="AO64" i="3" s="1"/>
  <c r="AQ63" i="3" a="1"/>
  <c r="AQ63" i="3" s="1"/>
  <c r="AO63" i="3" a="1"/>
  <c r="AO63" i="3" s="1"/>
  <c r="AQ62" i="3" a="1"/>
  <c r="AQ62" i="3" s="1"/>
  <c r="AO62" i="3" a="1"/>
  <c r="AO62" i="3" s="1"/>
  <c r="AQ61" i="3" a="1"/>
  <c r="AQ61" i="3" s="1"/>
  <c r="AO61" i="3" a="1"/>
  <c r="AO61" i="3" s="1"/>
  <c r="AQ60" i="3" a="1"/>
  <c r="AQ60" i="3" s="1"/>
  <c r="AO60" i="3" a="1"/>
  <c r="AO60" i="3" s="1"/>
  <c r="AQ59" i="3" a="1"/>
  <c r="AQ59" i="3" s="1"/>
  <c r="AO59" i="3" a="1"/>
  <c r="AO59" i="3" s="1"/>
  <c r="AQ58" i="3" a="1"/>
  <c r="AQ58" i="3" s="1"/>
  <c r="AO58" i="3" a="1"/>
  <c r="AO58" i="3" s="1"/>
  <c r="AQ57" i="3" a="1"/>
  <c r="AQ57" i="3" s="1"/>
  <c r="AO57" i="3" a="1"/>
  <c r="AO57" i="3" s="1"/>
  <c r="AQ56" i="3" a="1"/>
  <c r="AQ56" i="3" s="1"/>
  <c r="AO56" i="3" a="1"/>
  <c r="AO56" i="3" s="1"/>
  <c r="AQ55" i="3" a="1"/>
  <c r="AQ55" i="3" s="1"/>
  <c r="AO55" i="3" a="1"/>
  <c r="AO55" i="3" s="1"/>
  <c r="AQ54" i="3" a="1"/>
  <c r="AQ54" i="3" s="1"/>
  <c r="AO54" i="3" a="1"/>
  <c r="AO54" i="3" s="1"/>
  <c r="AQ53" i="3" a="1"/>
  <c r="AQ53" i="3" s="1"/>
  <c r="AO53" i="3" a="1"/>
  <c r="AO53" i="3" s="1"/>
  <c r="AQ52" i="3" a="1"/>
  <c r="AQ52" i="3" s="1"/>
  <c r="AO52" i="3" a="1"/>
  <c r="AO52" i="3" s="1"/>
  <c r="AQ51" i="3" a="1"/>
  <c r="AQ51" i="3" s="1"/>
  <c r="AO51" i="3" a="1"/>
  <c r="AO51" i="3" s="1"/>
  <c r="AQ50" i="3" a="1"/>
  <c r="AQ50" i="3" s="1"/>
  <c r="AO50" i="3" a="1"/>
  <c r="AO50" i="3" s="1"/>
  <c r="AQ49" i="3" a="1"/>
  <c r="AQ49" i="3" s="1"/>
  <c r="AO49" i="3" a="1"/>
  <c r="AO49" i="3" s="1"/>
  <c r="AQ48" i="3" a="1"/>
  <c r="AQ48" i="3" s="1"/>
  <c r="AO48" i="3" a="1"/>
  <c r="AO48" i="3" s="1"/>
  <c r="AQ42" i="3" a="1"/>
  <c r="AQ42" i="3" s="1"/>
  <c r="AO42" i="3" a="1"/>
  <c r="AO42" i="3" s="1"/>
  <c r="AQ41" i="3" a="1"/>
  <c r="AQ41" i="3" s="1"/>
  <c r="AO41" i="3" a="1"/>
  <c r="AO41" i="3" s="1"/>
  <c r="AQ40" i="3" a="1"/>
  <c r="AQ40" i="3" s="1"/>
  <c r="AO40" i="3" a="1"/>
  <c r="AO40" i="3" s="1"/>
  <c r="AQ39" i="3" a="1"/>
  <c r="AQ39" i="3" s="1"/>
  <c r="AO39" i="3" a="1"/>
  <c r="AO39" i="3" s="1"/>
  <c r="AQ38" i="3" a="1"/>
  <c r="AQ38" i="3" s="1"/>
  <c r="AO38" i="3" a="1"/>
  <c r="AO38" i="3" s="1"/>
  <c r="AQ37" i="3" a="1"/>
  <c r="AQ37" i="3" s="1"/>
  <c r="AO37" i="3" a="1"/>
  <c r="AO37" i="3" s="1"/>
  <c r="AQ36" i="3" a="1"/>
  <c r="AQ36" i="3" s="1"/>
  <c r="AO36" i="3" a="1"/>
  <c r="AO36" i="3" s="1"/>
  <c r="AQ35" i="3" a="1"/>
  <c r="AQ35" i="3" s="1"/>
  <c r="AO35" i="3" a="1"/>
  <c r="AO35" i="3" s="1"/>
  <c r="AQ34" i="3" a="1"/>
  <c r="AQ34" i="3" s="1"/>
  <c r="AO34" i="3" a="1"/>
  <c r="AO34" i="3" s="1"/>
  <c r="AQ33" i="3" a="1"/>
  <c r="AQ33" i="3" s="1"/>
  <c r="AO33" i="3" a="1"/>
  <c r="AO33" i="3" s="1"/>
  <c r="AQ32" i="3" a="1"/>
  <c r="AQ32" i="3" s="1"/>
  <c r="AO32" i="3" a="1"/>
  <c r="AO32" i="3" s="1"/>
  <c r="AQ31" i="3" a="1"/>
  <c r="AQ31" i="3" s="1"/>
  <c r="AO31" i="3" a="1"/>
  <c r="AO31" i="3" s="1"/>
  <c r="AQ30" i="3" a="1"/>
  <c r="AQ30" i="3" s="1"/>
  <c r="AO30" i="3" a="1"/>
  <c r="AO30" i="3" s="1"/>
  <c r="AQ29" i="3" a="1"/>
  <c r="AQ29" i="3" s="1"/>
  <c r="AO29" i="3" a="1"/>
  <c r="AO29" i="3" s="1"/>
  <c r="AQ28" i="3" a="1"/>
  <c r="AQ28" i="3" s="1"/>
  <c r="AO28" i="3" a="1"/>
  <c r="AO28" i="3" s="1"/>
  <c r="AQ27" i="3" a="1"/>
  <c r="AQ27" i="3" s="1"/>
  <c r="AO27" i="3" a="1"/>
  <c r="AO27" i="3" s="1"/>
  <c r="AQ26" i="3" a="1"/>
  <c r="AQ26" i="3" s="1"/>
  <c r="AO26" i="3" a="1"/>
  <c r="AO26" i="3" s="1"/>
  <c r="AQ25" i="3" a="1"/>
  <c r="AQ25" i="3" s="1"/>
  <c r="AO25" i="3" a="1"/>
  <c r="AO25" i="3" s="1"/>
  <c r="AQ24" i="3" a="1"/>
  <c r="AQ24" i="3" s="1"/>
  <c r="AO24" i="3" a="1"/>
  <c r="AO24" i="3" s="1"/>
  <c r="AQ23" i="3" a="1"/>
  <c r="AQ23" i="3" s="1"/>
  <c r="AO23" i="3" a="1"/>
  <c r="AO23" i="3" s="1"/>
  <c r="AQ22" i="3" a="1"/>
  <c r="AQ22" i="3" s="1"/>
  <c r="AO22" i="3" a="1"/>
  <c r="AO22" i="3" s="1"/>
  <c r="AQ21" i="3" a="1"/>
  <c r="AQ21" i="3" s="1"/>
  <c r="AO21" i="3" a="1"/>
  <c r="AO21" i="3" s="1"/>
  <c r="AQ20" i="3" a="1"/>
  <c r="AQ20" i="3" s="1"/>
  <c r="AO20" i="3" a="1"/>
  <c r="AO20" i="3" s="1"/>
  <c r="AQ19" i="3" a="1"/>
  <c r="AQ19" i="3" s="1"/>
  <c r="AO19" i="3" a="1"/>
  <c r="AO19" i="3" s="1"/>
  <c r="AQ18" i="3" a="1"/>
  <c r="AQ18" i="3" s="1"/>
  <c r="AO18" i="3" a="1"/>
  <c r="AO18" i="3" s="1"/>
  <c r="AQ17" i="3" a="1"/>
  <c r="AQ17" i="3" s="1"/>
  <c r="AO17" i="3" a="1"/>
  <c r="AO17" i="3" s="1"/>
  <c r="AQ16" i="3" a="1"/>
  <c r="AQ16" i="3" s="1"/>
  <c r="AO16" i="3" a="1"/>
  <c r="AO16" i="3" s="1"/>
  <c r="AQ15" i="3" a="1"/>
  <c r="AQ15" i="3" s="1"/>
  <c r="AO15" i="3" a="1"/>
  <c r="AO15" i="3" s="1"/>
  <c r="AQ14" i="3" a="1"/>
  <c r="AQ14" i="3" s="1"/>
  <c r="AO14" i="3" a="1"/>
  <c r="AO14" i="3" s="1"/>
  <c r="AQ13" i="3" a="1"/>
  <c r="AQ13" i="3" s="1"/>
  <c r="AO13" i="3" a="1"/>
  <c r="AO13" i="3" s="1"/>
  <c r="AQ12" i="3" a="1"/>
  <c r="AQ12" i="3" s="1"/>
  <c r="AO12" i="3" a="1"/>
  <c r="AO12" i="3" s="1"/>
  <c r="AQ11" i="3" a="1"/>
  <c r="AQ11" i="3" s="1"/>
  <c r="AO11" i="3" a="1"/>
  <c r="AO11" i="3" s="1"/>
  <c r="AQ10" i="3" a="1"/>
  <c r="AQ10" i="3" s="1"/>
  <c r="AO10" i="3" a="1"/>
  <c r="AO10" i="3" s="1"/>
  <c r="AQ9" i="3" a="1"/>
  <c r="AQ9" i="3" s="1"/>
  <c r="AO9" i="3" a="1"/>
  <c r="AO9" i="3" s="1"/>
  <c r="AI237" i="3" a="1"/>
  <c r="AI237" i="3" s="1"/>
  <c r="AG237" i="3" a="1"/>
  <c r="AG237" i="3" s="1"/>
  <c r="AI236" i="3" a="1"/>
  <c r="AI236" i="3" s="1"/>
  <c r="AG236" i="3" a="1"/>
  <c r="AG236" i="3" s="1"/>
  <c r="AI235" i="3" a="1"/>
  <c r="AI235" i="3" s="1"/>
  <c r="AG235" i="3" a="1"/>
  <c r="AG235" i="3" s="1"/>
  <c r="AI234" i="3" a="1"/>
  <c r="AI234" i="3" s="1"/>
  <c r="AG234" i="3" a="1"/>
  <c r="AG234" i="3" s="1"/>
  <c r="AI233" i="3" a="1"/>
  <c r="AI233" i="3" s="1"/>
  <c r="AG233" i="3" a="1"/>
  <c r="AG233" i="3" s="1"/>
  <c r="AI232" i="3" a="1"/>
  <c r="AI232" i="3" s="1"/>
  <c r="AG232" i="3" a="1"/>
  <c r="AG232" i="3" s="1"/>
  <c r="AI231" i="3" a="1"/>
  <c r="AI231" i="3" s="1"/>
  <c r="AG231" i="3" a="1"/>
  <c r="AG231" i="3" s="1"/>
  <c r="AI230" i="3" a="1"/>
  <c r="AI230" i="3" s="1"/>
  <c r="AG230" i="3" a="1"/>
  <c r="AG230" i="3" s="1"/>
  <c r="AI229" i="3" a="1"/>
  <c r="AI229" i="3" s="1"/>
  <c r="AG229" i="3" a="1"/>
  <c r="AG229" i="3" s="1"/>
  <c r="AI228" i="3" a="1"/>
  <c r="AI228" i="3" s="1"/>
  <c r="AG228" i="3" a="1"/>
  <c r="AG228" i="3" s="1"/>
  <c r="AI227" i="3" a="1"/>
  <c r="AI227" i="3" s="1"/>
  <c r="AG227" i="3" a="1"/>
  <c r="AG227" i="3" s="1"/>
  <c r="AI226" i="3" a="1"/>
  <c r="AI226" i="3" s="1"/>
  <c r="AG226" i="3" a="1"/>
  <c r="AG226" i="3" s="1"/>
  <c r="AI225" i="3" a="1"/>
  <c r="AI225" i="3" s="1"/>
  <c r="AG225" i="3" a="1"/>
  <c r="AG225" i="3" s="1"/>
  <c r="AI224" i="3" a="1"/>
  <c r="AI224" i="3" s="1"/>
  <c r="AG224" i="3" a="1"/>
  <c r="AG224" i="3" s="1"/>
  <c r="AI223" i="3" a="1"/>
  <c r="AI223" i="3" s="1"/>
  <c r="AG223" i="3" a="1"/>
  <c r="AG223" i="3" s="1"/>
  <c r="AI222" i="3" a="1"/>
  <c r="AI222" i="3" s="1"/>
  <c r="AG222" i="3" a="1"/>
  <c r="AG222" i="3" s="1"/>
  <c r="AI221" i="3" a="1"/>
  <c r="AI221" i="3" s="1"/>
  <c r="AG221" i="3" a="1"/>
  <c r="AG221" i="3" s="1"/>
  <c r="AI220" i="3" a="1"/>
  <c r="AI220" i="3" s="1"/>
  <c r="AG220" i="3" a="1"/>
  <c r="AG220" i="3" s="1"/>
  <c r="AI219" i="3" a="1"/>
  <c r="AI219" i="3" s="1"/>
  <c r="AG219" i="3" a="1"/>
  <c r="AG219" i="3" s="1"/>
  <c r="AI218" i="3" a="1"/>
  <c r="AI218" i="3" s="1"/>
  <c r="AG218" i="3" a="1"/>
  <c r="AG218" i="3" s="1"/>
  <c r="AI217" i="3" a="1"/>
  <c r="AI217" i="3" s="1"/>
  <c r="AG217" i="3" a="1"/>
  <c r="AG217" i="3" s="1"/>
  <c r="AI216" i="3" a="1"/>
  <c r="AI216" i="3" s="1"/>
  <c r="AG216" i="3" a="1"/>
  <c r="AG216" i="3" s="1"/>
  <c r="AI215" i="3" a="1"/>
  <c r="AI215" i="3" s="1"/>
  <c r="AG215" i="3" a="1"/>
  <c r="AG215" i="3" s="1"/>
  <c r="AI214" i="3" a="1"/>
  <c r="AI214" i="3" s="1"/>
  <c r="AG214" i="3" a="1"/>
  <c r="AG214" i="3" s="1"/>
  <c r="AI213" i="3" a="1"/>
  <c r="AI213" i="3" s="1"/>
  <c r="AG213" i="3" a="1"/>
  <c r="AG213" i="3" s="1"/>
  <c r="AI212" i="3" a="1"/>
  <c r="AI212" i="3" s="1"/>
  <c r="AG212" i="3" a="1"/>
  <c r="AG212" i="3" s="1"/>
  <c r="AI211" i="3" a="1"/>
  <c r="AI211" i="3" s="1"/>
  <c r="AG211" i="3" a="1"/>
  <c r="AG211" i="3" s="1"/>
  <c r="AI210" i="3" a="1"/>
  <c r="AI210" i="3" s="1"/>
  <c r="AG210" i="3" a="1"/>
  <c r="AG210" i="3" s="1"/>
  <c r="AI209" i="3" a="1"/>
  <c r="AI209" i="3" s="1"/>
  <c r="AG209" i="3" a="1"/>
  <c r="AG209" i="3" s="1"/>
  <c r="AI208" i="3" a="1"/>
  <c r="AI208" i="3" s="1"/>
  <c r="AG208" i="3" a="1"/>
  <c r="AG208" i="3" s="1"/>
  <c r="AI207" i="3" a="1"/>
  <c r="AI207" i="3" s="1"/>
  <c r="AG207" i="3" a="1"/>
  <c r="AG207" i="3" s="1"/>
  <c r="AI206" i="3" a="1"/>
  <c r="AI206" i="3" s="1"/>
  <c r="AG206" i="3" a="1"/>
  <c r="AG206" i="3" s="1"/>
  <c r="AI205" i="3" a="1"/>
  <c r="AI205" i="3" s="1"/>
  <c r="AG205" i="3" a="1"/>
  <c r="AG205" i="3" s="1"/>
  <c r="AI204" i="3" a="1"/>
  <c r="AI204" i="3" s="1"/>
  <c r="AG204" i="3" a="1"/>
  <c r="AG204" i="3" s="1"/>
  <c r="AI198" i="3" a="1"/>
  <c r="AI198" i="3" s="1"/>
  <c r="AG198" i="3" a="1"/>
  <c r="AG198" i="3" s="1"/>
  <c r="AI197" i="3" a="1"/>
  <c r="AI197" i="3" s="1"/>
  <c r="AG197" i="3" a="1"/>
  <c r="AG197" i="3" s="1"/>
  <c r="AI196" i="3" a="1"/>
  <c r="AI196" i="3" s="1"/>
  <c r="AG196" i="3" a="1"/>
  <c r="AG196" i="3" s="1"/>
  <c r="AI195" i="3" a="1"/>
  <c r="AI195" i="3" s="1"/>
  <c r="AG195" i="3" a="1"/>
  <c r="AG195" i="3" s="1"/>
  <c r="AI194" i="3" a="1"/>
  <c r="AI194" i="3" s="1"/>
  <c r="AG194" i="3" a="1"/>
  <c r="AG194" i="3" s="1"/>
  <c r="AI193" i="3" a="1"/>
  <c r="AI193" i="3" s="1"/>
  <c r="AG193" i="3" a="1"/>
  <c r="AG193" i="3" s="1"/>
  <c r="AI192" i="3" a="1"/>
  <c r="AI192" i="3" s="1"/>
  <c r="AG192" i="3" a="1"/>
  <c r="AG192" i="3" s="1"/>
  <c r="AI191" i="3" a="1"/>
  <c r="AI191" i="3" s="1"/>
  <c r="AG191" i="3" a="1"/>
  <c r="AG191" i="3" s="1"/>
  <c r="AI190" i="3" a="1"/>
  <c r="AI190" i="3" s="1"/>
  <c r="AG190" i="3" a="1"/>
  <c r="AG190" i="3" s="1"/>
  <c r="AI189" i="3" a="1"/>
  <c r="AI189" i="3" s="1"/>
  <c r="AG189" i="3" a="1"/>
  <c r="AG189" i="3" s="1"/>
  <c r="AI188" i="3" a="1"/>
  <c r="AI188" i="3" s="1"/>
  <c r="AG188" i="3" a="1"/>
  <c r="AG188" i="3" s="1"/>
  <c r="AI187" i="3" a="1"/>
  <c r="AI187" i="3" s="1"/>
  <c r="AG187" i="3" a="1"/>
  <c r="AG187" i="3" s="1"/>
  <c r="AI186" i="3" a="1"/>
  <c r="AI186" i="3" s="1"/>
  <c r="AG186" i="3" a="1"/>
  <c r="AG186" i="3" s="1"/>
  <c r="AI185" i="3" a="1"/>
  <c r="AI185" i="3" s="1"/>
  <c r="AG185" i="3" a="1"/>
  <c r="AG185" i="3" s="1"/>
  <c r="AI184" i="3" a="1"/>
  <c r="AI184" i="3" s="1"/>
  <c r="AG184" i="3" a="1"/>
  <c r="AG184" i="3" s="1"/>
  <c r="AI183" i="3" a="1"/>
  <c r="AI183" i="3" s="1"/>
  <c r="AG183" i="3" a="1"/>
  <c r="AG183" i="3" s="1"/>
  <c r="AI182" i="3" a="1"/>
  <c r="AI182" i="3" s="1"/>
  <c r="AG182" i="3" a="1"/>
  <c r="AG182" i="3" s="1"/>
  <c r="AI181" i="3" a="1"/>
  <c r="AI181" i="3" s="1"/>
  <c r="AG181" i="3" a="1"/>
  <c r="AG181" i="3" s="1"/>
  <c r="AI180" i="3" a="1"/>
  <c r="AI180" i="3" s="1"/>
  <c r="AG180" i="3" a="1"/>
  <c r="AG180" i="3" s="1"/>
  <c r="AI179" i="3" a="1"/>
  <c r="AI179" i="3" s="1"/>
  <c r="AG179" i="3" a="1"/>
  <c r="AG179" i="3" s="1"/>
  <c r="AI178" i="3" a="1"/>
  <c r="AI178" i="3" s="1"/>
  <c r="AG178" i="3" a="1"/>
  <c r="AG178" i="3" s="1"/>
  <c r="AI177" i="3" a="1"/>
  <c r="AI177" i="3" s="1"/>
  <c r="AG177" i="3" a="1"/>
  <c r="AG177" i="3" s="1"/>
  <c r="AI176" i="3" a="1"/>
  <c r="AI176" i="3" s="1"/>
  <c r="AG176" i="3" a="1"/>
  <c r="AG176" i="3" s="1"/>
  <c r="AI175" i="3" a="1"/>
  <c r="AI175" i="3" s="1"/>
  <c r="AG175" i="3" a="1"/>
  <c r="AG175" i="3" s="1"/>
  <c r="AI174" i="3" a="1"/>
  <c r="AI174" i="3" s="1"/>
  <c r="AG174" i="3" a="1"/>
  <c r="AG174" i="3" s="1"/>
  <c r="AI173" i="3" a="1"/>
  <c r="AI173" i="3" s="1"/>
  <c r="AG173" i="3" a="1"/>
  <c r="AG173" i="3" s="1"/>
  <c r="AI172" i="3" a="1"/>
  <c r="AI172" i="3" s="1"/>
  <c r="AG172" i="3" a="1"/>
  <c r="AG172" i="3" s="1"/>
  <c r="AI171" i="3" a="1"/>
  <c r="AI171" i="3" s="1"/>
  <c r="AG171" i="3" a="1"/>
  <c r="AG171" i="3" s="1"/>
  <c r="AI170" i="3" a="1"/>
  <c r="AI170" i="3" s="1"/>
  <c r="AG170" i="3" a="1"/>
  <c r="AG170" i="3" s="1"/>
  <c r="AI169" i="3" a="1"/>
  <c r="AI169" i="3" s="1"/>
  <c r="AG169" i="3" a="1"/>
  <c r="AG169" i="3" s="1"/>
  <c r="AI168" i="3" a="1"/>
  <c r="AI168" i="3" s="1"/>
  <c r="AG168" i="3" a="1"/>
  <c r="AG168" i="3" s="1"/>
  <c r="AI167" i="3" a="1"/>
  <c r="AI167" i="3" s="1"/>
  <c r="AG167" i="3" a="1"/>
  <c r="AG167" i="3" s="1"/>
  <c r="AI166" i="3" a="1"/>
  <c r="AI166" i="3" s="1"/>
  <c r="AG166" i="3" a="1"/>
  <c r="AG166" i="3" s="1"/>
  <c r="AI165" i="3" a="1"/>
  <c r="AI165" i="3" s="1"/>
  <c r="AG165" i="3" a="1"/>
  <c r="AG165" i="3" s="1"/>
  <c r="AI159" i="3" a="1"/>
  <c r="AI159" i="3" s="1"/>
  <c r="AG159" i="3" a="1"/>
  <c r="AG159" i="3" s="1"/>
  <c r="AI158" i="3" a="1"/>
  <c r="AI158" i="3" s="1"/>
  <c r="AG158" i="3" a="1"/>
  <c r="AG158" i="3" s="1"/>
  <c r="AI157" i="3" a="1"/>
  <c r="AI157" i="3" s="1"/>
  <c r="AG157" i="3" a="1"/>
  <c r="AG157" i="3" s="1"/>
  <c r="AI156" i="3" a="1"/>
  <c r="AI156" i="3" s="1"/>
  <c r="AG156" i="3" a="1"/>
  <c r="AG156" i="3" s="1"/>
  <c r="AI155" i="3" a="1"/>
  <c r="AI155" i="3" s="1"/>
  <c r="AG155" i="3" a="1"/>
  <c r="AG155" i="3" s="1"/>
  <c r="AI154" i="3" a="1"/>
  <c r="AI154" i="3" s="1"/>
  <c r="AG154" i="3" a="1"/>
  <c r="AG154" i="3" s="1"/>
  <c r="AI153" i="3" a="1"/>
  <c r="AI153" i="3" s="1"/>
  <c r="AG153" i="3" a="1"/>
  <c r="AG153" i="3" s="1"/>
  <c r="AI152" i="3" a="1"/>
  <c r="AI152" i="3" s="1"/>
  <c r="AG152" i="3" a="1"/>
  <c r="AG152" i="3" s="1"/>
  <c r="AI151" i="3" a="1"/>
  <c r="AI151" i="3" s="1"/>
  <c r="AG151" i="3" a="1"/>
  <c r="AG151" i="3" s="1"/>
  <c r="AI150" i="3" a="1"/>
  <c r="AI150" i="3" s="1"/>
  <c r="AG150" i="3" a="1"/>
  <c r="AG150" i="3" s="1"/>
  <c r="AI149" i="3" a="1"/>
  <c r="AI149" i="3" s="1"/>
  <c r="AG149" i="3" a="1"/>
  <c r="AG149" i="3" s="1"/>
  <c r="AI148" i="3" a="1"/>
  <c r="AI148" i="3" s="1"/>
  <c r="AG148" i="3" a="1"/>
  <c r="AG148" i="3" s="1"/>
  <c r="AI147" i="3" a="1"/>
  <c r="AI147" i="3" s="1"/>
  <c r="AG147" i="3" a="1"/>
  <c r="AG147" i="3" s="1"/>
  <c r="AI146" i="3" a="1"/>
  <c r="AI146" i="3" s="1"/>
  <c r="AG146" i="3" a="1"/>
  <c r="AG146" i="3" s="1"/>
  <c r="AI145" i="3" a="1"/>
  <c r="AI145" i="3" s="1"/>
  <c r="AG145" i="3" a="1"/>
  <c r="AG145" i="3" s="1"/>
  <c r="AI144" i="3" a="1"/>
  <c r="AI144" i="3" s="1"/>
  <c r="AG144" i="3" a="1"/>
  <c r="AG144" i="3" s="1"/>
  <c r="AI143" i="3" a="1"/>
  <c r="AI143" i="3" s="1"/>
  <c r="AG143" i="3" a="1"/>
  <c r="AG143" i="3" s="1"/>
  <c r="AI142" i="3" a="1"/>
  <c r="AI142" i="3" s="1"/>
  <c r="AG142" i="3" a="1"/>
  <c r="AG142" i="3" s="1"/>
  <c r="AI141" i="3" a="1"/>
  <c r="AI141" i="3" s="1"/>
  <c r="AG141" i="3" a="1"/>
  <c r="AG141" i="3" s="1"/>
  <c r="AI140" i="3" a="1"/>
  <c r="AI140" i="3" s="1"/>
  <c r="AG140" i="3" a="1"/>
  <c r="AG140" i="3" s="1"/>
  <c r="AI139" i="3" a="1"/>
  <c r="AI139" i="3" s="1"/>
  <c r="AG139" i="3" a="1"/>
  <c r="AG139" i="3" s="1"/>
  <c r="AI138" i="3" a="1"/>
  <c r="AI138" i="3" s="1"/>
  <c r="AG138" i="3" a="1"/>
  <c r="AG138" i="3" s="1"/>
  <c r="AI137" i="3" a="1"/>
  <c r="AI137" i="3" s="1"/>
  <c r="AG137" i="3" a="1"/>
  <c r="AG137" i="3" s="1"/>
  <c r="AI136" i="3" a="1"/>
  <c r="AI136" i="3" s="1"/>
  <c r="AG136" i="3" a="1"/>
  <c r="AG136" i="3" s="1"/>
  <c r="AI135" i="3" a="1"/>
  <c r="AI135" i="3" s="1"/>
  <c r="AG135" i="3" a="1"/>
  <c r="AG135" i="3" s="1"/>
  <c r="AI134" i="3" a="1"/>
  <c r="AI134" i="3" s="1"/>
  <c r="AG134" i="3" a="1"/>
  <c r="AG134" i="3" s="1"/>
  <c r="AI133" i="3" a="1"/>
  <c r="AI133" i="3" s="1"/>
  <c r="AG133" i="3" a="1"/>
  <c r="AG133" i="3" s="1"/>
  <c r="AI132" i="3" a="1"/>
  <c r="AI132" i="3" s="1"/>
  <c r="AG132" i="3" a="1"/>
  <c r="AG132" i="3" s="1"/>
  <c r="AI131" i="3" a="1"/>
  <c r="AI131" i="3" s="1"/>
  <c r="AG131" i="3" a="1"/>
  <c r="AG131" i="3" s="1"/>
  <c r="AI130" i="3" a="1"/>
  <c r="AI130" i="3" s="1"/>
  <c r="AG130" i="3" a="1"/>
  <c r="AG130" i="3" s="1"/>
  <c r="AI129" i="3" a="1"/>
  <c r="AI129" i="3" s="1"/>
  <c r="AG129" i="3" a="1"/>
  <c r="AG129" i="3" s="1"/>
  <c r="AI128" i="3" a="1"/>
  <c r="AI128" i="3" s="1"/>
  <c r="AG128" i="3" a="1"/>
  <c r="AG128" i="3" s="1"/>
  <c r="AI127" i="3" a="1"/>
  <c r="AI127" i="3" s="1"/>
  <c r="AG127" i="3" a="1"/>
  <c r="AG127" i="3" s="1"/>
  <c r="AI126" i="3" a="1"/>
  <c r="AI126" i="3" s="1"/>
  <c r="AG126" i="3" a="1"/>
  <c r="AG126" i="3" s="1"/>
  <c r="AI120" i="3" a="1"/>
  <c r="AI120" i="3" s="1"/>
  <c r="AG120" i="3" a="1"/>
  <c r="AG120" i="3" s="1"/>
  <c r="AI119" i="3" a="1"/>
  <c r="AI119" i="3" s="1"/>
  <c r="AG119" i="3" a="1"/>
  <c r="AG119" i="3" s="1"/>
  <c r="AI118" i="3" a="1"/>
  <c r="AI118" i="3" s="1"/>
  <c r="AG118" i="3" a="1"/>
  <c r="AG118" i="3" s="1"/>
  <c r="AI117" i="3" a="1"/>
  <c r="AI117" i="3" s="1"/>
  <c r="AG117" i="3" a="1"/>
  <c r="AG117" i="3" s="1"/>
  <c r="AI116" i="3" a="1"/>
  <c r="AI116" i="3" s="1"/>
  <c r="AG116" i="3" a="1"/>
  <c r="AG116" i="3" s="1"/>
  <c r="AI115" i="3" a="1"/>
  <c r="AI115" i="3" s="1"/>
  <c r="AG115" i="3" a="1"/>
  <c r="AG115" i="3" s="1"/>
  <c r="AI114" i="3" a="1"/>
  <c r="AI114" i="3" s="1"/>
  <c r="AG114" i="3" a="1"/>
  <c r="AG114" i="3" s="1"/>
  <c r="AI113" i="3" a="1"/>
  <c r="AI113" i="3" s="1"/>
  <c r="AG113" i="3" a="1"/>
  <c r="AG113" i="3" s="1"/>
  <c r="AI112" i="3" a="1"/>
  <c r="AI112" i="3" s="1"/>
  <c r="AG112" i="3" a="1"/>
  <c r="AG112" i="3" s="1"/>
  <c r="AI111" i="3" a="1"/>
  <c r="AI111" i="3" s="1"/>
  <c r="AG111" i="3" a="1"/>
  <c r="AG111" i="3" s="1"/>
  <c r="AI110" i="3" a="1"/>
  <c r="AI110" i="3" s="1"/>
  <c r="AG110" i="3" a="1"/>
  <c r="AG110" i="3" s="1"/>
  <c r="AI109" i="3" a="1"/>
  <c r="AI109" i="3" s="1"/>
  <c r="AG109" i="3" a="1"/>
  <c r="AG109" i="3" s="1"/>
  <c r="AI108" i="3" a="1"/>
  <c r="AI108" i="3" s="1"/>
  <c r="AG108" i="3" a="1"/>
  <c r="AG108" i="3" s="1"/>
  <c r="AI107" i="3" a="1"/>
  <c r="AI107" i="3" s="1"/>
  <c r="AG107" i="3" a="1"/>
  <c r="AG107" i="3" s="1"/>
  <c r="AI106" i="3" a="1"/>
  <c r="AI106" i="3" s="1"/>
  <c r="AG106" i="3" a="1"/>
  <c r="AG106" i="3" s="1"/>
  <c r="AI105" i="3" a="1"/>
  <c r="AI105" i="3" s="1"/>
  <c r="AG105" i="3" a="1"/>
  <c r="AG105" i="3" s="1"/>
  <c r="AI104" i="3" a="1"/>
  <c r="AI104" i="3" s="1"/>
  <c r="AG104" i="3" a="1"/>
  <c r="AG104" i="3" s="1"/>
  <c r="AI103" i="3" a="1"/>
  <c r="AI103" i="3" s="1"/>
  <c r="AG103" i="3" a="1"/>
  <c r="AG103" i="3" s="1"/>
  <c r="AI102" i="3" a="1"/>
  <c r="AI102" i="3" s="1"/>
  <c r="AG102" i="3" a="1"/>
  <c r="AG102" i="3" s="1"/>
  <c r="AI101" i="3" a="1"/>
  <c r="AI101" i="3" s="1"/>
  <c r="AG101" i="3" a="1"/>
  <c r="AG101" i="3" s="1"/>
  <c r="AI100" i="3" a="1"/>
  <c r="AI100" i="3" s="1"/>
  <c r="AG100" i="3" a="1"/>
  <c r="AG100" i="3" s="1"/>
  <c r="AI99" i="3" a="1"/>
  <c r="AI99" i="3" s="1"/>
  <c r="AG99" i="3" a="1"/>
  <c r="AG99" i="3" s="1"/>
  <c r="AI98" i="3" a="1"/>
  <c r="AI98" i="3" s="1"/>
  <c r="AG98" i="3" a="1"/>
  <c r="AG98" i="3" s="1"/>
  <c r="AI97" i="3" a="1"/>
  <c r="AI97" i="3" s="1"/>
  <c r="AG97" i="3" a="1"/>
  <c r="AG97" i="3" s="1"/>
  <c r="AI96" i="3" a="1"/>
  <c r="AI96" i="3" s="1"/>
  <c r="AG96" i="3" a="1"/>
  <c r="AG96" i="3" s="1"/>
  <c r="AI95" i="3" a="1"/>
  <c r="AI95" i="3" s="1"/>
  <c r="AG95" i="3" a="1"/>
  <c r="AG95" i="3" s="1"/>
  <c r="AI94" i="3" a="1"/>
  <c r="AI94" i="3" s="1"/>
  <c r="AG94" i="3" a="1"/>
  <c r="AG94" i="3" s="1"/>
  <c r="AI93" i="3" a="1"/>
  <c r="AI93" i="3" s="1"/>
  <c r="AG93" i="3" a="1"/>
  <c r="AG93" i="3" s="1"/>
  <c r="AI92" i="3" a="1"/>
  <c r="AI92" i="3" s="1"/>
  <c r="AG92" i="3" a="1"/>
  <c r="AG92" i="3" s="1"/>
  <c r="AI91" i="3" a="1"/>
  <c r="AI91" i="3" s="1"/>
  <c r="AG91" i="3" a="1"/>
  <c r="AG91" i="3" s="1"/>
  <c r="AI90" i="3" a="1"/>
  <c r="AI90" i="3" s="1"/>
  <c r="AG90" i="3" a="1"/>
  <c r="AG90" i="3" s="1"/>
  <c r="AI89" i="3" a="1"/>
  <c r="AI89" i="3" s="1"/>
  <c r="AG89" i="3" a="1"/>
  <c r="AG89" i="3" s="1"/>
  <c r="AI88" i="3" a="1"/>
  <c r="AI88" i="3" s="1"/>
  <c r="AG88" i="3" a="1"/>
  <c r="AG88" i="3" s="1"/>
  <c r="AI87" i="3" a="1"/>
  <c r="AI87" i="3" s="1"/>
  <c r="AG87" i="3" a="1"/>
  <c r="AG87" i="3" s="1"/>
  <c r="AI81" i="3" a="1"/>
  <c r="AI81" i="3" s="1"/>
  <c r="AG81" i="3" a="1"/>
  <c r="AG81" i="3" s="1"/>
  <c r="AI80" i="3" a="1"/>
  <c r="AI80" i="3" s="1"/>
  <c r="AG80" i="3" a="1"/>
  <c r="AG80" i="3" s="1"/>
  <c r="AI79" i="3" a="1"/>
  <c r="AI79" i="3" s="1"/>
  <c r="AG79" i="3" a="1"/>
  <c r="AG79" i="3" s="1"/>
  <c r="AI78" i="3" a="1"/>
  <c r="AI78" i="3" s="1"/>
  <c r="AG78" i="3" a="1"/>
  <c r="AG78" i="3" s="1"/>
  <c r="AI77" i="3" a="1"/>
  <c r="AI77" i="3" s="1"/>
  <c r="AG77" i="3" a="1"/>
  <c r="AG77" i="3" s="1"/>
  <c r="AI76" i="3" a="1"/>
  <c r="AI76" i="3" s="1"/>
  <c r="AG76" i="3" a="1"/>
  <c r="AG76" i="3" s="1"/>
  <c r="AI75" i="3" a="1"/>
  <c r="AI75" i="3" s="1"/>
  <c r="AG75" i="3" a="1"/>
  <c r="AG75" i="3" s="1"/>
  <c r="AI74" i="3" a="1"/>
  <c r="AI74" i="3" s="1"/>
  <c r="AG74" i="3" a="1"/>
  <c r="AG74" i="3" s="1"/>
  <c r="AI73" i="3" a="1"/>
  <c r="AI73" i="3" s="1"/>
  <c r="AG73" i="3" a="1"/>
  <c r="AG73" i="3" s="1"/>
  <c r="AI72" i="3" a="1"/>
  <c r="AI72" i="3" s="1"/>
  <c r="AG72" i="3" a="1"/>
  <c r="AG72" i="3" s="1"/>
  <c r="AI71" i="3" a="1"/>
  <c r="AI71" i="3" s="1"/>
  <c r="AG71" i="3" a="1"/>
  <c r="AG71" i="3" s="1"/>
  <c r="AI70" i="3" a="1"/>
  <c r="AI70" i="3" s="1"/>
  <c r="AG70" i="3" a="1"/>
  <c r="AG70" i="3" s="1"/>
  <c r="AI69" i="3" a="1"/>
  <c r="AI69" i="3" s="1"/>
  <c r="AG69" i="3" a="1"/>
  <c r="AG69" i="3" s="1"/>
  <c r="AI68" i="3" a="1"/>
  <c r="AI68" i="3" s="1"/>
  <c r="AG68" i="3" a="1"/>
  <c r="AG68" i="3" s="1"/>
  <c r="AI67" i="3" a="1"/>
  <c r="AI67" i="3" s="1"/>
  <c r="AG67" i="3" a="1"/>
  <c r="AG67" i="3" s="1"/>
  <c r="AI66" i="3" a="1"/>
  <c r="AI66" i="3" s="1"/>
  <c r="AG66" i="3" a="1"/>
  <c r="AG66" i="3" s="1"/>
  <c r="AI65" i="3" a="1"/>
  <c r="AI65" i="3" s="1"/>
  <c r="AG65" i="3" a="1"/>
  <c r="AG65" i="3" s="1"/>
  <c r="AI64" i="3" a="1"/>
  <c r="AI64" i="3" s="1"/>
  <c r="AG64" i="3" a="1"/>
  <c r="AG64" i="3" s="1"/>
  <c r="AI63" i="3" a="1"/>
  <c r="AI63" i="3" s="1"/>
  <c r="AG63" i="3" a="1"/>
  <c r="AG63" i="3" s="1"/>
  <c r="AI62" i="3" a="1"/>
  <c r="AI62" i="3" s="1"/>
  <c r="AG62" i="3" a="1"/>
  <c r="AG62" i="3" s="1"/>
  <c r="AI61" i="3" a="1"/>
  <c r="AI61" i="3" s="1"/>
  <c r="AG61" i="3" a="1"/>
  <c r="AG61" i="3" s="1"/>
  <c r="AI60" i="3" a="1"/>
  <c r="AI60" i="3" s="1"/>
  <c r="AG60" i="3" a="1"/>
  <c r="AG60" i="3" s="1"/>
  <c r="AI59" i="3" a="1"/>
  <c r="AI59" i="3" s="1"/>
  <c r="AG59" i="3" a="1"/>
  <c r="AG59" i="3" s="1"/>
  <c r="AI58" i="3" a="1"/>
  <c r="AI58" i="3" s="1"/>
  <c r="AG58" i="3" a="1"/>
  <c r="AG58" i="3" s="1"/>
  <c r="AI57" i="3" a="1"/>
  <c r="AI57" i="3" s="1"/>
  <c r="AG57" i="3" a="1"/>
  <c r="AG57" i="3" s="1"/>
  <c r="AI56" i="3" a="1"/>
  <c r="AI56" i="3" s="1"/>
  <c r="AG56" i="3" a="1"/>
  <c r="AG56" i="3" s="1"/>
  <c r="AI55" i="3" a="1"/>
  <c r="AI55" i="3" s="1"/>
  <c r="AG55" i="3" a="1"/>
  <c r="AG55" i="3" s="1"/>
  <c r="AI54" i="3" a="1"/>
  <c r="AI54" i="3" s="1"/>
  <c r="AG54" i="3" a="1"/>
  <c r="AG54" i="3" s="1"/>
  <c r="AI53" i="3" a="1"/>
  <c r="AI53" i="3" s="1"/>
  <c r="AG53" i="3" a="1"/>
  <c r="AG53" i="3" s="1"/>
  <c r="AI52" i="3" a="1"/>
  <c r="AI52" i="3" s="1"/>
  <c r="AG52" i="3" a="1"/>
  <c r="AG52" i="3" s="1"/>
  <c r="AI51" i="3" a="1"/>
  <c r="AI51" i="3" s="1"/>
  <c r="AG51" i="3" a="1"/>
  <c r="AG51" i="3" s="1"/>
  <c r="AI50" i="3" a="1"/>
  <c r="AI50" i="3" s="1"/>
  <c r="AG50" i="3" a="1"/>
  <c r="AG50" i="3" s="1"/>
  <c r="AI49" i="3" a="1"/>
  <c r="AI49" i="3" s="1"/>
  <c r="AG49" i="3" a="1"/>
  <c r="AG49" i="3" s="1"/>
  <c r="AI48" i="3" a="1"/>
  <c r="AI48" i="3" s="1"/>
  <c r="AG48" i="3" a="1"/>
  <c r="AG48" i="3" s="1"/>
  <c r="AI42" i="3" a="1"/>
  <c r="AI42" i="3" s="1"/>
  <c r="AG42" i="3" a="1"/>
  <c r="AG42" i="3" s="1"/>
  <c r="AI41" i="3" a="1"/>
  <c r="AI41" i="3" s="1"/>
  <c r="AG41" i="3" a="1"/>
  <c r="AG41" i="3" s="1"/>
  <c r="AI40" i="3" a="1"/>
  <c r="AI40" i="3" s="1"/>
  <c r="AG40" i="3" a="1"/>
  <c r="AG40" i="3" s="1"/>
  <c r="AI39" i="3" a="1"/>
  <c r="AI39" i="3" s="1"/>
  <c r="AG39" i="3" a="1"/>
  <c r="AG39" i="3" s="1"/>
  <c r="AI38" i="3" a="1"/>
  <c r="AI38" i="3" s="1"/>
  <c r="AG38" i="3" a="1"/>
  <c r="AG38" i="3" s="1"/>
  <c r="AI37" i="3" a="1"/>
  <c r="AI37" i="3" s="1"/>
  <c r="AG37" i="3" a="1"/>
  <c r="AG37" i="3" s="1"/>
  <c r="AI36" i="3" a="1"/>
  <c r="AI36" i="3" s="1"/>
  <c r="AG36" i="3" a="1"/>
  <c r="AG36" i="3" s="1"/>
  <c r="AI35" i="3" a="1"/>
  <c r="AI35" i="3" s="1"/>
  <c r="AG35" i="3" a="1"/>
  <c r="AG35" i="3" s="1"/>
  <c r="AI34" i="3" a="1"/>
  <c r="AI34" i="3" s="1"/>
  <c r="AG34" i="3" a="1"/>
  <c r="AG34" i="3" s="1"/>
  <c r="AI33" i="3" a="1"/>
  <c r="AI33" i="3" s="1"/>
  <c r="AG33" i="3" a="1"/>
  <c r="AG33" i="3" s="1"/>
  <c r="AI32" i="3" a="1"/>
  <c r="AI32" i="3" s="1"/>
  <c r="AG32" i="3" a="1"/>
  <c r="AG32" i="3" s="1"/>
  <c r="AI31" i="3" a="1"/>
  <c r="AI31" i="3" s="1"/>
  <c r="AG31" i="3" a="1"/>
  <c r="AG31" i="3" s="1"/>
  <c r="AI30" i="3" a="1"/>
  <c r="AI30" i="3" s="1"/>
  <c r="AG30" i="3" a="1"/>
  <c r="AG30" i="3" s="1"/>
  <c r="AI29" i="3" a="1"/>
  <c r="AI29" i="3" s="1"/>
  <c r="AG29" i="3" a="1"/>
  <c r="AG29" i="3" s="1"/>
  <c r="AI28" i="3" a="1"/>
  <c r="AI28" i="3" s="1"/>
  <c r="AG28" i="3" a="1"/>
  <c r="AG28" i="3" s="1"/>
  <c r="AI27" i="3" a="1"/>
  <c r="AI27" i="3" s="1"/>
  <c r="AG27" i="3" a="1"/>
  <c r="AG27" i="3" s="1"/>
  <c r="AI26" i="3" a="1"/>
  <c r="AI26" i="3" s="1"/>
  <c r="AG26" i="3" a="1"/>
  <c r="AG26" i="3" s="1"/>
  <c r="AI25" i="3" a="1"/>
  <c r="AI25" i="3" s="1"/>
  <c r="AG25" i="3" a="1"/>
  <c r="AG25" i="3" s="1"/>
  <c r="AI24" i="3" a="1"/>
  <c r="AI24" i="3" s="1"/>
  <c r="AG24" i="3" a="1"/>
  <c r="AG24" i="3" s="1"/>
  <c r="AI23" i="3" a="1"/>
  <c r="AI23" i="3" s="1"/>
  <c r="AG23" i="3" a="1"/>
  <c r="AG23" i="3" s="1"/>
  <c r="AI22" i="3" a="1"/>
  <c r="AI22" i="3" s="1"/>
  <c r="AG22" i="3" a="1"/>
  <c r="AG22" i="3" s="1"/>
  <c r="AI21" i="3" a="1"/>
  <c r="AI21" i="3" s="1"/>
  <c r="AG21" i="3" a="1"/>
  <c r="AG21" i="3" s="1"/>
  <c r="AI20" i="3" a="1"/>
  <c r="AI20" i="3" s="1"/>
  <c r="AG20" i="3" a="1"/>
  <c r="AG20" i="3" s="1"/>
  <c r="AI19" i="3" a="1"/>
  <c r="AI19" i="3" s="1"/>
  <c r="AG19" i="3" a="1"/>
  <c r="AG19" i="3" s="1"/>
  <c r="AI18" i="3" a="1"/>
  <c r="AI18" i="3" s="1"/>
  <c r="AG18" i="3" a="1"/>
  <c r="AG18" i="3" s="1"/>
  <c r="AI17" i="3" a="1"/>
  <c r="AI17" i="3" s="1"/>
  <c r="AG17" i="3" a="1"/>
  <c r="AG17" i="3" s="1"/>
  <c r="AI16" i="3" a="1"/>
  <c r="AI16" i="3" s="1"/>
  <c r="AG16" i="3" a="1"/>
  <c r="AG16" i="3" s="1"/>
  <c r="AI15" i="3" a="1"/>
  <c r="AI15" i="3" s="1"/>
  <c r="AG15" i="3" a="1"/>
  <c r="AG15" i="3" s="1"/>
  <c r="AI14" i="3" a="1"/>
  <c r="AI14" i="3" s="1"/>
  <c r="AG14" i="3" a="1"/>
  <c r="AG14" i="3" s="1"/>
  <c r="AI13" i="3" a="1"/>
  <c r="AI13" i="3" s="1"/>
  <c r="AG13" i="3" a="1"/>
  <c r="AG13" i="3" s="1"/>
  <c r="AI12" i="3" a="1"/>
  <c r="AI12" i="3" s="1"/>
  <c r="AG12" i="3" a="1"/>
  <c r="AG12" i="3" s="1"/>
  <c r="AI11" i="3" a="1"/>
  <c r="AI11" i="3" s="1"/>
  <c r="AG11" i="3" a="1"/>
  <c r="AG11" i="3" s="1"/>
  <c r="AI10" i="3" a="1"/>
  <c r="AI10" i="3" s="1"/>
  <c r="AG10" i="3" a="1"/>
  <c r="AG10" i="3" s="1"/>
  <c r="AI9" i="3" a="1"/>
  <c r="AI9" i="3" s="1"/>
  <c r="AG9" i="3" a="1"/>
  <c r="AG9" i="3" s="1"/>
  <c r="AA237" i="3" a="1"/>
  <c r="AA237" i="3" s="1"/>
  <c r="Y237" i="3" a="1"/>
  <c r="Y237" i="3" s="1"/>
  <c r="AA236" i="3" a="1"/>
  <c r="AA236" i="3" s="1"/>
  <c r="Y236" i="3" a="1"/>
  <c r="Y236" i="3" s="1"/>
  <c r="AA235" i="3" a="1"/>
  <c r="AA235" i="3" s="1"/>
  <c r="Y235" i="3" a="1"/>
  <c r="Y235" i="3" s="1"/>
  <c r="AA234" i="3" a="1"/>
  <c r="AA234" i="3" s="1"/>
  <c r="Y234" i="3" a="1"/>
  <c r="Y234" i="3" s="1"/>
  <c r="AA233" i="3" a="1"/>
  <c r="AA233" i="3" s="1"/>
  <c r="Y233" i="3" a="1"/>
  <c r="Y233" i="3" s="1"/>
  <c r="AA232" i="3" a="1"/>
  <c r="AA232" i="3" s="1"/>
  <c r="Y232" i="3" a="1"/>
  <c r="Y232" i="3" s="1"/>
  <c r="AA231" i="3" a="1"/>
  <c r="AA231" i="3" s="1"/>
  <c r="Y231" i="3" a="1"/>
  <c r="Y231" i="3" s="1"/>
  <c r="AA230" i="3" a="1"/>
  <c r="AA230" i="3" s="1"/>
  <c r="Y230" i="3" a="1"/>
  <c r="Y230" i="3" s="1"/>
  <c r="AA229" i="3" a="1"/>
  <c r="AA229" i="3" s="1"/>
  <c r="Y229" i="3" a="1"/>
  <c r="Y229" i="3" s="1"/>
  <c r="AA228" i="3" a="1"/>
  <c r="AA228" i="3" s="1"/>
  <c r="Y228" i="3" a="1"/>
  <c r="Y228" i="3" s="1"/>
  <c r="AA227" i="3" a="1"/>
  <c r="AA227" i="3" s="1"/>
  <c r="Y227" i="3" a="1"/>
  <c r="Y227" i="3" s="1"/>
  <c r="AA226" i="3" a="1"/>
  <c r="AA226" i="3" s="1"/>
  <c r="Y226" i="3" a="1"/>
  <c r="Y226" i="3" s="1"/>
  <c r="AA225" i="3" a="1"/>
  <c r="AA225" i="3" s="1"/>
  <c r="Y225" i="3" a="1"/>
  <c r="Y225" i="3" s="1"/>
  <c r="AA224" i="3" a="1"/>
  <c r="AA224" i="3" s="1"/>
  <c r="Y224" i="3" a="1"/>
  <c r="Y224" i="3" s="1"/>
  <c r="AA223" i="3" a="1"/>
  <c r="AA223" i="3" s="1"/>
  <c r="Y223" i="3" a="1"/>
  <c r="Y223" i="3" s="1"/>
  <c r="AA222" i="3" a="1"/>
  <c r="AA222" i="3" s="1"/>
  <c r="Y222" i="3" a="1"/>
  <c r="Y222" i="3" s="1"/>
  <c r="AA221" i="3" a="1"/>
  <c r="AA221" i="3" s="1"/>
  <c r="Y221" i="3" a="1"/>
  <c r="Y221" i="3" s="1"/>
  <c r="AA220" i="3" a="1"/>
  <c r="AA220" i="3" s="1"/>
  <c r="Y220" i="3" a="1"/>
  <c r="Y220" i="3" s="1"/>
  <c r="AA219" i="3" a="1"/>
  <c r="AA219" i="3" s="1"/>
  <c r="Y219" i="3" a="1"/>
  <c r="Y219" i="3" s="1"/>
  <c r="AA218" i="3" a="1"/>
  <c r="AA218" i="3" s="1"/>
  <c r="Y218" i="3" a="1"/>
  <c r="Y218" i="3" s="1"/>
  <c r="AA217" i="3" a="1"/>
  <c r="AA217" i="3" s="1"/>
  <c r="Y217" i="3" a="1"/>
  <c r="Y217" i="3" s="1"/>
  <c r="AA216" i="3" a="1"/>
  <c r="AA216" i="3" s="1"/>
  <c r="Y216" i="3" a="1"/>
  <c r="Y216" i="3" s="1"/>
  <c r="AA215" i="3" a="1"/>
  <c r="AA215" i="3" s="1"/>
  <c r="Y215" i="3" a="1"/>
  <c r="Y215" i="3" s="1"/>
  <c r="AA214" i="3" a="1"/>
  <c r="AA214" i="3" s="1"/>
  <c r="Y214" i="3" a="1"/>
  <c r="Y214" i="3" s="1"/>
  <c r="AA213" i="3" a="1"/>
  <c r="AA213" i="3" s="1"/>
  <c r="Y213" i="3" a="1"/>
  <c r="Y213" i="3" s="1"/>
  <c r="AA212" i="3" a="1"/>
  <c r="AA212" i="3" s="1"/>
  <c r="Y212" i="3" a="1"/>
  <c r="Y212" i="3" s="1"/>
  <c r="AA211" i="3" a="1"/>
  <c r="AA211" i="3" s="1"/>
  <c r="Y211" i="3" a="1"/>
  <c r="Y211" i="3" s="1"/>
  <c r="AA210" i="3" a="1"/>
  <c r="AA210" i="3" s="1"/>
  <c r="Y210" i="3" a="1"/>
  <c r="Y210" i="3" s="1"/>
  <c r="AA209" i="3" a="1"/>
  <c r="AA209" i="3" s="1"/>
  <c r="Y209" i="3" a="1"/>
  <c r="Y209" i="3" s="1"/>
  <c r="AA208" i="3" a="1"/>
  <c r="AA208" i="3" s="1"/>
  <c r="Y208" i="3" a="1"/>
  <c r="Y208" i="3" s="1"/>
  <c r="AA207" i="3" a="1"/>
  <c r="AA207" i="3" s="1"/>
  <c r="Y207" i="3" a="1"/>
  <c r="Y207" i="3" s="1"/>
  <c r="AA206" i="3" a="1"/>
  <c r="AA206" i="3" s="1"/>
  <c r="Y206" i="3" a="1"/>
  <c r="Y206" i="3" s="1"/>
  <c r="AA205" i="3" a="1"/>
  <c r="AA205" i="3" s="1"/>
  <c r="Y205" i="3" a="1"/>
  <c r="Y205" i="3" s="1"/>
  <c r="AA204" i="3" a="1"/>
  <c r="AA204" i="3" s="1"/>
  <c r="Y204" i="3" a="1"/>
  <c r="Y204" i="3" s="1"/>
  <c r="AA198" i="3" a="1"/>
  <c r="AA198" i="3" s="1"/>
  <c r="Y198" i="3" a="1"/>
  <c r="Y198" i="3" s="1"/>
  <c r="AA197" i="3" a="1"/>
  <c r="AA197" i="3" s="1"/>
  <c r="Y197" i="3" a="1"/>
  <c r="Y197" i="3" s="1"/>
  <c r="AA196" i="3" a="1"/>
  <c r="AA196" i="3" s="1"/>
  <c r="Y196" i="3" a="1"/>
  <c r="Y196" i="3" s="1"/>
  <c r="AA195" i="3" a="1"/>
  <c r="AA195" i="3" s="1"/>
  <c r="Y195" i="3" a="1"/>
  <c r="Y195" i="3" s="1"/>
  <c r="AA194" i="3" a="1"/>
  <c r="AA194" i="3" s="1"/>
  <c r="Y194" i="3" a="1"/>
  <c r="Y194" i="3" s="1"/>
  <c r="AA193" i="3" a="1"/>
  <c r="AA193" i="3" s="1"/>
  <c r="Y193" i="3" a="1"/>
  <c r="Y193" i="3" s="1"/>
  <c r="AA192" i="3" a="1"/>
  <c r="AA192" i="3" s="1"/>
  <c r="Y192" i="3" a="1"/>
  <c r="Y192" i="3" s="1"/>
  <c r="AA191" i="3" a="1"/>
  <c r="AA191" i="3" s="1"/>
  <c r="Y191" i="3" a="1"/>
  <c r="Y191" i="3" s="1"/>
  <c r="AA190" i="3" a="1"/>
  <c r="AA190" i="3" s="1"/>
  <c r="Y190" i="3" a="1"/>
  <c r="Y190" i="3" s="1"/>
  <c r="AA189" i="3" a="1"/>
  <c r="AA189" i="3" s="1"/>
  <c r="Y189" i="3" a="1"/>
  <c r="Y189" i="3" s="1"/>
  <c r="AA188" i="3" a="1"/>
  <c r="AA188" i="3" s="1"/>
  <c r="Y188" i="3" a="1"/>
  <c r="Y188" i="3" s="1"/>
  <c r="AA187" i="3" a="1"/>
  <c r="AA187" i="3" s="1"/>
  <c r="Y187" i="3" a="1"/>
  <c r="Y187" i="3" s="1"/>
  <c r="AA186" i="3" a="1"/>
  <c r="AA186" i="3" s="1"/>
  <c r="Y186" i="3" a="1"/>
  <c r="Y186" i="3" s="1"/>
  <c r="AA185" i="3" a="1"/>
  <c r="AA185" i="3" s="1"/>
  <c r="Y185" i="3" a="1"/>
  <c r="Y185" i="3" s="1"/>
  <c r="AA184" i="3" a="1"/>
  <c r="AA184" i="3" s="1"/>
  <c r="Y184" i="3" a="1"/>
  <c r="Y184" i="3" s="1"/>
  <c r="AA183" i="3" a="1"/>
  <c r="AA183" i="3" s="1"/>
  <c r="Y183" i="3" a="1"/>
  <c r="Y183" i="3" s="1"/>
  <c r="AA182" i="3" a="1"/>
  <c r="AA182" i="3" s="1"/>
  <c r="Y182" i="3" a="1"/>
  <c r="Y182" i="3" s="1"/>
  <c r="AA181" i="3" a="1"/>
  <c r="AA181" i="3" s="1"/>
  <c r="Y181" i="3" a="1"/>
  <c r="Y181" i="3" s="1"/>
  <c r="AA180" i="3" a="1"/>
  <c r="AA180" i="3" s="1"/>
  <c r="Y180" i="3" a="1"/>
  <c r="Y180" i="3" s="1"/>
  <c r="AA179" i="3" a="1"/>
  <c r="AA179" i="3" s="1"/>
  <c r="Y179" i="3" a="1"/>
  <c r="Y179" i="3" s="1"/>
  <c r="AA178" i="3" a="1"/>
  <c r="AA178" i="3" s="1"/>
  <c r="Y178" i="3" a="1"/>
  <c r="Y178" i="3" s="1"/>
  <c r="AA177" i="3" a="1"/>
  <c r="AA177" i="3" s="1"/>
  <c r="Y177" i="3" a="1"/>
  <c r="Y177" i="3" s="1"/>
  <c r="AA176" i="3" a="1"/>
  <c r="AA176" i="3" s="1"/>
  <c r="Y176" i="3" a="1"/>
  <c r="Y176" i="3" s="1"/>
  <c r="AA175" i="3" a="1"/>
  <c r="AA175" i="3" s="1"/>
  <c r="Y175" i="3" a="1"/>
  <c r="Y175" i="3" s="1"/>
  <c r="AA174" i="3" a="1"/>
  <c r="AA174" i="3" s="1"/>
  <c r="Y174" i="3" a="1"/>
  <c r="Y174" i="3" s="1"/>
  <c r="AA173" i="3" a="1"/>
  <c r="AA173" i="3" s="1"/>
  <c r="Y173" i="3" a="1"/>
  <c r="Y173" i="3" s="1"/>
  <c r="AA172" i="3" a="1"/>
  <c r="AA172" i="3" s="1"/>
  <c r="Y172" i="3" a="1"/>
  <c r="Y172" i="3" s="1"/>
  <c r="AA171" i="3" a="1"/>
  <c r="AA171" i="3" s="1"/>
  <c r="Y171" i="3" a="1"/>
  <c r="Y171" i="3" s="1"/>
  <c r="AA170" i="3" a="1"/>
  <c r="AA170" i="3" s="1"/>
  <c r="Y170" i="3" a="1"/>
  <c r="Y170" i="3" s="1"/>
  <c r="AA169" i="3" a="1"/>
  <c r="AA169" i="3" s="1"/>
  <c r="Y169" i="3" a="1"/>
  <c r="Y169" i="3" s="1"/>
  <c r="AA168" i="3" a="1"/>
  <c r="AA168" i="3" s="1"/>
  <c r="Y168" i="3" a="1"/>
  <c r="Y168" i="3" s="1"/>
  <c r="AA167" i="3" a="1"/>
  <c r="AA167" i="3" s="1"/>
  <c r="Y167" i="3" a="1"/>
  <c r="Y167" i="3" s="1"/>
  <c r="AA166" i="3" a="1"/>
  <c r="AA166" i="3" s="1"/>
  <c r="Y166" i="3" a="1"/>
  <c r="Y166" i="3" s="1"/>
  <c r="AA165" i="3" a="1"/>
  <c r="AA165" i="3" s="1"/>
  <c r="Y165" i="3" a="1"/>
  <c r="Y165" i="3" s="1"/>
  <c r="AA159" i="3" a="1"/>
  <c r="AA159" i="3" s="1"/>
  <c r="Y159" i="3" a="1"/>
  <c r="Y159" i="3" s="1"/>
  <c r="AA158" i="3" a="1"/>
  <c r="AA158" i="3" s="1"/>
  <c r="Y158" i="3" a="1"/>
  <c r="Y158" i="3" s="1"/>
  <c r="AA157" i="3" a="1"/>
  <c r="AA157" i="3" s="1"/>
  <c r="Y157" i="3" a="1"/>
  <c r="Y157" i="3" s="1"/>
  <c r="AA156" i="3" a="1"/>
  <c r="AA156" i="3" s="1"/>
  <c r="Y156" i="3" a="1"/>
  <c r="Y156" i="3" s="1"/>
  <c r="AA155" i="3" a="1"/>
  <c r="AA155" i="3" s="1"/>
  <c r="Y155" i="3" a="1"/>
  <c r="Y155" i="3" s="1"/>
  <c r="AA154" i="3" a="1"/>
  <c r="AA154" i="3" s="1"/>
  <c r="Y154" i="3" a="1"/>
  <c r="Y154" i="3" s="1"/>
  <c r="AA153" i="3" a="1"/>
  <c r="AA153" i="3" s="1"/>
  <c r="Y153" i="3" a="1"/>
  <c r="Y153" i="3" s="1"/>
  <c r="AA152" i="3" a="1"/>
  <c r="AA152" i="3" s="1"/>
  <c r="Y152" i="3" a="1"/>
  <c r="Y152" i="3" s="1"/>
  <c r="AA151" i="3" a="1"/>
  <c r="AA151" i="3" s="1"/>
  <c r="Y151" i="3" a="1"/>
  <c r="Y151" i="3" s="1"/>
  <c r="AA150" i="3" a="1"/>
  <c r="AA150" i="3" s="1"/>
  <c r="Y150" i="3" a="1"/>
  <c r="Y150" i="3" s="1"/>
  <c r="AA149" i="3" a="1"/>
  <c r="AA149" i="3" s="1"/>
  <c r="Y149" i="3" a="1"/>
  <c r="Y149" i="3" s="1"/>
  <c r="AA148" i="3" a="1"/>
  <c r="AA148" i="3" s="1"/>
  <c r="Y148" i="3" a="1"/>
  <c r="Y148" i="3" s="1"/>
  <c r="AA147" i="3" a="1"/>
  <c r="AA147" i="3" s="1"/>
  <c r="Y147" i="3" a="1"/>
  <c r="Y147" i="3" s="1"/>
  <c r="AA146" i="3" a="1"/>
  <c r="AA146" i="3" s="1"/>
  <c r="Y146" i="3" a="1"/>
  <c r="Y146" i="3" s="1"/>
  <c r="AA145" i="3" a="1"/>
  <c r="AA145" i="3" s="1"/>
  <c r="Y145" i="3" a="1"/>
  <c r="Y145" i="3" s="1"/>
  <c r="AA144" i="3" a="1"/>
  <c r="AA144" i="3" s="1"/>
  <c r="Y144" i="3" a="1"/>
  <c r="Y144" i="3" s="1"/>
  <c r="AA143" i="3" a="1"/>
  <c r="AA143" i="3" s="1"/>
  <c r="Y143" i="3" a="1"/>
  <c r="Y143" i="3" s="1"/>
  <c r="AA142" i="3" a="1"/>
  <c r="AA142" i="3" s="1"/>
  <c r="Y142" i="3" a="1"/>
  <c r="Y142" i="3" s="1"/>
  <c r="AA141" i="3" a="1"/>
  <c r="AA141" i="3" s="1"/>
  <c r="Y141" i="3" a="1"/>
  <c r="Y141" i="3" s="1"/>
  <c r="AA140" i="3" a="1"/>
  <c r="AA140" i="3" s="1"/>
  <c r="Y140" i="3" a="1"/>
  <c r="Y140" i="3" s="1"/>
  <c r="AA139" i="3" a="1"/>
  <c r="AA139" i="3" s="1"/>
  <c r="Y139" i="3" a="1"/>
  <c r="Y139" i="3" s="1"/>
  <c r="AA138" i="3" a="1"/>
  <c r="AA138" i="3" s="1"/>
  <c r="Y138" i="3" a="1"/>
  <c r="Y138" i="3" s="1"/>
  <c r="AA137" i="3" a="1"/>
  <c r="AA137" i="3" s="1"/>
  <c r="Y137" i="3" a="1"/>
  <c r="Y137" i="3" s="1"/>
  <c r="AA136" i="3" a="1"/>
  <c r="AA136" i="3" s="1"/>
  <c r="Y136" i="3" a="1"/>
  <c r="Y136" i="3" s="1"/>
  <c r="AA135" i="3" a="1"/>
  <c r="AA135" i="3" s="1"/>
  <c r="Y135" i="3" a="1"/>
  <c r="Y135" i="3" s="1"/>
  <c r="AA134" i="3" a="1"/>
  <c r="AA134" i="3" s="1"/>
  <c r="Y134" i="3" a="1"/>
  <c r="Y134" i="3" s="1"/>
  <c r="AA133" i="3" a="1"/>
  <c r="AA133" i="3" s="1"/>
  <c r="Y133" i="3" a="1"/>
  <c r="Y133" i="3" s="1"/>
  <c r="AA132" i="3" a="1"/>
  <c r="AA132" i="3" s="1"/>
  <c r="Y132" i="3" a="1"/>
  <c r="Y132" i="3" s="1"/>
  <c r="AA131" i="3" a="1"/>
  <c r="AA131" i="3" s="1"/>
  <c r="Y131" i="3" a="1"/>
  <c r="Y131" i="3" s="1"/>
  <c r="AA130" i="3" a="1"/>
  <c r="AA130" i="3" s="1"/>
  <c r="Y130" i="3" a="1"/>
  <c r="Y130" i="3" s="1"/>
  <c r="AA129" i="3" a="1"/>
  <c r="AA129" i="3" s="1"/>
  <c r="Y129" i="3" a="1"/>
  <c r="Y129" i="3" s="1"/>
  <c r="AA128" i="3" a="1"/>
  <c r="AA128" i="3" s="1"/>
  <c r="Y128" i="3" a="1"/>
  <c r="Y128" i="3" s="1"/>
  <c r="AA127" i="3" a="1"/>
  <c r="AA127" i="3" s="1"/>
  <c r="Y127" i="3" a="1"/>
  <c r="Y127" i="3" s="1"/>
  <c r="AA126" i="3" a="1"/>
  <c r="AA126" i="3" s="1"/>
  <c r="Y126" i="3" a="1"/>
  <c r="Y126" i="3" s="1"/>
  <c r="AA120" i="3" a="1"/>
  <c r="AA120" i="3" s="1"/>
  <c r="Y120" i="3" a="1"/>
  <c r="Y120" i="3" s="1"/>
  <c r="AA119" i="3" a="1"/>
  <c r="AA119" i="3" s="1"/>
  <c r="Y119" i="3" a="1"/>
  <c r="Y119" i="3" s="1"/>
  <c r="AA118" i="3" a="1"/>
  <c r="AA118" i="3" s="1"/>
  <c r="Y118" i="3" a="1"/>
  <c r="Y118" i="3" s="1"/>
  <c r="AA117" i="3" a="1"/>
  <c r="AA117" i="3" s="1"/>
  <c r="Y117" i="3" a="1"/>
  <c r="Y117" i="3" s="1"/>
  <c r="AA116" i="3" a="1"/>
  <c r="AA116" i="3" s="1"/>
  <c r="Y116" i="3" a="1"/>
  <c r="Y116" i="3" s="1"/>
  <c r="AA115" i="3" a="1"/>
  <c r="AA115" i="3" s="1"/>
  <c r="Y115" i="3" a="1"/>
  <c r="Y115" i="3" s="1"/>
  <c r="AA114" i="3" a="1"/>
  <c r="AA114" i="3" s="1"/>
  <c r="Y114" i="3" a="1"/>
  <c r="Y114" i="3" s="1"/>
  <c r="AA113" i="3" a="1"/>
  <c r="AA113" i="3" s="1"/>
  <c r="Y113" i="3" a="1"/>
  <c r="Y113" i="3" s="1"/>
  <c r="AA112" i="3" a="1"/>
  <c r="AA112" i="3" s="1"/>
  <c r="Y112" i="3" a="1"/>
  <c r="Y112" i="3" s="1"/>
  <c r="AA111" i="3" a="1"/>
  <c r="AA111" i="3" s="1"/>
  <c r="Y111" i="3" a="1"/>
  <c r="Y111" i="3" s="1"/>
  <c r="AA110" i="3" a="1"/>
  <c r="AA110" i="3" s="1"/>
  <c r="Y110" i="3" a="1"/>
  <c r="Y110" i="3" s="1"/>
  <c r="AA109" i="3" a="1"/>
  <c r="AA109" i="3" s="1"/>
  <c r="Y109" i="3" a="1"/>
  <c r="Y109" i="3" s="1"/>
  <c r="AA108" i="3" a="1"/>
  <c r="AA108" i="3" s="1"/>
  <c r="Y108" i="3" a="1"/>
  <c r="Y108" i="3" s="1"/>
  <c r="AA107" i="3" a="1"/>
  <c r="AA107" i="3" s="1"/>
  <c r="Y107" i="3" a="1"/>
  <c r="Y107" i="3" s="1"/>
  <c r="AA106" i="3" a="1"/>
  <c r="AA106" i="3" s="1"/>
  <c r="Y106" i="3" a="1"/>
  <c r="Y106" i="3" s="1"/>
  <c r="AA105" i="3" a="1"/>
  <c r="AA105" i="3" s="1"/>
  <c r="Y105" i="3" a="1"/>
  <c r="Y105" i="3" s="1"/>
  <c r="AA104" i="3" a="1"/>
  <c r="AA104" i="3" s="1"/>
  <c r="Y104" i="3" a="1"/>
  <c r="Y104" i="3" s="1"/>
  <c r="AA103" i="3" a="1"/>
  <c r="AA103" i="3" s="1"/>
  <c r="Y103" i="3" a="1"/>
  <c r="Y103" i="3" s="1"/>
  <c r="AA102" i="3" a="1"/>
  <c r="AA102" i="3" s="1"/>
  <c r="Y102" i="3" a="1"/>
  <c r="Y102" i="3" s="1"/>
  <c r="AA101" i="3" a="1"/>
  <c r="AA101" i="3" s="1"/>
  <c r="Y101" i="3" a="1"/>
  <c r="Y101" i="3" s="1"/>
  <c r="AA100" i="3" a="1"/>
  <c r="AA100" i="3" s="1"/>
  <c r="Y100" i="3" a="1"/>
  <c r="Y100" i="3" s="1"/>
  <c r="AA99" i="3" a="1"/>
  <c r="AA99" i="3" s="1"/>
  <c r="Y99" i="3" a="1"/>
  <c r="Y99" i="3" s="1"/>
  <c r="AA98" i="3" a="1"/>
  <c r="AA98" i="3" s="1"/>
  <c r="Y98" i="3" a="1"/>
  <c r="Y98" i="3" s="1"/>
  <c r="AA97" i="3" a="1"/>
  <c r="AA97" i="3" s="1"/>
  <c r="Y97" i="3" a="1"/>
  <c r="Y97" i="3" s="1"/>
  <c r="AA96" i="3" a="1"/>
  <c r="AA96" i="3" s="1"/>
  <c r="Y96" i="3" a="1"/>
  <c r="Y96" i="3" s="1"/>
  <c r="AA95" i="3" a="1"/>
  <c r="AA95" i="3" s="1"/>
  <c r="Y95" i="3" a="1"/>
  <c r="Y95" i="3" s="1"/>
  <c r="AA94" i="3" a="1"/>
  <c r="AA94" i="3" s="1"/>
  <c r="Y94" i="3" a="1"/>
  <c r="Y94" i="3" s="1"/>
  <c r="AA93" i="3" a="1"/>
  <c r="AA93" i="3" s="1"/>
  <c r="Y93" i="3" a="1"/>
  <c r="Y93" i="3" s="1"/>
  <c r="AA92" i="3" a="1"/>
  <c r="AA92" i="3" s="1"/>
  <c r="Y92" i="3" a="1"/>
  <c r="Y92" i="3" s="1"/>
  <c r="AA91" i="3" a="1"/>
  <c r="AA91" i="3" s="1"/>
  <c r="Y91" i="3" a="1"/>
  <c r="Y91" i="3" s="1"/>
  <c r="AA90" i="3" a="1"/>
  <c r="AA90" i="3" s="1"/>
  <c r="Y90" i="3" a="1"/>
  <c r="Y90" i="3" s="1"/>
  <c r="AA89" i="3" a="1"/>
  <c r="AA89" i="3" s="1"/>
  <c r="Y89" i="3" a="1"/>
  <c r="Y89" i="3" s="1"/>
  <c r="AA88" i="3" a="1"/>
  <c r="AA88" i="3" s="1"/>
  <c r="Y88" i="3" a="1"/>
  <c r="Y88" i="3" s="1"/>
  <c r="AA87" i="3" a="1"/>
  <c r="AA87" i="3" s="1"/>
  <c r="Y87" i="3" a="1"/>
  <c r="Y87" i="3" s="1"/>
  <c r="AA81" i="3" a="1"/>
  <c r="AA81" i="3" s="1"/>
  <c r="Y81" i="3" a="1"/>
  <c r="Y81" i="3" s="1"/>
  <c r="AA80" i="3" a="1"/>
  <c r="AA80" i="3" s="1"/>
  <c r="Y80" i="3" a="1"/>
  <c r="Y80" i="3" s="1"/>
  <c r="AA79" i="3" a="1"/>
  <c r="AA79" i="3" s="1"/>
  <c r="Y79" i="3" a="1"/>
  <c r="Y79" i="3" s="1"/>
  <c r="AA78" i="3" a="1"/>
  <c r="AA78" i="3" s="1"/>
  <c r="Y78" i="3" a="1"/>
  <c r="Y78" i="3" s="1"/>
  <c r="AA77" i="3" a="1"/>
  <c r="AA77" i="3" s="1"/>
  <c r="Y77" i="3" a="1"/>
  <c r="Y77" i="3" s="1"/>
  <c r="AA76" i="3" a="1"/>
  <c r="AA76" i="3" s="1"/>
  <c r="Y76" i="3" a="1"/>
  <c r="Y76" i="3" s="1"/>
  <c r="AA75" i="3" a="1"/>
  <c r="AA75" i="3" s="1"/>
  <c r="Y75" i="3" a="1"/>
  <c r="Y75" i="3" s="1"/>
  <c r="AA74" i="3" a="1"/>
  <c r="AA74" i="3" s="1"/>
  <c r="Y74" i="3" a="1"/>
  <c r="Y74" i="3" s="1"/>
  <c r="AA73" i="3" a="1"/>
  <c r="AA73" i="3" s="1"/>
  <c r="Y73" i="3" a="1"/>
  <c r="Y73" i="3" s="1"/>
  <c r="AA72" i="3" a="1"/>
  <c r="AA72" i="3" s="1"/>
  <c r="Y72" i="3" a="1"/>
  <c r="Y72" i="3" s="1"/>
  <c r="AA71" i="3" a="1"/>
  <c r="AA71" i="3" s="1"/>
  <c r="Y71" i="3" a="1"/>
  <c r="Y71" i="3" s="1"/>
  <c r="AA70" i="3" a="1"/>
  <c r="AA70" i="3" s="1"/>
  <c r="Y70" i="3" a="1"/>
  <c r="Y70" i="3" s="1"/>
  <c r="AA69" i="3" a="1"/>
  <c r="AA69" i="3" s="1"/>
  <c r="Y69" i="3" a="1"/>
  <c r="Y69" i="3" s="1"/>
  <c r="AA68" i="3" a="1"/>
  <c r="AA68" i="3" s="1"/>
  <c r="Y68" i="3" a="1"/>
  <c r="Y68" i="3" s="1"/>
  <c r="AA67" i="3" a="1"/>
  <c r="AA67" i="3" s="1"/>
  <c r="Y67" i="3" a="1"/>
  <c r="Y67" i="3" s="1"/>
  <c r="AA66" i="3" a="1"/>
  <c r="AA66" i="3" s="1"/>
  <c r="Y66" i="3" a="1"/>
  <c r="Y66" i="3" s="1"/>
  <c r="AA65" i="3" a="1"/>
  <c r="AA65" i="3" s="1"/>
  <c r="Y65" i="3" a="1"/>
  <c r="Y65" i="3" s="1"/>
  <c r="AA64" i="3" a="1"/>
  <c r="AA64" i="3" s="1"/>
  <c r="Y64" i="3" a="1"/>
  <c r="Y64" i="3" s="1"/>
  <c r="AA63" i="3" a="1"/>
  <c r="AA63" i="3" s="1"/>
  <c r="Y63" i="3" a="1"/>
  <c r="Y63" i="3" s="1"/>
  <c r="AA62" i="3" a="1"/>
  <c r="AA62" i="3" s="1"/>
  <c r="Y62" i="3" a="1"/>
  <c r="Y62" i="3" s="1"/>
  <c r="AA61" i="3" a="1"/>
  <c r="AA61" i="3" s="1"/>
  <c r="Y61" i="3" a="1"/>
  <c r="Y61" i="3" s="1"/>
  <c r="AA60" i="3" a="1"/>
  <c r="AA60" i="3" s="1"/>
  <c r="Y60" i="3" a="1"/>
  <c r="Y60" i="3" s="1"/>
  <c r="AA59" i="3" a="1"/>
  <c r="AA59" i="3" s="1"/>
  <c r="Y59" i="3" a="1"/>
  <c r="Y59" i="3" s="1"/>
  <c r="AA58" i="3" a="1"/>
  <c r="AA58" i="3" s="1"/>
  <c r="Y58" i="3" a="1"/>
  <c r="Y58" i="3" s="1"/>
  <c r="AA57" i="3" a="1"/>
  <c r="AA57" i="3" s="1"/>
  <c r="Y57" i="3" a="1"/>
  <c r="Y57" i="3" s="1"/>
  <c r="AA56" i="3" a="1"/>
  <c r="AA56" i="3" s="1"/>
  <c r="Y56" i="3" a="1"/>
  <c r="Y56" i="3" s="1"/>
  <c r="AA55" i="3" a="1"/>
  <c r="AA55" i="3" s="1"/>
  <c r="Y55" i="3" a="1"/>
  <c r="Y55" i="3" s="1"/>
  <c r="AA54" i="3" a="1"/>
  <c r="AA54" i="3" s="1"/>
  <c r="Y54" i="3" a="1"/>
  <c r="Y54" i="3" s="1"/>
  <c r="AA53" i="3" a="1"/>
  <c r="AA53" i="3" s="1"/>
  <c r="Y53" i="3" a="1"/>
  <c r="Y53" i="3" s="1"/>
  <c r="AA52" i="3" a="1"/>
  <c r="AA52" i="3" s="1"/>
  <c r="Y52" i="3" a="1"/>
  <c r="Y52" i="3" s="1"/>
  <c r="AA51" i="3" a="1"/>
  <c r="AA51" i="3" s="1"/>
  <c r="Y51" i="3" a="1"/>
  <c r="Y51" i="3" s="1"/>
  <c r="AA50" i="3" a="1"/>
  <c r="AA50" i="3" s="1"/>
  <c r="Y50" i="3" a="1"/>
  <c r="Y50" i="3" s="1"/>
  <c r="AA49" i="3" a="1"/>
  <c r="AA49" i="3" s="1"/>
  <c r="Y49" i="3" a="1"/>
  <c r="Y49" i="3" s="1"/>
  <c r="AA48" i="3" a="1"/>
  <c r="AA48" i="3" s="1"/>
  <c r="Y48" i="3" a="1"/>
  <c r="Y48" i="3" s="1"/>
  <c r="AA42" i="3" a="1"/>
  <c r="AA42" i="3" s="1"/>
  <c r="Y42" i="3" a="1"/>
  <c r="Y42" i="3" s="1"/>
  <c r="AA41" i="3" a="1"/>
  <c r="AA41" i="3" s="1"/>
  <c r="Y41" i="3" a="1"/>
  <c r="Y41" i="3" s="1"/>
  <c r="AA40" i="3" a="1"/>
  <c r="AA40" i="3" s="1"/>
  <c r="Y40" i="3" a="1"/>
  <c r="Y40" i="3" s="1"/>
  <c r="AA39" i="3" a="1"/>
  <c r="AA39" i="3" s="1"/>
  <c r="Y39" i="3" a="1"/>
  <c r="Y39" i="3" s="1"/>
  <c r="AA38" i="3" a="1"/>
  <c r="AA38" i="3" s="1"/>
  <c r="Y38" i="3" a="1"/>
  <c r="Y38" i="3" s="1"/>
  <c r="AA37" i="3" a="1"/>
  <c r="AA37" i="3" s="1"/>
  <c r="Y37" i="3" a="1"/>
  <c r="Y37" i="3" s="1"/>
  <c r="AA36" i="3" a="1"/>
  <c r="AA36" i="3" s="1"/>
  <c r="Y36" i="3" a="1"/>
  <c r="Y36" i="3" s="1"/>
  <c r="AA35" i="3" a="1"/>
  <c r="AA35" i="3" s="1"/>
  <c r="Y35" i="3" a="1"/>
  <c r="Y35" i="3" s="1"/>
  <c r="AA34" i="3" a="1"/>
  <c r="AA34" i="3" s="1"/>
  <c r="Y34" i="3" a="1"/>
  <c r="Y34" i="3" s="1"/>
  <c r="AA33" i="3" a="1"/>
  <c r="AA33" i="3" s="1"/>
  <c r="Y33" i="3" a="1"/>
  <c r="Y33" i="3" s="1"/>
  <c r="AA32" i="3" a="1"/>
  <c r="AA32" i="3" s="1"/>
  <c r="Y32" i="3" a="1"/>
  <c r="Y32" i="3" s="1"/>
  <c r="AA31" i="3" a="1"/>
  <c r="AA31" i="3" s="1"/>
  <c r="Y31" i="3" a="1"/>
  <c r="Y31" i="3" s="1"/>
  <c r="AA30" i="3" a="1"/>
  <c r="AA30" i="3" s="1"/>
  <c r="Y30" i="3" a="1"/>
  <c r="Y30" i="3" s="1"/>
  <c r="AA29" i="3" a="1"/>
  <c r="AA29" i="3" s="1"/>
  <c r="Y29" i="3" a="1"/>
  <c r="Y29" i="3" s="1"/>
  <c r="AA28" i="3" a="1"/>
  <c r="AA28" i="3" s="1"/>
  <c r="Y28" i="3" a="1"/>
  <c r="Y28" i="3" s="1"/>
  <c r="AA27" i="3" a="1"/>
  <c r="AA27" i="3" s="1"/>
  <c r="Y27" i="3" a="1"/>
  <c r="Y27" i="3" s="1"/>
  <c r="AA26" i="3" a="1"/>
  <c r="AA26" i="3" s="1"/>
  <c r="Y26" i="3" a="1"/>
  <c r="Y26" i="3" s="1"/>
  <c r="AA25" i="3" a="1"/>
  <c r="AA25" i="3" s="1"/>
  <c r="Y25" i="3" a="1"/>
  <c r="Y25" i="3" s="1"/>
  <c r="AA24" i="3" a="1"/>
  <c r="AA24" i="3" s="1"/>
  <c r="Y24" i="3" a="1"/>
  <c r="Y24" i="3" s="1"/>
  <c r="AA23" i="3" a="1"/>
  <c r="AA23" i="3" s="1"/>
  <c r="Y23" i="3" a="1"/>
  <c r="Y23" i="3" s="1"/>
  <c r="AA22" i="3" a="1"/>
  <c r="AA22" i="3" s="1"/>
  <c r="Y22" i="3" a="1"/>
  <c r="Y22" i="3" s="1"/>
  <c r="AA21" i="3" a="1"/>
  <c r="AA21" i="3" s="1"/>
  <c r="Y21" i="3" a="1"/>
  <c r="Y21" i="3" s="1"/>
  <c r="AA20" i="3" a="1"/>
  <c r="AA20" i="3" s="1"/>
  <c r="Y20" i="3" a="1"/>
  <c r="Y20" i="3" s="1"/>
  <c r="AA19" i="3" a="1"/>
  <c r="AA19" i="3" s="1"/>
  <c r="Y19" i="3" a="1"/>
  <c r="Y19" i="3" s="1"/>
  <c r="AA18" i="3" a="1"/>
  <c r="AA18" i="3" s="1"/>
  <c r="Y18" i="3" a="1"/>
  <c r="Y18" i="3" s="1"/>
  <c r="AA17" i="3" a="1"/>
  <c r="AA17" i="3" s="1"/>
  <c r="Y17" i="3" a="1"/>
  <c r="Y17" i="3" s="1"/>
  <c r="AA16" i="3" a="1"/>
  <c r="AA16" i="3" s="1"/>
  <c r="Y16" i="3" a="1"/>
  <c r="Y16" i="3" s="1"/>
  <c r="AA15" i="3" a="1"/>
  <c r="AA15" i="3" s="1"/>
  <c r="Y15" i="3" a="1"/>
  <c r="Y15" i="3" s="1"/>
  <c r="AA14" i="3" a="1"/>
  <c r="AA14" i="3" s="1"/>
  <c r="Y14" i="3" a="1"/>
  <c r="Y14" i="3" s="1"/>
  <c r="AA13" i="3" a="1"/>
  <c r="AA13" i="3" s="1"/>
  <c r="Y13" i="3" a="1"/>
  <c r="Y13" i="3" s="1"/>
  <c r="AA12" i="3" a="1"/>
  <c r="AA12" i="3" s="1"/>
  <c r="Y12" i="3" a="1"/>
  <c r="Y12" i="3" s="1"/>
  <c r="AA11" i="3" a="1"/>
  <c r="AA11" i="3" s="1"/>
  <c r="Y11" i="3" a="1"/>
  <c r="Y11" i="3" s="1"/>
  <c r="AA10" i="3" a="1"/>
  <c r="AA10" i="3" s="1"/>
  <c r="Y10" i="3" a="1"/>
  <c r="Y10" i="3" s="1"/>
  <c r="AA9" i="3" a="1"/>
  <c r="AA9" i="3" s="1"/>
  <c r="Y9" i="3" a="1"/>
  <c r="Y9" i="3" s="1"/>
  <c r="S237" i="3" a="1"/>
  <c r="S237" i="3" s="1"/>
  <c r="Q237" i="3" a="1"/>
  <c r="Q237" i="3" s="1"/>
  <c r="S236" i="3" a="1"/>
  <c r="S236" i="3" s="1"/>
  <c r="Q236" i="3" a="1"/>
  <c r="Q236" i="3" s="1"/>
  <c r="S235" i="3" a="1"/>
  <c r="S235" i="3" s="1"/>
  <c r="Q235" i="3" a="1"/>
  <c r="Q235" i="3" s="1"/>
  <c r="S234" i="3" a="1"/>
  <c r="S234" i="3" s="1"/>
  <c r="Q234" i="3" a="1"/>
  <c r="Q234" i="3" s="1"/>
  <c r="S233" i="3" a="1"/>
  <c r="S233" i="3" s="1"/>
  <c r="Q233" i="3" a="1"/>
  <c r="Q233" i="3" s="1"/>
  <c r="S232" i="3" a="1"/>
  <c r="S232" i="3" s="1"/>
  <c r="Q232" i="3" a="1"/>
  <c r="Q232" i="3" s="1"/>
  <c r="S231" i="3" a="1"/>
  <c r="S231" i="3" s="1"/>
  <c r="Q231" i="3" a="1"/>
  <c r="Q231" i="3" s="1"/>
  <c r="S230" i="3" a="1"/>
  <c r="S230" i="3" s="1"/>
  <c r="Q230" i="3" a="1"/>
  <c r="Q230" i="3" s="1"/>
  <c r="S229" i="3" a="1"/>
  <c r="S229" i="3" s="1"/>
  <c r="Q229" i="3" a="1"/>
  <c r="Q229" i="3" s="1"/>
  <c r="S228" i="3" a="1"/>
  <c r="S228" i="3" s="1"/>
  <c r="Q228" i="3" a="1"/>
  <c r="Q228" i="3" s="1"/>
  <c r="S227" i="3" a="1"/>
  <c r="S227" i="3" s="1"/>
  <c r="Q227" i="3" a="1"/>
  <c r="Q227" i="3" s="1"/>
  <c r="S226" i="3" a="1"/>
  <c r="S226" i="3" s="1"/>
  <c r="Q226" i="3" a="1"/>
  <c r="Q226" i="3" s="1"/>
  <c r="S225" i="3" a="1"/>
  <c r="S225" i="3" s="1"/>
  <c r="Q225" i="3" a="1"/>
  <c r="Q225" i="3" s="1"/>
  <c r="S224" i="3" a="1"/>
  <c r="S224" i="3" s="1"/>
  <c r="Q224" i="3" a="1"/>
  <c r="Q224" i="3" s="1"/>
  <c r="S223" i="3" a="1"/>
  <c r="S223" i="3" s="1"/>
  <c r="Q223" i="3" a="1"/>
  <c r="Q223" i="3" s="1"/>
  <c r="S222" i="3" a="1"/>
  <c r="S222" i="3" s="1"/>
  <c r="Q222" i="3" a="1"/>
  <c r="Q222" i="3" s="1"/>
  <c r="S221" i="3" a="1"/>
  <c r="S221" i="3" s="1"/>
  <c r="Q221" i="3" a="1"/>
  <c r="Q221" i="3" s="1"/>
  <c r="S220" i="3" a="1"/>
  <c r="S220" i="3" s="1"/>
  <c r="Q220" i="3" a="1"/>
  <c r="Q220" i="3" s="1"/>
  <c r="S219" i="3" a="1"/>
  <c r="S219" i="3" s="1"/>
  <c r="Q219" i="3" a="1"/>
  <c r="Q219" i="3" s="1"/>
  <c r="S218" i="3" a="1"/>
  <c r="S218" i="3" s="1"/>
  <c r="Q218" i="3" a="1"/>
  <c r="Q218" i="3" s="1"/>
  <c r="S217" i="3" a="1"/>
  <c r="S217" i="3" s="1"/>
  <c r="Q217" i="3" a="1"/>
  <c r="Q217" i="3" s="1"/>
  <c r="S216" i="3" a="1"/>
  <c r="S216" i="3" s="1"/>
  <c r="Q216" i="3" a="1"/>
  <c r="Q216" i="3" s="1"/>
  <c r="S215" i="3" a="1"/>
  <c r="S215" i="3" s="1"/>
  <c r="Q215" i="3" a="1"/>
  <c r="Q215" i="3" s="1"/>
  <c r="S214" i="3" a="1"/>
  <c r="S214" i="3" s="1"/>
  <c r="Q214" i="3" a="1"/>
  <c r="Q214" i="3" s="1"/>
  <c r="S213" i="3" a="1"/>
  <c r="S213" i="3" s="1"/>
  <c r="Q213" i="3" a="1"/>
  <c r="Q213" i="3" s="1"/>
  <c r="S212" i="3" a="1"/>
  <c r="S212" i="3" s="1"/>
  <c r="Q212" i="3" a="1"/>
  <c r="Q212" i="3" s="1"/>
  <c r="S211" i="3" a="1"/>
  <c r="S211" i="3" s="1"/>
  <c r="Q211" i="3" a="1"/>
  <c r="Q211" i="3" s="1"/>
  <c r="S210" i="3" a="1"/>
  <c r="S210" i="3" s="1"/>
  <c r="Q210" i="3" a="1"/>
  <c r="Q210" i="3" s="1"/>
  <c r="S209" i="3" a="1"/>
  <c r="S209" i="3" s="1"/>
  <c r="Q209" i="3" a="1"/>
  <c r="Q209" i="3" s="1"/>
  <c r="S208" i="3" a="1"/>
  <c r="S208" i="3" s="1"/>
  <c r="Q208" i="3" a="1"/>
  <c r="Q208" i="3" s="1"/>
  <c r="S207" i="3" a="1"/>
  <c r="S207" i="3" s="1"/>
  <c r="Q207" i="3" a="1"/>
  <c r="Q207" i="3" s="1"/>
  <c r="S206" i="3" a="1"/>
  <c r="S206" i="3" s="1"/>
  <c r="Q206" i="3" a="1"/>
  <c r="Q206" i="3" s="1"/>
  <c r="S205" i="3" a="1"/>
  <c r="S205" i="3" s="1"/>
  <c r="Q205" i="3" a="1"/>
  <c r="Q205" i="3" s="1"/>
  <c r="S204" i="3" a="1"/>
  <c r="S204" i="3" s="1"/>
  <c r="Q204" i="3" a="1"/>
  <c r="Q204" i="3" s="1"/>
  <c r="S198" i="3" a="1"/>
  <c r="S198" i="3" s="1"/>
  <c r="Q198" i="3" a="1"/>
  <c r="Q198" i="3" s="1"/>
  <c r="S197" i="3" a="1"/>
  <c r="S197" i="3" s="1"/>
  <c r="Q197" i="3" a="1"/>
  <c r="Q197" i="3" s="1"/>
  <c r="S196" i="3" a="1"/>
  <c r="S196" i="3" s="1"/>
  <c r="Q196" i="3" a="1"/>
  <c r="Q196" i="3" s="1"/>
  <c r="S195" i="3" a="1"/>
  <c r="S195" i="3" s="1"/>
  <c r="Q195" i="3" a="1"/>
  <c r="Q195" i="3" s="1"/>
  <c r="S194" i="3" a="1"/>
  <c r="S194" i="3" s="1"/>
  <c r="Q194" i="3" a="1"/>
  <c r="Q194" i="3" s="1"/>
  <c r="S193" i="3" a="1"/>
  <c r="S193" i="3" s="1"/>
  <c r="Q193" i="3" a="1"/>
  <c r="Q193" i="3" s="1"/>
  <c r="S192" i="3" a="1"/>
  <c r="S192" i="3" s="1"/>
  <c r="Q192" i="3" a="1"/>
  <c r="Q192" i="3" s="1"/>
  <c r="S191" i="3" a="1"/>
  <c r="S191" i="3" s="1"/>
  <c r="Q191" i="3" a="1"/>
  <c r="Q191" i="3" s="1"/>
  <c r="S190" i="3" a="1"/>
  <c r="S190" i="3" s="1"/>
  <c r="Q190" i="3" a="1"/>
  <c r="Q190" i="3" s="1"/>
  <c r="S189" i="3" a="1"/>
  <c r="S189" i="3" s="1"/>
  <c r="Q189" i="3" a="1"/>
  <c r="Q189" i="3" s="1"/>
  <c r="S188" i="3" a="1"/>
  <c r="S188" i="3" s="1"/>
  <c r="Q188" i="3" a="1"/>
  <c r="Q188" i="3" s="1"/>
  <c r="S187" i="3" a="1"/>
  <c r="S187" i="3" s="1"/>
  <c r="Q187" i="3" a="1"/>
  <c r="Q187" i="3" s="1"/>
  <c r="S186" i="3" a="1"/>
  <c r="S186" i="3" s="1"/>
  <c r="Q186" i="3" a="1"/>
  <c r="Q186" i="3" s="1"/>
  <c r="S185" i="3" a="1"/>
  <c r="S185" i="3" s="1"/>
  <c r="Q185" i="3" a="1"/>
  <c r="Q185" i="3" s="1"/>
  <c r="S184" i="3" a="1"/>
  <c r="S184" i="3" s="1"/>
  <c r="Q184" i="3" a="1"/>
  <c r="Q184" i="3" s="1"/>
  <c r="S183" i="3" a="1"/>
  <c r="S183" i="3" s="1"/>
  <c r="Q183" i="3" a="1"/>
  <c r="Q183" i="3" s="1"/>
  <c r="S182" i="3" a="1"/>
  <c r="S182" i="3" s="1"/>
  <c r="Q182" i="3" a="1"/>
  <c r="Q182" i="3" s="1"/>
  <c r="S181" i="3" a="1"/>
  <c r="S181" i="3" s="1"/>
  <c r="Q181" i="3" a="1"/>
  <c r="Q181" i="3" s="1"/>
  <c r="S180" i="3" a="1"/>
  <c r="S180" i="3" s="1"/>
  <c r="Q180" i="3" a="1"/>
  <c r="Q180" i="3" s="1"/>
  <c r="S179" i="3" a="1"/>
  <c r="S179" i="3" s="1"/>
  <c r="Q179" i="3" a="1"/>
  <c r="Q179" i="3" s="1"/>
  <c r="S178" i="3" a="1"/>
  <c r="S178" i="3" s="1"/>
  <c r="Q178" i="3" a="1"/>
  <c r="Q178" i="3" s="1"/>
  <c r="S177" i="3" a="1"/>
  <c r="S177" i="3" s="1"/>
  <c r="Q177" i="3" a="1"/>
  <c r="Q177" i="3" s="1"/>
  <c r="S176" i="3" a="1"/>
  <c r="S176" i="3" s="1"/>
  <c r="Q176" i="3" a="1"/>
  <c r="Q176" i="3" s="1"/>
  <c r="S175" i="3" a="1"/>
  <c r="S175" i="3" s="1"/>
  <c r="Q175" i="3" a="1"/>
  <c r="Q175" i="3" s="1"/>
  <c r="S174" i="3" a="1"/>
  <c r="S174" i="3" s="1"/>
  <c r="Q174" i="3" a="1"/>
  <c r="Q174" i="3" s="1"/>
  <c r="S173" i="3" a="1"/>
  <c r="S173" i="3" s="1"/>
  <c r="Q173" i="3" a="1"/>
  <c r="Q173" i="3" s="1"/>
  <c r="S172" i="3" a="1"/>
  <c r="S172" i="3" s="1"/>
  <c r="Q172" i="3" a="1"/>
  <c r="Q172" i="3" s="1"/>
  <c r="S171" i="3" a="1"/>
  <c r="S171" i="3" s="1"/>
  <c r="Q171" i="3" a="1"/>
  <c r="Q171" i="3" s="1"/>
  <c r="S170" i="3" a="1"/>
  <c r="S170" i="3" s="1"/>
  <c r="Q170" i="3" a="1"/>
  <c r="Q170" i="3" s="1"/>
  <c r="S169" i="3" a="1"/>
  <c r="S169" i="3" s="1"/>
  <c r="Q169" i="3" a="1"/>
  <c r="Q169" i="3" s="1"/>
  <c r="S168" i="3" a="1"/>
  <c r="S168" i="3" s="1"/>
  <c r="Q168" i="3" a="1"/>
  <c r="Q168" i="3" s="1"/>
  <c r="S167" i="3" a="1"/>
  <c r="S167" i="3" s="1"/>
  <c r="Q167" i="3" a="1"/>
  <c r="Q167" i="3" s="1"/>
  <c r="S166" i="3" a="1"/>
  <c r="S166" i="3" s="1"/>
  <c r="Q166" i="3" a="1"/>
  <c r="Q166" i="3" s="1"/>
  <c r="S165" i="3" a="1"/>
  <c r="S165" i="3" s="1"/>
  <c r="Q165" i="3" a="1"/>
  <c r="Q165" i="3" s="1"/>
  <c r="S159" i="3" a="1"/>
  <c r="S159" i="3" s="1"/>
  <c r="Q159" i="3" a="1"/>
  <c r="Q159" i="3" s="1"/>
  <c r="S158" i="3" a="1"/>
  <c r="S158" i="3" s="1"/>
  <c r="Q158" i="3" a="1"/>
  <c r="Q158" i="3" s="1"/>
  <c r="S157" i="3" a="1"/>
  <c r="S157" i="3" s="1"/>
  <c r="Q157" i="3" a="1"/>
  <c r="Q157" i="3" s="1"/>
  <c r="S156" i="3" a="1"/>
  <c r="S156" i="3" s="1"/>
  <c r="Q156" i="3" a="1"/>
  <c r="Q156" i="3" s="1"/>
  <c r="S155" i="3" a="1"/>
  <c r="S155" i="3" s="1"/>
  <c r="Q155" i="3" a="1"/>
  <c r="Q155" i="3" s="1"/>
  <c r="S154" i="3" a="1"/>
  <c r="S154" i="3" s="1"/>
  <c r="Q154" i="3" a="1"/>
  <c r="Q154" i="3" s="1"/>
  <c r="S153" i="3" a="1"/>
  <c r="S153" i="3" s="1"/>
  <c r="Q153" i="3" a="1"/>
  <c r="Q153" i="3" s="1"/>
  <c r="S152" i="3" a="1"/>
  <c r="S152" i="3" s="1"/>
  <c r="Q152" i="3" a="1"/>
  <c r="Q152" i="3" s="1"/>
  <c r="S151" i="3" a="1"/>
  <c r="S151" i="3" s="1"/>
  <c r="Q151" i="3" a="1"/>
  <c r="Q151" i="3" s="1"/>
  <c r="S150" i="3" a="1"/>
  <c r="S150" i="3" s="1"/>
  <c r="Q150" i="3" a="1"/>
  <c r="Q150" i="3" s="1"/>
  <c r="S149" i="3" a="1"/>
  <c r="S149" i="3" s="1"/>
  <c r="Q149" i="3" a="1"/>
  <c r="Q149" i="3" s="1"/>
  <c r="S148" i="3" a="1"/>
  <c r="S148" i="3" s="1"/>
  <c r="Q148" i="3" a="1"/>
  <c r="Q148" i="3" s="1"/>
  <c r="S147" i="3" a="1"/>
  <c r="S147" i="3" s="1"/>
  <c r="Q147" i="3" a="1"/>
  <c r="Q147" i="3" s="1"/>
  <c r="S146" i="3" a="1"/>
  <c r="S146" i="3" s="1"/>
  <c r="Q146" i="3" a="1"/>
  <c r="Q146" i="3" s="1"/>
  <c r="S145" i="3" a="1"/>
  <c r="S145" i="3" s="1"/>
  <c r="Q145" i="3" a="1"/>
  <c r="Q145" i="3" s="1"/>
  <c r="S144" i="3" a="1"/>
  <c r="S144" i="3" s="1"/>
  <c r="Q144" i="3" a="1"/>
  <c r="Q144" i="3" s="1"/>
  <c r="S143" i="3" a="1"/>
  <c r="S143" i="3" s="1"/>
  <c r="Q143" i="3" a="1"/>
  <c r="Q143" i="3" s="1"/>
  <c r="S142" i="3" a="1"/>
  <c r="S142" i="3" s="1"/>
  <c r="Q142" i="3" a="1"/>
  <c r="Q142" i="3" s="1"/>
  <c r="S141" i="3" a="1"/>
  <c r="S141" i="3" s="1"/>
  <c r="Q141" i="3" a="1"/>
  <c r="Q141" i="3" s="1"/>
  <c r="S140" i="3" a="1"/>
  <c r="S140" i="3" s="1"/>
  <c r="Q140" i="3" a="1"/>
  <c r="Q140" i="3" s="1"/>
  <c r="S139" i="3" a="1"/>
  <c r="S139" i="3" s="1"/>
  <c r="Q139" i="3" a="1"/>
  <c r="Q139" i="3" s="1"/>
  <c r="S138" i="3" a="1"/>
  <c r="S138" i="3" s="1"/>
  <c r="Q138" i="3" a="1"/>
  <c r="Q138" i="3" s="1"/>
  <c r="S137" i="3" a="1"/>
  <c r="S137" i="3" s="1"/>
  <c r="Q137" i="3" a="1"/>
  <c r="Q137" i="3" s="1"/>
  <c r="S136" i="3" a="1"/>
  <c r="S136" i="3" s="1"/>
  <c r="Q136" i="3" a="1"/>
  <c r="Q136" i="3" s="1"/>
  <c r="S135" i="3" a="1"/>
  <c r="S135" i="3" s="1"/>
  <c r="Q135" i="3" a="1"/>
  <c r="Q135" i="3" s="1"/>
  <c r="S134" i="3" a="1"/>
  <c r="S134" i="3" s="1"/>
  <c r="Q134" i="3" a="1"/>
  <c r="Q134" i="3" s="1"/>
  <c r="S133" i="3" a="1"/>
  <c r="S133" i="3" s="1"/>
  <c r="Q133" i="3" a="1"/>
  <c r="Q133" i="3" s="1"/>
  <c r="S132" i="3" a="1"/>
  <c r="S132" i="3" s="1"/>
  <c r="Q132" i="3" a="1"/>
  <c r="Q132" i="3" s="1"/>
  <c r="S131" i="3" a="1"/>
  <c r="S131" i="3" s="1"/>
  <c r="Q131" i="3" a="1"/>
  <c r="Q131" i="3" s="1"/>
  <c r="S130" i="3" a="1"/>
  <c r="S130" i="3" s="1"/>
  <c r="Q130" i="3" a="1"/>
  <c r="Q130" i="3" s="1"/>
  <c r="S129" i="3" a="1"/>
  <c r="S129" i="3" s="1"/>
  <c r="Q129" i="3" a="1"/>
  <c r="Q129" i="3" s="1"/>
  <c r="S128" i="3" a="1"/>
  <c r="S128" i="3" s="1"/>
  <c r="Q128" i="3" a="1"/>
  <c r="Q128" i="3" s="1"/>
  <c r="S127" i="3" a="1"/>
  <c r="S127" i="3" s="1"/>
  <c r="Q127" i="3" a="1"/>
  <c r="Q127" i="3" s="1"/>
  <c r="S126" i="3" a="1"/>
  <c r="S126" i="3" s="1"/>
  <c r="Q126" i="3" a="1"/>
  <c r="Q126" i="3" s="1"/>
  <c r="S120" i="3" a="1"/>
  <c r="S120" i="3" s="1"/>
  <c r="Q120" i="3" a="1"/>
  <c r="Q120" i="3" s="1"/>
  <c r="S119" i="3" a="1"/>
  <c r="S119" i="3" s="1"/>
  <c r="Q119" i="3" a="1"/>
  <c r="Q119" i="3" s="1"/>
  <c r="S118" i="3" a="1"/>
  <c r="S118" i="3" s="1"/>
  <c r="Q118" i="3" a="1"/>
  <c r="Q118" i="3" s="1"/>
  <c r="S117" i="3" a="1"/>
  <c r="S117" i="3" s="1"/>
  <c r="Q117" i="3" a="1"/>
  <c r="Q117" i="3" s="1"/>
  <c r="S116" i="3" a="1"/>
  <c r="S116" i="3" s="1"/>
  <c r="Q116" i="3" a="1"/>
  <c r="Q116" i="3" s="1"/>
  <c r="S115" i="3" a="1"/>
  <c r="S115" i="3" s="1"/>
  <c r="Q115" i="3" a="1"/>
  <c r="Q115" i="3" s="1"/>
  <c r="S114" i="3" a="1"/>
  <c r="S114" i="3" s="1"/>
  <c r="Q114" i="3" a="1"/>
  <c r="Q114" i="3" s="1"/>
  <c r="S113" i="3" a="1"/>
  <c r="S113" i="3" s="1"/>
  <c r="Q113" i="3" a="1"/>
  <c r="Q113" i="3" s="1"/>
  <c r="S112" i="3" a="1"/>
  <c r="S112" i="3" s="1"/>
  <c r="Q112" i="3" a="1"/>
  <c r="Q112" i="3" s="1"/>
  <c r="S111" i="3" a="1"/>
  <c r="S111" i="3" s="1"/>
  <c r="Q111" i="3" a="1"/>
  <c r="Q111" i="3" s="1"/>
  <c r="S110" i="3" a="1"/>
  <c r="S110" i="3" s="1"/>
  <c r="Q110" i="3" a="1"/>
  <c r="Q110" i="3" s="1"/>
  <c r="S109" i="3" a="1"/>
  <c r="S109" i="3" s="1"/>
  <c r="Q109" i="3" a="1"/>
  <c r="Q109" i="3" s="1"/>
  <c r="S108" i="3" a="1"/>
  <c r="S108" i="3" s="1"/>
  <c r="Q108" i="3" a="1"/>
  <c r="Q108" i="3" s="1"/>
  <c r="S107" i="3" a="1"/>
  <c r="S107" i="3" s="1"/>
  <c r="Q107" i="3" a="1"/>
  <c r="Q107" i="3" s="1"/>
  <c r="S106" i="3" a="1"/>
  <c r="S106" i="3" s="1"/>
  <c r="Q106" i="3" a="1"/>
  <c r="Q106" i="3" s="1"/>
  <c r="S105" i="3" a="1"/>
  <c r="S105" i="3" s="1"/>
  <c r="Q105" i="3" a="1"/>
  <c r="Q105" i="3" s="1"/>
  <c r="S104" i="3" a="1"/>
  <c r="S104" i="3" s="1"/>
  <c r="Q104" i="3" a="1"/>
  <c r="Q104" i="3" s="1"/>
  <c r="S103" i="3" a="1"/>
  <c r="S103" i="3" s="1"/>
  <c r="Q103" i="3" a="1"/>
  <c r="Q103" i="3" s="1"/>
  <c r="S102" i="3" a="1"/>
  <c r="S102" i="3" s="1"/>
  <c r="Q102" i="3" a="1"/>
  <c r="Q102" i="3" s="1"/>
  <c r="S101" i="3" a="1"/>
  <c r="S101" i="3" s="1"/>
  <c r="Q101" i="3" a="1"/>
  <c r="Q101" i="3" s="1"/>
  <c r="S100" i="3" a="1"/>
  <c r="S100" i="3" s="1"/>
  <c r="Q100" i="3" a="1"/>
  <c r="Q100" i="3" s="1"/>
  <c r="S99" i="3" a="1"/>
  <c r="S99" i="3" s="1"/>
  <c r="Q99" i="3" a="1"/>
  <c r="Q99" i="3" s="1"/>
  <c r="S98" i="3" a="1"/>
  <c r="S98" i="3" s="1"/>
  <c r="Q98" i="3" a="1"/>
  <c r="Q98" i="3" s="1"/>
  <c r="S97" i="3" a="1"/>
  <c r="S97" i="3" s="1"/>
  <c r="Q97" i="3" a="1"/>
  <c r="Q97" i="3" s="1"/>
  <c r="S96" i="3" a="1"/>
  <c r="S96" i="3" s="1"/>
  <c r="Q96" i="3" a="1"/>
  <c r="Q96" i="3" s="1"/>
  <c r="S95" i="3" a="1"/>
  <c r="S95" i="3" s="1"/>
  <c r="Q95" i="3" a="1"/>
  <c r="Q95" i="3" s="1"/>
  <c r="S94" i="3" a="1"/>
  <c r="S94" i="3" s="1"/>
  <c r="Q94" i="3" a="1"/>
  <c r="Q94" i="3" s="1"/>
  <c r="S93" i="3" a="1"/>
  <c r="S93" i="3" s="1"/>
  <c r="Q93" i="3" a="1"/>
  <c r="Q93" i="3" s="1"/>
  <c r="S92" i="3" a="1"/>
  <c r="S92" i="3" s="1"/>
  <c r="Q92" i="3" a="1"/>
  <c r="Q92" i="3" s="1"/>
  <c r="S91" i="3" a="1"/>
  <c r="S91" i="3" s="1"/>
  <c r="Q91" i="3" a="1"/>
  <c r="Q91" i="3" s="1"/>
  <c r="S90" i="3" a="1"/>
  <c r="S90" i="3" s="1"/>
  <c r="Q90" i="3" a="1"/>
  <c r="Q90" i="3" s="1"/>
  <c r="S89" i="3" a="1"/>
  <c r="S89" i="3" s="1"/>
  <c r="Q89" i="3" a="1"/>
  <c r="Q89" i="3" s="1"/>
  <c r="S88" i="3" a="1"/>
  <c r="S88" i="3" s="1"/>
  <c r="Q88" i="3" a="1"/>
  <c r="Q88" i="3" s="1"/>
  <c r="S87" i="3" a="1"/>
  <c r="S87" i="3" s="1"/>
  <c r="Q87" i="3" a="1"/>
  <c r="Q87" i="3" s="1"/>
  <c r="S81" i="3" a="1"/>
  <c r="S81" i="3" s="1"/>
  <c r="Q81" i="3" a="1"/>
  <c r="Q81" i="3" s="1"/>
  <c r="S80" i="3" a="1"/>
  <c r="S80" i="3" s="1"/>
  <c r="Q80" i="3" a="1"/>
  <c r="Q80" i="3" s="1"/>
  <c r="S79" i="3" a="1"/>
  <c r="S79" i="3" s="1"/>
  <c r="Q79" i="3" a="1"/>
  <c r="Q79" i="3" s="1"/>
  <c r="S78" i="3" a="1"/>
  <c r="S78" i="3" s="1"/>
  <c r="Q78" i="3" a="1"/>
  <c r="Q78" i="3" s="1"/>
  <c r="S77" i="3" a="1"/>
  <c r="S77" i="3" s="1"/>
  <c r="Q77" i="3" a="1"/>
  <c r="Q77" i="3" s="1"/>
  <c r="S76" i="3" a="1"/>
  <c r="S76" i="3" s="1"/>
  <c r="Q76" i="3" a="1"/>
  <c r="Q76" i="3" s="1"/>
  <c r="S75" i="3" a="1"/>
  <c r="S75" i="3" s="1"/>
  <c r="Q75" i="3" a="1"/>
  <c r="Q75" i="3" s="1"/>
  <c r="S74" i="3" a="1"/>
  <c r="S74" i="3" s="1"/>
  <c r="Q74" i="3" a="1"/>
  <c r="Q74" i="3" s="1"/>
  <c r="S73" i="3" a="1"/>
  <c r="S73" i="3" s="1"/>
  <c r="Q73" i="3" a="1"/>
  <c r="Q73" i="3" s="1"/>
  <c r="S72" i="3" a="1"/>
  <c r="S72" i="3" s="1"/>
  <c r="Q72" i="3" a="1"/>
  <c r="Q72" i="3" s="1"/>
  <c r="S71" i="3" a="1"/>
  <c r="S71" i="3" s="1"/>
  <c r="Q71" i="3" a="1"/>
  <c r="Q71" i="3" s="1"/>
  <c r="S70" i="3" a="1"/>
  <c r="S70" i="3" s="1"/>
  <c r="Q70" i="3" a="1"/>
  <c r="Q70" i="3" s="1"/>
  <c r="S69" i="3" a="1"/>
  <c r="S69" i="3" s="1"/>
  <c r="Q69" i="3" a="1"/>
  <c r="Q69" i="3" s="1"/>
  <c r="S68" i="3" a="1"/>
  <c r="S68" i="3" s="1"/>
  <c r="Q68" i="3" a="1"/>
  <c r="Q68" i="3" s="1"/>
  <c r="S67" i="3" a="1"/>
  <c r="S67" i="3" s="1"/>
  <c r="Q67" i="3" a="1"/>
  <c r="Q67" i="3" s="1"/>
  <c r="S66" i="3" a="1"/>
  <c r="S66" i="3" s="1"/>
  <c r="Q66" i="3" a="1"/>
  <c r="Q66" i="3" s="1"/>
  <c r="S65" i="3" a="1"/>
  <c r="S65" i="3" s="1"/>
  <c r="Q65" i="3" a="1"/>
  <c r="Q65" i="3" s="1"/>
  <c r="S64" i="3" a="1"/>
  <c r="S64" i="3" s="1"/>
  <c r="Q64" i="3" a="1"/>
  <c r="Q64" i="3" s="1"/>
  <c r="S63" i="3" a="1"/>
  <c r="S63" i="3" s="1"/>
  <c r="Q63" i="3" a="1"/>
  <c r="Q63" i="3" s="1"/>
  <c r="S62" i="3" a="1"/>
  <c r="S62" i="3" s="1"/>
  <c r="Q62" i="3" a="1"/>
  <c r="Q62" i="3" s="1"/>
  <c r="S61" i="3" a="1"/>
  <c r="S61" i="3" s="1"/>
  <c r="Q61" i="3" a="1"/>
  <c r="Q61" i="3" s="1"/>
  <c r="S60" i="3" a="1"/>
  <c r="S60" i="3" s="1"/>
  <c r="Q60" i="3" a="1"/>
  <c r="Q60" i="3" s="1"/>
  <c r="S59" i="3" a="1"/>
  <c r="S59" i="3" s="1"/>
  <c r="Q59" i="3" a="1"/>
  <c r="Q59" i="3" s="1"/>
  <c r="S58" i="3" a="1"/>
  <c r="S58" i="3" s="1"/>
  <c r="Q58" i="3" a="1"/>
  <c r="Q58" i="3" s="1"/>
  <c r="S57" i="3" a="1"/>
  <c r="S57" i="3" s="1"/>
  <c r="Q57" i="3" a="1"/>
  <c r="Q57" i="3" s="1"/>
  <c r="S56" i="3" a="1"/>
  <c r="S56" i="3" s="1"/>
  <c r="Q56" i="3" a="1"/>
  <c r="Q56" i="3" s="1"/>
  <c r="S55" i="3" a="1"/>
  <c r="S55" i="3" s="1"/>
  <c r="Q55" i="3" a="1"/>
  <c r="Q55" i="3" s="1"/>
  <c r="S54" i="3" a="1"/>
  <c r="S54" i="3" s="1"/>
  <c r="Q54" i="3" a="1"/>
  <c r="Q54" i="3" s="1"/>
  <c r="S53" i="3" a="1"/>
  <c r="S53" i="3" s="1"/>
  <c r="Q53" i="3" a="1"/>
  <c r="Q53" i="3" s="1"/>
  <c r="S52" i="3" a="1"/>
  <c r="S52" i="3" s="1"/>
  <c r="Q52" i="3" a="1"/>
  <c r="Q52" i="3" s="1"/>
  <c r="S51" i="3" a="1"/>
  <c r="S51" i="3" s="1"/>
  <c r="Q51" i="3" a="1"/>
  <c r="Q51" i="3" s="1"/>
  <c r="S50" i="3" a="1"/>
  <c r="S50" i="3" s="1"/>
  <c r="Q50" i="3" a="1"/>
  <c r="Q50" i="3" s="1"/>
  <c r="S49" i="3" a="1"/>
  <c r="S49" i="3" s="1"/>
  <c r="Q49" i="3" a="1"/>
  <c r="Q49" i="3" s="1"/>
  <c r="S48" i="3" a="1"/>
  <c r="S48" i="3" s="1"/>
  <c r="Q48" i="3" a="1"/>
  <c r="Q48" i="3" s="1"/>
  <c r="S42" i="3" a="1"/>
  <c r="S42" i="3" s="1"/>
  <c r="Q42" i="3" a="1"/>
  <c r="Q42" i="3" s="1"/>
  <c r="S41" i="3" a="1"/>
  <c r="S41" i="3" s="1"/>
  <c r="Q41" i="3" a="1"/>
  <c r="Q41" i="3" s="1"/>
  <c r="S40" i="3" a="1"/>
  <c r="S40" i="3" s="1"/>
  <c r="Q40" i="3" a="1"/>
  <c r="Q40" i="3" s="1"/>
  <c r="S39" i="3" a="1"/>
  <c r="S39" i="3" s="1"/>
  <c r="Q39" i="3" a="1"/>
  <c r="Q39" i="3" s="1"/>
  <c r="S38" i="3" a="1"/>
  <c r="S38" i="3" s="1"/>
  <c r="Q38" i="3" a="1"/>
  <c r="Q38" i="3" s="1"/>
  <c r="S37" i="3" a="1"/>
  <c r="S37" i="3" s="1"/>
  <c r="Q37" i="3" a="1"/>
  <c r="Q37" i="3" s="1"/>
  <c r="S36" i="3" a="1"/>
  <c r="S36" i="3" s="1"/>
  <c r="Q36" i="3" a="1"/>
  <c r="Q36" i="3" s="1"/>
  <c r="S35" i="3" a="1"/>
  <c r="S35" i="3" s="1"/>
  <c r="Q35" i="3" a="1"/>
  <c r="Q35" i="3" s="1"/>
  <c r="S34" i="3" a="1"/>
  <c r="S34" i="3" s="1"/>
  <c r="Q34" i="3" a="1"/>
  <c r="Q34" i="3" s="1"/>
  <c r="S33" i="3" a="1"/>
  <c r="S33" i="3" s="1"/>
  <c r="Q33" i="3" a="1"/>
  <c r="Q33" i="3" s="1"/>
  <c r="S32" i="3" a="1"/>
  <c r="S32" i="3" s="1"/>
  <c r="Q32" i="3" a="1"/>
  <c r="Q32" i="3" s="1"/>
  <c r="S31" i="3" a="1"/>
  <c r="S31" i="3" s="1"/>
  <c r="Q31" i="3" a="1"/>
  <c r="Q31" i="3" s="1"/>
  <c r="S30" i="3" a="1"/>
  <c r="S30" i="3" s="1"/>
  <c r="Q30" i="3" a="1"/>
  <c r="Q30" i="3" s="1"/>
  <c r="S29" i="3" a="1"/>
  <c r="S29" i="3" s="1"/>
  <c r="Q29" i="3" a="1"/>
  <c r="Q29" i="3" s="1"/>
  <c r="S28" i="3" a="1"/>
  <c r="S28" i="3" s="1"/>
  <c r="Q28" i="3" a="1"/>
  <c r="Q28" i="3" s="1"/>
  <c r="S27" i="3" a="1"/>
  <c r="S27" i="3" s="1"/>
  <c r="Q27" i="3" a="1"/>
  <c r="Q27" i="3" s="1"/>
  <c r="S26" i="3" a="1"/>
  <c r="S26" i="3" s="1"/>
  <c r="Q26" i="3" a="1"/>
  <c r="Q26" i="3" s="1"/>
  <c r="S25" i="3" a="1"/>
  <c r="S25" i="3" s="1"/>
  <c r="Q25" i="3" a="1"/>
  <c r="Q25" i="3" s="1"/>
  <c r="S24" i="3" a="1"/>
  <c r="S24" i="3" s="1"/>
  <c r="Q24" i="3" a="1"/>
  <c r="Q24" i="3" s="1"/>
  <c r="S23" i="3" a="1"/>
  <c r="S23" i="3" s="1"/>
  <c r="Q23" i="3" a="1"/>
  <c r="Q23" i="3" s="1"/>
  <c r="S22" i="3" a="1"/>
  <c r="S22" i="3" s="1"/>
  <c r="Q22" i="3" a="1"/>
  <c r="Q22" i="3" s="1"/>
  <c r="S21" i="3" a="1"/>
  <c r="S21" i="3" s="1"/>
  <c r="Q21" i="3" a="1"/>
  <c r="Q21" i="3" s="1"/>
  <c r="S20" i="3" a="1"/>
  <c r="S20" i="3" s="1"/>
  <c r="Q20" i="3" a="1"/>
  <c r="Q20" i="3" s="1"/>
  <c r="S19" i="3" a="1"/>
  <c r="S19" i="3" s="1"/>
  <c r="Q19" i="3" a="1"/>
  <c r="Q19" i="3" s="1"/>
  <c r="S18" i="3" a="1"/>
  <c r="S18" i="3" s="1"/>
  <c r="Q18" i="3" a="1"/>
  <c r="Q18" i="3" s="1"/>
  <c r="S17" i="3" a="1"/>
  <c r="S17" i="3" s="1"/>
  <c r="Q17" i="3" a="1"/>
  <c r="Q17" i="3" s="1"/>
  <c r="S16" i="3" a="1"/>
  <c r="S16" i="3" s="1"/>
  <c r="Q16" i="3" a="1"/>
  <c r="Q16" i="3" s="1"/>
  <c r="S15" i="3" a="1"/>
  <c r="S15" i="3" s="1"/>
  <c r="Q15" i="3" a="1"/>
  <c r="Q15" i="3" s="1"/>
  <c r="S14" i="3" a="1"/>
  <c r="S14" i="3" s="1"/>
  <c r="Q14" i="3" a="1"/>
  <c r="Q14" i="3" s="1"/>
  <c r="S13" i="3" a="1"/>
  <c r="S13" i="3" s="1"/>
  <c r="Q13" i="3" a="1"/>
  <c r="Q13" i="3" s="1"/>
  <c r="S12" i="3" a="1"/>
  <c r="S12" i="3" s="1"/>
  <c r="Q12" i="3" a="1"/>
  <c r="Q12" i="3" s="1"/>
  <c r="S11" i="3" a="1"/>
  <c r="S11" i="3" s="1"/>
  <c r="Q11" i="3" a="1"/>
  <c r="Q11" i="3" s="1"/>
  <c r="S10" i="3" a="1"/>
  <c r="S10" i="3" s="1"/>
  <c r="Q10" i="3" a="1"/>
  <c r="Q10" i="3" s="1"/>
  <c r="S9" i="3" a="1"/>
  <c r="S9" i="3" s="1"/>
  <c r="Q9" i="3" a="1"/>
  <c r="Q9" i="3" s="1"/>
  <c r="K237" i="3" a="1"/>
  <c r="K237" i="3" s="1"/>
  <c r="I237" i="3" a="1"/>
  <c r="I237" i="3" s="1"/>
  <c r="K236" i="3" a="1"/>
  <c r="K236" i="3" s="1"/>
  <c r="I236" i="3" a="1"/>
  <c r="I236" i="3" s="1"/>
  <c r="K235" i="3" a="1"/>
  <c r="K235" i="3" s="1"/>
  <c r="I235" i="3" a="1"/>
  <c r="I235" i="3" s="1"/>
  <c r="K234" i="3" a="1"/>
  <c r="K234" i="3" s="1"/>
  <c r="I234" i="3" a="1"/>
  <c r="I234" i="3" s="1"/>
  <c r="K233" i="3" a="1"/>
  <c r="K233" i="3" s="1"/>
  <c r="I233" i="3" a="1"/>
  <c r="I233" i="3" s="1"/>
  <c r="K232" i="3" a="1"/>
  <c r="K232" i="3" s="1"/>
  <c r="I232" i="3" a="1"/>
  <c r="I232" i="3" s="1"/>
  <c r="K231" i="3" a="1"/>
  <c r="K231" i="3" s="1"/>
  <c r="I231" i="3" a="1"/>
  <c r="I231" i="3" s="1"/>
  <c r="K230" i="3" a="1"/>
  <c r="K230" i="3" s="1"/>
  <c r="I230" i="3" a="1"/>
  <c r="I230" i="3" s="1"/>
  <c r="K229" i="3" a="1"/>
  <c r="K229" i="3" s="1"/>
  <c r="I229" i="3" a="1"/>
  <c r="I229" i="3" s="1"/>
  <c r="K228" i="3" a="1"/>
  <c r="K228" i="3" s="1"/>
  <c r="I228" i="3" a="1"/>
  <c r="I228" i="3" s="1"/>
  <c r="K227" i="3" a="1"/>
  <c r="K227" i="3" s="1"/>
  <c r="I227" i="3" a="1"/>
  <c r="I227" i="3" s="1"/>
  <c r="K226" i="3" a="1"/>
  <c r="K226" i="3" s="1"/>
  <c r="I226" i="3" a="1"/>
  <c r="I226" i="3" s="1"/>
  <c r="K225" i="3" a="1"/>
  <c r="K225" i="3" s="1"/>
  <c r="I225" i="3" a="1"/>
  <c r="I225" i="3" s="1"/>
  <c r="K224" i="3" a="1"/>
  <c r="K224" i="3" s="1"/>
  <c r="I224" i="3" a="1"/>
  <c r="I224" i="3" s="1"/>
  <c r="K223" i="3" a="1"/>
  <c r="K223" i="3" s="1"/>
  <c r="I223" i="3" a="1"/>
  <c r="I223" i="3" s="1"/>
  <c r="K222" i="3" a="1"/>
  <c r="K222" i="3" s="1"/>
  <c r="I222" i="3" a="1"/>
  <c r="I222" i="3" s="1"/>
  <c r="K221" i="3" a="1"/>
  <c r="K221" i="3" s="1"/>
  <c r="I221" i="3" a="1"/>
  <c r="I221" i="3" s="1"/>
  <c r="K220" i="3" a="1"/>
  <c r="K220" i="3" s="1"/>
  <c r="I220" i="3" a="1"/>
  <c r="I220" i="3" s="1"/>
  <c r="K219" i="3" a="1"/>
  <c r="K219" i="3" s="1"/>
  <c r="I219" i="3" a="1"/>
  <c r="I219" i="3" s="1"/>
  <c r="K218" i="3" a="1"/>
  <c r="K218" i="3" s="1"/>
  <c r="I218" i="3" a="1"/>
  <c r="I218" i="3" s="1"/>
  <c r="K217" i="3" a="1"/>
  <c r="K217" i="3" s="1"/>
  <c r="I217" i="3" a="1"/>
  <c r="I217" i="3" s="1"/>
  <c r="K216" i="3" a="1"/>
  <c r="K216" i="3" s="1"/>
  <c r="I216" i="3" a="1"/>
  <c r="I216" i="3" s="1"/>
  <c r="K215" i="3" a="1"/>
  <c r="K215" i="3" s="1"/>
  <c r="I215" i="3" a="1"/>
  <c r="I215" i="3" s="1"/>
  <c r="K214" i="3" a="1"/>
  <c r="K214" i="3" s="1"/>
  <c r="I214" i="3" a="1"/>
  <c r="I214" i="3" s="1"/>
  <c r="K213" i="3" a="1"/>
  <c r="K213" i="3" s="1"/>
  <c r="I213" i="3" a="1"/>
  <c r="I213" i="3" s="1"/>
  <c r="K212" i="3" a="1"/>
  <c r="K212" i="3" s="1"/>
  <c r="I212" i="3" a="1"/>
  <c r="I212" i="3" s="1"/>
  <c r="K211" i="3" a="1"/>
  <c r="K211" i="3" s="1"/>
  <c r="I211" i="3" a="1"/>
  <c r="I211" i="3" s="1"/>
  <c r="K210" i="3" a="1"/>
  <c r="K210" i="3" s="1"/>
  <c r="I210" i="3" a="1"/>
  <c r="I210" i="3" s="1"/>
  <c r="K209" i="3" a="1"/>
  <c r="K209" i="3" s="1"/>
  <c r="I209" i="3" a="1"/>
  <c r="I209" i="3" s="1"/>
  <c r="K208" i="3" a="1"/>
  <c r="K208" i="3" s="1"/>
  <c r="I208" i="3" a="1"/>
  <c r="I208" i="3" s="1"/>
  <c r="K207" i="3" a="1"/>
  <c r="K207" i="3" s="1"/>
  <c r="I207" i="3" a="1"/>
  <c r="I207" i="3" s="1"/>
  <c r="K206" i="3" a="1"/>
  <c r="K206" i="3" s="1"/>
  <c r="I206" i="3" a="1"/>
  <c r="I206" i="3" s="1"/>
  <c r="K205" i="3" a="1"/>
  <c r="K205" i="3" s="1"/>
  <c r="I205" i="3" a="1"/>
  <c r="I205" i="3" s="1"/>
  <c r="K204" i="3" a="1"/>
  <c r="K204" i="3" s="1"/>
  <c r="I204" i="3" a="1"/>
  <c r="I204" i="3" s="1"/>
  <c r="K198" i="3" a="1"/>
  <c r="K198" i="3" s="1"/>
  <c r="I198" i="3" a="1"/>
  <c r="I198" i="3" s="1"/>
  <c r="K197" i="3" a="1"/>
  <c r="K197" i="3" s="1"/>
  <c r="I197" i="3" a="1"/>
  <c r="I197" i="3" s="1"/>
  <c r="K196" i="3" a="1"/>
  <c r="K196" i="3" s="1"/>
  <c r="I196" i="3" a="1"/>
  <c r="I196" i="3" s="1"/>
  <c r="K195" i="3" a="1"/>
  <c r="K195" i="3" s="1"/>
  <c r="I195" i="3" a="1"/>
  <c r="I195" i="3" s="1"/>
  <c r="K194" i="3" a="1"/>
  <c r="K194" i="3" s="1"/>
  <c r="I194" i="3" a="1"/>
  <c r="I194" i="3" s="1"/>
  <c r="K193" i="3" a="1"/>
  <c r="K193" i="3" s="1"/>
  <c r="I193" i="3" a="1"/>
  <c r="I193" i="3" s="1"/>
  <c r="K192" i="3" a="1"/>
  <c r="K192" i="3" s="1"/>
  <c r="I192" i="3" a="1"/>
  <c r="I192" i="3" s="1"/>
  <c r="K191" i="3" a="1"/>
  <c r="K191" i="3" s="1"/>
  <c r="I191" i="3" a="1"/>
  <c r="I191" i="3" s="1"/>
  <c r="K190" i="3" a="1"/>
  <c r="K190" i="3" s="1"/>
  <c r="I190" i="3" a="1"/>
  <c r="I190" i="3" s="1"/>
  <c r="K189" i="3" a="1"/>
  <c r="K189" i="3" s="1"/>
  <c r="I189" i="3" a="1"/>
  <c r="I189" i="3" s="1"/>
  <c r="K188" i="3" a="1"/>
  <c r="K188" i="3" s="1"/>
  <c r="I188" i="3" a="1"/>
  <c r="I188" i="3" s="1"/>
  <c r="K187" i="3" a="1"/>
  <c r="K187" i="3" s="1"/>
  <c r="I187" i="3" a="1"/>
  <c r="I187" i="3" s="1"/>
  <c r="K186" i="3" a="1"/>
  <c r="K186" i="3" s="1"/>
  <c r="I186" i="3" a="1"/>
  <c r="I186" i="3" s="1"/>
  <c r="K185" i="3" a="1"/>
  <c r="K185" i="3" s="1"/>
  <c r="I185" i="3" a="1"/>
  <c r="I185" i="3" s="1"/>
  <c r="K184" i="3" a="1"/>
  <c r="K184" i="3" s="1"/>
  <c r="I184" i="3" a="1"/>
  <c r="I184" i="3" s="1"/>
  <c r="K183" i="3" a="1"/>
  <c r="K183" i="3" s="1"/>
  <c r="I183" i="3" a="1"/>
  <c r="I183" i="3" s="1"/>
  <c r="K182" i="3" a="1"/>
  <c r="K182" i="3" s="1"/>
  <c r="I182" i="3" a="1"/>
  <c r="I182" i="3" s="1"/>
  <c r="K181" i="3" a="1"/>
  <c r="K181" i="3" s="1"/>
  <c r="I181" i="3" a="1"/>
  <c r="I181" i="3" s="1"/>
  <c r="K180" i="3" a="1"/>
  <c r="K180" i="3" s="1"/>
  <c r="I180" i="3" a="1"/>
  <c r="I180" i="3" s="1"/>
  <c r="K179" i="3" a="1"/>
  <c r="K179" i="3" s="1"/>
  <c r="I179" i="3" a="1"/>
  <c r="I179" i="3" s="1"/>
  <c r="K178" i="3" a="1"/>
  <c r="K178" i="3" s="1"/>
  <c r="I178" i="3" a="1"/>
  <c r="I178" i="3" s="1"/>
  <c r="K177" i="3" a="1"/>
  <c r="K177" i="3" s="1"/>
  <c r="I177" i="3" a="1"/>
  <c r="I177" i="3" s="1"/>
  <c r="K176" i="3" a="1"/>
  <c r="K176" i="3" s="1"/>
  <c r="I176" i="3" a="1"/>
  <c r="I176" i="3" s="1"/>
  <c r="K175" i="3" a="1"/>
  <c r="K175" i="3" s="1"/>
  <c r="I175" i="3" a="1"/>
  <c r="I175" i="3" s="1"/>
  <c r="K174" i="3" a="1"/>
  <c r="K174" i="3" s="1"/>
  <c r="I174" i="3" a="1"/>
  <c r="I174" i="3" s="1"/>
  <c r="K173" i="3" a="1"/>
  <c r="K173" i="3" s="1"/>
  <c r="I173" i="3" a="1"/>
  <c r="I173" i="3" s="1"/>
  <c r="K172" i="3" a="1"/>
  <c r="K172" i="3" s="1"/>
  <c r="I172" i="3" a="1"/>
  <c r="I172" i="3" s="1"/>
  <c r="K171" i="3" a="1"/>
  <c r="K171" i="3" s="1"/>
  <c r="I171" i="3" a="1"/>
  <c r="I171" i="3" s="1"/>
  <c r="K170" i="3" a="1"/>
  <c r="K170" i="3" s="1"/>
  <c r="I170" i="3" a="1"/>
  <c r="I170" i="3" s="1"/>
  <c r="K169" i="3" a="1"/>
  <c r="K169" i="3" s="1"/>
  <c r="I169" i="3" a="1"/>
  <c r="I169" i="3" s="1"/>
  <c r="K168" i="3" a="1"/>
  <c r="K168" i="3" s="1"/>
  <c r="I168" i="3" a="1"/>
  <c r="I168" i="3" s="1"/>
  <c r="K167" i="3" a="1"/>
  <c r="K167" i="3" s="1"/>
  <c r="I167" i="3" a="1"/>
  <c r="I167" i="3" s="1"/>
  <c r="K166" i="3" a="1"/>
  <c r="K166" i="3" s="1"/>
  <c r="I166" i="3" a="1"/>
  <c r="I166" i="3" s="1"/>
  <c r="K165" i="3" a="1"/>
  <c r="K165" i="3" s="1"/>
  <c r="I165" i="3" a="1"/>
  <c r="I165" i="3" s="1"/>
  <c r="K159" i="3" a="1"/>
  <c r="K159" i="3" s="1"/>
  <c r="I159" i="3" a="1"/>
  <c r="I159" i="3" s="1"/>
  <c r="K158" i="3" a="1"/>
  <c r="K158" i="3" s="1"/>
  <c r="I158" i="3" a="1"/>
  <c r="I158" i="3" s="1"/>
  <c r="K157" i="3" a="1"/>
  <c r="K157" i="3" s="1"/>
  <c r="I157" i="3" a="1"/>
  <c r="I157" i="3" s="1"/>
  <c r="K156" i="3" a="1"/>
  <c r="K156" i="3" s="1"/>
  <c r="I156" i="3" a="1"/>
  <c r="I156" i="3" s="1"/>
  <c r="K155" i="3" a="1"/>
  <c r="K155" i="3" s="1"/>
  <c r="I155" i="3" a="1"/>
  <c r="I155" i="3" s="1"/>
  <c r="K154" i="3" a="1"/>
  <c r="K154" i="3" s="1"/>
  <c r="I154" i="3" a="1"/>
  <c r="I154" i="3" s="1"/>
  <c r="K153" i="3" a="1"/>
  <c r="K153" i="3" s="1"/>
  <c r="I153" i="3" a="1"/>
  <c r="I153" i="3" s="1"/>
  <c r="K152" i="3" a="1"/>
  <c r="K152" i="3" s="1"/>
  <c r="I152" i="3" a="1"/>
  <c r="I152" i="3" s="1"/>
  <c r="K151" i="3" a="1"/>
  <c r="K151" i="3" s="1"/>
  <c r="I151" i="3" a="1"/>
  <c r="I151" i="3" s="1"/>
  <c r="K150" i="3" a="1"/>
  <c r="K150" i="3" s="1"/>
  <c r="I150" i="3" a="1"/>
  <c r="I150" i="3" s="1"/>
  <c r="K149" i="3" a="1"/>
  <c r="K149" i="3" s="1"/>
  <c r="I149" i="3" a="1"/>
  <c r="I149" i="3" s="1"/>
  <c r="K148" i="3" a="1"/>
  <c r="K148" i="3" s="1"/>
  <c r="I148" i="3" a="1"/>
  <c r="I148" i="3" s="1"/>
  <c r="K147" i="3" a="1"/>
  <c r="K147" i="3" s="1"/>
  <c r="I147" i="3" a="1"/>
  <c r="I147" i="3" s="1"/>
  <c r="K146" i="3" a="1"/>
  <c r="K146" i="3" s="1"/>
  <c r="I146" i="3" a="1"/>
  <c r="I146" i="3" s="1"/>
  <c r="K145" i="3" a="1"/>
  <c r="K145" i="3" s="1"/>
  <c r="I145" i="3" a="1"/>
  <c r="I145" i="3" s="1"/>
  <c r="K144" i="3" a="1"/>
  <c r="K144" i="3" s="1"/>
  <c r="I144" i="3" a="1"/>
  <c r="I144" i="3" s="1"/>
  <c r="K143" i="3" a="1"/>
  <c r="K143" i="3" s="1"/>
  <c r="I143" i="3" a="1"/>
  <c r="I143" i="3" s="1"/>
  <c r="K142" i="3" a="1"/>
  <c r="K142" i="3" s="1"/>
  <c r="I142" i="3" a="1"/>
  <c r="I142" i="3" s="1"/>
  <c r="K141" i="3" a="1"/>
  <c r="K141" i="3" s="1"/>
  <c r="I141" i="3" a="1"/>
  <c r="I141" i="3" s="1"/>
  <c r="K140" i="3" a="1"/>
  <c r="K140" i="3" s="1"/>
  <c r="I140" i="3" a="1"/>
  <c r="I140" i="3" s="1"/>
  <c r="K139" i="3" a="1"/>
  <c r="K139" i="3" s="1"/>
  <c r="I139" i="3" a="1"/>
  <c r="I139" i="3" s="1"/>
  <c r="K138" i="3" a="1"/>
  <c r="K138" i="3" s="1"/>
  <c r="I138" i="3" a="1"/>
  <c r="I138" i="3" s="1"/>
  <c r="K137" i="3" a="1"/>
  <c r="K137" i="3" s="1"/>
  <c r="I137" i="3" a="1"/>
  <c r="I137" i="3" s="1"/>
  <c r="K136" i="3" a="1"/>
  <c r="K136" i="3" s="1"/>
  <c r="I136" i="3" a="1"/>
  <c r="I136" i="3" s="1"/>
  <c r="K135" i="3" a="1"/>
  <c r="K135" i="3" s="1"/>
  <c r="I135" i="3" a="1"/>
  <c r="I135" i="3" s="1"/>
  <c r="K134" i="3" a="1"/>
  <c r="K134" i="3" s="1"/>
  <c r="I134" i="3" a="1"/>
  <c r="I134" i="3" s="1"/>
  <c r="K133" i="3" a="1"/>
  <c r="K133" i="3" s="1"/>
  <c r="I133" i="3" a="1"/>
  <c r="I133" i="3" s="1"/>
  <c r="K132" i="3" a="1"/>
  <c r="K132" i="3" s="1"/>
  <c r="I132" i="3" a="1"/>
  <c r="I132" i="3" s="1"/>
  <c r="K131" i="3" a="1"/>
  <c r="K131" i="3" s="1"/>
  <c r="I131" i="3" a="1"/>
  <c r="I131" i="3" s="1"/>
  <c r="K130" i="3" a="1"/>
  <c r="K130" i="3" s="1"/>
  <c r="I130" i="3" a="1"/>
  <c r="I130" i="3" s="1"/>
  <c r="K129" i="3" a="1"/>
  <c r="K129" i="3" s="1"/>
  <c r="I129" i="3" a="1"/>
  <c r="I129" i="3" s="1"/>
  <c r="K128" i="3" a="1"/>
  <c r="K128" i="3" s="1"/>
  <c r="I128" i="3" a="1"/>
  <c r="I128" i="3" s="1"/>
  <c r="K127" i="3" a="1"/>
  <c r="K127" i="3" s="1"/>
  <c r="I127" i="3" a="1"/>
  <c r="I127" i="3" s="1"/>
  <c r="K126" i="3" a="1"/>
  <c r="K126" i="3" s="1"/>
  <c r="I126" i="3" a="1"/>
  <c r="I126" i="3" s="1"/>
  <c r="K120" i="3" a="1"/>
  <c r="K120" i="3" s="1"/>
  <c r="I120" i="3" a="1"/>
  <c r="I120" i="3" s="1"/>
  <c r="K119" i="3" a="1"/>
  <c r="K119" i="3" s="1"/>
  <c r="I119" i="3" a="1"/>
  <c r="I119" i="3" s="1"/>
  <c r="K118" i="3" a="1"/>
  <c r="K118" i="3" s="1"/>
  <c r="I118" i="3" a="1"/>
  <c r="I118" i="3" s="1"/>
  <c r="K117" i="3" a="1"/>
  <c r="K117" i="3" s="1"/>
  <c r="I117" i="3" a="1"/>
  <c r="I117" i="3" s="1"/>
  <c r="K116" i="3" a="1"/>
  <c r="K116" i="3" s="1"/>
  <c r="I116" i="3" a="1"/>
  <c r="I116" i="3" s="1"/>
  <c r="K115" i="3" a="1"/>
  <c r="K115" i="3" s="1"/>
  <c r="I115" i="3" a="1"/>
  <c r="I115" i="3" s="1"/>
  <c r="K114" i="3" a="1"/>
  <c r="K114" i="3" s="1"/>
  <c r="I114" i="3" a="1"/>
  <c r="I114" i="3" s="1"/>
  <c r="K113" i="3" a="1"/>
  <c r="K113" i="3" s="1"/>
  <c r="I113" i="3" a="1"/>
  <c r="I113" i="3" s="1"/>
  <c r="K112" i="3" a="1"/>
  <c r="K112" i="3" s="1"/>
  <c r="I112" i="3" a="1"/>
  <c r="I112" i="3" s="1"/>
  <c r="K111" i="3" a="1"/>
  <c r="K111" i="3" s="1"/>
  <c r="I111" i="3" a="1"/>
  <c r="I111" i="3" s="1"/>
  <c r="K110" i="3" a="1"/>
  <c r="K110" i="3" s="1"/>
  <c r="I110" i="3" a="1"/>
  <c r="I110" i="3" s="1"/>
  <c r="K109" i="3" a="1"/>
  <c r="K109" i="3" s="1"/>
  <c r="I109" i="3" a="1"/>
  <c r="I109" i="3" s="1"/>
  <c r="K108" i="3" a="1"/>
  <c r="K108" i="3" s="1"/>
  <c r="I108" i="3" a="1"/>
  <c r="I108" i="3" s="1"/>
  <c r="K107" i="3" a="1"/>
  <c r="K107" i="3" s="1"/>
  <c r="I107" i="3" a="1"/>
  <c r="I107" i="3" s="1"/>
  <c r="K106" i="3" a="1"/>
  <c r="K106" i="3" s="1"/>
  <c r="I106" i="3" a="1"/>
  <c r="I106" i="3" s="1"/>
  <c r="K105" i="3" a="1"/>
  <c r="K105" i="3" s="1"/>
  <c r="I105" i="3" a="1"/>
  <c r="I105" i="3" s="1"/>
  <c r="K104" i="3" a="1"/>
  <c r="K104" i="3" s="1"/>
  <c r="I104" i="3" a="1"/>
  <c r="I104" i="3" s="1"/>
  <c r="K103" i="3" a="1"/>
  <c r="K103" i="3" s="1"/>
  <c r="I103" i="3" a="1"/>
  <c r="I103" i="3" s="1"/>
  <c r="K102" i="3" a="1"/>
  <c r="K102" i="3" s="1"/>
  <c r="I102" i="3" a="1"/>
  <c r="I102" i="3" s="1"/>
  <c r="K101" i="3" a="1"/>
  <c r="K101" i="3" s="1"/>
  <c r="I101" i="3" a="1"/>
  <c r="I101" i="3" s="1"/>
  <c r="K100" i="3" a="1"/>
  <c r="K100" i="3" s="1"/>
  <c r="I100" i="3" a="1"/>
  <c r="I100" i="3" s="1"/>
  <c r="K99" i="3" a="1"/>
  <c r="K99" i="3" s="1"/>
  <c r="I99" i="3" a="1"/>
  <c r="I99" i="3" s="1"/>
  <c r="K98" i="3" a="1"/>
  <c r="K98" i="3" s="1"/>
  <c r="I98" i="3" a="1"/>
  <c r="I98" i="3" s="1"/>
  <c r="K97" i="3" a="1"/>
  <c r="K97" i="3" s="1"/>
  <c r="I97" i="3" a="1"/>
  <c r="I97" i="3" s="1"/>
  <c r="K96" i="3" a="1"/>
  <c r="K96" i="3" s="1"/>
  <c r="I96" i="3" a="1"/>
  <c r="I96" i="3" s="1"/>
  <c r="K95" i="3" a="1"/>
  <c r="K95" i="3" s="1"/>
  <c r="I95" i="3" a="1"/>
  <c r="I95" i="3" s="1"/>
  <c r="K94" i="3" a="1"/>
  <c r="K94" i="3" s="1"/>
  <c r="I94" i="3" a="1"/>
  <c r="I94" i="3" s="1"/>
  <c r="K93" i="3" a="1"/>
  <c r="K93" i="3" s="1"/>
  <c r="I93" i="3" a="1"/>
  <c r="I93" i="3" s="1"/>
  <c r="K92" i="3" a="1"/>
  <c r="K92" i="3" s="1"/>
  <c r="I92" i="3" a="1"/>
  <c r="I92" i="3" s="1"/>
  <c r="K91" i="3" a="1"/>
  <c r="K91" i="3" s="1"/>
  <c r="I91" i="3" a="1"/>
  <c r="I91" i="3" s="1"/>
  <c r="K90" i="3" a="1"/>
  <c r="K90" i="3" s="1"/>
  <c r="I90" i="3" a="1"/>
  <c r="I90" i="3" s="1"/>
  <c r="K89" i="3" a="1"/>
  <c r="K89" i="3" s="1"/>
  <c r="I89" i="3" a="1"/>
  <c r="I89" i="3" s="1"/>
  <c r="K88" i="3" a="1"/>
  <c r="K88" i="3" s="1"/>
  <c r="I88" i="3" a="1"/>
  <c r="I88" i="3" s="1"/>
  <c r="K87" i="3" a="1"/>
  <c r="K87" i="3" s="1"/>
  <c r="I87" i="3" a="1"/>
  <c r="I87" i="3" s="1"/>
  <c r="K81" i="3" a="1"/>
  <c r="K81" i="3" s="1"/>
  <c r="I81" i="3" a="1"/>
  <c r="I81" i="3" s="1"/>
  <c r="K80" i="3" a="1"/>
  <c r="K80" i="3" s="1"/>
  <c r="I80" i="3" a="1"/>
  <c r="I80" i="3" s="1"/>
  <c r="K79" i="3" a="1"/>
  <c r="K79" i="3" s="1"/>
  <c r="I79" i="3" a="1"/>
  <c r="I79" i="3" s="1"/>
  <c r="K78" i="3" a="1"/>
  <c r="K78" i="3" s="1"/>
  <c r="I78" i="3" a="1"/>
  <c r="I78" i="3" s="1"/>
  <c r="K77" i="3" a="1"/>
  <c r="K77" i="3" s="1"/>
  <c r="I77" i="3" a="1"/>
  <c r="I77" i="3" s="1"/>
  <c r="K76" i="3" a="1"/>
  <c r="K76" i="3" s="1"/>
  <c r="I76" i="3" a="1"/>
  <c r="I76" i="3" s="1"/>
  <c r="K75" i="3" a="1"/>
  <c r="K75" i="3" s="1"/>
  <c r="I75" i="3" a="1"/>
  <c r="I75" i="3" s="1"/>
  <c r="K74" i="3" a="1"/>
  <c r="K74" i="3" s="1"/>
  <c r="I74" i="3" a="1"/>
  <c r="I74" i="3" s="1"/>
  <c r="K73" i="3" a="1"/>
  <c r="K73" i="3" s="1"/>
  <c r="I73" i="3" a="1"/>
  <c r="I73" i="3" s="1"/>
  <c r="K72" i="3" a="1"/>
  <c r="K72" i="3" s="1"/>
  <c r="I72" i="3" a="1"/>
  <c r="I72" i="3" s="1"/>
  <c r="K71" i="3" a="1"/>
  <c r="K71" i="3" s="1"/>
  <c r="I71" i="3" a="1"/>
  <c r="I71" i="3" s="1"/>
  <c r="K70" i="3" a="1"/>
  <c r="K70" i="3" s="1"/>
  <c r="I70" i="3" a="1"/>
  <c r="I70" i="3" s="1"/>
  <c r="K69" i="3" a="1"/>
  <c r="K69" i="3" s="1"/>
  <c r="I69" i="3" a="1"/>
  <c r="I69" i="3" s="1"/>
  <c r="K68" i="3" a="1"/>
  <c r="K68" i="3" s="1"/>
  <c r="I68" i="3" a="1"/>
  <c r="I68" i="3" s="1"/>
  <c r="K67" i="3" a="1"/>
  <c r="K67" i="3" s="1"/>
  <c r="I67" i="3" a="1"/>
  <c r="I67" i="3" s="1"/>
  <c r="K66" i="3" a="1"/>
  <c r="K66" i="3" s="1"/>
  <c r="I66" i="3" a="1"/>
  <c r="I66" i="3" s="1"/>
  <c r="K65" i="3" a="1"/>
  <c r="K65" i="3" s="1"/>
  <c r="I65" i="3" a="1"/>
  <c r="I65" i="3" s="1"/>
  <c r="K64" i="3" a="1"/>
  <c r="K64" i="3" s="1"/>
  <c r="I64" i="3" a="1"/>
  <c r="I64" i="3" s="1"/>
  <c r="K63" i="3" a="1"/>
  <c r="K63" i="3" s="1"/>
  <c r="I63" i="3" a="1"/>
  <c r="I63" i="3" s="1"/>
  <c r="K62" i="3" a="1"/>
  <c r="K62" i="3" s="1"/>
  <c r="I62" i="3" a="1"/>
  <c r="I62" i="3" s="1"/>
  <c r="K61" i="3" a="1"/>
  <c r="K61" i="3" s="1"/>
  <c r="I61" i="3" a="1"/>
  <c r="I61" i="3" s="1"/>
  <c r="K60" i="3" a="1"/>
  <c r="K60" i="3" s="1"/>
  <c r="I60" i="3" a="1"/>
  <c r="I60" i="3" s="1"/>
  <c r="K59" i="3" a="1"/>
  <c r="K59" i="3" s="1"/>
  <c r="I59" i="3" a="1"/>
  <c r="I59" i="3" s="1"/>
  <c r="K58" i="3" a="1"/>
  <c r="K58" i="3" s="1"/>
  <c r="I58" i="3" a="1"/>
  <c r="I58" i="3" s="1"/>
  <c r="K57" i="3" a="1"/>
  <c r="K57" i="3" s="1"/>
  <c r="I57" i="3" a="1"/>
  <c r="I57" i="3" s="1"/>
  <c r="K56" i="3" a="1"/>
  <c r="K56" i="3" s="1"/>
  <c r="I56" i="3" a="1"/>
  <c r="I56" i="3" s="1"/>
  <c r="K55" i="3" a="1"/>
  <c r="K55" i="3" s="1"/>
  <c r="I55" i="3" a="1"/>
  <c r="I55" i="3" s="1"/>
  <c r="K54" i="3" a="1"/>
  <c r="K54" i="3" s="1"/>
  <c r="I54" i="3" a="1"/>
  <c r="I54" i="3" s="1"/>
  <c r="K53" i="3" a="1"/>
  <c r="K53" i="3" s="1"/>
  <c r="I53" i="3" a="1"/>
  <c r="I53" i="3" s="1"/>
  <c r="K52" i="3" a="1"/>
  <c r="K52" i="3" s="1"/>
  <c r="I52" i="3" a="1"/>
  <c r="I52" i="3" s="1"/>
  <c r="K51" i="3" a="1"/>
  <c r="K51" i="3" s="1"/>
  <c r="I51" i="3" a="1"/>
  <c r="I51" i="3" s="1"/>
  <c r="K50" i="3" a="1"/>
  <c r="K50" i="3" s="1"/>
  <c r="I50" i="3" a="1"/>
  <c r="I50" i="3" s="1"/>
  <c r="K49" i="3" a="1"/>
  <c r="K49" i="3" s="1"/>
  <c r="I49" i="3" a="1"/>
  <c r="I49" i="3" s="1"/>
  <c r="K48" i="3" a="1"/>
  <c r="K48" i="3" s="1"/>
  <c r="I48" i="3" a="1"/>
  <c r="I48" i="3" s="1"/>
  <c r="K42" i="3" a="1"/>
  <c r="K42" i="3" s="1"/>
  <c r="B38" i="5" s="1"/>
  <c r="D38" i="5" s="1"/>
  <c r="K41" i="3" a="1"/>
  <c r="K41" i="3" s="1"/>
  <c r="B37" i="5" s="1"/>
  <c r="D37" i="5" s="1"/>
  <c r="K40" i="3" a="1"/>
  <c r="K40" i="3" s="1"/>
  <c r="B36" i="5" s="1"/>
  <c r="D36" i="5" s="1"/>
  <c r="K39" i="3" a="1"/>
  <c r="K39" i="3" s="1"/>
  <c r="B35" i="5" s="1"/>
  <c r="D35" i="5" s="1"/>
  <c r="K38" i="3" a="1"/>
  <c r="K38" i="3" s="1"/>
  <c r="B34" i="5" s="1"/>
  <c r="D34" i="5" s="1"/>
  <c r="K37" i="3" a="1"/>
  <c r="K37" i="3" s="1"/>
  <c r="D33" i="5" s="1"/>
  <c r="K36" i="3" a="1"/>
  <c r="K36" i="3" s="1"/>
  <c r="B32" i="5" s="1"/>
  <c r="D32" i="5" s="1"/>
  <c r="K35" i="3" a="1"/>
  <c r="K35" i="3" s="1"/>
  <c r="B31" i="5" s="1"/>
  <c r="D31" i="5" s="1"/>
  <c r="K34" i="3" a="1"/>
  <c r="K34" i="3" s="1"/>
  <c r="B30" i="5" s="1"/>
  <c r="D30" i="5" s="1"/>
  <c r="K33" i="3" a="1"/>
  <c r="K33" i="3" s="1"/>
  <c r="B29" i="5" s="1"/>
  <c r="D29" i="5" s="1"/>
  <c r="K32" i="3" a="1"/>
  <c r="K32" i="3" s="1"/>
  <c r="B28" i="5" s="1"/>
  <c r="D28" i="5" s="1"/>
  <c r="K31" i="3" a="1"/>
  <c r="K31" i="3" s="1"/>
  <c r="B27" i="5" s="1"/>
  <c r="D27" i="5" s="1"/>
  <c r="K30" i="3" a="1"/>
  <c r="K30" i="3" s="1"/>
  <c r="B26" i="5" s="1"/>
  <c r="D26" i="5" s="1"/>
  <c r="K29" i="3" a="1"/>
  <c r="K29" i="3" s="1"/>
  <c r="B25" i="5" s="1"/>
  <c r="D25" i="5" s="1"/>
  <c r="K28" i="3" a="1"/>
  <c r="K28" i="3" s="1"/>
  <c r="B24" i="5" s="1"/>
  <c r="D24" i="5" s="1"/>
  <c r="K27" i="3" a="1"/>
  <c r="K27" i="3" s="1"/>
  <c r="B23" i="5" s="1"/>
  <c r="D23" i="5" s="1"/>
  <c r="K26" i="3" a="1"/>
  <c r="K26" i="3" s="1"/>
  <c r="B22" i="5" s="1"/>
  <c r="D22" i="5" s="1"/>
  <c r="K25" i="3" a="1"/>
  <c r="K25" i="3" s="1"/>
  <c r="B21" i="5" s="1"/>
  <c r="D21" i="5" s="1"/>
  <c r="K24" i="3" a="1"/>
  <c r="K24" i="3" s="1"/>
  <c r="B20" i="5" s="1"/>
  <c r="D20" i="5" s="1"/>
  <c r="K23" i="3" a="1"/>
  <c r="K23" i="3" s="1"/>
  <c r="B19" i="5" s="1"/>
  <c r="D19" i="5" s="1"/>
  <c r="K22" i="3" a="1"/>
  <c r="K22" i="3" s="1"/>
  <c r="B18" i="5" s="1"/>
  <c r="D18" i="5" s="1"/>
  <c r="K21" i="3" a="1"/>
  <c r="K21" i="3" s="1"/>
  <c r="B17" i="5" s="1"/>
  <c r="D17" i="5" s="1"/>
  <c r="K20" i="3" a="1"/>
  <c r="K20" i="3" s="1"/>
  <c r="B16" i="5" s="1"/>
  <c r="D16" i="5" s="1"/>
  <c r="K19" i="3" a="1"/>
  <c r="K19" i="3" s="1"/>
  <c r="B15" i="5" s="1"/>
  <c r="D15" i="5" s="1"/>
  <c r="K18" i="3" a="1"/>
  <c r="K18" i="3" s="1"/>
  <c r="B14" i="5" s="1"/>
  <c r="D14" i="5" s="1"/>
  <c r="K17" i="3" a="1"/>
  <c r="K17" i="3" s="1"/>
  <c r="B13" i="5" s="1"/>
  <c r="D13" i="5" s="1"/>
  <c r="K16" i="3" a="1"/>
  <c r="K16" i="3" s="1"/>
  <c r="B12" i="5" s="1"/>
  <c r="D12" i="5" s="1"/>
  <c r="K15" i="3" a="1"/>
  <c r="K15" i="3" s="1"/>
  <c r="B11" i="5" s="1"/>
  <c r="D11" i="5" s="1"/>
  <c r="K14" i="3" a="1"/>
  <c r="K14" i="3" s="1"/>
  <c r="B10" i="5" s="1"/>
  <c r="D10" i="5" s="1"/>
  <c r="K13" i="3" a="1"/>
  <c r="K13" i="3" s="1"/>
  <c r="B9" i="5" s="1"/>
  <c r="D9" i="5" s="1"/>
  <c r="K12" i="3" a="1"/>
  <c r="K12" i="3" s="1"/>
  <c r="B8" i="5" s="1"/>
  <c r="D8" i="5" s="1"/>
  <c r="K11" i="3" a="1"/>
  <c r="K11" i="3" s="1"/>
  <c r="B7" i="5" s="1"/>
  <c r="D7" i="5" s="1"/>
  <c r="K10" i="3" a="1"/>
  <c r="K10" i="3" s="1"/>
  <c r="B6" i="5" s="1"/>
  <c r="D6" i="5" s="1"/>
  <c r="K9" i="3" a="1"/>
  <c r="K9" i="3" s="1"/>
  <c r="B5" i="5" s="1"/>
  <c r="D5" i="5" s="1"/>
  <c r="I42" i="3" a="1"/>
  <c r="I42" i="3" s="1"/>
  <c r="C38" i="5" s="1"/>
  <c r="I41" i="3" a="1"/>
  <c r="I41" i="3" s="1"/>
  <c r="C37" i="5" s="1"/>
  <c r="I40" i="3" a="1"/>
  <c r="I40" i="3" s="1"/>
  <c r="C36" i="5" s="1"/>
  <c r="I39" i="3" a="1"/>
  <c r="I39" i="3" s="1"/>
  <c r="C35" i="5" s="1"/>
  <c r="I38" i="3" a="1"/>
  <c r="I38" i="3" s="1"/>
  <c r="C34" i="5" s="1"/>
  <c r="I37" i="3" a="1"/>
  <c r="I37" i="3" s="1"/>
  <c r="I36" i="3" a="1"/>
  <c r="I36" i="3" s="1"/>
  <c r="C32" i="5" s="1"/>
  <c r="I35" i="3" a="1"/>
  <c r="I35" i="3" s="1"/>
  <c r="C31" i="5" s="1"/>
  <c r="I34" i="3" a="1"/>
  <c r="I34" i="3" s="1"/>
  <c r="C30" i="5" s="1"/>
  <c r="I33" i="3" a="1"/>
  <c r="I33" i="3" s="1"/>
  <c r="C29" i="5" s="1"/>
  <c r="I32" i="3" a="1"/>
  <c r="I32" i="3" s="1"/>
  <c r="C28" i="5" s="1"/>
  <c r="I31" i="3" a="1"/>
  <c r="I31" i="3" s="1"/>
  <c r="C27" i="5" s="1"/>
  <c r="I30" i="3" a="1"/>
  <c r="I30" i="3" s="1"/>
  <c r="C26" i="5" s="1"/>
  <c r="I29" i="3" a="1"/>
  <c r="I29" i="3" s="1"/>
  <c r="C25" i="5" s="1"/>
  <c r="I28" i="3" a="1"/>
  <c r="I28" i="3" s="1"/>
  <c r="C24" i="5" s="1"/>
  <c r="I27" i="3" a="1"/>
  <c r="I27" i="3" s="1"/>
  <c r="C23" i="5" s="1"/>
  <c r="I26" i="3" a="1"/>
  <c r="I26" i="3" s="1"/>
  <c r="C22" i="5" s="1"/>
  <c r="I25" i="3" a="1"/>
  <c r="I25" i="3" s="1"/>
  <c r="C21" i="5" s="1"/>
  <c r="I24" i="3" a="1"/>
  <c r="I24" i="3" s="1"/>
  <c r="C20" i="5" s="1"/>
  <c r="I23" i="3" a="1"/>
  <c r="I23" i="3" s="1"/>
  <c r="C19" i="5" s="1"/>
  <c r="I22" i="3" a="1"/>
  <c r="I22" i="3" s="1"/>
  <c r="C18" i="5" s="1"/>
  <c r="I21" i="3" a="1"/>
  <c r="I21" i="3" s="1"/>
  <c r="C17" i="5" s="1"/>
  <c r="I20" i="3" a="1"/>
  <c r="I20" i="3" s="1"/>
  <c r="C16" i="5" s="1"/>
  <c r="I19" i="3" a="1"/>
  <c r="I19" i="3" s="1"/>
  <c r="C15" i="5" s="1"/>
  <c r="I18" i="3" a="1"/>
  <c r="I18" i="3" s="1"/>
  <c r="C14" i="5" s="1"/>
  <c r="I17" i="3" a="1"/>
  <c r="I17" i="3" s="1"/>
  <c r="C13" i="5" s="1"/>
  <c r="I16" i="3" a="1"/>
  <c r="I16" i="3" s="1"/>
  <c r="C12" i="5" s="1"/>
  <c r="I15" i="3" a="1"/>
  <c r="I15" i="3" s="1"/>
  <c r="C11" i="5" s="1"/>
  <c r="I14" i="3" a="1"/>
  <c r="I14" i="3" s="1"/>
  <c r="C10" i="5" s="1"/>
  <c r="I13" i="3" a="1"/>
  <c r="I13" i="3" s="1"/>
  <c r="C9" i="5" s="1"/>
  <c r="I12" i="3" a="1"/>
  <c r="I12" i="3" s="1"/>
  <c r="C8" i="5" s="1"/>
  <c r="I11" i="3" a="1"/>
  <c r="I11" i="3" s="1"/>
  <c r="C7" i="5" s="1"/>
  <c r="I10" i="3" a="1"/>
  <c r="I10" i="3" s="1"/>
  <c r="C6" i="5" s="1"/>
  <c r="I9" i="3" a="1"/>
  <c r="I9" i="3" s="1"/>
  <c r="C5" i="5" s="1"/>
  <c r="E18" i="5" l="1"/>
  <c r="E34" i="5"/>
  <c r="E26" i="5"/>
  <c r="E12" i="5"/>
  <c r="E20" i="5"/>
  <c r="E28" i="5"/>
  <c r="E36" i="5"/>
  <c r="E5" i="5"/>
  <c r="E21" i="5"/>
  <c r="E29" i="5"/>
  <c r="E37" i="5"/>
  <c r="E13" i="5"/>
  <c r="E8" i="5"/>
  <c r="E16" i="5"/>
  <c r="E24" i="5"/>
  <c r="E32" i="5"/>
  <c r="E9" i="5"/>
  <c r="E17" i="5"/>
  <c r="E11" i="5"/>
  <c r="E19" i="5"/>
  <c r="E27" i="5"/>
  <c r="E35" i="5"/>
  <c r="E6" i="5"/>
  <c r="E14" i="5"/>
  <c r="E22" i="5"/>
  <c r="E30" i="5"/>
  <c r="E38" i="5"/>
  <c r="E25" i="5"/>
  <c r="E7" i="5"/>
  <c r="E23" i="5"/>
  <c r="E33" i="5"/>
  <c r="E15" i="5"/>
  <c r="E31" i="5"/>
  <c r="E10" i="5"/>
  <c r="AG83" i="3" a="1"/>
  <c r="AG83" i="3" s="1"/>
  <c r="AG161" i="3" a="1"/>
  <c r="AG161" i="3" s="1"/>
  <c r="AO83" i="3" a="1"/>
  <c r="AO83" i="3" s="1"/>
  <c r="AO161" i="3" a="1"/>
  <c r="AO161" i="3" s="1"/>
  <c r="AW83" i="3" a="1"/>
  <c r="AW83" i="3" s="1"/>
  <c r="AW161" i="3" a="1"/>
  <c r="AW161" i="3" s="1"/>
  <c r="BE83" i="3" a="1"/>
  <c r="BE83" i="3" s="1"/>
  <c r="BE161" i="3" a="1"/>
  <c r="BE161" i="3" s="1"/>
  <c r="BM83" i="3" a="1"/>
  <c r="BM83" i="3" s="1"/>
  <c r="BM161" i="3" a="1"/>
  <c r="BM161" i="3" s="1"/>
  <c r="BU83" i="3" a="1"/>
  <c r="BU83" i="3" s="1"/>
  <c r="Y239" i="3" a="1"/>
  <c r="Y239" i="3" s="1"/>
  <c r="AG239" i="3" a="1"/>
  <c r="AG239" i="3" s="1"/>
  <c r="AO239" i="3" a="1"/>
  <c r="AO239" i="3" s="1"/>
  <c r="AW239" i="3" a="1"/>
  <c r="AW239" i="3" s="1"/>
  <c r="BE239" i="3" a="1"/>
  <c r="BE239" i="3" s="1"/>
  <c r="BM239" i="3" a="1"/>
  <c r="BM239" i="3" s="1"/>
  <c r="BU161" i="3" a="1"/>
  <c r="BU161" i="3" s="1"/>
  <c r="BU239" i="3" a="1"/>
  <c r="BU239" i="3" s="1"/>
  <c r="I122" i="3" a="1"/>
  <c r="I122" i="3" s="1"/>
  <c r="I200" i="3" a="1"/>
  <c r="I200" i="3" s="1"/>
  <c r="Q44" i="3" a="1"/>
  <c r="Q44" i="3" s="1"/>
  <c r="Q122" i="3" a="1"/>
  <c r="Q122" i="3" s="1"/>
  <c r="Q200" i="3" a="1"/>
  <c r="Q200" i="3" s="1"/>
  <c r="Y44" i="3" a="1"/>
  <c r="Y44" i="3" s="1"/>
  <c r="Y122" i="3" a="1"/>
  <c r="Y122" i="3" s="1"/>
  <c r="Y200" i="3" a="1"/>
  <c r="Y200" i="3" s="1"/>
  <c r="AG44" i="3" a="1"/>
  <c r="AG44" i="3" s="1"/>
  <c r="AG122" i="3" a="1"/>
  <c r="AG122" i="3" s="1"/>
  <c r="AG200" i="3" a="1"/>
  <c r="AG200" i="3" s="1"/>
  <c r="AO44" i="3" a="1"/>
  <c r="AO44" i="3" s="1"/>
  <c r="AO122" i="3" a="1"/>
  <c r="AO122" i="3" s="1"/>
  <c r="AO200" i="3" a="1"/>
  <c r="AO200" i="3" s="1"/>
  <c r="AW44" i="3" a="1"/>
  <c r="AW44" i="3" s="1"/>
  <c r="AW122" i="3" a="1"/>
  <c r="AW122" i="3" s="1"/>
  <c r="AW200" i="3" a="1"/>
  <c r="AW200" i="3" s="1"/>
  <c r="BE44" i="3" a="1"/>
  <c r="BE44" i="3" s="1"/>
  <c r="BE122" i="3" a="1"/>
  <c r="BE122" i="3" s="1"/>
  <c r="BE200" i="3" a="1"/>
  <c r="BE200" i="3" s="1"/>
  <c r="BM44" i="3" a="1"/>
  <c r="BM44" i="3" s="1"/>
  <c r="BM122" i="3" a="1"/>
  <c r="BM122" i="3" s="1"/>
  <c r="BM200" i="3" a="1"/>
  <c r="BM200" i="3" s="1"/>
  <c r="BU44" i="3" a="1"/>
  <c r="BU44" i="3" s="1"/>
  <c r="BU122" i="3" a="1"/>
  <c r="BU122" i="3" s="1"/>
  <c r="BU200" i="3" a="1"/>
  <c r="BU200" i="3" s="1"/>
  <c r="K122" i="3" a="1"/>
  <c r="K122" i="3" s="1"/>
  <c r="K121" i="3"/>
  <c r="K123" i="3"/>
  <c r="K200" i="3" a="1"/>
  <c r="K200" i="3" s="1"/>
  <c r="K199" i="3"/>
  <c r="K201" i="3"/>
  <c r="S45" i="3"/>
  <c r="S44" i="3" a="1"/>
  <c r="S44" i="3" s="1"/>
  <c r="S43" i="3"/>
  <c r="S121" i="3"/>
  <c r="S123" i="3"/>
  <c r="S122" i="3" a="1"/>
  <c r="S122" i="3" s="1"/>
  <c r="S199" i="3"/>
  <c r="S200" i="3" a="1"/>
  <c r="S200" i="3" s="1"/>
  <c r="S201" i="3"/>
  <c r="AA44" i="3" a="1"/>
  <c r="AA44" i="3" s="1"/>
  <c r="AA45" i="3"/>
  <c r="AA43" i="3"/>
  <c r="AA121" i="3"/>
  <c r="AA123" i="3"/>
  <c r="AA122" i="3" a="1"/>
  <c r="AA122" i="3" s="1"/>
  <c r="AA200" i="3" a="1"/>
  <c r="AA200" i="3" s="1"/>
  <c r="AA201" i="3"/>
  <c r="AA199" i="3"/>
  <c r="AI44" i="3" a="1"/>
  <c r="AI44" i="3" s="1"/>
  <c r="AI43" i="3"/>
  <c r="AI45" i="3"/>
  <c r="AI123" i="3"/>
  <c r="AI122" i="3" a="1"/>
  <c r="AI122" i="3" s="1"/>
  <c r="AI121" i="3"/>
  <c r="AI200" i="3" a="1"/>
  <c r="AI200" i="3" s="1"/>
  <c r="AI201" i="3"/>
  <c r="AI199" i="3"/>
  <c r="AQ45" i="3"/>
  <c r="AQ44" i="3" a="1"/>
  <c r="AQ44" i="3" s="1"/>
  <c r="AQ43" i="3"/>
  <c r="AQ123" i="3"/>
  <c r="AQ122" i="3" a="1"/>
  <c r="AQ122" i="3" s="1"/>
  <c r="AQ121" i="3"/>
  <c r="AQ200" i="3" a="1"/>
  <c r="AQ200" i="3" s="1"/>
  <c r="AQ199" i="3"/>
  <c r="AQ201" i="3"/>
  <c r="AY43" i="3"/>
  <c r="AY45" i="3"/>
  <c r="AY44" i="3" a="1"/>
  <c r="AY44" i="3" s="1"/>
  <c r="AY121" i="3"/>
  <c r="AY123" i="3"/>
  <c r="AY122" i="3" a="1"/>
  <c r="AY122" i="3" s="1"/>
  <c r="AY199" i="3"/>
  <c r="AY201" i="3"/>
  <c r="AY200" i="3" a="1"/>
  <c r="AY200" i="3" s="1"/>
  <c r="BG45" i="3"/>
  <c r="BG44" i="3" a="1"/>
  <c r="BG44" i="3" s="1"/>
  <c r="BG43" i="3"/>
  <c r="BG123" i="3"/>
  <c r="BG122" i="3" a="1"/>
  <c r="BG122" i="3" s="1"/>
  <c r="BG121" i="3"/>
  <c r="BG201" i="3"/>
  <c r="BG199" i="3"/>
  <c r="BG200" i="3" a="1"/>
  <c r="BG200" i="3" s="1"/>
  <c r="BO43" i="3"/>
  <c r="R223" i="4" s="1"/>
  <c r="BO45" i="3"/>
  <c r="BO44" i="3" a="1"/>
  <c r="BO44" i="3" s="1"/>
  <c r="BO122" i="3" a="1"/>
  <c r="BO122" i="3" s="1"/>
  <c r="BO123" i="3"/>
  <c r="BO121" i="3"/>
  <c r="BO201" i="3"/>
  <c r="BO200" i="3" a="1"/>
  <c r="BO200" i="3" s="1"/>
  <c r="BO199" i="3"/>
  <c r="BW43" i="3"/>
  <c r="BW45" i="3"/>
  <c r="BW44" i="3" a="1"/>
  <c r="BW44" i="3" s="1"/>
  <c r="BW121" i="3"/>
  <c r="BW123" i="3"/>
  <c r="BW122" i="3" a="1"/>
  <c r="BW122" i="3" s="1"/>
  <c r="BW200" i="3" a="1"/>
  <c r="BW200" i="3" s="1"/>
  <c r="BW201" i="3"/>
  <c r="BW199" i="3"/>
  <c r="I44" i="3" a="1"/>
  <c r="I44" i="3" s="1"/>
  <c r="K45" i="3"/>
  <c r="I83" i="3" a="1"/>
  <c r="I83" i="3" s="1"/>
  <c r="I161" i="3" a="1"/>
  <c r="I161" i="3" s="1"/>
  <c r="I239" i="3" a="1"/>
  <c r="I239" i="3" s="1"/>
  <c r="Q83" i="3" a="1"/>
  <c r="Q83" i="3" s="1"/>
  <c r="Q161" i="3" a="1"/>
  <c r="Q161" i="3" s="1"/>
  <c r="Q239" i="3" a="1"/>
  <c r="Q239" i="3" s="1"/>
  <c r="Y83" i="3" a="1"/>
  <c r="Y83" i="3" s="1"/>
  <c r="Y161" i="3" a="1"/>
  <c r="Y161" i="3" s="1"/>
  <c r="K83" i="3" a="1"/>
  <c r="K83" i="3" s="1"/>
  <c r="K82" i="3"/>
  <c r="K84" i="3"/>
  <c r="K161" i="3" a="1"/>
  <c r="K161" i="3" s="1"/>
  <c r="K160" i="3"/>
  <c r="K162" i="3"/>
  <c r="K240" i="3"/>
  <c r="K239" i="3" a="1"/>
  <c r="K239" i="3" s="1"/>
  <c r="K238" i="3"/>
  <c r="S82" i="3"/>
  <c r="S84" i="3"/>
  <c r="S83" i="3" a="1"/>
  <c r="S83" i="3" s="1"/>
  <c r="S160" i="3"/>
  <c r="S162" i="3"/>
  <c r="S161" i="3" a="1"/>
  <c r="S161" i="3" s="1"/>
  <c r="S239" i="3" a="1"/>
  <c r="S239" i="3" s="1"/>
  <c r="S238" i="3"/>
  <c r="S240" i="3"/>
  <c r="AA82" i="3"/>
  <c r="AA83" i="3" a="1"/>
  <c r="AA83" i="3" s="1"/>
  <c r="AA84" i="3"/>
  <c r="AA160" i="3"/>
  <c r="AA162" i="3"/>
  <c r="AA161" i="3" a="1"/>
  <c r="AA161" i="3" s="1"/>
  <c r="AA238" i="3"/>
  <c r="AA240" i="3"/>
  <c r="AA239" i="3" a="1"/>
  <c r="AA239" i="3" s="1"/>
  <c r="AI84" i="3"/>
  <c r="AI83" i="3" a="1"/>
  <c r="AI83" i="3" s="1"/>
  <c r="AI82" i="3"/>
  <c r="AI162" i="3"/>
  <c r="AI161" i="3" a="1"/>
  <c r="AI161" i="3" s="1"/>
  <c r="AI160" i="3"/>
  <c r="AI238" i="3"/>
  <c r="AI240" i="3"/>
  <c r="AI239" i="3" a="1"/>
  <c r="AI239" i="3" s="1"/>
  <c r="AQ83" i="3" a="1"/>
  <c r="AQ83" i="3" s="1"/>
  <c r="AQ84" i="3"/>
  <c r="AQ82" i="3"/>
  <c r="AQ162" i="3"/>
  <c r="AQ160" i="3"/>
  <c r="AQ161" i="3" a="1"/>
  <c r="AQ161" i="3" s="1"/>
  <c r="AQ239" i="3" a="1"/>
  <c r="AQ239" i="3" s="1"/>
  <c r="AQ240" i="3"/>
  <c r="AQ238" i="3"/>
  <c r="AY84" i="3"/>
  <c r="AY82" i="3"/>
  <c r="AY83" i="3" a="1"/>
  <c r="AY83" i="3" s="1"/>
  <c r="AY160" i="3"/>
  <c r="AY161" i="3" a="1"/>
  <c r="AY161" i="3" s="1"/>
  <c r="AY162" i="3"/>
  <c r="AY239" i="3" a="1"/>
  <c r="AY239" i="3" s="1"/>
  <c r="AY240" i="3"/>
  <c r="AY238" i="3"/>
  <c r="BG82" i="3"/>
  <c r="BG83" i="3" a="1"/>
  <c r="BG83" i="3" s="1"/>
  <c r="BG84" i="3"/>
  <c r="BG161" i="3" a="1"/>
  <c r="BG161" i="3" s="1"/>
  <c r="BG162" i="3"/>
  <c r="BG160" i="3"/>
  <c r="BG238" i="3"/>
  <c r="BG240" i="3"/>
  <c r="BG239" i="3" a="1"/>
  <c r="BG239" i="3" s="1"/>
  <c r="BO83" i="3" a="1"/>
  <c r="BO83" i="3" s="1"/>
  <c r="BO84" i="3"/>
  <c r="BO82" i="3"/>
  <c r="BO161" i="3" a="1"/>
  <c r="BO161" i="3" s="1"/>
  <c r="BO160" i="3"/>
  <c r="BO162" i="3"/>
  <c r="BO240" i="3"/>
  <c r="BO239" i="3" a="1"/>
  <c r="BO239" i="3" s="1"/>
  <c r="BO238" i="3"/>
  <c r="BW83" i="3" a="1"/>
  <c r="BW83" i="3" s="1"/>
  <c r="BW82" i="3"/>
  <c r="BW84" i="3"/>
  <c r="BW160" i="3"/>
  <c r="BW162" i="3"/>
  <c r="BW161" i="3" a="1"/>
  <c r="BW161" i="3" s="1"/>
  <c r="BW240" i="3"/>
  <c r="BW239" i="3" a="1"/>
  <c r="BW239" i="3" s="1"/>
  <c r="BW238" i="3"/>
  <c r="F220" i="4"/>
  <c r="F224" i="4"/>
  <c r="H220" i="4"/>
  <c r="J220" i="4"/>
  <c r="L220" i="4"/>
  <c r="L223" i="4"/>
  <c r="N220" i="4"/>
  <c r="P220" i="4"/>
  <c r="R220" i="4"/>
  <c r="T220" i="4"/>
  <c r="K44" i="3" a="1"/>
  <c r="K44" i="3" s="1"/>
  <c r="D220" i="4"/>
  <c r="K43" i="3"/>
  <c r="D221" i="4"/>
  <c r="F221" i="4"/>
  <c r="F225" i="4"/>
  <c r="H221" i="4"/>
  <c r="J221" i="4"/>
  <c r="L221" i="4"/>
  <c r="N221" i="4"/>
  <c r="P221" i="4"/>
  <c r="R221" i="4"/>
  <c r="T221" i="4"/>
  <c r="D222" i="4"/>
  <c r="F222" i="4"/>
  <c r="H222" i="4"/>
  <c r="J222" i="4"/>
  <c r="L222" i="4"/>
  <c r="N222" i="4"/>
  <c r="P222" i="4"/>
  <c r="R222" i="4"/>
  <c r="T222" i="4"/>
  <c r="F223" i="4"/>
  <c r="P223" i="4"/>
  <c r="M14" i="3"/>
  <c r="M22" i="3"/>
  <c r="O52" i="3"/>
  <c r="O59" i="3"/>
  <c r="O66" i="3"/>
  <c r="O73" i="3"/>
  <c r="O97" i="3"/>
  <c r="O101" i="3"/>
  <c r="O115" i="3"/>
  <c r="O119" i="3"/>
  <c r="O128" i="3"/>
  <c r="O139" i="3"/>
  <c r="O143" i="3"/>
  <c r="O146" i="3"/>
  <c r="O150" i="3"/>
  <c r="O154" i="3"/>
  <c r="O158" i="3"/>
  <c r="O167" i="3"/>
  <c r="O174" i="3"/>
  <c r="O178" i="3"/>
  <c r="O182" i="3"/>
  <c r="O185" i="3"/>
  <c r="O189" i="3"/>
  <c r="O193" i="3"/>
  <c r="O197" i="3"/>
  <c r="O206" i="3"/>
  <c r="O209" i="3"/>
  <c r="O213" i="3"/>
  <c r="O228" i="3"/>
  <c r="O32" i="3"/>
  <c r="O13" i="3"/>
  <c r="O24" i="3"/>
  <c r="BQ130" i="3"/>
  <c r="O16" i="3"/>
  <c r="O10" i="3"/>
  <c r="O18" i="3"/>
  <c r="O26" i="3"/>
  <c r="O34" i="3"/>
  <c r="O42" i="3"/>
  <c r="O11" i="3"/>
  <c r="O12" i="3"/>
  <c r="O20" i="3"/>
  <c r="O28" i="3"/>
  <c r="O36" i="3"/>
  <c r="O58" i="3"/>
  <c r="O15" i="3"/>
  <c r="O23" i="3"/>
  <c r="O31" i="3"/>
  <c r="O39" i="3"/>
  <c r="O49" i="3"/>
  <c r="O56" i="3"/>
  <c r="O63" i="3"/>
  <c r="O70" i="3"/>
  <c r="O77" i="3"/>
  <c r="O81" i="3"/>
  <c r="O90" i="3"/>
  <c r="O94" i="3"/>
  <c r="O105" i="3"/>
  <c r="O108" i="3"/>
  <c r="O132" i="3"/>
  <c r="O171" i="3"/>
  <c r="O217" i="3"/>
  <c r="O225" i="3"/>
  <c r="O229" i="3"/>
  <c r="O40" i="3"/>
  <c r="O60" i="3"/>
  <c r="O74" i="3"/>
  <c r="O98" i="3"/>
  <c r="O112" i="3"/>
  <c r="O116" i="3"/>
  <c r="O120" i="3"/>
  <c r="O129" i="3"/>
  <c r="O136" i="3"/>
  <c r="O140" i="3"/>
  <c r="O147" i="3"/>
  <c r="O151" i="3"/>
  <c r="O155" i="3"/>
  <c r="O159" i="3"/>
  <c r="O175" i="3"/>
  <c r="O190" i="3"/>
  <c r="O194" i="3"/>
  <c r="O198" i="3"/>
  <c r="O210" i="3"/>
  <c r="O214" i="3"/>
  <c r="O218" i="3"/>
  <c r="O222" i="3"/>
  <c r="O236" i="3"/>
  <c r="O9" i="3"/>
  <c r="O17" i="3"/>
  <c r="O25" i="3"/>
  <c r="O33" i="3"/>
  <c r="O41" i="3"/>
  <c r="O50" i="3"/>
  <c r="O53" i="3"/>
  <c r="O64" i="3"/>
  <c r="O67" i="3"/>
  <c r="O71" i="3"/>
  <c r="O78" i="3"/>
  <c r="O87" i="3"/>
  <c r="O91" i="3"/>
  <c r="O95" i="3"/>
  <c r="O102" i="3"/>
  <c r="O109" i="3"/>
  <c r="O133" i="3"/>
  <c r="O144" i="3"/>
  <c r="O168" i="3"/>
  <c r="O172" i="3"/>
  <c r="O179" i="3"/>
  <c r="O183" i="3"/>
  <c r="O186" i="3"/>
  <c r="O207" i="3"/>
  <c r="O233" i="3"/>
  <c r="O237" i="3"/>
  <c r="O57" i="3"/>
  <c r="O99" i="3"/>
  <c r="O106" i="3"/>
  <c r="O113" i="3"/>
  <c r="O117" i="3"/>
  <c r="O126" i="3"/>
  <c r="O137" i="3"/>
  <c r="O141" i="3"/>
  <c r="O148" i="3"/>
  <c r="O152" i="3"/>
  <c r="O156" i="3"/>
  <c r="O165" i="3"/>
  <c r="O176" i="3"/>
  <c r="O180" i="3"/>
  <c r="O187" i="3"/>
  <c r="O191" i="3"/>
  <c r="O204" i="3"/>
  <c r="O211" i="3"/>
  <c r="O219" i="3"/>
  <c r="O226" i="3"/>
  <c r="O230" i="3"/>
  <c r="O19" i="3"/>
  <c r="O27" i="3"/>
  <c r="O35" i="3"/>
  <c r="O221" i="3"/>
  <c r="O51" i="3"/>
  <c r="O54" i="3"/>
  <c r="O61" i="3"/>
  <c r="O68" i="3"/>
  <c r="O72" i="3"/>
  <c r="O75" i="3"/>
  <c r="O79" i="3"/>
  <c r="O88" i="3"/>
  <c r="O92" i="3"/>
  <c r="O103" i="3"/>
  <c r="O110" i="3"/>
  <c r="O130" i="3"/>
  <c r="O134" i="3"/>
  <c r="O169" i="3"/>
  <c r="O173" i="3"/>
  <c r="O195" i="3"/>
  <c r="O215" i="3"/>
  <c r="O223" i="3"/>
  <c r="O227" i="3"/>
  <c r="O234" i="3"/>
  <c r="O65" i="3"/>
  <c r="O96" i="3"/>
  <c r="O100" i="3"/>
  <c r="O114" i="3"/>
  <c r="O118" i="3"/>
  <c r="O127" i="3"/>
  <c r="O138" i="3"/>
  <c r="O142" i="3"/>
  <c r="O145" i="3"/>
  <c r="O149" i="3"/>
  <c r="O153" i="3"/>
  <c r="O157" i="3"/>
  <c r="O166" i="3"/>
  <c r="O177" i="3"/>
  <c r="O181" i="3"/>
  <c r="O184" i="3"/>
  <c r="O188" i="3"/>
  <c r="O192" i="3"/>
  <c r="O196" i="3"/>
  <c r="O205" i="3"/>
  <c r="O208" i="3"/>
  <c r="O212" i="3"/>
  <c r="O216" i="3"/>
  <c r="O220" i="3"/>
  <c r="O231" i="3"/>
  <c r="O21" i="3"/>
  <c r="O29" i="3"/>
  <c r="O37" i="3"/>
  <c r="O48" i="3"/>
  <c r="O55" i="3"/>
  <c r="O62" i="3"/>
  <c r="O69" i="3"/>
  <c r="O76" i="3"/>
  <c r="O80" i="3"/>
  <c r="O89" i="3"/>
  <c r="O93" i="3"/>
  <c r="O104" i="3"/>
  <c r="O107" i="3"/>
  <c r="O111" i="3"/>
  <c r="O131" i="3"/>
  <c r="O135" i="3"/>
  <c r="O170" i="3"/>
  <c r="O224" i="3"/>
  <c r="O235" i="3"/>
  <c r="O232" i="3"/>
  <c r="BA158" i="3"/>
  <c r="BA234" i="3"/>
  <c r="BY51" i="3"/>
  <c r="BY128" i="3"/>
  <c r="BY175" i="3"/>
  <c r="AS92" i="3"/>
  <c r="U87" i="3"/>
  <c r="AK177" i="3"/>
  <c r="BA68" i="3"/>
  <c r="M30" i="3"/>
  <c r="M38" i="3"/>
  <c r="U152" i="3"/>
  <c r="M16" i="3"/>
  <c r="W20" i="3"/>
  <c r="AS98" i="3"/>
  <c r="BQ230" i="3"/>
  <c r="BY210" i="3"/>
  <c r="O14" i="3"/>
  <c r="O22" i="3"/>
  <c r="O30" i="3"/>
  <c r="O38" i="3"/>
  <c r="AC167" i="3"/>
  <c r="U169" i="3"/>
  <c r="U177" i="3"/>
  <c r="U185" i="3"/>
  <c r="U193" i="3"/>
  <c r="U191" i="3"/>
  <c r="U206" i="3"/>
  <c r="U214" i="3"/>
  <c r="U222" i="3"/>
  <c r="U166" i="3"/>
  <c r="U174" i="3"/>
  <c r="U182" i="3"/>
  <c r="U190" i="3"/>
  <c r="U198" i="3"/>
  <c r="U211" i="3"/>
  <c r="U219" i="3"/>
  <c r="U227" i="3"/>
  <c r="U235" i="3"/>
  <c r="U128" i="3"/>
  <c r="U208" i="3"/>
  <c r="U216" i="3"/>
  <c r="U224" i="3"/>
  <c r="U232" i="3"/>
  <c r="W72" i="3"/>
  <c r="U76" i="3"/>
  <c r="U171" i="3"/>
  <c r="U179" i="3"/>
  <c r="U187" i="3"/>
  <c r="U195" i="3"/>
  <c r="U172" i="3"/>
  <c r="U180" i="3"/>
  <c r="U188" i="3"/>
  <c r="U196" i="3"/>
  <c r="U229" i="3"/>
  <c r="AC143" i="3"/>
  <c r="AC171" i="3"/>
  <c r="AC127" i="3"/>
  <c r="AC184" i="3"/>
  <c r="AC36" i="3"/>
  <c r="AK172" i="3"/>
  <c r="AK142" i="3"/>
  <c r="AK158" i="3"/>
  <c r="AK206" i="3"/>
  <c r="AK135" i="3"/>
  <c r="AK211" i="3"/>
  <c r="AK219" i="3"/>
  <c r="AK227" i="3"/>
  <c r="AM71" i="3"/>
  <c r="AK168" i="3"/>
  <c r="AS149" i="3"/>
  <c r="AS95" i="3"/>
  <c r="AS234" i="3"/>
  <c r="AS133" i="3"/>
  <c r="AS61" i="3"/>
  <c r="AS109" i="3"/>
  <c r="AS192" i="3"/>
  <c r="AS176" i="3"/>
  <c r="BA205" i="3"/>
  <c r="BA213" i="3"/>
  <c r="BA221" i="3"/>
  <c r="BA229" i="3"/>
  <c r="BA207" i="3"/>
  <c r="BA222" i="3"/>
  <c r="BA230" i="3"/>
  <c r="BA146" i="3"/>
  <c r="BA133" i="3"/>
  <c r="BI206" i="3"/>
  <c r="BI214" i="3"/>
  <c r="BI222" i="3"/>
  <c r="BI230" i="3"/>
  <c r="BI205" i="3"/>
  <c r="BI213" i="3"/>
  <c r="BI221" i="3"/>
  <c r="BI229" i="3"/>
  <c r="BY68" i="3"/>
  <c r="BY136" i="3"/>
  <c r="BY206" i="3"/>
  <c r="BY214" i="3"/>
  <c r="BY222" i="3"/>
  <c r="BY230" i="3"/>
  <c r="BY167" i="3"/>
  <c r="BY207" i="3"/>
  <c r="BY215" i="3"/>
  <c r="BY223" i="3"/>
  <c r="BY231" i="3"/>
  <c r="BY141" i="3"/>
  <c r="BY187" i="3"/>
  <c r="BY195" i="3"/>
  <c r="BY171" i="3"/>
  <c r="BY179" i="3"/>
  <c r="BY183" i="3"/>
  <c r="BY191" i="3"/>
  <c r="BY234" i="3"/>
  <c r="BY90" i="3"/>
  <c r="BY205" i="3"/>
  <c r="BY213" i="3"/>
  <c r="BY221" i="3"/>
  <c r="BY229" i="3"/>
  <c r="BY168" i="3"/>
  <c r="BY172" i="3"/>
  <c r="BY180" i="3"/>
  <c r="BY188" i="3"/>
  <c r="BY196" i="3"/>
  <c r="BQ206" i="3"/>
  <c r="BQ126" i="3"/>
  <c r="BQ134" i="3"/>
  <c r="BQ207" i="3"/>
  <c r="BQ215" i="3"/>
  <c r="BQ223" i="3"/>
  <c r="BQ231" i="3"/>
  <c r="BQ205" i="3"/>
  <c r="BQ213" i="3"/>
  <c r="BQ221" i="3"/>
  <c r="BQ229" i="3"/>
  <c r="BQ234" i="3"/>
  <c r="CA94" i="3"/>
  <c r="CA68" i="3"/>
  <c r="CA65" i="3"/>
  <c r="BY42" i="3"/>
  <c r="CA31" i="3"/>
  <c r="CA24" i="3"/>
  <c r="BY24" i="3"/>
  <c r="CA27" i="3"/>
  <c r="CA30" i="3"/>
  <c r="BY30" i="3"/>
  <c r="BY38" i="3"/>
  <c r="CA41" i="3"/>
  <c r="CA49" i="3"/>
  <c r="CA52" i="3"/>
  <c r="CA55" i="3"/>
  <c r="BY55" i="3"/>
  <c r="CA64" i="3"/>
  <c r="CA67" i="3"/>
  <c r="CA73" i="3"/>
  <c r="CA76" i="3"/>
  <c r="CA79" i="3"/>
  <c r="BY118" i="3"/>
  <c r="CA91" i="3"/>
  <c r="BY91" i="3"/>
  <c r="CA100" i="3"/>
  <c r="BY100" i="3"/>
  <c r="CA103" i="3"/>
  <c r="BY103" i="3"/>
  <c r="BY105" i="3"/>
  <c r="BY108" i="3"/>
  <c r="CA10" i="3"/>
  <c r="BY10" i="3"/>
  <c r="BY14" i="3"/>
  <c r="CA14" i="3"/>
  <c r="CA18" i="3"/>
  <c r="BY18" i="3"/>
  <c r="CA21" i="3"/>
  <c r="BY21" i="3"/>
  <c r="CA34" i="3"/>
  <c r="BY34" i="3"/>
  <c r="CA38" i="3"/>
  <c r="BY52" i="3"/>
  <c r="CA71" i="3"/>
  <c r="BY71" i="3"/>
  <c r="BY79" i="3"/>
  <c r="CA88" i="3"/>
  <c r="BY88" i="3"/>
  <c r="CA106" i="3"/>
  <c r="CA112" i="3"/>
  <c r="BY31" i="3"/>
  <c r="BY35" i="3"/>
  <c r="CA35" i="3"/>
  <c r="CA39" i="3"/>
  <c r="BY39" i="3"/>
  <c r="CA74" i="3"/>
  <c r="BY74" i="3"/>
  <c r="CA77" i="3"/>
  <c r="BY77" i="3"/>
  <c r="CA80" i="3"/>
  <c r="CA92" i="3"/>
  <c r="BY92" i="3"/>
  <c r="CA95" i="3"/>
  <c r="BY95" i="3"/>
  <c r="CA98" i="3"/>
  <c r="CA109" i="3"/>
  <c r="BY112" i="3"/>
  <c r="CA11" i="3"/>
  <c r="BY11" i="3"/>
  <c r="CA15" i="3"/>
  <c r="BY15" i="3"/>
  <c r="CA22" i="3"/>
  <c r="BY22" i="3"/>
  <c r="CA25" i="3"/>
  <c r="BY25" i="3"/>
  <c r="CA42" i="3"/>
  <c r="CA53" i="3"/>
  <c r="CA56" i="3"/>
  <c r="BY56" i="3"/>
  <c r="CA101" i="3"/>
  <c r="BY101" i="3"/>
  <c r="BY104" i="3"/>
  <c r="CA19" i="3"/>
  <c r="BY28" i="3"/>
  <c r="CA32" i="3"/>
  <c r="BY32" i="3"/>
  <c r="CA36" i="3"/>
  <c r="BY36" i="3"/>
  <c r="CA40" i="3"/>
  <c r="BY40" i="3"/>
  <c r="CA48" i="3"/>
  <c r="BY49" i="3"/>
  <c r="CA59" i="3"/>
  <c r="BY62" i="3"/>
  <c r="CA66" i="3"/>
  <c r="BY66" i="3"/>
  <c r="CA69" i="3"/>
  <c r="BY69" i="3"/>
  <c r="CA72" i="3"/>
  <c r="CA78" i="3"/>
  <c r="BY78" i="3"/>
  <c r="CA89" i="3"/>
  <c r="BY89" i="3"/>
  <c r="CA107" i="3"/>
  <c r="CA110" i="3"/>
  <c r="BY12" i="3"/>
  <c r="CA12" i="3"/>
  <c r="CA16" i="3"/>
  <c r="BY16" i="3"/>
  <c r="CA26" i="3"/>
  <c r="BY26" i="3"/>
  <c r="CA29" i="3"/>
  <c r="BY29" i="3"/>
  <c r="CA57" i="3"/>
  <c r="CA63" i="3"/>
  <c r="BY63" i="3"/>
  <c r="CA75" i="3"/>
  <c r="BY75" i="3"/>
  <c r="CA81" i="3"/>
  <c r="BY93" i="3"/>
  <c r="BY110" i="3"/>
  <c r="CA114" i="3"/>
  <c r="BY114" i="3"/>
  <c r="CA20" i="3"/>
  <c r="BY20" i="3"/>
  <c r="CA23" i="3"/>
  <c r="CA33" i="3"/>
  <c r="BY33" i="3"/>
  <c r="CA37" i="3"/>
  <c r="BY37" i="3"/>
  <c r="CA60" i="3"/>
  <c r="BY60" i="3"/>
  <c r="CA93" i="3"/>
  <c r="CA99" i="3"/>
  <c r="CA102" i="3"/>
  <c r="CA9" i="3"/>
  <c r="BY9" i="3"/>
  <c r="CA13" i="3"/>
  <c r="BY13" i="3"/>
  <c r="CA17" i="3"/>
  <c r="BY17" i="3"/>
  <c r="BY41" i="3"/>
  <c r="CA51" i="3"/>
  <c r="CA58" i="3"/>
  <c r="BY58" i="3"/>
  <c r="BY61" i="3"/>
  <c r="CA61" i="3"/>
  <c r="BY64" i="3"/>
  <c r="BY67" i="3"/>
  <c r="BY87" i="3"/>
  <c r="CA87" i="3"/>
  <c r="CA90" i="3"/>
  <c r="CA97" i="3"/>
  <c r="BY97" i="3"/>
  <c r="CA105" i="3"/>
  <c r="CA111" i="3"/>
  <c r="CA28" i="3"/>
  <c r="CA54" i="3"/>
  <c r="BY81" i="3"/>
  <c r="BY107" i="3"/>
  <c r="CA117" i="3"/>
  <c r="BY117" i="3"/>
  <c r="CA131" i="3"/>
  <c r="CA134" i="3"/>
  <c r="BY144" i="3"/>
  <c r="BY72" i="3"/>
  <c r="BY98" i="3"/>
  <c r="BY120" i="3"/>
  <c r="BY137" i="3"/>
  <c r="BY57" i="3"/>
  <c r="CA62" i="3"/>
  <c r="CA115" i="3"/>
  <c r="BY131" i="3"/>
  <c r="BY134" i="3"/>
  <c r="BY145" i="3"/>
  <c r="BY153" i="3"/>
  <c r="BY48" i="3"/>
  <c r="CA50" i="3"/>
  <c r="BY54" i="3"/>
  <c r="BY80" i="3"/>
  <c r="BY106" i="3"/>
  <c r="CA108" i="3"/>
  <c r="BY109" i="3"/>
  <c r="CA113" i="3"/>
  <c r="CA126" i="3"/>
  <c r="CA129" i="3"/>
  <c r="CA132" i="3"/>
  <c r="BY132" i="3"/>
  <c r="CA135" i="3"/>
  <c r="BY135" i="3"/>
  <c r="BY138" i="3"/>
  <c r="BY142" i="3"/>
  <c r="BY150" i="3"/>
  <c r="BY65" i="3"/>
  <c r="CA70" i="3"/>
  <c r="BY94" i="3"/>
  <c r="CA96" i="3"/>
  <c r="BY115" i="3"/>
  <c r="BY152" i="3"/>
  <c r="BY157" i="3"/>
  <c r="BY149" i="3"/>
  <c r="BY158" i="3"/>
  <c r="CA139" i="3"/>
  <c r="BY139" i="3"/>
  <c r="BY146" i="3"/>
  <c r="BY154" i="3"/>
  <c r="BY27" i="3"/>
  <c r="BY53" i="3"/>
  <c r="BY59" i="3"/>
  <c r="BY111" i="3"/>
  <c r="BY113" i="3"/>
  <c r="CA116" i="3"/>
  <c r="CA119" i="3"/>
  <c r="BY126" i="3"/>
  <c r="BY129" i="3"/>
  <c r="CA147" i="3"/>
  <c r="BY147" i="3"/>
  <c r="BY50" i="3"/>
  <c r="BY73" i="3"/>
  <c r="BY76" i="3"/>
  <c r="BY99" i="3"/>
  <c r="BY102" i="3"/>
  <c r="CA104" i="3"/>
  <c r="CA127" i="3"/>
  <c r="BY127" i="3"/>
  <c r="CA140" i="3"/>
  <c r="BY140" i="3"/>
  <c r="BY19" i="3"/>
  <c r="BY23" i="3"/>
  <c r="BY70" i="3"/>
  <c r="BY96" i="3"/>
  <c r="BY116" i="3"/>
  <c r="BY119" i="3"/>
  <c r="BY130" i="3"/>
  <c r="BY133" i="3"/>
  <c r="CA148" i="3"/>
  <c r="CA156" i="3"/>
  <c r="CA166" i="3"/>
  <c r="CA174" i="3"/>
  <c r="BY176" i="3"/>
  <c r="CA182" i="3"/>
  <c r="BY184" i="3"/>
  <c r="CA190" i="3"/>
  <c r="BY192" i="3"/>
  <c r="CA198" i="3"/>
  <c r="CA208" i="3"/>
  <c r="CA216" i="3"/>
  <c r="BY218" i="3"/>
  <c r="CA224" i="3"/>
  <c r="BY226" i="3"/>
  <c r="CA232" i="3"/>
  <c r="CA143" i="3"/>
  <c r="CA151" i="3"/>
  <c r="CA159" i="3"/>
  <c r="CA169" i="3"/>
  <c r="CA177" i="3"/>
  <c r="CA185" i="3"/>
  <c r="CA193" i="3"/>
  <c r="CA211" i="3"/>
  <c r="CA219" i="3"/>
  <c r="CA227" i="3"/>
  <c r="CA235" i="3"/>
  <c r="CA120" i="3"/>
  <c r="CA130" i="3"/>
  <c r="CA138" i="3"/>
  <c r="CA146" i="3"/>
  <c r="BY148" i="3"/>
  <c r="CA154" i="3"/>
  <c r="BY156" i="3"/>
  <c r="BY166" i="3"/>
  <c r="CA172" i="3"/>
  <c r="BY174" i="3"/>
  <c r="CA180" i="3"/>
  <c r="BY182" i="3"/>
  <c r="CA188" i="3"/>
  <c r="BY190" i="3"/>
  <c r="CA196" i="3"/>
  <c r="BY198" i="3"/>
  <c r="CA206" i="3"/>
  <c r="BY208" i="3"/>
  <c r="CA214" i="3"/>
  <c r="BY216" i="3"/>
  <c r="CA222" i="3"/>
  <c r="BY224" i="3"/>
  <c r="CA230" i="3"/>
  <c r="BY232" i="3"/>
  <c r="CA133" i="3"/>
  <c r="CA141" i="3"/>
  <c r="BY143" i="3"/>
  <c r="CA149" i="3"/>
  <c r="BY151" i="3"/>
  <c r="CA157" i="3"/>
  <c r="BY159" i="3"/>
  <c r="CA167" i="3"/>
  <c r="BY169" i="3"/>
  <c r="CA175" i="3"/>
  <c r="BY177" i="3"/>
  <c r="CA183" i="3"/>
  <c r="BY185" i="3"/>
  <c r="CA191" i="3"/>
  <c r="BY193" i="3"/>
  <c r="CA209" i="3"/>
  <c r="BY211" i="3"/>
  <c r="CA217" i="3"/>
  <c r="BY219" i="3"/>
  <c r="CA225" i="3"/>
  <c r="BY227" i="3"/>
  <c r="CA233" i="3"/>
  <c r="BY235" i="3"/>
  <c r="CA118" i="3"/>
  <c r="CA128" i="3"/>
  <c r="CA136" i="3"/>
  <c r="CA144" i="3"/>
  <c r="CA152" i="3"/>
  <c r="CA170" i="3"/>
  <c r="CA178" i="3"/>
  <c r="CA186" i="3"/>
  <c r="CA194" i="3"/>
  <c r="CA204" i="3"/>
  <c r="CA212" i="3"/>
  <c r="CA220" i="3"/>
  <c r="CA228" i="3"/>
  <c r="CA236" i="3"/>
  <c r="BY236" i="3"/>
  <c r="CA155" i="3"/>
  <c r="CA165" i="3"/>
  <c r="CA173" i="3"/>
  <c r="CA181" i="3"/>
  <c r="CA189" i="3"/>
  <c r="CA197" i="3"/>
  <c r="CA207" i="3"/>
  <c r="BY209" i="3"/>
  <c r="CA215" i="3"/>
  <c r="BY217" i="3"/>
  <c r="CA223" i="3"/>
  <c r="BY225" i="3"/>
  <c r="CA231" i="3"/>
  <c r="BY233" i="3"/>
  <c r="CA142" i="3"/>
  <c r="CA150" i="3"/>
  <c r="CA158" i="3"/>
  <c r="CA168" i="3"/>
  <c r="BY170" i="3"/>
  <c r="CA176" i="3"/>
  <c r="BY178" i="3"/>
  <c r="CA184" i="3"/>
  <c r="BY186" i="3"/>
  <c r="CA192" i="3"/>
  <c r="BY194" i="3"/>
  <c r="BY204" i="3"/>
  <c r="CA210" i="3"/>
  <c r="BY212" i="3"/>
  <c r="CA218" i="3"/>
  <c r="BY220" i="3"/>
  <c r="CA226" i="3"/>
  <c r="BY228" i="3"/>
  <c r="CA234" i="3"/>
  <c r="CA237" i="3"/>
  <c r="BY237" i="3"/>
  <c r="CA137" i="3"/>
  <c r="CA145" i="3"/>
  <c r="CA153" i="3"/>
  <c r="BY155" i="3"/>
  <c r="BY165" i="3"/>
  <c r="CA171" i="3"/>
  <c r="BY173" i="3"/>
  <c r="CA179" i="3"/>
  <c r="BY181" i="3"/>
  <c r="CA187" i="3"/>
  <c r="BY189" i="3"/>
  <c r="CA195" i="3"/>
  <c r="BY197" i="3"/>
  <c r="CA205" i="3"/>
  <c r="CA213" i="3"/>
  <c r="CA221" i="3"/>
  <c r="CA229" i="3"/>
  <c r="BS22" i="3"/>
  <c r="BQ22" i="3"/>
  <c r="BQ34" i="3"/>
  <c r="BS57" i="3"/>
  <c r="BS63" i="3"/>
  <c r="BQ63" i="3"/>
  <c r="BS70" i="3"/>
  <c r="BQ70" i="3"/>
  <c r="BS73" i="3"/>
  <c r="BS77" i="3"/>
  <c r="BQ77" i="3"/>
  <c r="BQ94" i="3"/>
  <c r="BS94" i="3"/>
  <c r="BS101" i="3"/>
  <c r="BQ101" i="3"/>
  <c r="BS105" i="3"/>
  <c r="BQ105" i="3"/>
  <c r="BS108" i="3"/>
  <c r="BQ108" i="3"/>
  <c r="BS11" i="3"/>
  <c r="BQ11" i="3"/>
  <c r="BS15" i="3"/>
  <c r="BQ15" i="3"/>
  <c r="BS19" i="3"/>
  <c r="BQ19" i="3"/>
  <c r="BQ38" i="3"/>
  <c r="BS49" i="3"/>
  <c r="BS60" i="3"/>
  <c r="BQ60" i="3"/>
  <c r="BS67" i="3"/>
  <c r="BQ67" i="3"/>
  <c r="BS74" i="3"/>
  <c r="BQ74" i="3"/>
  <c r="BQ88" i="3"/>
  <c r="BQ98" i="3"/>
  <c r="BS23" i="3"/>
  <c r="BQ23" i="3"/>
  <c r="BS26" i="3"/>
  <c r="BQ26" i="3"/>
  <c r="BS35" i="3"/>
  <c r="BS38" i="3"/>
  <c r="BS41" i="3"/>
  <c r="BQ41" i="3"/>
  <c r="BS52" i="3"/>
  <c r="BQ71" i="3"/>
  <c r="BS71" i="3"/>
  <c r="BS78" i="3"/>
  <c r="BQ78" i="3"/>
  <c r="BS81" i="3"/>
  <c r="BQ81" i="3"/>
  <c r="BS89" i="3"/>
  <c r="BQ89" i="3"/>
  <c r="BQ95" i="3"/>
  <c r="BS98" i="3"/>
  <c r="BQ106" i="3"/>
  <c r="BS109" i="3"/>
  <c r="BQ109" i="3"/>
  <c r="BQ12" i="3"/>
  <c r="BS12" i="3"/>
  <c r="BQ16" i="3"/>
  <c r="BS16" i="3"/>
  <c r="BQ20" i="3"/>
  <c r="BS20" i="3"/>
  <c r="BS29" i="3"/>
  <c r="BQ29" i="3"/>
  <c r="BQ32" i="3"/>
  <c r="BQ42" i="3"/>
  <c r="BS50" i="3"/>
  <c r="BQ50" i="3"/>
  <c r="BS55" i="3"/>
  <c r="BS61" i="3"/>
  <c r="BS64" i="3"/>
  <c r="BQ64" i="3"/>
  <c r="BS75" i="3"/>
  <c r="BQ75" i="3"/>
  <c r="BQ92" i="3"/>
  <c r="BS102" i="3"/>
  <c r="BQ102" i="3"/>
  <c r="BS113" i="3"/>
  <c r="BQ113" i="3"/>
  <c r="BS117" i="3"/>
  <c r="BQ117" i="3"/>
  <c r="BS27" i="3"/>
  <c r="BQ27" i="3"/>
  <c r="BS30" i="3"/>
  <c r="BQ39" i="3"/>
  <c r="BS42" i="3"/>
  <c r="BS53" i="3"/>
  <c r="BQ53" i="3"/>
  <c r="BQ55" i="3"/>
  <c r="BQ58" i="3"/>
  <c r="BQ68" i="3"/>
  <c r="BS68" i="3"/>
  <c r="BQ72" i="3"/>
  <c r="BS79" i="3"/>
  <c r="BQ79" i="3"/>
  <c r="BQ99" i="3"/>
  <c r="BS103" i="3"/>
  <c r="BQ103" i="3"/>
  <c r="BS106" i="3"/>
  <c r="BS9" i="3"/>
  <c r="BQ9" i="3"/>
  <c r="BQ13" i="3"/>
  <c r="BS13" i="3"/>
  <c r="BS17" i="3"/>
  <c r="BQ17" i="3"/>
  <c r="BS21" i="3"/>
  <c r="BQ21" i="3"/>
  <c r="BQ24" i="3"/>
  <c r="BS33" i="3"/>
  <c r="BQ36" i="3"/>
  <c r="BS48" i="3"/>
  <c r="BS56" i="3"/>
  <c r="BQ65" i="3"/>
  <c r="BS72" i="3"/>
  <c r="BS87" i="3"/>
  <c r="BS90" i="3"/>
  <c r="BQ90" i="3"/>
  <c r="BS110" i="3"/>
  <c r="BS115" i="3"/>
  <c r="BS95" i="3"/>
  <c r="BS69" i="3"/>
  <c r="BQ31" i="3"/>
  <c r="BS99" i="3"/>
  <c r="BS40" i="3"/>
  <c r="BQ40" i="3"/>
  <c r="BS59" i="3"/>
  <c r="BQ62" i="3"/>
  <c r="BQ69" i="3"/>
  <c r="BS93" i="3"/>
  <c r="BQ93" i="3"/>
  <c r="BQ96" i="3"/>
  <c r="BS100" i="3"/>
  <c r="BQ100" i="3"/>
  <c r="BS104" i="3"/>
  <c r="BQ104" i="3"/>
  <c r="BS107" i="3"/>
  <c r="BQ118" i="3"/>
  <c r="BS10" i="3"/>
  <c r="BQ10" i="3"/>
  <c r="BS14" i="3"/>
  <c r="BQ14" i="3"/>
  <c r="BS18" i="3"/>
  <c r="BQ18" i="3"/>
  <c r="BS25" i="3"/>
  <c r="BQ25" i="3"/>
  <c r="BS31" i="3"/>
  <c r="BS34" i="3"/>
  <c r="BS37" i="3"/>
  <c r="BQ37" i="3"/>
  <c r="BS51" i="3"/>
  <c r="BS66" i="3"/>
  <c r="BQ66" i="3"/>
  <c r="BQ73" i="3"/>
  <c r="BS76" i="3"/>
  <c r="BS80" i="3"/>
  <c r="BQ91" i="3"/>
  <c r="BQ97" i="3"/>
  <c r="BS97" i="3"/>
  <c r="BQ111" i="3"/>
  <c r="BS111" i="3"/>
  <c r="BS24" i="3"/>
  <c r="BQ30" i="3"/>
  <c r="BS32" i="3"/>
  <c r="BQ33" i="3"/>
  <c r="BS39" i="3"/>
  <c r="BQ56" i="3"/>
  <c r="BS58" i="3"/>
  <c r="BQ59" i="3"/>
  <c r="BS65" i="3"/>
  <c r="BS91" i="3"/>
  <c r="BS116" i="3"/>
  <c r="BQ129" i="3"/>
  <c r="BS140" i="3"/>
  <c r="BQ140" i="3"/>
  <c r="BQ150" i="3"/>
  <c r="BS174" i="3"/>
  <c r="BQ174" i="3"/>
  <c r="BQ76" i="3"/>
  <c r="BS112" i="3"/>
  <c r="BS114" i="3"/>
  <c r="BS119" i="3"/>
  <c r="BS144" i="3"/>
  <c r="BQ144" i="3"/>
  <c r="BQ154" i="3"/>
  <c r="BS182" i="3"/>
  <c r="BQ182" i="3"/>
  <c r="BQ35" i="3"/>
  <c r="BQ61" i="3"/>
  <c r="BQ87" i="3"/>
  <c r="BS92" i="3"/>
  <c r="BQ116" i="3"/>
  <c r="BS127" i="3"/>
  <c r="BQ127" i="3"/>
  <c r="BQ137" i="3"/>
  <c r="BS148" i="3"/>
  <c r="BQ148" i="3"/>
  <c r="BQ158" i="3"/>
  <c r="BQ167" i="3"/>
  <c r="BQ171" i="3"/>
  <c r="BS28" i="3"/>
  <c r="BQ49" i="3"/>
  <c r="BQ52" i="3"/>
  <c r="BS54" i="3"/>
  <c r="BQ107" i="3"/>
  <c r="BQ110" i="3"/>
  <c r="BQ119" i="3"/>
  <c r="BS152" i="3"/>
  <c r="BQ152" i="3"/>
  <c r="BQ192" i="3"/>
  <c r="BQ175" i="3"/>
  <c r="BQ179" i="3"/>
  <c r="BQ112" i="3"/>
  <c r="BQ114" i="3"/>
  <c r="BS128" i="3"/>
  <c r="BQ145" i="3"/>
  <c r="BS156" i="3"/>
  <c r="BQ156" i="3"/>
  <c r="BQ183" i="3"/>
  <c r="BQ187" i="3"/>
  <c r="BQ195" i="3"/>
  <c r="BS36" i="3"/>
  <c r="BQ57" i="3"/>
  <c r="BS62" i="3"/>
  <c r="BS88" i="3"/>
  <c r="BQ115" i="3"/>
  <c r="BQ131" i="3"/>
  <c r="BQ138" i="3"/>
  <c r="BQ168" i="3"/>
  <c r="BQ191" i="3"/>
  <c r="BQ28" i="3"/>
  <c r="BQ48" i="3"/>
  <c r="BQ51" i="3"/>
  <c r="BQ54" i="3"/>
  <c r="BQ80" i="3"/>
  <c r="BS118" i="3"/>
  <c r="BQ120" i="3"/>
  <c r="BQ128" i="3"/>
  <c r="BS132" i="3"/>
  <c r="BQ132" i="3"/>
  <c r="BQ142" i="3"/>
  <c r="BQ153" i="3"/>
  <c r="BQ196" i="3"/>
  <c r="BQ176" i="3"/>
  <c r="BS96" i="3"/>
  <c r="BS126" i="3"/>
  <c r="BS136" i="3"/>
  <c r="BQ136" i="3"/>
  <c r="BQ139" i="3"/>
  <c r="BQ146" i="3"/>
  <c r="BS166" i="3"/>
  <c r="BQ166" i="3"/>
  <c r="BQ184" i="3"/>
  <c r="BS190" i="3"/>
  <c r="BS198" i="3"/>
  <c r="BS208" i="3"/>
  <c r="BQ210" i="3"/>
  <c r="BS216" i="3"/>
  <c r="BQ218" i="3"/>
  <c r="BS224" i="3"/>
  <c r="BQ226" i="3"/>
  <c r="BS232" i="3"/>
  <c r="BS135" i="3"/>
  <c r="BS143" i="3"/>
  <c r="BS151" i="3"/>
  <c r="BS159" i="3"/>
  <c r="BS169" i="3"/>
  <c r="BS177" i="3"/>
  <c r="BS185" i="3"/>
  <c r="BS193" i="3"/>
  <c r="BS211" i="3"/>
  <c r="BS219" i="3"/>
  <c r="BS227" i="3"/>
  <c r="BS235" i="3"/>
  <c r="BS120" i="3"/>
  <c r="BS130" i="3"/>
  <c r="BS138" i="3"/>
  <c r="BS146" i="3"/>
  <c r="BS154" i="3"/>
  <c r="BS172" i="3"/>
  <c r="BS180" i="3"/>
  <c r="BS188" i="3"/>
  <c r="BQ190" i="3"/>
  <c r="BS196" i="3"/>
  <c r="BQ198" i="3"/>
  <c r="BS206" i="3"/>
  <c r="BQ208" i="3"/>
  <c r="BS214" i="3"/>
  <c r="BQ216" i="3"/>
  <c r="BS222" i="3"/>
  <c r="BQ224" i="3"/>
  <c r="BS230" i="3"/>
  <c r="BQ232" i="3"/>
  <c r="BS133" i="3"/>
  <c r="BQ135" i="3"/>
  <c r="BS141" i="3"/>
  <c r="BQ143" i="3"/>
  <c r="BS149" i="3"/>
  <c r="BQ151" i="3"/>
  <c r="BS157" i="3"/>
  <c r="BQ159" i="3"/>
  <c r="BS167" i="3"/>
  <c r="BQ169" i="3"/>
  <c r="BS175" i="3"/>
  <c r="BQ177" i="3"/>
  <c r="BS183" i="3"/>
  <c r="BQ185" i="3"/>
  <c r="BS191" i="3"/>
  <c r="BQ193" i="3"/>
  <c r="BS209" i="3"/>
  <c r="BQ211" i="3"/>
  <c r="BS217" i="3"/>
  <c r="BQ219" i="3"/>
  <c r="BS225" i="3"/>
  <c r="BQ227" i="3"/>
  <c r="BS233" i="3"/>
  <c r="BQ235" i="3"/>
  <c r="BS170" i="3"/>
  <c r="BQ172" i="3"/>
  <c r="BS178" i="3"/>
  <c r="BQ180" i="3"/>
  <c r="BS186" i="3"/>
  <c r="BQ188" i="3"/>
  <c r="BS194" i="3"/>
  <c r="BS204" i="3"/>
  <c r="BS212" i="3"/>
  <c r="BQ214" i="3"/>
  <c r="BS220" i="3"/>
  <c r="BQ222" i="3"/>
  <c r="BS228" i="3"/>
  <c r="BS236" i="3"/>
  <c r="BQ236" i="3"/>
  <c r="BS131" i="3"/>
  <c r="BQ133" i="3"/>
  <c r="BS139" i="3"/>
  <c r="BQ141" i="3"/>
  <c r="BS147" i="3"/>
  <c r="BQ149" i="3"/>
  <c r="BS155" i="3"/>
  <c r="BQ157" i="3"/>
  <c r="BS165" i="3"/>
  <c r="BS173" i="3"/>
  <c r="BS181" i="3"/>
  <c r="BS189" i="3"/>
  <c r="BS197" i="3"/>
  <c r="BS207" i="3"/>
  <c r="BQ209" i="3"/>
  <c r="BS215" i="3"/>
  <c r="BQ217" i="3"/>
  <c r="BS223" i="3"/>
  <c r="BQ225" i="3"/>
  <c r="BS231" i="3"/>
  <c r="BQ233" i="3"/>
  <c r="BS134" i="3"/>
  <c r="BS142" i="3"/>
  <c r="BS150" i="3"/>
  <c r="BS158" i="3"/>
  <c r="BS168" i="3"/>
  <c r="BQ170" i="3"/>
  <c r="BS176" i="3"/>
  <c r="BQ178" i="3"/>
  <c r="BS184" i="3"/>
  <c r="BQ186" i="3"/>
  <c r="BS192" i="3"/>
  <c r="BQ194" i="3"/>
  <c r="BQ204" i="3"/>
  <c r="BS210" i="3"/>
  <c r="BQ212" i="3"/>
  <c r="BS218" i="3"/>
  <c r="BQ220" i="3"/>
  <c r="BS226" i="3"/>
  <c r="BQ228" i="3"/>
  <c r="BS234" i="3"/>
  <c r="BS237" i="3"/>
  <c r="BQ237" i="3"/>
  <c r="BS129" i="3"/>
  <c r="BS137" i="3"/>
  <c r="BS145" i="3"/>
  <c r="BQ147" i="3"/>
  <c r="BS153" i="3"/>
  <c r="BQ155" i="3"/>
  <c r="BQ165" i="3"/>
  <c r="BS171" i="3"/>
  <c r="BQ173" i="3"/>
  <c r="BS179" i="3"/>
  <c r="BQ181" i="3"/>
  <c r="BS187" i="3"/>
  <c r="BQ189" i="3"/>
  <c r="BS195" i="3"/>
  <c r="BQ197" i="3"/>
  <c r="BS205" i="3"/>
  <c r="BS213" i="3"/>
  <c r="BS221" i="3"/>
  <c r="BS229" i="3"/>
  <c r="BK172" i="3"/>
  <c r="BK130" i="3"/>
  <c r="BK65" i="3"/>
  <c r="BK95" i="3"/>
  <c r="BK69" i="3"/>
  <c r="BK146" i="3"/>
  <c r="BK107" i="3"/>
  <c r="BK25" i="3"/>
  <c r="BI25" i="3"/>
  <c r="BI28" i="3"/>
  <c r="BK28" i="3"/>
  <c r="BI38" i="3"/>
  <c r="BI56" i="3"/>
  <c r="BI62" i="3"/>
  <c r="BK72" i="3"/>
  <c r="BI72" i="3"/>
  <c r="BK101" i="3"/>
  <c r="BI101" i="3"/>
  <c r="BK108" i="3"/>
  <c r="BI108" i="3"/>
  <c r="BK112" i="3"/>
  <c r="BI112" i="3"/>
  <c r="BI118" i="3"/>
  <c r="BK10" i="3"/>
  <c r="BI10" i="3"/>
  <c r="BK14" i="3"/>
  <c r="BI14" i="3"/>
  <c r="BK18" i="3"/>
  <c r="BI18" i="3"/>
  <c r="BK22" i="3"/>
  <c r="BI22" i="3"/>
  <c r="BI35" i="3"/>
  <c r="BK38" i="3"/>
  <c r="BK42" i="3"/>
  <c r="BK63" i="3"/>
  <c r="BI63" i="3"/>
  <c r="BI69" i="3"/>
  <c r="BI76" i="3"/>
  <c r="BK79" i="3"/>
  <c r="BI79" i="3"/>
  <c r="BI87" i="3"/>
  <c r="BI90" i="3"/>
  <c r="BK98" i="3"/>
  <c r="BI98" i="3"/>
  <c r="BK105" i="3"/>
  <c r="BI105" i="3"/>
  <c r="BK29" i="3"/>
  <c r="BI29" i="3"/>
  <c r="BI32" i="3"/>
  <c r="BK32" i="3"/>
  <c r="BK39" i="3"/>
  <c r="BI39" i="3"/>
  <c r="BK57" i="3"/>
  <c r="BK60" i="3"/>
  <c r="BI60" i="3"/>
  <c r="BI66" i="3"/>
  <c r="BK70" i="3"/>
  <c r="BI70" i="3"/>
  <c r="BK73" i="3"/>
  <c r="BI119" i="3"/>
  <c r="BK109" i="3"/>
  <c r="BI109" i="3"/>
  <c r="BK11" i="3"/>
  <c r="BI11" i="3"/>
  <c r="BK15" i="3"/>
  <c r="BI15" i="3"/>
  <c r="BK19" i="3"/>
  <c r="BI19" i="3"/>
  <c r="BK23" i="3"/>
  <c r="BI23" i="3"/>
  <c r="BK26" i="3"/>
  <c r="BK36" i="3"/>
  <c r="BI36" i="3"/>
  <c r="BK48" i="3"/>
  <c r="BK51" i="3"/>
  <c r="BI64" i="3"/>
  <c r="BI67" i="3"/>
  <c r="BK67" i="3"/>
  <c r="BK76" i="3"/>
  <c r="BK88" i="3"/>
  <c r="BI88" i="3"/>
  <c r="BK93" i="3"/>
  <c r="BK99" i="3"/>
  <c r="BK102" i="3"/>
  <c r="BI102" i="3"/>
  <c r="BK33" i="3"/>
  <c r="BI33" i="3"/>
  <c r="BK40" i="3"/>
  <c r="BI40" i="3"/>
  <c r="BI61" i="3"/>
  <c r="BK64" i="3"/>
  <c r="BI80" i="3"/>
  <c r="BI92" i="3"/>
  <c r="BI89" i="3"/>
  <c r="BK91" i="3"/>
  <c r="BI93" i="3"/>
  <c r="BI96" i="3"/>
  <c r="BK106" i="3"/>
  <c r="BI106" i="3"/>
  <c r="BI110" i="3"/>
  <c r="BI113" i="3"/>
  <c r="BK12" i="3"/>
  <c r="BI12" i="3"/>
  <c r="BI16" i="3"/>
  <c r="BK16" i="3"/>
  <c r="BI20" i="3"/>
  <c r="BK20" i="3"/>
  <c r="BK27" i="3"/>
  <c r="BI27" i="3"/>
  <c r="BK30" i="3"/>
  <c r="BK37" i="3"/>
  <c r="BI37" i="3"/>
  <c r="BK49" i="3"/>
  <c r="BI49" i="3"/>
  <c r="BK52" i="3"/>
  <c r="BK55" i="3"/>
  <c r="BI58" i="3"/>
  <c r="BI68" i="3"/>
  <c r="BI71" i="3"/>
  <c r="BK77" i="3"/>
  <c r="BK80" i="3"/>
  <c r="BK94" i="3"/>
  <c r="BK103" i="3"/>
  <c r="BK110" i="3"/>
  <c r="BI24" i="3"/>
  <c r="BK24" i="3"/>
  <c r="BI65" i="3"/>
  <c r="BK68" i="3"/>
  <c r="BK71" i="3"/>
  <c r="BK81" i="3"/>
  <c r="BI81" i="3"/>
  <c r="BK89" i="3"/>
  <c r="BK97" i="3"/>
  <c r="BI107" i="3"/>
  <c r="BK111" i="3"/>
  <c r="BI111" i="3"/>
  <c r="BK9" i="3"/>
  <c r="BI9" i="3"/>
  <c r="BK13" i="3"/>
  <c r="BI13" i="3"/>
  <c r="BK17" i="3"/>
  <c r="BI17" i="3"/>
  <c r="BK21" i="3"/>
  <c r="BI21" i="3"/>
  <c r="BK31" i="3"/>
  <c r="BI31" i="3"/>
  <c r="BK34" i="3"/>
  <c r="BI34" i="3"/>
  <c r="BI41" i="3"/>
  <c r="BK41" i="3"/>
  <c r="BK50" i="3"/>
  <c r="BI50" i="3"/>
  <c r="BK53" i="3"/>
  <c r="BI53" i="3"/>
  <c r="BK56" i="3"/>
  <c r="BK59" i="3"/>
  <c r="BI59" i="3"/>
  <c r="BK75" i="3"/>
  <c r="BI75" i="3"/>
  <c r="BK78" i="3"/>
  <c r="BI78" i="3"/>
  <c r="BK104" i="3"/>
  <c r="BI104" i="3"/>
  <c r="BK35" i="3"/>
  <c r="BI52" i="3"/>
  <c r="BK54" i="3"/>
  <c r="BI55" i="3"/>
  <c r="BK61" i="3"/>
  <c r="BK87" i="3"/>
  <c r="BK90" i="3"/>
  <c r="BK126" i="3"/>
  <c r="BK138" i="3"/>
  <c r="BI146" i="3"/>
  <c r="BI165" i="3"/>
  <c r="BK168" i="3"/>
  <c r="BI182" i="3"/>
  <c r="BK74" i="3"/>
  <c r="BI95" i="3"/>
  <c r="BK100" i="3"/>
  <c r="BK114" i="3"/>
  <c r="BI114" i="3"/>
  <c r="BI116" i="3"/>
  <c r="BI147" i="3"/>
  <c r="BI130" i="3"/>
  <c r="BI128" i="3"/>
  <c r="BI131" i="3"/>
  <c r="BK135" i="3"/>
  <c r="BI135" i="3"/>
  <c r="BK142" i="3"/>
  <c r="BK150" i="3"/>
  <c r="BI150" i="3"/>
  <c r="BI197" i="3"/>
  <c r="BI189" i="3"/>
  <c r="BI173" i="3"/>
  <c r="BI171" i="3"/>
  <c r="BK190" i="3"/>
  <c r="BI190" i="3"/>
  <c r="BI57" i="3"/>
  <c r="BK62" i="3"/>
  <c r="BK117" i="3"/>
  <c r="BI126" i="3"/>
  <c r="BK132" i="3"/>
  <c r="BI132" i="3"/>
  <c r="BI139" i="3"/>
  <c r="BI144" i="3"/>
  <c r="BI154" i="3"/>
  <c r="BK166" i="3"/>
  <c r="BI166" i="3"/>
  <c r="BI172" i="3"/>
  <c r="BK176" i="3"/>
  <c r="BI176" i="3"/>
  <c r="BK198" i="3"/>
  <c r="BI198" i="3"/>
  <c r="BI26" i="3"/>
  <c r="BI30" i="3"/>
  <c r="BI48" i="3"/>
  <c r="BI51" i="3"/>
  <c r="BI54" i="3"/>
  <c r="BI77" i="3"/>
  <c r="BI103" i="3"/>
  <c r="BK127" i="3"/>
  <c r="BI142" i="3"/>
  <c r="BK151" i="3"/>
  <c r="BI151" i="3"/>
  <c r="BK154" i="3"/>
  <c r="BK158" i="3"/>
  <c r="BI169" i="3"/>
  <c r="BK180" i="3"/>
  <c r="BI187" i="3"/>
  <c r="BI231" i="3"/>
  <c r="BI42" i="3"/>
  <c r="BI74" i="3"/>
  <c r="BI91" i="3"/>
  <c r="BI94" i="3"/>
  <c r="BK96" i="3"/>
  <c r="BI97" i="3"/>
  <c r="BI100" i="3"/>
  <c r="BK115" i="3"/>
  <c r="BI115" i="3"/>
  <c r="BI117" i="3"/>
  <c r="BI129" i="3"/>
  <c r="BK133" i="3"/>
  <c r="BI133" i="3"/>
  <c r="BK136" i="3"/>
  <c r="BI136" i="3"/>
  <c r="BK140" i="3"/>
  <c r="BI140" i="3"/>
  <c r="BK148" i="3"/>
  <c r="BI148" i="3"/>
  <c r="BI167" i="3"/>
  <c r="BK170" i="3"/>
  <c r="BI170" i="3"/>
  <c r="BI195" i="3"/>
  <c r="BK58" i="3"/>
  <c r="BK113" i="3"/>
  <c r="BI127" i="3"/>
  <c r="BI158" i="3"/>
  <c r="BI73" i="3"/>
  <c r="BI99" i="3"/>
  <c r="BK118" i="3"/>
  <c r="BI120" i="3"/>
  <c r="BI137" i="3"/>
  <c r="BI141" i="3"/>
  <c r="BI143" i="3"/>
  <c r="BI145" i="3"/>
  <c r="BK149" i="3"/>
  <c r="BI149" i="3"/>
  <c r="BK152" i="3"/>
  <c r="BI152" i="3"/>
  <c r="BK174" i="3"/>
  <c r="BI174" i="3"/>
  <c r="BI184" i="3"/>
  <c r="BI188" i="3"/>
  <c r="BK66" i="3"/>
  <c r="BK92" i="3"/>
  <c r="BK116" i="3"/>
  <c r="BK120" i="3"/>
  <c r="BK134" i="3"/>
  <c r="BI134" i="3"/>
  <c r="BI156" i="3"/>
  <c r="BK178" i="3"/>
  <c r="BI178" i="3"/>
  <c r="BI192" i="3"/>
  <c r="BI196" i="3"/>
  <c r="BI207" i="3"/>
  <c r="BI234" i="3"/>
  <c r="BI226" i="3"/>
  <c r="BI218" i="3"/>
  <c r="BI210" i="3"/>
  <c r="BK208" i="3"/>
  <c r="BK216" i="3"/>
  <c r="BK224" i="3"/>
  <c r="BK232" i="3"/>
  <c r="BK129" i="3"/>
  <c r="BK131" i="3"/>
  <c r="BI180" i="3"/>
  <c r="BK185" i="3"/>
  <c r="BK193" i="3"/>
  <c r="BK211" i="3"/>
  <c r="BK219" i="3"/>
  <c r="BK227" i="3"/>
  <c r="BK235" i="3"/>
  <c r="BK144" i="3"/>
  <c r="BK157" i="3"/>
  <c r="BK159" i="3"/>
  <c r="BK183" i="3"/>
  <c r="BK188" i="3"/>
  <c r="BK196" i="3"/>
  <c r="BK206" i="3"/>
  <c r="BI208" i="3"/>
  <c r="BK214" i="3"/>
  <c r="BI216" i="3"/>
  <c r="BK222" i="3"/>
  <c r="BI224" i="3"/>
  <c r="BK230" i="3"/>
  <c r="BI232" i="3"/>
  <c r="BK153" i="3"/>
  <c r="BK155" i="3"/>
  <c r="BK179" i="3"/>
  <c r="BK181" i="3"/>
  <c r="BI185" i="3"/>
  <c r="BK191" i="3"/>
  <c r="BI193" i="3"/>
  <c r="BK209" i="3"/>
  <c r="BI211" i="3"/>
  <c r="BK217" i="3"/>
  <c r="BI219" i="3"/>
  <c r="BK225" i="3"/>
  <c r="BI227" i="3"/>
  <c r="BK233" i="3"/>
  <c r="BI235" i="3"/>
  <c r="BI159" i="3"/>
  <c r="BI168" i="3"/>
  <c r="BK175" i="3"/>
  <c r="BK177" i="3"/>
  <c r="BK186" i="3"/>
  <c r="BK194" i="3"/>
  <c r="BK204" i="3"/>
  <c r="BK212" i="3"/>
  <c r="BK220" i="3"/>
  <c r="BK228" i="3"/>
  <c r="BK236" i="3"/>
  <c r="BI236" i="3"/>
  <c r="BK119" i="3"/>
  <c r="BI138" i="3"/>
  <c r="BK145" i="3"/>
  <c r="BK147" i="3"/>
  <c r="BI155" i="3"/>
  <c r="BI157" i="3"/>
  <c r="BK171" i="3"/>
  <c r="BK173" i="3"/>
  <c r="BI181" i="3"/>
  <c r="BI183" i="3"/>
  <c r="BK189" i="3"/>
  <c r="BI191" i="3"/>
  <c r="BK197" i="3"/>
  <c r="BK207" i="3"/>
  <c r="BI209" i="3"/>
  <c r="BK215" i="3"/>
  <c r="BI217" i="3"/>
  <c r="BK223" i="3"/>
  <c r="BI225" i="3"/>
  <c r="BK231" i="3"/>
  <c r="BI233" i="3"/>
  <c r="BK128" i="3"/>
  <c r="BK141" i="3"/>
  <c r="BK143" i="3"/>
  <c r="BI153" i="3"/>
  <c r="BK167" i="3"/>
  <c r="BK169" i="3"/>
  <c r="BI177" i="3"/>
  <c r="BI179" i="3"/>
  <c r="BK184" i="3"/>
  <c r="BI186" i="3"/>
  <c r="BK192" i="3"/>
  <c r="BI194" i="3"/>
  <c r="BI204" i="3"/>
  <c r="BK210" i="3"/>
  <c r="BI212" i="3"/>
  <c r="BK218" i="3"/>
  <c r="BI220" i="3"/>
  <c r="BK226" i="3"/>
  <c r="BI228" i="3"/>
  <c r="BK234" i="3"/>
  <c r="BK237" i="3"/>
  <c r="BI237" i="3"/>
  <c r="BK137" i="3"/>
  <c r="BK139" i="3"/>
  <c r="BK156" i="3"/>
  <c r="BK165" i="3"/>
  <c r="BI175" i="3"/>
  <c r="BK182" i="3"/>
  <c r="BK187" i="3"/>
  <c r="BK195" i="3"/>
  <c r="BK205" i="3"/>
  <c r="BK213" i="3"/>
  <c r="BI215" i="3"/>
  <c r="BK221" i="3"/>
  <c r="BI223" i="3"/>
  <c r="BK229" i="3"/>
  <c r="BC10" i="3"/>
  <c r="BA10" i="3"/>
  <c r="BC14" i="3"/>
  <c r="BA14" i="3"/>
  <c r="BC18" i="3"/>
  <c r="BA18" i="3"/>
  <c r="BC22" i="3"/>
  <c r="BA22" i="3"/>
  <c r="BA53" i="3"/>
  <c r="BA50" i="3"/>
  <c r="BA57" i="3"/>
  <c r="BA54" i="3"/>
  <c r="BA51" i="3"/>
  <c r="BC54" i="3"/>
  <c r="BC59" i="3"/>
  <c r="BA59" i="3"/>
  <c r="BC68" i="3"/>
  <c r="BA75" i="3"/>
  <c r="BC92" i="3"/>
  <c r="BA95" i="3"/>
  <c r="BC106" i="3"/>
  <c r="BA106" i="3"/>
  <c r="BC26" i="3"/>
  <c r="BA26" i="3"/>
  <c r="BC29" i="3"/>
  <c r="BC38" i="3"/>
  <c r="BC41" i="3"/>
  <c r="BA41" i="3"/>
  <c r="BC52" i="3"/>
  <c r="BC62" i="3"/>
  <c r="BA62" i="3"/>
  <c r="BA65" i="3"/>
  <c r="BC69" i="3"/>
  <c r="BA69" i="3"/>
  <c r="BA72" i="3"/>
  <c r="BC79" i="3"/>
  <c r="BC99" i="3"/>
  <c r="BA99" i="3"/>
  <c r="BC103" i="3"/>
  <c r="BA103" i="3"/>
  <c r="BC11" i="3"/>
  <c r="BA11" i="3"/>
  <c r="BC15" i="3"/>
  <c r="BA15" i="3"/>
  <c r="BC19" i="3"/>
  <c r="BA19" i="3"/>
  <c r="BA23" i="3"/>
  <c r="BC23" i="3"/>
  <c r="BC32" i="3"/>
  <c r="BC50" i="3"/>
  <c r="BA60" i="3"/>
  <c r="BA63" i="3"/>
  <c r="BC66" i="3"/>
  <c r="BA66" i="3"/>
  <c r="BC76" i="3"/>
  <c r="BA76" i="3"/>
  <c r="BC96" i="3"/>
  <c r="BA96" i="3"/>
  <c r="BC107" i="3"/>
  <c r="BA107" i="3"/>
  <c r="BC110" i="3"/>
  <c r="BA110" i="3"/>
  <c r="BA116" i="3"/>
  <c r="BA42" i="3"/>
  <c r="BC55" i="3"/>
  <c r="BC63" i="3"/>
  <c r="BC70" i="3"/>
  <c r="BA70" i="3"/>
  <c r="BC73" i="3"/>
  <c r="BA73" i="3"/>
  <c r="BA119" i="3"/>
  <c r="BA87" i="3"/>
  <c r="BA90" i="3"/>
  <c r="BA120" i="3"/>
  <c r="BA117" i="3"/>
  <c r="BC93" i="3"/>
  <c r="BA93" i="3"/>
  <c r="BC100" i="3"/>
  <c r="BA100" i="3"/>
  <c r="BA104" i="3"/>
  <c r="BC104" i="3"/>
  <c r="BC12" i="3"/>
  <c r="BA12" i="3"/>
  <c r="BC16" i="3"/>
  <c r="BA16" i="3"/>
  <c r="BC20" i="3"/>
  <c r="BA20" i="3"/>
  <c r="BC24" i="3"/>
  <c r="BA24" i="3"/>
  <c r="BA30" i="3"/>
  <c r="BA55" i="3"/>
  <c r="BC77" i="3"/>
  <c r="BA77" i="3"/>
  <c r="BC80" i="3"/>
  <c r="BA80" i="3"/>
  <c r="BC108" i="3"/>
  <c r="BA108" i="3"/>
  <c r="BC111" i="3"/>
  <c r="BA111" i="3"/>
  <c r="BA27" i="3"/>
  <c r="BC33" i="3"/>
  <c r="BA33" i="3"/>
  <c r="BC36" i="3"/>
  <c r="BA36" i="3"/>
  <c r="BA39" i="3"/>
  <c r="BC48" i="3"/>
  <c r="BA48" i="3"/>
  <c r="BC51" i="3"/>
  <c r="BC58" i="3"/>
  <c r="BA64" i="3"/>
  <c r="BC67" i="3"/>
  <c r="BA67" i="3"/>
  <c r="BC74" i="3"/>
  <c r="BA74" i="3"/>
  <c r="BC94" i="3"/>
  <c r="BC97" i="3"/>
  <c r="BA97" i="3"/>
  <c r="BA101" i="3"/>
  <c r="BA105" i="3"/>
  <c r="BC9" i="3"/>
  <c r="BA9" i="3"/>
  <c r="BC13" i="3"/>
  <c r="BA13" i="3"/>
  <c r="BC17" i="3"/>
  <c r="BA17" i="3"/>
  <c r="BC21" i="3"/>
  <c r="BA21" i="3"/>
  <c r="BC28" i="3"/>
  <c r="BA28" i="3"/>
  <c r="BC31" i="3"/>
  <c r="BA31" i="3"/>
  <c r="BC34" i="3"/>
  <c r="BA34" i="3"/>
  <c r="BC37" i="3"/>
  <c r="BC40" i="3"/>
  <c r="BA40" i="3"/>
  <c r="BA56" i="3"/>
  <c r="BA58" i="3"/>
  <c r="BA61" i="3"/>
  <c r="BC64" i="3"/>
  <c r="BC88" i="3"/>
  <c r="BA88" i="3"/>
  <c r="BA91" i="3"/>
  <c r="BC101" i="3"/>
  <c r="BC90" i="3"/>
  <c r="BC105" i="3"/>
  <c r="BC30" i="3"/>
  <c r="BC113" i="3"/>
  <c r="BC56" i="3"/>
  <c r="BC42" i="3"/>
  <c r="BC60" i="3"/>
  <c r="BC25" i="3"/>
  <c r="BA25" i="3"/>
  <c r="BC49" i="3"/>
  <c r="BA49" i="3"/>
  <c r="BC71" i="3"/>
  <c r="BA78" i="3"/>
  <c r="BC78" i="3"/>
  <c r="BC89" i="3"/>
  <c r="BA98" i="3"/>
  <c r="BC102" i="3"/>
  <c r="BA102" i="3"/>
  <c r="BC109" i="3"/>
  <c r="BA112" i="3"/>
  <c r="BC115" i="3"/>
  <c r="BA37" i="3"/>
  <c r="BC39" i="3"/>
  <c r="BC65" i="3"/>
  <c r="BC72" i="3"/>
  <c r="BC75" i="3"/>
  <c r="BA89" i="3"/>
  <c r="BC91" i="3"/>
  <c r="BA92" i="3"/>
  <c r="BC98" i="3"/>
  <c r="BC128" i="3"/>
  <c r="BA128" i="3"/>
  <c r="BA138" i="3"/>
  <c r="BA149" i="3"/>
  <c r="BA188" i="3"/>
  <c r="BC27" i="3"/>
  <c r="BC53" i="3"/>
  <c r="BA109" i="3"/>
  <c r="BC132" i="3"/>
  <c r="BA132" i="3"/>
  <c r="BA142" i="3"/>
  <c r="BA157" i="3"/>
  <c r="BC170" i="3"/>
  <c r="BA170" i="3"/>
  <c r="BA71" i="3"/>
  <c r="BA94" i="3"/>
  <c r="BA113" i="3"/>
  <c r="BA115" i="3"/>
  <c r="BC118" i="3"/>
  <c r="BA118" i="3"/>
  <c r="BA129" i="3"/>
  <c r="BC136" i="3"/>
  <c r="BA136" i="3"/>
  <c r="BC35" i="3"/>
  <c r="BC61" i="3"/>
  <c r="BC87" i="3"/>
  <c r="BA150" i="3"/>
  <c r="BC140" i="3"/>
  <c r="BA140" i="3"/>
  <c r="BA154" i="3"/>
  <c r="BA171" i="3"/>
  <c r="BA79" i="3"/>
  <c r="BC81" i="3"/>
  <c r="BA137" i="3"/>
  <c r="BC144" i="3"/>
  <c r="BA144" i="3"/>
  <c r="BA167" i="3"/>
  <c r="BA180" i="3"/>
  <c r="BA192" i="3"/>
  <c r="BA184" i="3"/>
  <c r="BA176" i="3"/>
  <c r="BA168" i="3"/>
  <c r="BA179" i="3"/>
  <c r="BA187" i="3"/>
  <c r="BA195" i="3"/>
  <c r="BA38" i="3"/>
  <c r="BC95" i="3"/>
  <c r="BC112" i="3"/>
  <c r="BC114" i="3"/>
  <c r="BA114" i="3"/>
  <c r="BC119" i="3"/>
  <c r="BA126" i="3"/>
  <c r="BC152" i="3"/>
  <c r="BA152" i="3"/>
  <c r="BA175" i="3"/>
  <c r="BA183" i="3"/>
  <c r="BA29" i="3"/>
  <c r="BA32" i="3"/>
  <c r="BA35" i="3"/>
  <c r="BA52" i="3"/>
  <c r="BC57" i="3"/>
  <c r="BA130" i="3"/>
  <c r="BA141" i="3"/>
  <c r="BA145" i="3"/>
  <c r="BA81" i="3"/>
  <c r="BC117" i="3"/>
  <c r="BA134" i="3"/>
  <c r="BA153" i="3"/>
  <c r="BA172" i="3"/>
  <c r="BC148" i="3"/>
  <c r="BC156" i="3"/>
  <c r="BC166" i="3"/>
  <c r="BC174" i="3"/>
  <c r="BC182" i="3"/>
  <c r="BC190" i="3"/>
  <c r="BC198" i="3"/>
  <c r="BC208" i="3"/>
  <c r="BA210" i="3"/>
  <c r="BC216" i="3"/>
  <c r="BA218" i="3"/>
  <c r="BC224" i="3"/>
  <c r="BA226" i="3"/>
  <c r="BC232" i="3"/>
  <c r="BC116" i="3"/>
  <c r="BC127" i="3"/>
  <c r="BC135" i="3"/>
  <c r="BC143" i="3"/>
  <c r="BC151" i="3"/>
  <c r="BC159" i="3"/>
  <c r="BC169" i="3"/>
  <c r="BC177" i="3"/>
  <c r="BC185" i="3"/>
  <c r="BC193" i="3"/>
  <c r="BC211" i="3"/>
  <c r="BC219" i="3"/>
  <c r="BC227" i="3"/>
  <c r="BC235" i="3"/>
  <c r="BC120" i="3"/>
  <c r="BC130" i="3"/>
  <c r="BC138" i="3"/>
  <c r="BC146" i="3"/>
  <c r="BA148" i="3"/>
  <c r="BC154" i="3"/>
  <c r="BA156" i="3"/>
  <c r="BA166" i="3"/>
  <c r="BC172" i="3"/>
  <c r="BA174" i="3"/>
  <c r="BC180" i="3"/>
  <c r="BA182" i="3"/>
  <c r="BC188" i="3"/>
  <c r="BA190" i="3"/>
  <c r="BC196" i="3"/>
  <c r="BA198" i="3"/>
  <c r="BC206" i="3"/>
  <c r="BA208" i="3"/>
  <c r="BC214" i="3"/>
  <c r="BA216" i="3"/>
  <c r="BC222" i="3"/>
  <c r="BA224" i="3"/>
  <c r="BC230" i="3"/>
  <c r="BA232" i="3"/>
  <c r="BA127" i="3"/>
  <c r="BC133" i="3"/>
  <c r="BA135" i="3"/>
  <c r="BC141" i="3"/>
  <c r="BA143" i="3"/>
  <c r="BC149" i="3"/>
  <c r="BA151" i="3"/>
  <c r="BC157" i="3"/>
  <c r="BA159" i="3"/>
  <c r="BC167" i="3"/>
  <c r="BA169" i="3"/>
  <c r="BC175" i="3"/>
  <c r="BA177" i="3"/>
  <c r="BC183" i="3"/>
  <c r="BA185" i="3"/>
  <c r="BC191" i="3"/>
  <c r="BA193" i="3"/>
  <c r="BC209" i="3"/>
  <c r="BA211" i="3"/>
  <c r="BC217" i="3"/>
  <c r="BA219" i="3"/>
  <c r="BC225" i="3"/>
  <c r="BA227" i="3"/>
  <c r="BC233" i="3"/>
  <c r="BA235" i="3"/>
  <c r="BC178" i="3"/>
  <c r="BC186" i="3"/>
  <c r="BC194" i="3"/>
  <c r="BA196" i="3"/>
  <c r="BC204" i="3"/>
  <c r="BA206" i="3"/>
  <c r="BC212" i="3"/>
  <c r="BA214" i="3"/>
  <c r="BC220" i="3"/>
  <c r="BC228" i="3"/>
  <c r="BC236" i="3"/>
  <c r="BA236" i="3"/>
  <c r="BC131" i="3"/>
  <c r="BC139" i="3"/>
  <c r="BC147" i="3"/>
  <c r="BC155" i="3"/>
  <c r="BC165" i="3"/>
  <c r="BC173" i="3"/>
  <c r="BC181" i="3"/>
  <c r="BC189" i="3"/>
  <c r="BA191" i="3"/>
  <c r="BC197" i="3"/>
  <c r="BC207" i="3"/>
  <c r="BA209" i="3"/>
  <c r="BC215" i="3"/>
  <c r="BA217" i="3"/>
  <c r="BC223" i="3"/>
  <c r="BA225" i="3"/>
  <c r="BC231" i="3"/>
  <c r="BA233" i="3"/>
  <c r="BC126" i="3"/>
  <c r="BC134" i="3"/>
  <c r="BC142" i="3"/>
  <c r="BC150" i="3"/>
  <c r="BC158" i="3"/>
  <c r="BC168" i="3"/>
  <c r="BC176" i="3"/>
  <c r="BA178" i="3"/>
  <c r="BC184" i="3"/>
  <c r="BA186" i="3"/>
  <c r="BC192" i="3"/>
  <c r="BA194" i="3"/>
  <c r="BA204" i="3"/>
  <c r="BC210" i="3"/>
  <c r="BA212" i="3"/>
  <c r="BC218" i="3"/>
  <c r="BA220" i="3"/>
  <c r="BC226" i="3"/>
  <c r="BA228" i="3"/>
  <c r="BC234" i="3"/>
  <c r="BC237" i="3"/>
  <c r="BA237" i="3"/>
  <c r="BC129" i="3"/>
  <c r="BA131" i="3"/>
  <c r="BC137" i="3"/>
  <c r="BA139" i="3"/>
  <c r="BC145" i="3"/>
  <c r="BA147" i="3"/>
  <c r="BC153" i="3"/>
  <c r="BA155" i="3"/>
  <c r="BA165" i="3"/>
  <c r="BC171" i="3"/>
  <c r="BA173" i="3"/>
  <c r="BC179" i="3"/>
  <c r="BA181" i="3"/>
  <c r="BC187" i="3"/>
  <c r="BA189" i="3"/>
  <c r="BC195" i="3"/>
  <c r="BA197" i="3"/>
  <c r="BC205" i="3"/>
  <c r="BC213" i="3"/>
  <c r="BA215" i="3"/>
  <c r="BC221" i="3"/>
  <c r="BA223" i="3"/>
  <c r="BC229" i="3"/>
  <c r="BA231" i="3"/>
  <c r="AU19" i="3"/>
  <c r="AS19" i="3"/>
  <c r="AU58" i="3"/>
  <c r="AS12" i="3"/>
  <c r="AU15" i="3"/>
  <c r="AU23" i="3"/>
  <c r="AU26" i="3"/>
  <c r="AS26" i="3"/>
  <c r="AU34" i="3"/>
  <c r="AS34" i="3"/>
  <c r="AU64" i="3"/>
  <c r="AS64" i="3"/>
  <c r="AU70" i="3"/>
  <c r="AS93" i="3"/>
  <c r="AU96" i="3"/>
  <c r="AS96" i="3"/>
  <c r="AU102" i="3"/>
  <c r="AS102" i="3"/>
  <c r="AS16" i="3"/>
  <c r="AU20" i="3"/>
  <c r="AS20" i="3"/>
  <c r="AU38" i="3"/>
  <c r="AS38" i="3"/>
  <c r="AS52" i="3"/>
  <c r="AS99" i="3"/>
  <c r="AU116" i="3"/>
  <c r="AS119" i="3"/>
  <c r="AU10" i="3"/>
  <c r="AU27" i="3"/>
  <c r="AU32" i="3"/>
  <c r="AS35" i="3"/>
  <c r="AS56" i="3"/>
  <c r="AU56" i="3"/>
  <c r="AU62" i="3"/>
  <c r="AS65" i="3"/>
  <c r="AU106" i="3"/>
  <c r="AS106" i="3"/>
  <c r="AU113" i="3"/>
  <c r="AS113" i="3"/>
  <c r="AU76" i="3"/>
  <c r="AS76" i="3"/>
  <c r="AS10" i="3"/>
  <c r="AS13" i="3"/>
  <c r="AU17" i="3"/>
  <c r="AS17" i="3"/>
  <c r="AU21" i="3"/>
  <c r="AS21" i="3"/>
  <c r="AU24" i="3"/>
  <c r="AU30" i="3"/>
  <c r="AS30" i="3"/>
  <c r="AU42" i="3"/>
  <c r="AS42" i="3"/>
  <c r="AS53" i="3"/>
  <c r="AU74" i="3"/>
  <c r="AU80" i="3"/>
  <c r="AS80" i="3"/>
  <c r="AU88" i="3"/>
  <c r="AS87" i="3"/>
  <c r="AS100" i="3"/>
  <c r="AS91" i="3"/>
  <c r="AU100" i="3"/>
  <c r="AS120" i="3"/>
  <c r="AS41" i="3"/>
  <c r="AU14" i="3"/>
  <c r="AS14" i="3"/>
  <c r="AS24" i="3"/>
  <c r="AU36" i="3"/>
  <c r="AS39" i="3"/>
  <c r="AS51" i="3"/>
  <c r="AS59" i="3"/>
  <c r="AS110" i="3"/>
  <c r="AU176" i="3"/>
  <c r="AU16" i="3"/>
  <c r="AU110" i="3"/>
  <c r="AU94" i="3"/>
  <c r="AU68" i="3"/>
  <c r="AU52" i="3"/>
  <c r="AS27" i="3"/>
  <c r="AU12" i="3"/>
  <c r="AU150" i="3"/>
  <c r="AU66" i="3"/>
  <c r="AU50" i="3"/>
  <c r="AU40" i="3"/>
  <c r="AS40" i="3"/>
  <c r="AU134" i="3"/>
  <c r="AS32" i="3"/>
  <c r="AS9" i="3"/>
  <c r="AU72" i="3"/>
  <c r="AU98" i="3"/>
  <c r="AS29" i="3"/>
  <c r="AS54" i="3"/>
  <c r="AS50" i="3"/>
  <c r="AS49" i="3"/>
  <c r="AS74" i="3"/>
  <c r="AS58" i="3"/>
  <c r="AU90" i="3"/>
  <c r="AS90" i="3"/>
  <c r="AU11" i="3"/>
  <c r="AS11" i="3"/>
  <c r="AS18" i="3"/>
  <c r="AU18" i="3"/>
  <c r="AU22" i="3"/>
  <c r="AS22" i="3"/>
  <c r="AU25" i="3"/>
  <c r="AS25" i="3"/>
  <c r="AU28" i="3"/>
  <c r="AS28" i="3"/>
  <c r="AU48" i="3"/>
  <c r="AS48" i="3"/>
  <c r="AU54" i="3"/>
  <c r="AU60" i="3"/>
  <c r="AS60" i="3"/>
  <c r="AS69" i="3"/>
  <c r="AS72" i="3"/>
  <c r="AU104" i="3"/>
  <c r="AS107" i="3"/>
  <c r="AS118" i="3"/>
  <c r="AS15" i="3"/>
  <c r="AU31" i="3"/>
  <c r="AS33" i="3"/>
  <c r="AS77" i="3"/>
  <c r="AS67" i="3"/>
  <c r="AU78" i="3"/>
  <c r="AS81" i="3"/>
  <c r="AU92" i="3"/>
  <c r="AS101" i="3"/>
  <c r="AU108" i="3"/>
  <c r="AS108" i="3"/>
  <c r="AS111" i="3"/>
  <c r="AU97" i="3"/>
  <c r="AU131" i="3"/>
  <c r="AU137" i="3"/>
  <c r="AS137" i="3"/>
  <c r="AU140" i="3"/>
  <c r="AS140" i="3"/>
  <c r="AU144" i="3"/>
  <c r="AS144" i="3"/>
  <c r="AU152" i="3"/>
  <c r="AS152" i="3"/>
  <c r="AU168" i="3"/>
  <c r="AU181" i="3"/>
  <c r="AS181" i="3"/>
  <c r="AU184" i="3"/>
  <c r="AU208" i="3"/>
  <c r="AS208" i="3"/>
  <c r="AS215" i="3"/>
  <c r="AS226" i="3"/>
  <c r="AU55" i="3"/>
  <c r="AU71" i="3"/>
  <c r="AS23" i="3"/>
  <c r="AU57" i="3"/>
  <c r="AU73" i="3"/>
  <c r="AU99" i="3"/>
  <c r="AS134" i="3"/>
  <c r="AU172" i="3"/>
  <c r="AS174" i="3"/>
  <c r="AS185" i="3"/>
  <c r="AS195" i="3"/>
  <c r="AS230" i="3"/>
  <c r="AU216" i="3"/>
  <c r="AS216" i="3"/>
  <c r="AS223" i="3"/>
  <c r="AU13" i="3"/>
  <c r="AU33" i="3"/>
  <c r="AS36" i="3"/>
  <c r="AU59" i="3"/>
  <c r="AS62" i="3"/>
  <c r="AU75" i="3"/>
  <c r="AS78" i="3"/>
  <c r="AS88" i="3"/>
  <c r="AU101" i="3"/>
  <c r="AS104" i="3"/>
  <c r="AU114" i="3"/>
  <c r="AS116" i="3"/>
  <c r="AS126" i="3"/>
  <c r="AU129" i="3"/>
  <c r="AS129" i="3"/>
  <c r="AS131" i="3"/>
  <c r="AS147" i="3"/>
  <c r="AU153" i="3"/>
  <c r="AS153" i="3"/>
  <c r="AU178" i="3"/>
  <c r="AS178" i="3"/>
  <c r="AU224" i="3"/>
  <c r="AS224" i="3"/>
  <c r="AS231" i="3"/>
  <c r="AS31" i="3"/>
  <c r="AU35" i="3"/>
  <c r="AS55" i="3"/>
  <c r="AU61" i="3"/>
  <c r="AS71" i="3"/>
  <c r="AU77" i="3"/>
  <c r="AU87" i="3"/>
  <c r="AS97" i="3"/>
  <c r="AU103" i="3"/>
  <c r="AU112" i="3"/>
  <c r="AU119" i="3"/>
  <c r="AU132" i="3"/>
  <c r="AU138" i="3"/>
  <c r="AS138" i="3"/>
  <c r="AS141" i="3"/>
  <c r="AS157" i="3"/>
  <c r="AS172" i="3"/>
  <c r="AS212" i="3"/>
  <c r="AS206" i="3"/>
  <c r="AS205" i="3"/>
  <c r="AU232" i="3"/>
  <c r="AS232" i="3"/>
  <c r="AU37" i="3"/>
  <c r="AS57" i="3"/>
  <c r="AU63" i="3"/>
  <c r="AS66" i="3"/>
  <c r="AS73" i="3"/>
  <c r="AU79" i="3"/>
  <c r="AU89" i="3"/>
  <c r="AU105" i="3"/>
  <c r="AS114" i="3"/>
  <c r="AU117" i="3"/>
  <c r="AU126" i="3"/>
  <c r="AU142" i="3"/>
  <c r="AS145" i="3"/>
  <c r="AS150" i="3"/>
  <c r="AU154" i="3"/>
  <c r="AS154" i="3"/>
  <c r="AU166" i="3"/>
  <c r="AS166" i="3"/>
  <c r="AU170" i="3"/>
  <c r="AS170" i="3"/>
  <c r="AU179" i="3"/>
  <c r="AS179" i="3"/>
  <c r="AS213" i="3"/>
  <c r="AU39" i="3"/>
  <c r="AU49" i="3"/>
  <c r="AU65" i="3"/>
  <c r="AS68" i="3"/>
  <c r="AS75" i="3"/>
  <c r="AU81" i="3"/>
  <c r="AU91" i="3"/>
  <c r="AS94" i="3"/>
  <c r="AU107" i="3"/>
  <c r="AS112" i="3"/>
  <c r="AS115" i="3"/>
  <c r="AU127" i="3"/>
  <c r="AS127" i="3"/>
  <c r="AS132" i="3"/>
  <c r="AS135" i="3"/>
  <c r="AU139" i="3"/>
  <c r="AS139" i="3"/>
  <c r="AU146" i="3"/>
  <c r="AS158" i="3"/>
  <c r="AS183" i="3"/>
  <c r="AU190" i="3"/>
  <c r="AS190" i="3"/>
  <c r="AS221" i="3"/>
  <c r="AU9" i="3"/>
  <c r="AU29" i="3"/>
  <c r="AU41" i="3"/>
  <c r="AU51" i="3"/>
  <c r="AU67" i="3"/>
  <c r="AS70" i="3"/>
  <c r="AU93" i="3"/>
  <c r="AS103" i="3"/>
  <c r="AU109" i="3"/>
  <c r="AS117" i="3"/>
  <c r="AU130" i="3"/>
  <c r="AU136" i="3"/>
  <c r="AS136" i="3"/>
  <c r="AS148" i="3"/>
  <c r="AU155" i="3"/>
  <c r="AS155" i="3"/>
  <c r="AU158" i="3"/>
  <c r="AU180" i="3"/>
  <c r="AS187" i="3"/>
  <c r="AU198" i="3"/>
  <c r="AS198" i="3"/>
  <c r="AS210" i="3"/>
  <c r="AS229" i="3"/>
  <c r="AS37" i="3"/>
  <c r="AU53" i="3"/>
  <c r="AS63" i="3"/>
  <c r="AU69" i="3"/>
  <c r="AS79" i="3"/>
  <c r="AS89" i="3"/>
  <c r="AU95" i="3"/>
  <c r="AS105" i="3"/>
  <c r="AU111" i="3"/>
  <c r="AU115" i="3"/>
  <c r="AU118" i="3"/>
  <c r="AU120" i="3"/>
  <c r="AS130" i="3"/>
  <c r="AS146" i="3"/>
  <c r="AS159" i="3"/>
  <c r="AS167" i="3"/>
  <c r="AS196" i="3"/>
  <c r="AS188" i="3"/>
  <c r="AS175" i="3"/>
  <c r="AS173" i="3"/>
  <c r="AS184" i="3"/>
  <c r="AS207" i="3"/>
  <c r="AS218" i="3"/>
  <c r="AS142" i="3"/>
  <c r="AU149" i="3"/>
  <c r="AU151" i="3"/>
  <c r="AS168" i="3"/>
  <c r="AU175" i="3"/>
  <c r="AU177" i="3"/>
  <c r="AU193" i="3"/>
  <c r="AU211" i="3"/>
  <c r="AU219" i="3"/>
  <c r="AU227" i="3"/>
  <c r="AU235" i="3"/>
  <c r="AU145" i="3"/>
  <c r="AU147" i="3"/>
  <c r="AU171" i="3"/>
  <c r="AU173" i="3"/>
  <c r="AU188" i="3"/>
  <c r="AU196" i="3"/>
  <c r="AU206" i="3"/>
  <c r="AU214" i="3"/>
  <c r="AU222" i="3"/>
  <c r="AU230" i="3"/>
  <c r="AU128" i="3"/>
  <c r="AU141" i="3"/>
  <c r="AU143" i="3"/>
  <c r="AS151" i="3"/>
  <c r="AU167" i="3"/>
  <c r="AU169" i="3"/>
  <c r="AS177" i="3"/>
  <c r="AU186" i="3"/>
  <c r="AU191" i="3"/>
  <c r="AS193" i="3"/>
  <c r="AU209" i="3"/>
  <c r="AS211" i="3"/>
  <c r="AU217" i="3"/>
  <c r="AS219" i="3"/>
  <c r="AU225" i="3"/>
  <c r="AS227" i="3"/>
  <c r="AU233" i="3"/>
  <c r="AS235" i="3"/>
  <c r="AU165" i="3"/>
  <c r="AU182" i="3"/>
  <c r="AU194" i="3"/>
  <c r="AU204" i="3"/>
  <c r="AU212" i="3"/>
  <c r="AS214" i="3"/>
  <c r="AU220" i="3"/>
  <c r="AS222" i="3"/>
  <c r="AU228" i="3"/>
  <c r="AU236" i="3"/>
  <c r="AS236" i="3"/>
  <c r="AU156" i="3"/>
  <c r="AS128" i="3"/>
  <c r="AU133" i="3"/>
  <c r="AU135" i="3"/>
  <c r="AS143" i="3"/>
  <c r="AS169" i="3"/>
  <c r="AS171" i="3"/>
  <c r="AS186" i="3"/>
  <c r="AU189" i="3"/>
  <c r="AS191" i="3"/>
  <c r="AU197" i="3"/>
  <c r="AU207" i="3"/>
  <c r="AS209" i="3"/>
  <c r="AU215" i="3"/>
  <c r="AS217" i="3"/>
  <c r="AU223" i="3"/>
  <c r="AS225" i="3"/>
  <c r="AU231" i="3"/>
  <c r="AS233" i="3"/>
  <c r="AU148" i="3"/>
  <c r="AS156" i="3"/>
  <c r="AS165" i="3"/>
  <c r="AU174" i="3"/>
  <c r="AS180" i="3"/>
  <c r="AS182" i="3"/>
  <c r="AU187" i="3"/>
  <c r="AU192" i="3"/>
  <c r="AS194" i="3"/>
  <c r="AS204" i="3"/>
  <c r="AU210" i="3"/>
  <c r="AU218" i="3"/>
  <c r="AS220" i="3"/>
  <c r="AU226" i="3"/>
  <c r="AS228" i="3"/>
  <c r="AU234" i="3"/>
  <c r="AU237" i="3"/>
  <c r="AS237" i="3"/>
  <c r="AU157" i="3"/>
  <c r="AU159" i="3"/>
  <c r="AU183" i="3"/>
  <c r="AU185" i="3"/>
  <c r="AS189" i="3"/>
  <c r="AU195" i="3"/>
  <c r="AS197" i="3"/>
  <c r="AU205" i="3"/>
  <c r="AU213" i="3"/>
  <c r="AU221" i="3"/>
  <c r="AU229" i="3"/>
  <c r="AK38" i="3"/>
  <c r="AM66" i="3"/>
  <c r="AK66" i="3"/>
  <c r="AK75" i="3"/>
  <c r="AM98" i="3"/>
  <c r="AK107" i="3"/>
  <c r="AK110" i="3"/>
  <c r="AM110" i="3"/>
  <c r="AM9" i="3"/>
  <c r="AK9" i="3"/>
  <c r="AM13" i="3"/>
  <c r="AK13" i="3"/>
  <c r="AM17" i="3"/>
  <c r="AK17" i="3"/>
  <c r="AM21" i="3"/>
  <c r="AK21" i="3"/>
  <c r="AM25" i="3"/>
  <c r="AK25" i="3"/>
  <c r="AM29" i="3"/>
  <c r="AK29" i="3"/>
  <c r="AM32" i="3"/>
  <c r="AK32" i="3"/>
  <c r="AM42" i="3"/>
  <c r="AK42" i="3"/>
  <c r="AM70" i="3"/>
  <c r="AK70" i="3"/>
  <c r="AM73" i="3"/>
  <c r="AK73" i="3"/>
  <c r="AK81" i="3"/>
  <c r="AM89" i="3"/>
  <c r="AM92" i="3"/>
  <c r="AM101" i="3"/>
  <c r="AK101" i="3"/>
  <c r="AM35" i="3"/>
  <c r="AK35" i="3"/>
  <c r="AK49" i="3"/>
  <c r="AM55" i="3"/>
  <c r="AK55" i="3"/>
  <c r="AM62" i="3"/>
  <c r="AK62" i="3"/>
  <c r="AK89" i="3"/>
  <c r="AK92" i="3"/>
  <c r="AM104" i="3"/>
  <c r="AK104" i="3"/>
  <c r="AM133" i="3"/>
  <c r="AM109" i="3"/>
  <c r="AM60" i="3"/>
  <c r="AM191" i="3"/>
  <c r="AM149" i="3"/>
  <c r="AM39" i="3"/>
  <c r="AK39" i="3"/>
  <c r="AK50" i="3"/>
  <c r="AM56" i="3"/>
  <c r="AM59" i="3"/>
  <c r="AK59" i="3"/>
  <c r="AK63" i="3"/>
  <c r="AM67" i="3"/>
  <c r="AK76" i="3"/>
  <c r="AK79" i="3"/>
  <c r="AM87" i="3"/>
  <c r="AK87" i="3"/>
  <c r="AM90" i="3"/>
  <c r="AK90" i="3"/>
  <c r="AM93" i="3"/>
  <c r="AM96" i="3"/>
  <c r="AK105" i="3"/>
  <c r="AK108" i="3"/>
  <c r="AM114" i="3"/>
  <c r="AK114" i="3"/>
  <c r="AK10" i="3"/>
  <c r="AM10" i="3"/>
  <c r="AK14" i="3"/>
  <c r="AM14" i="3"/>
  <c r="AK18" i="3"/>
  <c r="AM18" i="3"/>
  <c r="AK22" i="3"/>
  <c r="AM22" i="3"/>
  <c r="AK26" i="3"/>
  <c r="AM26" i="3"/>
  <c r="AM33" i="3"/>
  <c r="AK33" i="3"/>
  <c r="AM36" i="3"/>
  <c r="AK36" i="3"/>
  <c r="AM48" i="3"/>
  <c r="AK48" i="3"/>
  <c r="AM63" i="3"/>
  <c r="AM74" i="3"/>
  <c r="AK74" i="3"/>
  <c r="AK99" i="3"/>
  <c r="AK102" i="3"/>
  <c r="AM175" i="3"/>
  <c r="AK30" i="3"/>
  <c r="AM51" i="3"/>
  <c r="AK60" i="3"/>
  <c r="AM64" i="3"/>
  <c r="AK64" i="3"/>
  <c r="AM68" i="3"/>
  <c r="AK68" i="3"/>
  <c r="AM77" i="3"/>
  <c r="AK77" i="3"/>
  <c r="AM80" i="3"/>
  <c r="AK80" i="3"/>
  <c r="AM91" i="3"/>
  <c r="AK91" i="3"/>
  <c r="AM94" i="3"/>
  <c r="AK94" i="3"/>
  <c r="AM97" i="3"/>
  <c r="AM106" i="3"/>
  <c r="AK106" i="3"/>
  <c r="AM11" i="3"/>
  <c r="AK11" i="3"/>
  <c r="AK15" i="3"/>
  <c r="AM15" i="3"/>
  <c r="AM19" i="3"/>
  <c r="AK19" i="3"/>
  <c r="AM23" i="3"/>
  <c r="AK23" i="3"/>
  <c r="AM27" i="3"/>
  <c r="AK27" i="3"/>
  <c r="AM37" i="3"/>
  <c r="AK37" i="3"/>
  <c r="AM40" i="3"/>
  <c r="AK40" i="3"/>
  <c r="AK51" i="3"/>
  <c r="AK71" i="3"/>
  <c r="AM88" i="3"/>
  <c r="AK88" i="3"/>
  <c r="AM100" i="3"/>
  <c r="AK100" i="3"/>
  <c r="AM103" i="3"/>
  <c r="AK103" i="3"/>
  <c r="AM115" i="3"/>
  <c r="AM118" i="3"/>
  <c r="AM31" i="3"/>
  <c r="AK31" i="3"/>
  <c r="AK34" i="3"/>
  <c r="AM54" i="3"/>
  <c r="AK54" i="3"/>
  <c r="AK57" i="3"/>
  <c r="AM61" i="3"/>
  <c r="AK61" i="3"/>
  <c r="AM65" i="3"/>
  <c r="AK65" i="3"/>
  <c r="AM75" i="3"/>
  <c r="AM12" i="3"/>
  <c r="AK12" i="3"/>
  <c r="AM16" i="3"/>
  <c r="AK16" i="3"/>
  <c r="AM20" i="3"/>
  <c r="AK20" i="3"/>
  <c r="AM24" i="3"/>
  <c r="AK24" i="3"/>
  <c r="AM28" i="3"/>
  <c r="AK28" i="3"/>
  <c r="AM41" i="3"/>
  <c r="AM52" i="3"/>
  <c r="AM58" i="3"/>
  <c r="AK58" i="3"/>
  <c r="AM72" i="3"/>
  <c r="AM78" i="3"/>
  <c r="AK78" i="3"/>
  <c r="AK97" i="3"/>
  <c r="AK113" i="3"/>
  <c r="AM113" i="3"/>
  <c r="AM129" i="3"/>
  <c r="AM30" i="3"/>
  <c r="AM34" i="3"/>
  <c r="AM38" i="3"/>
  <c r="AK41" i="3"/>
  <c r="AM50" i="3"/>
  <c r="AK67" i="3"/>
  <c r="AM69" i="3"/>
  <c r="AM76" i="3"/>
  <c r="AM79" i="3"/>
  <c r="AK93" i="3"/>
  <c r="AM95" i="3"/>
  <c r="AK96" i="3"/>
  <c r="AM102" i="3"/>
  <c r="AM105" i="3"/>
  <c r="AM108" i="3"/>
  <c r="AM127" i="3"/>
  <c r="AK129" i="3"/>
  <c r="AK131" i="3"/>
  <c r="AM137" i="3"/>
  <c r="AK137" i="3"/>
  <c r="AM155" i="3"/>
  <c r="AK155" i="3"/>
  <c r="AM181" i="3"/>
  <c r="AK181" i="3"/>
  <c r="AK187" i="3"/>
  <c r="AM193" i="3"/>
  <c r="AK109" i="3"/>
  <c r="AK115" i="3"/>
  <c r="AK117" i="3"/>
  <c r="AM120" i="3"/>
  <c r="AM132" i="3"/>
  <c r="AK132" i="3"/>
  <c r="AK144" i="3"/>
  <c r="AK176" i="3"/>
  <c r="AK170" i="3"/>
  <c r="AK184" i="3"/>
  <c r="AM187" i="3"/>
  <c r="AK191" i="3"/>
  <c r="AK196" i="3"/>
  <c r="AM207" i="3"/>
  <c r="AK210" i="3"/>
  <c r="AK52" i="3"/>
  <c r="AM57" i="3"/>
  <c r="AK72" i="3"/>
  <c r="AK98" i="3"/>
  <c r="AM111" i="3"/>
  <c r="AK118" i="3"/>
  <c r="AM135" i="3"/>
  <c r="AM141" i="3"/>
  <c r="AK141" i="3"/>
  <c r="AM147" i="3"/>
  <c r="AK152" i="3"/>
  <c r="AM159" i="3"/>
  <c r="AK159" i="3"/>
  <c r="AM167" i="3"/>
  <c r="AK167" i="3"/>
  <c r="AM173" i="3"/>
  <c r="AM185" i="3"/>
  <c r="AK185" i="3"/>
  <c r="AK188" i="3"/>
  <c r="AK193" i="3"/>
  <c r="AK235" i="3"/>
  <c r="AK69" i="3"/>
  <c r="AK95" i="3"/>
  <c r="AK120" i="3"/>
  <c r="AK127" i="3"/>
  <c r="AK130" i="3"/>
  <c r="AK133" i="3"/>
  <c r="AK138" i="3"/>
  <c r="AM153" i="3"/>
  <c r="AK153" i="3"/>
  <c r="AM179" i="3"/>
  <c r="AK179" i="3"/>
  <c r="AM197" i="3"/>
  <c r="AK197" i="3"/>
  <c r="AM53" i="3"/>
  <c r="AK111" i="3"/>
  <c r="AM128" i="3"/>
  <c r="AK128" i="3"/>
  <c r="AM148" i="3"/>
  <c r="AK148" i="3"/>
  <c r="AM174" i="3"/>
  <c r="AK174" i="3"/>
  <c r="AK186" i="3"/>
  <c r="AM205" i="3"/>
  <c r="AK205" i="3"/>
  <c r="AM99" i="3"/>
  <c r="AM112" i="3"/>
  <c r="AM116" i="3"/>
  <c r="AK116" i="3"/>
  <c r="AM126" i="3"/>
  <c r="AK126" i="3"/>
  <c r="AM139" i="3"/>
  <c r="AK139" i="3"/>
  <c r="AK145" i="3"/>
  <c r="AM151" i="3"/>
  <c r="AM157" i="3"/>
  <c r="AK157" i="3"/>
  <c r="AM165" i="3"/>
  <c r="AK165" i="3"/>
  <c r="AK171" i="3"/>
  <c r="AM177" i="3"/>
  <c r="AM183" i="3"/>
  <c r="AK183" i="3"/>
  <c r="AM189" i="3"/>
  <c r="AK232" i="3"/>
  <c r="AK224" i="3"/>
  <c r="AK216" i="3"/>
  <c r="AK56" i="3"/>
  <c r="AM131" i="3"/>
  <c r="AM145" i="3"/>
  <c r="AK149" i="3"/>
  <c r="AK154" i="3"/>
  <c r="AK192" i="3"/>
  <c r="AM171" i="3"/>
  <c r="AK175" i="3"/>
  <c r="AK180" i="3"/>
  <c r="AM195" i="3"/>
  <c r="AK195" i="3"/>
  <c r="AM49" i="3"/>
  <c r="AK53" i="3"/>
  <c r="AM81" i="3"/>
  <c r="AM107" i="3"/>
  <c r="AK112" i="3"/>
  <c r="AM117" i="3"/>
  <c r="AM119" i="3"/>
  <c r="AK119" i="3"/>
  <c r="AK150" i="3"/>
  <c r="AK134" i="3"/>
  <c r="AK136" i="3"/>
  <c r="AM143" i="3"/>
  <c r="AK143" i="3"/>
  <c r="AK146" i="3"/>
  <c r="AK151" i="3"/>
  <c r="AM169" i="3"/>
  <c r="AK169" i="3"/>
  <c r="AM190" i="3"/>
  <c r="AK190" i="3"/>
  <c r="AK233" i="3"/>
  <c r="AM209" i="3"/>
  <c r="AM214" i="3"/>
  <c r="AM222" i="3"/>
  <c r="AM230" i="3"/>
  <c r="AM134" i="3"/>
  <c r="AM150" i="3"/>
  <c r="AM176" i="3"/>
  <c r="AM192" i="3"/>
  <c r="AM217" i="3"/>
  <c r="AM225" i="3"/>
  <c r="AM233" i="3"/>
  <c r="AM136" i="3"/>
  <c r="AM152" i="3"/>
  <c r="AM178" i="3"/>
  <c r="AM194" i="3"/>
  <c r="AM204" i="3"/>
  <c r="AK207" i="3"/>
  <c r="AK209" i="3"/>
  <c r="AM212" i="3"/>
  <c r="AK214" i="3"/>
  <c r="AM220" i="3"/>
  <c r="AK222" i="3"/>
  <c r="AM228" i="3"/>
  <c r="AK230" i="3"/>
  <c r="AM236" i="3"/>
  <c r="AK236" i="3"/>
  <c r="AM138" i="3"/>
  <c r="AM154" i="3"/>
  <c r="AM180" i="3"/>
  <c r="AM196" i="3"/>
  <c r="AM206" i="3"/>
  <c r="AM210" i="3"/>
  <c r="AM215" i="3"/>
  <c r="AK217" i="3"/>
  <c r="AM223" i="3"/>
  <c r="AK225" i="3"/>
  <c r="AM231" i="3"/>
  <c r="AM140" i="3"/>
  <c r="AM156" i="3"/>
  <c r="AM166" i="3"/>
  <c r="AM182" i="3"/>
  <c r="AM198" i="3"/>
  <c r="AM208" i="3"/>
  <c r="AK212" i="3"/>
  <c r="AM218" i="3"/>
  <c r="AK220" i="3"/>
  <c r="AM226" i="3"/>
  <c r="AK228" i="3"/>
  <c r="AM234" i="3"/>
  <c r="AM237" i="3"/>
  <c r="AM142" i="3"/>
  <c r="AM158" i="3"/>
  <c r="AM168" i="3"/>
  <c r="AK178" i="3"/>
  <c r="AM184" i="3"/>
  <c r="AK194" i="3"/>
  <c r="AK204" i="3"/>
  <c r="AM213" i="3"/>
  <c r="AK215" i="3"/>
  <c r="AM221" i="3"/>
  <c r="AK223" i="3"/>
  <c r="AM229" i="3"/>
  <c r="AK231" i="3"/>
  <c r="AM144" i="3"/>
  <c r="AK147" i="3"/>
  <c r="AM170" i="3"/>
  <c r="AK173" i="3"/>
  <c r="AM186" i="3"/>
  <c r="AK189" i="3"/>
  <c r="AK208" i="3"/>
  <c r="AM216" i="3"/>
  <c r="AK218" i="3"/>
  <c r="AM224" i="3"/>
  <c r="AK226" i="3"/>
  <c r="AM232" i="3"/>
  <c r="AK234" i="3"/>
  <c r="AK237" i="3"/>
  <c r="AM130" i="3"/>
  <c r="AK140" i="3"/>
  <c r="AM146" i="3"/>
  <c r="AK156" i="3"/>
  <c r="AK166" i="3"/>
  <c r="AM172" i="3"/>
  <c r="AK182" i="3"/>
  <c r="AM188" i="3"/>
  <c r="AK198" i="3"/>
  <c r="AM211" i="3"/>
  <c r="AK213" i="3"/>
  <c r="AM219" i="3"/>
  <c r="AK221" i="3"/>
  <c r="AM227" i="3"/>
  <c r="AK229" i="3"/>
  <c r="AM235" i="3"/>
  <c r="AE9" i="3"/>
  <c r="AC9" i="3"/>
  <c r="AE13" i="3"/>
  <c r="AC13" i="3"/>
  <c r="AE17" i="3"/>
  <c r="AC17" i="3"/>
  <c r="AE21" i="3"/>
  <c r="AC21" i="3"/>
  <c r="AE25" i="3"/>
  <c r="AC25" i="3"/>
  <c r="AE31" i="3"/>
  <c r="AE37" i="3"/>
  <c r="AC37" i="3"/>
  <c r="AC56" i="3"/>
  <c r="AC59" i="3"/>
  <c r="AE63" i="3"/>
  <c r="AC63" i="3"/>
  <c r="AC66" i="3"/>
  <c r="AE80" i="3"/>
  <c r="AE88" i="3"/>
  <c r="AC91" i="3"/>
  <c r="AE98" i="3"/>
  <c r="AC98" i="3"/>
  <c r="AE107" i="3"/>
  <c r="AC107" i="3"/>
  <c r="AE120" i="3"/>
  <c r="AE230" i="3"/>
  <c r="AE210" i="3"/>
  <c r="AE184" i="3"/>
  <c r="AE158" i="3"/>
  <c r="AE214" i="3"/>
  <c r="AE134" i="3"/>
  <c r="AE188" i="3"/>
  <c r="AE54" i="3"/>
  <c r="AE104" i="3"/>
  <c r="AE130" i="3"/>
  <c r="AE58" i="3"/>
  <c r="AC31" i="3"/>
  <c r="AC34" i="3"/>
  <c r="AE34" i="3"/>
  <c r="AE41" i="3"/>
  <c r="AC41" i="3"/>
  <c r="AC54" i="3"/>
  <c r="AE60" i="3"/>
  <c r="AC60" i="3"/>
  <c r="AE66" i="3"/>
  <c r="AE69" i="3"/>
  <c r="AE78" i="3"/>
  <c r="AC78" i="3"/>
  <c r="AE92" i="3"/>
  <c r="AC92" i="3"/>
  <c r="AC111" i="3"/>
  <c r="AE114" i="3"/>
  <c r="AC114" i="3"/>
  <c r="AE126" i="3"/>
  <c r="AC10" i="3"/>
  <c r="AE10" i="3"/>
  <c r="AC14" i="3"/>
  <c r="AE14" i="3"/>
  <c r="AC18" i="3"/>
  <c r="AE18" i="3"/>
  <c r="AC22" i="3"/>
  <c r="AE22" i="3"/>
  <c r="AC26" i="3"/>
  <c r="AE26" i="3"/>
  <c r="AE29" i="3"/>
  <c r="AC29" i="3"/>
  <c r="AE38" i="3"/>
  <c r="AC38" i="3"/>
  <c r="AE49" i="3"/>
  <c r="AE64" i="3"/>
  <c r="AC64" i="3"/>
  <c r="AE67" i="3"/>
  <c r="AC67" i="3"/>
  <c r="AE70" i="3"/>
  <c r="AC70" i="3"/>
  <c r="AE73" i="3"/>
  <c r="AE89" i="3"/>
  <c r="AC89" i="3"/>
  <c r="AE95" i="3"/>
  <c r="AE105" i="3"/>
  <c r="AC105" i="3"/>
  <c r="AC108" i="3"/>
  <c r="AE57" i="3"/>
  <c r="AC57" i="3"/>
  <c r="AE32" i="3"/>
  <c r="AC35" i="3"/>
  <c r="AE42" i="3"/>
  <c r="AC42" i="3"/>
  <c r="AC51" i="3"/>
  <c r="AC48" i="3"/>
  <c r="AC49" i="3"/>
  <c r="AC61" i="3"/>
  <c r="AE76" i="3"/>
  <c r="AE81" i="3"/>
  <c r="AE93" i="3"/>
  <c r="AC93" i="3"/>
  <c r="AE96" i="3"/>
  <c r="AC96" i="3"/>
  <c r="AE99" i="3"/>
  <c r="AE102" i="3"/>
  <c r="AC102" i="3"/>
  <c r="AE108" i="3"/>
  <c r="AE111" i="3"/>
  <c r="AC118" i="3"/>
  <c r="AE11" i="3"/>
  <c r="AC11" i="3"/>
  <c r="AE15" i="3"/>
  <c r="AC15" i="3"/>
  <c r="AC19" i="3"/>
  <c r="AE19" i="3"/>
  <c r="AE23" i="3"/>
  <c r="AC23" i="3"/>
  <c r="AE27" i="3"/>
  <c r="AC27" i="3"/>
  <c r="AE35" i="3"/>
  <c r="AC39" i="3"/>
  <c r="AE52" i="3"/>
  <c r="AC58" i="3"/>
  <c r="AE61" i="3"/>
  <c r="AE68" i="3"/>
  <c r="AC68" i="3"/>
  <c r="AE71" i="3"/>
  <c r="AC71" i="3"/>
  <c r="AC79" i="3"/>
  <c r="AC81" i="3"/>
  <c r="AE90" i="3"/>
  <c r="AC90" i="3"/>
  <c r="AC30" i="3"/>
  <c r="AE30" i="3"/>
  <c r="AC50" i="3"/>
  <c r="AC52" i="3"/>
  <c r="AC55" i="3"/>
  <c r="AE74" i="3"/>
  <c r="AC74" i="3"/>
  <c r="AC87" i="3"/>
  <c r="AE94" i="3"/>
  <c r="AC94" i="3"/>
  <c r="AE97" i="3"/>
  <c r="AC97" i="3"/>
  <c r="AE100" i="3"/>
  <c r="AC100" i="3"/>
  <c r="AC103" i="3"/>
  <c r="AC106" i="3"/>
  <c r="AE12" i="3"/>
  <c r="AC12" i="3"/>
  <c r="AE16" i="3"/>
  <c r="AC16" i="3"/>
  <c r="AE20" i="3"/>
  <c r="AC20" i="3"/>
  <c r="AE24" i="3"/>
  <c r="AC24" i="3"/>
  <c r="AE33" i="3"/>
  <c r="AC33" i="3"/>
  <c r="AE39" i="3"/>
  <c r="AC53" i="3"/>
  <c r="AC62" i="3"/>
  <c r="AE65" i="3"/>
  <c r="AE77" i="3"/>
  <c r="AC115" i="3"/>
  <c r="AC101" i="3"/>
  <c r="AC104" i="3"/>
  <c r="AE87" i="3"/>
  <c r="AE91" i="3"/>
  <c r="AE103" i="3"/>
  <c r="AE106" i="3"/>
  <c r="AC116" i="3"/>
  <c r="AC119" i="3"/>
  <c r="AE28" i="3"/>
  <c r="AE36" i="3"/>
  <c r="AE40" i="3"/>
  <c r="AC40" i="3"/>
  <c r="AE48" i="3"/>
  <c r="AE56" i="3"/>
  <c r="AE62" i="3"/>
  <c r="AE72" i="3"/>
  <c r="AC72" i="3"/>
  <c r="AE75" i="3"/>
  <c r="AC75" i="3"/>
  <c r="AE110" i="3"/>
  <c r="AC110" i="3"/>
  <c r="AC120" i="3"/>
  <c r="AE53" i="3"/>
  <c r="AC73" i="3"/>
  <c r="AC76" i="3"/>
  <c r="AC99" i="3"/>
  <c r="AE101" i="3"/>
  <c r="AE133" i="3"/>
  <c r="AE140" i="3"/>
  <c r="AC140" i="3"/>
  <c r="AE150" i="3"/>
  <c r="AC150" i="3"/>
  <c r="AE172" i="3"/>
  <c r="AE176" i="3"/>
  <c r="AC176" i="3"/>
  <c r="AE193" i="3"/>
  <c r="AC193" i="3"/>
  <c r="AC205" i="3"/>
  <c r="AC209" i="3"/>
  <c r="AE216" i="3"/>
  <c r="AC216" i="3"/>
  <c r="AE220" i="3"/>
  <c r="AC220" i="3"/>
  <c r="AC28" i="3"/>
  <c r="AC32" i="3"/>
  <c r="AE50" i="3"/>
  <c r="AE128" i="3"/>
  <c r="AC130" i="3"/>
  <c r="AE154" i="3"/>
  <c r="AC166" i="3"/>
  <c r="AE180" i="3"/>
  <c r="AC186" i="3"/>
  <c r="AC197" i="3"/>
  <c r="AC227" i="3"/>
  <c r="AC212" i="3"/>
  <c r="AC210" i="3"/>
  <c r="AC224" i="3"/>
  <c r="AC235" i="3"/>
  <c r="AE109" i="3"/>
  <c r="AC112" i="3"/>
  <c r="AE117" i="3"/>
  <c r="AC146" i="3"/>
  <c r="AC147" i="3"/>
  <c r="AC133" i="3"/>
  <c r="AE144" i="3"/>
  <c r="AC144" i="3"/>
  <c r="AC151" i="3"/>
  <c r="AC154" i="3"/>
  <c r="AC169" i="3"/>
  <c r="AC177" i="3"/>
  <c r="AC180" i="3"/>
  <c r="AE190" i="3"/>
  <c r="AC190" i="3"/>
  <c r="AE194" i="3"/>
  <c r="AC194" i="3"/>
  <c r="AE228" i="3"/>
  <c r="AC228" i="3"/>
  <c r="AE232" i="3"/>
  <c r="AC232" i="3"/>
  <c r="AE51" i="3"/>
  <c r="AC69" i="3"/>
  <c r="AC95" i="3"/>
  <c r="AE115" i="3"/>
  <c r="AC126" i="3"/>
  <c r="AC128" i="3"/>
  <c r="AE131" i="3"/>
  <c r="AC134" i="3"/>
  <c r="AE138" i="3"/>
  <c r="AC138" i="3"/>
  <c r="AE148" i="3"/>
  <c r="AC148" i="3"/>
  <c r="AC155" i="3"/>
  <c r="AC158" i="3"/>
  <c r="AE170" i="3"/>
  <c r="AC170" i="3"/>
  <c r="AC181" i="3"/>
  <c r="AC198" i="3"/>
  <c r="AE206" i="3"/>
  <c r="AC206" i="3"/>
  <c r="AE236" i="3"/>
  <c r="AC236" i="3"/>
  <c r="AE59" i="3"/>
  <c r="AE112" i="3"/>
  <c r="AC117" i="3"/>
  <c r="AE129" i="3"/>
  <c r="AC141" i="3"/>
  <c r="AE174" i="3"/>
  <c r="AC174" i="3"/>
  <c r="AE191" i="3"/>
  <c r="AC191" i="3"/>
  <c r="AC207" i="3"/>
  <c r="AC214" i="3"/>
  <c r="AE218" i="3"/>
  <c r="AE222" i="3"/>
  <c r="AC233" i="3"/>
  <c r="AC77" i="3"/>
  <c r="AE79" i="3"/>
  <c r="AC80" i="3"/>
  <c r="AC109" i="3"/>
  <c r="AE113" i="3"/>
  <c r="AE127" i="3"/>
  <c r="AC131" i="3"/>
  <c r="AE135" i="3"/>
  <c r="AC135" i="3"/>
  <c r="AC142" i="3"/>
  <c r="AC149" i="3"/>
  <c r="AE152" i="3"/>
  <c r="AC152" i="3"/>
  <c r="AE156" i="3"/>
  <c r="AC156" i="3"/>
  <c r="AE178" i="3"/>
  <c r="AC178" i="3"/>
  <c r="AE182" i="3"/>
  <c r="AC182" i="3"/>
  <c r="AC185" i="3"/>
  <c r="AC229" i="3"/>
  <c r="AC65" i="3"/>
  <c r="AC88" i="3"/>
  <c r="AE118" i="3"/>
  <c r="AE132" i="3"/>
  <c r="AC132" i="3"/>
  <c r="AC139" i="3"/>
  <c r="AC145" i="3"/>
  <c r="AC175" i="3"/>
  <c r="AC188" i="3"/>
  <c r="AE192" i="3"/>
  <c r="AE196" i="3"/>
  <c r="AE204" i="3"/>
  <c r="AC204" i="3"/>
  <c r="AE208" i="3"/>
  <c r="AC208" i="3"/>
  <c r="AC226" i="3"/>
  <c r="AC230" i="3"/>
  <c r="AE55" i="3"/>
  <c r="AC113" i="3"/>
  <c r="AE116" i="3"/>
  <c r="AC129" i="3"/>
  <c r="AE136" i="3"/>
  <c r="AC136" i="3"/>
  <c r="AE146" i="3"/>
  <c r="AC153" i="3"/>
  <c r="AC157" i="3"/>
  <c r="AC165" i="3"/>
  <c r="AC168" i="3"/>
  <c r="AC179" i="3"/>
  <c r="AC183" i="3"/>
  <c r="AC218" i="3"/>
  <c r="AE226" i="3"/>
  <c r="AE234" i="3"/>
  <c r="AE119" i="3"/>
  <c r="AE142" i="3"/>
  <c r="AE145" i="3"/>
  <c r="AE147" i="3"/>
  <c r="AE168" i="3"/>
  <c r="AE171" i="3"/>
  <c r="AE173" i="3"/>
  <c r="AC196" i="3"/>
  <c r="AC222" i="3"/>
  <c r="AE229" i="3"/>
  <c r="AE231" i="3"/>
  <c r="AE141" i="3"/>
  <c r="AE143" i="3"/>
  <c r="AE167" i="3"/>
  <c r="AE169" i="3"/>
  <c r="AE186" i="3"/>
  <c r="AC192" i="3"/>
  <c r="AE212" i="3"/>
  <c r="AE225" i="3"/>
  <c r="AE227" i="3"/>
  <c r="AE137" i="3"/>
  <c r="AE139" i="3"/>
  <c r="AE165" i="3"/>
  <c r="AC173" i="3"/>
  <c r="AE195" i="3"/>
  <c r="AE197" i="3"/>
  <c r="AE221" i="3"/>
  <c r="AE223" i="3"/>
  <c r="AC231" i="3"/>
  <c r="AE217" i="3"/>
  <c r="AE219" i="3"/>
  <c r="AE187" i="3"/>
  <c r="AE189" i="3"/>
  <c r="AE213" i="3"/>
  <c r="AE215" i="3"/>
  <c r="AC223" i="3"/>
  <c r="AC225" i="3"/>
  <c r="AC137" i="3"/>
  <c r="AE157" i="3"/>
  <c r="AE159" i="3"/>
  <c r="AE183" i="3"/>
  <c r="AE185" i="3"/>
  <c r="AC195" i="3"/>
  <c r="AE209" i="3"/>
  <c r="AE211" i="3"/>
  <c r="AC219" i="3"/>
  <c r="AC221" i="3"/>
  <c r="AC234" i="3"/>
  <c r="AE237" i="3"/>
  <c r="AC237" i="3"/>
  <c r="AE153" i="3"/>
  <c r="AE155" i="3"/>
  <c r="AE166" i="3"/>
  <c r="AC172" i="3"/>
  <c r="AE179" i="3"/>
  <c r="AE181" i="3"/>
  <c r="AC189" i="3"/>
  <c r="AE198" i="3"/>
  <c r="AE205" i="3"/>
  <c r="AE207" i="3"/>
  <c r="AC215" i="3"/>
  <c r="AC217" i="3"/>
  <c r="AE224" i="3"/>
  <c r="AE149" i="3"/>
  <c r="AE151" i="3"/>
  <c r="AC159" i="3"/>
  <c r="AE175" i="3"/>
  <c r="AE177" i="3"/>
  <c r="AC187" i="3"/>
  <c r="AC211" i="3"/>
  <c r="AC213" i="3"/>
  <c r="AE233" i="3"/>
  <c r="AE235" i="3"/>
  <c r="U10" i="3"/>
  <c r="W10" i="3"/>
  <c r="U14" i="3"/>
  <c r="W14" i="3"/>
  <c r="U18" i="3"/>
  <c r="W18" i="3"/>
  <c r="U34" i="3"/>
  <c r="U41" i="3"/>
  <c r="W41" i="3"/>
  <c r="W60" i="3"/>
  <c r="W63" i="3"/>
  <c r="U67" i="3"/>
  <c r="W67" i="3"/>
  <c r="W74" i="3"/>
  <c r="U74" i="3"/>
  <c r="W77" i="3"/>
  <c r="U77" i="3"/>
  <c r="W80" i="3"/>
  <c r="W95" i="3"/>
  <c r="W101" i="3"/>
  <c r="U101" i="3"/>
  <c r="W34" i="3"/>
  <c r="W55" i="3"/>
  <c r="U71" i="3"/>
  <c r="W71" i="3"/>
  <c r="U92" i="3"/>
  <c r="W98" i="3"/>
  <c r="U98" i="3"/>
  <c r="W105" i="3"/>
  <c r="U105" i="3"/>
  <c r="W109" i="3"/>
  <c r="U109" i="3"/>
  <c r="U119" i="3"/>
  <c r="W25" i="3"/>
  <c r="U25" i="3"/>
  <c r="W11" i="3"/>
  <c r="U11" i="3"/>
  <c r="W15" i="3"/>
  <c r="U15" i="3"/>
  <c r="W19" i="3"/>
  <c r="U19" i="3"/>
  <c r="U22" i="3"/>
  <c r="W22" i="3"/>
  <c r="U38" i="3"/>
  <c r="W38" i="3"/>
  <c r="U42" i="3"/>
  <c r="U58" i="3"/>
  <c r="U61" i="3"/>
  <c r="U64" i="3"/>
  <c r="W64" i="3"/>
  <c r="U68" i="3"/>
  <c r="W75" i="3"/>
  <c r="U75" i="3"/>
  <c r="W78" i="3"/>
  <c r="U78" i="3"/>
  <c r="W81" i="3"/>
  <c r="U81" i="3"/>
  <c r="W89" i="3"/>
  <c r="U102" i="3"/>
  <c r="U112" i="3"/>
  <c r="U116" i="3"/>
  <c r="W31" i="3"/>
  <c r="U35" i="3"/>
  <c r="U39" i="3"/>
  <c r="W39" i="3"/>
  <c r="W42" i="3"/>
  <c r="W53" i="3"/>
  <c r="U65" i="3"/>
  <c r="W65" i="3"/>
  <c r="W68" i="3"/>
  <c r="U93" i="3"/>
  <c r="W93" i="3"/>
  <c r="U99" i="3"/>
  <c r="W102" i="3"/>
  <c r="W106" i="3"/>
  <c r="W113" i="3"/>
  <c r="U113" i="3"/>
  <c r="W12" i="3"/>
  <c r="U12" i="3"/>
  <c r="W16" i="3"/>
  <c r="U16" i="3"/>
  <c r="W23" i="3"/>
  <c r="U23" i="3"/>
  <c r="U26" i="3"/>
  <c r="W26" i="3"/>
  <c r="W29" i="3"/>
  <c r="U32" i="3"/>
  <c r="W48" i="3"/>
  <c r="W62" i="3"/>
  <c r="U62" i="3"/>
  <c r="U96" i="3"/>
  <c r="W99" i="3"/>
  <c r="W36" i="3"/>
  <c r="U36" i="3"/>
  <c r="U53" i="3"/>
  <c r="W51" i="3"/>
  <c r="W56" i="3"/>
  <c r="U56" i="3"/>
  <c r="W59" i="3"/>
  <c r="U59" i="3"/>
  <c r="W69" i="3"/>
  <c r="U90" i="3"/>
  <c r="W90" i="3"/>
  <c r="U94" i="3"/>
  <c r="W103" i="3"/>
  <c r="W107" i="3"/>
  <c r="U107" i="3"/>
  <c r="U110" i="3"/>
  <c r="W79" i="3"/>
  <c r="U79" i="3"/>
  <c r="W9" i="3"/>
  <c r="U9" i="3"/>
  <c r="W13" i="3"/>
  <c r="U13" i="3"/>
  <c r="W17" i="3"/>
  <c r="U17" i="3"/>
  <c r="W27" i="3"/>
  <c r="U27" i="3"/>
  <c r="W33" i="3"/>
  <c r="U33" i="3"/>
  <c r="U40" i="3"/>
  <c r="W49" i="3"/>
  <c r="U49" i="3"/>
  <c r="U66" i="3"/>
  <c r="W73" i="3"/>
  <c r="U73" i="3"/>
  <c r="W91" i="3"/>
  <c r="U91" i="3"/>
  <c r="W94" i="3"/>
  <c r="U97" i="3"/>
  <c r="U114" i="3"/>
  <c r="W110" i="3"/>
  <c r="W21" i="3"/>
  <c r="U21" i="3"/>
  <c r="W24" i="3"/>
  <c r="W30" i="3"/>
  <c r="U30" i="3"/>
  <c r="W37" i="3"/>
  <c r="U37" i="3"/>
  <c r="W52" i="3"/>
  <c r="W57" i="3"/>
  <c r="U60" i="3"/>
  <c r="U63" i="3"/>
  <c r="W70" i="3"/>
  <c r="U70" i="3"/>
  <c r="W76" i="3"/>
  <c r="W88" i="3"/>
  <c r="U88" i="3"/>
  <c r="W97" i="3"/>
  <c r="W104" i="3"/>
  <c r="U104" i="3"/>
  <c r="W108" i="3"/>
  <c r="U108" i="3"/>
  <c r="U118" i="3"/>
  <c r="W35" i="3"/>
  <c r="U52" i="3"/>
  <c r="W54" i="3"/>
  <c r="U55" i="3"/>
  <c r="W61" i="3"/>
  <c r="W87" i="3"/>
  <c r="W115" i="3"/>
  <c r="U115" i="3"/>
  <c r="W126" i="3"/>
  <c r="U140" i="3"/>
  <c r="U148" i="3"/>
  <c r="U156" i="3"/>
  <c r="U69" i="3"/>
  <c r="U72" i="3"/>
  <c r="U95" i="3"/>
  <c r="W100" i="3"/>
  <c r="W28" i="3"/>
  <c r="U29" i="3"/>
  <c r="U31" i="3"/>
  <c r="U57" i="3"/>
  <c r="U89" i="3"/>
  <c r="W116" i="3"/>
  <c r="U126" i="3"/>
  <c r="U129" i="3"/>
  <c r="U133" i="3"/>
  <c r="U20" i="3"/>
  <c r="U24" i="3"/>
  <c r="U28" i="3"/>
  <c r="U48" i="3"/>
  <c r="W50" i="3"/>
  <c r="U51" i="3"/>
  <c r="U54" i="3"/>
  <c r="U80" i="3"/>
  <c r="U103" i="3"/>
  <c r="U106" i="3"/>
  <c r="U111" i="3"/>
  <c r="W127" i="3"/>
  <c r="U127" i="3"/>
  <c r="U137" i="3"/>
  <c r="U141" i="3"/>
  <c r="U145" i="3"/>
  <c r="U149" i="3"/>
  <c r="U153" i="3"/>
  <c r="W96" i="3"/>
  <c r="U100" i="3"/>
  <c r="W114" i="3"/>
  <c r="U130" i="3"/>
  <c r="W32" i="3"/>
  <c r="W111" i="3"/>
  <c r="U134" i="3"/>
  <c r="U146" i="3"/>
  <c r="U154" i="3"/>
  <c r="W58" i="3"/>
  <c r="U50" i="3"/>
  <c r="W112" i="3"/>
  <c r="W117" i="3"/>
  <c r="U117" i="3"/>
  <c r="U135" i="3"/>
  <c r="U143" i="3"/>
  <c r="U151" i="3"/>
  <c r="U159" i="3"/>
  <c r="W40" i="3"/>
  <c r="W66" i="3"/>
  <c r="W92" i="3"/>
  <c r="U120" i="3"/>
  <c r="W132" i="3"/>
  <c r="U132" i="3"/>
  <c r="W120" i="3"/>
  <c r="W130" i="3"/>
  <c r="W138" i="3"/>
  <c r="W146" i="3"/>
  <c r="W154" i="3"/>
  <c r="W172" i="3"/>
  <c r="W180" i="3"/>
  <c r="W188" i="3"/>
  <c r="W196" i="3"/>
  <c r="W206" i="3"/>
  <c r="W214" i="3"/>
  <c r="W222" i="3"/>
  <c r="W230" i="3"/>
  <c r="W118" i="3"/>
  <c r="W133" i="3"/>
  <c r="W141" i="3"/>
  <c r="W149" i="3"/>
  <c r="W157" i="3"/>
  <c r="W167" i="3"/>
  <c r="W175" i="3"/>
  <c r="W183" i="3"/>
  <c r="W191" i="3"/>
  <c r="W209" i="3"/>
  <c r="W217" i="3"/>
  <c r="W225" i="3"/>
  <c r="W233" i="3"/>
  <c r="W128" i="3"/>
  <c r="W136" i="3"/>
  <c r="U138" i="3"/>
  <c r="W144" i="3"/>
  <c r="W152" i="3"/>
  <c r="W170" i="3"/>
  <c r="W178" i="3"/>
  <c r="W186" i="3"/>
  <c r="W194" i="3"/>
  <c r="W204" i="3"/>
  <c r="W212" i="3"/>
  <c r="W220" i="3"/>
  <c r="W228" i="3"/>
  <c r="U230" i="3"/>
  <c r="W236" i="3"/>
  <c r="U236" i="3"/>
  <c r="W131" i="3"/>
  <c r="W139" i="3"/>
  <c r="W147" i="3"/>
  <c r="W155" i="3"/>
  <c r="U157" i="3"/>
  <c r="W165" i="3"/>
  <c r="U167" i="3"/>
  <c r="W173" i="3"/>
  <c r="U175" i="3"/>
  <c r="W181" i="3"/>
  <c r="U183" i="3"/>
  <c r="W189" i="3"/>
  <c r="W197" i="3"/>
  <c r="W207" i="3"/>
  <c r="U209" i="3"/>
  <c r="W215" i="3"/>
  <c r="U217" i="3"/>
  <c r="W223" i="3"/>
  <c r="U225" i="3"/>
  <c r="W231" i="3"/>
  <c r="U233" i="3"/>
  <c r="W134" i="3"/>
  <c r="U136" i="3"/>
  <c r="W142" i="3"/>
  <c r="U144" i="3"/>
  <c r="W150" i="3"/>
  <c r="W158" i="3"/>
  <c r="W168" i="3"/>
  <c r="U170" i="3"/>
  <c r="W176" i="3"/>
  <c r="U178" i="3"/>
  <c r="W184" i="3"/>
  <c r="U186" i="3"/>
  <c r="W192" i="3"/>
  <c r="U194" i="3"/>
  <c r="U204" i="3"/>
  <c r="W210" i="3"/>
  <c r="U212" i="3"/>
  <c r="W218" i="3"/>
  <c r="U220" i="3"/>
  <c r="W226" i="3"/>
  <c r="U228" i="3"/>
  <c r="W234" i="3"/>
  <c r="W237" i="3"/>
  <c r="W119" i="3"/>
  <c r="W129" i="3"/>
  <c r="U131" i="3"/>
  <c r="W137" i="3"/>
  <c r="U139" i="3"/>
  <c r="W145" i="3"/>
  <c r="U147" i="3"/>
  <c r="W153" i="3"/>
  <c r="U155" i="3"/>
  <c r="U165" i="3"/>
  <c r="W171" i="3"/>
  <c r="U173" i="3"/>
  <c r="W179" i="3"/>
  <c r="U181" i="3"/>
  <c r="W187" i="3"/>
  <c r="U189" i="3"/>
  <c r="W195" i="3"/>
  <c r="U197" i="3"/>
  <c r="W205" i="3"/>
  <c r="U207" i="3"/>
  <c r="W213" i="3"/>
  <c r="U215" i="3"/>
  <c r="W221" i="3"/>
  <c r="U223" i="3"/>
  <c r="W229" i="3"/>
  <c r="U231" i="3"/>
  <c r="W140" i="3"/>
  <c r="U142" i="3"/>
  <c r="W148" i="3"/>
  <c r="U150" i="3"/>
  <c r="W156" i="3"/>
  <c r="U158" i="3"/>
  <c r="W166" i="3"/>
  <c r="U168" i="3"/>
  <c r="W174" i="3"/>
  <c r="U176" i="3"/>
  <c r="W182" i="3"/>
  <c r="U184" i="3"/>
  <c r="W190" i="3"/>
  <c r="U192" i="3"/>
  <c r="W198" i="3"/>
  <c r="W208" i="3"/>
  <c r="U210" i="3"/>
  <c r="W216" i="3"/>
  <c r="U218" i="3"/>
  <c r="W224" i="3"/>
  <c r="U226" i="3"/>
  <c r="W232" i="3"/>
  <c r="U234" i="3"/>
  <c r="U237" i="3"/>
  <c r="W135" i="3"/>
  <c r="W143" i="3"/>
  <c r="W151" i="3"/>
  <c r="W159" i="3"/>
  <c r="W169" i="3"/>
  <c r="W177" i="3"/>
  <c r="W185" i="3"/>
  <c r="W193" i="3"/>
  <c r="U205" i="3"/>
  <c r="W211" i="3"/>
  <c r="U213" i="3"/>
  <c r="W219" i="3"/>
  <c r="U221" i="3"/>
  <c r="W227" i="3"/>
  <c r="W235" i="3"/>
  <c r="M32" i="3"/>
  <c r="M48" i="3"/>
  <c r="M52" i="3"/>
  <c r="M40" i="3"/>
  <c r="M9" i="3"/>
  <c r="M25" i="3"/>
  <c r="M41" i="3"/>
  <c r="M24" i="3"/>
  <c r="M17" i="3"/>
  <c r="M33" i="3"/>
  <c r="M36" i="3"/>
  <c r="M10" i="3"/>
  <c r="M18" i="3"/>
  <c r="M26" i="3"/>
  <c r="M34" i="3"/>
  <c r="M42" i="3"/>
  <c r="M11" i="3"/>
  <c r="M19" i="3"/>
  <c r="M27" i="3"/>
  <c r="M35" i="3"/>
  <c r="M93" i="3"/>
  <c r="M98" i="3"/>
  <c r="M107" i="3"/>
  <c r="M131" i="3"/>
  <c r="M13" i="3"/>
  <c r="M21" i="3"/>
  <c r="M29" i="3"/>
  <c r="M37" i="3"/>
  <c r="M15" i="3"/>
  <c r="M23" i="3"/>
  <c r="M31" i="3"/>
  <c r="M39" i="3"/>
  <c r="M237" i="3"/>
  <c r="M214" i="3"/>
  <c r="M220" i="3"/>
  <c r="M225" i="3"/>
  <c r="M234" i="3"/>
  <c r="M207" i="3"/>
  <c r="M229" i="3"/>
  <c r="M210" i="3"/>
  <c r="M205" i="3"/>
  <c r="M211" i="3"/>
  <c r="M217" i="3"/>
  <c r="M226" i="3"/>
  <c r="M235" i="3"/>
  <c r="M216" i="3"/>
  <c r="M231" i="3"/>
  <c r="M204" i="3"/>
  <c r="M223" i="3"/>
  <c r="M215" i="3"/>
  <c r="M208" i="3"/>
  <c r="M221" i="3"/>
  <c r="M232" i="3"/>
  <c r="M206" i="3"/>
  <c r="M212" i="3"/>
  <c r="M218" i="3"/>
  <c r="M227" i="3"/>
  <c r="M230" i="3"/>
  <c r="M236" i="3"/>
  <c r="M224" i="3"/>
  <c r="M209" i="3"/>
  <c r="M213" i="3"/>
  <c r="M219" i="3"/>
  <c r="M222" i="3"/>
  <c r="M228" i="3"/>
  <c r="M233" i="3"/>
  <c r="M166" i="3"/>
  <c r="M182" i="3"/>
  <c r="M198" i="3"/>
  <c r="M169" i="3"/>
  <c r="M173" i="3"/>
  <c r="M179" i="3"/>
  <c r="M185" i="3"/>
  <c r="M189" i="3"/>
  <c r="M195" i="3"/>
  <c r="M170" i="3"/>
  <c r="M180" i="3"/>
  <c r="M183" i="3"/>
  <c r="M186" i="3"/>
  <c r="M196" i="3"/>
  <c r="M174" i="3"/>
  <c r="M190" i="3"/>
  <c r="M171" i="3"/>
  <c r="M177" i="3"/>
  <c r="M181" i="3"/>
  <c r="M187" i="3"/>
  <c r="M193" i="3"/>
  <c r="M197" i="3"/>
  <c r="M167" i="3"/>
  <c r="M176" i="3"/>
  <c r="M192" i="3"/>
  <c r="M168" i="3"/>
  <c r="M172" i="3"/>
  <c r="M175" i="3"/>
  <c r="M178" i="3"/>
  <c r="M184" i="3"/>
  <c r="M188" i="3"/>
  <c r="M191" i="3"/>
  <c r="M194" i="3"/>
  <c r="M165" i="3"/>
  <c r="M134" i="3"/>
  <c r="M139" i="3"/>
  <c r="M143" i="3"/>
  <c r="M149" i="3"/>
  <c r="M152" i="3"/>
  <c r="M159" i="3"/>
  <c r="M128" i="3"/>
  <c r="M140" i="3"/>
  <c r="M146" i="3"/>
  <c r="M156" i="3"/>
  <c r="M137" i="3"/>
  <c r="M150" i="3"/>
  <c r="M153" i="3"/>
  <c r="M135" i="3"/>
  <c r="M144" i="3"/>
  <c r="M157" i="3"/>
  <c r="M132" i="3"/>
  <c r="M138" i="3"/>
  <c r="M129" i="3"/>
  <c r="M142" i="3"/>
  <c r="M147" i="3"/>
  <c r="M151" i="3"/>
  <c r="M158" i="3"/>
  <c r="M127" i="3"/>
  <c r="M133" i="3"/>
  <c r="M136" i="3"/>
  <c r="M148" i="3"/>
  <c r="M141" i="3"/>
  <c r="M154" i="3"/>
  <c r="M126" i="3"/>
  <c r="M130" i="3"/>
  <c r="M145" i="3"/>
  <c r="M155" i="3"/>
  <c r="M113" i="3"/>
  <c r="M96" i="3"/>
  <c r="M90" i="3"/>
  <c r="M99" i="3"/>
  <c r="M105" i="3"/>
  <c r="M108" i="3"/>
  <c r="M111" i="3"/>
  <c r="M114" i="3"/>
  <c r="M120" i="3"/>
  <c r="M102" i="3"/>
  <c r="M117" i="3"/>
  <c r="M88" i="3"/>
  <c r="M94" i="3"/>
  <c r="M118" i="3"/>
  <c r="M87" i="3"/>
  <c r="M97" i="3"/>
  <c r="M100" i="3"/>
  <c r="M103" i="3"/>
  <c r="M109" i="3"/>
  <c r="M91" i="3"/>
  <c r="M112" i="3"/>
  <c r="M115" i="3"/>
  <c r="M119" i="3"/>
  <c r="M89" i="3"/>
  <c r="M92" i="3"/>
  <c r="M95" i="3"/>
  <c r="M101" i="3"/>
  <c r="M106" i="3"/>
  <c r="M104" i="3"/>
  <c r="M110" i="3"/>
  <c r="M116" i="3"/>
  <c r="M61" i="3"/>
  <c r="M59" i="3"/>
  <c r="M53" i="3"/>
  <c r="M57" i="3"/>
  <c r="M63" i="3"/>
  <c r="M66" i="3"/>
  <c r="M69" i="3"/>
  <c r="M74" i="3"/>
  <c r="M65" i="3"/>
  <c r="M81" i="3"/>
  <c r="M78" i="3"/>
  <c r="M51" i="3"/>
  <c r="M54" i="3"/>
  <c r="M73" i="3"/>
  <c r="M75" i="3"/>
  <c r="M79" i="3"/>
  <c r="M71" i="3"/>
  <c r="M56" i="3"/>
  <c r="M50" i="3"/>
  <c r="M62" i="3"/>
  <c r="M60" i="3"/>
  <c r="M64" i="3"/>
  <c r="M70" i="3"/>
  <c r="M76" i="3"/>
  <c r="M77" i="3"/>
  <c r="M72" i="3"/>
  <c r="M68" i="3"/>
  <c r="M49" i="3"/>
  <c r="M55" i="3"/>
  <c r="M58" i="3"/>
  <c r="M67" i="3"/>
  <c r="M80" i="3"/>
  <c r="M12" i="3"/>
  <c r="M20" i="3"/>
  <c r="M28" i="3"/>
  <c r="N225" i="4" l="1"/>
  <c r="D224" i="4"/>
  <c r="N223" i="4"/>
  <c r="BM82" i="3"/>
  <c r="Q238" i="3"/>
  <c r="Y238" i="3"/>
  <c r="AG43" i="3"/>
  <c r="BM199" i="3"/>
  <c r="BM238" i="3"/>
  <c r="BM121" i="3"/>
  <c r="BM43" i="3"/>
  <c r="BU238" i="3"/>
  <c r="BU160" i="3"/>
  <c r="BU121" i="3"/>
  <c r="Y160" i="3"/>
  <c r="AG238" i="3"/>
  <c r="AG199" i="3"/>
  <c r="AG160" i="3"/>
  <c r="AO160" i="3"/>
  <c r="AO43" i="3"/>
  <c r="AW238" i="3"/>
  <c r="AW82" i="3"/>
  <c r="Q160" i="3"/>
  <c r="Y199" i="3"/>
  <c r="Y82" i="3"/>
  <c r="AW160" i="3"/>
  <c r="BE43" i="3"/>
  <c r="BU199" i="3"/>
  <c r="Q43" i="3"/>
  <c r="Y43" i="3"/>
  <c r="AO82" i="3"/>
  <c r="AW43" i="3"/>
  <c r="BE238" i="3"/>
  <c r="BE160" i="3"/>
  <c r="BE121" i="3"/>
  <c r="I43" i="3"/>
  <c r="I121" i="3"/>
  <c r="I199" i="3"/>
  <c r="Q82" i="3"/>
  <c r="AO199" i="3"/>
  <c r="AW121" i="3"/>
  <c r="BE82" i="3"/>
  <c r="Q199" i="3"/>
  <c r="I160" i="3"/>
  <c r="I82" i="3"/>
  <c r="Y121" i="3"/>
  <c r="AG82" i="3"/>
  <c r="AG121" i="3"/>
  <c r="AO238" i="3"/>
  <c r="BU82" i="3"/>
  <c r="BU43" i="3"/>
  <c r="AO121" i="3"/>
  <c r="BE199" i="3"/>
  <c r="Q121" i="3"/>
  <c r="I238" i="3"/>
  <c r="AW199" i="3"/>
  <c r="BM160" i="3"/>
  <c r="N224" i="4"/>
  <c r="T225" i="4"/>
  <c r="P225" i="4"/>
  <c r="J225" i="4"/>
  <c r="T224" i="4"/>
  <c r="H225" i="4"/>
  <c r="R225" i="4"/>
  <c r="D223" i="4"/>
  <c r="D225" i="4"/>
  <c r="P224" i="4"/>
  <c r="T223" i="4"/>
  <c r="L224" i="4"/>
  <c r="H224" i="4"/>
  <c r="L225" i="4"/>
  <c r="R224" i="4"/>
  <c r="J224" i="4"/>
  <c r="J223" i="4"/>
  <c r="H223" i="4"/>
  <c r="K242" i="3"/>
  <c r="C249" i="3" s="1"/>
  <c r="I242" i="3"/>
  <c r="E249" i="3" s="1"/>
  <c r="BU242" i="3"/>
  <c r="E257" i="3" s="1"/>
  <c r="BW242" i="3"/>
  <c r="C257" i="3" s="1"/>
  <c r="BO242" i="3"/>
  <c r="C256" i="3" s="1"/>
  <c r="BM242" i="3"/>
  <c r="E256" i="3" s="1"/>
  <c r="BG242" i="3"/>
  <c r="C255" i="3" s="1"/>
  <c r="BE242" i="3"/>
  <c r="E255" i="3" s="1"/>
  <c r="AY242" i="3"/>
  <c r="C254" i="3" s="1"/>
  <c r="AW242" i="3"/>
  <c r="E254" i="3" s="1"/>
  <c r="AQ242" i="3"/>
  <c r="C253" i="3" s="1"/>
  <c r="AO242" i="3"/>
  <c r="E253" i="3" s="1"/>
  <c r="AI242" i="3"/>
  <c r="C252" i="3" s="1"/>
  <c r="AG242" i="3"/>
  <c r="E252" i="3" s="1"/>
  <c r="AA242" i="3"/>
  <c r="C251" i="3" s="1"/>
  <c r="Y242" i="3"/>
  <c r="E251" i="3" s="1"/>
  <c r="S242" i="3"/>
  <c r="C250" i="3" s="1"/>
  <c r="Q242" i="3"/>
  <c r="E250" i="3" s="1"/>
</calcChain>
</file>

<file path=xl/sharedStrings.xml><?xml version="1.0" encoding="utf-8"?>
<sst xmlns="http://schemas.openxmlformats.org/spreadsheetml/2006/main" count="10001" uniqueCount="573">
  <si>
    <t>IT MD number</t>
  </si>
  <si>
    <t>Physican Name</t>
  </si>
  <si>
    <t>Question</t>
  </si>
  <si>
    <t>Mean Score</t>
  </si>
  <si>
    <t>Responses</t>
  </si>
  <si>
    <t>Percentile</t>
  </si>
  <si>
    <t>KAREN M ESTRINE</t>
  </si>
  <si>
    <t>Std Doctors</t>
  </si>
  <si>
    <t>Doctor informative re treatment</t>
  </si>
  <si>
    <t>Doctor took time to listen</t>
  </si>
  <si>
    <t>Doctors concern for comfort</t>
  </si>
  <si>
    <t>Doctors courtesy</t>
  </si>
  <si>
    <t>Waiting time to see doctor</t>
  </si>
  <si>
    <t>RAHUL S KARWAL</t>
  </si>
  <si>
    <t>ALEXANDER GARCIA</t>
  </si>
  <si>
    <t>CHRISTIAN KOKINAKOS</t>
  </si>
  <si>
    <t>ELAINE DIAZ</t>
  </si>
  <si>
    <t>CHARLES SANZ</t>
  </si>
  <si>
    <t>DAVID MISHKIN</t>
  </si>
  <si>
    <t>MIGDALIA GARCIA-GONZALEZ</t>
  </si>
  <si>
    <t>SWEHA PATEL</t>
  </si>
  <si>
    <t>ALAN ITZKOWITZ</t>
  </si>
  <si>
    <t>LESLY KERNISANT</t>
  </si>
  <si>
    <t>JONATHAN SNYDERMAN</t>
  </si>
  <si>
    <t>EVA ESCATEL</t>
  </si>
  <si>
    <t>SARAH ELETTO</t>
  </si>
  <si>
    <t>ANDREW MASON</t>
  </si>
  <si>
    <t>MICHAEL MAI</t>
  </si>
  <si>
    <t>KENNETH STEINBERG</t>
  </si>
  <si>
    <t>SHANE RUCKLE</t>
  </si>
  <si>
    <t>ALEX PALMA</t>
  </si>
  <si>
    <t>MICHAEL BRAZDA</t>
  </si>
  <si>
    <t>FELIPE LOERA</t>
  </si>
  <si>
    <t>DANIEL D'AMORE</t>
  </si>
  <si>
    <t>POOPAK GHASSEMI BAKHTIARI</t>
  </si>
  <si>
    <t>JEAN-PAUL SORONDO</t>
  </si>
  <si>
    <t>JESSICA SILVERSMITH</t>
  </si>
  <si>
    <t>TESSA HASPIL-CORGAN</t>
  </si>
  <si>
    <t>ANDREA J BETANCOURT</t>
  </si>
  <si>
    <t>KARIN ARNOLD-DOBAL</t>
  </si>
  <si>
    <t>LEO HUYNH</t>
  </si>
  <si>
    <t>RADHA KOTAMRAJU</t>
  </si>
  <si>
    <t>ANTONY FRIEDMAN</t>
  </si>
  <si>
    <t>SERGIO SEGARRA</t>
  </si>
  <si>
    <t>MD Code</t>
  </si>
  <si>
    <t>Rating</t>
  </si>
  <si>
    <t>Comment</t>
  </si>
  <si>
    <t>Positive</t>
  </si>
  <si>
    <t>all good</t>
  </si>
  <si>
    <t>Dr sent me to see another physician. The next morning that Physician had no idea I existed. I had no appointment scheduled as she promised. She told me they would be expecting me just to get me out of the way fast.</t>
  </si>
  <si>
    <t>Negative</t>
  </si>
  <si>
    <t>Did not see a doctor. I went in at 11pm on the 30th and left at 455am on the 31st. never saw a doctor.</t>
  </si>
  <si>
    <t>Never saw the doctor</t>
  </si>
  <si>
    <t>sat for 5 hours and still no health care provider</t>
  </si>
  <si>
    <t>Neutral</t>
  </si>
  <si>
    <t>Never saw him/her</t>
  </si>
  <si>
    <t>Never saw one.</t>
  </si>
  <si>
    <t>Doctors were very good.</t>
  </si>
  <si>
    <t>very polite and pleasant to speak to</t>
  </si>
  <si>
    <t>excelente</t>
  </si>
  <si>
    <t>Again, the doctor was attentive and very good   He initially thought that I could receive some treatment and be discharged but when the nurse noticed I had continued to have a problem, he immediately came back in, checked and said I would need to stay.</t>
  </si>
  <si>
    <t>DOCTOR ALWAYS SEEM TO BE IN A RUSH AND SOMETIMES WE FORGET IMPORTANT INFORMATION FOR BEING IN THAT TYPE OF PRESSURE.</t>
  </si>
  <si>
    <t>Except for the long wait, which does not help if you have to wait, all else was good.</t>
  </si>
  <si>
    <t>Mixed</t>
  </si>
  <si>
    <t>The doctor was outstanding. Do not recall his name. He was a gray haired young gentleman on his early forties. Very knowledgeable who gave my mother the confidence she needed at the time. Wish some of the Homestead hospital (hospital we visit all the time) would be a match to this doctor. He was prompt, got to the point and answered all questions I had.</t>
  </si>
  <si>
    <t>Excellent</t>
  </si>
  <si>
    <t>All good</t>
  </si>
  <si>
    <t>I complained of weight loss, nausea, lack of appetite.  A scan was ordered by the first doctor that saw me who listened.  However, another doctor came to tell me the results of the scan and his exact words were 'Good news, the scan came back negative so you can go'  and he walked out.  Not a word about you need additional testing or follow up or anything.  This is after spending 11 hour in emergency.</t>
  </si>
  <si>
    <t>admitting physician ordered medicines but never told me about them or discussed themwith me. nurses just came in to give them to me without warning</t>
  </si>
  <si>
    <t>I saw the doctor for less then 5 minutes right before I was released.</t>
  </si>
  <si>
    <t>very dismissive and his discharge note did not address my issues, symptoms, or diagnosis.</t>
  </si>
  <si>
    <t>nunca me dijeron nada, nuca me explicaron que tenÃ­a eso fue un desastre esta vez,,,,,</t>
  </si>
  <si>
    <t>The doctor took 3 Hrs for the discharge papers.</t>
  </si>
  <si>
    <t>see prior</t>
  </si>
  <si>
    <t>Dr Garcia was  very professional and attentive. He was personable and very knowledgeable. He is a very good asset to Baptist ER. I would definitely want him to take care of me or family next time we are in the ER. thanks to Dr Garcia I feel much better today</t>
  </si>
  <si>
    <t>The doctor and the attending nurse were also great.</t>
  </si>
  <si>
    <t>todo muy bien</t>
  </si>
  <si>
    <t>the telemedicine doctor was great and had a good and engaging demeanor. the ER doctor was busy because the unit was full and she was more reserved and less expressive</t>
  </si>
  <si>
    <t>Doctor had no idea what was going on with me. I had a cough and SOB and she tried to blame it on my Lisinopril. It was not lisinopril. She was also determined to find a heart problem, which i understand and makes sense, but she should listen to her patients because we know our bodies. Listen more, and maybe she can find out the proper diagnosis. I ended up going to my PCP and it had nothing to do with lisinopril and he helped me get better fast.</t>
  </si>
  <si>
    <t>excellent</t>
  </si>
  <si>
    <t>He is a fantastic Doctor, very knowledgeable, to the point and took the time necessary for me to understand , sorry I do not remember his name, but you would know.</t>
  </si>
  <si>
    <t>Nothing was performed by the healthcare provider, it was just a conversation.</t>
  </si>
  <si>
    <t>I came in with low hemaglobin but was severely dehydrated which effected the results of my tests. I blacked out and aspirated vomit...the soctor took a chest x- ray and told me I had bronchitis. i was given 2 bags of iv fluids and sent home. still feeling ill I had to go back to another ER and was told my hemaglobin level was 5.9. I felt rushed out of the er while I was there and i wasnt listened to. other than that everything else was fine but the misdiagnosis was a bad one. The nurses were shocked the doctor was releasing me so soon.</t>
  </si>
  <si>
    <t>Great job guys. This was the worst pain I have ever felt in my life and for some reason you made me feel like things would be ok. The staff was very professional. Thanks a million :)</t>
  </si>
  <si>
    <t>great doctor, really listened and helped.  I came in with vomiting and diarrhea after having gallbladder surgery at a different hospital and he listened to me and my grandmother who was taking care of me.</t>
  </si>
  <si>
    <t>very concerned about my concern and did everything to address my concerns</t>
  </si>
  <si>
    <t>good</t>
  </si>
  <si>
    <t>The dr never asked me if I was comfortable neither did the dr explain my condition. Also, my blood work indicated that I was anemic and she did not mention this at all. I found out at a follow up appointment with my cardiologist.</t>
  </si>
  <si>
    <t>The doctor saw me for a combined 15 minutes.  That's it!</t>
  </si>
  <si>
    <t>muy mala actitute pesima atencion al pacient por parte de la doctora</t>
  </si>
  <si>
    <t>no comentarios</t>
  </si>
  <si>
    <t>once back in a room the nurses and Doctor were more attentive</t>
  </si>
  <si>
    <t>I WAS TOLD THAT YOUR EMERGENCY ROOM IS ALWAYS VERY BUSY.  IF SO, THEN THE EMERGENCY ROOM IS WAY UNDERSTAFFED OF NURSES, NURSES'S ASSISTANTS AND DOCTORS.  THERE WERE FIVE PATIENTS INSIDE THE NURSES' STATION, OUT IN THE HALLWAY, IN BEDS.  HOURS WERE PASSING AND THESE PATIENTS WERE PRETTY MUCH BEING IGNORED BY EVERYONE.  INCLUDING ME.</t>
  </si>
  <si>
    <t>doctors have too many patient to see</t>
  </si>
  <si>
    <t>none</t>
  </si>
  <si>
    <t>NEVER SEEN ONE!</t>
  </si>
  <si>
    <t>The staff in the CT and X-ray rooms were excellent!   The CT especially.  It was VERY apparent they not only liked working together they made me feel I was LUCKY to be in their care.</t>
  </si>
  <si>
    <t>rating day shift doctor</t>
  </si>
  <si>
    <t>The doctor was very informative. She spoke with me regarding my concerns and made great suggestions.</t>
  </si>
  <si>
    <t>Felt misunderstood by my description of pain, felt I wasn't given any final diagnosis or explanation of the medication prescribed.</t>
  </si>
  <si>
    <t>I don't understand how a hospital like Baptist can have such a condescending doctor in the ER, when you go to an ER it's because you are in pain and worried about your condition, so for a doctor to tell me 'pain is painful' what is that answer to someone that is looking to the expert to help understand what is wrong.</t>
  </si>
  <si>
    <t>La doctora que me atendiÃ³ estaba con actitud y poniendo me hacer movimientos que creo no debÃ­a de hacer porque ni resultados me avÃ­a dado de los xray .</t>
  </si>
  <si>
    <t>Year</t>
  </si>
  <si>
    <t>Period</t>
  </si>
  <si>
    <t>Site</t>
  </si>
  <si>
    <t>Apr</t>
  </si>
  <si>
    <t>Baptist</t>
  </si>
  <si>
    <t>I felt as if the doctor was in a bit of a hurry.  I am a little concerned because she prescribed Ibuprofen for my pain but had she looked at my chart, she would have known that with blood pressure medication, Ibuprofen is a contradiction.  This could be a problem when prescribing to an elderly person, or just someone who wouldn't know not to take it.</t>
  </si>
  <si>
    <t>Physician saw me only once to examine me, she wouldn't order IV without seeing me. She never came back and d/c me with high blood pressure. Didn't feel I need any extra test I guess. Although I have a different condition which she wasn't familiar I felt she wasn't sympathetic to my needs. Only saw me once</t>
  </si>
  <si>
    <t>I wish the front desk would have told me I need to go to see an eye doctor because the ER at Bapstist is not capable of giving a full eye exam. total waste of time and money.</t>
  </si>
  <si>
    <t>Excellent.</t>
  </si>
  <si>
    <t>I appreciated everything that Doctor Mason did for me. I also enjoyed his sense of homor.</t>
  </si>
  <si>
    <t>dr Friedman helped me immediately.   best doctor ever!</t>
  </si>
  <si>
    <t>Dr leann Fernandez needs to be fired</t>
  </si>
  <si>
    <t>The doctor I saw that night did not seem very knowledgeable regarding treatment of type I diabetic or even of the terminology. He did not seem concerned and only stopped in quickly when I first arrived and right before I was discharged. Basically, other than IV fluids was consult your endocrinologist. My end had sen me there in the first place as we had been trying all day to get my numbers down and could not gain any consistency. The doctor seemed far more interested at hanging out laughing with the staff at the desk.</t>
  </si>
  <si>
    <t>never saw one</t>
  </si>
  <si>
    <t>en ambos baptist lo tratan al paciente como mercaderia , desdues de 20 anios de ser paciente del BAPTIST nunca vi tan bajo nivel medico en Urgent Care o en Emergency como estos ultimos anios Mucho Crecimiento , pero se estan olvidando de lo mas importante el ser humano , no estan vendiendo mercaderia , el servicio lo esta recibiendo un ser humano , una persona que siente , que esta viva. Envien a uno de sus burocratas directores a ser atendido al west kendall para que entienda ser tratado como ganado lo que significa.</t>
  </si>
  <si>
    <t>Dr. wasn't concerned about listing to my concerns. discharged me with pain &amp; 2am.  I told him I could not tolerate the pain medication Percocet that he prescribed and he still prescribed it to me and didn't offer any other options. when I express my discontent he became compatible with me and begin to say there was nothing else he could do for me I left very upset.  when I express my discontent he became compatible with me and begin to say there was nothing else he could do for me I left very upset I will never go back to the hospital ever again!  I will never go back to his hospital ever again</t>
  </si>
  <si>
    <t>exelet</t>
  </si>
  <si>
    <t>Dr. Ruckle was amazing. great bedside manner.</t>
  </si>
  <si>
    <t>the doctors should test you better</t>
  </si>
  <si>
    <t>I think that I should have had blood work because I could have had gout.</t>
  </si>
  <si>
    <t>Dr. was Excellent in diagnosis of my problem, given that I am a patient that uses Baptist for most of the test needed for my Dr's.  He was able to used prior test results.</t>
  </si>
  <si>
    <t>my ER physician was excellent</t>
  </si>
  <si>
    <t>Dr. Palma was amazing. friendly,helpful and calmed me down during a bad situation. Thank you!!</t>
  </si>
  <si>
    <t>my doctor was excellent. he was great.</t>
  </si>
  <si>
    <t>Dr. Steinberg was excellent!</t>
  </si>
  <si>
    <t>Not sure what you mean by 'Healthcare Provider' ? Nurse , Doctor, are healthcare providers?? Questions answered with Doctor as healthcare provider</t>
  </si>
  <si>
    <t>the doctor barely looked at me- she did not examine me, nor take the time to inquire as to how I got the injury. I was prescribed the o correct quantities of medication- I had a severe bacterial infection in my arm and was given a reg strength antibiotic and only 3 days worth- even the pharmacist was bewildered.</t>
  </si>
  <si>
    <t>I appreciate Dr. Steinberg for being very blunt and direct. He was straight to the point and realistic.</t>
  </si>
  <si>
    <t>Spent less than 5 minutes with doctor after waiting almost 4 hours.</t>
  </si>
  <si>
    <t>i had an ER visit on the 11 and the 12. i'm assuming this one is only for the 11th. Dr.  Betancourt was amazing! on the 12th, Dr. Friedman was the complete opposite</t>
  </si>
  <si>
    <t>everyone was really nice and caring</t>
  </si>
  <si>
    <t>bad diagnostic. what the doctor said I had is not what I have</t>
  </si>
  <si>
    <t>Surgeon came in quickly and determined the condition of my eye.</t>
  </si>
  <si>
    <t>the doctor sent me back home withealth the pain and not informing me about what they have found in the ultrasound. horrible experience</t>
  </si>
  <si>
    <t>the ER physicians was great and treated me with priority</t>
  </si>
  <si>
    <t>I came in with weakness to my whole body I was numbed to my face and arms, also could not move m y neck to side to side, the dr asked me to lift my arms and my legs, but did not check my neck, which was the main complain I had. 'He stated relax you are not having a stroke',  well thank God I was not having a stroke, I find that the assessment was poor from both the nurse and the Doctor, for some reason they were not paying attention to my main problem. I was also dizzy, vertigo and no one checked my ears, I felt numbness to my back, it was an awful feeling.</t>
  </si>
  <si>
    <t>the doctor was so tired when he finallly came he said very little , changed antibiotic &amp; left... looked like he needed to go home...slow movement &amp; speechlacking professionalism you would expect from a Doctor</t>
  </si>
  <si>
    <t>grear</t>
  </si>
  <si>
    <t>Doctor was obviously having to take care of way to many patients</t>
  </si>
  <si>
    <t>No bedside manners at all. He seemed bored, bothered, uninterested.Unattentive and Critical. ***see to first comment.</t>
  </si>
  <si>
    <t>the doctor have to give more atention to the patient</t>
  </si>
  <si>
    <t>Never saw a Doctor</t>
  </si>
  <si>
    <t>some things are good or very good... but some only can be classified as good (from my point of view)</t>
  </si>
  <si>
    <t>Thank you to the doctor who saw me during my visit. She open my eyes to the fact that I need to make some changes to my life. I so appreciate your time, care and compassion during this difficult time. Thank you.</t>
  </si>
  <si>
    <t>Dr. Michael Nguyen Vinh Mai had a very positive and supportive manner. He questioned and listened carefully, and was clearly determined to do his best for me.</t>
  </si>
  <si>
    <t>again, the doctor didn't take anytime to explain to me what was wrong. he was slurring his words like he was intoxicatwd</t>
  </si>
  <si>
    <t>Super care.</t>
  </si>
  <si>
    <t>I left the ER with no help. After securing that my heart was fine I was dismissed with the same symptoms that I had when I came for help. Although my blood test showed my hemoglobin was fine, I have a history of low iron distribution. This has been treated multiple times over the years through the Baptist system. I was reused that test. When I left, I was given a list of GET HELP RIGHT AWAY IF, and I came in with half of the symptoms listed and left with no explanation and no help. I don't make it a habit of driving myself to the ER at 3 am. I visited my oncologist on Thursday, and first, my blood test diagnosed my very low iron distribution despite adequate hemoglobin. In addition, after he read my CT scan from that night, I had fluid in my lungs.</t>
  </si>
  <si>
    <t>Mi comodidad en la sala fue garantizada por la enfermera.</t>
  </si>
  <si>
    <t>good experience</t>
  </si>
  <si>
    <t>doctor badly examined me. and nobody called me back to tell me about my exam results during the weekend</t>
  </si>
  <si>
    <t>BUENA</t>
  </si>
  <si>
    <t>I was amazed that the doctor immediately asked if I 'needed something for the pain' seeing as my worst symptoms were a sore throat and swollen glands.</t>
  </si>
  <si>
    <t>Doctor seemed to be in too much of a hurry; although he was very nice for the short time spent with me</t>
  </si>
  <si>
    <t>Dr. came to see me sometime after 8:00 am after I complained that I was in the room since 1:30am, he just apologized, saying that he just started his shift and he was looking at the patients, so I asked what about since 1:30 am no Drs. available? did not answer</t>
  </si>
  <si>
    <t>Dr Haspil very concerned and helpful. Excellent.</t>
  </si>
  <si>
    <t>Dr G - last name starts with a B. She was professional , knowlegeable, personable sand took her time to explain my condition despite how busy and how many patients were waiting for her.</t>
  </si>
  <si>
    <t>Words alone cannot express the admiration and respect I have for Dr. Tavarez, as he is honestly the most caring, thorough, respectful, compassionate, knowledgeable and attentive doctor I think I have ever met. I truly wish he could train other physicians so they can learn the gift of providing great bedside manner. When a person's child is sick, we are knowingly placing our child's life in the hands of a stranger. It is not an easy thing to do, but one that is a lot easier when you connect with the physician and truthfully feel that he has your child's best interest at heart. This is what Dr. Tavares did for my family and I can only pray that he will one day know how he has restored a positive image and my views, respect, and trust into physicians again. THANK YOU</t>
  </si>
  <si>
    <t>May</t>
  </si>
  <si>
    <t>knowledgeable, professional, kind</t>
  </si>
  <si>
    <t>everything was good. i went in for a bad headache, i did a ct scan, but i needed a mri because it sees more in my head to see if anything is wrong.. i still have a bad headache with no medecine</t>
  </si>
  <si>
    <t>Both on the 26 and on the 30th were extremely good professionals. I felt I was in good hands and I was not only a patient , I felt their interest towards me as a person and I know you know what I mean.</t>
  </si>
  <si>
    <t>I HAD A BLESSING EXPERIENCE. JCC</t>
  </si>
  <si>
    <t>Doctor was fast but she was preside of my pain .</t>
  </si>
  <si>
    <t>very explanatory, excellent</t>
  </si>
  <si>
    <t>megan the best nurse!</t>
  </si>
  <si>
    <t>very nice and asked me what was going on and asked for history. I saw her that one initial time. then I don't see her for 3 hours and releases me without answering my concerns as to my health and lab results although some values were very concerning and I definitely got misdiagnosed.</t>
  </si>
  <si>
    <t>uno de los hospitales mÃ¡s malo q tiene miami en kendall</t>
  </si>
  <si>
    <t>After waiting for five hours with the IV needle in my arm I left.Do not know results of the blood and urine samples.I will  be charged for a service that was not given</t>
  </si>
  <si>
    <t>never seen a Dr......</t>
  </si>
  <si>
    <t>Good experience</t>
  </si>
  <si>
    <t>I was freezing and requests for a blanket were ignored</t>
  </si>
  <si>
    <t>PVL results were sent to MD via technician; hour later nurse asked if MD had given results, which he had not. Then waited another hour before MD came with results.</t>
  </si>
  <si>
    <t>Physician was reluctant to request an ultrasound test after speaking with me.  He said he would order it ' If I really wanted it'. I said yes and he ordered it.</t>
  </si>
  <si>
    <t>Doctor's diagnostic was too quick, without further test told me a scary possibility, not sensitive at all.After that I couldn't sleep and all my family got worried.</t>
  </si>
  <si>
    <t>Too many things going on. Doctor was interrupted numerous times when he was speaking to me. Twice he even left and came back while he took care of other patients. He was very nice and apologetic but things were not moving well at all in a supposedly world class hospital</t>
  </si>
  <si>
    <t>He explained good what I don't have.</t>
  </si>
  <si>
    <t>great bedside manner!</t>
  </si>
  <si>
    <t>Nada ya explique ahÃ­ que pasÃ³ y lo que tenÃ­an que haber echo.</t>
  </si>
  <si>
    <t>dr steinberg was incredible</t>
  </si>
  <si>
    <t>The doctor offered no effective treatment to relieve my condition of feeling chronically lightheaded, sleepy, and drowsy. I was discharged feeling the same as when I arrived.</t>
  </si>
  <si>
    <t>Had me buying out of pocket prescription that was unaffordable cost for something I didn't have.</t>
  </si>
  <si>
    <t>I WAS IN TREATMENT ROOM 5 HOURS BEFORE SEEING A BETANCOURT, DO. WAS IN ROOM LESS THAN 5 MINUTES. AFTER BEING STUCK 10 TIMES TRYING TO PLACE AN IV THAT NEVER WORKED, SHE SENT THE NURSE TO AS WHAT DID I WANT TO DO. SHE IS THE DOCTOR, WHEN IS SHE ASKING ME AND WHY DIDN'T SHE COME INTO THE ROOM HERSELF TO DISCUSS WHAT HAD HAPPENED AND WHAT OPTIONS THERE WERE. I HAD TO TELL THE NURSE THAT THE DOCTOR SHOULD BE TELLING YOU THIS, NOT ME!  THE ONLY REASON I GAVE THE DOCTOR A 3 AND NOT A 1 ON THE COMFORT WAS BECAUSE I DID GET PAIN MEDICATION</t>
  </si>
  <si>
    <t>very good experience and very professional doctor</t>
  </si>
  <si>
    <t>Good</t>
  </si>
  <si>
    <t>I wish the doctor followed up with me with my results. I did not get an explanation of my chest pains or any feedback of my results while they were discharging me. I was handed a paper of my blood work and of course did not understand any of the numbers on it. I needed peace of mind from her before leaving but did not receive it. I was just told to follow up with a cardiologist and assumed I was ok since they did not keep me over night.</t>
  </si>
  <si>
    <t>the Doctor did not physically check my belly or vital related signs.   he came back after results and very quickly told me to follow up with my main Dr.  He did not ask me if I had any questions or further concerns.</t>
  </si>
  <si>
    <t>Dr. kernistant was excellent. calm, attentive, concerned, professional, kind, and thorough! loved him!</t>
  </si>
  <si>
    <t>everyone was concerned about my comfort and helped me</t>
  </si>
  <si>
    <t>Dr. Garcia explained treatment well and has a caring bedside manner. He checked in frequently. He is one of the best doctors I have encountered at Baptist ER.</t>
  </si>
  <si>
    <t>Dr. Garcia gets an A, and I'm a tough grader</t>
  </si>
  <si>
    <t>very short visit. I understand I'm not the only patient however I was in a great deal of pain and my pain meds were not given to me until hours later (4). I understand we were waiting on the pregnancy results back however my result were back very quickly because a cat scan was preformed on me. I feel my paid meds should've been given to me prior to help ease my pain and discomfort. my pain meds were given to me right before my meds were given to me through the IV and this is what I disagree with. I should've never been in pain for such a lengthy time. I normally don't have have or suffer from high blood  pressure and that day my blood pressure was very high and I knew it was due to the abdominal pain I was having. I was diagnosed with diverticulitis.</t>
  </si>
  <si>
    <t>Tuve que regresar 2 veces mÃ¡s al Hospital por que El mÃ©dico tenÃ­a que comunicarse con la compaÃ±Ã­a de seguros para autorizar la medicina.</t>
  </si>
  <si>
    <t>Dr. Garcia was excellent.</t>
  </si>
  <si>
    <t>El Dr. me trato muy bien y explico su diagnosis y me indico ciertas pruebas, (sangre, sonogramas, etc) y nunca volvio a verme en ese dia o el proximo. Por lo tanto como lo unico que yo estaba hacienda era consumniendo comida y pagando por el cuarto le dije a la enfermera que deseaba irme y fue cuando buscaron a un Dr. supervisor para darme la salida. Mi impression del hospital en general es que esta en un proceso de deterioro incredible, no se si las enfermeras tienen demasiados pacientes, pero cuando salen del cuarto ya se les olvido lo que fueron a buscar y hay que llamar de Nuevo para pedir lo mismo.</t>
  </si>
  <si>
    <t>I was the doctor's first patient of the night.  She did not know what took so long.</t>
  </si>
  <si>
    <t>excelent!!</t>
  </si>
  <si>
    <t>again everyone at baptist are top notch</t>
  </si>
  <si>
    <t>Dr. Rahul Singh Karwal was professional, patient and his able to listen active meant everything.  He spoke at a level where I could understand and assess my decisions regarding what was happening or going to happen.</t>
  </si>
  <si>
    <t>the dr. who performed the procedure did so by asking me if my pain was ok. after the procedure he had to be asked back for instructions of cleaning the wound, but it wasn't a big deal because most of my suffering was over i only had to heal from the procedure.</t>
  </si>
  <si>
    <t>I was given my results at the admin station in the waiting area amongst other patients and had no privacy</t>
  </si>
  <si>
    <t>liked Dr. Diaz very much.</t>
  </si>
  <si>
    <t>I was in the hallway with my clothes on they o ly offered s blanket. Really!!</t>
  </si>
  <si>
    <t>I'm very impress with the way my situation was handled, ALL doctors made me feel confident and safe, I was in very good hands</t>
  </si>
  <si>
    <t>All good.</t>
  </si>
  <si>
    <t>dr didn't seem to charge. just rush rush rush</t>
  </si>
  <si>
    <t>A doctor conversation would have prevented being admitted to the hospital.  Only spoke to doctor after being admitted.  Waited 12 hours for a CTScan.  Wait time for MRI was two days.  Opted to leave after realizing there was no need for MRI at that time.</t>
  </si>
  <si>
    <t>Dr. was good</t>
  </si>
  <si>
    <t>The Doctor was very professional, he seemed very tired (I found out later he had had a rough day), he came to my room twice, the second time was around 0400 am, he then was more relaxed and explained what I should do for the problem(s) I went to the ER for.</t>
  </si>
  <si>
    <t>only problem was that it took more than six hours from the time I completed triage, to the time I actually saw a doctor. the wait was entirely too long.</t>
  </si>
  <si>
    <t>when I ask for the doctor 3 hrs after my arrival.. I was told by a tech that there was only 1 ER doctor for 80 beds and had too wait for the new shift doctor</t>
  </si>
  <si>
    <t>awesome dr that's all I can say</t>
  </si>
  <si>
    <t>Doctor Charlie was extremely nice and took the time to understand my problem and my needs as a patient. Thanks!</t>
  </si>
  <si>
    <t>Se me hicieron exÃ¡menes que el doctor tubo a bien explicarme el procedimientos para evitarme incomodidad.</t>
  </si>
  <si>
    <t>magnifica atenciÃ³n</t>
  </si>
  <si>
    <t>I only saw the doctor one time when I got there. the nurse was the one who gave me my results and told me to take plenty of fluids for my sugar comes down.</t>
  </si>
  <si>
    <t>Dr. Russell and his entire staff were excellent</t>
  </si>
  <si>
    <t>very bad experience since the doctor on duty refuse do see me I had to wait for the second shift doctor</t>
  </si>
  <si>
    <t>The Dr never came to see me. She didn't even come to introduce herself as she walked by me plenty of times to treat others.</t>
  </si>
  <si>
    <t>nunca  me vio</t>
  </si>
  <si>
    <t>Jun</t>
  </si>
  <si>
    <t>Jul</t>
  </si>
  <si>
    <t>None Given</t>
  </si>
  <si>
    <t>Aug</t>
  </si>
  <si>
    <t>MISC MISC</t>
  </si>
  <si>
    <t>NAME NOT GIVEN</t>
  </si>
  <si>
    <t>I was not impressed with the doctor.  She was trying to hide an attitude and I truly felt uncomfortable.</t>
  </si>
  <si>
    <t>see prior comments...disgusting!</t>
  </si>
  <si>
    <t>This doctor SILVERSMITH, JESSiCA  Sue Md was absolutely RUDE , I couldn't explain everything I was feeling .   :(</t>
  </si>
  <si>
    <t>No one likes to be stuck at a hospital waiting, It was unfortunate that the shift change has begin but the doctor that had just come in headed straight to my room, made the finalizing decision to release me on the spot after a few min of reviewing my charts and results. This is the type of service you need to move patients faster.</t>
  </si>
  <si>
    <t>Doctor was treating too many people was rude to my mother, who had accompanied me, asked her to leave the room, never asked if I agreed to have my mom leave. I wanted my mom with me during the interview.</t>
  </si>
  <si>
    <t>with 80 beds in that section of the hospital (heart attack unit) I felt like I was just a stone and go patient.</t>
  </si>
  <si>
    <t>I didn't see a doctor</t>
  </si>
  <si>
    <t>The doctor was attentive and knowledgeable. He was excellent and compassion to my needs. He showed great care and concern.</t>
  </si>
  <si>
    <t>Dr. David Mishkin (sorry for miss spelling) was clear spoke in terms I could understand! he has an excellent beside manner!</t>
  </si>
  <si>
    <t>the doctor was great thanks</t>
  </si>
  <si>
    <t>The doctor who treated me was phenomenal.</t>
  </si>
  <si>
    <t>Again, the ER was probably understaffed due to the high volume of patients.</t>
  </si>
  <si>
    <t>This needs attention.  Dr. Snyderman was very helpful and I feel he deserves credit for being the only doctor to listen and evaluate me. I believe I saw Dr. Brewster just once. She was the second doctor. I saw her very briefly but didn't get any answers. Dr. Santillana was the 3rd Doctor I saw. He came in for probably less than a minute around 8 am.  I never saw him ever again. The Poor and Fair ratings were not lower due to Snyderman's attention. 2 of the 3 Doctors were insignificant during my stay at the ER.</t>
  </si>
  <si>
    <t>We are sorry we do not remember the Dr.'s name, but he was wonderful also -- he's the one that came in at 11pm that night (the one in the prior shift did not even come in to see us . . .).</t>
  </si>
  <si>
    <t>The Doctor was a joke. I was informed I had NO fractures. How can you know if you haven't had X-rays! I left with uncovered, bleeding cuts and I didn't even get a Band Aid!I expected good care. Big error. Lousy care. WILL NOT RETURN!</t>
  </si>
  <si>
    <t>I  saw the first Doctor once when I came in. I saw another Doctor when leaving. It was over 6 hours. During that time none came to see me. After the scan I was waiting for the results suppose to be 45 minutes. It was much longer than that.</t>
  </si>
  <si>
    <t>Dottor was outstanding. A real professional.</t>
  </si>
  <si>
    <t>nice doctor.</t>
  </si>
  <si>
    <t>Very kind and genuinely interested in my care</t>
  </si>
  <si>
    <t>EL  DOCTOR  MUY  EDUCADO  SE  PRESENTO   SALUDO  A MI  ESPOSA  Y  HIJA  EN  EL  MOMENTO.</t>
  </si>
  <si>
    <t>Excellent Dr. and quick responses, very knowledgeable</t>
  </si>
  <si>
    <t>Good bedside manners</t>
  </si>
  <si>
    <t>Had a fx no pain med given. Discharged without pain rx. Told to take Tylenol. Tylenol not effective fot fx pain</t>
  </si>
  <si>
    <t>The doctor was very good</t>
  </si>
  <si>
    <t>Excellent Doctor she was fantastic.</t>
  </si>
  <si>
    <t>I already provided my comments about this doctor in another prior screen on this survey.</t>
  </si>
  <si>
    <t>extremely dissatisfied with the 'care' and attention i received. not only as a patient, but also an employee. will reconsider ever going to this emergency department, and recommending it to others.</t>
  </si>
  <si>
    <t>ER Dr gave me 6 minutes while also discussing another patient with a nurse. Said you haven't had a heart attack dont worry. Due to Low BP, my Dr wanted the test done to see if I was getting enough blood to my heart via the arteries. Dr didn't want to do anything but get to the next patient. Called my Primary from the Hospital ER saying exactly what happened and he said it is unfortunate, let's get you out and start testing tomorrow with other facilities. Heart monitor was ordered the next day and other test</t>
  </si>
  <si>
    <t>Would of liked the cardiologist doctor come up to my room after stent was installed. We were told he was coming up , and never did.</t>
  </si>
  <si>
    <t>didn't like him at all.  made me very uncomfortable.  see previous comment!!</t>
  </si>
  <si>
    <t>I have Alpha-1 lung disease, COPD and shortness of breath. I am being treated for this, and these are under control. My ER visit was caused, instead, by an occlusion of my airway; the ambulance staff used pressure oxygen to revive me. The ER doctor ignored this history, and prescribed albuterol for my shortness of breath. The RNs insisted I be treated for the occlusion, and said my lungs had nothing to do with the airway blockage.</t>
  </si>
  <si>
    <t>On call GI Dr refused to see me for a GI issue. ER Dr. Diaz was very kind but she could not treat me - I needed the GI Dr who refused to see me</t>
  </si>
  <si>
    <t>Excellent care</t>
  </si>
  <si>
    <t>mala sutura, no se dejÃ³ drenaje y eso provocÃ³ una grave inflamaciÃ³n, y por tan mala experiencia no quise volver a esa emergencia. Quede muy decepcionado.</t>
  </si>
  <si>
    <t>i was never taken to a room. all my care took place at a chair</t>
  </si>
  <si>
    <t>let's say  doctor wasnot nice. I had a better experience before.</t>
  </si>
  <si>
    <t>the Doctor, and other staff that did my exams were extremely professional.</t>
  </si>
  <si>
    <t>I was in pain and  after 7 hours I get a pain killer</t>
  </si>
  <si>
    <t>Dr. Brazda has extraordinary intuitive skills and had me tested and feeling better quickly. I am glad to have met him. His experience and knowledge is astounding. I am very happy.</t>
  </si>
  <si>
    <t>did not listen to me and I did not leave understanding all my issues</t>
  </si>
  <si>
    <t>super bad experience Dr blake came on thursday when my infeccion seems really bad the nurse leave the wound uncovered so Dr Blake could see how bad looks but ahe never came so the nurse had to put the dressings on then she came like two houra after and she didn't check the wound just asked me how i feel i told my dauther she called and did a complaint the dr called her she said she didn't open the dressing because she knew be ause she read what the infection specialist said and the wound especialist said , my daughter also akes her if just reading that she can have an opinion she said she is not an specialist  so why she was in charge to  aee my case if she doesn't bother to watch my wound?</t>
  </si>
  <si>
    <t>Very pleased with the Dr</t>
  </si>
  <si>
    <t>I know it's was full but I felt like she wasn't really listening to me she was nice</t>
  </si>
  <si>
    <t>wow! best treatment I ever had!</t>
  </si>
  <si>
    <t>you guys have the best team of doctors ....</t>
  </si>
  <si>
    <t>This doctor was great the way she took her time to talk to me and made sure I was going to be okay.</t>
  </si>
  <si>
    <t>The long stay in the ER treatment area before a bed was found for me in out or observation. The long wait and long distance to go to the bathroom. Finally the Dr that admitted me(the hospitalist )saw me and ordered a medication that was strong enough to relieve my pain.  I spent hours sleepie but still in pain until he saw me. He was great and so nice.</t>
  </si>
  <si>
    <t>Sep</t>
  </si>
  <si>
    <t>Oct</t>
  </si>
  <si>
    <t>Bad Experience</t>
  </si>
  <si>
    <t>I saw the doctor for 3 mins the first time, and 3 mins before I was discharged.. the nurse did all the talking for her.</t>
  </si>
  <si>
    <t>Good,but the j like hair is still in my right eye,Rocco.</t>
  </si>
  <si>
    <t>She was very supportive and ordered a sonogram but explained that other tests could not be given due to lack of regular power.and what I should do.  She was very kind and I felt she was doing her best in an situation. exceptional</t>
  </si>
  <si>
    <t>She was Great and very patient and greatly appreciated</t>
  </si>
  <si>
    <t>VERY GOOD EXPERIENCE AND TREATMENT FROM NURSES AND DOCTOR.</t>
  </si>
  <si>
    <t>didn't see a doctor</t>
  </si>
  <si>
    <t>Never got to see a doctor, that night.</t>
  </si>
  <si>
    <t>no lleguÃ© a ver al doctor.</t>
  </si>
  <si>
    <t>Good experience,</t>
  </si>
  <si>
    <t>he was great</t>
  </si>
  <si>
    <t>I don't recognize who is doctor or nurse</t>
  </si>
  <si>
    <t>He really listened to me and understood my problem.</t>
  </si>
  <si>
    <t>no doctor got see me waited for 10 hours to be seen by doctor.</t>
  </si>
  <si>
    <t>no treatment n I shd have been treated and examined correctly</t>
  </si>
  <si>
    <t>He was very kind</t>
  </si>
  <si>
    <t>Very happy with the doctor. It didn't take long to see him and he explained to me that my problem was dehydration and had me out of there in time to get back to the hurricane shelter on time.</t>
  </si>
  <si>
    <t>I waited 2.5 hours to see the doctor. After waiting a long time, I went to the bathroom for 2 minutes and missed the doctor. I asked the nurse to have him come back to me next. I was told that I was at the bottom of the list now. It took another 45 minutes until he came back to see me.</t>
  </si>
  <si>
    <t>I spoke to the doctor for 25 seconds. I was never physically examined.</t>
  </si>
  <si>
    <t>I think that the doctor should have ordered some additional tests (x-ray, MRI) to ensure nothing else was wrong.  Specially after I told him about an hour after the 3 medications thru the i.v. that I was still in pain.</t>
  </si>
  <si>
    <t>Too many people waiting, for the doctor, to talk and socialize</t>
  </si>
  <si>
    <t>en general Bien.</t>
  </si>
  <si>
    <t>muy importante y satisfecho.</t>
  </si>
  <si>
    <t>negative</t>
  </si>
  <si>
    <t>didn't have enough time to really ask questions, but I understood since the emergency room was packed</t>
  </si>
  <si>
    <t>Excellent caring doctor</t>
  </si>
  <si>
    <t>excellent dr.! felt very comfortable and at ease with dr. he listened to my concerns and explained all procedures throughly.</t>
  </si>
  <si>
    <t>The GI doctor and the first woman doctor I saw that was in Women's services were most helpful. The GI doctor, Dr. Gelrud, showed concern and let me know all the details going on. I felt the other doctors assumed and were not trying to listen to me.</t>
  </si>
  <si>
    <t>Great Doctors, they treat you like a family menber</t>
  </si>
  <si>
    <t>Doctor was very professional, courteous, and relatable. Thank you.</t>
  </si>
  <si>
    <t>muy profesional</t>
  </si>
  <si>
    <t>Again release with no information on how I was going to be able to filled my prescription</t>
  </si>
  <si>
    <t>My experience was the doctor was great.  She listened to my concerns and was thorough.  She followed up and explained my results to me.</t>
  </si>
  <si>
    <t>doctor spoke of other patient's name and age and diagnosis in front of me because the call 'couldn't wait'. Very much against HIPA</t>
  </si>
  <si>
    <t>solo la demora en poder ver al doctor, aunque explicaron que habÃ­a una gran demora debido a tener muchos pacientes pero fue muy buena la atenciÃ³n</t>
  </si>
  <si>
    <t>None</t>
  </si>
  <si>
    <t>Doctor did a good job putting in the stiches in my forehead</t>
  </si>
  <si>
    <t>Dr. Karwal very professional and very knowledgeable. Thanks again.</t>
  </si>
  <si>
    <t>very short visit with me and he never came back to explain anything</t>
  </si>
  <si>
    <t>the worst doctor I have ever encountered in all my life. send him to training.</t>
  </si>
  <si>
    <t>Doctor came in towards the end, once all test results were in.</t>
  </si>
  <si>
    <t>tried to help, but showed no remorse.</t>
  </si>
  <si>
    <t>When i asked the doctor if it was possible i could have a virus, he simply laughed and stated 'your just pregnant'. i asked for a stool test and never received one. it took myself and my mom to clean up the pee i made on myself because no one took me seriously because they said its normal to have this symptom because your pregnant.</t>
  </si>
  <si>
    <t>doctor was preoccupied with a 'bigger' emergency. took 2 phone calls while I tried explaining my symptoms. she told me she couldn't help me.</t>
  </si>
  <si>
    <t>Very good</t>
  </si>
  <si>
    <t>No creo que el Dr se preocupo por mi comodidad</t>
  </si>
  <si>
    <t>I have been to Ed several times with my grandparents and was not impressed with the physicians courtesy to the patients, but this physician really cared about privacy and explaining things well. I thought he was very good.</t>
  </si>
  <si>
    <t>Wonderful physician. Extremely helpful! Working on her day off to assist with a large volume of patients post hurricane Irma.</t>
  </si>
  <si>
    <t>Although the ER was crowded and I was on a bed in the hallway, tests were done expeditiously and results were communicated to me quickly by the doctor.  Dr. Arnold-Dubal was fantastic.</t>
  </si>
  <si>
    <t>When I went back after the first day and I saw a woman doctor by the name of Tessa Haspil, she really took the time to explain everything to me and what I should and should not do, and gave me heads up as to what I can expect. I was happy, I think people who become doctors should love to treat others and not just as a way to have a big salary and not see the patients as undesirables, that is not fair because someday they too will get sick.</t>
  </si>
  <si>
    <t>Dr Leo N Huynh was extremely professional and courteous.</t>
  </si>
  <si>
    <t>Muchas gracias por todo</t>
  </si>
  <si>
    <t>The first doctor was amazing (Dr. Diaz) and tried her best to keep me comfortable and professional. The next doctor (male oriental DO) after shift change was horrible, would not have him look at my pet.</t>
  </si>
  <si>
    <t>No puedo enteneder el comportamiento generalizado de los mÃ©dicos del Baptist, al menos en mi caso, SIEMPRE ESTAN DE MAL HUMOR, NO ESCUCHAN CON ATENCION AL ENFERMO, ESTAN MENOS DE UN MINUTO EN EL CUARTO (sea urgencia o sea sala) es de verdad mi mayor preocupacion y frustacion cada vez que me llevan al hospital, porque cuando una persona va a un hospital es porque necesita atencion medica, he estado hasta 9 dias ingresado y he pedido irme del hospital, he pedido el alta bajo mi responsabilidad porque es imposible poder hablar cortÃ©s y amablemente de mi caso personal con un medico, salvo muy poquisimas excepciones lÃ³gicamente. La direcciÃ³n, la gerencia del mejor hospital que tenemos en La Florida se tienen que ocupar de este critico tema por favor.</t>
  </si>
  <si>
    <t>Dr. Brazda was very good. He answered all my questions very thoroughly. Did an excellent job stitching my hand. He was very personable and kept me distracted while he stitched the deep wounds in my hand. Took his time when administering the Lidocaine in order to minimize my pain. Dr. Brazda is experienced and knowledgeable. I felt that I was in very good hands.</t>
  </si>
  <si>
    <t>This doctor has a mental problem he told my wife 'he would not allowed her to come to the Hospital with a large bag with a Logo from Panter and Panter' he told my wife 'those attorneys sued his wife for malpractice, and he hated them, he blame my wife like she was responsible he left the room stating he was mad after seeing the Bag..what a maniac</t>
  </si>
  <si>
    <t>only saw him in person approx 6 hours after arrival</t>
  </si>
  <si>
    <t>I really like him!</t>
  </si>
  <si>
    <t>Very knowledgeable &amp; supportive care</t>
  </si>
  <si>
    <t>there was no test ent only a referral</t>
  </si>
  <si>
    <t>good and very friendly</t>
  </si>
  <si>
    <t>califico a al doctora ese dia como la super al 100 % me encanto muy buena y profecional</t>
  </si>
  <si>
    <t>Once I finally got to speak to the doctor, she was very attentive and spent time with me. My concern is the process of for treatment and lack of medical supervision.</t>
  </si>
  <si>
    <t>The doctors took the time to listen and explain everything to me. They broke everything down in a way I could understand.</t>
  </si>
  <si>
    <t>Todos los doctores que me trataron, demostraron un alto grado de profesionalismo..</t>
  </si>
  <si>
    <t>the best service I've ever had in a hospital</t>
  </si>
  <si>
    <t>Los Doctores muy profesionales. Muy dedicados a Ã±os Casos en comun.</t>
  </si>
  <si>
    <t>The ED dr didn't acknowledge we were there until an 1.5 hours later.</t>
  </si>
  <si>
    <t>the first doctor was a joke.  the cardiologist was professional and concerned.  I never saw a real doctor in the ER.  i saw the cardiologist 30 minutes before I was discharged.</t>
  </si>
  <si>
    <t>with just a few questions, he knew immediately what my condition was.</t>
  </si>
  <si>
    <t>Nov</t>
  </si>
  <si>
    <t>Toda la experiencia en esta instituciÃ³n ha sido excelente tanto de doctores como enfermeras.</t>
  </si>
  <si>
    <t>Although I was able to communicate to the doctor, everything seemed very rushed.</t>
  </si>
  <si>
    <t>Five start doctor.</t>
  </si>
  <si>
    <t>Barely saw the doctor</t>
  </si>
  <si>
    <t>Doctor gave me excellent patient care!  Listened to all my concerns and followed up on all tests.</t>
  </si>
  <si>
    <t>The doctor was the very very best. very attentive and courteous. Asked many questions and listened . Was very informative and explained everything thoroughly. I couldn't have asked for more. Extremely kind and concerned.</t>
  </si>
  <si>
    <t>profesionalismo y mucha dedicacion, aun cuando el idioma podia ser una barrera, nunca lo fue.</t>
  </si>
  <si>
    <t>such a great ER doctor, helped put me at ease when treating my laceration.</t>
  </si>
  <si>
    <t>Didn't follow up with my bp and left me with no reassurance.</t>
  </si>
  <si>
    <t>I never saw a doctor</t>
  </si>
  <si>
    <t>Doctor only saw me once from the 12 hours that I was in the hospital. When I tried to explain him the problem, he told me I ask the question and just answer my questions. I was surprised by this and told me you only have stones. Come to find out by the nurse that I had an infection as well. The nurse was also surprised that the doctor didn't follow-up with me and she was able to release me. That nurse deserves five stars. This one time event doesn't change my mind about the hospital. Great hospital and great staff. Thank you.</t>
  </si>
  <si>
    <t>the doctor told me not to worry about it that's it's nothing, two days later went to urgent care and had to take a shot on my ass and was prescribed antibiotics. The nurse treated me as if I was a dumb child and didn't know what was happening. I told them that something was wrong and they dosreguarded it. every time I tried to speak up I was interrupted and she did not listen to me. The doctor did the same, told me it was nothing and now I'm on medications.</t>
  </si>
  <si>
    <t>hable solo dos veces con el doctor, una cuando me atendio y la otra cuando me mando a mi casa</t>
  </si>
  <si>
    <t>I would have appreciated hearing the radiology findings from the physician</t>
  </si>
  <si>
    <t>GOOD</t>
  </si>
  <si>
    <t>El Dr me diagnostico,una fistula en el ano,lo cual fue descartado por el Gastroenterologo y me mando a mi casa sangrando abundante- mente,lo que me obligo a volver a la emergencia al otro dia con la hemoglobina que bajo de 11 a 8 aproximado en un dia.</t>
  </si>
  <si>
    <t>Never saw the doctor.</t>
  </si>
  <si>
    <t>waited to long to be seen for something that was so fast and simple</t>
  </si>
  <si>
    <t>The doctor evidently was annoyed with his current situation and was half of the time on the phone discussing about different patient over the phone in front of us. Clear message about how important was the patient in front of him. Made the comment that he can stitch the cut and help up to get home faster. Very professional.</t>
  </si>
  <si>
    <t>I'm very glad to choose your emergency room.</t>
  </si>
  <si>
    <t>By the time I saw a doctor, I was in so much pain &amp; exhaustion, I don't remember much of our conversation, but he did tell me I was suffering from a kidney stone.</t>
  </si>
  <si>
    <t>see comment under nurses</t>
  </si>
  <si>
    <t>mala</t>
  </si>
  <si>
    <t>estoy agradecido con los enfermeros y el doctor</t>
  </si>
  <si>
    <t>Dr. Garcia saw me right away and made sure I got pain relief as soon as possible. He was very thorough with his examination and explanations.</t>
  </si>
  <si>
    <t>All the doctors were very knowledgeable, and although they were treating a very tough bacteria, they took the time to explain all the steps they were taking, and why.</t>
  </si>
  <si>
    <t>the worst doctor ever. he didn't care about me at all. He never check me. he just talk to me for less than 5minutes and with a bad actitud. at the end he didn't help to fix my problem</t>
  </si>
  <si>
    <t>Muy  Preocupado, Profecional y Capacitado el Doctor que me Atendio</t>
  </si>
  <si>
    <t>Dr Blanco was outstanding. tool time to listen and explain things, very informative, terrific bedside manners.  Very kind person.  Took time to call me the Sunday after I left the hospital to check on me and asked about the follow up visit with neurologist recommended.</t>
  </si>
  <si>
    <t>She never answered all my concerns and never returned to the room..</t>
  </si>
  <si>
    <t>They have a tendency to talk faster than I can hear.</t>
  </si>
  <si>
    <t>Dr. Karwal was excellent</t>
  </si>
  <si>
    <t>I want to give the doctors the benefit of the doubt b/c I was there because I felt TERRIBLE with a kidney stone pain ( dephritic cholic) which is indescribably painful. This particular pain is no secret to them and I feel they (everyone) should have been a bit more concerned about my state of mind. This was a first to me and I was very scared.</t>
  </si>
  <si>
    <t>saw him maybe once.</t>
  </si>
  <si>
    <t>Dr. Moi is outstanding</t>
  </si>
  <si>
    <t>WENT IN WITH R-LEG SWELLING AND PAIN.  RULED OUT A BLOOD CLOG BUT THE PAIN STILL THERE.  NO REFERENCE TO THE PAIN ONLY THE BLOOD CLOG. TODAY I STILL HAVE PAIN ON MY LEG. SWELLING WENT DOWN.</t>
  </si>
  <si>
    <t>Great service</t>
  </si>
  <si>
    <t>I believe I needed an MRI which wasn't ordered severe fall damage to leg no broken skin I believe bad bone bruise swelling redness burning pain antibiotics given to no avail</t>
  </si>
  <si>
    <t>Unfortunately, I was misdiagnosed. Sent home on Vicodin with possible kidney stones. Followed up with my doctor 2 days later and was told the pain was coming from my back.</t>
  </si>
  <si>
    <t>Dr.Antony Friedman is a fine and competent professional</t>
  </si>
  <si>
    <t>Left after waiting for two hours, I was never called. I</t>
  </si>
  <si>
    <t>He took the time to explain things to me.  That was very nice.</t>
  </si>
  <si>
    <t>There was a long wait from the time I was taken to the ER room and the time I was seen by a Doctor.  The nurse, John, immediately attended to me, got an IV port started, drew blood and took urine sample. Though he continued to assure me that a Doctor was coming, I could feel his frustration that it was taking so long.</t>
  </si>
  <si>
    <t>dr. sanz was rude no bed side manner what so ever.</t>
  </si>
  <si>
    <t>very cold....never came back to give me my results and explain what I was experiencing</t>
  </si>
  <si>
    <t>again - I felt it was more the radiologist that mislead the doctor because he did not want to complete the ultra sound. he did a fast exam and only did partial of my leg (missing where the tech from earlier in the day noticed the issue) the radiologist asked me to see the results from earlier 2xs during his exam in the er.</t>
  </si>
  <si>
    <t>The Dr. could've had a better bedside manner &amp; been more informative, especially since I'm out of state. I felt like I wasn't listened to enough. I know my own body &amp; when something is wrong w/it so that should account for something.</t>
  </si>
  <si>
    <t>very well trained doctors, ready to help and care with my injured.</t>
  </si>
  <si>
    <t>Dr. Rhada not good.. prescribed to take at home,medicine that didn't do nothing while I was in ER. I told her about it and she didn't care about it. She didn't give me another option of  medicine for me to take at home. The same way I got to the hospital I was discharged. Not happy at all.</t>
  </si>
  <si>
    <t>Excelent</t>
  </si>
  <si>
    <t>excellent doctor</t>
  </si>
  <si>
    <t>ALL PERSONEL GAVE ME EXCELLENT SERVICE.</t>
  </si>
  <si>
    <t>Actually, Dr. Tessa A. Haspil-Corgan arrived to the room before the nurse did. She asked me to explain to her about my health problem and listened to me carefully.  THen she sent me a CT-Scan, blood work and urine analizys which were precisely needed to help her assess about my condition.</t>
  </si>
  <si>
    <t>solo me recibiÃ³ y ya no la vi mÃ¡s</t>
  </si>
  <si>
    <t>i never met the doctor. the nurse was speaking to me on behalf of the doctor.</t>
  </si>
  <si>
    <t>I went in with bad back pain, after all the exams were done all I was told was I had to see a Chiropractor and was discharged I'm still in pain with no results to my pain</t>
  </si>
  <si>
    <t>ER Dr was had excellent bedside manner.  Dr Mera is fantastic.</t>
  </si>
  <si>
    <t>I waited 4 hours and was NEVER seen by a doctor or called to a room.</t>
  </si>
  <si>
    <t>Attention and courtesy of doctors also range from very good to poor. Some were attentive, caring, and seemed concerned about my comfort and wellbeing - others were very brief, lacking in bedside manners, and didn't provide the information that I needed.</t>
  </si>
  <si>
    <t>Patient Satisfaction Survey</t>
  </si>
  <si>
    <t>Baptist ER, Oct YTD</t>
  </si>
  <si>
    <t>Grand Total</t>
  </si>
  <si>
    <t>Jan</t>
  </si>
  <si>
    <t>Feb</t>
  </si>
  <si>
    <t>Mar</t>
  </si>
  <si>
    <t>Dec</t>
  </si>
  <si>
    <t>Doctor informative re treatment Total</t>
  </si>
  <si>
    <t>Doctor took time to listen Total</t>
  </si>
  <si>
    <t>Doctors concern for comfort Total</t>
  </si>
  <si>
    <t>Doctors courtesy Total</t>
  </si>
  <si>
    <t>Std Doctors Total</t>
  </si>
  <si>
    <t>Waiting time to see doctor Total</t>
  </si>
  <si>
    <t>Values</t>
  </si>
  <si>
    <t xml:space="preserve"> Mean Score</t>
  </si>
  <si>
    <t xml:space="preserve"> Responses</t>
  </si>
  <si>
    <t>Score</t>
  </si>
  <si>
    <t>Weight</t>
  </si>
  <si>
    <t>Category</t>
  </si>
  <si>
    <t>Overall</t>
  </si>
  <si>
    <t>Average for Category:</t>
  </si>
  <si>
    <t>n</t>
  </si>
  <si>
    <t>Grand Mean:</t>
  </si>
  <si>
    <t>Median Values:</t>
  </si>
  <si>
    <t>FL State rank</t>
  </si>
  <si>
    <t>All PG DB rank</t>
  </si>
  <si>
    <t>Subtotal n:</t>
  </si>
  <si>
    <t>y_satisf</t>
  </si>
  <si>
    <t>patients</t>
  </si>
  <si>
    <t>ε</t>
  </si>
  <si>
    <r>
      <t>β</t>
    </r>
    <r>
      <rPr>
        <u val="singleAccounting"/>
        <vertAlign val="subscript"/>
        <sz val="11"/>
        <color theme="1"/>
        <rFont val="Calibri"/>
        <family val="2"/>
      </rPr>
      <t>0</t>
    </r>
  </si>
  <si>
    <r>
      <t>β</t>
    </r>
    <r>
      <rPr>
        <u val="singleAccounting"/>
        <vertAlign val="subscript"/>
        <sz val="11"/>
        <color theme="1"/>
        <rFont val="Calibri"/>
        <family val="2"/>
      </rPr>
      <t>1</t>
    </r>
  </si>
  <si>
    <t>ŷ</t>
  </si>
  <si>
    <t>Residuals:</t>
  </si>
  <si>
    <t>y</t>
  </si>
  <si>
    <t>x</t>
  </si>
  <si>
    <t>Person</t>
  </si>
  <si>
    <t>Month</t>
  </si>
  <si>
    <t>Smith</t>
  </si>
  <si>
    <t>Jim</t>
  </si>
  <si>
    <t>John</t>
  </si>
  <si>
    <t>Fred</t>
  </si>
  <si>
    <t>Task</t>
  </si>
  <si>
    <t>Fishing</t>
  </si>
  <si>
    <t>Running</t>
  </si>
  <si>
    <t>..</t>
  </si>
  <si>
    <t>12 Mths</t>
  </si>
  <si>
    <t>4 People</t>
  </si>
  <si>
    <t>2 tasks each</t>
  </si>
  <si>
    <t>X variable</t>
  </si>
  <si>
    <t>Y variable</t>
  </si>
  <si>
    <t>Excellent experience</t>
  </si>
  <si>
    <t>very good</t>
  </si>
  <si>
    <t>If not doctor following up with me the nurse would come and advise.</t>
  </si>
  <si>
    <t>only had to wait for copy of x ray to take to my dr</t>
  </si>
  <si>
    <t>Minimal time with doctor but he was thorough.</t>
  </si>
  <si>
    <t>The doctor was really  professional and took care of my needs, he even recommended an specialist for me. Thank you</t>
  </si>
  <si>
    <t>bad experience</t>
  </si>
  <si>
    <t>DR LOPERA WAS NOT WHAT I EXPECTED FROM A BAPTIST EMPLOYEE. WE AS BAPTIST EMPLOYEE STRIVE FOR THE BEST.</t>
  </si>
  <si>
    <t>excellent bed manners.. very thoughtful.. Great Dr.</t>
  </si>
  <si>
    <t>Both the ER doctor and cardiologist have great bed side manners, felt at ease and heard.</t>
  </si>
  <si>
    <t>both doctors awesome</t>
  </si>
  <si>
    <t>Excelente.</t>
  </si>
  <si>
    <t>rude and terrible doctor never new what was going on he never keep us informed waiting the whole night to talk to him and, he had no time for me</t>
  </si>
  <si>
    <t>very good,attentive and explained  everything</t>
  </si>
  <si>
    <t>No hubo tratamiento</t>
  </si>
  <si>
    <t>perfect.</t>
  </si>
  <si>
    <t>La Dra. Betancourt proveo atencion inmediatamente,  demonstro una preocupacion genuina por mi condicion.  Ordeno los examenes necesarios para diagnosticar mi condicion.  Lo que nunca antes mi estancia en el Hospital duro 3 horas. El servicio de ese team de emergencia en el Baptist es como ningun otro.  Gracias Dra. Betancourt, Lisa, los empleados de rayos x, y los empleados de  transporte. GRACIAS BAPTIST HEALTH. Continuare siendo su fiel usario.</t>
  </si>
  <si>
    <t>dr. very attentive and kept me in the as far as tests results, advised of tests repeated and why.  advised me of results.  medication prescribed and why.  follow up with primary DR.</t>
  </si>
  <si>
    <t>horrible. doctor spoke to me 2mins and left in rush. never saw him again not even to discharge me and explain my ct scan results</t>
  </si>
  <si>
    <t>Dr Alejandro Garcia explained everything to me in detail and explain d very Dr. AlejandroGarcia was kexcellent.  He explained the test results very clearly.  The medication that hÃ© prescribed is helping me very much.</t>
  </si>
  <si>
    <t>My back pains were never addressed throughout the treatment.  I inquired about the pain and ask for an explanation for my fever after he told me my results of the CT. At no point did I provide a urine sample, even after so questioned my back pains. The doctor simply stated he would include a Percocet prescription and an antibiotic as a solution to my request for answers.  With the opioid epidemic, I would have expected the doctor to take care before prescribing such an addicting medication. Additionally, he gave me an antibiotic although he told me I did not have a fever.</t>
  </si>
  <si>
    <t>everybody that treated me was very very nice</t>
  </si>
  <si>
    <t>muy profesional, y me trato como si fuera su familia.</t>
  </si>
  <si>
    <t>I was misdiagnosed and given a diagnosis which was non existent based on the records provided. The dr informed me that I had a kidney stone and then the nurse that discharged me provided me with documents that stated that I had an ovarian cyst. according to my records and tests which were done via Ct scan and ultrasound i did not have any of these diagnosis. I am not sure who's records she was reading but they were not mine. it felt as if she was just providing any diagnosis in order to be able to just discharge me.</t>
  </si>
  <si>
    <t>I was told by a previous ER Dr to inform caregivers anytime I was in the ER about a particular condition. When explaining to each person I crossed paths with I was told they knew nothing of the sort which resulted in a false report and incorrect treatment.</t>
  </si>
  <si>
    <t>excellent as to service, professional and personal.</t>
  </si>
  <si>
    <t>worst doctor ever... arrogant.. read previous comments</t>
  </si>
  <si>
    <t>Dr A'Moure came in to my examination room right away and his positive attitude made a huge impression. He paced his questions knowing it was difficult for me to think due to the pain from my fall. His compassion and communication skills were excellent and blend this with his Warm and authentic caring bed side manner makes this Hospital Rate #1. He was professional and cared. This can not be trained but comes from doing what you enjoy with a passion.</t>
  </si>
  <si>
    <t>I must prefix that I have worked and managed ERs in the past and taught at a local medical school which I did not point out. One area I have always address was empathy of the patient and their concerns. While I did not see how her technical skills are because she did not even examine my leg (my main complaint). She only took blood work and held me there for 4 hours on a very slow night. Only direction I was provided was to go see that primary doctor. No instruction how to reduce swollen. Horrible beside manners.</t>
  </si>
  <si>
    <t>He was great and fast to come to my room before and after the treatment thank you</t>
  </si>
  <si>
    <t>Dr. Rahul Singh Karwal is a great doctor to have in this department. He was very calm and explained things well.  He truly cares about the patients.</t>
  </si>
  <si>
    <t>I don't have insurance. When I came to Baptist Hospital, I was just discharged from another hospital (North Shore). So, I explained that to the Dr. I was kind of offended by the doctor when he was pressing me about why I came all the way to Baptist, instead of going back to North Shore. North Shore in my opinion is a horrible hospital and the only reason I went there because its near my home. I went out my way in a lot of pain to get to Baptist Hospital. So I explained myself to the doctor. I told him my ex-husband (Magnus Seneque) was in a really bad car accident several years back and was hospitalized for 2 weeks at Baptist Hospital. Baptist was really good to us and I remember that. And that is why I came there. The other hospital (North Shore) did not help me, and I was still in a lot of pain. The Dr. at Baptist explained to me that there is not much that the ER department can do for me, he said I need an endoscopy. I need to see a doctor. I explained my insurance issue and he told me all he can do is temporary fix me up (in my own words) and send me on my way. And that's exactly what he did. It was the quickest ER experience I ever had. I felt like they needed to get the no insurance having woman out the ER.</t>
  </si>
  <si>
    <t>Todo muy bien muy buena atencion</t>
  </si>
  <si>
    <t>The doctor quickly saw me before ordering the IV medication to be given and during my entire ER stay, was with me for probably less than 5 minutes in total.</t>
  </si>
  <si>
    <t>Dr. Itzkowitz, was extremely concern with my emergency, and his bedside manners were great.</t>
  </si>
  <si>
    <t>mil gracias a este doctor fue esplendido y muy profecional.</t>
  </si>
  <si>
    <t>excellent professional and precise</t>
  </si>
  <si>
    <t>BUENO</t>
  </si>
  <si>
    <t>The doctors and nurses during my stay at the hospital treated me so well and with so much care and respect. Me and my family are very grateful for having the opportunity to be there. Thank you so much</t>
  </si>
  <si>
    <t>had to wait long time to hear results of tests and what to do</t>
  </si>
  <si>
    <t>I see the doctor like at 10:30 am and I don't see him again until late afternoon minutes before I was sending home</t>
  </si>
  <si>
    <t>amazing dr</t>
  </si>
  <si>
    <t>good experience!</t>
  </si>
  <si>
    <t>Todos me trataron muy bien. El enfermero que me puso la injecciÃ³n en la vena es buenÃ­simo y estuvo todo el tiempo preocupÃ¡ndose por mÃ­. La enfermera lo sustituyÃ³ a las 5:00 tambiÃ©n muy atenta. En fin todos fueron muy Buenos y la Doctora, buenÃ­sima esplicando todo.  Que Dios los bendiga a todos.  Atentamente, Mercedes Alvarez</t>
  </si>
  <si>
    <t>The Dr was very helpful and gave me a few things to discuss with my current provide in follow up</t>
  </si>
  <si>
    <t>The physician who attended to me was a female practitioner named Ghassemi. She asked the right questions, listened carefully to the responses and addressed my concerns accordingly.</t>
  </si>
  <si>
    <t>My doctor was horrifyingly rude and yelled both at my mom and myself for me simply asking for a room as opposed to being stuck in triage when there were dozens of empty rooms accross the hall from me.</t>
  </si>
  <si>
    <t>To the doctors I was clearly just paycheck and not a patient. Not until after I was discharged did one check on me. You are reguarded as one of the top hospitals in the city but your doctors are clearly not up to par with that standard.</t>
  </si>
  <si>
    <t>doctor initiated by asking me about my health situation from the beginning of the episode</t>
  </si>
  <si>
    <t>muy buena atenciÃ³n</t>
  </si>
  <si>
    <t>She was too busy</t>
  </si>
  <si>
    <t>My doctor a White blood ER doctor had poor beside manner. She never made eye contact to me or anyone else in the room. She came in once and never came back. Her presentation was poor, and withdrawn. I was disappointed!</t>
  </si>
  <si>
    <t>The doctor mis-diagnosed me.  Put me on strong antibiotics for an infection when I had a hairline fracture.</t>
  </si>
  <si>
    <t>All doctors and staff were very excellent. I was super impressed.</t>
  </si>
  <si>
    <t>The Dr. awesome!!!</t>
  </si>
  <si>
    <t>mucha preocupaciÃ³n por atenderme</t>
  </si>
  <si>
    <t>It seemed like it was useless going to the Hospital because I came in knowing nothing and I came out in the same way. I waited for a long time, to be ridiculed by the doctor saying it is nothing, but she didn't even know the reason why my arm was completely numb for hours... I was not happy with my visit. She then gave me an 'article'  to inform myself my condition, but it was just the definition of a numb arm...like if I didn't know what a numb arm was... I was the one experiencing it... a bit redundant.</t>
  </si>
  <si>
    <t>excellent!!!</t>
  </si>
  <si>
    <t>Care and explanation of procedures was excellent. All questions were answered</t>
  </si>
  <si>
    <t>MD treated my abcess as a bursitis related problem referring me to an orthopod.  All I needed was for him to lance the abcess which - treated with Bactrin 2X/day - is still filled with pus</t>
  </si>
  <si>
    <t>The doctor saw me after almost 6 hours that I went to the hospital to tell me he reviewed the tests done a few days before at the urgent care and that I had nothing. Just to follow up with a specialist. I was sent home with a pain killer and muscle relaxer. Yet I still have the symptoms and I'm waiting until Dec 7 to see the specialist. I will rather die than going back to that emergency center. The urgent care was a much better experience.</t>
  </si>
  <si>
    <t>the doctor put interest in me because it was a knee problem and I have to see a knee for that</t>
  </si>
  <si>
    <t>The ER must be trying something new - the shuffle of patients to different parts of the ER while waiting for care and waiting for test results has changed.  My ER doctor didn't know where I was to give me the results.  I had a CT scan and was put back in the main waiting room, although there is an area inside the ER to wait for results.  I was put in that waiting room while I was waiting to be taken for a CT scan.  Everything just seemed out of whack and wasn't flowing properly.</t>
  </si>
  <si>
    <t>BAD EXPERIENCE?</t>
  </si>
  <si>
    <t>the doctor spoke to me for less than 5 minutes told me it was my gallbladder sit in the recliner that give you medication and get an ultrasound never saw him again</t>
  </si>
  <si>
    <t>to be honest, I just  saw him one time and that is.    The rest was done by the nurse.</t>
  </si>
  <si>
    <t>great dude</t>
  </si>
  <si>
    <t>very concerned and determined to find cause for my problem</t>
  </si>
  <si>
    <t>the boy doctor that I was not 100% satisfied was the neurologist we waited for him for two days and when he came he explain everything but I feel he was like in a rush.. it was weird there was not connection Between  him and us. he wasn't bad but there was not connection</t>
  </si>
  <si>
    <t>I was in pain for quite a while because they didn't know what was wrong with me and they didn't want to give me any medication until they were sure what was wrong with me which is understandable.</t>
  </si>
  <si>
    <t>He was great but it just took quite sometime to see him; maybe that is why pain killer was not given until then......but the doctor was excellent, but I guess very busy.</t>
  </si>
  <si>
    <t>Dr. Mason was excellent about explaining what he was doing and what he thought was the problem.  He was very considerate when administering eye drops to anesthetize the area which stung tremendously but resolved quickly.</t>
  </si>
  <si>
    <t>just waited in the bed for tests and results</t>
  </si>
  <si>
    <t>I was 12 hours with pain fever chilling trembling withoud real medical help.</t>
  </si>
  <si>
    <t>The emergency room physician called the wrong doctor.  When he told me who he called, I corrected the first name and he just kept going.</t>
  </si>
  <si>
    <t>poca explicaciÃ³n de parte del mÃ©dico, en relaciÃ³n a una informaciÃ³n detallada de mis sÃ­ntomas.</t>
  </si>
  <si>
    <t>not much he could do due to the setting and again the recliners</t>
  </si>
  <si>
    <t>Dr. Loera was amazing, I couldn't of have asked for a better provider. He informed me of all tests that were being done, what he was looking for and what the next steps would be. He made sure that I understood the process and he did the same upon my discharge.</t>
  </si>
  <si>
    <t>Para que hacer comentario , hubiese que renovar a todos los medicos o lo mejor observenlos tanto a ellos como a los enfermeros, tendran conocimientos no lo dudo , pero devocion ninguno de los dos.</t>
  </si>
  <si>
    <t>Andrea Bentancourt is the best Dr. ever and I'm truly grateful for her because I'm back to feeling myself</t>
  </si>
  <si>
    <t>the nurse in the ER was very good his name was Thiago.</t>
  </si>
  <si>
    <t>Doctor was very concerned on my taking all tests he indicated.</t>
  </si>
  <si>
    <t>See previous comment. I put 'fair' because all the doctors except the last IM Physician (who was wonderful) didn't listen to me and contact my cardiologist.</t>
  </si>
  <si>
    <t>I never seen the same dr. one in the emergency room another diagnosed me another did surgery and a fourth discharged me</t>
  </si>
  <si>
    <t>ER doctor was superficial and condescending. never updated nursing staff or my son and I.</t>
  </si>
  <si>
    <t>No bad experience</t>
  </si>
  <si>
    <t>Comments from this point on are good</t>
  </si>
  <si>
    <t>DOCTORS ARE EXCELLENT</t>
  </si>
  <si>
    <t>Doctor prescribed wrong antibiotic for my urine infection and I was contacted a few days later to be notified</t>
  </si>
  <si>
    <t>the doctor seemed a bit tired or uninterested. my condition was minor, I'm sure, in comparison to others but I was in severe pain and he seemed unfazed by it. bedside manner could use some improvement.</t>
  </si>
  <si>
    <t>only there initially briefly</t>
  </si>
  <si>
    <t>Dr. Friedman seemed irritated that he had to be burdened by having to care for a patient. I was given no information about my results or what issues I could be dealing with or what I could do to help my self at home.</t>
  </si>
  <si>
    <t>The hospital's emergency room doctors and staff, as well as the neurosurgery doctor, provided very professional treatment with an extremely positive attitude.  Both my wife and I were greatly impressed by the hospital and its staff.</t>
  </si>
  <si>
    <t>All doctors were OK, except one by the name of Ivan the one in charge which did not advise us when I was going to be out of the Hospital and the transfer was made at 11:00 PM, i am 74 years old with an stroke and this transfer at that hour get me completely confused. I am sorry to tell you this.</t>
  </si>
  <si>
    <t>The ER doctor who attended to me was also excellent.  He was respectful, intelligent, informed, and caring.</t>
  </si>
  <si>
    <t>todo bien</t>
  </si>
  <si>
    <t>When I arrived to ER, I informed the personnel that I had a cardiac ablation surgery a week before and gave them the Discharge documents so they can be alert of my situation and the medicines I was prescribed.  The  ER doctor spoke with the doctor who performed my surgery and based on that conversation she could treat me and gave me the correct medicines.</t>
  </si>
  <si>
    <t>bien explicacion</t>
  </si>
  <si>
    <t>Dr Brazda was great</t>
  </si>
  <si>
    <t>todo excelente</t>
  </si>
  <si>
    <t>Dr Brazda is a very arrogant, rude,abrupt and an uncaring individual. It was a terrible experience having him as an ER physician.</t>
  </si>
  <si>
    <t>very poor information i had to google my answers</t>
  </si>
  <si>
    <t>el peor trato q me han dado en mi vida gracias a dios es dr y no policÃ­a q tienen pistola me negÃ³ todo tipo de ayuda y nunca me escucho cuando le dije q estaba mal ya estoy operado y en mi casa si sigo sus recomendaciones estuviera muerto probablemente total incompetencia y una vergÃ¼enza para mÃ©dicos de ese hospital nunca mas regreso ni lo recomiendo a nadie</t>
  </si>
  <si>
    <t>only saw doctor twice: once at initial check at mid day and once again at end of evening at discharge</t>
  </si>
  <si>
    <t>Dr. Charles Sanz was EXCELLENT.</t>
  </si>
  <si>
    <t>He was excelent.  He asked me how my Primary HC provider arrived at the conclusion that one of my lungs was leaking and went on to do all possible tests ruling out the poor diagnostic of my provider.  Recommended a change of doctor.</t>
  </si>
  <si>
    <t>Doctors shouldn't look disinterested when a patient is describing their pain or concerns, even if they think it's not that serious.</t>
  </si>
  <si>
    <t>Very nice doctor</t>
  </si>
  <si>
    <t>uninformed Even documents of recent hospitalizations in Miami and was unwilling to review notes make phone calls to my doctors and made me suffer unnecessarily. Refused to give IV drip muscle relaxer not just pain medication.</t>
  </si>
  <si>
    <t>Dr Ligio was amazing he took his time to examine my son very detailed and I was amazed for his prompt response to the tests that my son needed.  I wish he is there to provide such an amazing service to the rest of any needed child .</t>
  </si>
  <si>
    <t>Dr. Tavarez is amazing</t>
  </si>
  <si>
    <t>El Dr. Acosta-Trant es excelente en su trato personal y profesional. Agradezco a Dios que me puso en sus manos durante mi estancia en el Hospital</t>
  </si>
  <si>
    <t>I LOVED THEM</t>
  </si>
  <si>
    <t>No one asked me if I needed pain relief until I returned from CT scan early AM-almost 12 hrs from my entrance!</t>
  </si>
  <si>
    <t>En especial debo decir que todos han sido excelentes, en especial la Dra. Dyv, experta, humanitaria y siempre atenta a mi salud. Es muy, muy especial.</t>
  </si>
</sst>
</file>

<file path=xl/styles.xml><?xml version="1.0" encoding="utf-8"?>
<styleSheet xmlns="http://schemas.openxmlformats.org/spreadsheetml/2006/main" xmlns:mc="http://schemas.openxmlformats.org/markup-compatibility/2006" xmlns:x14ac="http://schemas.microsoft.com/office/spreadsheetml/2009/9/ac" mc:Ignorable="x14ac">
  <numFmts count="5">
    <numFmt numFmtId="164" formatCode="###.00;\(###.00\);\-"/>
    <numFmt numFmtId="165" formatCode="###.0;\(###.0\);\-"/>
    <numFmt numFmtId="166" formatCode="###;\(###\);\-"/>
    <numFmt numFmtId="167" formatCode="###.000;\(###.000\);\-"/>
    <numFmt numFmtId="168" formatCode="###.00000;\(###.00000\);\-"/>
  </numFmts>
  <fonts count="13" x14ac:knownFonts="1">
    <font>
      <sz val="11"/>
      <color theme="1"/>
      <name val="Calibri"/>
      <family val="2"/>
      <scheme val="minor"/>
    </font>
    <font>
      <b/>
      <sz val="11"/>
      <color theme="0"/>
      <name val="Calibri"/>
      <family val="2"/>
      <scheme val="minor"/>
    </font>
    <font>
      <b/>
      <sz val="11"/>
      <color theme="1"/>
      <name val="Calibri"/>
      <family val="2"/>
      <scheme val="minor"/>
    </font>
    <font>
      <b/>
      <sz val="12"/>
      <color theme="1"/>
      <name val="Calibri"/>
      <family val="2"/>
      <scheme val="minor"/>
    </font>
    <font>
      <b/>
      <sz val="14"/>
      <color theme="1"/>
      <name val="Calibri"/>
      <family val="2"/>
      <scheme val="minor"/>
    </font>
    <font>
      <u val="singleAccounting"/>
      <sz val="11"/>
      <color theme="1"/>
      <name val="Calibri"/>
      <family val="2"/>
      <scheme val="minor"/>
    </font>
    <font>
      <b/>
      <sz val="11"/>
      <color rgb="FF0066FF"/>
      <name val="Calibri"/>
      <family val="2"/>
      <scheme val="minor"/>
    </font>
    <font>
      <b/>
      <sz val="11"/>
      <color theme="1" tint="0.499984740745262"/>
      <name val="Calibri"/>
      <family val="2"/>
      <scheme val="minor"/>
    </font>
    <font>
      <u val="singleAccounting"/>
      <sz val="11"/>
      <color theme="1"/>
      <name val="Calibri"/>
      <family val="2"/>
    </font>
    <font>
      <u val="singleAccounting"/>
      <vertAlign val="subscript"/>
      <sz val="11"/>
      <color theme="1"/>
      <name val="Calibri"/>
      <family val="2"/>
    </font>
    <font>
      <b/>
      <sz val="14"/>
      <color theme="1" tint="0.499984740745262"/>
      <name val="Calibri"/>
      <family val="2"/>
      <scheme val="minor"/>
    </font>
    <font>
      <b/>
      <sz val="16"/>
      <color theme="1" tint="0.499984740745262"/>
      <name val="Calibri"/>
      <family val="2"/>
      <scheme val="minor"/>
    </font>
    <font>
      <sz val="11"/>
      <color rgb="FF00B0F0"/>
      <name val="Calibri"/>
      <family val="2"/>
      <scheme val="minor"/>
    </font>
  </fonts>
  <fills count="5">
    <fill>
      <patternFill patternType="none"/>
    </fill>
    <fill>
      <patternFill patternType="gray125"/>
    </fill>
    <fill>
      <patternFill patternType="solid">
        <fgColor rgb="FF0066FF"/>
        <bgColor indexed="64"/>
      </patternFill>
    </fill>
    <fill>
      <patternFill patternType="solid">
        <fgColor rgb="FF0099FF"/>
        <bgColor indexed="64"/>
      </patternFill>
    </fill>
    <fill>
      <patternFill patternType="solid">
        <fgColor rgb="FFFFFF00"/>
        <bgColor indexed="64"/>
      </patternFill>
    </fill>
  </fills>
  <borders count="6">
    <border>
      <left/>
      <right/>
      <top/>
      <bottom/>
      <diagonal/>
    </border>
    <border>
      <left/>
      <right/>
      <top style="medium">
        <color theme="2" tint="-9.9948118533890809E-2"/>
      </top>
      <bottom style="medium">
        <color theme="2" tint="-9.9948118533890809E-2"/>
      </bottom>
      <diagonal/>
    </border>
    <border>
      <left/>
      <right/>
      <top/>
      <bottom style="thin">
        <color indexed="64"/>
      </bottom>
      <diagonal/>
    </border>
    <border>
      <left/>
      <right/>
      <top/>
      <bottom style="double">
        <color auto="1"/>
      </bottom>
      <diagonal/>
    </border>
    <border>
      <left style="thin">
        <color rgb="FFABABAB"/>
      </left>
      <right/>
      <top style="thin">
        <color rgb="FFABABAB"/>
      </top>
      <bottom/>
      <diagonal/>
    </border>
    <border>
      <left style="thin">
        <color rgb="FFABABAB"/>
      </left>
      <right/>
      <top/>
      <bottom/>
      <diagonal/>
    </border>
  </borders>
  <cellStyleXfs count="1">
    <xf numFmtId="0" fontId="0" fillId="0" borderId="0"/>
  </cellStyleXfs>
  <cellXfs count="57">
    <xf numFmtId="0" fontId="0" fillId="0" borderId="0" xfId="0"/>
    <xf numFmtId="0" fontId="0" fillId="0" borderId="0" xfId="0" applyAlignment="1">
      <alignment horizontal="left"/>
    </xf>
    <xf numFmtId="0" fontId="0" fillId="0" borderId="0" xfId="0" applyAlignment="1">
      <alignment horizontal="center"/>
    </xf>
    <xf numFmtId="0" fontId="0" fillId="0" borderId="0" xfId="0" applyAlignment="1">
      <alignment horizontal="center" vertical="top"/>
    </xf>
    <xf numFmtId="0" fontId="0" fillId="0" borderId="0" xfId="0" applyAlignment="1">
      <alignment vertical="top"/>
    </xf>
    <xf numFmtId="0" fontId="0" fillId="0" borderId="0" xfId="0" applyAlignment="1">
      <alignment horizontal="left" vertical="top"/>
    </xf>
    <xf numFmtId="0" fontId="0" fillId="0" borderId="0" xfId="0" applyAlignment="1">
      <alignment vertical="top" wrapText="1"/>
    </xf>
    <xf numFmtId="0" fontId="1" fillId="2" borderId="1" xfId="0" applyFont="1" applyFill="1" applyBorder="1" applyAlignment="1">
      <alignment horizontal="center"/>
    </xf>
    <xf numFmtId="0" fontId="1" fillId="2" borderId="1" xfId="0" applyFont="1" applyFill="1" applyBorder="1"/>
    <xf numFmtId="0" fontId="1" fillId="3" borderId="1" xfId="0" applyFont="1" applyFill="1" applyBorder="1" applyAlignment="1">
      <alignment horizontal="center"/>
    </xf>
    <xf numFmtId="0" fontId="1" fillId="3" borderId="1" xfId="0" applyFont="1" applyFill="1" applyBorder="1" applyAlignment="1">
      <alignment horizontal="left"/>
    </xf>
    <xf numFmtId="0" fontId="2" fillId="0" borderId="0" xfId="0" applyFont="1"/>
    <xf numFmtId="0" fontId="3" fillId="0" borderId="0" xfId="0" applyFont="1"/>
    <xf numFmtId="0" fontId="4" fillId="0" borderId="0" xfId="0" applyFont="1"/>
    <xf numFmtId="0" fontId="0" fillId="0" borderId="0" xfId="0" pivotButton="1"/>
    <xf numFmtId="0" fontId="5" fillId="0" borderId="0" xfId="0" applyFont="1" applyAlignment="1">
      <alignment horizontal="center"/>
    </xf>
    <xf numFmtId="0" fontId="0" fillId="0" borderId="0" xfId="0" applyNumberFormat="1"/>
    <xf numFmtId="164" fontId="0" fillId="0" borderId="0" xfId="0" applyNumberFormat="1"/>
    <xf numFmtId="0" fontId="0" fillId="0" borderId="0" xfId="0" applyFont="1" applyAlignment="1">
      <alignment horizontal="center"/>
    </xf>
    <xf numFmtId="165" fontId="0" fillId="0" borderId="0" xfId="0" applyNumberFormat="1"/>
    <xf numFmtId="166" fontId="0" fillId="0" borderId="0" xfId="0" applyNumberFormat="1"/>
    <xf numFmtId="0" fontId="0" fillId="0" borderId="2" xfId="0" applyFont="1" applyBorder="1" applyAlignment="1">
      <alignment horizontal="center"/>
    </xf>
    <xf numFmtId="164" fontId="0" fillId="0" borderId="2" xfId="0" applyNumberFormat="1" applyBorder="1"/>
    <xf numFmtId="166" fontId="0" fillId="0" borderId="2" xfId="0" applyNumberFormat="1" applyBorder="1"/>
    <xf numFmtId="164" fontId="2" fillId="0" borderId="0" xfId="0" applyNumberFormat="1" applyFont="1"/>
    <xf numFmtId="166" fontId="2" fillId="0" borderId="0" xfId="0" applyNumberFormat="1" applyFont="1"/>
    <xf numFmtId="0" fontId="3" fillId="0" borderId="0" xfId="0" applyFont="1" applyAlignment="1">
      <alignment horizontal="center"/>
    </xf>
    <xf numFmtId="0" fontId="3" fillId="0" borderId="2" xfId="0" applyFont="1" applyBorder="1" applyAlignment="1">
      <alignment horizontal="center"/>
    </xf>
    <xf numFmtId="0" fontId="3" fillId="0" borderId="0" xfId="0" applyFont="1" applyBorder="1" applyAlignment="1">
      <alignment horizontal="center"/>
    </xf>
    <xf numFmtId="165" fontId="2" fillId="0" borderId="0" xfId="0" applyNumberFormat="1" applyFont="1"/>
    <xf numFmtId="164" fontId="6" fillId="0" borderId="3" xfId="0" applyNumberFormat="1" applyFont="1" applyBorder="1"/>
    <xf numFmtId="0" fontId="0" fillId="0" borderId="0" xfId="0" applyAlignment="1">
      <alignment horizontal="right"/>
    </xf>
    <xf numFmtId="0" fontId="7" fillId="0" borderId="0" xfId="0" applyFont="1"/>
    <xf numFmtId="164" fontId="7" fillId="0" borderId="0" xfId="0" applyNumberFormat="1" applyFont="1"/>
    <xf numFmtId="165" fontId="7" fillId="0" borderId="0" xfId="0" applyNumberFormat="1" applyFont="1"/>
    <xf numFmtId="166" fontId="7" fillId="0" borderId="0" xfId="0" applyNumberFormat="1" applyFont="1"/>
    <xf numFmtId="0" fontId="0" fillId="0" borderId="0" xfId="0" applyFont="1"/>
    <xf numFmtId="0" fontId="0" fillId="0" borderId="4" xfId="0" applyBorder="1"/>
    <xf numFmtId="0" fontId="0" fillId="0" borderId="5" xfId="0" applyBorder="1"/>
    <xf numFmtId="0" fontId="1" fillId="2" borderId="1" xfId="0" applyFont="1" applyFill="1" applyBorder="1" applyAlignment="1">
      <alignment horizontal="left"/>
    </xf>
    <xf numFmtId="0" fontId="0" fillId="0" borderId="0" xfId="0" applyNumberFormat="1" applyBorder="1" applyAlignment="1">
      <alignment horizontal="right"/>
    </xf>
    <xf numFmtId="166" fontId="0" fillId="0" borderId="0" xfId="0" applyNumberFormat="1" applyAlignment="1">
      <alignment horizontal="center"/>
    </xf>
    <xf numFmtId="167" fontId="0" fillId="0" borderId="0" xfId="0" applyNumberFormat="1" applyAlignment="1">
      <alignment horizontal="center"/>
    </xf>
    <xf numFmtId="165" fontId="2" fillId="0" borderId="3" xfId="0" applyNumberFormat="1" applyFont="1" applyBorder="1"/>
    <xf numFmtId="168" fontId="0" fillId="0" borderId="0" xfId="0" applyNumberFormat="1"/>
    <xf numFmtId="0" fontId="0" fillId="0" borderId="0" xfId="0" applyFont="1" applyBorder="1"/>
    <xf numFmtId="0" fontId="7" fillId="0" borderId="0" xfId="0" applyFont="1" applyBorder="1"/>
    <xf numFmtId="164" fontId="7" fillId="0" borderId="0" xfId="0" applyNumberFormat="1" applyFont="1" applyBorder="1"/>
    <xf numFmtId="166" fontId="7" fillId="0" borderId="0" xfId="0" applyNumberFormat="1" applyFont="1" applyBorder="1"/>
    <xf numFmtId="166" fontId="2" fillId="0" borderId="0" xfId="0" applyNumberFormat="1" applyFont="1" applyBorder="1"/>
    <xf numFmtId="164" fontId="2" fillId="0" borderId="0" xfId="0" applyNumberFormat="1" applyFont="1" applyBorder="1"/>
    <xf numFmtId="165" fontId="0" fillId="0" borderId="0" xfId="0" applyNumberFormat="1" applyAlignment="1">
      <alignment horizontal="center"/>
    </xf>
    <xf numFmtId="0" fontId="8" fillId="0" borderId="0" xfId="0" applyFont="1" applyAlignment="1">
      <alignment horizontal="center"/>
    </xf>
    <xf numFmtId="0" fontId="10" fillId="0" borderId="0" xfId="0" applyFont="1"/>
    <xf numFmtId="0" fontId="11" fillId="0" borderId="0" xfId="0" applyFont="1"/>
    <xf numFmtId="0" fontId="12" fillId="4" borderId="0" xfId="0" applyFont="1" applyFill="1"/>
    <xf numFmtId="0" fontId="3" fillId="0" borderId="2" xfId="0" applyFont="1" applyBorder="1" applyAlignment="1">
      <alignment horizontal="center"/>
    </xf>
  </cellXfs>
  <cellStyles count="1">
    <cellStyle name="Normal" xfId="0" builtinId="0"/>
  </cellStyles>
  <dxfs count="9">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s>
  <tableStyles count="0" defaultTableStyle="TableStyleMedium2" defaultPivotStyle="PivotStyleLight16"/>
  <colors>
    <mruColors>
      <color rgb="FFEAB200"/>
      <color rgb="FFD2A000"/>
      <color rgb="FF0066FF"/>
      <color rgb="FF0099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3" Type="http://schemas.openxmlformats.org/officeDocument/2006/relationships/chartUserShapes" Target="../drawings/drawing2.xml"/><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3" Type="http://schemas.openxmlformats.org/officeDocument/2006/relationships/chartUserShapes" Target="../drawings/drawing3.xml"/><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3" Type="http://schemas.openxmlformats.org/officeDocument/2006/relationships/chartUserShapes" Target="../drawings/drawing4.xml"/><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3" Type="http://schemas.openxmlformats.org/officeDocument/2006/relationships/chartUserShapes" Target="../drawings/drawing5.xml"/><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3" Type="http://schemas.openxmlformats.org/officeDocument/2006/relationships/chartUserShapes" Target="../drawings/drawing6.xml"/><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8.8691646302832841E-2"/>
          <c:y val="0.12445380577427823"/>
          <c:w val="0.88586007783509824"/>
          <c:h val="0.80128083989501309"/>
        </c:manualLayout>
      </c:layout>
      <c:scatterChart>
        <c:scatterStyle val="lineMarker"/>
        <c:varyColors val="0"/>
        <c:ser>
          <c:idx val="0"/>
          <c:order val="0"/>
          <c:spPr>
            <a:ln w="25400" cap="rnd">
              <a:noFill/>
              <a:round/>
            </a:ln>
            <a:effectLst/>
          </c:spPr>
          <c:marker>
            <c:symbol val="circle"/>
            <c:size val="7"/>
            <c:spPr>
              <a:noFill/>
              <a:ln w="19050">
                <a:solidFill>
                  <a:srgbClr val="0099FF"/>
                </a:solidFill>
              </a:ln>
              <a:effectLst/>
            </c:spPr>
          </c:marker>
          <c:trendline>
            <c:spPr>
              <a:ln w="19050" cap="rnd">
                <a:solidFill>
                  <a:schemeClr val="accent1"/>
                </a:solidFill>
                <a:prstDash val="sysDot"/>
              </a:ln>
              <a:effectLst/>
            </c:spPr>
            <c:trendlineType val="linear"/>
            <c:dispRSqr val="1"/>
            <c:dispEq val="1"/>
            <c:trendlineLbl>
              <c:layout>
                <c:manualLayout>
                  <c:x val="-0.38192977525211491"/>
                  <c:y val="-0.40899038869292864"/>
                </c:manualLayout>
              </c:layout>
              <c:numFmt formatCode="General" sourceLinked="0"/>
              <c:spPr>
                <a:noFill/>
                <a:ln>
                  <a:noFill/>
                </a:ln>
                <a:effectLst/>
              </c:spPr>
              <c:txPr>
                <a:bodyPr rot="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n-US"/>
                </a:p>
              </c:txPr>
            </c:trendlineLbl>
          </c:trendline>
          <c:xVal>
            <c:numRef>
              <c:f>'Reg1'!$B$5:$B$36</c:f>
              <c:numCache>
                <c:formatCode>###;\(###\);\-</c:formatCode>
                <c:ptCount val="32"/>
                <c:pt idx="0">
                  <c:v>7</c:v>
                </c:pt>
                <c:pt idx="1">
                  <c:v>7</c:v>
                </c:pt>
                <c:pt idx="2">
                  <c:v>7</c:v>
                </c:pt>
                <c:pt idx="3">
                  <c:v>4</c:v>
                </c:pt>
                <c:pt idx="4">
                  <c:v>7</c:v>
                </c:pt>
                <c:pt idx="5">
                  <c:v>4</c:v>
                </c:pt>
                <c:pt idx="6">
                  <c:v>4</c:v>
                </c:pt>
                <c:pt idx="7">
                  <c:v>5</c:v>
                </c:pt>
                <c:pt idx="8">
                  <c:v>8</c:v>
                </c:pt>
                <c:pt idx="9">
                  <c:v>8</c:v>
                </c:pt>
                <c:pt idx="10">
                  <c:v>4</c:v>
                </c:pt>
                <c:pt idx="11">
                  <c:v>11</c:v>
                </c:pt>
                <c:pt idx="12">
                  <c:v>8</c:v>
                </c:pt>
                <c:pt idx="13">
                  <c:v>1</c:v>
                </c:pt>
                <c:pt idx="14">
                  <c:v>7</c:v>
                </c:pt>
                <c:pt idx="15">
                  <c:v>11</c:v>
                </c:pt>
                <c:pt idx="16">
                  <c:v>1</c:v>
                </c:pt>
                <c:pt idx="17">
                  <c:v>11</c:v>
                </c:pt>
                <c:pt idx="18">
                  <c:v>6</c:v>
                </c:pt>
                <c:pt idx="19">
                  <c:v>8</c:v>
                </c:pt>
                <c:pt idx="20">
                  <c:v>9</c:v>
                </c:pt>
                <c:pt idx="21">
                  <c:v>4</c:v>
                </c:pt>
                <c:pt idx="22">
                  <c:v>5</c:v>
                </c:pt>
                <c:pt idx="23">
                  <c:v>4</c:v>
                </c:pt>
                <c:pt idx="24">
                  <c:v>1</c:v>
                </c:pt>
                <c:pt idx="25">
                  <c:v>3</c:v>
                </c:pt>
                <c:pt idx="26">
                  <c:v>6</c:v>
                </c:pt>
                <c:pt idx="27">
                  <c:v>6</c:v>
                </c:pt>
                <c:pt idx="28">
                  <c:v>9</c:v>
                </c:pt>
                <c:pt idx="29">
                  <c:v>6</c:v>
                </c:pt>
                <c:pt idx="30">
                  <c:v>5</c:v>
                </c:pt>
                <c:pt idx="31">
                  <c:v>13</c:v>
                </c:pt>
              </c:numCache>
            </c:numRef>
          </c:xVal>
          <c:yVal>
            <c:numRef>
              <c:f>'Reg1'!$C$5:$C$36</c:f>
              <c:numCache>
                <c:formatCode>###.0;\(###.0\);\-</c:formatCode>
                <c:ptCount val="32"/>
                <c:pt idx="0">
                  <c:v>85.7</c:v>
                </c:pt>
                <c:pt idx="1">
                  <c:v>71.400000000000006</c:v>
                </c:pt>
                <c:pt idx="2">
                  <c:v>92.9</c:v>
                </c:pt>
                <c:pt idx="3">
                  <c:v>62.5</c:v>
                </c:pt>
                <c:pt idx="4">
                  <c:v>78.599999999999994</c:v>
                </c:pt>
                <c:pt idx="5">
                  <c:v>50</c:v>
                </c:pt>
                <c:pt idx="6">
                  <c:v>81.3</c:v>
                </c:pt>
                <c:pt idx="7">
                  <c:v>85</c:v>
                </c:pt>
                <c:pt idx="8">
                  <c:v>75</c:v>
                </c:pt>
                <c:pt idx="9">
                  <c:v>87.5</c:v>
                </c:pt>
                <c:pt idx="10">
                  <c:v>81.3</c:v>
                </c:pt>
                <c:pt idx="11">
                  <c:v>79.599999999999994</c:v>
                </c:pt>
                <c:pt idx="12">
                  <c:v>71.900000000000006</c:v>
                </c:pt>
                <c:pt idx="13">
                  <c:v>50</c:v>
                </c:pt>
                <c:pt idx="14">
                  <c:v>67.900000000000006</c:v>
                </c:pt>
                <c:pt idx="15">
                  <c:v>84.1</c:v>
                </c:pt>
                <c:pt idx="16">
                  <c:v>100</c:v>
                </c:pt>
                <c:pt idx="17">
                  <c:v>47.7</c:v>
                </c:pt>
                <c:pt idx="18">
                  <c:v>70.8</c:v>
                </c:pt>
                <c:pt idx="19">
                  <c:v>53.1</c:v>
                </c:pt>
                <c:pt idx="20">
                  <c:v>77.8</c:v>
                </c:pt>
                <c:pt idx="21">
                  <c:v>81.3</c:v>
                </c:pt>
                <c:pt idx="22">
                  <c:v>85</c:v>
                </c:pt>
                <c:pt idx="23">
                  <c:v>75</c:v>
                </c:pt>
                <c:pt idx="24">
                  <c:v>75</c:v>
                </c:pt>
                <c:pt idx="25">
                  <c:v>58.3</c:v>
                </c:pt>
                <c:pt idx="26">
                  <c:v>100</c:v>
                </c:pt>
                <c:pt idx="27">
                  <c:v>79.2</c:v>
                </c:pt>
                <c:pt idx="28">
                  <c:v>11.1</c:v>
                </c:pt>
                <c:pt idx="29">
                  <c:v>83.3</c:v>
                </c:pt>
                <c:pt idx="30">
                  <c:v>80</c:v>
                </c:pt>
                <c:pt idx="31">
                  <c:v>67.3</c:v>
                </c:pt>
              </c:numCache>
            </c:numRef>
          </c:yVal>
          <c:smooth val="0"/>
        </c:ser>
        <c:dLbls>
          <c:showLegendKey val="0"/>
          <c:showVal val="0"/>
          <c:showCatName val="0"/>
          <c:showSerName val="0"/>
          <c:showPercent val="0"/>
          <c:showBubbleSize val="0"/>
        </c:dLbls>
        <c:axId val="1043619952"/>
        <c:axId val="1043620496"/>
      </c:scatterChart>
      <c:valAx>
        <c:axId val="1043619952"/>
        <c:scaling>
          <c:orientation val="minMax"/>
        </c:scaling>
        <c:delete val="0"/>
        <c:axPos val="b"/>
        <c:majorGridlines>
          <c:spPr>
            <a:ln w="9525" cap="flat" cmpd="sng" algn="ctr">
              <a:solidFill>
                <a:schemeClr val="tx1">
                  <a:lumMod val="15000"/>
                  <a:lumOff val="85000"/>
                </a:schemeClr>
              </a:solidFill>
              <a:prstDash val="sysDot"/>
              <a:round/>
            </a:ln>
            <a:effectLst/>
          </c:spPr>
        </c:majorGridlines>
        <c:numFmt formatCode="###;\(###\);\-" sourceLinked="1"/>
        <c:majorTickMark val="none"/>
        <c:minorTickMark val="none"/>
        <c:tickLblPos val="nextTo"/>
        <c:spPr>
          <a:noFill/>
          <a:ln w="31750"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crossAx val="1043620496"/>
        <c:crosses val="autoZero"/>
        <c:crossBetween val="midCat"/>
        <c:majorUnit val="1"/>
      </c:valAx>
      <c:valAx>
        <c:axId val="1043620496"/>
        <c:scaling>
          <c:orientation val="minMax"/>
        </c:scaling>
        <c:delete val="0"/>
        <c:axPos val="l"/>
        <c:majorGridlines>
          <c:spPr>
            <a:ln w="9525" cap="flat" cmpd="sng" algn="ctr">
              <a:solidFill>
                <a:schemeClr val="tx1">
                  <a:lumMod val="15000"/>
                  <a:lumOff val="85000"/>
                </a:schemeClr>
              </a:solidFill>
              <a:prstDash val="sysDot"/>
              <a:round/>
            </a:ln>
            <a:effectLst/>
          </c:spPr>
        </c:majorGridlines>
        <c:numFmt formatCode="###.0;\(###.0\);\-" sourceLinked="1"/>
        <c:majorTickMark val="none"/>
        <c:minorTickMark val="none"/>
        <c:tickLblPos val="nextTo"/>
        <c:spPr>
          <a:noFill/>
          <a:ln w="31750"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crossAx val="1043619952"/>
        <c:crosses val="autoZero"/>
        <c:crossBetween val="midCat"/>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userShapes r:id="rId3"/>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8.8691646302832841E-2"/>
          <c:y val="5.427849150435142E-2"/>
          <c:w val="0.88586007783509824"/>
          <c:h val="0.90303522585992557"/>
        </c:manualLayout>
      </c:layout>
      <c:scatterChart>
        <c:scatterStyle val="lineMarker"/>
        <c:varyColors val="0"/>
        <c:ser>
          <c:idx val="0"/>
          <c:order val="0"/>
          <c:spPr>
            <a:ln w="25400" cap="rnd">
              <a:noFill/>
              <a:round/>
            </a:ln>
            <a:effectLst/>
          </c:spPr>
          <c:marker>
            <c:symbol val="circle"/>
            <c:size val="7"/>
            <c:spPr>
              <a:noFill/>
              <a:ln w="19050">
                <a:solidFill>
                  <a:srgbClr val="EAB200"/>
                </a:solidFill>
              </a:ln>
              <a:effectLst/>
            </c:spPr>
          </c:marker>
          <c:trendline>
            <c:spPr>
              <a:ln w="28575" cap="rnd">
                <a:solidFill>
                  <a:srgbClr val="EAB200"/>
                </a:solidFill>
                <a:prstDash val="sysDot"/>
              </a:ln>
              <a:effectLst/>
            </c:spPr>
            <c:trendlineType val="linear"/>
            <c:dispRSqr val="0"/>
            <c:dispEq val="0"/>
          </c:trendline>
          <c:xVal>
            <c:numRef>
              <c:f>'Reg1'!$B$5:$B$36</c:f>
              <c:numCache>
                <c:formatCode>###;\(###\);\-</c:formatCode>
                <c:ptCount val="32"/>
                <c:pt idx="0">
                  <c:v>7</c:v>
                </c:pt>
                <c:pt idx="1">
                  <c:v>7</c:v>
                </c:pt>
                <c:pt idx="2">
                  <c:v>7</c:v>
                </c:pt>
                <c:pt idx="3">
                  <c:v>4</c:v>
                </c:pt>
                <c:pt idx="4">
                  <c:v>7</c:v>
                </c:pt>
                <c:pt idx="5">
                  <c:v>4</c:v>
                </c:pt>
                <c:pt idx="6">
                  <c:v>4</c:v>
                </c:pt>
                <c:pt idx="7">
                  <c:v>5</c:v>
                </c:pt>
                <c:pt idx="8">
                  <c:v>8</c:v>
                </c:pt>
                <c:pt idx="9">
                  <c:v>8</c:v>
                </c:pt>
                <c:pt idx="10">
                  <c:v>4</c:v>
                </c:pt>
                <c:pt idx="11">
                  <c:v>11</c:v>
                </c:pt>
                <c:pt idx="12">
                  <c:v>8</c:v>
                </c:pt>
                <c:pt idx="13">
                  <c:v>1</c:v>
                </c:pt>
                <c:pt idx="14">
                  <c:v>7</c:v>
                </c:pt>
                <c:pt idx="15">
                  <c:v>11</c:v>
                </c:pt>
                <c:pt idx="16">
                  <c:v>1</c:v>
                </c:pt>
                <c:pt idx="17">
                  <c:v>11</c:v>
                </c:pt>
                <c:pt idx="18">
                  <c:v>6</c:v>
                </c:pt>
                <c:pt idx="19">
                  <c:v>8</c:v>
                </c:pt>
                <c:pt idx="20">
                  <c:v>9</c:v>
                </c:pt>
                <c:pt idx="21">
                  <c:v>4</c:v>
                </c:pt>
                <c:pt idx="22">
                  <c:v>5</c:v>
                </c:pt>
                <c:pt idx="23">
                  <c:v>4</c:v>
                </c:pt>
                <c:pt idx="24">
                  <c:v>1</c:v>
                </c:pt>
                <c:pt idx="25">
                  <c:v>3</c:v>
                </c:pt>
                <c:pt idx="26">
                  <c:v>6</c:v>
                </c:pt>
                <c:pt idx="27">
                  <c:v>6</c:v>
                </c:pt>
                <c:pt idx="28">
                  <c:v>9</c:v>
                </c:pt>
                <c:pt idx="29">
                  <c:v>6</c:v>
                </c:pt>
                <c:pt idx="30">
                  <c:v>5</c:v>
                </c:pt>
                <c:pt idx="31">
                  <c:v>13</c:v>
                </c:pt>
              </c:numCache>
            </c:numRef>
          </c:xVal>
          <c:yVal>
            <c:numRef>
              <c:f>'Reg1'!$E$5:$E$36</c:f>
              <c:numCache>
                <c:formatCode>###.0;\(###.0\);\-</c:formatCode>
                <c:ptCount val="32"/>
                <c:pt idx="0">
                  <c:v>12.920200000000008</c:v>
                </c:pt>
                <c:pt idx="1">
                  <c:v>-1.3797999999999888</c:v>
                </c:pt>
                <c:pt idx="2">
                  <c:v>20.120200000000011</c:v>
                </c:pt>
                <c:pt idx="3">
                  <c:v>-12.858599999999996</c:v>
                </c:pt>
                <c:pt idx="4">
                  <c:v>5.8201999999999998</c:v>
                </c:pt>
                <c:pt idx="5">
                  <c:v>-25.358599999999996</c:v>
                </c:pt>
                <c:pt idx="6">
                  <c:v>5.9414000000000016</c:v>
                </c:pt>
                <c:pt idx="7">
                  <c:v>10.501000000000005</c:v>
                </c:pt>
                <c:pt idx="8">
                  <c:v>3.0798000000000059</c:v>
                </c:pt>
                <c:pt idx="9">
                  <c:v>15.579800000000006</c:v>
                </c:pt>
                <c:pt idx="10">
                  <c:v>5.9414000000000016</c:v>
                </c:pt>
                <c:pt idx="11">
                  <c:v>10.258600000000001</c:v>
                </c:pt>
                <c:pt idx="12">
                  <c:v>-2.0199999999988449E-2</c:v>
                </c:pt>
                <c:pt idx="13">
                  <c:v>-27.937399999999997</c:v>
                </c:pt>
                <c:pt idx="14">
                  <c:v>-4.8797999999999888</c:v>
                </c:pt>
                <c:pt idx="15">
                  <c:v>14.758600000000001</c:v>
                </c:pt>
                <c:pt idx="16">
                  <c:v>22.062600000000003</c:v>
                </c:pt>
                <c:pt idx="17">
                  <c:v>-21.64139999999999</c:v>
                </c:pt>
                <c:pt idx="18">
                  <c:v>-2.8393999999999977</c:v>
                </c:pt>
                <c:pt idx="19">
                  <c:v>-18.820199999999993</c:v>
                </c:pt>
                <c:pt idx="20">
                  <c:v>6.7394000000000034</c:v>
                </c:pt>
                <c:pt idx="21">
                  <c:v>5.9414000000000016</c:v>
                </c:pt>
                <c:pt idx="22">
                  <c:v>10.501000000000005</c:v>
                </c:pt>
                <c:pt idx="23">
                  <c:v>-0.35859999999999559</c:v>
                </c:pt>
                <c:pt idx="24">
                  <c:v>-2.9373999999999967</c:v>
                </c:pt>
                <c:pt idx="25">
                  <c:v>-17.918199999999999</c:v>
                </c:pt>
                <c:pt idx="26">
                  <c:v>26.360600000000005</c:v>
                </c:pt>
                <c:pt idx="27">
                  <c:v>5.560600000000008</c:v>
                </c:pt>
                <c:pt idx="28">
                  <c:v>-59.960599999999992</c:v>
                </c:pt>
                <c:pt idx="29">
                  <c:v>9.6606000000000023</c:v>
                </c:pt>
                <c:pt idx="30">
                  <c:v>5.5010000000000048</c:v>
                </c:pt>
                <c:pt idx="31">
                  <c:v>-0.32219999999999516</c:v>
                </c:pt>
              </c:numCache>
            </c:numRef>
          </c:yVal>
          <c:smooth val="0"/>
        </c:ser>
        <c:dLbls>
          <c:showLegendKey val="0"/>
          <c:showVal val="0"/>
          <c:showCatName val="0"/>
          <c:showSerName val="0"/>
          <c:showPercent val="0"/>
          <c:showBubbleSize val="0"/>
        </c:dLbls>
        <c:axId val="42951872"/>
        <c:axId val="42951328"/>
      </c:scatterChart>
      <c:valAx>
        <c:axId val="42951872"/>
        <c:scaling>
          <c:orientation val="minMax"/>
        </c:scaling>
        <c:delete val="0"/>
        <c:axPos val="b"/>
        <c:majorGridlines>
          <c:spPr>
            <a:ln w="9525" cap="flat" cmpd="sng" algn="ctr">
              <a:solidFill>
                <a:schemeClr val="tx1">
                  <a:lumMod val="15000"/>
                  <a:lumOff val="85000"/>
                </a:schemeClr>
              </a:solidFill>
              <a:prstDash val="sysDot"/>
              <a:round/>
            </a:ln>
            <a:effectLst/>
          </c:spPr>
        </c:majorGridlines>
        <c:numFmt formatCode="###;\(###\);\-" sourceLinked="1"/>
        <c:majorTickMark val="none"/>
        <c:minorTickMark val="none"/>
        <c:tickLblPos val="nextTo"/>
        <c:spPr>
          <a:noFill/>
          <a:ln w="31750" cap="flat" cmpd="sng" algn="ctr">
            <a:noFill/>
            <a:round/>
          </a:ln>
          <a:effectLst/>
        </c:spPr>
        <c:txPr>
          <a:bodyPr rot="-600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crossAx val="42951328"/>
        <c:crosses val="autoZero"/>
        <c:crossBetween val="midCat"/>
      </c:valAx>
      <c:valAx>
        <c:axId val="42951328"/>
        <c:scaling>
          <c:orientation val="minMax"/>
        </c:scaling>
        <c:delete val="0"/>
        <c:axPos val="l"/>
        <c:majorGridlines>
          <c:spPr>
            <a:ln w="9525" cap="flat" cmpd="sng" algn="ctr">
              <a:solidFill>
                <a:schemeClr val="tx1">
                  <a:lumMod val="15000"/>
                  <a:lumOff val="85000"/>
                </a:schemeClr>
              </a:solidFill>
              <a:prstDash val="sysDot"/>
              <a:round/>
            </a:ln>
            <a:effectLst/>
          </c:spPr>
        </c:majorGridlines>
        <c:numFmt formatCode="###.0;\(###.0\);\-" sourceLinked="1"/>
        <c:majorTickMark val="none"/>
        <c:minorTickMark val="none"/>
        <c:tickLblPos val="nextTo"/>
        <c:spPr>
          <a:noFill/>
          <a:ln w="31750"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crossAx val="42951872"/>
        <c:crosses val="autoZero"/>
        <c:crossBetween val="midCat"/>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1" i="0" u="none" strike="noStrike" kern="1200" cap="all" spc="150" baseline="0">
                <a:solidFill>
                  <a:schemeClr val="tx1">
                    <a:lumMod val="50000"/>
                    <a:lumOff val="50000"/>
                  </a:schemeClr>
                </a:solidFill>
                <a:latin typeface="+mn-lt"/>
                <a:ea typeface="+mn-ea"/>
                <a:cs typeface="+mn-cs"/>
              </a:defRPr>
            </a:pPr>
            <a:r>
              <a:rPr lang="en-US" sz="1200"/>
              <a:t>Residual</a:t>
            </a:r>
            <a:r>
              <a:rPr lang="en-US" sz="1200" baseline="0"/>
              <a:t> run chart</a:t>
            </a:r>
            <a:endParaRPr lang="en-US" sz="1200"/>
          </a:p>
        </c:rich>
      </c:tx>
      <c:layout>
        <c:manualLayout>
          <c:xMode val="edge"/>
          <c:yMode val="edge"/>
          <c:x val="7.7603403022897977E-2"/>
          <c:y val="2.7777777777777776E-2"/>
        </c:manualLayout>
      </c:layout>
      <c:overlay val="0"/>
      <c:spPr>
        <a:noFill/>
        <a:ln>
          <a:noFill/>
        </a:ln>
        <a:effectLst/>
      </c:spPr>
      <c:txPr>
        <a:bodyPr rot="0" spcFirstLastPara="1" vertOverflow="ellipsis" vert="horz" wrap="square" anchor="ctr" anchorCtr="1"/>
        <a:lstStyle/>
        <a:p>
          <a:pPr>
            <a:defRPr sz="1200" b="1" i="0" u="none" strike="noStrike" kern="1200" cap="all" spc="150" baseline="0">
              <a:solidFill>
                <a:schemeClr val="tx1">
                  <a:lumMod val="50000"/>
                  <a:lumOff val="50000"/>
                </a:schemeClr>
              </a:solidFill>
              <a:latin typeface="+mn-lt"/>
              <a:ea typeface="+mn-ea"/>
              <a:cs typeface="+mn-cs"/>
            </a:defRPr>
          </a:pPr>
          <a:endParaRPr lang="en-US"/>
        </a:p>
      </c:txPr>
    </c:title>
    <c:autoTitleDeleted val="0"/>
    <c:plotArea>
      <c:layout>
        <c:manualLayout>
          <c:layoutTarget val="inner"/>
          <c:xMode val="edge"/>
          <c:yMode val="edge"/>
          <c:x val="8.426234151782773E-2"/>
          <c:y val="0.12800925925925924"/>
          <c:w val="0.89017483725430779"/>
          <c:h val="0.82106481481481486"/>
        </c:manualLayout>
      </c:layout>
      <c:lineChart>
        <c:grouping val="standard"/>
        <c:varyColors val="0"/>
        <c:ser>
          <c:idx val="0"/>
          <c:order val="0"/>
          <c:spPr>
            <a:ln w="12700" cap="rnd">
              <a:solidFill>
                <a:srgbClr val="EAB200"/>
              </a:solidFill>
              <a:prstDash val="sysDash"/>
              <a:round/>
            </a:ln>
            <a:effectLst/>
          </c:spPr>
          <c:marker>
            <c:symbol val="circle"/>
            <c:size val="6"/>
            <c:spPr>
              <a:noFill/>
              <a:ln w="15875">
                <a:solidFill>
                  <a:srgbClr val="EAB200"/>
                </a:solidFill>
              </a:ln>
              <a:effectLst/>
            </c:spPr>
          </c:marker>
          <c:val>
            <c:numRef>
              <c:f>'Reg1'!$E$5:$E$36</c:f>
              <c:numCache>
                <c:formatCode>###.0;\(###.0\);\-</c:formatCode>
                <c:ptCount val="32"/>
                <c:pt idx="0">
                  <c:v>12.920200000000008</c:v>
                </c:pt>
                <c:pt idx="1">
                  <c:v>-1.3797999999999888</c:v>
                </c:pt>
                <c:pt idx="2">
                  <c:v>20.120200000000011</c:v>
                </c:pt>
                <c:pt idx="3">
                  <c:v>-12.858599999999996</c:v>
                </c:pt>
                <c:pt idx="4">
                  <c:v>5.8201999999999998</c:v>
                </c:pt>
                <c:pt idx="5">
                  <c:v>-25.358599999999996</c:v>
                </c:pt>
                <c:pt idx="6">
                  <c:v>5.9414000000000016</c:v>
                </c:pt>
                <c:pt idx="7">
                  <c:v>10.501000000000005</c:v>
                </c:pt>
                <c:pt idx="8">
                  <c:v>3.0798000000000059</c:v>
                </c:pt>
                <c:pt idx="9">
                  <c:v>15.579800000000006</c:v>
                </c:pt>
                <c:pt idx="10">
                  <c:v>5.9414000000000016</c:v>
                </c:pt>
                <c:pt idx="11">
                  <c:v>10.258600000000001</c:v>
                </c:pt>
                <c:pt idx="12">
                  <c:v>-2.0199999999988449E-2</c:v>
                </c:pt>
                <c:pt idx="13">
                  <c:v>-27.937399999999997</c:v>
                </c:pt>
                <c:pt idx="14">
                  <c:v>-4.8797999999999888</c:v>
                </c:pt>
                <c:pt idx="15">
                  <c:v>14.758600000000001</c:v>
                </c:pt>
                <c:pt idx="16">
                  <c:v>22.062600000000003</c:v>
                </c:pt>
                <c:pt idx="17">
                  <c:v>-21.64139999999999</c:v>
                </c:pt>
                <c:pt idx="18">
                  <c:v>-2.8393999999999977</c:v>
                </c:pt>
                <c:pt idx="19">
                  <c:v>-18.820199999999993</c:v>
                </c:pt>
                <c:pt idx="20">
                  <c:v>6.7394000000000034</c:v>
                </c:pt>
                <c:pt idx="21">
                  <c:v>5.9414000000000016</c:v>
                </c:pt>
                <c:pt idx="22">
                  <c:v>10.501000000000005</c:v>
                </c:pt>
                <c:pt idx="23">
                  <c:v>-0.35859999999999559</c:v>
                </c:pt>
                <c:pt idx="24">
                  <c:v>-2.9373999999999967</c:v>
                </c:pt>
                <c:pt idx="25">
                  <c:v>-17.918199999999999</c:v>
                </c:pt>
                <c:pt idx="26">
                  <c:v>26.360600000000005</c:v>
                </c:pt>
                <c:pt idx="27">
                  <c:v>5.560600000000008</c:v>
                </c:pt>
                <c:pt idx="28">
                  <c:v>-59.960599999999992</c:v>
                </c:pt>
                <c:pt idx="29">
                  <c:v>9.6606000000000023</c:v>
                </c:pt>
                <c:pt idx="30">
                  <c:v>5.5010000000000048</c:v>
                </c:pt>
                <c:pt idx="31">
                  <c:v>-0.32219999999999516</c:v>
                </c:pt>
              </c:numCache>
            </c:numRef>
          </c:val>
          <c:smooth val="0"/>
        </c:ser>
        <c:dLbls>
          <c:showLegendKey val="0"/>
          <c:showVal val="0"/>
          <c:showCatName val="0"/>
          <c:showSerName val="0"/>
          <c:showPercent val="0"/>
          <c:showBubbleSize val="0"/>
        </c:dLbls>
        <c:marker val="1"/>
        <c:smooth val="0"/>
        <c:axId val="42954592"/>
        <c:axId val="42952960"/>
      </c:lineChart>
      <c:catAx>
        <c:axId val="42954592"/>
        <c:scaling>
          <c:orientation val="minMax"/>
        </c:scaling>
        <c:delete val="0"/>
        <c:axPos val="b"/>
        <c:numFmt formatCode="General" sourceLinked="1"/>
        <c:majorTickMark val="none"/>
        <c:minorTickMark val="none"/>
        <c:tickLblPos val="nextTo"/>
        <c:spPr>
          <a:noFill/>
          <a:ln w="19050"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952960"/>
        <c:crosses val="autoZero"/>
        <c:auto val="1"/>
        <c:lblAlgn val="ctr"/>
        <c:lblOffset val="100"/>
        <c:noMultiLvlLbl val="0"/>
      </c:catAx>
      <c:valAx>
        <c:axId val="42952960"/>
        <c:scaling>
          <c:orientation val="minMax"/>
        </c:scaling>
        <c:delete val="0"/>
        <c:axPos val="l"/>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954592"/>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8.8691646302832841E-2"/>
          <c:y val="0.12445380577427823"/>
          <c:w val="0.88586007783509824"/>
          <c:h val="0.80128083989501309"/>
        </c:manualLayout>
      </c:layout>
      <c:scatterChart>
        <c:scatterStyle val="lineMarker"/>
        <c:varyColors val="0"/>
        <c:ser>
          <c:idx val="0"/>
          <c:order val="0"/>
          <c:spPr>
            <a:ln w="25400" cap="rnd">
              <a:noFill/>
              <a:round/>
            </a:ln>
            <a:effectLst/>
          </c:spPr>
          <c:marker>
            <c:symbol val="circle"/>
            <c:size val="7"/>
            <c:spPr>
              <a:noFill/>
              <a:ln w="19050">
                <a:solidFill>
                  <a:srgbClr val="0099FF"/>
                </a:solidFill>
              </a:ln>
              <a:effectLst/>
            </c:spPr>
          </c:marker>
          <c:trendline>
            <c:spPr>
              <a:ln w="19050" cap="rnd">
                <a:solidFill>
                  <a:schemeClr val="accent1"/>
                </a:solidFill>
                <a:prstDash val="sysDot"/>
              </a:ln>
              <a:effectLst/>
            </c:spPr>
            <c:trendlineType val="linear"/>
            <c:dispRSqr val="1"/>
            <c:dispEq val="1"/>
            <c:trendlineLbl>
              <c:layout>
                <c:manualLayout>
                  <c:x val="-0.38192977525211491"/>
                  <c:y val="-0.40899038869292864"/>
                </c:manualLayout>
              </c:layout>
              <c:numFmt formatCode="General" sourceLinked="0"/>
              <c:spPr>
                <a:noFill/>
                <a:ln>
                  <a:noFill/>
                </a:ln>
                <a:effectLst/>
              </c:spPr>
              <c:txPr>
                <a:bodyPr rot="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n-US"/>
                </a:p>
              </c:txPr>
            </c:trendlineLbl>
          </c:trendline>
          <c:xVal>
            <c:numRef>
              <c:f>'Reg1'!$S$5:$S$36</c:f>
              <c:numCache>
                <c:formatCode>###;\(###\);\-</c:formatCode>
                <c:ptCount val="32"/>
                <c:pt idx="0">
                  <c:v>7</c:v>
                </c:pt>
                <c:pt idx="1">
                  <c:v>7</c:v>
                </c:pt>
                <c:pt idx="2">
                  <c:v>7</c:v>
                </c:pt>
                <c:pt idx="3">
                  <c:v>4</c:v>
                </c:pt>
                <c:pt idx="4">
                  <c:v>7</c:v>
                </c:pt>
                <c:pt idx="5">
                  <c:v>4</c:v>
                </c:pt>
                <c:pt idx="6">
                  <c:v>4</c:v>
                </c:pt>
                <c:pt idx="7">
                  <c:v>5</c:v>
                </c:pt>
                <c:pt idx="8">
                  <c:v>8</c:v>
                </c:pt>
                <c:pt idx="9">
                  <c:v>8</c:v>
                </c:pt>
                <c:pt idx="10">
                  <c:v>4</c:v>
                </c:pt>
                <c:pt idx="11">
                  <c:v>11</c:v>
                </c:pt>
                <c:pt idx="12">
                  <c:v>9</c:v>
                </c:pt>
                <c:pt idx="13">
                  <c:v>1</c:v>
                </c:pt>
                <c:pt idx="14">
                  <c:v>7</c:v>
                </c:pt>
                <c:pt idx="15">
                  <c:v>11</c:v>
                </c:pt>
                <c:pt idx="16">
                  <c:v>1</c:v>
                </c:pt>
                <c:pt idx="17">
                  <c:v>11</c:v>
                </c:pt>
                <c:pt idx="18">
                  <c:v>6</c:v>
                </c:pt>
                <c:pt idx="19">
                  <c:v>8</c:v>
                </c:pt>
                <c:pt idx="20">
                  <c:v>9</c:v>
                </c:pt>
                <c:pt idx="21">
                  <c:v>4</c:v>
                </c:pt>
                <c:pt idx="22">
                  <c:v>5</c:v>
                </c:pt>
                <c:pt idx="23">
                  <c:v>4</c:v>
                </c:pt>
                <c:pt idx="24">
                  <c:v>1</c:v>
                </c:pt>
                <c:pt idx="25">
                  <c:v>3</c:v>
                </c:pt>
                <c:pt idx="26">
                  <c:v>6</c:v>
                </c:pt>
                <c:pt idx="27">
                  <c:v>6</c:v>
                </c:pt>
                <c:pt idx="28">
                  <c:v>9</c:v>
                </c:pt>
                <c:pt idx="29">
                  <c:v>7</c:v>
                </c:pt>
                <c:pt idx="30">
                  <c:v>5</c:v>
                </c:pt>
                <c:pt idx="31">
                  <c:v>13</c:v>
                </c:pt>
              </c:numCache>
            </c:numRef>
          </c:xVal>
          <c:yVal>
            <c:numRef>
              <c:f>'Reg1'!$T$5:$T$36</c:f>
              <c:numCache>
                <c:formatCode>###.0;\(###.0\);\-</c:formatCode>
                <c:ptCount val="32"/>
                <c:pt idx="0">
                  <c:v>89.3</c:v>
                </c:pt>
                <c:pt idx="1">
                  <c:v>82.1</c:v>
                </c:pt>
                <c:pt idx="2">
                  <c:v>92.9</c:v>
                </c:pt>
                <c:pt idx="3">
                  <c:v>68.8</c:v>
                </c:pt>
                <c:pt idx="4">
                  <c:v>85.7</c:v>
                </c:pt>
                <c:pt idx="5">
                  <c:v>56.3</c:v>
                </c:pt>
                <c:pt idx="6">
                  <c:v>87.5</c:v>
                </c:pt>
                <c:pt idx="7">
                  <c:v>95</c:v>
                </c:pt>
                <c:pt idx="8">
                  <c:v>75</c:v>
                </c:pt>
                <c:pt idx="9">
                  <c:v>90.6</c:v>
                </c:pt>
                <c:pt idx="10">
                  <c:v>87.5</c:v>
                </c:pt>
                <c:pt idx="11">
                  <c:v>81.8</c:v>
                </c:pt>
                <c:pt idx="12">
                  <c:v>72.2</c:v>
                </c:pt>
                <c:pt idx="13">
                  <c:v>50</c:v>
                </c:pt>
                <c:pt idx="14">
                  <c:v>71.400000000000006</c:v>
                </c:pt>
                <c:pt idx="15">
                  <c:v>86.4</c:v>
                </c:pt>
                <c:pt idx="16">
                  <c:v>100</c:v>
                </c:pt>
                <c:pt idx="17">
                  <c:v>59.1</c:v>
                </c:pt>
                <c:pt idx="18">
                  <c:v>75</c:v>
                </c:pt>
                <c:pt idx="19">
                  <c:v>50</c:v>
                </c:pt>
                <c:pt idx="20">
                  <c:v>77.8</c:v>
                </c:pt>
                <c:pt idx="21">
                  <c:v>75</c:v>
                </c:pt>
                <c:pt idx="22">
                  <c:v>85</c:v>
                </c:pt>
                <c:pt idx="23">
                  <c:v>75</c:v>
                </c:pt>
                <c:pt idx="24">
                  <c:v>75</c:v>
                </c:pt>
                <c:pt idx="25">
                  <c:v>58.3</c:v>
                </c:pt>
                <c:pt idx="26">
                  <c:v>91.7</c:v>
                </c:pt>
                <c:pt idx="27">
                  <c:v>83.3</c:v>
                </c:pt>
                <c:pt idx="28">
                  <c:v>11.1</c:v>
                </c:pt>
                <c:pt idx="29">
                  <c:v>71.400000000000006</c:v>
                </c:pt>
                <c:pt idx="30">
                  <c:v>85</c:v>
                </c:pt>
                <c:pt idx="31">
                  <c:v>71.2</c:v>
                </c:pt>
              </c:numCache>
            </c:numRef>
          </c:yVal>
          <c:smooth val="0"/>
        </c:ser>
        <c:dLbls>
          <c:showLegendKey val="0"/>
          <c:showVal val="0"/>
          <c:showCatName val="0"/>
          <c:showSerName val="0"/>
          <c:showPercent val="0"/>
          <c:showBubbleSize val="0"/>
        </c:dLbls>
        <c:axId val="42956768"/>
        <c:axId val="42957312"/>
      </c:scatterChart>
      <c:valAx>
        <c:axId val="42956768"/>
        <c:scaling>
          <c:orientation val="minMax"/>
        </c:scaling>
        <c:delete val="0"/>
        <c:axPos val="b"/>
        <c:majorGridlines>
          <c:spPr>
            <a:ln w="9525" cap="flat" cmpd="sng" algn="ctr">
              <a:solidFill>
                <a:schemeClr val="tx1">
                  <a:lumMod val="15000"/>
                  <a:lumOff val="85000"/>
                </a:schemeClr>
              </a:solidFill>
              <a:prstDash val="sysDot"/>
              <a:round/>
            </a:ln>
            <a:effectLst/>
          </c:spPr>
        </c:majorGridlines>
        <c:numFmt formatCode="###;\(###\);\-" sourceLinked="1"/>
        <c:majorTickMark val="none"/>
        <c:minorTickMark val="none"/>
        <c:tickLblPos val="nextTo"/>
        <c:spPr>
          <a:noFill/>
          <a:ln w="31750"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crossAx val="42957312"/>
        <c:crosses val="autoZero"/>
        <c:crossBetween val="midCat"/>
        <c:majorUnit val="1"/>
      </c:valAx>
      <c:valAx>
        <c:axId val="42957312"/>
        <c:scaling>
          <c:orientation val="minMax"/>
        </c:scaling>
        <c:delete val="0"/>
        <c:axPos val="l"/>
        <c:majorGridlines>
          <c:spPr>
            <a:ln w="9525" cap="flat" cmpd="sng" algn="ctr">
              <a:solidFill>
                <a:schemeClr val="tx1">
                  <a:lumMod val="15000"/>
                  <a:lumOff val="85000"/>
                </a:schemeClr>
              </a:solidFill>
              <a:prstDash val="sysDot"/>
              <a:round/>
            </a:ln>
            <a:effectLst/>
          </c:spPr>
        </c:majorGridlines>
        <c:numFmt formatCode="###.0;\(###.0\);\-" sourceLinked="1"/>
        <c:majorTickMark val="none"/>
        <c:minorTickMark val="none"/>
        <c:tickLblPos val="nextTo"/>
        <c:spPr>
          <a:noFill/>
          <a:ln w="31750"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crossAx val="42956768"/>
        <c:crosses val="autoZero"/>
        <c:crossBetween val="midCat"/>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userShapes r:id="rId3"/>
</c:chartSpace>
</file>

<file path=xl/charts/chart5.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8.8691646302832841E-2"/>
          <c:y val="5.427849150435142E-2"/>
          <c:w val="0.88586007783509824"/>
          <c:h val="0.90303522585992557"/>
        </c:manualLayout>
      </c:layout>
      <c:scatterChart>
        <c:scatterStyle val="lineMarker"/>
        <c:varyColors val="0"/>
        <c:ser>
          <c:idx val="0"/>
          <c:order val="0"/>
          <c:spPr>
            <a:ln w="25400" cap="rnd">
              <a:noFill/>
              <a:round/>
            </a:ln>
            <a:effectLst/>
          </c:spPr>
          <c:marker>
            <c:symbol val="circle"/>
            <c:size val="7"/>
            <c:spPr>
              <a:noFill/>
              <a:ln w="19050">
                <a:solidFill>
                  <a:srgbClr val="EAB200"/>
                </a:solidFill>
              </a:ln>
              <a:effectLst/>
            </c:spPr>
          </c:marker>
          <c:trendline>
            <c:spPr>
              <a:ln w="28575" cap="rnd">
                <a:solidFill>
                  <a:srgbClr val="EAB200"/>
                </a:solidFill>
                <a:prstDash val="sysDot"/>
              </a:ln>
              <a:effectLst/>
            </c:spPr>
            <c:trendlineType val="linear"/>
            <c:dispRSqr val="0"/>
            <c:dispEq val="0"/>
          </c:trendline>
          <c:xVal>
            <c:numRef>
              <c:f>'Reg1'!$S$5:$S$36</c:f>
              <c:numCache>
                <c:formatCode>###;\(###\);\-</c:formatCode>
                <c:ptCount val="32"/>
                <c:pt idx="0">
                  <c:v>7</c:v>
                </c:pt>
                <c:pt idx="1">
                  <c:v>7</c:v>
                </c:pt>
                <c:pt idx="2">
                  <c:v>7</c:v>
                </c:pt>
                <c:pt idx="3">
                  <c:v>4</c:v>
                </c:pt>
                <c:pt idx="4">
                  <c:v>7</c:v>
                </c:pt>
                <c:pt idx="5">
                  <c:v>4</c:v>
                </c:pt>
                <c:pt idx="6">
                  <c:v>4</c:v>
                </c:pt>
                <c:pt idx="7">
                  <c:v>5</c:v>
                </c:pt>
                <c:pt idx="8">
                  <c:v>8</c:v>
                </c:pt>
                <c:pt idx="9">
                  <c:v>8</c:v>
                </c:pt>
                <c:pt idx="10">
                  <c:v>4</c:v>
                </c:pt>
                <c:pt idx="11">
                  <c:v>11</c:v>
                </c:pt>
                <c:pt idx="12">
                  <c:v>9</c:v>
                </c:pt>
                <c:pt idx="13">
                  <c:v>1</c:v>
                </c:pt>
                <c:pt idx="14">
                  <c:v>7</c:v>
                </c:pt>
                <c:pt idx="15">
                  <c:v>11</c:v>
                </c:pt>
                <c:pt idx="16">
                  <c:v>1</c:v>
                </c:pt>
                <c:pt idx="17">
                  <c:v>11</c:v>
                </c:pt>
                <c:pt idx="18">
                  <c:v>6</c:v>
                </c:pt>
                <c:pt idx="19">
                  <c:v>8</c:v>
                </c:pt>
                <c:pt idx="20">
                  <c:v>9</c:v>
                </c:pt>
                <c:pt idx="21">
                  <c:v>4</c:v>
                </c:pt>
                <c:pt idx="22">
                  <c:v>5</c:v>
                </c:pt>
                <c:pt idx="23">
                  <c:v>4</c:v>
                </c:pt>
                <c:pt idx="24">
                  <c:v>1</c:v>
                </c:pt>
                <c:pt idx="25">
                  <c:v>3</c:v>
                </c:pt>
                <c:pt idx="26">
                  <c:v>6</c:v>
                </c:pt>
                <c:pt idx="27">
                  <c:v>6</c:v>
                </c:pt>
                <c:pt idx="28">
                  <c:v>9</c:v>
                </c:pt>
                <c:pt idx="29">
                  <c:v>7</c:v>
                </c:pt>
                <c:pt idx="30">
                  <c:v>5</c:v>
                </c:pt>
                <c:pt idx="31">
                  <c:v>13</c:v>
                </c:pt>
              </c:numCache>
            </c:numRef>
          </c:xVal>
          <c:yVal>
            <c:numRef>
              <c:f>'Reg1'!$V$5:$V$36</c:f>
              <c:numCache>
                <c:formatCode>###.0;\(###.0\);\-</c:formatCode>
                <c:ptCount val="32"/>
                <c:pt idx="0">
                  <c:v>14.230000000000004</c:v>
                </c:pt>
                <c:pt idx="1">
                  <c:v>7.0300000000000011</c:v>
                </c:pt>
                <c:pt idx="2">
                  <c:v>17.830000000000013</c:v>
                </c:pt>
                <c:pt idx="3">
                  <c:v>-8.1989999999999981</c:v>
                </c:pt>
                <c:pt idx="4">
                  <c:v>10.63000000000001</c:v>
                </c:pt>
                <c:pt idx="5">
                  <c:v>-20.698999999999998</c:v>
                </c:pt>
                <c:pt idx="6">
                  <c:v>10.501000000000005</c:v>
                </c:pt>
                <c:pt idx="7">
                  <c:v>18.644000000000005</c:v>
                </c:pt>
                <c:pt idx="8">
                  <c:v>0.5730000000000075</c:v>
                </c:pt>
                <c:pt idx="9">
                  <c:v>16.173000000000002</c:v>
                </c:pt>
                <c:pt idx="10">
                  <c:v>10.501000000000005</c:v>
                </c:pt>
                <c:pt idx="11">
                  <c:v>9.3020000000000067</c:v>
                </c:pt>
                <c:pt idx="12">
                  <c:v>-1.583999999999989</c:v>
                </c:pt>
                <c:pt idx="13">
                  <c:v>-28.927999999999997</c:v>
                </c:pt>
                <c:pt idx="14">
                  <c:v>-3.6699999999999875</c:v>
                </c:pt>
                <c:pt idx="15">
                  <c:v>13.902000000000015</c:v>
                </c:pt>
                <c:pt idx="16">
                  <c:v>21.072000000000003</c:v>
                </c:pt>
                <c:pt idx="17">
                  <c:v>-13.397999999999989</c:v>
                </c:pt>
                <c:pt idx="18">
                  <c:v>-0.71299999999999386</c:v>
                </c:pt>
                <c:pt idx="19">
                  <c:v>-24.426999999999992</c:v>
                </c:pt>
                <c:pt idx="20">
                  <c:v>4.0160000000000053</c:v>
                </c:pt>
                <c:pt idx="21">
                  <c:v>-1.9989999999999952</c:v>
                </c:pt>
                <c:pt idx="22">
                  <c:v>8.6440000000000055</c:v>
                </c:pt>
                <c:pt idx="23">
                  <c:v>-1.9989999999999952</c:v>
                </c:pt>
                <c:pt idx="24">
                  <c:v>-3.9279999999999973</c:v>
                </c:pt>
                <c:pt idx="25">
                  <c:v>-19.341999999999999</c:v>
                </c:pt>
                <c:pt idx="26">
                  <c:v>15.987000000000009</c:v>
                </c:pt>
                <c:pt idx="27">
                  <c:v>7.5870000000000033</c:v>
                </c:pt>
                <c:pt idx="28">
                  <c:v>-62.68399999999999</c:v>
                </c:pt>
                <c:pt idx="29">
                  <c:v>-3.6699999999999875</c:v>
                </c:pt>
                <c:pt idx="30">
                  <c:v>8.6440000000000055</c:v>
                </c:pt>
                <c:pt idx="31">
                  <c:v>-1.2000000000000455E-2</c:v>
                </c:pt>
              </c:numCache>
            </c:numRef>
          </c:yVal>
          <c:smooth val="0"/>
        </c:ser>
        <c:dLbls>
          <c:showLegendKey val="0"/>
          <c:showVal val="0"/>
          <c:showCatName val="0"/>
          <c:showSerName val="0"/>
          <c:showPercent val="0"/>
          <c:showBubbleSize val="0"/>
        </c:dLbls>
        <c:axId val="35484592"/>
        <c:axId val="35484048"/>
      </c:scatterChart>
      <c:valAx>
        <c:axId val="35484592"/>
        <c:scaling>
          <c:orientation val="minMax"/>
        </c:scaling>
        <c:delete val="0"/>
        <c:axPos val="b"/>
        <c:majorGridlines>
          <c:spPr>
            <a:ln w="9525" cap="flat" cmpd="sng" algn="ctr">
              <a:solidFill>
                <a:schemeClr val="tx1">
                  <a:lumMod val="15000"/>
                  <a:lumOff val="85000"/>
                </a:schemeClr>
              </a:solidFill>
              <a:prstDash val="sysDot"/>
              <a:round/>
            </a:ln>
            <a:effectLst/>
          </c:spPr>
        </c:majorGridlines>
        <c:numFmt formatCode="###;\(###\);\-" sourceLinked="1"/>
        <c:majorTickMark val="none"/>
        <c:minorTickMark val="none"/>
        <c:tickLblPos val="nextTo"/>
        <c:spPr>
          <a:noFill/>
          <a:ln w="31750" cap="flat" cmpd="sng" algn="ctr">
            <a:noFill/>
            <a:round/>
          </a:ln>
          <a:effectLst/>
        </c:spPr>
        <c:txPr>
          <a:bodyPr rot="-600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crossAx val="35484048"/>
        <c:crosses val="autoZero"/>
        <c:crossBetween val="midCat"/>
      </c:valAx>
      <c:valAx>
        <c:axId val="35484048"/>
        <c:scaling>
          <c:orientation val="minMax"/>
        </c:scaling>
        <c:delete val="0"/>
        <c:axPos val="l"/>
        <c:majorGridlines>
          <c:spPr>
            <a:ln w="9525" cap="flat" cmpd="sng" algn="ctr">
              <a:solidFill>
                <a:schemeClr val="tx1">
                  <a:lumMod val="15000"/>
                  <a:lumOff val="85000"/>
                </a:schemeClr>
              </a:solidFill>
              <a:prstDash val="sysDot"/>
              <a:round/>
            </a:ln>
            <a:effectLst/>
          </c:spPr>
        </c:majorGridlines>
        <c:numFmt formatCode="###.0;\(###.0\);\-" sourceLinked="1"/>
        <c:majorTickMark val="none"/>
        <c:minorTickMark val="none"/>
        <c:tickLblPos val="nextTo"/>
        <c:spPr>
          <a:noFill/>
          <a:ln w="31750"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crossAx val="35484592"/>
        <c:crosses val="autoZero"/>
        <c:crossBetween val="midCat"/>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1" i="0" u="none" strike="noStrike" kern="1200" cap="all" spc="150" baseline="0">
                <a:solidFill>
                  <a:schemeClr val="tx1">
                    <a:lumMod val="50000"/>
                    <a:lumOff val="50000"/>
                  </a:schemeClr>
                </a:solidFill>
                <a:latin typeface="+mn-lt"/>
                <a:ea typeface="+mn-ea"/>
                <a:cs typeface="+mn-cs"/>
              </a:defRPr>
            </a:pPr>
            <a:r>
              <a:rPr lang="en-US" sz="1200"/>
              <a:t>Residual</a:t>
            </a:r>
            <a:r>
              <a:rPr lang="en-US" sz="1200" baseline="0"/>
              <a:t> run chart</a:t>
            </a:r>
            <a:endParaRPr lang="en-US" sz="1200"/>
          </a:p>
        </c:rich>
      </c:tx>
      <c:layout>
        <c:manualLayout>
          <c:xMode val="edge"/>
          <c:yMode val="edge"/>
          <c:x val="7.7603403022897977E-2"/>
          <c:y val="2.7777777777777776E-2"/>
        </c:manualLayout>
      </c:layout>
      <c:overlay val="0"/>
      <c:spPr>
        <a:noFill/>
        <a:ln>
          <a:noFill/>
        </a:ln>
        <a:effectLst/>
      </c:spPr>
      <c:txPr>
        <a:bodyPr rot="0" spcFirstLastPara="1" vertOverflow="ellipsis" vert="horz" wrap="square" anchor="ctr" anchorCtr="1"/>
        <a:lstStyle/>
        <a:p>
          <a:pPr>
            <a:defRPr sz="1200" b="1" i="0" u="none" strike="noStrike" kern="1200" cap="all" spc="150" baseline="0">
              <a:solidFill>
                <a:schemeClr val="tx1">
                  <a:lumMod val="50000"/>
                  <a:lumOff val="50000"/>
                </a:schemeClr>
              </a:solidFill>
              <a:latin typeface="+mn-lt"/>
              <a:ea typeface="+mn-ea"/>
              <a:cs typeface="+mn-cs"/>
            </a:defRPr>
          </a:pPr>
          <a:endParaRPr lang="en-US"/>
        </a:p>
      </c:txPr>
    </c:title>
    <c:autoTitleDeleted val="0"/>
    <c:plotArea>
      <c:layout>
        <c:manualLayout>
          <c:layoutTarget val="inner"/>
          <c:xMode val="edge"/>
          <c:yMode val="edge"/>
          <c:x val="8.426234151782773E-2"/>
          <c:y val="0.12800925925925924"/>
          <c:w val="0.89017483725430779"/>
          <c:h val="0.82106481481481486"/>
        </c:manualLayout>
      </c:layout>
      <c:lineChart>
        <c:grouping val="standard"/>
        <c:varyColors val="0"/>
        <c:ser>
          <c:idx val="0"/>
          <c:order val="0"/>
          <c:spPr>
            <a:ln w="12700" cap="rnd">
              <a:solidFill>
                <a:srgbClr val="EAB200"/>
              </a:solidFill>
              <a:prstDash val="sysDash"/>
              <a:round/>
            </a:ln>
            <a:effectLst/>
          </c:spPr>
          <c:marker>
            <c:symbol val="circle"/>
            <c:size val="6"/>
            <c:spPr>
              <a:noFill/>
              <a:ln w="15875">
                <a:solidFill>
                  <a:srgbClr val="EAB200"/>
                </a:solidFill>
              </a:ln>
              <a:effectLst/>
            </c:spPr>
          </c:marker>
          <c:val>
            <c:numRef>
              <c:f>'Reg1'!$V$5:$V$36</c:f>
              <c:numCache>
                <c:formatCode>###.0;\(###.0\);\-</c:formatCode>
                <c:ptCount val="32"/>
                <c:pt idx="0">
                  <c:v>14.230000000000004</c:v>
                </c:pt>
                <c:pt idx="1">
                  <c:v>7.0300000000000011</c:v>
                </c:pt>
                <c:pt idx="2">
                  <c:v>17.830000000000013</c:v>
                </c:pt>
                <c:pt idx="3">
                  <c:v>-8.1989999999999981</c:v>
                </c:pt>
                <c:pt idx="4">
                  <c:v>10.63000000000001</c:v>
                </c:pt>
                <c:pt idx="5">
                  <c:v>-20.698999999999998</c:v>
                </c:pt>
                <c:pt idx="6">
                  <c:v>10.501000000000005</c:v>
                </c:pt>
                <c:pt idx="7">
                  <c:v>18.644000000000005</c:v>
                </c:pt>
                <c:pt idx="8">
                  <c:v>0.5730000000000075</c:v>
                </c:pt>
                <c:pt idx="9">
                  <c:v>16.173000000000002</c:v>
                </c:pt>
                <c:pt idx="10">
                  <c:v>10.501000000000005</c:v>
                </c:pt>
                <c:pt idx="11">
                  <c:v>9.3020000000000067</c:v>
                </c:pt>
                <c:pt idx="12">
                  <c:v>-1.583999999999989</c:v>
                </c:pt>
                <c:pt idx="13">
                  <c:v>-28.927999999999997</c:v>
                </c:pt>
                <c:pt idx="14">
                  <c:v>-3.6699999999999875</c:v>
                </c:pt>
                <c:pt idx="15">
                  <c:v>13.902000000000015</c:v>
                </c:pt>
                <c:pt idx="16">
                  <c:v>21.072000000000003</c:v>
                </c:pt>
                <c:pt idx="17">
                  <c:v>-13.397999999999989</c:v>
                </c:pt>
                <c:pt idx="18">
                  <c:v>-0.71299999999999386</c:v>
                </c:pt>
                <c:pt idx="19">
                  <c:v>-24.426999999999992</c:v>
                </c:pt>
                <c:pt idx="20">
                  <c:v>4.0160000000000053</c:v>
                </c:pt>
                <c:pt idx="21">
                  <c:v>-1.9989999999999952</c:v>
                </c:pt>
                <c:pt idx="22">
                  <c:v>8.6440000000000055</c:v>
                </c:pt>
                <c:pt idx="23">
                  <c:v>-1.9989999999999952</c:v>
                </c:pt>
                <c:pt idx="24">
                  <c:v>-3.9279999999999973</c:v>
                </c:pt>
                <c:pt idx="25">
                  <c:v>-19.341999999999999</c:v>
                </c:pt>
                <c:pt idx="26">
                  <c:v>15.987000000000009</c:v>
                </c:pt>
                <c:pt idx="27">
                  <c:v>7.5870000000000033</c:v>
                </c:pt>
                <c:pt idx="28">
                  <c:v>-62.68399999999999</c:v>
                </c:pt>
                <c:pt idx="29">
                  <c:v>-3.6699999999999875</c:v>
                </c:pt>
                <c:pt idx="30">
                  <c:v>8.6440000000000055</c:v>
                </c:pt>
                <c:pt idx="31">
                  <c:v>-1.2000000000000455E-2</c:v>
                </c:pt>
              </c:numCache>
            </c:numRef>
          </c:val>
          <c:smooth val="0"/>
        </c:ser>
        <c:dLbls>
          <c:showLegendKey val="0"/>
          <c:showVal val="0"/>
          <c:showCatName val="0"/>
          <c:showSerName val="0"/>
          <c:showPercent val="0"/>
          <c:showBubbleSize val="0"/>
        </c:dLbls>
        <c:marker val="1"/>
        <c:smooth val="0"/>
        <c:axId val="35482960"/>
        <c:axId val="35481328"/>
      </c:lineChart>
      <c:catAx>
        <c:axId val="35482960"/>
        <c:scaling>
          <c:orientation val="minMax"/>
        </c:scaling>
        <c:delete val="0"/>
        <c:axPos val="b"/>
        <c:numFmt formatCode="General" sourceLinked="1"/>
        <c:majorTickMark val="none"/>
        <c:minorTickMark val="none"/>
        <c:tickLblPos val="nextTo"/>
        <c:spPr>
          <a:noFill/>
          <a:ln w="19050"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481328"/>
        <c:crosses val="autoZero"/>
        <c:auto val="1"/>
        <c:lblAlgn val="ctr"/>
        <c:lblOffset val="100"/>
        <c:noMultiLvlLbl val="0"/>
      </c:catAx>
      <c:valAx>
        <c:axId val="35481328"/>
        <c:scaling>
          <c:orientation val="minMax"/>
        </c:scaling>
        <c:delete val="0"/>
        <c:axPos val="l"/>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482960"/>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8.8691646302832841E-2"/>
          <c:y val="0.12445380577427823"/>
          <c:w val="0.88586007783509824"/>
          <c:h val="0.80128083989501309"/>
        </c:manualLayout>
      </c:layout>
      <c:scatterChart>
        <c:scatterStyle val="lineMarker"/>
        <c:varyColors val="0"/>
        <c:ser>
          <c:idx val="0"/>
          <c:order val="0"/>
          <c:spPr>
            <a:ln w="25400" cap="rnd">
              <a:noFill/>
              <a:round/>
            </a:ln>
            <a:effectLst/>
          </c:spPr>
          <c:marker>
            <c:symbol val="circle"/>
            <c:size val="7"/>
            <c:spPr>
              <a:noFill/>
              <a:ln w="19050">
                <a:solidFill>
                  <a:srgbClr val="0099FF"/>
                </a:solidFill>
              </a:ln>
              <a:effectLst/>
            </c:spPr>
          </c:marker>
          <c:trendline>
            <c:spPr>
              <a:ln w="19050" cap="rnd">
                <a:solidFill>
                  <a:schemeClr val="accent1"/>
                </a:solidFill>
                <a:prstDash val="sysDot"/>
              </a:ln>
              <a:effectLst/>
            </c:spPr>
            <c:trendlineType val="linear"/>
            <c:dispRSqr val="1"/>
            <c:dispEq val="1"/>
            <c:trendlineLbl>
              <c:layout>
                <c:manualLayout>
                  <c:x val="-0.38192977525211491"/>
                  <c:y val="-0.40899038869292864"/>
                </c:manualLayout>
              </c:layout>
              <c:numFmt formatCode="General" sourceLinked="0"/>
              <c:spPr>
                <a:noFill/>
                <a:ln>
                  <a:noFill/>
                </a:ln>
                <a:effectLst/>
              </c:spPr>
              <c:txPr>
                <a:bodyPr rot="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n-US"/>
                </a:p>
              </c:txPr>
            </c:trendlineLbl>
          </c:trendline>
          <c:xVal>
            <c:numRef>
              <c:f>'Reg1'!$AJ$5:$AJ$36</c:f>
              <c:numCache>
                <c:formatCode>###;\(###\);\-</c:formatCode>
                <c:ptCount val="32"/>
                <c:pt idx="0">
                  <c:v>7</c:v>
                </c:pt>
                <c:pt idx="1">
                  <c:v>7</c:v>
                </c:pt>
                <c:pt idx="2">
                  <c:v>7</c:v>
                </c:pt>
                <c:pt idx="3">
                  <c:v>4</c:v>
                </c:pt>
                <c:pt idx="4">
                  <c:v>7</c:v>
                </c:pt>
                <c:pt idx="5">
                  <c:v>4</c:v>
                </c:pt>
                <c:pt idx="6">
                  <c:v>4</c:v>
                </c:pt>
                <c:pt idx="7">
                  <c:v>5</c:v>
                </c:pt>
                <c:pt idx="8">
                  <c:v>8</c:v>
                </c:pt>
                <c:pt idx="9">
                  <c:v>8</c:v>
                </c:pt>
                <c:pt idx="10">
                  <c:v>4</c:v>
                </c:pt>
                <c:pt idx="11">
                  <c:v>11</c:v>
                </c:pt>
                <c:pt idx="12">
                  <c:v>8</c:v>
                </c:pt>
                <c:pt idx="13">
                  <c:v>1</c:v>
                </c:pt>
                <c:pt idx="14">
                  <c:v>7</c:v>
                </c:pt>
                <c:pt idx="15">
                  <c:v>11</c:v>
                </c:pt>
                <c:pt idx="16">
                  <c:v>1</c:v>
                </c:pt>
                <c:pt idx="17">
                  <c:v>11</c:v>
                </c:pt>
                <c:pt idx="18">
                  <c:v>6</c:v>
                </c:pt>
                <c:pt idx="19">
                  <c:v>8</c:v>
                </c:pt>
                <c:pt idx="20">
                  <c:v>9</c:v>
                </c:pt>
                <c:pt idx="21">
                  <c:v>3</c:v>
                </c:pt>
                <c:pt idx="22">
                  <c:v>5</c:v>
                </c:pt>
                <c:pt idx="23">
                  <c:v>4</c:v>
                </c:pt>
                <c:pt idx="24">
                  <c:v>1</c:v>
                </c:pt>
                <c:pt idx="25">
                  <c:v>3</c:v>
                </c:pt>
                <c:pt idx="26">
                  <c:v>6</c:v>
                </c:pt>
                <c:pt idx="27">
                  <c:v>6</c:v>
                </c:pt>
                <c:pt idx="28">
                  <c:v>9</c:v>
                </c:pt>
                <c:pt idx="29">
                  <c:v>7</c:v>
                </c:pt>
                <c:pt idx="30">
                  <c:v>5</c:v>
                </c:pt>
                <c:pt idx="31">
                  <c:v>13</c:v>
                </c:pt>
              </c:numCache>
            </c:numRef>
          </c:xVal>
          <c:yVal>
            <c:numRef>
              <c:f>'Reg1'!$AK$5:$AK$36</c:f>
              <c:numCache>
                <c:formatCode>###.0;\(###.0\);\-</c:formatCode>
                <c:ptCount val="32"/>
                <c:pt idx="0">
                  <c:v>89.3</c:v>
                </c:pt>
                <c:pt idx="1">
                  <c:v>78.599999999999994</c:v>
                </c:pt>
                <c:pt idx="2">
                  <c:v>96.4</c:v>
                </c:pt>
                <c:pt idx="3">
                  <c:v>62.5</c:v>
                </c:pt>
                <c:pt idx="4">
                  <c:v>78.599999999999994</c:v>
                </c:pt>
                <c:pt idx="5">
                  <c:v>50</c:v>
                </c:pt>
                <c:pt idx="6">
                  <c:v>87.5</c:v>
                </c:pt>
                <c:pt idx="7">
                  <c:v>80</c:v>
                </c:pt>
                <c:pt idx="8">
                  <c:v>71.900000000000006</c:v>
                </c:pt>
                <c:pt idx="9">
                  <c:v>93.8</c:v>
                </c:pt>
                <c:pt idx="10">
                  <c:v>93.8</c:v>
                </c:pt>
                <c:pt idx="11">
                  <c:v>75</c:v>
                </c:pt>
                <c:pt idx="12">
                  <c:v>65.599999999999994</c:v>
                </c:pt>
                <c:pt idx="13">
                  <c:v>75</c:v>
                </c:pt>
                <c:pt idx="14">
                  <c:v>60.7</c:v>
                </c:pt>
                <c:pt idx="15">
                  <c:v>88.6</c:v>
                </c:pt>
                <c:pt idx="16">
                  <c:v>100</c:v>
                </c:pt>
                <c:pt idx="17">
                  <c:v>50</c:v>
                </c:pt>
                <c:pt idx="18">
                  <c:v>66.7</c:v>
                </c:pt>
                <c:pt idx="19">
                  <c:v>50</c:v>
                </c:pt>
                <c:pt idx="20">
                  <c:v>80.599999999999994</c:v>
                </c:pt>
                <c:pt idx="21">
                  <c:v>75</c:v>
                </c:pt>
                <c:pt idx="22">
                  <c:v>80</c:v>
                </c:pt>
                <c:pt idx="23">
                  <c:v>81.3</c:v>
                </c:pt>
                <c:pt idx="24">
                  <c:v>75</c:v>
                </c:pt>
                <c:pt idx="25">
                  <c:v>58.3</c:v>
                </c:pt>
                <c:pt idx="26">
                  <c:v>100</c:v>
                </c:pt>
                <c:pt idx="27">
                  <c:v>79.2</c:v>
                </c:pt>
                <c:pt idx="28">
                  <c:v>11.1</c:v>
                </c:pt>
                <c:pt idx="29">
                  <c:v>75</c:v>
                </c:pt>
                <c:pt idx="30">
                  <c:v>85</c:v>
                </c:pt>
                <c:pt idx="31">
                  <c:v>67.3</c:v>
                </c:pt>
              </c:numCache>
            </c:numRef>
          </c:yVal>
          <c:smooth val="0"/>
        </c:ser>
        <c:dLbls>
          <c:showLegendKey val="0"/>
          <c:showVal val="0"/>
          <c:showCatName val="0"/>
          <c:showSerName val="0"/>
          <c:showPercent val="0"/>
          <c:showBubbleSize val="0"/>
        </c:dLbls>
        <c:axId val="35486224"/>
        <c:axId val="35481872"/>
      </c:scatterChart>
      <c:valAx>
        <c:axId val="35486224"/>
        <c:scaling>
          <c:orientation val="minMax"/>
        </c:scaling>
        <c:delete val="0"/>
        <c:axPos val="b"/>
        <c:majorGridlines>
          <c:spPr>
            <a:ln w="9525" cap="flat" cmpd="sng" algn="ctr">
              <a:solidFill>
                <a:schemeClr val="tx1">
                  <a:lumMod val="15000"/>
                  <a:lumOff val="85000"/>
                </a:schemeClr>
              </a:solidFill>
              <a:prstDash val="sysDot"/>
              <a:round/>
            </a:ln>
            <a:effectLst/>
          </c:spPr>
        </c:majorGridlines>
        <c:numFmt formatCode="###;\(###\);\-" sourceLinked="1"/>
        <c:majorTickMark val="none"/>
        <c:minorTickMark val="none"/>
        <c:tickLblPos val="nextTo"/>
        <c:spPr>
          <a:noFill/>
          <a:ln w="31750"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crossAx val="35481872"/>
        <c:crosses val="autoZero"/>
        <c:crossBetween val="midCat"/>
        <c:majorUnit val="1"/>
      </c:valAx>
      <c:valAx>
        <c:axId val="35481872"/>
        <c:scaling>
          <c:orientation val="minMax"/>
        </c:scaling>
        <c:delete val="0"/>
        <c:axPos val="l"/>
        <c:majorGridlines>
          <c:spPr>
            <a:ln w="9525" cap="flat" cmpd="sng" algn="ctr">
              <a:solidFill>
                <a:schemeClr val="tx1">
                  <a:lumMod val="15000"/>
                  <a:lumOff val="85000"/>
                </a:schemeClr>
              </a:solidFill>
              <a:prstDash val="sysDot"/>
              <a:round/>
            </a:ln>
            <a:effectLst/>
          </c:spPr>
        </c:majorGridlines>
        <c:numFmt formatCode="###.0;\(###.0\);\-" sourceLinked="1"/>
        <c:majorTickMark val="none"/>
        <c:minorTickMark val="none"/>
        <c:tickLblPos val="nextTo"/>
        <c:spPr>
          <a:noFill/>
          <a:ln w="31750"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crossAx val="35486224"/>
        <c:crosses val="autoZero"/>
        <c:crossBetween val="midCat"/>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userShapes r:id="rId3"/>
</c:chartSpace>
</file>

<file path=xl/charts/chart8.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8.8691646302832841E-2"/>
          <c:y val="5.427849150435142E-2"/>
          <c:w val="0.88586007783509824"/>
          <c:h val="0.90303522585992557"/>
        </c:manualLayout>
      </c:layout>
      <c:scatterChart>
        <c:scatterStyle val="lineMarker"/>
        <c:varyColors val="0"/>
        <c:ser>
          <c:idx val="0"/>
          <c:order val="0"/>
          <c:spPr>
            <a:ln w="25400" cap="rnd">
              <a:noFill/>
              <a:round/>
            </a:ln>
            <a:effectLst/>
          </c:spPr>
          <c:marker>
            <c:symbol val="circle"/>
            <c:size val="7"/>
            <c:spPr>
              <a:noFill/>
              <a:ln w="19050">
                <a:solidFill>
                  <a:srgbClr val="EAB200"/>
                </a:solidFill>
              </a:ln>
              <a:effectLst/>
            </c:spPr>
          </c:marker>
          <c:trendline>
            <c:spPr>
              <a:ln w="28575" cap="rnd">
                <a:solidFill>
                  <a:srgbClr val="EAB200"/>
                </a:solidFill>
                <a:prstDash val="sysDot"/>
              </a:ln>
              <a:effectLst/>
            </c:spPr>
            <c:trendlineType val="linear"/>
            <c:dispRSqr val="0"/>
            <c:dispEq val="0"/>
          </c:trendline>
          <c:xVal>
            <c:numRef>
              <c:f>'Reg1'!$AJ$5:$AJ$36</c:f>
              <c:numCache>
                <c:formatCode>###;\(###\);\-</c:formatCode>
                <c:ptCount val="32"/>
                <c:pt idx="0">
                  <c:v>7</c:v>
                </c:pt>
                <c:pt idx="1">
                  <c:v>7</c:v>
                </c:pt>
                <c:pt idx="2">
                  <c:v>7</c:v>
                </c:pt>
                <c:pt idx="3">
                  <c:v>4</c:v>
                </c:pt>
                <c:pt idx="4">
                  <c:v>7</c:v>
                </c:pt>
                <c:pt idx="5">
                  <c:v>4</c:v>
                </c:pt>
                <c:pt idx="6">
                  <c:v>4</c:v>
                </c:pt>
                <c:pt idx="7">
                  <c:v>5</c:v>
                </c:pt>
                <c:pt idx="8">
                  <c:v>8</c:v>
                </c:pt>
                <c:pt idx="9">
                  <c:v>8</c:v>
                </c:pt>
                <c:pt idx="10">
                  <c:v>4</c:v>
                </c:pt>
                <c:pt idx="11">
                  <c:v>11</c:v>
                </c:pt>
                <c:pt idx="12">
                  <c:v>8</c:v>
                </c:pt>
                <c:pt idx="13">
                  <c:v>1</c:v>
                </c:pt>
                <c:pt idx="14">
                  <c:v>7</c:v>
                </c:pt>
                <c:pt idx="15">
                  <c:v>11</c:v>
                </c:pt>
                <c:pt idx="16">
                  <c:v>1</c:v>
                </c:pt>
                <c:pt idx="17">
                  <c:v>11</c:v>
                </c:pt>
                <c:pt idx="18">
                  <c:v>6</c:v>
                </c:pt>
                <c:pt idx="19">
                  <c:v>8</c:v>
                </c:pt>
                <c:pt idx="20">
                  <c:v>9</c:v>
                </c:pt>
                <c:pt idx="21">
                  <c:v>3</c:v>
                </c:pt>
                <c:pt idx="22">
                  <c:v>5</c:v>
                </c:pt>
                <c:pt idx="23">
                  <c:v>4</c:v>
                </c:pt>
                <c:pt idx="24">
                  <c:v>1</c:v>
                </c:pt>
                <c:pt idx="25">
                  <c:v>3</c:v>
                </c:pt>
                <c:pt idx="26">
                  <c:v>6</c:v>
                </c:pt>
                <c:pt idx="27">
                  <c:v>6</c:v>
                </c:pt>
                <c:pt idx="28">
                  <c:v>9</c:v>
                </c:pt>
                <c:pt idx="29">
                  <c:v>7</c:v>
                </c:pt>
                <c:pt idx="30">
                  <c:v>5</c:v>
                </c:pt>
                <c:pt idx="31">
                  <c:v>13</c:v>
                </c:pt>
              </c:numCache>
            </c:numRef>
          </c:xVal>
          <c:yVal>
            <c:numRef>
              <c:f>'Reg1'!$AM$5:$AM$36</c:f>
              <c:numCache>
                <c:formatCode>###.0;\(###.0\);\-</c:formatCode>
                <c:ptCount val="32"/>
                <c:pt idx="0">
                  <c:v>15.907799999999995</c:v>
                </c:pt>
                <c:pt idx="1">
                  <c:v>5.2077999999999918</c:v>
                </c:pt>
                <c:pt idx="2">
                  <c:v>23.007800000000003</c:v>
                </c:pt>
                <c:pt idx="3">
                  <c:v>-15.048400000000001</c:v>
                </c:pt>
                <c:pt idx="4">
                  <c:v>5.2077999999999918</c:v>
                </c:pt>
                <c:pt idx="5">
                  <c:v>-27.548400000000001</c:v>
                </c:pt>
                <c:pt idx="6">
                  <c:v>9.9515999999999991</c:v>
                </c:pt>
                <c:pt idx="7">
                  <c:v>3.8369999999999891</c:v>
                </c:pt>
                <c:pt idx="8">
                  <c:v>-0.10679999999999268</c:v>
                </c:pt>
                <c:pt idx="9">
                  <c:v>21.793199999999999</c:v>
                </c:pt>
                <c:pt idx="10">
                  <c:v>16.251599999999996</c:v>
                </c:pt>
                <c:pt idx="11">
                  <c:v>7.1494</c:v>
                </c:pt>
                <c:pt idx="12">
                  <c:v>-6.406800000000004</c:v>
                </c:pt>
                <c:pt idx="13">
                  <c:v>-6.7045999999999992</c:v>
                </c:pt>
                <c:pt idx="14">
                  <c:v>-12.6922</c:v>
                </c:pt>
                <c:pt idx="15">
                  <c:v>20.749399999999994</c:v>
                </c:pt>
                <c:pt idx="16">
                  <c:v>18.295400000000001</c:v>
                </c:pt>
                <c:pt idx="17">
                  <c:v>-17.8506</c:v>
                </c:pt>
                <c:pt idx="18">
                  <c:v>-8.0776000000000039</c:v>
                </c:pt>
                <c:pt idx="19">
                  <c:v>-22.006799999999998</c:v>
                </c:pt>
                <c:pt idx="20">
                  <c:v>9.9785999999999859</c:v>
                </c:pt>
                <c:pt idx="21">
                  <c:v>-3.9338000000000051</c:v>
                </c:pt>
                <c:pt idx="22">
                  <c:v>3.8369999999999891</c:v>
                </c:pt>
                <c:pt idx="23">
                  <c:v>3.7515999999999963</c:v>
                </c:pt>
                <c:pt idx="24">
                  <c:v>-6.7045999999999992</c:v>
                </c:pt>
                <c:pt idx="25">
                  <c:v>-20.633800000000008</c:v>
                </c:pt>
                <c:pt idx="26">
                  <c:v>25.222399999999993</c:v>
                </c:pt>
                <c:pt idx="27">
                  <c:v>4.4223999999999961</c:v>
                </c:pt>
                <c:pt idx="28">
                  <c:v>-59.521400000000007</c:v>
                </c:pt>
                <c:pt idx="29">
                  <c:v>1.6077999999999975</c:v>
                </c:pt>
                <c:pt idx="30">
                  <c:v>8.8369999999999891</c:v>
                </c:pt>
                <c:pt idx="31">
                  <c:v>2.2201999999999913</c:v>
                </c:pt>
              </c:numCache>
            </c:numRef>
          </c:yVal>
          <c:smooth val="0"/>
        </c:ser>
        <c:dLbls>
          <c:showLegendKey val="0"/>
          <c:showVal val="0"/>
          <c:showCatName val="0"/>
          <c:showSerName val="0"/>
          <c:showPercent val="0"/>
          <c:showBubbleSize val="0"/>
        </c:dLbls>
        <c:axId val="35480240"/>
        <c:axId val="35480784"/>
      </c:scatterChart>
      <c:valAx>
        <c:axId val="35480240"/>
        <c:scaling>
          <c:orientation val="minMax"/>
        </c:scaling>
        <c:delete val="0"/>
        <c:axPos val="b"/>
        <c:majorGridlines>
          <c:spPr>
            <a:ln w="9525" cap="flat" cmpd="sng" algn="ctr">
              <a:solidFill>
                <a:schemeClr val="tx1">
                  <a:lumMod val="15000"/>
                  <a:lumOff val="85000"/>
                </a:schemeClr>
              </a:solidFill>
              <a:prstDash val="sysDot"/>
              <a:round/>
            </a:ln>
            <a:effectLst/>
          </c:spPr>
        </c:majorGridlines>
        <c:numFmt formatCode="###;\(###\);\-" sourceLinked="1"/>
        <c:majorTickMark val="none"/>
        <c:minorTickMark val="none"/>
        <c:tickLblPos val="nextTo"/>
        <c:spPr>
          <a:noFill/>
          <a:ln w="31750" cap="flat" cmpd="sng" algn="ctr">
            <a:noFill/>
            <a:round/>
          </a:ln>
          <a:effectLst/>
        </c:spPr>
        <c:txPr>
          <a:bodyPr rot="-600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crossAx val="35480784"/>
        <c:crosses val="autoZero"/>
        <c:crossBetween val="midCat"/>
      </c:valAx>
      <c:valAx>
        <c:axId val="35480784"/>
        <c:scaling>
          <c:orientation val="minMax"/>
        </c:scaling>
        <c:delete val="0"/>
        <c:axPos val="l"/>
        <c:majorGridlines>
          <c:spPr>
            <a:ln w="9525" cap="flat" cmpd="sng" algn="ctr">
              <a:solidFill>
                <a:schemeClr val="tx1">
                  <a:lumMod val="15000"/>
                  <a:lumOff val="85000"/>
                </a:schemeClr>
              </a:solidFill>
              <a:prstDash val="sysDot"/>
              <a:round/>
            </a:ln>
            <a:effectLst/>
          </c:spPr>
        </c:majorGridlines>
        <c:numFmt formatCode="###.0;\(###.0\);\-" sourceLinked="1"/>
        <c:majorTickMark val="none"/>
        <c:minorTickMark val="none"/>
        <c:tickLblPos val="nextTo"/>
        <c:spPr>
          <a:noFill/>
          <a:ln w="31750"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crossAx val="35480240"/>
        <c:crosses val="autoZero"/>
        <c:crossBetween val="midCat"/>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1" i="0" u="none" strike="noStrike" kern="1200" cap="all" spc="150" baseline="0">
                <a:solidFill>
                  <a:schemeClr val="tx1">
                    <a:lumMod val="50000"/>
                    <a:lumOff val="50000"/>
                  </a:schemeClr>
                </a:solidFill>
                <a:latin typeface="+mn-lt"/>
                <a:ea typeface="+mn-ea"/>
                <a:cs typeface="+mn-cs"/>
              </a:defRPr>
            </a:pPr>
            <a:r>
              <a:rPr lang="en-US" sz="1200"/>
              <a:t>Residual</a:t>
            </a:r>
            <a:r>
              <a:rPr lang="en-US" sz="1200" baseline="0"/>
              <a:t> run chart</a:t>
            </a:r>
            <a:endParaRPr lang="en-US" sz="1200"/>
          </a:p>
        </c:rich>
      </c:tx>
      <c:layout>
        <c:manualLayout>
          <c:xMode val="edge"/>
          <c:yMode val="edge"/>
          <c:x val="7.7603403022897977E-2"/>
          <c:y val="2.7777777777777776E-2"/>
        </c:manualLayout>
      </c:layout>
      <c:overlay val="0"/>
      <c:spPr>
        <a:noFill/>
        <a:ln>
          <a:noFill/>
        </a:ln>
        <a:effectLst/>
      </c:spPr>
      <c:txPr>
        <a:bodyPr rot="0" spcFirstLastPara="1" vertOverflow="ellipsis" vert="horz" wrap="square" anchor="ctr" anchorCtr="1"/>
        <a:lstStyle/>
        <a:p>
          <a:pPr>
            <a:defRPr sz="1200" b="1" i="0" u="none" strike="noStrike" kern="1200" cap="all" spc="150" baseline="0">
              <a:solidFill>
                <a:schemeClr val="tx1">
                  <a:lumMod val="50000"/>
                  <a:lumOff val="50000"/>
                </a:schemeClr>
              </a:solidFill>
              <a:latin typeface="+mn-lt"/>
              <a:ea typeface="+mn-ea"/>
              <a:cs typeface="+mn-cs"/>
            </a:defRPr>
          </a:pPr>
          <a:endParaRPr lang="en-US"/>
        </a:p>
      </c:txPr>
    </c:title>
    <c:autoTitleDeleted val="0"/>
    <c:plotArea>
      <c:layout>
        <c:manualLayout>
          <c:layoutTarget val="inner"/>
          <c:xMode val="edge"/>
          <c:yMode val="edge"/>
          <c:x val="8.426234151782773E-2"/>
          <c:y val="0.12800925925925924"/>
          <c:w val="0.89017483725430779"/>
          <c:h val="0.82106481481481486"/>
        </c:manualLayout>
      </c:layout>
      <c:lineChart>
        <c:grouping val="standard"/>
        <c:varyColors val="0"/>
        <c:ser>
          <c:idx val="0"/>
          <c:order val="0"/>
          <c:spPr>
            <a:ln w="12700" cap="rnd">
              <a:solidFill>
                <a:srgbClr val="D2A000"/>
              </a:solidFill>
              <a:prstDash val="sysDash"/>
              <a:round/>
            </a:ln>
            <a:effectLst/>
          </c:spPr>
          <c:marker>
            <c:symbol val="circle"/>
            <c:size val="6"/>
            <c:spPr>
              <a:noFill/>
              <a:ln w="15875">
                <a:solidFill>
                  <a:srgbClr val="EAB200"/>
                </a:solidFill>
              </a:ln>
              <a:effectLst/>
            </c:spPr>
          </c:marker>
          <c:val>
            <c:numRef>
              <c:f>'Reg1'!$AM$5:$AM$36</c:f>
              <c:numCache>
                <c:formatCode>###.0;\(###.0\);\-</c:formatCode>
                <c:ptCount val="32"/>
                <c:pt idx="0">
                  <c:v>15.907799999999995</c:v>
                </c:pt>
                <c:pt idx="1">
                  <c:v>5.2077999999999918</c:v>
                </c:pt>
                <c:pt idx="2">
                  <c:v>23.007800000000003</c:v>
                </c:pt>
                <c:pt idx="3">
                  <c:v>-15.048400000000001</c:v>
                </c:pt>
                <c:pt idx="4">
                  <c:v>5.2077999999999918</c:v>
                </c:pt>
                <c:pt idx="5">
                  <c:v>-27.548400000000001</c:v>
                </c:pt>
                <c:pt idx="6">
                  <c:v>9.9515999999999991</c:v>
                </c:pt>
                <c:pt idx="7">
                  <c:v>3.8369999999999891</c:v>
                </c:pt>
                <c:pt idx="8">
                  <c:v>-0.10679999999999268</c:v>
                </c:pt>
                <c:pt idx="9">
                  <c:v>21.793199999999999</c:v>
                </c:pt>
                <c:pt idx="10">
                  <c:v>16.251599999999996</c:v>
                </c:pt>
                <c:pt idx="11">
                  <c:v>7.1494</c:v>
                </c:pt>
                <c:pt idx="12">
                  <c:v>-6.406800000000004</c:v>
                </c:pt>
                <c:pt idx="13">
                  <c:v>-6.7045999999999992</c:v>
                </c:pt>
                <c:pt idx="14">
                  <c:v>-12.6922</c:v>
                </c:pt>
                <c:pt idx="15">
                  <c:v>20.749399999999994</c:v>
                </c:pt>
                <c:pt idx="16">
                  <c:v>18.295400000000001</c:v>
                </c:pt>
                <c:pt idx="17">
                  <c:v>-17.8506</c:v>
                </c:pt>
                <c:pt idx="18">
                  <c:v>-8.0776000000000039</c:v>
                </c:pt>
                <c:pt idx="19">
                  <c:v>-22.006799999999998</c:v>
                </c:pt>
                <c:pt idx="20">
                  <c:v>9.9785999999999859</c:v>
                </c:pt>
                <c:pt idx="21">
                  <c:v>-3.9338000000000051</c:v>
                </c:pt>
                <c:pt idx="22">
                  <c:v>3.8369999999999891</c:v>
                </c:pt>
                <c:pt idx="23">
                  <c:v>3.7515999999999963</c:v>
                </c:pt>
                <c:pt idx="24">
                  <c:v>-6.7045999999999992</c:v>
                </c:pt>
                <c:pt idx="25">
                  <c:v>-20.633800000000008</c:v>
                </c:pt>
                <c:pt idx="26">
                  <c:v>25.222399999999993</c:v>
                </c:pt>
                <c:pt idx="27">
                  <c:v>4.4223999999999961</c:v>
                </c:pt>
                <c:pt idx="28">
                  <c:v>-59.521400000000007</c:v>
                </c:pt>
                <c:pt idx="29">
                  <c:v>1.6077999999999975</c:v>
                </c:pt>
                <c:pt idx="30">
                  <c:v>8.8369999999999891</c:v>
                </c:pt>
                <c:pt idx="31">
                  <c:v>2.2201999999999913</c:v>
                </c:pt>
              </c:numCache>
            </c:numRef>
          </c:val>
          <c:smooth val="0"/>
        </c:ser>
        <c:dLbls>
          <c:showLegendKey val="0"/>
          <c:showVal val="0"/>
          <c:showCatName val="0"/>
          <c:showSerName val="0"/>
          <c:showPercent val="0"/>
          <c:showBubbleSize val="0"/>
        </c:dLbls>
        <c:marker val="1"/>
        <c:smooth val="0"/>
        <c:axId val="29249392"/>
        <c:axId val="29249936"/>
      </c:lineChart>
      <c:catAx>
        <c:axId val="29249392"/>
        <c:scaling>
          <c:orientation val="minMax"/>
        </c:scaling>
        <c:delete val="0"/>
        <c:axPos val="b"/>
        <c:numFmt formatCode="General" sourceLinked="1"/>
        <c:majorTickMark val="none"/>
        <c:minorTickMark val="none"/>
        <c:tickLblPos val="nextTo"/>
        <c:spPr>
          <a:noFill/>
          <a:ln w="19050"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9249936"/>
        <c:crosses val="autoZero"/>
        <c:auto val="1"/>
        <c:lblAlgn val="ctr"/>
        <c:lblOffset val="100"/>
        <c:noMultiLvlLbl val="0"/>
      </c:catAx>
      <c:valAx>
        <c:axId val="29249936"/>
        <c:scaling>
          <c:orientation val="minMax"/>
        </c:scaling>
        <c:delete val="0"/>
        <c:axPos val="l"/>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9249392"/>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8.8691646302832841E-2"/>
          <c:y val="0.12445380577427823"/>
          <c:w val="0.88586007783509824"/>
          <c:h val="0.80128083989501309"/>
        </c:manualLayout>
      </c:layout>
      <c:scatterChart>
        <c:scatterStyle val="lineMarker"/>
        <c:varyColors val="0"/>
        <c:ser>
          <c:idx val="0"/>
          <c:order val="0"/>
          <c:spPr>
            <a:ln w="25400" cap="rnd">
              <a:noFill/>
              <a:round/>
            </a:ln>
            <a:effectLst/>
          </c:spPr>
          <c:marker>
            <c:symbol val="circle"/>
            <c:size val="7"/>
            <c:spPr>
              <a:noFill/>
              <a:ln w="19050">
                <a:solidFill>
                  <a:srgbClr val="0099FF"/>
                </a:solidFill>
              </a:ln>
              <a:effectLst/>
            </c:spPr>
          </c:marker>
          <c:trendline>
            <c:spPr>
              <a:ln w="19050" cap="rnd">
                <a:solidFill>
                  <a:schemeClr val="accent1"/>
                </a:solidFill>
                <a:prstDash val="sysDot"/>
              </a:ln>
              <a:effectLst/>
            </c:spPr>
            <c:trendlineType val="linear"/>
            <c:dispRSqr val="1"/>
            <c:dispEq val="1"/>
            <c:trendlineLbl>
              <c:layout>
                <c:manualLayout>
                  <c:x val="-0.38192977525211491"/>
                  <c:y val="-0.40899038869292864"/>
                </c:manualLayout>
              </c:layout>
              <c:numFmt formatCode="General" sourceLinked="0"/>
              <c:spPr>
                <a:noFill/>
                <a:ln>
                  <a:noFill/>
                </a:ln>
                <a:effectLst/>
              </c:spPr>
              <c:txPr>
                <a:bodyPr rot="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n-US"/>
                </a:p>
              </c:txPr>
            </c:trendlineLbl>
          </c:trendline>
          <c:xVal>
            <c:numRef>
              <c:f>'Reg1'!$BA$5:$BA$36</c:f>
              <c:numCache>
                <c:formatCode>###;\(###\);\-</c:formatCode>
                <c:ptCount val="32"/>
                <c:pt idx="0">
                  <c:v>7</c:v>
                </c:pt>
                <c:pt idx="1">
                  <c:v>7</c:v>
                </c:pt>
                <c:pt idx="2">
                  <c:v>7</c:v>
                </c:pt>
                <c:pt idx="3">
                  <c:v>4</c:v>
                </c:pt>
                <c:pt idx="4">
                  <c:v>7</c:v>
                </c:pt>
                <c:pt idx="5">
                  <c:v>4</c:v>
                </c:pt>
                <c:pt idx="6">
                  <c:v>4</c:v>
                </c:pt>
                <c:pt idx="7">
                  <c:v>5</c:v>
                </c:pt>
                <c:pt idx="8">
                  <c:v>8</c:v>
                </c:pt>
                <c:pt idx="9">
                  <c:v>8</c:v>
                </c:pt>
                <c:pt idx="10">
                  <c:v>4</c:v>
                </c:pt>
                <c:pt idx="11">
                  <c:v>11</c:v>
                </c:pt>
                <c:pt idx="12">
                  <c:v>9</c:v>
                </c:pt>
                <c:pt idx="13">
                  <c:v>1</c:v>
                </c:pt>
                <c:pt idx="14">
                  <c:v>7</c:v>
                </c:pt>
                <c:pt idx="15">
                  <c:v>11</c:v>
                </c:pt>
                <c:pt idx="16">
                  <c:v>1</c:v>
                </c:pt>
                <c:pt idx="17">
                  <c:v>11</c:v>
                </c:pt>
                <c:pt idx="18">
                  <c:v>6</c:v>
                </c:pt>
                <c:pt idx="19">
                  <c:v>8</c:v>
                </c:pt>
                <c:pt idx="20">
                  <c:v>9</c:v>
                </c:pt>
                <c:pt idx="21">
                  <c:v>4</c:v>
                </c:pt>
                <c:pt idx="22">
                  <c:v>5</c:v>
                </c:pt>
                <c:pt idx="23">
                  <c:v>4</c:v>
                </c:pt>
                <c:pt idx="24">
                  <c:v>1</c:v>
                </c:pt>
                <c:pt idx="25">
                  <c:v>3</c:v>
                </c:pt>
                <c:pt idx="26">
                  <c:v>6</c:v>
                </c:pt>
                <c:pt idx="27">
                  <c:v>6</c:v>
                </c:pt>
                <c:pt idx="28">
                  <c:v>9</c:v>
                </c:pt>
                <c:pt idx="29">
                  <c:v>7</c:v>
                </c:pt>
                <c:pt idx="30">
                  <c:v>5</c:v>
                </c:pt>
                <c:pt idx="31">
                  <c:v>13</c:v>
                </c:pt>
              </c:numCache>
            </c:numRef>
          </c:xVal>
          <c:yVal>
            <c:numRef>
              <c:f>'Reg1'!$BB$5:$BB$36</c:f>
              <c:numCache>
                <c:formatCode>###.0;\(###.0\);\-</c:formatCode>
                <c:ptCount val="32"/>
                <c:pt idx="0">
                  <c:v>85.7</c:v>
                </c:pt>
                <c:pt idx="1">
                  <c:v>82.1</c:v>
                </c:pt>
                <c:pt idx="2">
                  <c:v>92.9</c:v>
                </c:pt>
                <c:pt idx="3">
                  <c:v>68.8</c:v>
                </c:pt>
                <c:pt idx="4">
                  <c:v>85.7</c:v>
                </c:pt>
                <c:pt idx="5">
                  <c:v>50</c:v>
                </c:pt>
                <c:pt idx="6">
                  <c:v>93.8</c:v>
                </c:pt>
                <c:pt idx="7">
                  <c:v>90</c:v>
                </c:pt>
                <c:pt idx="8">
                  <c:v>78.099999999999994</c:v>
                </c:pt>
                <c:pt idx="9">
                  <c:v>93.8</c:v>
                </c:pt>
                <c:pt idx="10">
                  <c:v>93.8</c:v>
                </c:pt>
                <c:pt idx="11">
                  <c:v>88.6</c:v>
                </c:pt>
                <c:pt idx="12">
                  <c:v>80.599999999999994</c:v>
                </c:pt>
                <c:pt idx="13">
                  <c:v>75</c:v>
                </c:pt>
                <c:pt idx="14">
                  <c:v>71.400000000000006</c:v>
                </c:pt>
                <c:pt idx="15">
                  <c:v>86.4</c:v>
                </c:pt>
                <c:pt idx="16">
                  <c:v>100</c:v>
                </c:pt>
                <c:pt idx="17">
                  <c:v>61.4</c:v>
                </c:pt>
                <c:pt idx="18">
                  <c:v>83.3</c:v>
                </c:pt>
                <c:pt idx="19">
                  <c:v>59.4</c:v>
                </c:pt>
                <c:pt idx="20">
                  <c:v>88.9</c:v>
                </c:pt>
                <c:pt idx="21">
                  <c:v>81.3</c:v>
                </c:pt>
                <c:pt idx="22">
                  <c:v>85</c:v>
                </c:pt>
                <c:pt idx="23">
                  <c:v>93.8</c:v>
                </c:pt>
                <c:pt idx="24">
                  <c:v>75</c:v>
                </c:pt>
                <c:pt idx="25">
                  <c:v>58.3</c:v>
                </c:pt>
                <c:pt idx="26">
                  <c:v>100</c:v>
                </c:pt>
                <c:pt idx="27">
                  <c:v>87.5</c:v>
                </c:pt>
                <c:pt idx="28">
                  <c:v>16.7</c:v>
                </c:pt>
                <c:pt idx="29">
                  <c:v>82.1</c:v>
                </c:pt>
                <c:pt idx="30">
                  <c:v>90</c:v>
                </c:pt>
                <c:pt idx="31">
                  <c:v>71.2</c:v>
                </c:pt>
              </c:numCache>
            </c:numRef>
          </c:yVal>
          <c:smooth val="0"/>
        </c:ser>
        <c:dLbls>
          <c:showLegendKey val="0"/>
          <c:showVal val="0"/>
          <c:showCatName val="0"/>
          <c:showSerName val="0"/>
          <c:showPercent val="0"/>
          <c:showBubbleSize val="0"/>
        </c:dLbls>
        <c:axId val="29252112"/>
        <c:axId val="29250480"/>
      </c:scatterChart>
      <c:valAx>
        <c:axId val="29252112"/>
        <c:scaling>
          <c:orientation val="minMax"/>
        </c:scaling>
        <c:delete val="0"/>
        <c:axPos val="b"/>
        <c:majorGridlines>
          <c:spPr>
            <a:ln w="9525" cap="flat" cmpd="sng" algn="ctr">
              <a:solidFill>
                <a:schemeClr val="tx1">
                  <a:lumMod val="15000"/>
                  <a:lumOff val="85000"/>
                </a:schemeClr>
              </a:solidFill>
              <a:prstDash val="sysDot"/>
              <a:round/>
            </a:ln>
            <a:effectLst/>
          </c:spPr>
        </c:majorGridlines>
        <c:numFmt formatCode="###;\(###\);\-" sourceLinked="1"/>
        <c:majorTickMark val="none"/>
        <c:minorTickMark val="none"/>
        <c:tickLblPos val="nextTo"/>
        <c:spPr>
          <a:noFill/>
          <a:ln w="31750"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crossAx val="29250480"/>
        <c:crosses val="autoZero"/>
        <c:crossBetween val="midCat"/>
        <c:majorUnit val="1"/>
      </c:valAx>
      <c:valAx>
        <c:axId val="29250480"/>
        <c:scaling>
          <c:orientation val="minMax"/>
        </c:scaling>
        <c:delete val="0"/>
        <c:axPos val="l"/>
        <c:majorGridlines>
          <c:spPr>
            <a:ln w="9525" cap="flat" cmpd="sng" algn="ctr">
              <a:solidFill>
                <a:schemeClr val="tx1">
                  <a:lumMod val="15000"/>
                  <a:lumOff val="85000"/>
                </a:schemeClr>
              </a:solidFill>
              <a:prstDash val="sysDot"/>
              <a:round/>
            </a:ln>
            <a:effectLst/>
          </c:spPr>
        </c:majorGridlines>
        <c:numFmt formatCode="###.0;\(###.0\);\-" sourceLinked="1"/>
        <c:majorTickMark val="none"/>
        <c:minorTickMark val="none"/>
        <c:tickLblPos val="nextTo"/>
        <c:spPr>
          <a:noFill/>
          <a:ln w="31750"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crossAx val="29252112"/>
        <c:crosses val="autoZero"/>
        <c:crossBetween val="midCat"/>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userShapes r:id="rId3"/>
</c:chartSpace>
</file>

<file path=xl/charts/chart1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8.8691646302832841E-2"/>
          <c:y val="5.427849150435142E-2"/>
          <c:w val="0.88586007783509824"/>
          <c:h val="0.90303522585992557"/>
        </c:manualLayout>
      </c:layout>
      <c:scatterChart>
        <c:scatterStyle val="lineMarker"/>
        <c:varyColors val="0"/>
        <c:ser>
          <c:idx val="0"/>
          <c:order val="0"/>
          <c:spPr>
            <a:ln w="25400" cap="rnd">
              <a:noFill/>
              <a:round/>
            </a:ln>
            <a:effectLst/>
          </c:spPr>
          <c:marker>
            <c:symbol val="circle"/>
            <c:size val="7"/>
            <c:spPr>
              <a:noFill/>
              <a:ln w="19050">
                <a:solidFill>
                  <a:srgbClr val="EAB200"/>
                </a:solidFill>
              </a:ln>
              <a:effectLst/>
            </c:spPr>
          </c:marker>
          <c:trendline>
            <c:spPr>
              <a:ln w="28575" cap="rnd">
                <a:solidFill>
                  <a:srgbClr val="EAB200"/>
                </a:solidFill>
                <a:prstDash val="sysDot"/>
              </a:ln>
              <a:effectLst/>
            </c:spPr>
            <c:trendlineType val="linear"/>
            <c:dispRSqr val="0"/>
            <c:dispEq val="0"/>
          </c:trendline>
          <c:xVal>
            <c:numRef>
              <c:f>'Reg1'!$BA$5:$BA$36</c:f>
              <c:numCache>
                <c:formatCode>###;\(###\);\-</c:formatCode>
                <c:ptCount val="32"/>
                <c:pt idx="0">
                  <c:v>7</c:v>
                </c:pt>
                <c:pt idx="1">
                  <c:v>7</c:v>
                </c:pt>
                <c:pt idx="2">
                  <c:v>7</c:v>
                </c:pt>
                <c:pt idx="3">
                  <c:v>4</c:v>
                </c:pt>
                <c:pt idx="4">
                  <c:v>7</c:v>
                </c:pt>
                <c:pt idx="5">
                  <c:v>4</c:v>
                </c:pt>
                <c:pt idx="6">
                  <c:v>4</c:v>
                </c:pt>
                <c:pt idx="7">
                  <c:v>5</c:v>
                </c:pt>
                <c:pt idx="8">
                  <c:v>8</c:v>
                </c:pt>
                <c:pt idx="9">
                  <c:v>8</c:v>
                </c:pt>
                <c:pt idx="10">
                  <c:v>4</c:v>
                </c:pt>
                <c:pt idx="11">
                  <c:v>11</c:v>
                </c:pt>
                <c:pt idx="12">
                  <c:v>9</c:v>
                </c:pt>
                <c:pt idx="13">
                  <c:v>1</c:v>
                </c:pt>
                <c:pt idx="14">
                  <c:v>7</c:v>
                </c:pt>
                <c:pt idx="15">
                  <c:v>11</c:v>
                </c:pt>
                <c:pt idx="16">
                  <c:v>1</c:v>
                </c:pt>
                <c:pt idx="17">
                  <c:v>11</c:v>
                </c:pt>
                <c:pt idx="18">
                  <c:v>6</c:v>
                </c:pt>
                <c:pt idx="19">
                  <c:v>8</c:v>
                </c:pt>
                <c:pt idx="20">
                  <c:v>9</c:v>
                </c:pt>
                <c:pt idx="21">
                  <c:v>4</c:v>
                </c:pt>
                <c:pt idx="22">
                  <c:v>5</c:v>
                </c:pt>
                <c:pt idx="23">
                  <c:v>4</c:v>
                </c:pt>
                <c:pt idx="24">
                  <c:v>1</c:v>
                </c:pt>
                <c:pt idx="25">
                  <c:v>3</c:v>
                </c:pt>
                <c:pt idx="26">
                  <c:v>6</c:v>
                </c:pt>
                <c:pt idx="27">
                  <c:v>6</c:v>
                </c:pt>
                <c:pt idx="28">
                  <c:v>9</c:v>
                </c:pt>
                <c:pt idx="29">
                  <c:v>7</c:v>
                </c:pt>
                <c:pt idx="30">
                  <c:v>5</c:v>
                </c:pt>
                <c:pt idx="31">
                  <c:v>13</c:v>
                </c:pt>
              </c:numCache>
            </c:numRef>
          </c:xVal>
          <c:yVal>
            <c:numRef>
              <c:f>'Reg1'!$BD$5:$BD$36</c:f>
              <c:numCache>
                <c:formatCode>###.0;\(###.0\);\-</c:formatCode>
                <c:ptCount val="32"/>
                <c:pt idx="0">
                  <c:v>6.6108000000000118</c:v>
                </c:pt>
                <c:pt idx="1">
                  <c:v>3.0108000000000033</c:v>
                </c:pt>
                <c:pt idx="2">
                  <c:v>13.810800000000015</c:v>
                </c:pt>
                <c:pt idx="3">
                  <c:v>-12.981399999999994</c:v>
                </c:pt>
                <c:pt idx="4">
                  <c:v>6.6108000000000118</c:v>
                </c:pt>
                <c:pt idx="5">
                  <c:v>-31.781399999999991</c:v>
                </c:pt>
                <c:pt idx="6">
                  <c:v>12.018600000000006</c:v>
                </c:pt>
                <c:pt idx="7">
                  <c:v>9.1159999999999997</c:v>
                </c:pt>
                <c:pt idx="8">
                  <c:v>-9.1800000000006321E-2</c:v>
                </c:pt>
                <c:pt idx="9">
                  <c:v>15.608199999999997</c:v>
                </c:pt>
                <c:pt idx="10">
                  <c:v>12.018600000000006</c:v>
                </c:pt>
                <c:pt idx="11">
                  <c:v>13.100399999999993</c:v>
                </c:pt>
                <c:pt idx="12">
                  <c:v>3.3055999999999983</c:v>
                </c:pt>
                <c:pt idx="13">
                  <c:v>-9.4735999999999905</c:v>
                </c:pt>
                <c:pt idx="14">
                  <c:v>-7.6891999999999854</c:v>
                </c:pt>
                <c:pt idx="15">
                  <c:v>10.900400000000005</c:v>
                </c:pt>
                <c:pt idx="16">
                  <c:v>15.52640000000001</c:v>
                </c:pt>
                <c:pt idx="17">
                  <c:v>-14.099600000000002</c:v>
                </c:pt>
                <c:pt idx="18">
                  <c:v>3.3134000000000015</c:v>
                </c:pt>
                <c:pt idx="19">
                  <c:v>-18.791800000000002</c:v>
                </c:pt>
                <c:pt idx="20">
                  <c:v>11.60560000000001</c:v>
                </c:pt>
                <c:pt idx="21">
                  <c:v>-0.48139999999999361</c:v>
                </c:pt>
                <c:pt idx="22">
                  <c:v>4.1159999999999997</c:v>
                </c:pt>
                <c:pt idx="23">
                  <c:v>12.018600000000006</c:v>
                </c:pt>
                <c:pt idx="24">
                  <c:v>-9.4735999999999905</c:v>
                </c:pt>
                <c:pt idx="25">
                  <c:v>-24.378799999999998</c:v>
                </c:pt>
                <c:pt idx="26">
                  <c:v>20.013400000000004</c:v>
                </c:pt>
                <c:pt idx="27">
                  <c:v>7.5134000000000043</c:v>
                </c:pt>
                <c:pt idx="28">
                  <c:v>-60.594399999999993</c:v>
                </c:pt>
                <c:pt idx="29">
                  <c:v>3.0108000000000033</c:v>
                </c:pt>
                <c:pt idx="30">
                  <c:v>9.1159999999999997</c:v>
                </c:pt>
                <c:pt idx="31">
                  <c:v>-2.5047999999999888</c:v>
                </c:pt>
              </c:numCache>
            </c:numRef>
          </c:yVal>
          <c:smooth val="0"/>
        </c:ser>
        <c:dLbls>
          <c:showLegendKey val="0"/>
          <c:showVal val="0"/>
          <c:showCatName val="0"/>
          <c:showSerName val="0"/>
          <c:showPercent val="0"/>
          <c:showBubbleSize val="0"/>
        </c:dLbls>
        <c:axId val="29251568"/>
        <c:axId val="29252656"/>
      </c:scatterChart>
      <c:valAx>
        <c:axId val="29251568"/>
        <c:scaling>
          <c:orientation val="minMax"/>
        </c:scaling>
        <c:delete val="0"/>
        <c:axPos val="b"/>
        <c:majorGridlines>
          <c:spPr>
            <a:ln w="9525" cap="flat" cmpd="sng" algn="ctr">
              <a:solidFill>
                <a:schemeClr val="tx1">
                  <a:lumMod val="15000"/>
                  <a:lumOff val="85000"/>
                </a:schemeClr>
              </a:solidFill>
              <a:prstDash val="sysDot"/>
              <a:round/>
            </a:ln>
            <a:effectLst/>
          </c:spPr>
        </c:majorGridlines>
        <c:numFmt formatCode="###;\(###\);\-" sourceLinked="1"/>
        <c:majorTickMark val="none"/>
        <c:minorTickMark val="none"/>
        <c:tickLblPos val="nextTo"/>
        <c:spPr>
          <a:noFill/>
          <a:ln w="31750" cap="flat" cmpd="sng" algn="ctr">
            <a:noFill/>
            <a:round/>
          </a:ln>
          <a:effectLst/>
        </c:spPr>
        <c:txPr>
          <a:bodyPr rot="-600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crossAx val="29252656"/>
        <c:crosses val="autoZero"/>
        <c:crossBetween val="midCat"/>
      </c:valAx>
      <c:valAx>
        <c:axId val="29252656"/>
        <c:scaling>
          <c:orientation val="minMax"/>
        </c:scaling>
        <c:delete val="0"/>
        <c:axPos val="l"/>
        <c:majorGridlines>
          <c:spPr>
            <a:ln w="9525" cap="flat" cmpd="sng" algn="ctr">
              <a:solidFill>
                <a:schemeClr val="tx1">
                  <a:lumMod val="15000"/>
                  <a:lumOff val="85000"/>
                </a:schemeClr>
              </a:solidFill>
              <a:prstDash val="sysDot"/>
              <a:round/>
            </a:ln>
            <a:effectLst/>
          </c:spPr>
        </c:majorGridlines>
        <c:numFmt formatCode="###.0;\(###.0\);\-" sourceLinked="1"/>
        <c:majorTickMark val="none"/>
        <c:minorTickMark val="none"/>
        <c:tickLblPos val="nextTo"/>
        <c:spPr>
          <a:noFill/>
          <a:ln w="31750"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crossAx val="29251568"/>
        <c:crosses val="autoZero"/>
        <c:crossBetween val="midCat"/>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1" i="0" u="none" strike="noStrike" kern="1200" cap="all" spc="150" baseline="0">
                <a:solidFill>
                  <a:schemeClr val="tx1">
                    <a:lumMod val="50000"/>
                    <a:lumOff val="50000"/>
                  </a:schemeClr>
                </a:solidFill>
                <a:latin typeface="+mn-lt"/>
                <a:ea typeface="+mn-ea"/>
                <a:cs typeface="+mn-cs"/>
              </a:defRPr>
            </a:pPr>
            <a:r>
              <a:rPr lang="en-US" sz="1200"/>
              <a:t>Residual</a:t>
            </a:r>
            <a:r>
              <a:rPr lang="en-US" sz="1200" baseline="0"/>
              <a:t> run chart</a:t>
            </a:r>
            <a:endParaRPr lang="en-US" sz="1200"/>
          </a:p>
        </c:rich>
      </c:tx>
      <c:layout>
        <c:manualLayout>
          <c:xMode val="edge"/>
          <c:yMode val="edge"/>
          <c:x val="7.7603403022897977E-2"/>
          <c:y val="2.7777777777777776E-2"/>
        </c:manualLayout>
      </c:layout>
      <c:overlay val="0"/>
      <c:spPr>
        <a:noFill/>
        <a:ln>
          <a:noFill/>
        </a:ln>
        <a:effectLst/>
      </c:spPr>
      <c:txPr>
        <a:bodyPr rot="0" spcFirstLastPara="1" vertOverflow="ellipsis" vert="horz" wrap="square" anchor="ctr" anchorCtr="1"/>
        <a:lstStyle/>
        <a:p>
          <a:pPr>
            <a:defRPr sz="1200" b="1" i="0" u="none" strike="noStrike" kern="1200" cap="all" spc="150" baseline="0">
              <a:solidFill>
                <a:schemeClr val="tx1">
                  <a:lumMod val="50000"/>
                  <a:lumOff val="50000"/>
                </a:schemeClr>
              </a:solidFill>
              <a:latin typeface="+mn-lt"/>
              <a:ea typeface="+mn-ea"/>
              <a:cs typeface="+mn-cs"/>
            </a:defRPr>
          </a:pPr>
          <a:endParaRPr lang="en-US"/>
        </a:p>
      </c:txPr>
    </c:title>
    <c:autoTitleDeleted val="0"/>
    <c:plotArea>
      <c:layout>
        <c:manualLayout>
          <c:layoutTarget val="inner"/>
          <c:xMode val="edge"/>
          <c:yMode val="edge"/>
          <c:x val="8.426234151782773E-2"/>
          <c:y val="0.12800925925925924"/>
          <c:w val="0.89017483725430779"/>
          <c:h val="0.82106481481481486"/>
        </c:manualLayout>
      </c:layout>
      <c:lineChart>
        <c:grouping val="standard"/>
        <c:varyColors val="0"/>
        <c:ser>
          <c:idx val="0"/>
          <c:order val="0"/>
          <c:spPr>
            <a:ln w="12700" cap="rnd">
              <a:solidFill>
                <a:srgbClr val="EAB200"/>
              </a:solidFill>
              <a:prstDash val="sysDash"/>
              <a:round/>
            </a:ln>
            <a:effectLst/>
          </c:spPr>
          <c:marker>
            <c:symbol val="circle"/>
            <c:size val="6"/>
            <c:spPr>
              <a:noFill/>
              <a:ln w="15875">
                <a:solidFill>
                  <a:srgbClr val="EAB200"/>
                </a:solidFill>
              </a:ln>
              <a:effectLst/>
            </c:spPr>
          </c:marker>
          <c:val>
            <c:numRef>
              <c:f>'Reg1'!$BD$5:$BD$36</c:f>
              <c:numCache>
                <c:formatCode>###.0;\(###.0\);\-</c:formatCode>
                <c:ptCount val="32"/>
                <c:pt idx="0">
                  <c:v>6.6108000000000118</c:v>
                </c:pt>
                <c:pt idx="1">
                  <c:v>3.0108000000000033</c:v>
                </c:pt>
                <c:pt idx="2">
                  <c:v>13.810800000000015</c:v>
                </c:pt>
                <c:pt idx="3">
                  <c:v>-12.981399999999994</c:v>
                </c:pt>
                <c:pt idx="4">
                  <c:v>6.6108000000000118</c:v>
                </c:pt>
                <c:pt idx="5">
                  <c:v>-31.781399999999991</c:v>
                </c:pt>
                <c:pt idx="6">
                  <c:v>12.018600000000006</c:v>
                </c:pt>
                <c:pt idx="7">
                  <c:v>9.1159999999999997</c:v>
                </c:pt>
                <c:pt idx="8">
                  <c:v>-9.1800000000006321E-2</c:v>
                </c:pt>
                <c:pt idx="9">
                  <c:v>15.608199999999997</c:v>
                </c:pt>
                <c:pt idx="10">
                  <c:v>12.018600000000006</c:v>
                </c:pt>
                <c:pt idx="11">
                  <c:v>13.100399999999993</c:v>
                </c:pt>
                <c:pt idx="12">
                  <c:v>3.3055999999999983</c:v>
                </c:pt>
                <c:pt idx="13">
                  <c:v>-9.4735999999999905</c:v>
                </c:pt>
                <c:pt idx="14">
                  <c:v>-7.6891999999999854</c:v>
                </c:pt>
                <c:pt idx="15">
                  <c:v>10.900400000000005</c:v>
                </c:pt>
                <c:pt idx="16">
                  <c:v>15.52640000000001</c:v>
                </c:pt>
                <c:pt idx="17">
                  <c:v>-14.099600000000002</c:v>
                </c:pt>
                <c:pt idx="18">
                  <c:v>3.3134000000000015</c:v>
                </c:pt>
                <c:pt idx="19">
                  <c:v>-18.791800000000002</c:v>
                </c:pt>
                <c:pt idx="20">
                  <c:v>11.60560000000001</c:v>
                </c:pt>
                <c:pt idx="21">
                  <c:v>-0.48139999999999361</c:v>
                </c:pt>
                <c:pt idx="22">
                  <c:v>4.1159999999999997</c:v>
                </c:pt>
                <c:pt idx="23">
                  <c:v>12.018600000000006</c:v>
                </c:pt>
                <c:pt idx="24">
                  <c:v>-9.4735999999999905</c:v>
                </c:pt>
                <c:pt idx="25">
                  <c:v>-24.378799999999998</c:v>
                </c:pt>
                <c:pt idx="26">
                  <c:v>20.013400000000004</c:v>
                </c:pt>
                <c:pt idx="27">
                  <c:v>7.5134000000000043</c:v>
                </c:pt>
                <c:pt idx="28">
                  <c:v>-60.594399999999993</c:v>
                </c:pt>
                <c:pt idx="29">
                  <c:v>3.0108000000000033</c:v>
                </c:pt>
                <c:pt idx="30">
                  <c:v>9.1159999999999997</c:v>
                </c:pt>
                <c:pt idx="31">
                  <c:v>-2.5047999999999888</c:v>
                </c:pt>
              </c:numCache>
            </c:numRef>
          </c:val>
          <c:smooth val="0"/>
        </c:ser>
        <c:dLbls>
          <c:showLegendKey val="0"/>
          <c:showVal val="0"/>
          <c:showCatName val="0"/>
          <c:showSerName val="0"/>
          <c:showPercent val="0"/>
          <c:showBubbleSize val="0"/>
        </c:dLbls>
        <c:marker val="1"/>
        <c:smooth val="0"/>
        <c:axId val="80632624"/>
        <c:axId val="80636432"/>
      </c:lineChart>
      <c:catAx>
        <c:axId val="80632624"/>
        <c:scaling>
          <c:orientation val="minMax"/>
        </c:scaling>
        <c:delete val="0"/>
        <c:axPos val="b"/>
        <c:numFmt formatCode="General" sourceLinked="1"/>
        <c:majorTickMark val="none"/>
        <c:minorTickMark val="none"/>
        <c:tickLblPos val="nextTo"/>
        <c:spPr>
          <a:noFill/>
          <a:ln w="19050"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0636432"/>
        <c:crosses val="autoZero"/>
        <c:auto val="1"/>
        <c:lblAlgn val="ctr"/>
        <c:lblOffset val="100"/>
        <c:noMultiLvlLbl val="0"/>
      </c:catAx>
      <c:valAx>
        <c:axId val="80636432"/>
        <c:scaling>
          <c:orientation val="minMax"/>
        </c:scaling>
        <c:delete val="0"/>
        <c:axPos val="l"/>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0632624"/>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8.8691646302832841E-2"/>
          <c:y val="0.12445380577427823"/>
          <c:w val="0.88586007783509824"/>
          <c:h val="0.80128083989501309"/>
        </c:manualLayout>
      </c:layout>
      <c:scatterChart>
        <c:scatterStyle val="lineMarker"/>
        <c:varyColors val="0"/>
        <c:ser>
          <c:idx val="0"/>
          <c:order val="0"/>
          <c:spPr>
            <a:ln w="25400" cap="rnd">
              <a:noFill/>
              <a:round/>
            </a:ln>
            <a:effectLst/>
          </c:spPr>
          <c:marker>
            <c:symbol val="circle"/>
            <c:size val="7"/>
            <c:spPr>
              <a:noFill/>
              <a:ln w="19050">
                <a:solidFill>
                  <a:srgbClr val="0099FF"/>
                </a:solidFill>
              </a:ln>
              <a:effectLst/>
            </c:spPr>
          </c:marker>
          <c:trendline>
            <c:spPr>
              <a:ln w="19050" cap="rnd">
                <a:solidFill>
                  <a:schemeClr val="accent1"/>
                </a:solidFill>
                <a:prstDash val="sysDot"/>
              </a:ln>
              <a:effectLst/>
            </c:spPr>
            <c:trendlineType val="linear"/>
            <c:dispRSqr val="1"/>
            <c:dispEq val="1"/>
            <c:trendlineLbl>
              <c:layout>
                <c:manualLayout>
                  <c:x val="-0.38192977525211491"/>
                  <c:y val="-0.40899038869292864"/>
                </c:manualLayout>
              </c:layout>
              <c:numFmt formatCode="General" sourceLinked="0"/>
              <c:spPr>
                <a:noFill/>
                <a:ln>
                  <a:noFill/>
                </a:ln>
                <a:effectLst/>
              </c:spPr>
              <c:txPr>
                <a:bodyPr rot="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n-US"/>
                </a:p>
              </c:txPr>
            </c:trendlineLbl>
          </c:trendline>
          <c:xVal>
            <c:numRef>
              <c:f>'Reg1'!$BR$5:$BR$36</c:f>
              <c:numCache>
                <c:formatCode>###;\(###\);\-</c:formatCode>
                <c:ptCount val="32"/>
                <c:pt idx="0">
                  <c:v>7</c:v>
                </c:pt>
                <c:pt idx="1">
                  <c:v>7</c:v>
                </c:pt>
                <c:pt idx="2">
                  <c:v>7</c:v>
                </c:pt>
                <c:pt idx="3">
                  <c:v>4</c:v>
                </c:pt>
                <c:pt idx="4">
                  <c:v>7</c:v>
                </c:pt>
                <c:pt idx="5">
                  <c:v>4</c:v>
                </c:pt>
                <c:pt idx="6">
                  <c:v>4</c:v>
                </c:pt>
                <c:pt idx="7">
                  <c:v>5</c:v>
                </c:pt>
                <c:pt idx="8">
                  <c:v>8</c:v>
                </c:pt>
                <c:pt idx="9">
                  <c:v>8</c:v>
                </c:pt>
                <c:pt idx="10">
                  <c:v>4</c:v>
                </c:pt>
                <c:pt idx="11">
                  <c:v>11</c:v>
                </c:pt>
                <c:pt idx="12">
                  <c:v>9</c:v>
                </c:pt>
                <c:pt idx="13">
                  <c:v>1</c:v>
                </c:pt>
                <c:pt idx="14">
                  <c:v>7</c:v>
                </c:pt>
                <c:pt idx="15">
                  <c:v>11</c:v>
                </c:pt>
                <c:pt idx="16">
                  <c:v>1</c:v>
                </c:pt>
                <c:pt idx="17">
                  <c:v>11</c:v>
                </c:pt>
                <c:pt idx="18">
                  <c:v>6</c:v>
                </c:pt>
                <c:pt idx="19">
                  <c:v>8</c:v>
                </c:pt>
                <c:pt idx="20">
                  <c:v>9</c:v>
                </c:pt>
                <c:pt idx="21">
                  <c:v>4</c:v>
                </c:pt>
                <c:pt idx="22">
                  <c:v>5</c:v>
                </c:pt>
                <c:pt idx="23">
                  <c:v>4</c:v>
                </c:pt>
                <c:pt idx="24">
                  <c:v>1</c:v>
                </c:pt>
                <c:pt idx="25">
                  <c:v>3</c:v>
                </c:pt>
                <c:pt idx="26">
                  <c:v>6</c:v>
                </c:pt>
                <c:pt idx="27">
                  <c:v>6</c:v>
                </c:pt>
                <c:pt idx="28">
                  <c:v>9</c:v>
                </c:pt>
                <c:pt idx="29">
                  <c:v>7</c:v>
                </c:pt>
                <c:pt idx="30">
                  <c:v>5</c:v>
                </c:pt>
                <c:pt idx="31">
                  <c:v>13</c:v>
                </c:pt>
              </c:numCache>
            </c:numRef>
          </c:xVal>
          <c:yVal>
            <c:numRef>
              <c:f>'Reg1'!$BS$5:$BS$36</c:f>
              <c:numCache>
                <c:formatCode>###.0;\(###.0\);\-</c:formatCode>
                <c:ptCount val="32"/>
                <c:pt idx="0">
                  <c:v>87.5</c:v>
                </c:pt>
                <c:pt idx="1">
                  <c:v>78.599999999999994</c:v>
                </c:pt>
                <c:pt idx="2">
                  <c:v>93.8</c:v>
                </c:pt>
                <c:pt idx="3">
                  <c:v>65.599999999999994</c:v>
                </c:pt>
                <c:pt idx="4">
                  <c:v>82.1</c:v>
                </c:pt>
                <c:pt idx="5">
                  <c:v>51.6</c:v>
                </c:pt>
                <c:pt idx="6">
                  <c:v>87.5</c:v>
                </c:pt>
                <c:pt idx="7">
                  <c:v>87.5</c:v>
                </c:pt>
                <c:pt idx="8">
                  <c:v>75</c:v>
                </c:pt>
                <c:pt idx="9">
                  <c:v>91.4</c:v>
                </c:pt>
                <c:pt idx="10">
                  <c:v>89.1</c:v>
                </c:pt>
                <c:pt idx="11">
                  <c:v>81.3</c:v>
                </c:pt>
                <c:pt idx="12">
                  <c:v>72.900000000000006</c:v>
                </c:pt>
                <c:pt idx="13">
                  <c:v>62.5</c:v>
                </c:pt>
                <c:pt idx="14">
                  <c:v>67.900000000000006</c:v>
                </c:pt>
                <c:pt idx="15">
                  <c:v>86.4</c:v>
                </c:pt>
                <c:pt idx="16">
                  <c:v>100</c:v>
                </c:pt>
                <c:pt idx="17">
                  <c:v>54.6</c:v>
                </c:pt>
                <c:pt idx="18">
                  <c:v>74</c:v>
                </c:pt>
                <c:pt idx="19">
                  <c:v>53.1</c:v>
                </c:pt>
                <c:pt idx="20">
                  <c:v>81.3</c:v>
                </c:pt>
                <c:pt idx="21">
                  <c:v>79.7</c:v>
                </c:pt>
                <c:pt idx="22">
                  <c:v>83.8</c:v>
                </c:pt>
                <c:pt idx="23">
                  <c:v>81.3</c:v>
                </c:pt>
                <c:pt idx="24">
                  <c:v>75</c:v>
                </c:pt>
                <c:pt idx="25">
                  <c:v>58.3</c:v>
                </c:pt>
                <c:pt idx="26">
                  <c:v>97.9</c:v>
                </c:pt>
                <c:pt idx="27">
                  <c:v>82.3</c:v>
                </c:pt>
                <c:pt idx="28">
                  <c:v>12.5</c:v>
                </c:pt>
                <c:pt idx="29">
                  <c:v>78.599999999999994</c:v>
                </c:pt>
                <c:pt idx="30">
                  <c:v>85</c:v>
                </c:pt>
                <c:pt idx="31">
                  <c:v>69.2</c:v>
                </c:pt>
              </c:numCache>
            </c:numRef>
          </c:yVal>
          <c:smooth val="0"/>
        </c:ser>
        <c:dLbls>
          <c:showLegendKey val="0"/>
          <c:showVal val="0"/>
          <c:showCatName val="0"/>
          <c:showSerName val="0"/>
          <c:showPercent val="0"/>
          <c:showBubbleSize val="0"/>
        </c:dLbls>
        <c:axId val="80631536"/>
        <c:axId val="80632080"/>
      </c:scatterChart>
      <c:valAx>
        <c:axId val="80631536"/>
        <c:scaling>
          <c:orientation val="minMax"/>
        </c:scaling>
        <c:delete val="0"/>
        <c:axPos val="b"/>
        <c:majorGridlines>
          <c:spPr>
            <a:ln w="9525" cap="flat" cmpd="sng" algn="ctr">
              <a:solidFill>
                <a:schemeClr val="tx1">
                  <a:lumMod val="15000"/>
                  <a:lumOff val="85000"/>
                </a:schemeClr>
              </a:solidFill>
              <a:prstDash val="sysDot"/>
              <a:round/>
            </a:ln>
            <a:effectLst/>
          </c:spPr>
        </c:majorGridlines>
        <c:numFmt formatCode="###;\(###\);\-" sourceLinked="1"/>
        <c:majorTickMark val="none"/>
        <c:minorTickMark val="none"/>
        <c:tickLblPos val="nextTo"/>
        <c:spPr>
          <a:noFill/>
          <a:ln w="31750"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crossAx val="80632080"/>
        <c:crosses val="autoZero"/>
        <c:crossBetween val="midCat"/>
        <c:majorUnit val="1"/>
      </c:valAx>
      <c:valAx>
        <c:axId val="80632080"/>
        <c:scaling>
          <c:orientation val="minMax"/>
        </c:scaling>
        <c:delete val="0"/>
        <c:axPos val="l"/>
        <c:majorGridlines>
          <c:spPr>
            <a:ln w="9525" cap="flat" cmpd="sng" algn="ctr">
              <a:solidFill>
                <a:schemeClr val="tx1">
                  <a:lumMod val="15000"/>
                  <a:lumOff val="85000"/>
                </a:schemeClr>
              </a:solidFill>
              <a:prstDash val="sysDot"/>
              <a:round/>
            </a:ln>
            <a:effectLst/>
          </c:spPr>
        </c:majorGridlines>
        <c:numFmt formatCode="###.0;\(###.0\);\-" sourceLinked="1"/>
        <c:majorTickMark val="none"/>
        <c:minorTickMark val="none"/>
        <c:tickLblPos val="nextTo"/>
        <c:spPr>
          <a:noFill/>
          <a:ln w="31750"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crossAx val="80631536"/>
        <c:crosses val="autoZero"/>
        <c:crossBetween val="midCat"/>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userShapes r:id="rId3"/>
</c:chartSpace>
</file>

<file path=xl/charts/chart1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8.8691646302832841E-2"/>
          <c:y val="5.427849150435142E-2"/>
          <c:w val="0.88586007783509824"/>
          <c:h val="0.90303522585992557"/>
        </c:manualLayout>
      </c:layout>
      <c:scatterChart>
        <c:scatterStyle val="lineMarker"/>
        <c:varyColors val="0"/>
        <c:ser>
          <c:idx val="0"/>
          <c:order val="0"/>
          <c:spPr>
            <a:ln w="25400" cap="rnd">
              <a:noFill/>
              <a:round/>
            </a:ln>
            <a:effectLst/>
          </c:spPr>
          <c:marker>
            <c:symbol val="circle"/>
            <c:size val="7"/>
            <c:spPr>
              <a:noFill/>
              <a:ln w="19050">
                <a:solidFill>
                  <a:srgbClr val="EAB200"/>
                </a:solidFill>
              </a:ln>
              <a:effectLst/>
            </c:spPr>
          </c:marker>
          <c:trendline>
            <c:spPr>
              <a:ln w="28575" cap="rnd">
                <a:solidFill>
                  <a:srgbClr val="EAB200"/>
                </a:solidFill>
                <a:prstDash val="sysDot"/>
              </a:ln>
              <a:effectLst/>
            </c:spPr>
            <c:trendlineType val="linear"/>
            <c:dispRSqr val="0"/>
            <c:dispEq val="0"/>
          </c:trendline>
          <c:xVal>
            <c:numRef>
              <c:f>'Reg1'!$BR$5:$BR$36</c:f>
              <c:numCache>
                <c:formatCode>###;\(###\);\-</c:formatCode>
                <c:ptCount val="32"/>
                <c:pt idx="0">
                  <c:v>7</c:v>
                </c:pt>
                <c:pt idx="1">
                  <c:v>7</c:v>
                </c:pt>
                <c:pt idx="2">
                  <c:v>7</c:v>
                </c:pt>
                <c:pt idx="3">
                  <c:v>4</c:v>
                </c:pt>
                <c:pt idx="4">
                  <c:v>7</c:v>
                </c:pt>
                <c:pt idx="5">
                  <c:v>4</c:v>
                </c:pt>
                <c:pt idx="6">
                  <c:v>4</c:v>
                </c:pt>
                <c:pt idx="7">
                  <c:v>5</c:v>
                </c:pt>
                <c:pt idx="8">
                  <c:v>8</c:v>
                </c:pt>
                <c:pt idx="9">
                  <c:v>8</c:v>
                </c:pt>
                <c:pt idx="10">
                  <c:v>4</c:v>
                </c:pt>
                <c:pt idx="11">
                  <c:v>11</c:v>
                </c:pt>
                <c:pt idx="12">
                  <c:v>9</c:v>
                </c:pt>
                <c:pt idx="13">
                  <c:v>1</c:v>
                </c:pt>
                <c:pt idx="14">
                  <c:v>7</c:v>
                </c:pt>
                <c:pt idx="15">
                  <c:v>11</c:v>
                </c:pt>
                <c:pt idx="16">
                  <c:v>1</c:v>
                </c:pt>
                <c:pt idx="17">
                  <c:v>11</c:v>
                </c:pt>
                <c:pt idx="18">
                  <c:v>6</c:v>
                </c:pt>
                <c:pt idx="19">
                  <c:v>8</c:v>
                </c:pt>
                <c:pt idx="20">
                  <c:v>9</c:v>
                </c:pt>
                <c:pt idx="21">
                  <c:v>4</c:v>
                </c:pt>
                <c:pt idx="22">
                  <c:v>5</c:v>
                </c:pt>
                <c:pt idx="23">
                  <c:v>4</c:v>
                </c:pt>
                <c:pt idx="24">
                  <c:v>1</c:v>
                </c:pt>
                <c:pt idx="25">
                  <c:v>3</c:v>
                </c:pt>
                <c:pt idx="26">
                  <c:v>6</c:v>
                </c:pt>
                <c:pt idx="27">
                  <c:v>6</c:v>
                </c:pt>
                <c:pt idx="28">
                  <c:v>9</c:v>
                </c:pt>
                <c:pt idx="29">
                  <c:v>7</c:v>
                </c:pt>
                <c:pt idx="30">
                  <c:v>5</c:v>
                </c:pt>
                <c:pt idx="31">
                  <c:v>13</c:v>
                </c:pt>
              </c:numCache>
            </c:numRef>
          </c:xVal>
          <c:yVal>
            <c:numRef>
              <c:f>'Reg1'!$BU$5:$BU$36</c:f>
              <c:numCache>
                <c:formatCode>###.0;\(###.0\);\-</c:formatCode>
                <c:ptCount val="32"/>
                <c:pt idx="0">
                  <c:v>12.300700000000006</c:v>
                </c:pt>
                <c:pt idx="1">
                  <c:v>3.4007000000000005</c:v>
                </c:pt>
                <c:pt idx="2">
                  <c:v>18.600700000000003</c:v>
                </c:pt>
                <c:pt idx="3">
                  <c:v>-12.452600000000004</c:v>
                </c:pt>
                <c:pt idx="4">
                  <c:v>6.9007000000000005</c:v>
                </c:pt>
                <c:pt idx="5">
                  <c:v>-26.452599999999997</c:v>
                </c:pt>
                <c:pt idx="6">
                  <c:v>9.4474000000000018</c:v>
                </c:pt>
                <c:pt idx="7">
                  <c:v>10.398499999999999</c:v>
                </c:pt>
                <c:pt idx="8">
                  <c:v>0.75180000000000291</c:v>
                </c:pt>
                <c:pt idx="9">
                  <c:v>17.151800000000009</c:v>
                </c:pt>
                <c:pt idx="10">
                  <c:v>11.047399999999996</c:v>
                </c:pt>
                <c:pt idx="11">
                  <c:v>9.9050999999999902</c:v>
                </c:pt>
                <c:pt idx="12">
                  <c:v>-0.39709999999999468</c:v>
                </c:pt>
                <c:pt idx="13">
                  <c:v>-18.405900000000003</c:v>
                </c:pt>
                <c:pt idx="14">
                  <c:v>-7.2992999999999881</c:v>
                </c:pt>
                <c:pt idx="15">
                  <c:v>15.005099999999999</c:v>
                </c:pt>
                <c:pt idx="16">
                  <c:v>19.094099999999997</c:v>
                </c:pt>
                <c:pt idx="17">
                  <c:v>-16.794900000000005</c:v>
                </c:pt>
                <c:pt idx="18">
                  <c:v>-2.1504000000000048</c:v>
                </c:pt>
                <c:pt idx="19">
                  <c:v>-21.148199999999996</c:v>
                </c:pt>
                <c:pt idx="20">
                  <c:v>8.0028999999999968</c:v>
                </c:pt>
                <c:pt idx="21">
                  <c:v>1.6474000000000046</c:v>
                </c:pt>
                <c:pt idx="22">
                  <c:v>6.6984999999999957</c:v>
                </c:pt>
                <c:pt idx="23">
                  <c:v>3.247399999999999</c:v>
                </c:pt>
                <c:pt idx="24">
                  <c:v>-5.9059000000000026</c:v>
                </c:pt>
                <c:pt idx="25">
                  <c:v>-20.703699999999998</c:v>
                </c:pt>
                <c:pt idx="26">
                  <c:v>21.749600000000001</c:v>
                </c:pt>
                <c:pt idx="27">
                  <c:v>6.1495999999999924</c:v>
                </c:pt>
                <c:pt idx="28">
                  <c:v>-60.7971</c:v>
                </c:pt>
                <c:pt idx="29">
                  <c:v>3.4007000000000005</c:v>
                </c:pt>
                <c:pt idx="30">
                  <c:v>7.8984999999999985</c:v>
                </c:pt>
                <c:pt idx="31">
                  <c:v>-0.29269999999999641</c:v>
                </c:pt>
              </c:numCache>
            </c:numRef>
          </c:yVal>
          <c:smooth val="0"/>
        </c:ser>
        <c:dLbls>
          <c:showLegendKey val="0"/>
          <c:showVal val="0"/>
          <c:showCatName val="0"/>
          <c:showSerName val="0"/>
          <c:showPercent val="0"/>
          <c:showBubbleSize val="0"/>
        </c:dLbls>
        <c:axId val="80630992"/>
        <c:axId val="80634800"/>
      </c:scatterChart>
      <c:valAx>
        <c:axId val="80630992"/>
        <c:scaling>
          <c:orientation val="minMax"/>
        </c:scaling>
        <c:delete val="0"/>
        <c:axPos val="b"/>
        <c:majorGridlines>
          <c:spPr>
            <a:ln w="9525" cap="flat" cmpd="sng" algn="ctr">
              <a:solidFill>
                <a:schemeClr val="tx1">
                  <a:lumMod val="15000"/>
                  <a:lumOff val="85000"/>
                </a:schemeClr>
              </a:solidFill>
              <a:prstDash val="sysDot"/>
              <a:round/>
            </a:ln>
            <a:effectLst/>
          </c:spPr>
        </c:majorGridlines>
        <c:numFmt formatCode="###;\(###\);\-" sourceLinked="1"/>
        <c:majorTickMark val="none"/>
        <c:minorTickMark val="none"/>
        <c:tickLblPos val="nextTo"/>
        <c:spPr>
          <a:noFill/>
          <a:ln w="31750" cap="flat" cmpd="sng" algn="ctr">
            <a:noFill/>
            <a:round/>
          </a:ln>
          <a:effectLst/>
        </c:spPr>
        <c:txPr>
          <a:bodyPr rot="-600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crossAx val="80634800"/>
        <c:crosses val="autoZero"/>
        <c:crossBetween val="midCat"/>
      </c:valAx>
      <c:valAx>
        <c:axId val="80634800"/>
        <c:scaling>
          <c:orientation val="minMax"/>
        </c:scaling>
        <c:delete val="0"/>
        <c:axPos val="l"/>
        <c:majorGridlines>
          <c:spPr>
            <a:ln w="9525" cap="flat" cmpd="sng" algn="ctr">
              <a:solidFill>
                <a:schemeClr val="tx1">
                  <a:lumMod val="15000"/>
                  <a:lumOff val="85000"/>
                </a:schemeClr>
              </a:solidFill>
              <a:prstDash val="sysDot"/>
              <a:round/>
            </a:ln>
            <a:effectLst/>
          </c:spPr>
        </c:majorGridlines>
        <c:numFmt formatCode="###.0;\(###.0\);\-" sourceLinked="1"/>
        <c:majorTickMark val="none"/>
        <c:minorTickMark val="none"/>
        <c:tickLblPos val="nextTo"/>
        <c:spPr>
          <a:noFill/>
          <a:ln w="31750"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crossAx val="80630992"/>
        <c:crosses val="autoZero"/>
        <c:crossBetween val="midCat"/>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1" i="0" u="none" strike="noStrike" kern="1200" cap="all" spc="150" baseline="0">
                <a:solidFill>
                  <a:schemeClr val="tx1">
                    <a:lumMod val="50000"/>
                    <a:lumOff val="50000"/>
                  </a:schemeClr>
                </a:solidFill>
                <a:latin typeface="+mn-lt"/>
                <a:ea typeface="+mn-ea"/>
                <a:cs typeface="+mn-cs"/>
              </a:defRPr>
            </a:pPr>
            <a:r>
              <a:rPr lang="en-US" sz="1200"/>
              <a:t>Residual</a:t>
            </a:r>
            <a:r>
              <a:rPr lang="en-US" sz="1200" baseline="0"/>
              <a:t> run chart</a:t>
            </a:r>
            <a:endParaRPr lang="en-US" sz="1200"/>
          </a:p>
        </c:rich>
      </c:tx>
      <c:layout>
        <c:manualLayout>
          <c:xMode val="edge"/>
          <c:yMode val="edge"/>
          <c:x val="7.7603403022897977E-2"/>
          <c:y val="2.7777777777777776E-2"/>
        </c:manualLayout>
      </c:layout>
      <c:overlay val="0"/>
      <c:spPr>
        <a:noFill/>
        <a:ln>
          <a:noFill/>
        </a:ln>
        <a:effectLst/>
      </c:spPr>
      <c:txPr>
        <a:bodyPr rot="0" spcFirstLastPara="1" vertOverflow="ellipsis" vert="horz" wrap="square" anchor="ctr" anchorCtr="1"/>
        <a:lstStyle/>
        <a:p>
          <a:pPr>
            <a:defRPr sz="1200" b="1" i="0" u="none" strike="noStrike" kern="1200" cap="all" spc="150" baseline="0">
              <a:solidFill>
                <a:schemeClr val="tx1">
                  <a:lumMod val="50000"/>
                  <a:lumOff val="50000"/>
                </a:schemeClr>
              </a:solidFill>
              <a:latin typeface="+mn-lt"/>
              <a:ea typeface="+mn-ea"/>
              <a:cs typeface="+mn-cs"/>
            </a:defRPr>
          </a:pPr>
          <a:endParaRPr lang="en-US"/>
        </a:p>
      </c:txPr>
    </c:title>
    <c:autoTitleDeleted val="0"/>
    <c:plotArea>
      <c:layout>
        <c:manualLayout>
          <c:layoutTarget val="inner"/>
          <c:xMode val="edge"/>
          <c:yMode val="edge"/>
          <c:x val="8.426234151782773E-2"/>
          <c:y val="0.12800925925925924"/>
          <c:w val="0.89017483725430779"/>
          <c:h val="0.82106481481481486"/>
        </c:manualLayout>
      </c:layout>
      <c:lineChart>
        <c:grouping val="standard"/>
        <c:varyColors val="0"/>
        <c:ser>
          <c:idx val="0"/>
          <c:order val="0"/>
          <c:spPr>
            <a:ln w="12700" cap="rnd">
              <a:solidFill>
                <a:srgbClr val="EAB200"/>
              </a:solidFill>
              <a:prstDash val="sysDash"/>
              <a:round/>
            </a:ln>
            <a:effectLst/>
          </c:spPr>
          <c:marker>
            <c:symbol val="circle"/>
            <c:size val="6"/>
            <c:spPr>
              <a:noFill/>
              <a:ln w="15875">
                <a:solidFill>
                  <a:srgbClr val="EAB200"/>
                </a:solidFill>
              </a:ln>
              <a:effectLst/>
            </c:spPr>
          </c:marker>
          <c:val>
            <c:numRef>
              <c:f>'Reg1'!$BU$5:$BU$36</c:f>
              <c:numCache>
                <c:formatCode>###.0;\(###.0\);\-</c:formatCode>
                <c:ptCount val="32"/>
                <c:pt idx="0">
                  <c:v>12.300700000000006</c:v>
                </c:pt>
                <c:pt idx="1">
                  <c:v>3.4007000000000005</c:v>
                </c:pt>
                <c:pt idx="2">
                  <c:v>18.600700000000003</c:v>
                </c:pt>
                <c:pt idx="3">
                  <c:v>-12.452600000000004</c:v>
                </c:pt>
                <c:pt idx="4">
                  <c:v>6.9007000000000005</c:v>
                </c:pt>
                <c:pt idx="5">
                  <c:v>-26.452599999999997</c:v>
                </c:pt>
                <c:pt idx="6">
                  <c:v>9.4474000000000018</c:v>
                </c:pt>
                <c:pt idx="7">
                  <c:v>10.398499999999999</c:v>
                </c:pt>
                <c:pt idx="8">
                  <c:v>0.75180000000000291</c:v>
                </c:pt>
                <c:pt idx="9">
                  <c:v>17.151800000000009</c:v>
                </c:pt>
                <c:pt idx="10">
                  <c:v>11.047399999999996</c:v>
                </c:pt>
                <c:pt idx="11">
                  <c:v>9.9050999999999902</c:v>
                </c:pt>
                <c:pt idx="12">
                  <c:v>-0.39709999999999468</c:v>
                </c:pt>
                <c:pt idx="13">
                  <c:v>-18.405900000000003</c:v>
                </c:pt>
                <c:pt idx="14">
                  <c:v>-7.2992999999999881</c:v>
                </c:pt>
                <c:pt idx="15">
                  <c:v>15.005099999999999</c:v>
                </c:pt>
                <c:pt idx="16">
                  <c:v>19.094099999999997</c:v>
                </c:pt>
                <c:pt idx="17">
                  <c:v>-16.794900000000005</c:v>
                </c:pt>
                <c:pt idx="18">
                  <c:v>-2.1504000000000048</c:v>
                </c:pt>
                <c:pt idx="19">
                  <c:v>-21.148199999999996</c:v>
                </c:pt>
                <c:pt idx="20">
                  <c:v>8.0028999999999968</c:v>
                </c:pt>
                <c:pt idx="21">
                  <c:v>1.6474000000000046</c:v>
                </c:pt>
                <c:pt idx="22">
                  <c:v>6.6984999999999957</c:v>
                </c:pt>
                <c:pt idx="23">
                  <c:v>3.247399999999999</c:v>
                </c:pt>
                <c:pt idx="24">
                  <c:v>-5.9059000000000026</c:v>
                </c:pt>
                <c:pt idx="25">
                  <c:v>-20.703699999999998</c:v>
                </c:pt>
                <c:pt idx="26">
                  <c:v>21.749600000000001</c:v>
                </c:pt>
                <c:pt idx="27">
                  <c:v>6.1495999999999924</c:v>
                </c:pt>
                <c:pt idx="28">
                  <c:v>-60.7971</c:v>
                </c:pt>
                <c:pt idx="29">
                  <c:v>3.4007000000000005</c:v>
                </c:pt>
                <c:pt idx="30">
                  <c:v>7.8984999999999985</c:v>
                </c:pt>
                <c:pt idx="31">
                  <c:v>-0.29269999999999641</c:v>
                </c:pt>
              </c:numCache>
            </c:numRef>
          </c:val>
          <c:smooth val="0"/>
        </c:ser>
        <c:dLbls>
          <c:showLegendKey val="0"/>
          <c:showVal val="0"/>
          <c:showCatName val="0"/>
          <c:showSerName val="0"/>
          <c:showPercent val="0"/>
          <c:showBubbleSize val="0"/>
        </c:dLbls>
        <c:marker val="1"/>
        <c:smooth val="0"/>
        <c:axId val="80635888"/>
        <c:axId val="80636976"/>
      </c:lineChart>
      <c:catAx>
        <c:axId val="80635888"/>
        <c:scaling>
          <c:orientation val="minMax"/>
        </c:scaling>
        <c:delete val="0"/>
        <c:axPos val="b"/>
        <c:numFmt formatCode="General" sourceLinked="1"/>
        <c:majorTickMark val="none"/>
        <c:minorTickMark val="none"/>
        <c:tickLblPos val="nextTo"/>
        <c:spPr>
          <a:noFill/>
          <a:ln w="19050"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0636976"/>
        <c:crosses val="autoZero"/>
        <c:auto val="1"/>
        <c:lblAlgn val="ctr"/>
        <c:lblOffset val="100"/>
        <c:noMultiLvlLbl val="0"/>
      </c:catAx>
      <c:valAx>
        <c:axId val="80636976"/>
        <c:scaling>
          <c:orientation val="minMax"/>
        </c:scaling>
        <c:delete val="0"/>
        <c:axPos val="l"/>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0635888"/>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3">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
  <cs:dataPoint3D>
    <cs:lnRef idx="0"/>
    <cs:fillRef idx="0">
      <cs:styleClr val="auto"/>
    </cs:fillRef>
    <cs:effectRef idx="0"/>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3">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
  <cs:dataPoint3D>
    <cs:lnRef idx="0"/>
    <cs:fillRef idx="0">
      <cs:styleClr val="auto"/>
    </cs:fillRef>
    <cs:effectRef idx="0"/>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3">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
  <cs:dataPoint3D>
    <cs:lnRef idx="0"/>
    <cs:fillRef idx="0">
      <cs:styleClr val="auto"/>
    </cs:fillRef>
    <cs:effectRef idx="0"/>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10.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3">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
  <cs:dataPoint3D>
    <cs:lnRef idx="0"/>
    <cs:fillRef idx="0">
      <cs:styleClr val="auto"/>
    </cs:fillRef>
    <cs:effectRef idx="0"/>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1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03">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
  <cs:dataPoint3D>
    <cs:lnRef idx="0"/>
    <cs:fillRef idx="0">
      <cs:styleClr val="auto"/>
    </cs:fillRef>
    <cs:effectRef idx="0"/>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13" Type="http://schemas.openxmlformats.org/officeDocument/2006/relationships/chart" Target="../charts/chart13.xml"/><Relationship Id="rId3" Type="http://schemas.openxmlformats.org/officeDocument/2006/relationships/chart" Target="../charts/chart3.xml"/><Relationship Id="rId7" Type="http://schemas.openxmlformats.org/officeDocument/2006/relationships/chart" Target="../charts/chart7.xml"/><Relationship Id="rId12" Type="http://schemas.openxmlformats.org/officeDocument/2006/relationships/chart" Target="../charts/chart12.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11" Type="http://schemas.openxmlformats.org/officeDocument/2006/relationships/chart" Target="../charts/chart11.xml"/><Relationship Id="rId5" Type="http://schemas.openxmlformats.org/officeDocument/2006/relationships/chart" Target="../charts/chart5.xml"/><Relationship Id="rId15" Type="http://schemas.openxmlformats.org/officeDocument/2006/relationships/chart" Target="../charts/chart15.xml"/><Relationship Id="rId10" Type="http://schemas.openxmlformats.org/officeDocument/2006/relationships/chart" Target="../charts/chart10.xml"/><Relationship Id="rId4" Type="http://schemas.openxmlformats.org/officeDocument/2006/relationships/chart" Target="../charts/chart4.xml"/><Relationship Id="rId9" Type="http://schemas.openxmlformats.org/officeDocument/2006/relationships/chart" Target="../charts/chart9.xml"/><Relationship Id="rId14" Type="http://schemas.openxmlformats.org/officeDocument/2006/relationships/chart" Target="../charts/chart14.xml"/></Relationships>
</file>

<file path=xl/drawings/drawing1.xml><?xml version="1.0" encoding="utf-8"?>
<xdr:wsDr xmlns:xdr="http://schemas.openxmlformats.org/drawingml/2006/spreadsheetDrawing" xmlns:a="http://schemas.openxmlformats.org/drawingml/2006/main">
  <xdr:twoCellAnchor>
    <xdr:from>
      <xdr:col>6</xdr:col>
      <xdr:colOff>0</xdr:colOff>
      <xdr:row>2</xdr:row>
      <xdr:rowOff>0</xdr:rowOff>
    </xdr:from>
    <xdr:to>
      <xdr:col>15</xdr:col>
      <xdr:colOff>0</xdr:colOff>
      <xdr:row>21</xdr:row>
      <xdr:rowOff>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24</xdr:row>
      <xdr:rowOff>0</xdr:rowOff>
    </xdr:from>
    <xdr:to>
      <xdr:col>15</xdr:col>
      <xdr:colOff>0</xdr:colOff>
      <xdr:row>41</xdr:row>
      <xdr:rowOff>0</xdr:rowOff>
    </xdr:to>
    <xdr:graphicFrame macro="">
      <xdr:nvGraphicFramePr>
        <xdr:cNvPr id="3" name="Chart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0</xdr:colOff>
      <xdr:row>42</xdr:row>
      <xdr:rowOff>83606</xdr:rowOff>
    </xdr:from>
    <xdr:to>
      <xdr:col>15</xdr:col>
      <xdr:colOff>0</xdr:colOff>
      <xdr:row>57</xdr:row>
      <xdr:rowOff>190499</xdr:rowOff>
    </xdr:to>
    <xdr:graphicFrame macro="">
      <xdr:nvGraphicFramePr>
        <xdr:cNvPr id="4" name="Chart 3"/>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23</xdr:col>
      <xdr:colOff>0</xdr:colOff>
      <xdr:row>2</xdr:row>
      <xdr:rowOff>0</xdr:rowOff>
    </xdr:from>
    <xdr:to>
      <xdr:col>32</xdr:col>
      <xdr:colOff>0</xdr:colOff>
      <xdr:row>21</xdr:row>
      <xdr:rowOff>0</xdr:rowOff>
    </xdr:to>
    <xdr:graphicFrame macro="">
      <xdr:nvGraphicFramePr>
        <xdr:cNvPr id="5" name="Chart 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23</xdr:col>
      <xdr:colOff>0</xdr:colOff>
      <xdr:row>24</xdr:row>
      <xdr:rowOff>0</xdr:rowOff>
    </xdr:from>
    <xdr:to>
      <xdr:col>32</xdr:col>
      <xdr:colOff>0</xdr:colOff>
      <xdr:row>41</xdr:row>
      <xdr:rowOff>0</xdr:rowOff>
    </xdr:to>
    <xdr:graphicFrame macro="">
      <xdr:nvGraphicFramePr>
        <xdr:cNvPr id="6" name="Chart 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23</xdr:col>
      <xdr:colOff>0</xdr:colOff>
      <xdr:row>42</xdr:row>
      <xdr:rowOff>83606</xdr:rowOff>
    </xdr:from>
    <xdr:to>
      <xdr:col>32</xdr:col>
      <xdr:colOff>0</xdr:colOff>
      <xdr:row>57</xdr:row>
      <xdr:rowOff>190499</xdr:rowOff>
    </xdr:to>
    <xdr:graphicFrame macro="">
      <xdr:nvGraphicFramePr>
        <xdr:cNvPr id="7" name="Chart 6"/>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40</xdr:col>
      <xdr:colOff>0</xdr:colOff>
      <xdr:row>2</xdr:row>
      <xdr:rowOff>0</xdr:rowOff>
    </xdr:from>
    <xdr:to>
      <xdr:col>49</xdr:col>
      <xdr:colOff>0</xdr:colOff>
      <xdr:row>21</xdr:row>
      <xdr:rowOff>0</xdr:rowOff>
    </xdr:to>
    <xdr:graphicFrame macro="">
      <xdr:nvGraphicFramePr>
        <xdr:cNvPr id="8" name="Chart 7"/>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40</xdr:col>
      <xdr:colOff>0</xdr:colOff>
      <xdr:row>24</xdr:row>
      <xdr:rowOff>0</xdr:rowOff>
    </xdr:from>
    <xdr:to>
      <xdr:col>49</xdr:col>
      <xdr:colOff>0</xdr:colOff>
      <xdr:row>41</xdr:row>
      <xdr:rowOff>0</xdr:rowOff>
    </xdr:to>
    <xdr:graphicFrame macro="">
      <xdr:nvGraphicFramePr>
        <xdr:cNvPr id="9" name="Chart 8"/>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40</xdr:col>
      <xdr:colOff>0</xdr:colOff>
      <xdr:row>42</xdr:row>
      <xdr:rowOff>83606</xdr:rowOff>
    </xdr:from>
    <xdr:to>
      <xdr:col>49</xdr:col>
      <xdr:colOff>0</xdr:colOff>
      <xdr:row>57</xdr:row>
      <xdr:rowOff>190499</xdr:rowOff>
    </xdr:to>
    <xdr:graphicFrame macro="">
      <xdr:nvGraphicFramePr>
        <xdr:cNvPr id="10" name="Chart 9"/>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57</xdr:col>
      <xdr:colOff>0</xdr:colOff>
      <xdr:row>2</xdr:row>
      <xdr:rowOff>0</xdr:rowOff>
    </xdr:from>
    <xdr:to>
      <xdr:col>66</xdr:col>
      <xdr:colOff>0</xdr:colOff>
      <xdr:row>21</xdr:row>
      <xdr:rowOff>0</xdr:rowOff>
    </xdr:to>
    <xdr:graphicFrame macro="">
      <xdr:nvGraphicFramePr>
        <xdr:cNvPr id="11" name="Chart 10"/>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57</xdr:col>
      <xdr:colOff>0</xdr:colOff>
      <xdr:row>24</xdr:row>
      <xdr:rowOff>0</xdr:rowOff>
    </xdr:from>
    <xdr:to>
      <xdr:col>66</xdr:col>
      <xdr:colOff>0</xdr:colOff>
      <xdr:row>41</xdr:row>
      <xdr:rowOff>0</xdr:rowOff>
    </xdr:to>
    <xdr:graphicFrame macro="">
      <xdr:nvGraphicFramePr>
        <xdr:cNvPr id="12" name="Chart 1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57</xdr:col>
      <xdr:colOff>0</xdr:colOff>
      <xdr:row>42</xdr:row>
      <xdr:rowOff>83606</xdr:rowOff>
    </xdr:from>
    <xdr:to>
      <xdr:col>66</xdr:col>
      <xdr:colOff>0</xdr:colOff>
      <xdr:row>57</xdr:row>
      <xdr:rowOff>190499</xdr:rowOff>
    </xdr:to>
    <xdr:graphicFrame macro="">
      <xdr:nvGraphicFramePr>
        <xdr:cNvPr id="13" name="Chart 1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74</xdr:col>
      <xdr:colOff>0</xdr:colOff>
      <xdr:row>2</xdr:row>
      <xdr:rowOff>0</xdr:rowOff>
    </xdr:from>
    <xdr:to>
      <xdr:col>83</xdr:col>
      <xdr:colOff>0</xdr:colOff>
      <xdr:row>21</xdr:row>
      <xdr:rowOff>0</xdr:rowOff>
    </xdr:to>
    <xdr:graphicFrame macro="">
      <xdr:nvGraphicFramePr>
        <xdr:cNvPr id="14" name="Chart 1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74</xdr:col>
      <xdr:colOff>0</xdr:colOff>
      <xdr:row>24</xdr:row>
      <xdr:rowOff>0</xdr:rowOff>
    </xdr:from>
    <xdr:to>
      <xdr:col>83</xdr:col>
      <xdr:colOff>0</xdr:colOff>
      <xdr:row>41</xdr:row>
      <xdr:rowOff>0</xdr:rowOff>
    </xdr:to>
    <xdr:graphicFrame macro="">
      <xdr:nvGraphicFramePr>
        <xdr:cNvPr id="15" name="Chart 1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74</xdr:col>
      <xdr:colOff>0</xdr:colOff>
      <xdr:row>42</xdr:row>
      <xdr:rowOff>83606</xdr:rowOff>
    </xdr:from>
    <xdr:to>
      <xdr:col>83</xdr:col>
      <xdr:colOff>0</xdr:colOff>
      <xdr:row>57</xdr:row>
      <xdr:rowOff>190499</xdr:rowOff>
    </xdr:to>
    <xdr:graphicFrame macro="">
      <xdr:nvGraphicFramePr>
        <xdr:cNvPr id="16" name="Chart 1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wsDr>
</file>

<file path=xl/drawings/drawing2.xml><?xml version="1.0" encoding="utf-8"?>
<c:userShapes xmlns:c="http://schemas.openxmlformats.org/drawingml/2006/chart">
  <cdr:relSizeAnchor xmlns:cdr="http://schemas.openxmlformats.org/drawingml/2006/chartDrawing">
    <cdr:from>
      <cdr:x>0.09195</cdr:x>
      <cdr:y>0.02609</cdr:y>
    </cdr:from>
    <cdr:to>
      <cdr:x>0.28758</cdr:x>
      <cdr:y>0.0915</cdr:y>
    </cdr:to>
    <cdr:sp macro="" textlink="">
      <cdr:nvSpPr>
        <cdr:cNvPr id="2" name="Rectangle 1"/>
        <cdr:cNvSpPr/>
      </cdr:nvSpPr>
      <cdr:spPr>
        <a:xfrm xmlns:a="http://schemas.openxmlformats.org/drawingml/2006/main">
          <a:off x="502527" y="95043"/>
          <a:ext cx="1069097" cy="238332"/>
        </a:xfrm>
        <a:prstGeom xmlns:a="http://schemas.openxmlformats.org/drawingml/2006/main" prst="rect">
          <a:avLst/>
        </a:prstGeom>
        <a:noFill xmlns:a="http://schemas.openxmlformats.org/drawingml/2006/main"/>
        <a:ln xmlns:a="http://schemas.openxmlformats.org/drawingml/2006/main">
          <a:no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r>
            <a:rPr lang="en-US" sz="1400" b="1">
              <a:solidFill>
                <a:schemeClr val="tx1">
                  <a:lumMod val="50000"/>
                  <a:lumOff val="50000"/>
                </a:schemeClr>
              </a:solidFill>
            </a:rPr>
            <a:t>Regression:</a:t>
          </a:r>
          <a:endParaRPr lang="en-US" sz="1400">
            <a:solidFill>
              <a:schemeClr val="tx1">
                <a:lumMod val="50000"/>
                <a:lumOff val="50000"/>
              </a:schemeClr>
            </a:solidFill>
          </a:endParaRPr>
        </a:p>
      </cdr:txBody>
    </cdr:sp>
  </cdr:relSizeAnchor>
</c:userShapes>
</file>

<file path=xl/drawings/drawing3.xml><?xml version="1.0" encoding="utf-8"?>
<c:userShapes xmlns:c="http://schemas.openxmlformats.org/drawingml/2006/chart">
  <cdr:relSizeAnchor xmlns:cdr="http://schemas.openxmlformats.org/drawingml/2006/chartDrawing">
    <cdr:from>
      <cdr:x>0.09195</cdr:x>
      <cdr:y>0.02609</cdr:y>
    </cdr:from>
    <cdr:to>
      <cdr:x>0.28758</cdr:x>
      <cdr:y>0.0915</cdr:y>
    </cdr:to>
    <cdr:sp macro="" textlink="">
      <cdr:nvSpPr>
        <cdr:cNvPr id="2" name="Rectangle 1"/>
        <cdr:cNvSpPr/>
      </cdr:nvSpPr>
      <cdr:spPr>
        <a:xfrm xmlns:a="http://schemas.openxmlformats.org/drawingml/2006/main">
          <a:off x="502527" y="95043"/>
          <a:ext cx="1069097" cy="238332"/>
        </a:xfrm>
        <a:prstGeom xmlns:a="http://schemas.openxmlformats.org/drawingml/2006/main" prst="rect">
          <a:avLst/>
        </a:prstGeom>
        <a:noFill xmlns:a="http://schemas.openxmlformats.org/drawingml/2006/main"/>
        <a:ln xmlns:a="http://schemas.openxmlformats.org/drawingml/2006/main">
          <a:no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r>
            <a:rPr lang="en-US" sz="1400" b="1">
              <a:solidFill>
                <a:schemeClr val="tx1">
                  <a:lumMod val="50000"/>
                  <a:lumOff val="50000"/>
                </a:schemeClr>
              </a:solidFill>
            </a:rPr>
            <a:t>Regression:</a:t>
          </a:r>
          <a:endParaRPr lang="en-US" sz="1400">
            <a:solidFill>
              <a:schemeClr val="tx1">
                <a:lumMod val="50000"/>
                <a:lumOff val="50000"/>
              </a:schemeClr>
            </a:solidFill>
          </a:endParaRPr>
        </a:p>
      </cdr:txBody>
    </cdr:sp>
  </cdr:relSizeAnchor>
</c:userShapes>
</file>

<file path=xl/drawings/drawing4.xml><?xml version="1.0" encoding="utf-8"?>
<c:userShapes xmlns:c="http://schemas.openxmlformats.org/drawingml/2006/chart">
  <cdr:relSizeAnchor xmlns:cdr="http://schemas.openxmlformats.org/drawingml/2006/chartDrawing">
    <cdr:from>
      <cdr:x>0.09195</cdr:x>
      <cdr:y>0.02609</cdr:y>
    </cdr:from>
    <cdr:to>
      <cdr:x>0.28758</cdr:x>
      <cdr:y>0.0915</cdr:y>
    </cdr:to>
    <cdr:sp macro="" textlink="">
      <cdr:nvSpPr>
        <cdr:cNvPr id="2" name="Rectangle 1"/>
        <cdr:cNvSpPr/>
      </cdr:nvSpPr>
      <cdr:spPr>
        <a:xfrm xmlns:a="http://schemas.openxmlformats.org/drawingml/2006/main">
          <a:off x="502527" y="95043"/>
          <a:ext cx="1069097" cy="238332"/>
        </a:xfrm>
        <a:prstGeom xmlns:a="http://schemas.openxmlformats.org/drawingml/2006/main" prst="rect">
          <a:avLst/>
        </a:prstGeom>
        <a:noFill xmlns:a="http://schemas.openxmlformats.org/drawingml/2006/main"/>
        <a:ln xmlns:a="http://schemas.openxmlformats.org/drawingml/2006/main">
          <a:no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r>
            <a:rPr lang="en-US" sz="1400" b="1">
              <a:solidFill>
                <a:schemeClr val="tx1">
                  <a:lumMod val="50000"/>
                  <a:lumOff val="50000"/>
                </a:schemeClr>
              </a:solidFill>
            </a:rPr>
            <a:t>Regression:</a:t>
          </a:r>
          <a:endParaRPr lang="en-US" sz="1400">
            <a:solidFill>
              <a:schemeClr val="tx1">
                <a:lumMod val="50000"/>
                <a:lumOff val="50000"/>
              </a:schemeClr>
            </a:solidFill>
          </a:endParaRPr>
        </a:p>
      </cdr:txBody>
    </cdr:sp>
  </cdr:relSizeAnchor>
</c:userShapes>
</file>

<file path=xl/drawings/drawing5.xml><?xml version="1.0" encoding="utf-8"?>
<c:userShapes xmlns:c="http://schemas.openxmlformats.org/drawingml/2006/chart">
  <cdr:relSizeAnchor xmlns:cdr="http://schemas.openxmlformats.org/drawingml/2006/chartDrawing">
    <cdr:from>
      <cdr:x>0.09195</cdr:x>
      <cdr:y>0.02609</cdr:y>
    </cdr:from>
    <cdr:to>
      <cdr:x>0.28758</cdr:x>
      <cdr:y>0.0915</cdr:y>
    </cdr:to>
    <cdr:sp macro="" textlink="">
      <cdr:nvSpPr>
        <cdr:cNvPr id="2" name="Rectangle 1"/>
        <cdr:cNvSpPr/>
      </cdr:nvSpPr>
      <cdr:spPr>
        <a:xfrm xmlns:a="http://schemas.openxmlformats.org/drawingml/2006/main">
          <a:off x="502527" y="95043"/>
          <a:ext cx="1069097" cy="238332"/>
        </a:xfrm>
        <a:prstGeom xmlns:a="http://schemas.openxmlformats.org/drawingml/2006/main" prst="rect">
          <a:avLst/>
        </a:prstGeom>
        <a:noFill xmlns:a="http://schemas.openxmlformats.org/drawingml/2006/main"/>
        <a:ln xmlns:a="http://schemas.openxmlformats.org/drawingml/2006/main">
          <a:no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r>
            <a:rPr lang="en-US" sz="1400" b="1">
              <a:solidFill>
                <a:schemeClr val="tx1">
                  <a:lumMod val="50000"/>
                  <a:lumOff val="50000"/>
                </a:schemeClr>
              </a:solidFill>
            </a:rPr>
            <a:t>Regression:</a:t>
          </a:r>
          <a:endParaRPr lang="en-US" sz="1400">
            <a:solidFill>
              <a:schemeClr val="tx1">
                <a:lumMod val="50000"/>
                <a:lumOff val="50000"/>
              </a:schemeClr>
            </a:solidFill>
          </a:endParaRPr>
        </a:p>
      </cdr:txBody>
    </cdr:sp>
  </cdr:relSizeAnchor>
</c:userShapes>
</file>

<file path=xl/drawings/drawing6.xml><?xml version="1.0" encoding="utf-8"?>
<c:userShapes xmlns:c="http://schemas.openxmlformats.org/drawingml/2006/chart">
  <cdr:relSizeAnchor xmlns:cdr="http://schemas.openxmlformats.org/drawingml/2006/chartDrawing">
    <cdr:from>
      <cdr:x>0.09195</cdr:x>
      <cdr:y>0.02609</cdr:y>
    </cdr:from>
    <cdr:to>
      <cdr:x>0.28758</cdr:x>
      <cdr:y>0.0915</cdr:y>
    </cdr:to>
    <cdr:sp macro="" textlink="">
      <cdr:nvSpPr>
        <cdr:cNvPr id="2" name="Rectangle 1"/>
        <cdr:cNvSpPr/>
      </cdr:nvSpPr>
      <cdr:spPr>
        <a:xfrm xmlns:a="http://schemas.openxmlformats.org/drawingml/2006/main">
          <a:off x="502527" y="95043"/>
          <a:ext cx="1069097" cy="238332"/>
        </a:xfrm>
        <a:prstGeom xmlns:a="http://schemas.openxmlformats.org/drawingml/2006/main" prst="rect">
          <a:avLst/>
        </a:prstGeom>
        <a:noFill xmlns:a="http://schemas.openxmlformats.org/drawingml/2006/main"/>
        <a:ln xmlns:a="http://schemas.openxmlformats.org/drawingml/2006/main">
          <a:no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r>
            <a:rPr lang="en-US" sz="1400" b="1">
              <a:solidFill>
                <a:schemeClr val="tx1">
                  <a:lumMod val="50000"/>
                  <a:lumOff val="50000"/>
                </a:schemeClr>
              </a:solidFill>
            </a:rPr>
            <a:t>Regression:</a:t>
          </a:r>
          <a:endParaRPr lang="en-US" sz="1400">
            <a:solidFill>
              <a:schemeClr val="tx1">
                <a:lumMod val="50000"/>
                <a:lumOff val="50000"/>
              </a:schemeClr>
            </a:solidFill>
          </a:endParaRPr>
        </a:p>
      </cdr:txBody>
    </cdr:sp>
  </cdr:relSizeAnchor>
</c:userShape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Baumgarten, Allen" refreshedDate="43136.651709259262" createdVersion="5" refreshedVersion="5" minRefreshableVersion="3" recordCount="1698">
  <cacheSource type="worksheet">
    <worksheetSource ref="A1:K1699" sheet="survey_data"/>
  </cacheSource>
  <cacheFields count="11">
    <cacheField name="Year" numFmtId="0">
      <sharedItems containsSemiMixedTypes="0" containsString="0" containsNumber="1" containsInteger="1" minValue="2017" maxValue="2017"/>
    </cacheField>
    <cacheField name="Period" numFmtId="0">
      <sharedItems count="9">
        <s v="Apr"/>
        <s v="May"/>
        <s v="Jun"/>
        <s v="Jul"/>
        <s v="Aug"/>
        <s v="Sep"/>
        <s v="Oct"/>
        <s v="Nov"/>
        <s v="Dec"/>
      </sharedItems>
    </cacheField>
    <cacheField name="Site" numFmtId="0">
      <sharedItems/>
    </cacheField>
    <cacheField name="IT MD number" numFmtId="0">
      <sharedItems containsSemiMixedTypes="0" containsString="0" containsNumber="1" containsInteger="1" minValue="8888" maxValue="177162"/>
    </cacheField>
    <cacheField name="Physican Name" numFmtId="0">
      <sharedItems containsBlank="1" count="35">
        <s v="KAREN M ESTRINE"/>
        <s v="RAHUL S KARWAL"/>
        <s v="ALEXANDER GARCIA"/>
        <s v="CHRISTIAN KOKINAKOS"/>
        <s v="ELAINE DIAZ"/>
        <s v="CHARLES SANZ"/>
        <s v="DAVID MISHKIN"/>
        <s v="MIGDALIA GARCIA-GONZALEZ"/>
        <s v="SWEHA PATEL"/>
        <s v="ALAN ITZKOWITZ"/>
        <s v="LESLY KERNISANT"/>
        <s v="JONATHAN SNYDERMAN"/>
        <s v="EVA ESCATEL"/>
        <s v="SARAH ELETTO"/>
        <s v="ANDREW MASON"/>
        <s v="MICHAEL MAI"/>
        <s v="KENNETH STEINBERG"/>
        <s v="SHANE RUCKLE"/>
        <s v="ALEX PALMA"/>
        <s v="MICHAEL BRAZDA"/>
        <s v="FELIPE LOERA"/>
        <s v="DANIEL D'AMORE"/>
        <s v="POOPAK GHASSEMI BAKHTIARI"/>
        <s v="JEAN-PAUL SORONDO"/>
        <s v="JESSICA SILVERSMITH"/>
        <s v="TESSA HASPIL-CORGAN"/>
        <s v="ANDREA J BETANCOURT"/>
        <s v="KARIN ARNOLD-DOBAL"/>
        <s v="LEO HUYNH"/>
        <s v="RADHA KOTAMRAJU"/>
        <s v="ANTONY FRIEDMAN"/>
        <s v="SERGIO SEGARRA"/>
        <s v="MISC MISC"/>
        <s v="NAME NOT GIVEN"/>
        <m u="1"/>
      </sharedItems>
    </cacheField>
    <cacheField name="Question" numFmtId="0">
      <sharedItems count="6">
        <s v="Std Doctors"/>
        <s v="Doctor informative re treatment"/>
        <s v="Doctor took time to listen"/>
        <s v="Doctors concern for comfort"/>
        <s v="Doctors courtesy"/>
        <s v="Waiting time to see doctor"/>
      </sharedItems>
    </cacheField>
    <cacheField name="Mean Score" numFmtId="0">
      <sharedItems containsSemiMixedTypes="0" containsString="0" containsNumber="1" minValue="9.1" maxValue="100"/>
    </cacheField>
    <cacheField name="Responses" numFmtId="0">
      <sharedItems containsSemiMixedTypes="0" containsString="0" containsNumber="1" containsInteger="1" minValue="1" maxValue="21"/>
    </cacheField>
    <cacheField name="Percentile" numFmtId="0">
      <sharedItems containsSemiMixedTypes="0" containsString="0" containsNumber="1" containsInteger="1" minValue="1" maxValue="99"/>
    </cacheField>
    <cacheField name="FL State rank" numFmtId="0">
      <sharedItems containsSemiMixedTypes="0" containsString="0" containsNumber="1" containsInteger="1" minValue="1" maxValue="99"/>
    </cacheField>
    <cacheField name="All PG DB rank" numFmtId="0">
      <sharedItems containsSemiMixedTypes="0" containsString="0" containsNumber="1" containsInteger="1" minValue="1" maxValue="99"/>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count="1698">
  <r>
    <n v="2017"/>
    <x v="0"/>
    <s v="Baptist"/>
    <n v="130674"/>
    <x v="0"/>
    <x v="0"/>
    <n v="100"/>
    <n v="1"/>
    <n v="99"/>
    <n v="99"/>
    <n v="99"/>
  </r>
  <r>
    <n v="2017"/>
    <x v="0"/>
    <s v="Baptist"/>
    <n v="130674"/>
    <x v="0"/>
    <x v="1"/>
    <n v="100"/>
    <n v="1"/>
    <n v="99"/>
    <n v="99"/>
    <n v="99"/>
  </r>
  <r>
    <n v="2017"/>
    <x v="0"/>
    <s v="Baptist"/>
    <n v="130674"/>
    <x v="0"/>
    <x v="2"/>
    <n v="100"/>
    <n v="1"/>
    <n v="99"/>
    <n v="99"/>
    <n v="99"/>
  </r>
  <r>
    <n v="2017"/>
    <x v="0"/>
    <s v="Baptist"/>
    <n v="130674"/>
    <x v="0"/>
    <x v="3"/>
    <n v="100"/>
    <n v="1"/>
    <n v="99"/>
    <n v="99"/>
    <n v="99"/>
  </r>
  <r>
    <n v="2017"/>
    <x v="0"/>
    <s v="Baptist"/>
    <n v="130674"/>
    <x v="0"/>
    <x v="4"/>
    <n v="100"/>
    <n v="1"/>
    <n v="99"/>
    <n v="99"/>
    <n v="99"/>
  </r>
  <r>
    <n v="2017"/>
    <x v="0"/>
    <s v="Baptist"/>
    <n v="130674"/>
    <x v="0"/>
    <x v="5"/>
    <n v="100"/>
    <n v="1"/>
    <n v="99"/>
    <n v="99"/>
    <n v="99"/>
  </r>
  <r>
    <n v="2017"/>
    <x v="0"/>
    <s v="Baptist"/>
    <n v="177162"/>
    <x v="1"/>
    <x v="0"/>
    <n v="97.9"/>
    <n v="6"/>
    <n v="99"/>
    <n v="99"/>
    <n v="99"/>
  </r>
  <r>
    <n v="2017"/>
    <x v="0"/>
    <s v="Baptist"/>
    <n v="177162"/>
    <x v="1"/>
    <x v="1"/>
    <n v="100"/>
    <n v="6"/>
    <n v="99"/>
    <n v="99"/>
    <n v="99"/>
  </r>
  <r>
    <n v="2017"/>
    <x v="0"/>
    <s v="Baptist"/>
    <n v="177162"/>
    <x v="1"/>
    <x v="2"/>
    <n v="91.7"/>
    <n v="6"/>
    <n v="99"/>
    <n v="93"/>
    <n v="88"/>
  </r>
  <r>
    <n v="2017"/>
    <x v="0"/>
    <s v="Baptist"/>
    <n v="177162"/>
    <x v="1"/>
    <x v="3"/>
    <n v="100"/>
    <n v="6"/>
    <n v="99"/>
    <n v="99"/>
    <n v="99"/>
  </r>
  <r>
    <n v="2017"/>
    <x v="0"/>
    <s v="Baptist"/>
    <n v="177162"/>
    <x v="1"/>
    <x v="4"/>
    <n v="100"/>
    <n v="6"/>
    <n v="99"/>
    <n v="99"/>
    <n v="99"/>
  </r>
  <r>
    <n v="2017"/>
    <x v="0"/>
    <s v="Baptist"/>
    <n v="177162"/>
    <x v="1"/>
    <x v="5"/>
    <n v="83.3"/>
    <n v="6"/>
    <n v="92"/>
    <n v="70"/>
    <n v="68"/>
  </r>
  <r>
    <n v="2017"/>
    <x v="0"/>
    <s v="Baptist"/>
    <n v="99093"/>
    <x v="2"/>
    <x v="0"/>
    <n v="93.8"/>
    <n v="7"/>
    <n v="99"/>
    <n v="99"/>
    <n v="96"/>
  </r>
  <r>
    <n v="2017"/>
    <x v="0"/>
    <s v="Baptist"/>
    <n v="99093"/>
    <x v="2"/>
    <x v="1"/>
    <n v="92.9"/>
    <n v="7"/>
    <n v="99"/>
    <n v="98"/>
    <n v="95"/>
  </r>
  <r>
    <n v="2017"/>
    <x v="0"/>
    <s v="Baptist"/>
    <n v="99093"/>
    <x v="2"/>
    <x v="2"/>
    <n v="92.9"/>
    <n v="7"/>
    <n v="99"/>
    <n v="98"/>
    <n v="93"/>
  </r>
  <r>
    <n v="2017"/>
    <x v="0"/>
    <s v="Baptist"/>
    <n v="99093"/>
    <x v="2"/>
    <x v="3"/>
    <n v="96.4"/>
    <n v="7"/>
    <n v="99"/>
    <n v="99"/>
    <n v="99"/>
  </r>
  <r>
    <n v="2017"/>
    <x v="0"/>
    <s v="Baptist"/>
    <n v="99093"/>
    <x v="2"/>
    <x v="4"/>
    <n v="92.9"/>
    <n v="7"/>
    <n v="99"/>
    <n v="91"/>
    <n v="87"/>
  </r>
  <r>
    <n v="2017"/>
    <x v="0"/>
    <s v="Baptist"/>
    <n v="99093"/>
    <x v="2"/>
    <x v="5"/>
    <n v="75"/>
    <n v="7"/>
    <n v="57"/>
    <n v="31"/>
    <n v="25"/>
  </r>
  <r>
    <n v="2017"/>
    <x v="0"/>
    <s v="Baptist"/>
    <n v="89383"/>
    <x v="3"/>
    <x v="0"/>
    <n v="87.5"/>
    <n v="5"/>
    <n v="81"/>
    <n v="65"/>
    <n v="59"/>
  </r>
  <r>
    <n v="2017"/>
    <x v="0"/>
    <s v="Baptist"/>
    <n v="89383"/>
    <x v="3"/>
    <x v="1"/>
    <n v="85"/>
    <n v="5"/>
    <n v="66"/>
    <n v="49"/>
    <n v="45"/>
  </r>
  <r>
    <n v="2017"/>
    <x v="0"/>
    <s v="Baptist"/>
    <n v="89383"/>
    <x v="3"/>
    <x v="2"/>
    <n v="95"/>
    <n v="5"/>
    <n v="99"/>
    <n v="99"/>
    <n v="98"/>
  </r>
  <r>
    <n v="2017"/>
    <x v="0"/>
    <s v="Baptist"/>
    <n v="89383"/>
    <x v="3"/>
    <x v="3"/>
    <n v="80"/>
    <n v="5"/>
    <n v="23"/>
    <n v="17"/>
    <n v="12"/>
  </r>
  <r>
    <n v="2017"/>
    <x v="0"/>
    <s v="Baptist"/>
    <n v="89383"/>
    <x v="3"/>
    <x v="4"/>
    <n v="90"/>
    <n v="5"/>
    <n v="81"/>
    <n v="66"/>
    <n v="62"/>
  </r>
  <r>
    <n v="2017"/>
    <x v="0"/>
    <s v="Baptist"/>
    <n v="89383"/>
    <x v="3"/>
    <x v="5"/>
    <n v="65"/>
    <n v="5"/>
    <n v="17"/>
    <n v="5"/>
    <n v="4"/>
  </r>
  <r>
    <n v="2017"/>
    <x v="0"/>
    <s v="Baptist"/>
    <n v="58222"/>
    <x v="4"/>
    <x v="0"/>
    <n v="89.1"/>
    <n v="4"/>
    <n v="94"/>
    <n v="81"/>
    <n v="74"/>
  </r>
  <r>
    <n v="2017"/>
    <x v="0"/>
    <s v="Baptist"/>
    <n v="58222"/>
    <x v="4"/>
    <x v="1"/>
    <n v="81.3"/>
    <n v="4"/>
    <n v="36"/>
    <n v="26"/>
    <n v="19"/>
  </r>
  <r>
    <n v="2017"/>
    <x v="0"/>
    <s v="Baptist"/>
    <n v="58222"/>
    <x v="4"/>
    <x v="2"/>
    <n v="87.5"/>
    <n v="4"/>
    <n v="76"/>
    <n v="64"/>
    <n v="56"/>
  </r>
  <r>
    <n v="2017"/>
    <x v="0"/>
    <s v="Baptist"/>
    <n v="58222"/>
    <x v="4"/>
    <x v="3"/>
    <n v="93.8"/>
    <n v="4"/>
    <n v="99"/>
    <n v="99"/>
    <n v="97"/>
  </r>
  <r>
    <n v="2017"/>
    <x v="0"/>
    <s v="Baptist"/>
    <n v="58222"/>
    <x v="4"/>
    <x v="4"/>
    <n v="93.8"/>
    <n v="4"/>
    <n v="99"/>
    <n v="95"/>
    <n v="91"/>
  </r>
  <r>
    <n v="2017"/>
    <x v="0"/>
    <s v="Baptist"/>
    <n v="58222"/>
    <x v="4"/>
    <x v="5"/>
    <n v="60"/>
    <n v="5"/>
    <n v="6"/>
    <n v="2"/>
    <n v="1"/>
  </r>
  <r>
    <n v="2017"/>
    <x v="0"/>
    <s v="Baptist"/>
    <n v="22673"/>
    <x v="5"/>
    <x v="0"/>
    <n v="87.5"/>
    <n v="4"/>
    <n v="81"/>
    <n v="65"/>
    <n v="59"/>
  </r>
  <r>
    <n v="2017"/>
    <x v="0"/>
    <s v="Baptist"/>
    <n v="22673"/>
    <x v="5"/>
    <x v="1"/>
    <n v="81.3"/>
    <n v="4"/>
    <n v="36"/>
    <n v="26"/>
    <n v="19"/>
  </r>
  <r>
    <n v="2017"/>
    <x v="0"/>
    <s v="Baptist"/>
    <n v="22673"/>
    <x v="5"/>
    <x v="2"/>
    <n v="87.5"/>
    <n v="4"/>
    <n v="76"/>
    <n v="64"/>
    <n v="56"/>
  </r>
  <r>
    <n v="2017"/>
    <x v="0"/>
    <s v="Baptist"/>
    <n v="22673"/>
    <x v="5"/>
    <x v="3"/>
    <n v="87.5"/>
    <n v="4"/>
    <n v="94"/>
    <n v="79"/>
    <n v="69"/>
  </r>
  <r>
    <n v="2017"/>
    <x v="0"/>
    <s v="Baptist"/>
    <n v="22673"/>
    <x v="5"/>
    <x v="4"/>
    <n v="93.8"/>
    <n v="4"/>
    <n v="99"/>
    <n v="95"/>
    <n v="91"/>
  </r>
  <r>
    <n v="2017"/>
    <x v="0"/>
    <s v="Baptist"/>
    <n v="22673"/>
    <x v="5"/>
    <x v="5"/>
    <n v="62.5"/>
    <n v="4"/>
    <n v="10"/>
    <n v="3"/>
    <n v="2"/>
  </r>
  <r>
    <n v="2017"/>
    <x v="0"/>
    <s v="Baptist"/>
    <n v="110569"/>
    <x v="6"/>
    <x v="0"/>
    <n v="91.4"/>
    <n v="8"/>
    <n v="99"/>
    <n v="93"/>
    <n v="88"/>
  </r>
  <r>
    <n v="2017"/>
    <x v="0"/>
    <s v="Baptist"/>
    <n v="110569"/>
    <x v="6"/>
    <x v="1"/>
    <n v="87.5"/>
    <n v="8"/>
    <n v="91"/>
    <n v="76"/>
    <n v="70"/>
  </r>
  <r>
    <n v="2017"/>
    <x v="0"/>
    <s v="Baptist"/>
    <n v="110569"/>
    <x v="6"/>
    <x v="2"/>
    <n v="90.6"/>
    <n v="8"/>
    <n v="99"/>
    <n v="85"/>
    <n v="83"/>
  </r>
  <r>
    <n v="2017"/>
    <x v="0"/>
    <s v="Baptist"/>
    <n v="110569"/>
    <x v="6"/>
    <x v="3"/>
    <n v="93.8"/>
    <n v="8"/>
    <n v="99"/>
    <n v="99"/>
    <n v="97"/>
  </r>
  <r>
    <n v="2017"/>
    <x v="0"/>
    <s v="Baptist"/>
    <n v="110569"/>
    <x v="6"/>
    <x v="4"/>
    <n v="93.8"/>
    <n v="8"/>
    <n v="99"/>
    <n v="95"/>
    <n v="91"/>
  </r>
  <r>
    <n v="2017"/>
    <x v="0"/>
    <s v="Baptist"/>
    <n v="110569"/>
    <x v="6"/>
    <x v="5"/>
    <n v="65.599999999999994"/>
    <n v="8"/>
    <n v="17"/>
    <n v="5"/>
    <n v="5"/>
  </r>
  <r>
    <n v="2017"/>
    <x v="0"/>
    <s v="Baptist"/>
    <n v="70359"/>
    <x v="7"/>
    <x v="0"/>
    <n v="81.3"/>
    <n v="4"/>
    <n v="20"/>
    <n v="10"/>
    <n v="11"/>
  </r>
  <r>
    <n v="2017"/>
    <x v="0"/>
    <s v="Baptist"/>
    <n v="70359"/>
    <x v="7"/>
    <x v="1"/>
    <n v="75"/>
    <n v="4"/>
    <n v="4"/>
    <n v="2"/>
    <n v="2"/>
  </r>
  <r>
    <n v="2017"/>
    <x v="0"/>
    <s v="Baptist"/>
    <n v="70359"/>
    <x v="7"/>
    <x v="2"/>
    <n v="75"/>
    <n v="4"/>
    <n v="1"/>
    <n v="1"/>
    <n v="1"/>
  </r>
  <r>
    <n v="2017"/>
    <x v="0"/>
    <s v="Baptist"/>
    <n v="70359"/>
    <x v="7"/>
    <x v="3"/>
    <n v="81.3"/>
    <n v="4"/>
    <n v="31"/>
    <n v="25"/>
    <n v="19"/>
  </r>
  <r>
    <n v="2017"/>
    <x v="0"/>
    <s v="Baptist"/>
    <n v="70359"/>
    <x v="7"/>
    <x v="4"/>
    <n v="93.8"/>
    <n v="4"/>
    <n v="99"/>
    <n v="95"/>
    <n v="91"/>
  </r>
  <r>
    <n v="2017"/>
    <x v="0"/>
    <s v="Baptist"/>
    <n v="70359"/>
    <x v="7"/>
    <x v="5"/>
    <n v="25"/>
    <n v="3"/>
    <n v="1"/>
    <n v="1"/>
    <n v="1"/>
  </r>
  <r>
    <n v="2017"/>
    <x v="0"/>
    <s v="Baptist"/>
    <n v="104133"/>
    <x v="8"/>
    <x v="0"/>
    <n v="85"/>
    <n v="5"/>
    <n v="50"/>
    <n v="41"/>
    <n v="35"/>
  </r>
  <r>
    <n v="2017"/>
    <x v="0"/>
    <s v="Baptist"/>
    <n v="104133"/>
    <x v="8"/>
    <x v="1"/>
    <n v="80"/>
    <n v="5"/>
    <n v="25"/>
    <n v="18"/>
    <n v="13"/>
  </r>
  <r>
    <n v="2017"/>
    <x v="0"/>
    <s v="Baptist"/>
    <n v="104133"/>
    <x v="8"/>
    <x v="2"/>
    <n v="85"/>
    <n v="5"/>
    <n v="48"/>
    <n v="36"/>
    <n v="32"/>
  </r>
  <r>
    <n v="2017"/>
    <x v="0"/>
    <s v="Baptist"/>
    <n v="104133"/>
    <x v="8"/>
    <x v="3"/>
    <n v="85"/>
    <n v="5"/>
    <n v="61"/>
    <n v="53"/>
    <n v="45"/>
  </r>
  <r>
    <n v="2017"/>
    <x v="0"/>
    <s v="Baptist"/>
    <n v="104133"/>
    <x v="8"/>
    <x v="4"/>
    <n v="90"/>
    <n v="5"/>
    <n v="81"/>
    <n v="66"/>
    <n v="62"/>
  </r>
  <r>
    <n v="2017"/>
    <x v="0"/>
    <s v="Baptist"/>
    <n v="104133"/>
    <x v="8"/>
    <x v="5"/>
    <n v="85"/>
    <n v="5"/>
    <n v="99"/>
    <n v="82"/>
    <n v="75"/>
  </r>
  <r>
    <n v="2017"/>
    <x v="0"/>
    <s v="Baptist"/>
    <n v="36541"/>
    <x v="9"/>
    <x v="0"/>
    <n v="87.5"/>
    <n v="7"/>
    <n v="81"/>
    <n v="65"/>
    <n v="59"/>
  </r>
  <r>
    <n v="2017"/>
    <x v="0"/>
    <s v="Baptist"/>
    <n v="36541"/>
    <x v="9"/>
    <x v="1"/>
    <n v="85.7"/>
    <n v="7"/>
    <n v="76"/>
    <n v="61"/>
    <n v="53"/>
  </r>
  <r>
    <n v="2017"/>
    <x v="0"/>
    <s v="Baptist"/>
    <n v="36541"/>
    <x v="9"/>
    <x v="2"/>
    <n v="89.3"/>
    <n v="7"/>
    <n v="92"/>
    <n v="81"/>
    <n v="74"/>
  </r>
  <r>
    <n v="2017"/>
    <x v="0"/>
    <s v="Baptist"/>
    <n v="36541"/>
    <x v="9"/>
    <x v="3"/>
    <n v="89.3"/>
    <n v="7"/>
    <n v="98"/>
    <n v="87"/>
    <n v="81"/>
  </r>
  <r>
    <n v="2017"/>
    <x v="0"/>
    <s v="Baptist"/>
    <n v="36541"/>
    <x v="9"/>
    <x v="4"/>
    <n v="85.7"/>
    <n v="7"/>
    <n v="35"/>
    <n v="18"/>
    <n v="21"/>
  </r>
  <r>
    <n v="2017"/>
    <x v="0"/>
    <s v="Baptist"/>
    <n v="36541"/>
    <x v="9"/>
    <x v="5"/>
    <n v="71.400000000000006"/>
    <n v="7"/>
    <n v="35"/>
    <n v="13"/>
    <n v="14"/>
  </r>
  <r>
    <n v="2017"/>
    <x v="0"/>
    <s v="Baptist"/>
    <n v="59899"/>
    <x v="10"/>
    <x v="0"/>
    <n v="81.3"/>
    <n v="9"/>
    <n v="20"/>
    <n v="10"/>
    <n v="11"/>
  </r>
  <r>
    <n v="2017"/>
    <x v="0"/>
    <s v="Baptist"/>
    <n v="59899"/>
    <x v="10"/>
    <x v="1"/>
    <n v="77.8"/>
    <n v="9"/>
    <n v="14"/>
    <n v="7"/>
    <n v="6"/>
  </r>
  <r>
    <n v="2017"/>
    <x v="0"/>
    <s v="Baptist"/>
    <n v="59899"/>
    <x v="10"/>
    <x v="2"/>
    <n v="77.8"/>
    <n v="9"/>
    <n v="4"/>
    <n v="3"/>
    <n v="3"/>
  </r>
  <r>
    <n v="2017"/>
    <x v="0"/>
    <s v="Baptist"/>
    <n v="59899"/>
    <x v="10"/>
    <x v="3"/>
    <n v="80.599999999999994"/>
    <n v="9"/>
    <n v="28"/>
    <n v="19"/>
    <n v="15"/>
  </r>
  <r>
    <n v="2017"/>
    <x v="0"/>
    <s v="Baptist"/>
    <n v="59899"/>
    <x v="10"/>
    <x v="4"/>
    <n v="88.9"/>
    <n v="9"/>
    <n v="67"/>
    <n v="52"/>
    <n v="49"/>
  </r>
  <r>
    <n v="2017"/>
    <x v="0"/>
    <s v="Baptist"/>
    <n v="59899"/>
    <x v="10"/>
    <x v="5"/>
    <n v="61.1"/>
    <n v="9"/>
    <n v="6"/>
    <n v="3"/>
    <n v="2"/>
  </r>
  <r>
    <n v="2017"/>
    <x v="0"/>
    <s v="Baptist"/>
    <n v="117465"/>
    <x v="11"/>
    <x v="0"/>
    <n v="86.4"/>
    <n v="11"/>
    <n v="65"/>
    <n v="53"/>
    <n v="47"/>
  </r>
  <r>
    <n v="2017"/>
    <x v="0"/>
    <s v="Baptist"/>
    <n v="117465"/>
    <x v="11"/>
    <x v="1"/>
    <n v="84.1"/>
    <n v="11"/>
    <n v="54"/>
    <n v="42"/>
    <n v="38"/>
  </r>
  <r>
    <n v="2017"/>
    <x v="0"/>
    <s v="Baptist"/>
    <n v="117465"/>
    <x v="11"/>
    <x v="2"/>
    <n v="86.4"/>
    <n v="11"/>
    <n v="60"/>
    <n v="47"/>
    <n v="44"/>
  </r>
  <r>
    <n v="2017"/>
    <x v="0"/>
    <s v="Baptist"/>
    <n v="117465"/>
    <x v="11"/>
    <x v="3"/>
    <n v="88.6"/>
    <n v="11"/>
    <n v="96"/>
    <n v="85"/>
    <n v="77"/>
  </r>
  <r>
    <n v="2017"/>
    <x v="0"/>
    <s v="Baptist"/>
    <n v="117465"/>
    <x v="11"/>
    <x v="4"/>
    <n v="86.4"/>
    <n v="11"/>
    <n v="40"/>
    <n v="26"/>
    <n v="26"/>
  </r>
  <r>
    <n v="2017"/>
    <x v="0"/>
    <s v="Baptist"/>
    <n v="117465"/>
    <x v="11"/>
    <x v="5"/>
    <n v="65"/>
    <n v="10"/>
    <n v="17"/>
    <n v="5"/>
    <n v="4"/>
  </r>
  <r>
    <n v="2017"/>
    <x v="0"/>
    <s v="Baptist"/>
    <n v="70375"/>
    <x v="12"/>
    <x v="0"/>
    <n v="81.3"/>
    <n v="11"/>
    <n v="20"/>
    <n v="10"/>
    <n v="11"/>
  </r>
  <r>
    <n v="2017"/>
    <x v="0"/>
    <s v="Baptist"/>
    <n v="70375"/>
    <x v="12"/>
    <x v="1"/>
    <n v="79.599999999999994"/>
    <n v="11"/>
    <n v="19"/>
    <n v="12"/>
    <n v="11"/>
  </r>
  <r>
    <n v="2017"/>
    <x v="0"/>
    <s v="Baptist"/>
    <n v="70375"/>
    <x v="12"/>
    <x v="2"/>
    <n v="81.8"/>
    <n v="11"/>
    <n v="19"/>
    <n v="9"/>
    <n v="13"/>
  </r>
  <r>
    <n v="2017"/>
    <x v="0"/>
    <s v="Baptist"/>
    <n v="70375"/>
    <x v="12"/>
    <x v="3"/>
    <n v="75"/>
    <n v="11"/>
    <n v="4"/>
    <n v="2"/>
    <n v="2"/>
  </r>
  <r>
    <n v="2017"/>
    <x v="0"/>
    <s v="Baptist"/>
    <n v="70375"/>
    <x v="12"/>
    <x v="4"/>
    <n v="88.6"/>
    <n v="11"/>
    <n v="61"/>
    <n v="48"/>
    <n v="46"/>
  </r>
  <r>
    <n v="2017"/>
    <x v="0"/>
    <s v="Baptist"/>
    <n v="70375"/>
    <x v="12"/>
    <x v="5"/>
    <n v="61.4"/>
    <n v="11"/>
    <n v="6"/>
    <n v="3"/>
    <n v="2"/>
  </r>
  <r>
    <n v="2017"/>
    <x v="0"/>
    <s v="Baptist"/>
    <n v="117671"/>
    <x v="13"/>
    <x v="0"/>
    <n v="82.3"/>
    <n v="6"/>
    <n v="30"/>
    <n v="19"/>
    <n v="17"/>
  </r>
  <r>
    <n v="2017"/>
    <x v="0"/>
    <s v="Baptist"/>
    <n v="117671"/>
    <x v="13"/>
    <x v="1"/>
    <n v="79.2"/>
    <n v="6"/>
    <n v="17"/>
    <n v="8"/>
    <n v="10"/>
  </r>
  <r>
    <n v="2017"/>
    <x v="0"/>
    <s v="Baptist"/>
    <n v="117671"/>
    <x v="13"/>
    <x v="2"/>
    <n v="83.3"/>
    <n v="6"/>
    <n v="34"/>
    <n v="24"/>
    <n v="21"/>
  </r>
  <r>
    <n v="2017"/>
    <x v="0"/>
    <s v="Baptist"/>
    <n v="117671"/>
    <x v="13"/>
    <x v="3"/>
    <n v="79.2"/>
    <n v="6"/>
    <n v="17"/>
    <n v="9"/>
    <n v="9"/>
  </r>
  <r>
    <n v="2017"/>
    <x v="0"/>
    <s v="Baptist"/>
    <n v="117671"/>
    <x v="13"/>
    <x v="4"/>
    <n v="87.5"/>
    <n v="6"/>
    <n v="52"/>
    <n v="35"/>
    <n v="35"/>
  </r>
  <r>
    <n v="2017"/>
    <x v="0"/>
    <s v="Baptist"/>
    <n v="117671"/>
    <x v="13"/>
    <x v="5"/>
    <n v="45.8"/>
    <n v="6"/>
    <n v="1"/>
    <n v="1"/>
    <n v="1"/>
  </r>
  <r>
    <n v="2017"/>
    <x v="0"/>
    <s v="Baptist"/>
    <n v="103275"/>
    <x v="14"/>
    <x v="0"/>
    <n v="82.1"/>
    <n v="7"/>
    <n v="28"/>
    <n v="18"/>
    <n v="16"/>
  </r>
  <r>
    <n v="2017"/>
    <x v="0"/>
    <s v="Baptist"/>
    <n v="103275"/>
    <x v="14"/>
    <x v="1"/>
    <n v="78.599999999999994"/>
    <n v="7"/>
    <n v="15"/>
    <n v="7"/>
    <n v="8"/>
  </r>
  <r>
    <n v="2017"/>
    <x v="0"/>
    <s v="Baptist"/>
    <n v="103275"/>
    <x v="14"/>
    <x v="2"/>
    <n v="85.7"/>
    <n v="7"/>
    <n v="54"/>
    <n v="42"/>
    <n v="39"/>
  </r>
  <r>
    <n v="2017"/>
    <x v="0"/>
    <s v="Baptist"/>
    <n v="103275"/>
    <x v="14"/>
    <x v="3"/>
    <n v="78.599999999999994"/>
    <n v="7"/>
    <n v="15"/>
    <n v="6"/>
    <n v="7"/>
  </r>
  <r>
    <n v="2017"/>
    <x v="0"/>
    <s v="Baptist"/>
    <n v="103275"/>
    <x v="14"/>
    <x v="4"/>
    <n v="85.7"/>
    <n v="7"/>
    <n v="35"/>
    <n v="18"/>
    <n v="21"/>
  </r>
  <r>
    <n v="2017"/>
    <x v="0"/>
    <s v="Baptist"/>
    <n v="103275"/>
    <x v="14"/>
    <x v="5"/>
    <n v="60.7"/>
    <n v="7"/>
    <n v="6"/>
    <n v="3"/>
    <n v="2"/>
  </r>
  <r>
    <n v="2017"/>
    <x v="0"/>
    <s v="Baptist"/>
    <n v="89391"/>
    <x v="15"/>
    <x v="0"/>
    <n v="83.8"/>
    <n v="5"/>
    <n v="40"/>
    <n v="31"/>
    <n v="25"/>
  </r>
  <r>
    <n v="2017"/>
    <x v="0"/>
    <s v="Baptist"/>
    <n v="89391"/>
    <x v="15"/>
    <x v="1"/>
    <n v="85"/>
    <n v="5"/>
    <n v="66"/>
    <n v="49"/>
    <n v="45"/>
  </r>
  <r>
    <n v="2017"/>
    <x v="0"/>
    <s v="Baptist"/>
    <n v="89391"/>
    <x v="15"/>
    <x v="2"/>
    <n v="85"/>
    <n v="5"/>
    <n v="48"/>
    <n v="36"/>
    <n v="32"/>
  </r>
  <r>
    <n v="2017"/>
    <x v="0"/>
    <s v="Baptist"/>
    <n v="89391"/>
    <x v="15"/>
    <x v="3"/>
    <n v="80"/>
    <n v="5"/>
    <n v="23"/>
    <n v="17"/>
    <n v="12"/>
  </r>
  <r>
    <n v="2017"/>
    <x v="0"/>
    <s v="Baptist"/>
    <n v="89391"/>
    <x v="15"/>
    <x v="4"/>
    <n v="85"/>
    <n v="5"/>
    <n v="29"/>
    <n v="12"/>
    <n v="16"/>
  </r>
  <r>
    <n v="2017"/>
    <x v="0"/>
    <s v="Baptist"/>
    <n v="89391"/>
    <x v="15"/>
    <x v="5"/>
    <n v="55"/>
    <n v="5"/>
    <n v="1"/>
    <n v="1"/>
    <n v="1"/>
  </r>
  <r>
    <n v="2017"/>
    <x v="0"/>
    <s v="Baptist"/>
    <n v="152587"/>
    <x v="16"/>
    <x v="0"/>
    <n v="74"/>
    <n v="6"/>
    <n v="1"/>
    <n v="1"/>
    <n v="1"/>
  </r>
  <r>
    <n v="2017"/>
    <x v="0"/>
    <s v="Baptist"/>
    <n v="152587"/>
    <x v="16"/>
    <x v="1"/>
    <n v="70.8"/>
    <n v="6"/>
    <n v="1"/>
    <n v="1"/>
    <n v="1"/>
  </r>
  <r>
    <n v="2017"/>
    <x v="0"/>
    <s v="Baptist"/>
    <n v="152587"/>
    <x v="16"/>
    <x v="2"/>
    <n v="75"/>
    <n v="6"/>
    <n v="1"/>
    <n v="1"/>
    <n v="1"/>
  </r>
  <r>
    <n v="2017"/>
    <x v="0"/>
    <s v="Baptist"/>
    <n v="152587"/>
    <x v="16"/>
    <x v="3"/>
    <n v="66.7"/>
    <n v="6"/>
    <n v="1"/>
    <n v="1"/>
    <n v="1"/>
  </r>
  <r>
    <n v="2017"/>
    <x v="0"/>
    <s v="Baptist"/>
    <n v="152587"/>
    <x v="16"/>
    <x v="4"/>
    <n v="83.3"/>
    <n v="6"/>
    <n v="15"/>
    <n v="5"/>
    <n v="9"/>
  </r>
  <r>
    <n v="2017"/>
    <x v="0"/>
    <s v="Baptist"/>
    <n v="152587"/>
    <x v="16"/>
    <x v="5"/>
    <n v="75"/>
    <n v="6"/>
    <n v="57"/>
    <n v="31"/>
    <n v="25"/>
  </r>
  <r>
    <n v="2017"/>
    <x v="0"/>
    <s v="Baptist"/>
    <n v="121681"/>
    <x v="17"/>
    <x v="0"/>
    <n v="78.599999999999994"/>
    <n v="7"/>
    <n v="10"/>
    <n v="4"/>
    <n v="4"/>
  </r>
  <r>
    <n v="2017"/>
    <x v="0"/>
    <s v="Baptist"/>
    <n v="121681"/>
    <x v="17"/>
    <x v="1"/>
    <n v="83.3"/>
    <n v="6"/>
    <n v="49"/>
    <n v="40"/>
    <n v="32"/>
  </r>
  <r>
    <n v="2017"/>
    <x v="0"/>
    <s v="Baptist"/>
    <n v="121681"/>
    <x v="17"/>
    <x v="2"/>
    <n v="71.400000000000006"/>
    <n v="7"/>
    <n v="1"/>
    <n v="1"/>
    <n v="1"/>
  </r>
  <r>
    <n v="2017"/>
    <x v="0"/>
    <s v="Baptist"/>
    <n v="121681"/>
    <x v="17"/>
    <x v="3"/>
    <n v="75"/>
    <n v="7"/>
    <n v="4"/>
    <n v="2"/>
    <n v="2"/>
  </r>
  <r>
    <n v="2017"/>
    <x v="0"/>
    <s v="Baptist"/>
    <n v="121681"/>
    <x v="17"/>
    <x v="4"/>
    <n v="82.1"/>
    <n v="7"/>
    <n v="10"/>
    <n v="3"/>
    <n v="6"/>
  </r>
  <r>
    <n v="2017"/>
    <x v="0"/>
    <s v="Baptist"/>
    <n v="121681"/>
    <x v="17"/>
    <x v="5"/>
    <n v="21.4"/>
    <n v="7"/>
    <n v="1"/>
    <n v="1"/>
    <n v="1"/>
  </r>
  <r>
    <n v="2017"/>
    <x v="0"/>
    <s v="Baptist"/>
    <n v="150441"/>
    <x v="18"/>
    <x v="0"/>
    <n v="78.599999999999994"/>
    <n v="7"/>
    <n v="10"/>
    <n v="4"/>
    <n v="4"/>
  </r>
  <r>
    <n v="2017"/>
    <x v="0"/>
    <s v="Baptist"/>
    <n v="150441"/>
    <x v="18"/>
    <x v="1"/>
    <n v="71.400000000000006"/>
    <n v="7"/>
    <n v="1"/>
    <n v="1"/>
    <n v="1"/>
  </r>
  <r>
    <n v="2017"/>
    <x v="0"/>
    <s v="Baptist"/>
    <n v="150441"/>
    <x v="18"/>
    <x v="2"/>
    <n v="82.1"/>
    <n v="7"/>
    <n v="23"/>
    <n v="12"/>
    <n v="14"/>
  </r>
  <r>
    <n v="2017"/>
    <x v="0"/>
    <s v="Baptist"/>
    <n v="150441"/>
    <x v="18"/>
    <x v="3"/>
    <n v="78.599999999999994"/>
    <n v="7"/>
    <n v="15"/>
    <n v="6"/>
    <n v="7"/>
  </r>
  <r>
    <n v="2017"/>
    <x v="0"/>
    <s v="Baptist"/>
    <n v="150441"/>
    <x v="18"/>
    <x v="4"/>
    <n v="82.1"/>
    <n v="7"/>
    <n v="10"/>
    <n v="3"/>
    <n v="6"/>
  </r>
  <r>
    <n v="2017"/>
    <x v="0"/>
    <s v="Baptist"/>
    <n v="150441"/>
    <x v="18"/>
    <x v="5"/>
    <n v="64.3"/>
    <n v="7"/>
    <n v="16"/>
    <n v="3"/>
    <n v="4"/>
  </r>
  <r>
    <n v="2017"/>
    <x v="0"/>
    <s v="Baptist"/>
    <n v="23994"/>
    <x v="19"/>
    <x v="0"/>
    <n v="79.7"/>
    <n v="4"/>
    <n v="14"/>
    <n v="6"/>
    <n v="6"/>
  </r>
  <r>
    <n v="2017"/>
    <x v="0"/>
    <s v="Baptist"/>
    <n v="23994"/>
    <x v="19"/>
    <x v="1"/>
    <n v="81.3"/>
    <n v="4"/>
    <n v="36"/>
    <n v="26"/>
    <n v="19"/>
  </r>
  <r>
    <n v="2017"/>
    <x v="0"/>
    <s v="Baptist"/>
    <n v="23994"/>
    <x v="19"/>
    <x v="2"/>
    <n v="75"/>
    <n v="4"/>
    <n v="1"/>
    <n v="1"/>
    <n v="1"/>
  </r>
  <r>
    <n v="2017"/>
    <x v="0"/>
    <s v="Baptist"/>
    <n v="23994"/>
    <x v="19"/>
    <x v="3"/>
    <n v="75"/>
    <n v="3"/>
    <n v="4"/>
    <n v="2"/>
    <n v="2"/>
  </r>
  <r>
    <n v="2017"/>
    <x v="0"/>
    <s v="Baptist"/>
    <n v="23994"/>
    <x v="19"/>
    <x v="4"/>
    <n v="81.3"/>
    <n v="4"/>
    <n v="6"/>
    <n v="3"/>
    <n v="4"/>
  </r>
  <r>
    <n v="2017"/>
    <x v="0"/>
    <s v="Baptist"/>
    <n v="23994"/>
    <x v="19"/>
    <x v="5"/>
    <n v="40"/>
    <n v="5"/>
    <n v="1"/>
    <n v="1"/>
    <n v="1"/>
  </r>
  <r>
    <n v="2017"/>
    <x v="0"/>
    <s v="Baptist"/>
    <n v="117440"/>
    <x v="20"/>
    <x v="0"/>
    <n v="72.900000000000006"/>
    <n v="9"/>
    <n v="1"/>
    <n v="1"/>
    <n v="1"/>
  </r>
  <r>
    <n v="2017"/>
    <x v="0"/>
    <s v="Baptist"/>
    <n v="117440"/>
    <x v="20"/>
    <x v="1"/>
    <n v="71.900000000000006"/>
    <n v="8"/>
    <n v="1"/>
    <n v="1"/>
    <n v="1"/>
  </r>
  <r>
    <n v="2017"/>
    <x v="0"/>
    <s v="Baptist"/>
    <n v="117440"/>
    <x v="20"/>
    <x v="2"/>
    <n v="72.2"/>
    <n v="9"/>
    <n v="1"/>
    <n v="1"/>
    <n v="1"/>
  </r>
  <r>
    <n v="2017"/>
    <x v="0"/>
    <s v="Baptist"/>
    <n v="117440"/>
    <x v="20"/>
    <x v="3"/>
    <n v="65.599999999999994"/>
    <n v="8"/>
    <n v="1"/>
    <n v="1"/>
    <n v="1"/>
  </r>
  <r>
    <n v="2017"/>
    <x v="0"/>
    <s v="Baptist"/>
    <n v="117440"/>
    <x v="20"/>
    <x v="4"/>
    <n v="80.599999999999994"/>
    <n v="9"/>
    <n v="3"/>
    <n v="2"/>
    <n v="4"/>
  </r>
  <r>
    <n v="2017"/>
    <x v="0"/>
    <s v="Baptist"/>
    <n v="117440"/>
    <x v="20"/>
    <x v="5"/>
    <n v="52.8"/>
    <n v="9"/>
    <n v="1"/>
    <n v="1"/>
    <n v="1"/>
  </r>
  <r>
    <n v="2017"/>
    <x v="0"/>
    <s v="Baptist"/>
    <n v="99911"/>
    <x v="21"/>
    <x v="0"/>
    <n v="75"/>
    <n v="8"/>
    <n v="1"/>
    <n v="1"/>
    <n v="1"/>
  </r>
  <r>
    <n v="2017"/>
    <x v="0"/>
    <s v="Baptist"/>
    <n v="99911"/>
    <x v="21"/>
    <x v="1"/>
    <n v="75"/>
    <n v="8"/>
    <n v="4"/>
    <n v="2"/>
    <n v="2"/>
  </r>
  <r>
    <n v="2017"/>
    <x v="0"/>
    <s v="Baptist"/>
    <n v="99911"/>
    <x v="21"/>
    <x v="2"/>
    <n v="75"/>
    <n v="8"/>
    <n v="1"/>
    <n v="1"/>
    <n v="1"/>
  </r>
  <r>
    <n v="2017"/>
    <x v="0"/>
    <s v="Baptist"/>
    <n v="99911"/>
    <x v="21"/>
    <x v="3"/>
    <n v="71.900000000000006"/>
    <n v="8"/>
    <n v="1"/>
    <n v="1"/>
    <n v="1"/>
  </r>
  <r>
    <n v="2017"/>
    <x v="0"/>
    <s v="Baptist"/>
    <n v="99911"/>
    <x v="21"/>
    <x v="4"/>
    <n v="78.099999999999994"/>
    <n v="8"/>
    <n v="1"/>
    <n v="1"/>
    <n v="1"/>
  </r>
  <r>
    <n v="2017"/>
    <x v="0"/>
    <s v="Baptist"/>
    <n v="99911"/>
    <x v="21"/>
    <x v="5"/>
    <n v="59.4"/>
    <n v="8"/>
    <n v="4"/>
    <n v="1"/>
    <n v="1"/>
  </r>
  <r>
    <n v="2017"/>
    <x v="0"/>
    <s v="Baptist"/>
    <n v="88963"/>
    <x v="22"/>
    <x v="0"/>
    <n v="75"/>
    <n v="1"/>
    <n v="1"/>
    <n v="1"/>
    <n v="1"/>
  </r>
  <r>
    <n v="2017"/>
    <x v="0"/>
    <s v="Baptist"/>
    <n v="88963"/>
    <x v="22"/>
    <x v="1"/>
    <n v="75"/>
    <n v="1"/>
    <n v="4"/>
    <n v="2"/>
    <n v="2"/>
  </r>
  <r>
    <n v="2017"/>
    <x v="0"/>
    <s v="Baptist"/>
    <n v="88963"/>
    <x v="22"/>
    <x v="2"/>
    <n v="75"/>
    <n v="1"/>
    <n v="1"/>
    <n v="1"/>
    <n v="1"/>
  </r>
  <r>
    <n v="2017"/>
    <x v="0"/>
    <s v="Baptist"/>
    <n v="88963"/>
    <x v="22"/>
    <x v="3"/>
    <n v="75"/>
    <n v="1"/>
    <n v="4"/>
    <n v="2"/>
    <n v="2"/>
  </r>
  <r>
    <n v="2017"/>
    <x v="0"/>
    <s v="Baptist"/>
    <n v="88963"/>
    <x v="22"/>
    <x v="4"/>
    <n v="75"/>
    <n v="1"/>
    <n v="1"/>
    <n v="1"/>
    <n v="1"/>
  </r>
  <r>
    <n v="2017"/>
    <x v="0"/>
    <s v="Baptist"/>
    <n v="88963"/>
    <x v="22"/>
    <x v="5"/>
    <n v="50"/>
    <n v="1"/>
    <n v="1"/>
    <n v="1"/>
    <n v="1"/>
  </r>
  <r>
    <n v="2017"/>
    <x v="0"/>
    <s v="Baptist"/>
    <n v="149344"/>
    <x v="23"/>
    <x v="0"/>
    <n v="62.5"/>
    <n v="1"/>
    <n v="1"/>
    <n v="1"/>
    <n v="1"/>
  </r>
  <r>
    <n v="2017"/>
    <x v="0"/>
    <s v="Baptist"/>
    <n v="149344"/>
    <x v="23"/>
    <x v="1"/>
    <n v="50"/>
    <n v="1"/>
    <n v="1"/>
    <n v="1"/>
    <n v="1"/>
  </r>
  <r>
    <n v="2017"/>
    <x v="0"/>
    <s v="Baptist"/>
    <n v="149344"/>
    <x v="23"/>
    <x v="2"/>
    <n v="50"/>
    <n v="1"/>
    <n v="1"/>
    <n v="1"/>
    <n v="1"/>
  </r>
  <r>
    <n v="2017"/>
    <x v="0"/>
    <s v="Baptist"/>
    <n v="149344"/>
    <x v="23"/>
    <x v="3"/>
    <n v="75"/>
    <n v="1"/>
    <n v="4"/>
    <n v="2"/>
    <n v="2"/>
  </r>
  <r>
    <n v="2017"/>
    <x v="0"/>
    <s v="Baptist"/>
    <n v="149344"/>
    <x v="23"/>
    <x v="4"/>
    <n v="75"/>
    <n v="1"/>
    <n v="1"/>
    <n v="1"/>
    <n v="1"/>
  </r>
  <r>
    <n v="2017"/>
    <x v="0"/>
    <s v="Baptist"/>
    <n v="149344"/>
    <x v="23"/>
    <x v="5"/>
    <n v="50"/>
    <n v="1"/>
    <n v="1"/>
    <n v="1"/>
    <n v="1"/>
  </r>
  <r>
    <n v="2017"/>
    <x v="0"/>
    <s v="Baptist"/>
    <n v="114603"/>
    <x v="24"/>
    <x v="0"/>
    <n v="67.900000000000006"/>
    <n v="7"/>
    <n v="1"/>
    <n v="1"/>
    <n v="1"/>
  </r>
  <r>
    <n v="2017"/>
    <x v="0"/>
    <s v="Baptist"/>
    <n v="114603"/>
    <x v="24"/>
    <x v="1"/>
    <n v="67.900000000000006"/>
    <n v="7"/>
    <n v="1"/>
    <n v="1"/>
    <n v="1"/>
  </r>
  <r>
    <n v="2017"/>
    <x v="0"/>
    <s v="Baptist"/>
    <n v="114603"/>
    <x v="24"/>
    <x v="2"/>
    <n v="71.400000000000006"/>
    <n v="7"/>
    <n v="1"/>
    <n v="1"/>
    <n v="1"/>
  </r>
  <r>
    <n v="2017"/>
    <x v="0"/>
    <s v="Baptist"/>
    <n v="114603"/>
    <x v="24"/>
    <x v="3"/>
    <n v="60.7"/>
    <n v="7"/>
    <n v="1"/>
    <n v="1"/>
    <n v="1"/>
  </r>
  <r>
    <n v="2017"/>
    <x v="0"/>
    <s v="Baptist"/>
    <n v="114603"/>
    <x v="24"/>
    <x v="4"/>
    <n v="71.400000000000006"/>
    <n v="7"/>
    <n v="1"/>
    <n v="1"/>
    <n v="1"/>
  </r>
  <r>
    <n v="2017"/>
    <x v="0"/>
    <s v="Baptist"/>
    <n v="114603"/>
    <x v="24"/>
    <x v="5"/>
    <n v="53.6"/>
    <n v="7"/>
    <n v="1"/>
    <n v="1"/>
    <n v="1"/>
  </r>
  <r>
    <n v="2017"/>
    <x v="0"/>
    <s v="Baptist"/>
    <n v="64022"/>
    <x v="25"/>
    <x v="0"/>
    <n v="69.2"/>
    <n v="13"/>
    <n v="1"/>
    <n v="1"/>
    <n v="1"/>
  </r>
  <r>
    <n v="2017"/>
    <x v="0"/>
    <s v="Baptist"/>
    <n v="64022"/>
    <x v="25"/>
    <x v="1"/>
    <n v="67.3"/>
    <n v="13"/>
    <n v="1"/>
    <n v="1"/>
    <n v="1"/>
  </r>
  <r>
    <n v="2017"/>
    <x v="0"/>
    <s v="Baptist"/>
    <n v="64022"/>
    <x v="25"/>
    <x v="2"/>
    <n v="71.2"/>
    <n v="13"/>
    <n v="1"/>
    <n v="1"/>
    <n v="1"/>
  </r>
  <r>
    <n v="2017"/>
    <x v="0"/>
    <s v="Baptist"/>
    <n v="64022"/>
    <x v="25"/>
    <x v="3"/>
    <n v="67.3"/>
    <n v="13"/>
    <n v="1"/>
    <n v="1"/>
    <n v="1"/>
  </r>
  <r>
    <n v="2017"/>
    <x v="0"/>
    <s v="Baptist"/>
    <n v="64022"/>
    <x v="25"/>
    <x v="4"/>
    <n v="71.2"/>
    <n v="13"/>
    <n v="1"/>
    <n v="1"/>
    <n v="1"/>
  </r>
  <r>
    <n v="2017"/>
    <x v="0"/>
    <s v="Baptist"/>
    <n v="64022"/>
    <x v="25"/>
    <x v="5"/>
    <n v="61.5"/>
    <n v="13"/>
    <n v="7"/>
    <n v="3"/>
    <n v="2"/>
  </r>
  <r>
    <n v="2017"/>
    <x v="0"/>
    <s v="Baptist"/>
    <n v="153700"/>
    <x v="26"/>
    <x v="0"/>
    <n v="65.599999999999994"/>
    <n v="4"/>
    <n v="1"/>
    <n v="1"/>
    <n v="1"/>
  </r>
  <r>
    <n v="2017"/>
    <x v="0"/>
    <s v="Baptist"/>
    <n v="153700"/>
    <x v="26"/>
    <x v="1"/>
    <n v="62.5"/>
    <n v="4"/>
    <n v="1"/>
    <n v="1"/>
    <n v="1"/>
  </r>
  <r>
    <n v="2017"/>
    <x v="0"/>
    <s v="Baptist"/>
    <n v="153700"/>
    <x v="26"/>
    <x v="2"/>
    <n v="68.8"/>
    <n v="4"/>
    <n v="1"/>
    <n v="1"/>
    <n v="1"/>
  </r>
  <r>
    <n v="2017"/>
    <x v="0"/>
    <s v="Baptist"/>
    <n v="153700"/>
    <x v="26"/>
    <x v="3"/>
    <n v="62.5"/>
    <n v="4"/>
    <n v="1"/>
    <n v="1"/>
    <n v="1"/>
  </r>
  <r>
    <n v="2017"/>
    <x v="0"/>
    <s v="Baptist"/>
    <n v="153700"/>
    <x v="26"/>
    <x v="4"/>
    <n v="68.8"/>
    <n v="4"/>
    <n v="1"/>
    <n v="1"/>
    <n v="1"/>
  </r>
  <r>
    <n v="2017"/>
    <x v="0"/>
    <s v="Baptist"/>
    <n v="153700"/>
    <x v="26"/>
    <x v="5"/>
    <n v="50"/>
    <n v="4"/>
    <n v="1"/>
    <n v="1"/>
    <n v="1"/>
  </r>
  <r>
    <n v="2017"/>
    <x v="0"/>
    <s v="Baptist"/>
    <n v="91405"/>
    <x v="27"/>
    <x v="0"/>
    <n v="54.6"/>
    <n v="11"/>
    <n v="1"/>
    <n v="1"/>
    <n v="1"/>
  </r>
  <r>
    <n v="2017"/>
    <x v="0"/>
    <s v="Baptist"/>
    <n v="91405"/>
    <x v="27"/>
    <x v="1"/>
    <n v="47.7"/>
    <n v="11"/>
    <n v="1"/>
    <n v="1"/>
    <n v="1"/>
  </r>
  <r>
    <n v="2017"/>
    <x v="0"/>
    <s v="Baptist"/>
    <n v="91405"/>
    <x v="27"/>
    <x v="2"/>
    <n v="59.1"/>
    <n v="11"/>
    <n v="1"/>
    <n v="1"/>
    <n v="1"/>
  </r>
  <r>
    <n v="2017"/>
    <x v="0"/>
    <s v="Baptist"/>
    <n v="91405"/>
    <x v="27"/>
    <x v="3"/>
    <n v="50"/>
    <n v="11"/>
    <n v="1"/>
    <n v="1"/>
    <n v="1"/>
  </r>
  <r>
    <n v="2017"/>
    <x v="0"/>
    <s v="Baptist"/>
    <n v="91405"/>
    <x v="27"/>
    <x v="4"/>
    <n v="61.4"/>
    <n v="11"/>
    <n v="1"/>
    <n v="1"/>
    <n v="1"/>
  </r>
  <r>
    <n v="2017"/>
    <x v="0"/>
    <s v="Baptist"/>
    <n v="91405"/>
    <x v="27"/>
    <x v="5"/>
    <n v="50"/>
    <n v="10"/>
    <n v="1"/>
    <n v="1"/>
    <n v="1"/>
  </r>
  <r>
    <n v="2017"/>
    <x v="0"/>
    <s v="Baptist"/>
    <n v="58321"/>
    <x v="28"/>
    <x v="0"/>
    <n v="53.1"/>
    <n v="8"/>
    <n v="1"/>
    <n v="1"/>
    <n v="1"/>
  </r>
  <r>
    <n v="2017"/>
    <x v="0"/>
    <s v="Baptist"/>
    <n v="58321"/>
    <x v="28"/>
    <x v="1"/>
    <n v="53.1"/>
    <n v="8"/>
    <n v="1"/>
    <n v="1"/>
    <n v="1"/>
  </r>
  <r>
    <n v="2017"/>
    <x v="0"/>
    <s v="Baptist"/>
    <n v="58321"/>
    <x v="28"/>
    <x v="2"/>
    <n v="50"/>
    <n v="8"/>
    <n v="1"/>
    <n v="1"/>
    <n v="1"/>
  </r>
  <r>
    <n v="2017"/>
    <x v="0"/>
    <s v="Baptist"/>
    <n v="58321"/>
    <x v="28"/>
    <x v="3"/>
    <n v="50"/>
    <n v="8"/>
    <n v="1"/>
    <n v="1"/>
    <n v="1"/>
  </r>
  <r>
    <n v="2017"/>
    <x v="0"/>
    <s v="Baptist"/>
    <n v="58321"/>
    <x v="28"/>
    <x v="4"/>
    <n v="59.4"/>
    <n v="8"/>
    <n v="1"/>
    <n v="1"/>
    <n v="1"/>
  </r>
  <r>
    <n v="2017"/>
    <x v="0"/>
    <s v="Baptist"/>
    <n v="58321"/>
    <x v="28"/>
    <x v="5"/>
    <n v="21.9"/>
    <n v="8"/>
    <n v="1"/>
    <n v="1"/>
    <n v="1"/>
  </r>
  <r>
    <n v="2017"/>
    <x v="0"/>
    <s v="Baptist"/>
    <n v="91397"/>
    <x v="29"/>
    <x v="0"/>
    <n v="58.3"/>
    <n v="3"/>
    <n v="1"/>
    <n v="1"/>
    <n v="1"/>
  </r>
  <r>
    <n v="2017"/>
    <x v="0"/>
    <s v="Baptist"/>
    <n v="91397"/>
    <x v="29"/>
    <x v="1"/>
    <n v="58.3"/>
    <n v="3"/>
    <n v="1"/>
    <n v="1"/>
    <n v="1"/>
  </r>
  <r>
    <n v="2017"/>
    <x v="0"/>
    <s v="Baptist"/>
    <n v="91397"/>
    <x v="29"/>
    <x v="2"/>
    <n v="58.3"/>
    <n v="3"/>
    <n v="1"/>
    <n v="1"/>
    <n v="1"/>
  </r>
  <r>
    <n v="2017"/>
    <x v="0"/>
    <s v="Baptist"/>
    <n v="91397"/>
    <x v="29"/>
    <x v="3"/>
    <n v="58.3"/>
    <n v="3"/>
    <n v="1"/>
    <n v="1"/>
    <n v="1"/>
  </r>
  <r>
    <n v="2017"/>
    <x v="0"/>
    <s v="Baptist"/>
    <n v="91397"/>
    <x v="29"/>
    <x v="4"/>
    <n v="58.3"/>
    <n v="3"/>
    <n v="1"/>
    <n v="1"/>
    <n v="1"/>
  </r>
  <r>
    <n v="2017"/>
    <x v="0"/>
    <s v="Baptist"/>
    <n v="91397"/>
    <x v="29"/>
    <x v="5"/>
    <n v="58.3"/>
    <n v="3"/>
    <n v="2"/>
    <n v="1"/>
    <n v="1"/>
  </r>
  <r>
    <n v="2017"/>
    <x v="0"/>
    <s v="Baptist"/>
    <n v="60707"/>
    <x v="30"/>
    <x v="0"/>
    <n v="51.6"/>
    <n v="4"/>
    <n v="1"/>
    <n v="1"/>
    <n v="1"/>
  </r>
  <r>
    <n v="2017"/>
    <x v="0"/>
    <s v="Baptist"/>
    <n v="60707"/>
    <x v="30"/>
    <x v="1"/>
    <n v="50"/>
    <n v="4"/>
    <n v="1"/>
    <n v="1"/>
    <n v="1"/>
  </r>
  <r>
    <n v="2017"/>
    <x v="0"/>
    <s v="Baptist"/>
    <n v="60707"/>
    <x v="30"/>
    <x v="2"/>
    <n v="56.3"/>
    <n v="4"/>
    <n v="1"/>
    <n v="1"/>
    <n v="1"/>
  </r>
  <r>
    <n v="2017"/>
    <x v="0"/>
    <s v="Baptist"/>
    <n v="60707"/>
    <x v="30"/>
    <x v="3"/>
    <n v="50"/>
    <n v="4"/>
    <n v="1"/>
    <n v="1"/>
    <n v="1"/>
  </r>
  <r>
    <n v="2017"/>
    <x v="0"/>
    <s v="Baptist"/>
    <n v="60707"/>
    <x v="30"/>
    <x v="4"/>
    <n v="50"/>
    <n v="4"/>
    <n v="1"/>
    <n v="1"/>
    <n v="1"/>
  </r>
  <r>
    <n v="2017"/>
    <x v="0"/>
    <s v="Baptist"/>
    <n v="60707"/>
    <x v="30"/>
    <x v="5"/>
    <n v="43.8"/>
    <n v="4"/>
    <n v="1"/>
    <n v="1"/>
    <n v="1"/>
  </r>
  <r>
    <n v="2017"/>
    <x v="0"/>
    <s v="Baptist"/>
    <n v="101071"/>
    <x v="31"/>
    <x v="0"/>
    <n v="12.5"/>
    <n v="9"/>
    <n v="1"/>
    <n v="1"/>
    <n v="1"/>
  </r>
  <r>
    <n v="2017"/>
    <x v="0"/>
    <s v="Baptist"/>
    <n v="101071"/>
    <x v="31"/>
    <x v="1"/>
    <n v="11.1"/>
    <n v="9"/>
    <n v="1"/>
    <n v="1"/>
    <n v="1"/>
  </r>
  <r>
    <n v="2017"/>
    <x v="0"/>
    <s v="Baptist"/>
    <n v="101071"/>
    <x v="31"/>
    <x v="2"/>
    <n v="11.1"/>
    <n v="9"/>
    <n v="1"/>
    <n v="1"/>
    <n v="1"/>
  </r>
  <r>
    <n v="2017"/>
    <x v="0"/>
    <s v="Baptist"/>
    <n v="101071"/>
    <x v="31"/>
    <x v="3"/>
    <n v="11.1"/>
    <n v="9"/>
    <n v="1"/>
    <n v="1"/>
    <n v="1"/>
  </r>
  <r>
    <n v="2017"/>
    <x v="0"/>
    <s v="Baptist"/>
    <n v="101071"/>
    <x v="31"/>
    <x v="4"/>
    <n v="16.7"/>
    <n v="9"/>
    <n v="1"/>
    <n v="1"/>
    <n v="1"/>
  </r>
  <r>
    <n v="2017"/>
    <x v="0"/>
    <s v="Baptist"/>
    <n v="101071"/>
    <x v="31"/>
    <x v="5"/>
    <n v="9.1"/>
    <n v="11"/>
    <n v="1"/>
    <n v="1"/>
    <n v="1"/>
  </r>
  <r>
    <n v="2017"/>
    <x v="1"/>
    <s v="Baptist"/>
    <n v="117671"/>
    <x v="13"/>
    <x v="5"/>
    <n v="71.900000000000006"/>
    <n v="8"/>
    <n v="33"/>
    <n v="15"/>
    <n v="13"/>
  </r>
  <r>
    <n v="2017"/>
    <x v="1"/>
    <s v="Baptist"/>
    <n v="117671"/>
    <x v="13"/>
    <x v="0"/>
    <n v="82"/>
    <n v="8"/>
    <n v="26"/>
    <n v="13"/>
    <n v="15"/>
  </r>
  <r>
    <n v="2017"/>
    <x v="1"/>
    <s v="Baptist"/>
    <n v="117671"/>
    <x v="13"/>
    <x v="4"/>
    <n v="87.5"/>
    <n v="8"/>
    <n v="47"/>
    <n v="42"/>
    <n v="35"/>
  </r>
  <r>
    <n v="2017"/>
    <x v="1"/>
    <s v="Baptist"/>
    <n v="117671"/>
    <x v="13"/>
    <x v="2"/>
    <n v="81.3"/>
    <n v="8"/>
    <n v="16"/>
    <n v="8"/>
    <n v="10"/>
  </r>
  <r>
    <n v="2017"/>
    <x v="1"/>
    <s v="Baptist"/>
    <n v="117671"/>
    <x v="13"/>
    <x v="1"/>
    <n v="78.099999999999994"/>
    <n v="8"/>
    <n v="13"/>
    <n v="8"/>
    <n v="7"/>
  </r>
  <r>
    <n v="2017"/>
    <x v="1"/>
    <s v="Baptist"/>
    <n v="117671"/>
    <x v="13"/>
    <x v="3"/>
    <n v="81.3"/>
    <n v="8"/>
    <n v="34"/>
    <n v="25"/>
    <n v="18"/>
  </r>
  <r>
    <n v="2017"/>
    <x v="1"/>
    <s v="Baptist"/>
    <n v="104133"/>
    <x v="8"/>
    <x v="5"/>
    <n v="70.8"/>
    <n v="6"/>
    <n v="30"/>
    <n v="12"/>
    <n v="11"/>
  </r>
  <r>
    <n v="2017"/>
    <x v="1"/>
    <s v="Baptist"/>
    <n v="104133"/>
    <x v="8"/>
    <x v="0"/>
    <n v="81.3"/>
    <n v="6"/>
    <n v="18"/>
    <n v="8"/>
    <n v="11"/>
  </r>
  <r>
    <n v="2017"/>
    <x v="1"/>
    <s v="Baptist"/>
    <n v="104133"/>
    <x v="8"/>
    <x v="4"/>
    <n v="87.5"/>
    <n v="6"/>
    <n v="47"/>
    <n v="42"/>
    <n v="35"/>
  </r>
  <r>
    <n v="2017"/>
    <x v="1"/>
    <s v="Baptist"/>
    <n v="104133"/>
    <x v="8"/>
    <x v="2"/>
    <n v="87.5"/>
    <n v="6"/>
    <n v="75"/>
    <n v="64"/>
    <n v="56"/>
  </r>
  <r>
    <n v="2017"/>
    <x v="1"/>
    <s v="Baptist"/>
    <n v="104133"/>
    <x v="8"/>
    <x v="1"/>
    <n v="75"/>
    <n v="6"/>
    <n v="5"/>
    <n v="2"/>
    <n v="2"/>
  </r>
  <r>
    <n v="2017"/>
    <x v="1"/>
    <s v="Baptist"/>
    <n v="104133"/>
    <x v="8"/>
    <x v="3"/>
    <n v="75"/>
    <n v="6"/>
    <n v="4"/>
    <n v="1"/>
    <n v="2"/>
  </r>
  <r>
    <n v="2017"/>
    <x v="1"/>
    <s v="Baptist"/>
    <n v="114603"/>
    <x v="24"/>
    <x v="5"/>
    <n v="68.8"/>
    <n v="4"/>
    <n v="22"/>
    <n v="8"/>
    <n v="7"/>
  </r>
  <r>
    <n v="2017"/>
    <x v="1"/>
    <s v="Baptist"/>
    <n v="114603"/>
    <x v="24"/>
    <x v="0"/>
    <n v="90.6"/>
    <n v="4"/>
    <n v="98"/>
    <n v="93"/>
    <n v="84"/>
  </r>
  <r>
    <n v="2017"/>
    <x v="1"/>
    <s v="Baptist"/>
    <n v="114603"/>
    <x v="24"/>
    <x v="4"/>
    <n v="93.8"/>
    <n v="4"/>
    <n v="99"/>
    <n v="97"/>
    <n v="91"/>
  </r>
  <r>
    <n v="2017"/>
    <x v="1"/>
    <s v="Baptist"/>
    <n v="114603"/>
    <x v="24"/>
    <x v="2"/>
    <n v="87.5"/>
    <n v="4"/>
    <n v="75"/>
    <n v="64"/>
    <n v="56"/>
  </r>
  <r>
    <n v="2017"/>
    <x v="1"/>
    <s v="Baptist"/>
    <n v="114603"/>
    <x v="24"/>
    <x v="1"/>
    <n v="93.8"/>
    <n v="4"/>
    <n v="99"/>
    <n v="99"/>
    <n v="96"/>
  </r>
  <r>
    <n v="2017"/>
    <x v="1"/>
    <s v="Baptist"/>
    <n v="114603"/>
    <x v="24"/>
    <x v="3"/>
    <n v="87.5"/>
    <n v="4"/>
    <n v="91"/>
    <n v="76"/>
    <n v="68"/>
  </r>
  <r>
    <n v="2017"/>
    <x v="1"/>
    <s v="Baptist"/>
    <n v="101071"/>
    <x v="31"/>
    <x v="5"/>
    <n v="66.7"/>
    <n v="9"/>
    <n v="16"/>
    <n v="5"/>
    <n v="4"/>
  </r>
  <r>
    <n v="2017"/>
    <x v="1"/>
    <s v="Baptist"/>
    <n v="101071"/>
    <x v="31"/>
    <x v="0"/>
    <n v="68.8"/>
    <n v="9"/>
    <n v="1"/>
    <n v="1"/>
    <n v="1"/>
  </r>
  <r>
    <n v="2017"/>
    <x v="1"/>
    <s v="Baptist"/>
    <n v="101071"/>
    <x v="31"/>
    <x v="4"/>
    <n v="69.400000000000006"/>
    <n v="9"/>
    <n v="1"/>
    <n v="1"/>
    <n v="1"/>
  </r>
  <r>
    <n v="2017"/>
    <x v="1"/>
    <s v="Baptist"/>
    <n v="101071"/>
    <x v="31"/>
    <x v="2"/>
    <n v="69.400000000000006"/>
    <n v="9"/>
    <n v="1"/>
    <n v="1"/>
    <n v="1"/>
  </r>
  <r>
    <n v="2017"/>
    <x v="1"/>
    <s v="Baptist"/>
    <n v="101071"/>
    <x v="31"/>
    <x v="1"/>
    <n v="66.7"/>
    <n v="9"/>
    <n v="1"/>
    <n v="1"/>
    <n v="1"/>
  </r>
  <r>
    <n v="2017"/>
    <x v="1"/>
    <s v="Baptist"/>
    <n v="101071"/>
    <x v="31"/>
    <x v="3"/>
    <n v="69.400000000000006"/>
    <n v="9"/>
    <n v="1"/>
    <n v="1"/>
    <n v="1"/>
  </r>
  <r>
    <n v="2017"/>
    <x v="1"/>
    <s v="Baptist"/>
    <n v="110569"/>
    <x v="6"/>
    <x v="5"/>
    <n v="57.5"/>
    <n v="10"/>
    <n v="1"/>
    <n v="1"/>
    <n v="1"/>
  </r>
  <r>
    <n v="2017"/>
    <x v="1"/>
    <s v="Baptist"/>
    <n v="110569"/>
    <x v="6"/>
    <x v="0"/>
    <n v="67.400000000000006"/>
    <n v="9"/>
    <n v="1"/>
    <n v="1"/>
    <n v="1"/>
  </r>
  <r>
    <n v="2017"/>
    <x v="1"/>
    <s v="Baptist"/>
    <n v="110569"/>
    <x v="6"/>
    <x v="4"/>
    <n v="75"/>
    <n v="9"/>
    <n v="1"/>
    <n v="1"/>
    <n v="1"/>
  </r>
  <r>
    <n v="2017"/>
    <x v="1"/>
    <s v="Baptist"/>
    <n v="110569"/>
    <x v="6"/>
    <x v="2"/>
    <n v="63.9"/>
    <n v="9"/>
    <n v="1"/>
    <n v="1"/>
    <n v="1"/>
  </r>
  <r>
    <n v="2017"/>
    <x v="1"/>
    <s v="Baptist"/>
    <n v="110569"/>
    <x v="6"/>
    <x v="1"/>
    <n v="63.9"/>
    <n v="9"/>
    <n v="1"/>
    <n v="1"/>
    <n v="1"/>
  </r>
  <r>
    <n v="2017"/>
    <x v="1"/>
    <s v="Baptist"/>
    <n v="110569"/>
    <x v="6"/>
    <x v="3"/>
    <n v="62.5"/>
    <n v="8"/>
    <n v="1"/>
    <n v="1"/>
    <n v="1"/>
  </r>
  <r>
    <n v="2017"/>
    <x v="1"/>
    <s v="Baptist"/>
    <n v="117465"/>
    <x v="11"/>
    <x v="5"/>
    <n v="50"/>
    <n v="4"/>
    <n v="1"/>
    <n v="1"/>
    <n v="1"/>
  </r>
  <r>
    <n v="2017"/>
    <x v="1"/>
    <s v="Baptist"/>
    <n v="117465"/>
    <x v="11"/>
    <x v="0"/>
    <n v="100"/>
    <n v="4"/>
    <n v="99"/>
    <n v="99"/>
    <n v="99"/>
  </r>
  <r>
    <n v="2017"/>
    <x v="1"/>
    <s v="Baptist"/>
    <n v="117465"/>
    <x v="11"/>
    <x v="4"/>
    <n v="100"/>
    <n v="4"/>
    <n v="99"/>
    <n v="99"/>
    <n v="99"/>
  </r>
  <r>
    <n v="2017"/>
    <x v="1"/>
    <s v="Baptist"/>
    <n v="117465"/>
    <x v="11"/>
    <x v="2"/>
    <n v="100"/>
    <n v="4"/>
    <n v="99"/>
    <n v="99"/>
    <n v="99"/>
  </r>
  <r>
    <n v="2017"/>
    <x v="1"/>
    <s v="Baptist"/>
    <n v="117465"/>
    <x v="11"/>
    <x v="1"/>
    <n v="100"/>
    <n v="4"/>
    <n v="99"/>
    <n v="99"/>
    <n v="99"/>
  </r>
  <r>
    <n v="2017"/>
    <x v="1"/>
    <s v="Baptist"/>
    <n v="117465"/>
    <x v="11"/>
    <x v="3"/>
    <n v="100"/>
    <n v="4"/>
    <n v="99"/>
    <n v="99"/>
    <n v="99"/>
  </r>
  <r>
    <n v="2017"/>
    <x v="1"/>
    <s v="Baptist"/>
    <n v="121681"/>
    <x v="17"/>
    <x v="5"/>
    <n v="75"/>
    <n v="7"/>
    <n v="53"/>
    <n v="27"/>
    <n v="23"/>
  </r>
  <r>
    <n v="2017"/>
    <x v="1"/>
    <s v="Baptist"/>
    <n v="121681"/>
    <x v="17"/>
    <x v="0"/>
    <n v="70.5"/>
    <n v="7"/>
    <n v="1"/>
    <n v="1"/>
    <n v="1"/>
  </r>
  <r>
    <n v="2017"/>
    <x v="1"/>
    <s v="Baptist"/>
    <n v="121681"/>
    <x v="17"/>
    <x v="4"/>
    <n v="71.400000000000006"/>
    <n v="7"/>
    <n v="1"/>
    <n v="1"/>
    <n v="1"/>
  </r>
  <r>
    <n v="2017"/>
    <x v="1"/>
    <s v="Baptist"/>
    <n v="121681"/>
    <x v="17"/>
    <x v="2"/>
    <n v="67.900000000000006"/>
    <n v="7"/>
    <n v="1"/>
    <n v="1"/>
    <n v="1"/>
  </r>
  <r>
    <n v="2017"/>
    <x v="1"/>
    <s v="Baptist"/>
    <n v="121681"/>
    <x v="17"/>
    <x v="1"/>
    <n v="71.400000000000006"/>
    <n v="7"/>
    <n v="1"/>
    <n v="1"/>
    <n v="1"/>
  </r>
  <r>
    <n v="2017"/>
    <x v="1"/>
    <s v="Baptist"/>
    <n v="121681"/>
    <x v="17"/>
    <x v="3"/>
    <n v="66.7"/>
    <n v="6"/>
    <n v="1"/>
    <n v="1"/>
    <n v="1"/>
  </r>
  <r>
    <n v="2017"/>
    <x v="1"/>
    <s v="Baptist"/>
    <n v="103275"/>
    <x v="14"/>
    <x v="5"/>
    <n v="60.7"/>
    <n v="7"/>
    <n v="4"/>
    <n v="2"/>
    <n v="1"/>
  </r>
  <r>
    <n v="2017"/>
    <x v="1"/>
    <s v="Baptist"/>
    <n v="103275"/>
    <x v="14"/>
    <x v="0"/>
    <n v="79.2"/>
    <n v="6"/>
    <n v="12"/>
    <n v="6"/>
    <n v="6"/>
  </r>
  <r>
    <n v="2017"/>
    <x v="1"/>
    <s v="Baptist"/>
    <n v="103275"/>
    <x v="14"/>
    <x v="4"/>
    <n v="79.2"/>
    <n v="6"/>
    <n v="1"/>
    <n v="1"/>
    <n v="2"/>
  </r>
  <r>
    <n v="2017"/>
    <x v="1"/>
    <s v="Baptist"/>
    <n v="103275"/>
    <x v="14"/>
    <x v="2"/>
    <n v="83.3"/>
    <n v="6"/>
    <n v="34"/>
    <n v="25"/>
    <n v="20"/>
  </r>
  <r>
    <n v="2017"/>
    <x v="1"/>
    <s v="Baptist"/>
    <n v="103275"/>
    <x v="14"/>
    <x v="1"/>
    <n v="79.2"/>
    <n v="6"/>
    <n v="18"/>
    <n v="10"/>
    <n v="10"/>
  </r>
  <r>
    <n v="2017"/>
    <x v="1"/>
    <s v="Baptist"/>
    <n v="103275"/>
    <x v="14"/>
    <x v="3"/>
    <n v="75"/>
    <n v="6"/>
    <n v="4"/>
    <n v="1"/>
    <n v="2"/>
  </r>
  <r>
    <n v="2017"/>
    <x v="1"/>
    <s v="Baptist"/>
    <n v="150441"/>
    <x v="18"/>
    <x v="5"/>
    <n v="83.3"/>
    <n v="9"/>
    <n v="90"/>
    <n v="66"/>
    <n v="66"/>
  </r>
  <r>
    <n v="2017"/>
    <x v="1"/>
    <s v="Baptist"/>
    <n v="150441"/>
    <x v="18"/>
    <x v="0"/>
    <n v="93.8"/>
    <n v="10"/>
    <n v="99"/>
    <n v="99"/>
    <n v="95"/>
  </r>
  <r>
    <n v="2017"/>
    <x v="1"/>
    <s v="Baptist"/>
    <n v="150441"/>
    <x v="18"/>
    <x v="4"/>
    <n v="92.5"/>
    <n v="10"/>
    <n v="99"/>
    <n v="94"/>
    <n v="84"/>
  </r>
  <r>
    <n v="2017"/>
    <x v="1"/>
    <s v="Baptist"/>
    <n v="150441"/>
    <x v="18"/>
    <x v="2"/>
    <n v="92.5"/>
    <n v="10"/>
    <n v="99"/>
    <n v="97"/>
    <n v="92"/>
  </r>
  <r>
    <n v="2017"/>
    <x v="1"/>
    <s v="Baptist"/>
    <n v="150441"/>
    <x v="18"/>
    <x v="1"/>
    <n v="95"/>
    <n v="10"/>
    <n v="99"/>
    <n v="99"/>
    <n v="98"/>
  </r>
  <r>
    <n v="2017"/>
    <x v="1"/>
    <s v="Baptist"/>
    <n v="150441"/>
    <x v="18"/>
    <x v="3"/>
    <n v="95"/>
    <n v="10"/>
    <n v="99"/>
    <n v="99"/>
    <n v="98"/>
  </r>
  <r>
    <n v="2017"/>
    <x v="1"/>
    <s v="Baptist"/>
    <n v="152587"/>
    <x v="16"/>
    <x v="5"/>
    <n v="62.5"/>
    <n v="4"/>
    <n v="9"/>
    <n v="3"/>
    <n v="2"/>
  </r>
  <r>
    <n v="2017"/>
    <x v="1"/>
    <s v="Baptist"/>
    <n v="152587"/>
    <x v="16"/>
    <x v="0"/>
    <n v="36.299999999999997"/>
    <n v="5"/>
    <n v="1"/>
    <n v="1"/>
    <n v="1"/>
  </r>
  <r>
    <n v="2017"/>
    <x v="1"/>
    <s v="Baptist"/>
    <n v="152587"/>
    <x v="16"/>
    <x v="4"/>
    <n v="50"/>
    <n v="5"/>
    <n v="1"/>
    <n v="1"/>
    <n v="1"/>
  </r>
  <r>
    <n v="2017"/>
    <x v="1"/>
    <s v="Baptist"/>
    <n v="152587"/>
    <x v="16"/>
    <x v="2"/>
    <n v="35"/>
    <n v="5"/>
    <n v="1"/>
    <n v="1"/>
    <n v="1"/>
  </r>
  <r>
    <n v="2017"/>
    <x v="1"/>
    <s v="Baptist"/>
    <n v="152587"/>
    <x v="16"/>
    <x v="1"/>
    <n v="30"/>
    <n v="5"/>
    <n v="1"/>
    <n v="1"/>
    <n v="1"/>
  </r>
  <r>
    <n v="2017"/>
    <x v="1"/>
    <s v="Baptist"/>
    <n v="152587"/>
    <x v="16"/>
    <x v="3"/>
    <n v="30"/>
    <n v="5"/>
    <n v="1"/>
    <n v="1"/>
    <n v="1"/>
  </r>
  <r>
    <n v="2017"/>
    <x v="1"/>
    <s v="Baptist"/>
    <n v="117440"/>
    <x v="20"/>
    <x v="5"/>
    <n v="75"/>
    <n v="3"/>
    <n v="53"/>
    <n v="27"/>
    <n v="23"/>
  </r>
  <r>
    <n v="2017"/>
    <x v="1"/>
    <s v="Baptist"/>
    <n v="117440"/>
    <x v="20"/>
    <x v="0"/>
    <n v="100"/>
    <n v="3"/>
    <n v="99"/>
    <n v="99"/>
    <n v="99"/>
  </r>
  <r>
    <n v="2017"/>
    <x v="1"/>
    <s v="Baptist"/>
    <n v="117440"/>
    <x v="20"/>
    <x v="4"/>
    <n v="100"/>
    <n v="3"/>
    <n v="99"/>
    <n v="99"/>
    <n v="99"/>
  </r>
  <r>
    <n v="2017"/>
    <x v="1"/>
    <s v="Baptist"/>
    <n v="117440"/>
    <x v="20"/>
    <x v="2"/>
    <n v="100"/>
    <n v="3"/>
    <n v="99"/>
    <n v="99"/>
    <n v="99"/>
  </r>
  <r>
    <n v="2017"/>
    <x v="1"/>
    <s v="Baptist"/>
    <n v="117440"/>
    <x v="20"/>
    <x v="1"/>
    <n v="100"/>
    <n v="3"/>
    <n v="99"/>
    <n v="99"/>
    <n v="99"/>
  </r>
  <r>
    <n v="2017"/>
    <x v="1"/>
    <s v="Baptist"/>
    <n v="117440"/>
    <x v="20"/>
    <x v="3"/>
    <n v="100"/>
    <n v="3"/>
    <n v="99"/>
    <n v="99"/>
    <n v="99"/>
  </r>
  <r>
    <n v="2017"/>
    <x v="1"/>
    <s v="Baptist"/>
    <n v="153700"/>
    <x v="26"/>
    <x v="5"/>
    <n v="64.3"/>
    <n v="7"/>
    <n v="12"/>
    <n v="4"/>
    <n v="3"/>
  </r>
  <r>
    <n v="2017"/>
    <x v="1"/>
    <s v="Baptist"/>
    <n v="153700"/>
    <x v="26"/>
    <x v="0"/>
    <n v="88.4"/>
    <n v="7"/>
    <n v="91"/>
    <n v="72"/>
    <n v="67"/>
  </r>
  <r>
    <n v="2017"/>
    <x v="1"/>
    <s v="Baptist"/>
    <n v="153700"/>
    <x v="26"/>
    <x v="4"/>
    <n v="92.9"/>
    <n v="7"/>
    <n v="99"/>
    <n v="95"/>
    <n v="87"/>
  </r>
  <r>
    <n v="2017"/>
    <x v="1"/>
    <s v="Baptist"/>
    <n v="153700"/>
    <x v="26"/>
    <x v="2"/>
    <n v="85.7"/>
    <n v="7"/>
    <n v="53"/>
    <n v="45"/>
    <n v="38"/>
  </r>
  <r>
    <n v="2017"/>
    <x v="1"/>
    <s v="Baptist"/>
    <n v="153700"/>
    <x v="26"/>
    <x v="1"/>
    <n v="85.7"/>
    <n v="7"/>
    <n v="77"/>
    <n v="59"/>
    <n v="54"/>
  </r>
  <r>
    <n v="2017"/>
    <x v="1"/>
    <s v="Baptist"/>
    <n v="153700"/>
    <x v="26"/>
    <x v="3"/>
    <n v="85"/>
    <n v="5"/>
    <n v="61"/>
    <n v="50"/>
    <n v="45"/>
  </r>
  <r>
    <n v="2017"/>
    <x v="1"/>
    <s v="Baptist"/>
    <n v="59899"/>
    <x v="10"/>
    <x v="5"/>
    <n v="50"/>
    <n v="3"/>
    <n v="1"/>
    <n v="1"/>
    <n v="1"/>
  </r>
  <r>
    <n v="2017"/>
    <x v="1"/>
    <s v="Baptist"/>
    <n v="59899"/>
    <x v="10"/>
    <x v="0"/>
    <n v="93.8"/>
    <n v="3"/>
    <n v="99"/>
    <n v="99"/>
    <n v="95"/>
  </r>
  <r>
    <n v="2017"/>
    <x v="1"/>
    <s v="Baptist"/>
    <n v="59899"/>
    <x v="10"/>
    <x v="4"/>
    <n v="100"/>
    <n v="3"/>
    <n v="99"/>
    <n v="99"/>
    <n v="99"/>
  </r>
  <r>
    <n v="2017"/>
    <x v="1"/>
    <s v="Baptist"/>
    <n v="59899"/>
    <x v="10"/>
    <x v="2"/>
    <n v="91.7"/>
    <n v="3"/>
    <n v="99"/>
    <n v="94"/>
    <n v="89"/>
  </r>
  <r>
    <n v="2017"/>
    <x v="1"/>
    <s v="Baptist"/>
    <n v="59899"/>
    <x v="10"/>
    <x v="1"/>
    <n v="91.7"/>
    <n v="3"/>
    <n v="99"/>
    <n v="97"/>
    <n v="92"/>
  </r>
  <r>
    <n v="2017"/>
    <x v="1"/>
    <s v="Baptist"/>
    <n v="59899"/>
    <x v="10"/>
    <x v="3"/>
    <n v="91.7"/>
    <n v="3"/>
    <n v="99"/>
    <n v="96"/>
    <n v="92"/>
  </r>
  <r>
    <n v="2017"/>
    <x v="1"/>
    <s v="Baptist"/>
    <n v="99093"/>
    <x v="2"/>
    <x v="5"/>
    <n v="83.3"/>
    <n v="6"/>
    <n v="90"/>
    <n v="66"/>
    <n v="66"/>
  </r>
  <r>
    <n v="2017"/>
    <x v="1"/>
    <s v="Baptist"/>
    <n v="99093"/>
    <x v="2"/>
    <x v="0"/>
    <n v="91.7"/>
    <n v="6"/>
    <n v="99"/>
    <n v="96"/>
    <n v="89"/>
  </r>
  <r>
    <n v="2017"/>
    <x v="1"/>
    <s v="Baptist"/>
    <n v="99093"/>
    <x v="2"/>
    <x v="4"/>
    <n v="91.7"/>
    <n v="6"/>
    <n v="95"/>
    <n v="81"/>
    <n v="77"/>
  </r>
  <r>
    <n v="2017"/>
    <x v="1"/>
    <s v="Baptist"/>
    <n v="99093"/>
    <x v="2"/>
    <x v="2"/>
    <n v="91.7"/>
    <n v="6"/>
    <n v="99"/>
    <n v="94"/>
    <n v="89"/>
  </r>
  <r>
    <n v="2017"/>
    <x v="1"/>
    <s v="Baptist"/>
    <n v="99093"/>
    <x v="2"/>
    <x v="1"/>
    <n v="91.7"/>
    <n v="6"/>
    <n v="99"/>
    <n v="97"/>
    <n v="92"/>
  </r>
  <r>
    <n v="2017"/>
    <x v="1"/>
    <s v="Baptist"/>
    <n v="99093"/>
    <x v="2"/>
    <x v="3"/>
    <n v="91.7"/>
    <n v="6"/>
    <n v="99"/>
    <n v="96"/>
    <n v="92"/>
  </r>
  <r>
    <n v="2017"/>
    <x v="1"/>
    <s v="Baptist"/>
    <n v="70375"/>
    <x v="12"/>
    <x v="5"/>
    <n v="72.2"/>
    <n v="9"/>
    <n v="36"/>
    <n v="16"/>
    <n v="14"/>
  </r>
  <r>
    <n v="2017"/>
    <x v="1"/>
    <s v="Baptist"/>
    <n v="70375"/>
    <x v="12"/>
    <x v="0"/>
    <n v="86.1"/>
    <n v="9"/>
    <n v="61"/>
    <n v="49"/>
    <n v="45"/>
  </r>
  <r>
    <n v="2017"/>
    <x v="1"/>
    <s v="Baptist"/>
    <n v="70375"/>
    <x v="12"/>
    <x v="4"/>
    <n v="86.1"/>
    <n v="9"/>
    <n v="36"/>
    <n v="20"/>
    <n v="23"/>
  </r>
  <r>
    <n v="2017"/>
    <x v="1"/>
    <s v="Baptist"/>
    <n v="70375"/>
    <x v="12"/>
    <x v="2"/>
    <n v="86.1"/>
    <n v="9"/>
    <n v="58"/>
    <n v="47"/>
    <n v="42"/>
  </r>
  <r>
    <n v="2017"/>
    <x v="1"/>
    <s v="Baptist"/>
    <n v="70375"/>
    <x v="12"/>
    <x v="1"/>
    <n v="86.1"/>
    <n v="9"/>
    <n v="82"/>
    <n v="64"/>
    <n v="58"/>
  </r>
  <r>
    <n v="2017"/>
    <x v="1"/>
    <s v="Baptist"/>
    <n v="70375"/>
    <x v="12"/>
    <x v="3"/>
    <n v="86.1"/>
    <n v="9"/>
    <n v="78"/>
    <n v="64"/>
    <n v="56"/>
  </r>
  <r>
    <n v="2017"/>
    <x v="1"/>
    <s v="Baptist"/>
    <n v="70359"/>
    <x v="7"/>
    <x v="5"/>
    <n v="18.8"/>
    <n v="4"/>
    <n v="1"/>
    <n v="1"/>
    <n v="1"/>
  </r>
  <r>
    <n v="2017"/>
    <x v="1"/>
    <s v="Baptist"/>
    <n v="70359"/>
    <x v="7"/>
    <x v="0"/>
    <n v="76.599999999999994"/>
    <n v="4"/>
    <n v="4"/>
    <n v="1"/>
    <n v="3"/>
  </r>
  <r>
    <n v="2017"/>
    <x v="1"/>
    <s v="Baptist"/>
    <n v="70359"/>
    <x v="7"/>
    <x v="4"/>
    <n v="75"/>
    <n v="4"/>
    <n v="1"/>
    <n v="1"/>
    <n v="1"/>
  </r>
  <r>
    <n v="2017"/>
    <x v="1"/>
    <s v="Baptist"/>
    <n v="70359"/>
    <x v="7"/>
    <x v="2"/>
    <n v="75"/>
    <n v="4"/>
    <n v="1"/>
    <n v="1"/>
    <n v="1"/>
  </r>
  <r>
    <n v="2017"/>
    <x v="1"/>
    <s v="Baptist"/>
    <n v="70359"/>
    <x v="7"/>
    <x v="1"/>
    <n v="75"/>
    <n v="4"/>
    <n v="5"/>
    <n v="2"/>
    <n v="2"/>
  </r>
  <r>
    <n v="2017"/>
    <x v="1"/>
    <s v="Baptist"/>
    <n v="70359"/>
    <x v="7"/>
    <x v="3"/>
    <n v="81.3"/>
    <n v="4"/>
    <n v="34"/>
    <n v="25"/>
    <n v="18"/>
  </r>
  <r>
    <n v="2017"/>
    <x v="1"/>
    <s v="Baptist"/>
    <n v="99911"/>
    <x v="21"/>
    <x v="5"/>
    <n v="50"/>
    <n v="5"/>
    <n v="1"/>
    <n v="1"/>
    <n v="1"/>
  </r>
  <r>
    <n v="2017"/>
    <x v="1"/>
    <s v="Baptist"/>
    <n v="99911"/>
    <x v="21"/>
    <x v="0"/>
    <n v="68.8"/>
    <n v="5"/>
    <n v="1"/>
    <n v="1"/>
    <n v="1"/>
  </r>
  <r>
    <n v="2017"/>
    <x v="1"/>
    <s v="Baptist"/>
    <n v="99911"/>
    <x v="21"/>
    <x v="4"/>
    <n v="68.8"/>
    <n v="4"/>
    <n v="1"/>
    <n v="1"/>
    <n v="1"/>
  </r>
  <r>
    <n v="2017"/>
    <x v="1"/>
    <s v="Baptist"/>
    <n v="99911"/>
    <x v="21"/>
    <x v="2"/>
    <n v="70"/>
    <n v="5"/>
    <n v="1"/>
    <n v="1"/>
    <n v="1"/>
  </r>
  <r>
    <n v="2017"/>
    <x v="1"/>
    <s v="Baptist"/>
    <n v="99911"/>
    <x v="21"/>
    <x v="1"/>
    <n v="65"/>
    <n v="5"/>
    <n v="1"/>
    <n v="1"/>
    <n v="1"/>
  </r>
  <r>
    <n v="2017"/>
    <x v="1"/>
    <s v="Baptist"/>
    <n v="99911"/>
    <x v="21"/>
    <x v="3"/>
    <n v="65"/>
    <n v="5"/>
    <n v="1"/>
    <n v="1"/>
    <n v="1"/>
  </r>
  <r>
    <n v="2017"/>
    <x v="1"/>
    <s v="Baptist"/>
    <n v="177162"/>
    <x v="1"/>
    <x v="5"/>
    <n v="59.4"/>
    <n v="16"/>
    <n v="2"/>
    <n v="1"/>
    <n v="1"/>
  </r>
  <r>
    <n v="2017"/>
    <x v="1"/>
    <s v="Baptist"/>
    <n v="177162"/>
    <x v="1"/>
    <x v="0"/>
    <n v="79.3"/>
    <n v="16"/>
    <n v="12"/>
    <n v="6"/>
    <n v="6"/>
  </r>
  <r>
    <n v="2017"/>
    <x v="1"/>
    <s v="Baptist"/>
    <n v="177162"/>
    <x v="1"/>
    <x v="4"/>
    <n v="79.7"/>
    <n v="16"/>
    <n v="1"/>
    <n v="1"/>
    <n v="2"/>
  </r>
  <r>
    <n v="2017"/>
    <x v="1"/>
    <s v="Baptist"/>
    <n v="177162"/>
    <x v="1"/>
    <x v="2"/>
    <n v="81.3"/>
    <n v="16"/>
    <n v="16"/>
    <n v="8"/>
    <n v="10"/>
  </r>
  <r>
    <n v="2017"/>
    <x v="1"/>
    <s v="Baptist"/>
    <n v="177162"/>
    <x v="1"/>
    <x v="1"/>
    <n v="78.099999999999994"/>
    <n v="16"/>
    <n v="13"/>
    <n v="8"/>
    <n v="7"/>
  </r>
  <r>
    <n v="2017"/>
    <x v="1"/>
    <s v="Baptist"/>
    <n v="177162"/>
    <x v="1"/>
    <x v="3"/>
    <n v="78.3"/>
    <n v="15"/>
    <n v="12"/>
    <n v="8"/>
    <n v="7"/>
  </r>
  <r>
    <n v="2017"/>
    <x v="1"/>
    <s v="Baptist"/>
    <n v="60707"/>
    <x v="30"/>
    <x v="5"/>
    <n v="25"/>
    <n v="9"/>
    <n v="1"/>
    <n v="1"/>
    <n v="1"/>
  </r>
  <r>
    <n v="2017"/>
    <x v="1"/>
    <s v="Baptist"/>
    <n v="60707"/>
    <x v="30"/>
    <x v="0"/>
    <n v="42.5"/>
    <n v="10"/>
    <n v="1"/>
    <n v="1"/>
    <n v="1"/>
  </r>
  <r>
    <n v="2017"/>
    <x v="1"/>
    <s v="Baptist"/>
    <n v="60707"/>
    <x v="30"/>
    <x v="4"/>
    <n v="55"/>
    <n v="10"/>
    <n v="1"/>
    <n v="1"/>
    <n v="1"/>
  </r>
  <r>
    <n v="2017"/>
    <x v="1"/>
    <s v="Baptist"/>
    <n v="60707"/>
    <x v="30"/>
    <x v="2"/>
    <n v="45"/>
    <n v="10"/>
    <n v="1"/>
    <n v="1"/>
    <n v="1"/>
  </r>
  <r>
    <n v="2017"/>
    <x v="1"/>
    <s v="Baptist"/>
    <n v="60707"/>
    <x v="30"/>
    <x v="1"/>
    <n v="35"/>
    <n v="10"/>
    <n v="1"/>
    <n v="1"/>
    <n v="1"/>
  </r>
  <r>
    <n v="2017"/>
    <x v="1"/>
    <s v="Baptist"/>
    <n v="60707"/>
    <x v="30"/>
    <x v="3"/>
    <n v="35"/>
    <n v="10"/>
    <n v="1"/>
    <n v="1"/>
    <n v="1"/>
  </r>
  <r>
    <n v="2017"/>
    <x v="1"/>
    <s v="Baptist"/>
    <n v="58222"/>
    <x v="4"/>
    <x v="5"/>
    <n v="62.5"/>
    <n v="4"/>
    <n v="9"/>
    <n v="3"/>
    <n v="2"/>
  </r>
  <r>
    <n v="2017"/>
    <x v="1"/>
    <s v="Baptist"/>
    <n v="58222"/>
    <x v="4"/>
    <x v="0"/>
    <n v="90.6"/>
    <n v="4"/>
    <n v="98"/>
    <n v="93"/>
    <n v="84"/>
  </r>
  <r>
    <n v="2017"/>
    <x v="1"/>
    <s v="Baptist"/>
    <n v="58222"/>
    <x v="4"/>
    <x v="4"/>
    <n v="100"/>
    <n v="4"/>
    <n v="99"/>
    <n v="99"/>
    <n v="99"/>
  </r>
  <r>
    <n v="2017"/>
    <x v="1"/>
    <s v="Baptist"/>
    <n v="58222"/>
    <x v="4"/>
    <x v="2"/>
    <n v="100"/>
    <n v="4"/>
    <n v="99"/>
    <n v="99"/>
    <n v="99"/>
  </r>
  <r>
    <n v="2017"/>
    <x v="1"/>
    <s v="Baptist"/>
    <n v="58222"/>
    <x v="4"/>
    <x v="1"/>
    <n v="81.3"/>
    <n v="4"/>
    <n v="34"/>
    <n v="25"/>
    <n v="19"/>
  </r>
  <r>
    <n v="2017"/>
    <x v="1"/>
    <s v="Baptist"/>
    <n v="58222"/>
    <x v="4"/>
    <x v="3"/>
    <n v="81.3"/>
    <n v="4"/>
    <n v="34"/>
    <n v="25"/>
    <n v="18"/>
  </r>
  <r>
    <n v="2017"/>
    <x v="1"/>
    <s v="Baptist"/>
    <n v="89391"/>
    <x v="15"/>
    <x v="5"/>
    <n v="83.3"/>
    <n v="6"/>
    <n v="90"/>
    <n v="66"/>
    <n v="66"/>
  </r>
  <r>
    <n v="2017"/>
    <x v="1"/>
    <s v="Baptist"/>
    <n v="89391"/>
    <x v="15"/>
    <x v="0"/>
    <n v="100"/>
    <n v="6"/>
    <n v="99"/>
    <n v="99"/>
    <n v="99"/>
  </r>
  <r>
    <n v="2017"/>
    <x v="1"/>
    <s v="Baptist"/>
    <n v="89391"/>
    <x v="15"/>
    <x v="4"/>
    <n v="100"/>
    <n v="6"/>
    <n v="99"/>
    <n v="99"/>
    <n v="99"/>
  </r>
  <r>
    <n v="2017"/>
    <x v="1"/>
    <s v="Baptist"/>
    <n v="89391"/>
    <x v="15"/>
    <x v="2"/>
    <n v="100"/>
    <n v="6"/>
    <n v="99"/>
    <n v="99"/>
    <n v="99"/>
  </r>
  <r>
    <n v="2017"/>
    <x v="1"/>
    <s v="Baptist"/>
    <n v="89391"/>
    <x v="15"/>
    <x v="1"/>
    <n v="100"/>
    <n v="6"/>
    <n v="99"/>
    <n v="99"/>
    <n v="99"/>
  </r>
  <r>
    <n v="2017"/>
    <x v="1"/>
    <s v="Baptist"/>
    <n v="89391"/>
    <x v="15"/>
    <x v="3"/>
    <n v="100"/>
    <n v="6"/>
    <n v="99"/>
    <n v="99"/>
    <n v="99"/>
  </r>
  <r>
    <n v="2017"/>
    <x v="1"/>
    <s v="Baptist"/>
    <n v="36541"/>
    <x v="9"/>
    <x v="5"/>
    <n v="68.8"/>
    <n v="4"/>
    <n v="22"/>
    <n v="8"/>
    <n v="7"/>
  </r>
  <r>
    <n v="2017"/>
    <x v="1"/>
    <s v="Baptist"/>
    <n v="36541"/>
    <x v="9"/>
    <x v="0"/>
    <n v="81.3"/>
    <n v="4"/>
    <n v="18"/>
    <n v="8"/>
    <n v="11"/>
  </r>
  <r>
    <n v="2017"/>
    <x v="1"/>
    <s v="Baptist"/>
    <n v="36541"/>
    <x v="9"/>
    <x v="4"/>
    <n v="87.5"/>
    <n v="4"/>
    <n v="47"/>
    <n v="42"/>
    <n v="35"/>
  </r>
  <r>
    <n v="2017"/>
    <x v="1"/>
    <s v="Baptist"/>
    <n v="36541"/>
    <x v="9"/>
    <x v="2"/>
    <n v="81.3"/>
    <n v="4"/>
    <n v="16"/>
    <n v="8"/>
    <n v="10"/>
  </r>
  <r>
    <n v="2017"/>
    <x v="1"/>
    <s v="Baptist"/>
    <n v="36541"/>
    <x v="9"/>
    <x v="1"/>
    <n v="81.3"/>
    <n v="4"/>
    <n v="34"/>
    <n v="25"/>
    <n v="19"/>
  </r>
  <r>
    <n v="2017"/>
    <x v="1"/>
    <s v="Baptist"/>
    <n v="36541"/>
    <x v="9"/>
    <x v="3"/>
    <n v="75"/>
    <n v="4"/>
    <n v="4"/>
    <n v="1"/>
    <n v="2"/>
  </r>
  <r>
    <n v="2017"/>
    <x v="1"/>
    <s v="Baptist"/>
    <n v="91405"/>
    <x v="27"/>
    <x v="5"/>
    <n v="60"/>
    <n v="10"/>
    <n v="4"/>
    <n v="1"/>
    <n v="1"/>
  </r>
  <r>
    <n v="2017"/>
    <x v="1"/>
    <s v="Baptist"/>
    <n v="91405"/>
    <x v="27"/>
    <x v="0"/>
    <n v="71.3"/>
    <n v="10"/>
    <n v="1"/>
    <n v="1"/>
    <n v="1"/>
  </r>
  <r>
    <n v="2017"/>
    <x v="1"/>
    <s v="Baptist"/>
    <n v="91405"/>
    <x v="27"/>
    <x v="4"/>
    <n v="77.5"/>
    <n v="10"/>
    <n v="1"/>
    <n v="1"/>
    <n v="1"/>
  </r>
  <r>
    <n v="2017"/>
    <x v="1"/>
    <s v="Baptist"/>
    <n v="91405"/>
    <x v="27"/>
    <x v="2"/>
    <n v="70"/>
    <n v="10"/>
    <n v="1"/>
    <n v="1"/>
    <n v="1"/>
  </r>
  <r>
    <n v="2017"/>
    <x v="1"/>
    <s v="Baptist"/>
    <n v="91405"/>
    <x v="27"/>
    <x v="1"/>
    <n v="70"/>
    <n v="10"/>
    <n v="1"/>
    <n v="1"/>
    <n v="1"/>
  </r>
  <r>
    <n v="2017"/>
    <x v="1"/>
    <s v="Baptist"/>
    <n v="91405"/>
    <x v="27"/>
    <x v="3"/>
    <n v="67.5"/>
    <n v="10"/>
    <n v="1"/>
    <n v="1"/>
    <n v="1"/>
  </r>
  <r>
    <n v="2017"/>
    <x v="1"/>
    <s v="Baptist"/>
    <n v="58321"/>
    <x v="28"/>
    <x v="5"/>
    <n v="62.5"/>
    <n v="2"/>
    <n v="9"/>
    <n v="3"/>
    <n v="2"/>
  </r>
  <r>
    <n v="2017"/>
    <x v="1"/>
    <s v="Baptist"/>
    <n v="58321"/>
    <x v="28"/>
    <x v="0"/>
    <n v="78.099999999999994"/>
    <n v="2"/>
    <n v="9"/>
    <n v="4"/>
    <n v="4"/>
  </r>
  <r>
    <n v="2017"/>
    <x v="1"/>
    <s v="Baptist"/>
    <n v="58321"/>
    <x v="28"/>
    <x v="4"/>
    <n v="87.5"/>
    <n v="2"/>
    <n v="47"/>
    <n v="42"/>
    <n v="35"/>
  </r>
  <r>
    <n v="2017"/>
    <x v="1"/>
    <s v="Baptist"/>
    <n v="58321"/>
    <x v="28"/>
    <x v="2"/>
    <n v="62.5"/>
    <n v="2"/>
    <n v="1"/>
    <n v="1"/>
    <n v="1"/>
  </r>
  <r>
    <n v="2017"/>
    <x v="1"/>
    <s v="Baptist"/>
    <n v="58321"/>
    <x v="28"/>
    <x v="1"/>
    <n v="62.5"/>
    <n v="2"/>
    <n v="1"/>
    <n v="1"/>
    <n v="1"/>
  </r>
  <r>
    <n v="2017"/>
    <x v="1"/>
    <s v="Baptist"/>
    <n v="58321"/>
    <x v="28"/>
    <x v="3"/>
    <n v="100"/>
    <n v="2"/>
    <n v="99"/>
    <n v="99"/>
    <n v="99"/>
  </r>
  <r>
    <n v="2017"/>
    <x v="1"/>
    <s v="Baptist"/>
    <n v="23994"/>
    <x v="19"/>
    <x v="5"/>
    <n v="37.5"/>
    <n v="6"/>
    <n v="1"/>
    <n v="1"/>
    <n v="1"/>
  </r>
  <r>
    <n v="2017"/>
    <x v="1"/>
    <s v="Baptist"/>
    <n v="23994"/>
    <x v="19"/>
    <x v="0"/>
    <n v="63.5"/>
    <n v="6"/>
    <n v="1"/>
    <n v="1"/>
    <n v="1"/>
  </r>
  <r>
    <n v="2017"/>
    <x v="1"/>
    <s v="Baptist"/>
    <n v="23994"/>
    <x v="19"/>
    <x v="4"/>
    <n v="75"/>
    <n v="6"/>
    <n v="1"/>
    <n v="1"/>
    <n v="1"/>
  </r>
  <r>
    <n v="2017"/>
    <x v="1"/>
    <s v="Baptist"/>
    <n v="23994"/>
    <x v="19"/>
    <x v="2"/>
    <n v="70.8"/>
    <n v="6"/>
    <n v="1"/>
    <n v="1"/>
    <n v="1"/>
  </r>
  <r>
    <n v="2017"/>
    <x v="1"/>
    <s v="Baptist"/>
    <n v="23994"/>
    <x v="19"/>
    <x v="1"/>
    <n v="54.2"/>
    <n v="6"/>
    <n v="1"/>
    <n v="1"/>
    <n v="1"/>
  </r>
  <r>
    <n v="2017"/>
    <x v="1"/>
    <s v="Baptist"/>
    <n v="23994"/>
    <x v="19"/>
    <x v="3"/>
    <n v="54.2"/>
    <n v="6"/>
    <n v="1"/>
    <n v="1"/>
    <n v="1"/>
  </r>
  <r>
    <n v="2017"/>
    <x v="1"/>
    <s v="Baptist"/>
    <n v="22673"/>
    <x v="5"/>
    <x v="5"/>
    <n v="81.3"/>
    <n v="4"/>
    <n v="82"/>
    <n v="55"/>
    <n v="55"/>
  </r>
  <r>
    <n v="2017"/>
    <x v="1"/>
    <s v="Baptist"/>
    <n v="22673"/>
    <x v="5"/>
    <x v="0"/>
    <n v="87.5"/>
    <n v="3"/>
    <n v="82"/>
    <n v="66"/>
    <n v="59"/>
  </r>
  <r>
    <n v="2017"/>
    <x v="1"/>
    <s v="Baptist"/>
    <n v="22673"/>
    <x v="5"/>
    <x v="4"/>
    <n v="91.7"/>
    <n v="3"/>
    <n v="95"/>
    <n v="81"/>
    <n v="77"/>
  </r>
  <r>
    <n v="2017"/>
    <x v="1"/>
    <s v="Baptist"/>
    <n v="22673"/>
    <x v="5"/>
    <x v="2"/>
    <n v="83.3"/>
    <n v="3"/>
    <n v="34"/>
    <n v="25"/>
    <n v="20"/>
  </r>
  <r>
    <n v="2017"/>
    <x v="1"/>
    <s v="Baptist"/>
    <n v="22673"/>
    <x v="5"/>
    <x v="1"/>
    <n v="83.3"/>
    <n v="3"/>
    <n v="49"/>
    <n v="41"/>
    <n v="32"/>
  </r>
  <r>
    <n v="2017"/>
    <x v="1"/>
    <s v="Baptist"/>
    <n v="22673"/>
    <x v="5"/>
    <x v="3"/>
    <n v="91.7"/>
    <n v="3"/>
    <n v="99"/>
    <n v="96"/>
    <n v="92"/>
  </r>
  <r>
    <n v="2017"/>
    <x v="1"/>
    <s v="Baptist"/>
    <n v="91397"/>
    <x v="29"/>
    <x v="5"/>
    <n v="55"/>
    <n v="5"/>
    <n v="1"/>
    <n v="1"/>
    <n v="1"/>
  </r>
  <r>
    <n v="2017"/>
    <x v="1"/>
    <s v="Baptist"/>
    <n v="91397"/>
    <x v="29"/>
    <x v="0"/>
    <n v="67.5"/>
    <n v="5"/>
    <n v="1"/>
    <n v="1"/>
    <n v="1"/>
  </r>
  <r>
    <n v="2017"/>
    <x v="1"/>
    <s v="Baptist"/>
    <n v="91397"/>
    <x v="29"/>
    <x v="4"/>
    <n v="65"/>
    <n v="5"/>
    <n v="1"/>
    <n v="1"/>
    <n v="1"/>
  </r>
  <r>
    <n v="2017"/>
    <x v="1"/>
    <s v="Baptist"/>
    <n v="91397"/>
    <x v="29"/>
    <x v="2"/>
    <n v="65"/>
    <n v="5"/>
    <n v="1"/>
    <n v="1"/>
    <n v="1"/>
  </r>
  <r>
    <n v="2017"/>
    <x v="1"/>
    <s v="Baptist"/>
    <n v="91397"/>
    <x v="29"/>
    <x v="1"/>
    <n v="80"/>
    <n v="5"/>
    <n v="22"/>
    <n v="13"/>
    <n v="13"/>
  </r>
  <r>
    <n v="2017"/>
    <x v="1"/>
    <s v="Baptist"/>
    <n v="91397"/>
    <x v="29"/>
    <x v="3"/>
    <n v="60"/>
    <n v="5"/>
    <n v="1"/>
    <n v="1"/>
    <n v="1"/>
  </r>
  <r>
    <n v="2017"/>
    <x v="1"/>
    <s v="Baptist"/>
    <n v="89383"/>
    <x v="3"/>
    <x v="5"/>
    <n v="50"/>
    <n v="3"/>
    <n v="1"/>
    <n v="1"/>
    <n v="1"/>
  </r>
  <r>
    <n v="2017"/>
    <x v="1"/>
    <s v="Baptist"/>
    <n v="89383"/>
    <x v="3"/>
    <x v="0"/>
    <n v="79.2"/>
    <n v="3"/>
    <n v="12"/>
    <n v="6"/>
    <n v="6"/>
  </r>
  <r>
    <n v="2017"/>
    <x v="1"/>
    <s v="Baptist"/>
    <n v="89383"/>
    <x v="3"/>
    <x v="4"/>
    <n v="83.3"/>
    <n v="3"/>
    <n v="16"/>
    <n v="6"/>
    <n v="9"/>
  </r>
  <r>
    <n v="2017"/>
    <x v="1"/>
    <s v="Baptist"/>
    <n v="89383"/>
    <x v="3"/>
    <x v="2"/>
    <n v="75"/>
    <n v="3"/>
    <n v="1"/>
    <n v="1"/>
    <n v="1"/>
  </r>
  <r>
    <n v="2017"/>
    <x v="1"/>
    <s v="Baptist"/>
    <n v="89383"/>
    <x v="3"/>
    <x v="1"/>
    <n v="83.3"/>
    <n v="3"/>
    <n v="49"/>
    <n v="41"/>
    <n v="32"/>
  </r>
  <r>
    <n v="2017"/>
    <x v="1"/>
    <s v="Baptist"/>
    <n v="89383"/>
    <x v="3"/>
    <x v="3"/>
    <n v="75"/>
    <n v="3"/>
    <n v="4"/>
    <n v="1"/>
    <n v="2"/>
  </r>
  <r>
    <n v="2017"/>
    <x v="1"/>
    <s v="Baptist"/>
    <n v="64022"/>
    <x v="25"/>
    <x v="5"/>
    <n v="52.5"/>
    <n v="10"/>
    <n v="1"/>
    <n v="1"/>
    <n v="1"/>
  </r>
  <r>
    <n v="2017"/>
    <x v="1"/>
    <s v="Baptist"/>
    <n v="64022"/>
    <x v="25"/>
    <x v="0"/>
    <n v="83.1"/>
    <n v="10"/>
    <n v="36"/>
    <n v="26"/>
    <n v="21"/>
  </r>
  <r>
    <n v="2017"/>
    <x v="1"/>
    <s v="Baptist"/>
    <n v="64022"/>
    <x v="25"/>
    <x v="4"/>
    <n v="85"/>
    <n v="10"/>
    <n v="27"/>
    <n v="11"/>
    <n v="16"/>
  </r>
  <r>
    <n v="2017"/>
    <x v="1"/>
    <s v="Baptist"/>
    <n v="64022"/>
    <x v="25"/>
    <x v="2"/>
    <n v="85"/>
    <n v="10"/>
    <n v="47"/>
    <n v="39"/>
    <n v="32"/>
  </r>
  <r>
    <n v="2017"/>
    <x v="1"/>
    <s v="Baptist"/>
    <n v="64022"/>
    <x v="25"/>
    <x v="1"/>
    <n v="82.5"/>
    <n v="10"/>
    <n v="39"/>
    <n v="36"/>
    <n v="26"/>
  </r>
  <r>
    <n v="2017"/>
    <x v="1"/>
    <s v="Baptist"/>
    <n v="64022"/>
    <x v="25"/>
    <x v="3"/>
    <n v="80"/>
    <n v="10"/>
    <n v="22"/>
    <n v="13"/>
    <n v="12"/>
  </r>
  <r>
    <n v="2017"/>
    <x v="1"/>
    <s v="Baptist"/>
    <n v="88963"/>
    <x v="22"/>
    <x v="5"/>
    <n v="50"/>
    <n v="4"/>
    <n v="1"/>
    <n v="1"/>
    <n v="1"/>
  </r>
  <r>
    <n v="2017"/>
    <x v="1"/>
    <s v="Baptist"/>
    <n v="88963"/>
    <x v="22"/>
    <x v="0"/>
    <n v="92.2"/>
    <n v="4"/>
    <n v="99"/>
    <n v="97"/>
    <n v="91"/>
  </r>
  <r>
    <n v="2017"/>
    <x v="1"/>
    <s v="Baptist"/>
    <n v="88963"/>
    <x v="22"/>
    <x v="4"/>
    <n v="93.8"/>
    <n v="4"/>
    <n v="99"/>
    <n v="97"/>
    <n v="91"/>
  </r>
  <r>
    <n v="2017"/>
    <x v="1"/>
    <s v="Baptist"/>
    <n v="88963"/>
    <x v="22"/>
    <x v="2"/>
    <n v="93.8"/>
    <n v="4"/>
    <n v="99"/>
    <n v="99"/>
    <n v="95"/>
  </r>
  <r>
    <n v="2017"/>
    <x v="1"/>
    <s v="Baptist"/>
    <n v="88963"/>
    <x v="22"/>
    <x v="1"/>
    <n v="93.8"/>
    <n v="4"/>
    <n v="99"/>
    <n v="99"/>
    <n v="96"/>
  </r>
  <r>
    <n v="2017"/>
    <x v="1"/>
    <s v="Baptist"/>
    <n v="88963"/>
    <x v="22"/>
    <x v="3"/>
    <n v="87.5"/>
    <n v="4"/>
    <n v="91"/>
    <n v="76"/>
    <n v="68"/>
  </r>
  <r>
    <n v="2017"/>
    <x v="2"/>
    <s v="Baptist"/>
    <n v="117671"/>
    <x v="13"/>
    <x v="5"/>
    <n v="72.5"/>
    <n v="10"/>
    <n v="35"/>
    <n v="13"/>
    <n v="15"/>
  </r>
  <r>
    <n v="2017"/>
    <x v="2"/>
    <s v="Baptist"/>
    <n v="117671"/>
    <x v="13"/>
    <x v="0"/>
    <n v="79.400000000000006"/>
    <n v="10"/>
    <n v="10"/>
    <n v="5"/>
    <n v="6"/>
  </r>
  <r>
    <n v="2017"/>
    <x v="2"/>
    <s v="Baptist"/>
    <n v="117671"/>
    <x v="13"/>
    <x v="4"/>
    <n v="82.5"/>
    <n v="10"/>
    <n v="12"/>
    <n v="5"/>
    <n v="7"/>
  </r>
  <r>
    <n v="2017"/>
    <x v="2"/>
    <s v="Baptist"/>
    <n v="117671"/>
    <x v="13"/>
    <x v="2"/>
    <n v="80"/>
    <n v="10"/>
    <n v="10"/>
    <n v="5"/>
    <n v="7"/>
  </r>
  <r>
    <n v="2017"/>
    <x v="2"/>
    <s v="Baptist"/>
    <n v="117671"/>
    <x v="13"/>
    <x v="1"/>
    <n v="80"/>
    <n v="10"/>
    <n v="18"/>
    <n v="14"/>
    <n v="12"/>
  </r>
  <r>
    <n v="2017"/>
    <x v="2"/>
    <s v="Baptist"/>
    <n v="117671"/>
    <x v="13"/>
    <x v="3"/>
    <n v="75"/>
    <n v="10"/>
    <n v="5"/>
    <n v="1"/>
    <n v="3"/>
  </r>
  <r>
    <n v="2017"/>
    <x v="2"/>
    <s v="Baptist"/>
    <n v="104133"/>
    <x v="8"/>
    <x v="5"/>
    <n v="64.7"/>
    <n v="17"/>
    <n v="12"/>
    <n v="3"/>
    <n v="3"/>
  </r>
  <r>
    <n v="2017"/>
    <x v="2"/>
    <s v="Baptist"/>
    <n v="104133"/>
    <x v="8"/>
    <x v="0"/>
    <n v="78.7"/>
    <n v="17"/>
    <n v="9"/>
    <n v="5"/>
    <n v="5"/>
  </r>
  <r>
    <n v="2017"/>
    <x v="2"/>
    <s v="Baptist"/>
    <n v="104133"/>
    <x v="8"/>
    <x v="4"/>
    <n v="83.8"/>
    <n v="17"/>
    <n v="18"/>
    <n v="10"/>
    <n v="11"/>
  </r>
  <r>
    <n v="2017"/>
    <x v="2"/>
    <s v="Baptist"/>
    <n v="104133"/>
    <x v="8"/>
    <x v="2"/>
    <n v="82.4"/>
    <n v="17"/>
    <n v="22"/>
    <n v="17"/>
    <n v="15"/>
  </r>
  <r>
    <n v="2017"/>
    <x v="2"/>
    <s v="Baptist"/>
    <n v="104133"/>
    <x v="8"/>
    <x v="1"/>
    <n v="73.5"/>
    <n v="17"/>
    <n v="4"/>
    <n v="1"/>
    <n v="2"/>
  </r>
  <r>
    <n v="2017"/>
    <x v="2"/>
    <s v="Baptist"/>
    <n v="104133"/>
    <x v="8"/>
    <x v="3"/>
    <n v="75"/>
    <n v="17"/>
    <n v="5"/>
    <n v="1"/>
    <n v="3"/>
  </r>
  <r>
    <n v="2017"/>
    <x v="2"/>
    <s v="Baptist"/>
    <n v="114603"/>
    <x v="24"/>
    <x v="5"/>
    <n v="66.7"/>
    <n v="9"/>
    <n v="16"/>
    <n v="5"/>
    <n v="4"/>
  </r>
  <r>
    <n v="2017"/>
    <x v="2"/>
    <s v="Baptist"/>
    <n v="114603"/>
    <x v="24"/>
    <x v="0"/>
    <n v="90.3"/>
    <n v="9"/>
    <n v="99"/>
    <n v="87"/>
    <n v="81"/>
  </r>
  <r>
    <n v="2017"/>
    <x v="2"/>
    <s v="Baptist"/>
    <n v="114603"/>
    <x v="24"/>
    <x v="4"/>
    <n v="94.4"/>
    <n v="9"/>
    <n v="99"/>
    <n v="98"/>
    <n v="93"/>
  </r>
  <r>
    <n v="2017"/>
    <x v="2"/>
    <s v="Baptist"/>
    <n v="114603"/>
    <x v="24"/>
    <x v="2"/>
    <n v="94.4"/>
    <n v="9"/>
    <n v="99"/>
    <n v="99"/>
    <n v="97"/>
  </r>
  <r>
    <n v="2017"/>
    <x v="2"/>
    <s v="Baptist"/>
    <n v="114603"/>
    <x v="24"/>
    <x v="1"/>
    <n v="86.1"/>
    <n v="9"/>
    <n v="78"/>
    <n v="59"/>
    <n v="54"/>
  </r>
  <r>
    <n v="2017"/>
    <x v="2"/>
    <s v="Baptist"/>
    <n v="114603"/>
    <x v="24"/>
    <x v="3"/>
    <n v="86.1"/>
    <n v="9"/>
    <n v="74"/>
    <n v="57"/>
    <n v="53"/>
  </r>
  <r>
    <n v="2017"/>
    <x v="2"/>
    <s v="Baptist"/>
    <n v="101071"/>
    <x v="31"/>
    <x v="5"/>
    <n v="47.6"/>
    <n v="21"/>
    <n v="1"/>
    <n v="1"/>
    <n v="1"/>
  </r>
  <r>
    <n v="2017"/>
    <x v="2"/>
    <s v="Baptist"/>
    <n v="101071"/>
    <x v="31"/>
    <x v="0"/>
    <n v="62.2"/>
    <n v="19"/>
    <n v="1"/>
    <n v="1"/>
    <n v="1"/>
  </r>
  <r>
    <n v="2017"/>
    <x v="2"/>
    <s v="Baptist"/>
    <n v="101071"/>
    <x v="31"/>
    <x v="4"/>
    <n v="63.2"/>
    <n v="19"/>
    <n v="1"/>
    <n v="1"/>
    <n v="1"/>
  </r>
  <r>
    <n v="2017"/>
    <x v="2"/>
    <s v="Baptist"/>
    <n v="101071"/>
    <x v="31"/>
    <x v="2"/>
    <n v="64.5"/>
    <n v="19"/>
    <n v="1"/>
    <n v="1"/>
    <n v="1"/>
  </r>
  <r>
    <n v="2017"/>
    <x v="2"/>
    <s v="Baptist"/>
    <n v="101071"/>
    <x v="31"/>
    <x v="1"/>
    <n v="61.8"/>
    <n v="19"/>
    <n v="1"/>
    <n v="1"/>
    <n v="1"/>
  </r>
  <r>
    <n v="2017"/>
    <x v="2"/>
    <s v="Baptist"/>
    <n v="101071"/>
    <x v="31"/>
    <x v="3"/>
    <n v="59.2"/>
    <n v="19"/>
    <n v="1"/>
    <n v="1"/>
    <n v="1"/>
  </r>
  <r>
    <n v="2017"/>
    <x v="2"/>
    <s v="Baptist"/>
    <n v="110569"/>
    <x v="6"/>
    <x v="5"/>
    <n v="67.3"/>
    <n v="13"/>
    <n v="19"/>
    <n v="5"/>
    <n v="5"/>
  </r>
  <r>
    <n v="2017"/>
    <x v="2"/>
    <s v="Baptist"/>
    <n v="110569"/>
    <x v="6"/>
    <x v="0"/>
    <n v="77.900000000000006"/>
    <n v="13"/>
    <n v="8"/>
    <n v="1"/>
    <n v="4"/>
  </r>
  <r>
    <n v="2017"/>
    <x v="2"/>
    <s v="Baptist"/>
    <n v="110569"/>
    <x v="6"/>
    <x v="4"/>
    <n v="80.8"/>
    <n v="13"/>
    <n v="7"/>
    <n v="1"/>
    <n v="4"/>
  </r>
  <r>
    <n v="2017"/>
    <x v="2"/>
    <s v="Baptist"/>
    <n v="110569"/>
    <x v="6"/>
    <x v="2"/>
    <n v="76.900000000000006"/>
    <n v="13"/>
    <n v="4"/>
    <n v="1"/>
    <n v="2"/>
  </r>
  <r>
    <n v="2017"/>
    <x v="2"/>
    <s v="Baptist"/>
    <n v="110569"/>
    <x v="6"/>
    <x v="1"/>
    <n v="76.900000000000006"/>
    <n v="13"/>
    <n v="9"/>
    <n v="5"/>
    <n v="5"/>
  </r>
  <r>
    <n v="2017"/>
    <x v="2"/>
    <s v="Baptist"/>
    <n v="110569"/>
    <x v="6"/>
    <x v="3"/>
    <n v="76.900000000000006"/>
    <n v="13"/>
    <n v="10"/>
    <n v="5"/>
    <n v="5"/>
  </r>
  <r>
    <n v="2017"/>
    <x v="2"/>
    <s v="Baptist"/>
    <n v="117465"/>
    <x v="11"/>
    <x v="5"/>
    <n v="67.5"/>
    <n v="10"/>
    <n v="20"/>
    <n v="5"/>
    <n v="5"/>
  </r>
  <r>
    <n v="2017"/>
    <x v="2"/>
    <s v="Baptist"/>
    <n v="117465"/>
    <x v="11"/>
    <x v="0"/>
    <n v="63.8"/>
    <n v="10"/>
    <n v="1"/>
    <n v="1"/>
    <n v="1"/>
  </r>
  <r>
    <n v="2017"/>
    <x v="2"/>
    <s v="Baptist"/>
    <n v="117465"/>
    <x v="11"/>
    <x v="4"/>
    <n v="67.5"/>
    <n v="10"/>
    <n v="1"/>
    <n v="1"/>
    <n v="1"/>
  </r>
  <r>
    <n v="2017"/>
    <x v="2"/>
    <s v="Baptist"/>
    <n v="117465"/>
    <x v="11"/>
    <x v="2"/>
    <n v="67.5"/>
    <n v="10"/>
    <n v="1"/>
    <n v="1"/>
    <n v="1"/>
  </r>
  <r>
    <n v="2017"/>
    <x v="2"/>
    <s v="Baptist"/>
    <n v="117465"/>
    <x v="11"/>
    <x v="1"/>
    <n v="60"/>
    <n v="10"/>
    <n v="1"/>
    <n v="1"/>
    <n v="1"/>
  </r>
  <r>
    <n v="2017"/>
    <x v="2"/>
    <s v="Baptist"/>
    <n v="117465"/>
    <x v="11"/>
    <x v="3"/>
    <n v="60"/>
    <n v="10"/>
    <n v="1"/>
    <n v="1"/>
    <n v="1"/>
  </r>
  <r>
    <n v="2017"/>
    <x v="2"/>
    <s v="Baptist"/>
    <n v="121681"/>
    <x v="17"/>
    <x v="5"/>
    <n v="66.7"/>
    <n v="6"/>
    <n v="16"/>
    <n v="5"/>
    <n v="4"/>
  </r>
  <r>
    <n v="2017"/>
    <x v="2"/>
    <s v="Baptist"/>
    <n v="121681"/>
    <x v="17"/>
    <x v="0"/>
    <n v="77.400000000000006"/>
    <n v="6"/>
    <n v="6"/>
    <n v="1"/>
    <n v="3"/>
  </r>
  <r>
    <n v="2017"/>
    <x v="2"/>
    <s v="Baptist"/>
    <n v="121681"/>
    <x v="17"/>
    <x v="4"/>
    <n v="85"/>
    <n v="5"/>
    <n v="24"/>
    <n v="15"/>
    <n v="16"/>
  </r>
  <r>
    <n v="2017"/>
    <x v="2"/>
    <s v="Baptist"/>
    <n v="121681"/>
    <x v="17"/>
    <x v="2"/>
    <n v="83.3"/>
    <n v="6"/>
    <n v="26"/>
    <n v="23"/>
    <n v="19"/>
  </r>
  <r>
    <n v="2017"/>
    <x v="2"/>
    <s v="Baptist"/>
    <n v="121681"/>
    <x v="17"/>
    <x v="1"/>
    <n v="70.8"/>
    <n v="6"/>
    <n v="1"/>
    <n v="1"/>
    <n v="1"/>
  </r>
  <r>
    <n v="2017"/>
    <x v="2"/>
    <s v="Baptist"/>
    <n v="121681"/>
    <x v="17"/>
    <x v="3"/>
    <n v="70.8"/>
    <n v="6"/>
    <n v="1"/>
    <n v="1"/>
    <n v="1"/>
  </r>
  <r>
    <n v="2017"/>
    <x v="2"/>
    <s v="Baptist"/>
    <n v="103275"/>
    <x v="14"/>
    <x v="5"/>
    <n v="56.3"/>
    <n v="12"/>
    <n v="1"/>
    <n v="1"/>
    <n v="1"/>
  </r>
  <r>
    <n v="2017"/>
    <x v="2"/>
    <s v="Baptist"/>
    <n v="103275"/>
    <x v="14"/>
    <x v="0"/>
    <n v="77.599999999999994"/>
    <n v="12"/>
    <n v="6"/>
    <n v="1"/>
    <n v="3"/>
  </r>
  <r>
    <n v="2017"/>
    <x v="2"/>
    <s v="Baptist"/>
    <n v="103275"/>
    <x v="14"/>
    <x v="4"/>
    <n v="89.6"/>
    <n v="12"/>
    <n v="71"/>
    <n v="55"/>
    <n v="54"/>
  </r>
  <r>
    <n v="2017"/>
    <x v="2"/>
    <s v="Baptist"/>
    <n v="103275"/>
    <x v="14"/>
    <x v="2"/>
    <n v="81.3"/>
    <n v="12"/>
    <n v="15"/>
    <n v="12"/>
    <n v="10"/>
  </r>
  <r>
    <n v="2017"/>
    <x v="2"/>
    <s v="Baptist"/>
    <n v="103275"/>
    <x v="14"/>
    <x v="1"/>
    <n v="70.8"/>
    <n v="12"/>
    <n v="1"/>
    <n v="1"/>
    <n v="1"/>
  </r>
  <r>
    <n v="2017"/>
    <x v="2"/>
    <s v="Baptist"/>
    <n v="103275"/>
    <x v="14"/>
    <x v="3"/>
    <n v="68.8"/>
    <n v="12"/>
    <n v="1"/>
    <n v="1"/>
    <n v="1"/>
  </r>
  <r>
    <n v="2017"/>
    <x v="2"/>
    <s v="Baptist"/>
    <n v="150441"/>
    <x v="18"/>
    <x v="5"/>
    <n v="83.3"/>
    <n v="9"/>
    <n v="90"/>
    <n v="66"/>
    <n v="65"/>
  </r>
  <r>
    <n v="2017"/>
    <x v="2"/>
    <s v="Baptist"/>
    <n v="150441"/>
    <x v="18"/>
    <x v="0"/>
    <n v="83.3"/>
    <n v="9"/>
    <n v="36"/>
    <n v="24"/>
    <n v="21"/>
  </r>
  <r>
    <n v="2017"/>
    <x v="2"/>
    <s v="Baptist"/>
    <n v="150441"/>
    <x v="18"/>
    <x v="4"/>
    <n v="83.3"/>
    <n v="9"/>
    <n v="12"/>
    <n v="5"/>
    <n v="9"/>
  </r>
  <r>
    <n v="2017"/>
    <x v="2"/>
    <s v="Baptist"/>
    <n v="150441"/>
    <x v="18"/>
    <x v="2"/>
    <n v="83.3"/>
    <n v="9"/>
    <n v="26"/>
    <n v="23"/>
    <n v="19"/>
  </r>
  <r>
    <n v="2017"/>
    <x v="2"/>
    <s v="Baptist"/>
    <n v="150441"/>
    <x v="18"/>
    <x v="1"/>
    <n v="83.3"/>
    <n v="9"/>
    <n v="48"/>
    <n v="38"/>
    <n v="31"/>
  </r>
  <r>
    <n v="2017"/>
    <x v="2"/>
    <s v="Baptist"/>
    <n v="150441"/>
    <x v="18"/>
    <x v="3"/>
    <n v="83.3"/>
    <n v="9"/>
    <n v="51"/>
    <n v="39"/>
    <n v="30"/>
  </r>
  <r>
    <n v="2017"/>
    <x v="2"/>
    <s v="Baptist"/>
    <n v="152587"/>
    <x v="16"/>
    <x v="5"/>
    <n v="65"/>
    <n v="10"/>
    <n v="12"/>
    <n v="3"/>
    <n v="3"/>
  </r>
  <r>
    <n v="2017"/>
    <x v="2"/>
    <s v="Baptist"/>
    <n v="152587"/>
    <x v="16"/>
    <x v="0"/>
    <n v="73.099999999999994"/>
    <n v="10"/>
    <n v="1"/>
    <n v="1"/>
    <n v="1"/>
  </r>
  <r>
    <n v="2017"/>
    <x v="2"/>
    <s v="Baptist"/>
    <n v="152587"/>
    <x v="16"/>
    <x v="4"/>
    <n v="80"/>
    <n v="10"/>
    <n v="4"/>
    <n v="1"/>
    <n v="3"/>
  </r>
  <r>
    <n v="2017"/>
    <x v="2"/>
    <s v="Baptist"/>
    <n v="152587"/>
    <x v="16"/>
    <x v="2"/>
    <n v="75"/>
    <n v="10"/>
    <n v="2"/>
    <n v="1"/>
    <n v="2"/>
  </r>
  <r>
    <n v="2017"/>
    <x v="2"/>
    <s v="Baptist"/>
    <n v="152587"/>
    <x v="16"/>
    <x v="1"/>
    <n v="65"/>
    <n v="10"/>
    <n v="1"/>
    <n v="1"/>
    <n v="1"/>
  </r>
  <r>
    <n v="2017"/>
    <x v="2"/>
    <s v="Baptist"/>
    <n v="152587"/>
    <x v="16"/>
    <x v="3"/>
    <n v="72.5"/>
    <n v="10"/>
    <n v="2"/>
    <n v="1"/>
    <n v="1"/>
  </r>
  <r>
    <n v="2017"/>
    <x v="2"/>
    <s v="Baptist"/>
    <n v="149344"/>
    <x v="23"/>
    <x v="5"/>
    <n v="68.8"/>
    <n v="4"/>
    <n v="24"/>
    <n v="7"/>
    <n v="7"/>
  </r>
  <r>
    <n v="2017"/>
    <x v="2"/>
    <s v="Baptist"/>
    <n v="149344"/>
    <x v="23"/>
    <x v="0"/>
    <n v="74"/>
    <n v="4"/>
    <n v="1"/>
    <n v="1"/>
    <n v="1"/>
  </r>
  <r>
    <n v="2017"/>
    <x v="2"/>
    <s v="Baptist"/>
    <n v="149344"/>
    <x v="23"/>
    <x v="4"/>
    <n v="81.3"/>
    <n v="4"/>
    <n v="7"/>
    <n v="1"/>
    <n v="4"/>
  </r>
  <r>
    <n v="2017"/>
    <x v="2"/>
    <s v="Baptist"/>
    <n v="149344"/>
    <x v="23"/>
    <x v="2"/>
    <n v="83.3"/>
    <n v="3"/>
    <n v="26"/>
    <n v="23"/>
    <n v="19"/>
  </r>
  <r>
    <n v="2017"/>
    <x v="2"/>
    <s v="Baptist"/>
    <n v="149344"/>
    <x v="23"/>
    <x v="1"/>
    <n v="68.8"/>
    <n v="4"/>
    <n v="1"/>
    <n v="1"/>
    <n v="1"/>
  </r>
  <r>
    <n v="2017"/>
    <x v="2"/>
    <s v="Baptist"/>
    <n v="149344"/>
    <x v="23"/>
    <x v="3"/>
    <n v="68.8"/>
    <n v="4"/>
    <n v="1"/>
    <n v="1"/>
    <n v="1"/>
  </r>
  <r>
    <n v="2017"/>
    <x v="2"/>
    <s v="Baptist"/>
    <n v="117440"/>
    <x v="20"/>
    <x v="5"/>
    <n v="62.5"/>
    <n v="8"/>
    <n v="5"/>
    <n v="3"/>
    <n v="2"/>
  </r>
  <r>
    <n v="2017"/>
    <x v="2"/>
    <s v="Baptist"/>
    <n v="117440"/>
    <x v="20"/>
    <x v="0"/>
    <n v="58.6"/>
    <n v="8"/>
    <n v="1"/>
    <n v="1"/>
    <n v="1"/>
  </r>
  <r>
    <n v="2017"/>
    <x v="2"/>
    <s v="Baptist"/>
    <n v="117440"/>
    <x v="20"/>
    <x v="4"/>
    <n v="59.4"/>
    <n v="8"/>
    <n v="1"/>
    <n v="1"/>
    <n v="1"/>
  </r>
  <r>
    <n v="2017"/>
    <x v="2"/>
    <s v="Baptist"/>
    <n v="117440"/>
    <x v="20"/>
    <x v="2"/>
    <n v="59.4"/>
    <n v="8"/>
    <n v="1"/>
    <n v="1"/>
    <n v="1"/>
  </r>
  <r>
    <n v="2017"/>
    <x v="2"/>
    <s v="Baptist"/>
    <n v="117440"/>
    <x v="20"/>
    <x v="1"/>
    <n v="59.4"/>
    <n v="8"/>
    <n v="1"/>
    <n v="1"/>
    <n v="1"/>
  </r>
  <r>
    <n v="2017"/>
    <x v="2"/>
    <s v="Baptist"/>
    <n v="117440"/>
    <x v="20"/>
    <x v="3"/>
    <n v="56.3"/>
    <n v="8"/>
    <n v="1"/>
    <n v="1"/>
    <n v="1"/>
  </r>
  <r>
    <n v="2017"/>
    <x v="2"/>
    <s v="Baptist"/>
    <n v="153700"/>
    <x v="26"/>
    <x v="5"/>
    <n v="54.6"/>
    <n v="11"/>
    <n v="1"/>
    <n v="1"/>
    <n v="1"/>
  </r>
  <r>
    <n v="2017"/>
    <x v="2"/>
    <s v="Baptist"/>
    <n v="153700"/>
    <x v="26"/>
    <x v="0"/>
    <n v="80.099999999999994"/>
    <n v="11"/>
    <n v="13"/>
    <n v="7"/>
    <n v="8"/>
  </r>
  <r>
    <n v="2017"/>
    <x v="2"/>
    <s v="Baptist"/>
    <n v="153700"/>
    <x v="26"/>
    <x v="4"/>
    <n v="86.4"/>
    <n v="11"/>
    <n v="40"/>
    <n v="26"/>
    <n v="25"/>
  </r>
  <r>
    <n v="2017"/>
    <x v="2"/>
    <s v="Baptist"/>
    <n v="153700"/>
    <x v="26"/>
    <x v="2"/>
    <n v="81.8"/>
    <n v="11"/>
    <n v="19"/>
    <n v="13"/>
    <n v="13"/>
  </r>
  <r>
    <n v="2017"/>
    <x v="2"/>
    <s v="Baptist"/>
    <n v="153700"/>
    <x v="26"/>
    <x v="1"/>
    <n v="77.3"/>
    <n v="11"/>
    <n v="9"/>
    <n v="6"/>
    <n v="5"/>
  </r>
  <r>
    <n v="2017"/>
    <x v="2"/>
    <s v="Baptist"/>
    <n v="153700"/>
    <x v="26"/>
    <x v="3"/>
    <n v="75"/>
    <n v="11"/>
    <n v="5"/>
    <n v="1"/>
    <n v="3"/>
  </r>
  <r>
    <n v="2017"/>
    <x v="2"/>
    <s v="Baptist"/>
    <n v="130674"/>
    <x v="0"/>
    <x v="5"/>
    <n v="83.3"/>
    <n v="3"/>
    <n v="90"/>
    <n v="66"/>
    <n v="65"/>
  </r>
  <r>
    <n v="2017"/>
    <x v="2"/>
    <s v="Baptist"/>
    <n v="130674"/>
    <x v="0"/>
    <x v="0"/>
    <n v="87.5"/>
    <n v="3"/>
    <n v="77"/>
    <n v="59"/>
    <n v="56"/>
  </r>
  <r>
    <n v="2017"/>
    <x v="2"/>
    <s v="Baptist"/>
    <n v="130674"/>
    <x v="0"/>
    <x v="4"/>
    <n v="91.7"/>
    <n v="3"/>
    <n v="95"/>
    <n v="80"/>
    <n v="76"/>
  </r>
  <r>
    <n v="2017"/>
    <x v="2"/>
    <s v="Baptist"/>
    <n v="130674"/>
    <x v="0"/>
    <x v="2"/>
    <n v="83.3"/>
    <n v="3"/>
    <n v="26"/>
    <n v="23"/>
    <n v="19"/>
  </r>
  <r>
    <n v="2017"/>
    <x v="2"/>
    <s v="Baptist"/>
    <n v="130674"/>
    <x v="0"/>
    <x v="1"/>
    <n v="83.3"/>
    <n v="3"/>
    <n v="48"/>
    <n v="38"/>
    <n v="31"/>
  </r>
  <r>
    <n v="2017"/>
    <x v="2"/>
    <s v="Baptist"/>
    <n v="130674"/>
    <x v="0"/>
    <x v="3"/>
    <n v="91.7"/>
    <n v="3"/>
    <n v="99"/>
    <n v="97"/>
    <n v="91"/>
  </r>
  <r>
    <n v="2017"/>
    <x v="2"/>
    <s v="Baptist"/>
    <n v="59899"/>
    <x v="10"/>
    <x v="5"/>
    <n v="60.4"/>
    <n v="12"/>
    <n v="3"/>
    <n v="2"/>
    <n v="1"/>
  </r>
  <r>
    <n v="2017"/>
    <x v="2"/>
    <s v="Baptist"/>
    <n v="59899"/>
    <x v="10"/>
    <x v="0"/>
    <n v="85.9"/>
    <n v="12"/>
    <n v="61"/>
    <n v="48"/>
    <n v="41"/>
  </r>
  <r>
    <n v="2017"/>
    <x v="2"/>
    <s v="Baptist"/>
    <n v="59899"/>
    <x v="10"/>
    <x v="4"/>
    <n v="91.7"/>
    <n v="12"/>
    <n v="95"/>
    <n v="80"/>
    <n v="76"/>
  </r>
  <r>
    <n v="2017"/>
    <x v="2"/>
    <s v="Baptist"/>
    <n v="59899"/>
    <x v="10"/>
    <x v="2"/>
    <n v="87.5"/>
    <n v="12"/>
    <n v="72"/>
    <n v="58"/>
    <n v="53"/>
  </r>
  <r>
    <n v="2017"/>
    <x v="2"/>
    <s v="Baptist"/>
    <n v="59899"/>
    <x v="10"/>
    <x v="1"/>
    <n v="79.2"/>
    <n v="12"/>
    <n v="15"/>
    <n v="10"/>
    <n v="10"/>
  </r>
  <r>
    <n v="2017"/>
    <x v="2"/>
    <s v="Baptist"/>
    <n v="59899"/>
    <x v="10"/>
    <x v="3"/>
    <n v="85.4"/>
    <n v="12"/>
    <n v="66"/>
    <n v="50"/>
    <n v="47"/>
  </r>
  <r>
    <n v="2017"/>
    <x v="2"/>
    <s v="Baptist"/>
    <n v="99093"/>
    <x v="2"/>
    <x v="5"/>
    <n v="77.8"/>
    <n v="9"/>
    <n v="66"/>
    <n v="36"/>
    <n v="36"/>
  </r>
  <r>
    <n v="2017"/>
    <x v="2"/>
    <s v="Baptist"/>
    <n v="99093"/>
    <x v="2"/>
    <x v="0"/>
    <n v="85.4"/>
    <n v="9"/>
    <n v="56"/>
    <n v="44"/>
    <n v="37"/>
  </r>
  <r>
    <n v="2017"/>
    <x v="2"/>
    <s v="Baptist"/>
    <n v="99093"/>
    <x v="2"/>
    <x v="4"/>
    <n v="86.1"/>
    <n v="9"/>
    <n v="38"/>
    <n v="24"/>
    <n v="23"/>
  </r>
  <r>
    <n v="2017"/>
    <x v="2"/>
    <s v="Baptist"/>
    <n v="99093"/>
    <x v="2"/>
    <x v="2"/>
    <n v="81.3"/>
    <n v="8"/>
    <n v="15"/>
    <n v="12"/>
    <n v="10"/>
  </r>
  <r>
    <n v="2017"/>
    <x v="2"/>
    <s v="Baptist"/>
    <n v="99093"/>
    <x v="2"/>
    <x v="1"/>
    <n v="86.1"/>
    <n v="9"/>
    <n v="78"/>
    <n v="59"/>
    <n v="54"/>
  </r>
  <r>
    <n v="2017"/>
    <x v="2"/>
    <s v="Baptist"/>
    <n v="99093"/>
    <x v="2"/>
    <x v="3"/>
    <n v="86.1"/>
    <n v="9"/>
    <n v="74"/>
    <n v="57"/>
    <n v="53"/>
  </r>
  <r>
    <n v="2017"/>
    <x v="2"/>
    <s v="Baptist"/>
    <n v="70375"/>
    <x v="12"/>
    <x v="5"/>
    <n v="66.2"/>
    <n v="17"/>
    <n v="16"/>
    <n v="4"/>
    <n v="4"/>
  </r>
  <r>
    <n v="2017"/>
    <x v="2"/>
    <s v="Baptist"/>
    <n v="70375"/>
    <x v="12"/>
    <x v="0"/>
    <n v="80.599999999999994"/>
    <n v="18"/>
    <n v="14"/>
    <n v="9"/>
    <n v="9"/>
  </r>
  <r>
    <n v="2017"/>
    <x v="2"/>
    <s v="Baptist"/>
    <n v="70375"/>
    <x v="12"/>
    <x v="4"/>
    <n v="84.7"/>
    <n v="18"/>
    <n v="22"/>
    <n v="15"/>
    <n v="15"/>
  </r>
  <r>
    <n v="2017"/>
    <x v="2"/>
    <s v="Baptist"/>
    <n v="70375"/>
    <x v="12"/>
    <x v="2"/>
    <n v="83.3"/>
    <n v="18"/>
    <n v="26"/>
    <n v="23"/>
    <n v="19"/>
  </r>
  <r>
    <n v="2017"/>
    <x v="2"/>
    <s v="Baptist"/>
    <n v="70375"/>
    <x v="12"/>
    <x v="1"/>
    <n v="76.400000000000006"/>
    <n v="18"/>
    <n v="9"/>
    <n v="4"/>
    <n v="4"/>
  </r>
  <r>
    <n v="2017"/>
    <x v="2"/>
    <s v="Baptist"/>
    <n v="70375"/>
    <x v="12"/>
    <x v="3"/>
    <n v="77.8"/>
    <n v="18"/>
    <n v="11"/>
    <n v="5"/>
    <n v="6"/>
  </r>
  <r>
    <n v="2017"/>
    <x v="2"/>
    <s v="Baptist"/>
    <n v="70359"/>
    <x v="7"/>
    <x v="5"/>
    <n v="58.3"/>
    <n v="3"/>
    <n v="1"/>
    <n v="2"/>
    <n v="1"/>
  </r>
  <r>
    <n v="2017"/>
    <x v="2"/>
    <s v="Baptist"/>
    <n v="70359"/>
    <x v="7"/>
    <x v="0"/>
    <n v="100"/>
    <n v="3"/>
    <n v="99"/>
    <n v="99"/>
    <n v="99"/>
  </r>
  <r>
    <n v="2017"/>
    <x v="2"/>
    <s v="Baptist"/>
    <n v="70359"/>
    <x v="7"/>
    <x v="4"/>
    <n v="100"/>
    <n v="3"/>
    <n v="99"/>
    <n v="99"/>
    <n v="99"/>
  </r>
  <r>
    <n v="2017"/>
    <x v="2"/>
    <s v="Baptist"/>
    <n v="70359"/>
    <x v="7"/>
    <x v="2"/>
    <n v="100"/>
    <n v="3"/>
    <n v="99"/>
    <n v="99"/>
    <n v="99"/>
  </r>
  <r>
    <n v="2017"/>
    <x v="2"/>
    <s v="Baptist"/>
    <n v="70359"/>
    <x v="7"/>
    <x v="1"/>
    <n v="100"/>
    <n v="3"/>
    <n v="99"/>
    <n v="99"/>
    <n v="99"/>
  </r>
  <r>
    <n v="2017"/>
    <x v="2"/>
    <s v="Baptist"/>
    <n v="70359"/>
    <x v="7"/>
    <x v="3"/>
    <n v="100"/>
    <n v="3"/>
    <n v="99"/>
    <n v="99"/>
    <n v="99"/>
  </r>
  <r>
    <n v="2017"/>
    <x v="2"/>
    <s v="Baptist"/>
    <n v="99911"/>
    <x v="21"/>
    <x v="5"/>
    <n v="81.8"/>
    <n v="11"/>
    <n v="82"/>
    <n v="56"/>
    <n v="57"/>
  </r>
  <r>
    <n v="2017"/>
    <x v="2"/>
    <s v="Baptist"/>
    <n v="99911"/>
    <x v="21"/>
    <x v="0"/>
    <n v="79"/>
    <n v="12"/>
    <n v="10"/>
    <n v="5"/>
    <n v="5"/>
  </r>
  <r>
    <n v="2017"/>
    <x v="2"/>
    <s v="Baptist"/>
    <n v="99911"/>
    <x v="21"/>
    <x v="4"/>
    <n v="85.4"/>
    <n v="12"/>
    <n v="30"/>
    <n v="17"/>
    <n v="18"/>
  </r>
  <r>
    <n v="2017"/>
    <x v="2"/>
    <s v="Baptist"/>
    <n v="99911"/>
    <x v="21"/>
    <x v="2"/>
    <n v="79.2"/>
    <n v="12"/>
    <n v="9"/>
    <n v="5"/>
    <n v="6"/>
  </r>
  <r>
    <n v="2017"/>
    <x v="2"/>
    <s v="Baptist"/>
    <n v="99911"/>
    <x v="21"/>
    <x v="1"/>
    <n v="77.099999999999994"/>
    <n v="12"/>
    <n v="9"/>
    <n v="5"/>
    <n v="5"/>
  </r>
  <r>
    <n v="2017"/>
    <x v="2"/>
    <s v="Baptist"/>
    <n v="99911"/>
    <x v="21"/>
    <x v="3"/>
    <n v="75"/>
    <n v="11"/>
    <n v="5"/>
    <n v="1"/>
    <n v="3"/>
  </r>
  <r>
    <n v="2017"/>
    <x v="2"/>
    <s v="Baptist"/>
    <n v="177162"/>
    <x v="1"/>
    <x v="5"/>
    <n v="65.900000000000006"/>
    <n v="11"/>
    <n v="16"/>
    <n v="4"/>
    <n v="4"/>
  </r>
  <r>
    <n v="2017"/>
    <x v="2"/>
    <s v="Baptist"/>
    <n v="177162"/>
    <x v="1"/>
    <x v="0"/>
    <n v="91.2"/>
    <n v="12"/>
    <n v="99"/>
    <n v="92"/>
    <n v="85"/>
  </r>
  <r>
    <n v="2017"/>
    <x v="2"/>
    <s v="Baptist"/>
    <n v="177162"/>
    <x v="1"/>
    <x v="4"/>
    <n v="91.7"/>
    <n v="12"/>
    <n v="95"/>
    <n v="80"/>
    <n v="76"/>
  </r>
  <r>
    <n v="2017"/>
    <x v="2"/>
    <s v="Baptist"/>
    <n v="177162"/>
    <x v="1"/>
    <x v="2"/>
    <n v="89.6"/>
    <n v="12"/>
    <n v="91"/>
    <n v="78"/>
    <n v="74"/>
  </r>
  <r>
    <n v="2017"/>
    <x v="2"/>
    <s v="Baptist"/>
    <n v="177162"/>
    <x v="1"/>
    <x v="1"/>
    <n v="93.8"/>
    <n v="12"/>
    <n v="99"/>
    <n v="99"/>
    <n v="97"/>
  </r>
  <r>
    <n v="2017"/>
    <x v="2"/>
    <s v="Baptist"/>
    <n v="177162"/>
    <x v="1"/>
    <x v="3"/>
    <n v="89.6"/>
    <n v="12"/>
    <n v="99"/>
    <n v="89"/>
    <n v="81"/>
  </r>
  <r>
    <n v="2017"/>
    <x v="2"/>
    <s v="Baptist"/>
    <n v="60707"/>
    <x v="30"/>
    <x v="5"/>
    <n v="30"/>
    <n v="5"/>
    <n v="1"/>
    <n v="1"/>
    <n v="1"/>
  </r>
  <r>
    <n v="2017"/>
    <x v="2"/>
    <s v="Baptist"/>
    <n v="60707"/>
    <x v="30"/>
    <x v="0"/>
    <n v="70"/>
    <n v="5"/>
    <n v="1"/>
    <n v="1"/>
    <n v="1"/>
  </r>
  <r>
    <n v="2017"/>
    <x v="2"/>
    <s v="Baptist"/>
    <n v="60707"/>
    <x v="30"/>
    <x v="4"/>
    <n v="75"/>
    <n v="5"/>
    <n v="1"/>
    <n v="1"/>
    <n v="1"/>
  </r>
  <r>
    <n v="2017"/>
    <x v="2"/>
    <s v="Baptist"/>
    <n v="60707"/>
    <x v="30"/>
    <x v="2"/>
    <n v="70"/>
    <n v="5"/>
    <n v="1"/>
    <n v="1"/>
    <n v="1"/>
  </r>
  <r>
    <n v="2017"/>
    <x v="2"/>
    <s v="Baptist"/>
    <n v="60707"/>
    <x v="30"/>
    <x v="1"/>
    <n v="70"/>
    <n v="5"/>
    <n v="1"/>
    <n v="1"/>
    <n v="1"/>
  </r>
  <r>
    <n v="2017"/>
    <x v="2"/>
    <s v="Baptist"/>
    <n v="60707"/>
    <x v="30"/>
    <x v="3"/>
    <n v="65"/>
    <n v="5"/>
    <n v="1"/>
    <n v="1"/>
    <n v="1"/>
  </r>
  <r>
    <n v="2017"/>
    <x v="2"/>
    <s v="Baptist"/>
    <n v="58222"/>
    <x v="4"/>
    <x v="5"/>
    <n v="40"/>
    <n v="5"/>
    <n v="1"/>
    <n v="1"/>
    <n v="1"/>
  </r>
  <r>
    <n v="2017"/>
    <x v="2"/>
    <s v="Baptist"/>
    <n v="58222"/>
    <x v="4"/>
    <x v="0"/>
    <n v="86.3"/>
    <n v="5"/>
    <n v="62"/>
    <n v="49"/>
    <n v="44"/>
  </r>
  <r>
    <n v="2017"/>
    <x v="2"/>
    <s v="Baptist"/>
    <n v="58222"/>
    <x v="4"/>
    <x v="4"/>
    <n v="95"/>
    <n v="5"/>
    <n v="99"/>
    <n v="99"/>
    <n v="96"/>
  </r>
  <r>
    <n v="2017"/>
    <x v="2"/>
    <s v="Baptist"/>
    <n v="58222"/>
    <x v="4"/>
    <x v="2"/>
    <n v="90"/>
    <n v="5"/>
    <n v="97"/>
    <n v="82"/>
    <n v="77"/>
  </r>
  <r>
    <n v="2017"/>
    <x v="2"/>
    <s v="Baptist"/>
    <n v="58222"/>
    <x v="4"/>
    <x v="1"/>
    <n v="80"/>
    <n v="5"/>
    <n v="18"/>
    <n v="14"/>
    <n v="12"/>
  </r>
  <r>
    <n v="2017"/>
    <x v="2"/>
    <s v="Baptist"/>
    <n v="58222"/>
    <x v="4"/>
    <x v="3"/>
    <n v="80"/>
    <n v="5"/>
    <n v="21"/>
    <n v="15"/>
    <n v="12"/>
  </r>
  <r>
    <n v="2017"/>
    <x v="2"/>
    <s v="Baptist"/>
    <n v="89391"/>
    <x v="15"/>
    <x v="5"/>
    <n v="50"/>
    <n v="6"/>
    <n v="1"/>
    <n v="1"/>
    <n v="1"/>
  </r>
  <r>
    <n v="2017"/>
    <x v="2"/>
    <s v="Baptist"/>
    <n v="89391"/>
    <x v="15"/>
    <x v="0"/>
    <n v="72.900000000000006"/>
    <n v="6"/>
    <n v="1"/>
    <n v="1"/>
    <n v="1"/>
  </r>
  <r>
    <n v="2017"/>
    <x v="2"/>
    <s v="Baptist"/>
    <n v="89391"/>
    <x v="15"/>
    <x v="4"/>
    <n v="75"/>
    <n v="6"/>
    <n v="1"/>
    <n v="1"/>
    <n v="1"/>
  </r>
  <r>
    <n v="2017"/>
    <x v="2"/>
    <s v="Baptist"/>
    <n v="89391"/>
    <x v="15"/>
    <x v="2"/>
    <n v="75"/>
    <n v="6"/>
    <n v="2"/>
    <n v="1"/>
    <n v="2"/>
  </r>
  <r>
    <n v="2017"/>
    <x v="2"/>
    <s v="Baptist"/>
    <n v="89391"/>
    <x v="15"/>
    <x v="1"/>
    <n v="70.8"/>
    <n v="6"/>
    <n v="1"/>
    <n v="1"/>
    <n v="1"/>
  </r>
  <r>
    <n v="2017"/>
    <x v="2"/>
    <s v="Baptist"/>
    <n v="89391"/>
    <x v="15"/>
    <x v="3"/>
    <n v="70.8"/>
    <n v="6"/>
    <n v="1"/>
    <n v="1"/>
    <n v="1"/>
  </r>
  <r>
    <n v="2017"/>
    <x v="2"/>
    <s v="Baptist"/>
    <n v="36541"/>
    <x v="9"/>
    <x v="5"/>
    <n v="82.7"/>
    <n v="13"/>
    <n v="85"/>
    <n v="59"/>
    <n v="61"/>
  </r>
  <r>
    <n v="2017"/>
    <x v="2"/>
    <s v="Baptist"/>
    <n v="36541"/>
    <x v="9"/>
    <x v="0"/>
    <n v="88.4"/>
    <n v="14"/>
    <n v="87"/>
    <n v="68"/>
    <n v="65"/>
  </r>
  <r>
    <n v="2017"/>
    <x v="2"/>
    <s v="Baptist"/>
    <n v="36541"/>
    <x v="9"/>
    <x v="4"/>
    <n v="91.1"/>
    <n v="14"/>
    <n v="91"/>
    <n v="73"/>
    <n v="71"/>
  </r>
  <r>
    <n v="2017"/>
    <x v="2"/>
    <s v="Baptist"/>
    <n v="36541"/>
    <x v="9"/>
    <x v="2"/>
    <n v="87.5"/>
    <n v="14"/>
    <n v="72"/>
    <n v="58"/>
    <n v="53"/>
  </r>
  <r>
    <n v="2017"/>
    <x v="2"/>
    <s v="Baptist"/>
    <n v="36541"/>
    <x v="9"/>
    <x v="1"/>
    <n v="87.5"/>
    <n v="14"/>
    <n v="88"/>
    <n v="68"/>
    <n v="66"/>
  </r>
  <r>
    <n v="2017"/>
    <x v="2"/>
    <s v="Baptist"/>
    <n v="36541"/>
    <x v="9"/>
    <x v="3"/>
    <n v="87.5"/>
    <n v="14"/>
    <n v="88"/>
    <n v="72"/>
    <n v="65"/>
  </r>
  <r>
    <n v="2017"/>
    <x v="2"/>
    <s v="Baptist"/>
    <n v="91405"/>
    <x v="27"/>
    <x v="5"/>
    <n v="65.599999999999994"/>
    <n v="8"/>
    <n v="14"/>
    <n v="4"/>
    <n v="3"/>
  </r>
  <r>
    <n v="2017"/>
    <x v="2"/>
    <s v="Baptist"/>
    <n v="91405"/>
    <x v="27"/>
    <x v="0"/>
    <n v="62.5"/>
    <n v="8"/>
    <n v="1"/>
    <n v="1"/>
    <n v="1"/>
  </r>
  <r>
    <n v="2017"/>
    <x v="2"/>
    <s v="Baptist"/>
    <n v="91405"/>
    <x v="27"/>
    <x v="4"/>
    <n v="65.599999999999994"/>
    <n v="8"/>
    <n v="1"/>
    <n v="1"/>
    <n v="1"/>
  </r>
  <r>
    <n v="2017"/>
    <x v="2"/>
    <s v="Baptist"/>
    <n v="91405"/>
    <x v="27"/>
    <x v="2"/>
    <n v="62.5"/>
    <n v="8"/>
    <n v="1"/>
    <n v="1"/>
    <n v="1"/>
  </r>
  <r>
    <n v="2017"/>
    <x v="2"/>
    <s v="Baptist"/>
    <n v="91405"/>
    <x v="27"/>
    <x v="1"/>
    <n v="62.5"/>
    <n v="8"/>
    <n v="1"/>
    <n v="1"/>
    <n v="1"/>
  </r>
  <r>
    <n v="2017"/>
    <x v="2"/>
    <s v="Baptist"/>
    <n v="91405"/>
    <x v="27"/>
    <x v="3"/>
    <n v="59.4"/>
    <n v="8"/>
    <n v="1"/>
    <n v="1"/>
    <n v="1"/>
  </r>
  <r>
    <n v="2017"/>
    <x v="2"/>
    <s v="Baptist"/>
    <n v="58321"/>
    <x v="28"/>
    <x v="5"/>
    <n v="80"/>
    <n v="5"/>
    <n v="76"/>
    <n v="47"/>
    <n v="47"/>
  </r>
  <r>
    <n v="2017"/>
    <x v="2"/>
    <s v="Baptist"/>
    <n v="58321"/>
    <x v="28"/>
    <x v="0"/>
    <n v="86.3"/>
    <n v="5"/>
    <n v="62"/>
    <n v="49"/>
    <n v="44"/>
  </r>
  <r>
    <n v="2017"/>
    <x v="2"/>
    <s v="Baptist"/>
    <n v="58321"/>
    <x v="28"/>
    <x v="4"/>
    <n v="90"/>
    <n v="5"/>
    <n v="78"/>
    <n v="59"/>
    <n v="59"/>
  </r>
  <r>
    <n v="2017"/>
    <x v="2"/>
    <s v="Baptist"/>
    <n v="58321"/>
    <x v="28"/>
    <x v="2"/>
    <n v="85"/>
    <n v="5"/>
    <n v="47"/>
    <n v="39"/>
    <n v="31"/>
  </r>
  <r>
    <n v="2017"/>
    <x v="2"/>
    <s v="Baptist"/>
    <n v="58321"/>
    <x v="28"/>
    <x v="1"/>
    <n v="85"/>
    <n v="5"/>
    <n v="67"/>
    <n v="50"/>
    <n v="45"/>
  </r>
  <r>
    <n v="2017"/>
    <x v="2"/>
    <s v="Baptist"/>
    <n v="58321"/>
    <x v="28"/>
    <x v="3"/>
    <n v="85"/>
    <n v="5"/>
    <n v="62"/>
    <n v="47"/>
    <n v="44"/>
  </r>
  <r>
    <n v="2017"/>
    <x v="2"/>
    <s v="Baptist"/>
    <n v="23994"/>
    <x v="19"/>
    <x v="5"/>
    <n v="78.599999999999994"/>
    <n v="7"/>
    <n v="69"/>
    <n v="39"/>
    <n v="40"/>
  </r>
  <r>
    <n v="2017"/>
    <x v="2"/>
    <s v="Baptist"/>
    <n v="23994"/>
    <x v="19"/>
    <x v="0"/>
    <n v="97.6"/>
    <n v="7"/>
    <n v="99"/>
    <n v="99"/>
    <n v="99"/>
  </r>
  <r>
    <n v="2017"/>
    <x v="2"/>
    <s v="Baptist"/>
    <n v="23994"/>
    <x v="19"/>
    <x v="4"/>
    <n v="100"/>
    <n v="7"/>
    <n v="99"/>
    <n v="99"/>
    <n v="99"/>
  </r>
  <r>
    <n v="2017"/>
    <x v="2"/>
    <s v="Baptist"/>
    <n v="23994"/>
    <x v="19"/>
    <x v="2"/>
    <n v="96.4"/>
    <n v="7"/>
    <n v="99"/>
    <n v="99"/>
    <n v="99"/>
  </r>
  <r>
    <n v="2017"/>
    <x v="2"/>
    <s v="Baptist"/>
    <n v="23994"/>
    <x v="19"/>
    <x v="1"/>
    <n v="96.4"/>
    <n v="7"/>
    <n v="99"/>
    <n v="99"/>
    <n v="99"/>
  </r>
  <r>
    <n v="2017"/>
    <x v="2"/>
    <s v="Baptist"/>
    <n v="23994"/>
    <x v="19"/>
    <x v="3"/>
    <n v="100"/>
    <n v="6"/>
    <n v="99"/>
    <n v="99"/>
    <n v="99"/>
  </r>
  <r>
    <n v="2017"/>
    <x v="2"/>
    <s v="Baptist"/>
    <n v="22673"/>
    <x v="5"/>
    <x v="5"/>
    <n v="90.6"/>
    <n v="8"/>
    <n v="99"/>
    <n v="98"/>
    <n v="93"/>
  </r>
  <r>
    <n v="2017"/>
    <x v="2"/>
    <s v="Baptist"/>
    <n v="22673"/>
    <x v="5"/>
    <x v="0"/>
    <n v="95.3"/>
    <n v="8"/>
    <n v="99"/>
    <n v="99"/>
    <n v="98"/>
  </r>
  <r>
    <n v="2017"/>
    <x v="2"/>
    <s v="Baptist"/>
    <n v="22673"/>
    <x v="5"/>
    <x v="4"/>
    <n v="96.9"/>
    <n v="8"/>
    <n v="99"/>
    <n v="99"/>
    <n v="99"/>
  </r>
  <r>
    <n v="2017"/>
    <x v="2"/>
    <s v="Baptist"/>
    <n v="22673"/>
    <x v="5"/>
    <x v="2"/>
    <n v="96.9"/>
    <n v="8"/>
    <n v="99"/>
    <n v="99"/>
    <n v="99"/>
  </r>
  <r>
    <n v="2017"/>
    <x v="2"/>
    <s v="Baptist"/>
    <n v="22673"/>
    <x v="5"/>
    <x v="1"/>
    <n v="96.9"/>
    <n v="8"/>
    <n v="99"/>
    <n v="99"/>
    <n v="99"/>
  </r>
  <r>
    <n v="2017"/>
    <x v="2"/>
    <s v="Baptist"/>
    <n v="22673"/>
    <x v="5"/>
    <x v="3"/>
    <n v="90.6"/>
    <n v="8"/>
    <n v="99"/>
    <n v="94"/>
    <n v="86"/>
  </r>
  <r>
    <n v="2017"/>
    <x v="2"/>
    <s v="Baptist"/>
    <n v="91397"/>
    <x v="29"/>
    <x v="5"/>
    <n v="84.4"/>
    <n v="8"/>
    <n v="94"/>
    <n v="73"/>
    <n v="71"/>
  </r>
  <r>
    <n v="2017"/>
    <x v="2"/>
    <s v="Baptist"/>
    <n v="91397"/>
    <x v="29"/>
    <x v="0"/>
    <n v="85.2"/>
    <n v="8"/>
    <n v="53"/>
    <n v="41"/>
    <n v="35"/>
  </r>
  <r>
    <n v="2017"/>
    <x v="2"/>
    <s v="Baptist"/>
    <n v="91397"/>
    <x v="29"/>
    <x v="4"/>
    <n v="84.4"/>
    <n v="8"/>
    <n v="20"/>
    <n v="11"/>
    <n v="13"/>
  </r>
  <r>
    <n v="2017"/>
    <x v="2"/>
    <s v="Baptist"/>
    <n v="91397"/>
    <x v="29"/>
    <x v="2"/>
    <n v="84.4"/>
    <n v="8"/>
    <n v="41"/>
    <n v="32"/>
    <n v="26"/>
  </r>
  <r>
    <n v="2017"/>
    <x v="2"/>
    <s v="Baptist"/>
    <n v="91397"/>
    <x v="29"/>
    <x v="1"/>
    <n v="84.4"/>
    <n v="8"/>
    <n v="58"/>
    <n v="46"/>
    <n v="39"/>
  </r>
  <r>
    <n v="2017"/>
    <x v="2"/>
    <s v="Baptist"/>
    <n v="91397"/>
    <x v="29"/>
    <x v="3"/>
    <n v="92.9"/>
    <n v="7"/>
    <n v="99"/>
    <n v="98"/>
    <n v="95"/>
  </r>
  <r>
    <n v="2017"/>
    <x v="2"/>
    <s v="Baptist"/>
    <n v="64022"/>
    <x v="25"/>
    <x v="5"/>
    <n v="65.3"/>
    <n v="18"/>
    <n v="13"/>
    <n v="4"/>
    <n v="3"/>
  </r>
  <r>
    <n v="2017"/>
    <x v="2"/>
    <s v="Baptist"/>
    <n v="64022"/>
    <x v="25"/>
    <x v="0"/>
    <n v="70.400000000000006"/>
    <n v="19"/>
    <n v="1"/>
    <n v="1"/>
    <n v="1"/>
  </r>
  <r>
    <n v="2017"/>
    <x v="2"/>
    <s v="Baptist"/>
    <n v="64022"/>
    <x v="25"/>
    <x v="4"/>
    <n v="75"/>
    <n v="19"/>
    <n v="1"/>
    <n v="1"/>
    <n v="1"/>
  </r>
  <r>
    <n v="2017"/>
    <x v="2"/>
    <s v="Baptist"/>
    <n v="64022"/>
    <x v="25"/>
    <x v="2"/>
    <n v="75"/>
    <n v="19"/>
    <n v="2"/>
    <n v="1"/>
    <n v="2"/>
  </r>
  <r>
    <n v="2017"/>
    <x v="2"/>
    <s v="Baptist"/>
    <n v="64022"/>
    <x v="25"/>
    <x v="1"/>
    <n v="64.5"/>
    <n v="19"/>
    <n v="1"/>
    <n v="1"/>
    <n v="1"/>
  </r>
  <r>
    <n v="2017"/>
    <x v="2"/>
    <s v="Baptist"/>
    <n v="64022"/>
    <x v="25"/>
    <x v="3"/>
    <n v="67.099999999999994"/>
    <n v="19"/>
    <n v="1"/>
    <n v="1"/>
    <n v="1"/>
  </r>
  <r>
    <n v="2017"/>
    <x v="2"/>
    <s v="Baptist"/>
    <n v="88963"/>
    <x v="22"/>
    <x v="5"/>
    <n v="75"/>
    <n v="11"/>
    <n v="48"/>
    <n v="23"/>
    <n v="23"/>
  </r>
  <r>
    <n v="2017"/>
    <x v="2"/>
    <s v="Baptist"/>
    <n v="88963"/>
    <x v="22"/>
    <x v="0"/>
    <n v="74.5"/>
    <n v="12"/>
    <n v="1"/>
    <n v="1"/>
    <n v="1"/>
  </r>
  <r>
    <n v="2017"/>
    <x v="2"/>
    <s v="Baptist"/>
    <n v="88963"/>
    <x v="22"/>
    <x v="4"/>
    <n v="79.2"/>
    <n v="12"/>
    <n v="2"/>
    <n v="1"/>
    <n v="2"/>
  </r>
  <r>
    <n v="2017"/>
    <x v="2"/>
    <s v="Baptist"/>
    <n v="88963"/>
    <x v="22"/>
    <x v="2"/>
    <n v="70.8"/>
    <n v="12"/>
    <n v="1"/>
    <n v="1"/>
    <n v="1"/>
  </r>
  <r>
    <n v="2017"/>
    <x v="2"/>
    <s v="Baptist"/>
    <n v="88963"/>
    <x v="22"/>
    <x v="1"/>
    <n v="72.900000000000006"/>
    <n v="12"/>
    <n v="3"/>
    <n v="1"/>
    <n v="2"/>
  </r>
  <r>
    <n v="2017"/>
    <x v="2"/>
    <s v="Baptist"/>
    <n v="88963"/>
    <x v="22"/>
    <x v="3"/>
    <n v="72.7"/>
    <n v="11"/>
    <n v="2"/>
    <n v="1"/>
    <n v="1"/>
  </r>
  <r>
    <n v="2017"/>
    <x v="3"/>
    <s v="Baptist"/>
    <n v="117671"/>
    <x v="13"/>
    <x v="5"/>
    <n v="80"/>
    <n v="5"/>
    <n v="74"/>
    <n v="39"/>
    <n v="45"/>
  </r>
  <r>
    <n v="2017"/>
    <x v="3"/>
    <s v="Baptist"/>
    <n v="117671"/>
    <x v="13"/>
    <x v="0"/>
    <n v="81.3"/>
    <n v="5"/>
    <n v="17"/>
    <n v="9"/>
    <n v="10"/>
  </r>
  <r>
    <n v="2017"/>
    <x v="3"/>
    <s v="Baptist"/>
    <n v="117671"/>
    <x v="13"/>
    <x v="4"/>
    <n v="85"/>
    <n v="5"/>
    <n v="20"/>
    <n v="15"/>
    <n v="15"/>
  </r>
  <r>
    <n v="2017"/>
    <x v="3"/>
    <s v="Baptist"/>
    <n v="117671"/>
    <x v="13"/>
    <x v="2"/>
    <n v="80"/>
    <n v="5"/>
    <n v="13"/>
    <n v="6"/>
    <n v="7"/>
  </r>
  <r>
    <n v="2017"/>
    <x v="3"/>
    <s v="Baptist"/>
    <n v="117671"/>
    <x v="13"/>
    <x v="1"/>
    <n v="80"/>
    <n v="5"/>
    <n v="19"/>
    <n v="12"/>
    <n v="11"/>
  </r>
  <r>
    <n v="2017"/>
    <x v="3"/>
    <s v="Baptist"/>
    <n v="117671"/>
    <x v="13"/>
    <x v="3"/>
    <n v="80"/>
    <n v="5"/>
    <n v="17"/>
    <n v="10"/>
    <n v="11"/>
  </r>
  <r>
    <n v="2017"/>
    <x v="3"/>
    <s v="Baptist"/>
    <n v="104133"/>
    <x v="8"/>
    <x v="5"/>
    <n v="75"/>
    <n v="17"/>
    <n v="47"/>
    <n v="14"/>
    <n v="21"/>
  </r>
  <r>
    <n v="2017"/>
    <x v="3"/>
    <s v="Baptist"/>
    <n v="104133"/>
    <x v="8"/>
    <x v="0"/>
    <n v="85.7"/>
    <n v="17"/>
    <n v="57"/>
    <n v="41"/>
    <n v="37"/>
  </r>
  <r>
    <n v="2017"/>
    <x v="3"/>
    <s v="Baptist"/>
    <n v="104133"/>
    <x v="8"/>
    <x v="4"/>
    <n v="89.7"/>
    <n v="17"/>
    <n v="76"/>
    <n v="56"/>
    <n v="55"/>
  </r>
  <r>
    <n v="2017"/>
    <x v="3"/>
    <s v="Baptist"/>
    <n v="104133"/>
    <x v="8"/>
    <x v="2"/>
    <n v="88.2"/>
    <n v="17"/>
    <n v="84"/>
    <n v="63"/>
    <n v="60"/>
  </r>
  <r>
    <n v="2017"/>
    <x v="3"/>
    <s v="Baptist"/>
    <n v="104133"/>
    <x v="8"/>
    <x v="1"/>
    <n v="83.8"/>
    <n v="17"/>
    <n v="49"/>
    <n v="38"/>
    <n v="33"/>
  </r>
  <r>
    <n v="2017"/>
    <x v="3"/>
    <s v="Baptist"/>
    <n v="104133"/>
    <x v="8"/>
    <x v="3"/>
    <n v="80.900000000000006"/>
    <n v="17"/>
    <n v="20"/>
    <n v="16"/>
    <n v="15"/>
  </r>
  <r>
    <n v="2017"/>
    <x v="3"/>
    <s v="Baptist"/>
    <n v="114603"/>
    <x v="24"/>
    <x v="5"/>
    <n v="38.9"/>
    <n v="9"/>
    <n v="1"/>
    <n v="1"/>
    <n v="1"/>
  </r>
  <r>
    <n v="2017"/>
    <x v="3"/>
    <s v="Baptist"/>
    <n v="114603"/>
    <x v="24"/>
    <x v="0"/>
    <n v="57.6"/>
    <n v="9"/>
    <n v="1"/>
    <n v="1"/>
    <n v="1"/>
  </r>
  <r>
    <n v="2017"/>
    <x v="3"/>
    <s v="Baptist"/>
    <n v="114603"/>
    <x v="24"/>
    <x v="4"/>
    <n v="66.7"/>
    <n v="9"/>
    <n v="1"/>
    <n v="1"/>
    <n v="1"/>
  </r>
  <r>
    <n v="2017"/>
    <x v="3"/>
    <s v="Baptist"/>
    <n v="114603"/>
    <x v="24"/>
    <x v="2"/>
    <n v="58.3"/>
    <n v="9"/>
    <n v="1"/>
    <n v="1"/>
    <n v="1"/>
  </r>
  <r>
    <n v="2017"/>
    <x v="3"/>
    <s v="Baptist"/>
    <n v="114603"/>
    <x v="24"/>
    <x v="1"/>
    <n v="61.1"/>
    <n v="9"/>
    <n v="1"/>
    <n v="1"/>
    <n v="1"/>
  </r>
  <r>
    <n v="2017"/>
    <x v="3"/>
    <s v="Baptist"/>
    <n v="114603"/>
    <x v="24"/>
    <x v="3"/>
    <n v="44.4"/>
    <n v="9"/>
    <n v="1"/>
    <n v="1"/>
    <n v="1"/>
  </r>
  <r>
    <n v="2017"/>
    <x v="3"/>
    <s v="Baptist"/>
    <n v="101071"/>
    <x v="31"/>
    <x v="5"/>
    <n v="45.8"/>
    <n v="6"/>
    <n v="1"/>
    <n v="1"/>
    <n v="1"/>
  </r>
  <r>
    <n v="2017"/>
    <x v="3"/>
    <s v="Baptist"/>
    <n v="101071"/>
    <x v="31"/>
    <x v="0"/>
    <n v="63.8"/>
    <n v="5"/>
    <n v="1"/>
    <n v="1"/>
    <n v="1"/>
  </r>
  <r>
    <n v="2017"/>
    <x v="3"/>
    <s v="Baptist"/>
    <n v="101071"/>
    <x v="31"/>
    <x v="4"/>
    <n v="70"/>
    <n v="5"/>
    <n v="1"/>
    <n v="1"/>
    <n v="1"/>
  </r>
  <r>
    <n v="2017"/>
    <x v="3"/>
    <s v="Baptist"/>
    <n v="101071"/>
    <x v="31"/>
    <x v="2"/>
    <n v="55"/>
    <n v="5"/>
    <n v="1"/>
    <n v="1"/>
    <n v="1"/>
  </r>
  <r>
    <n v="2017"/>
    <x v="3"/>
    <s v="Baptist"/>
    <n v="101071"/>
    <x v="31"/>
    <x v="1"/>
    <n v="65"/>
    <n v="5"/>
    <n v="1"/>
    <n v="1"/>
    <n v="1"/>
  </r>
  <r>
    <n v="2017"/>
    <x v="3"/>
    <s v="Baptist"/>
    <n v="101071"/>
    <x v="31"/>
    <x v="3"/>
    <n v="65"/>
    <n v="5"/>
    <n v="1"/>
    <n v="1"/>
    <n v="1"/>
  </r>
  <r>
    <n v="2017"/>
    <x v="3"/>
    <s v="Baptist"/>
    <n v="110569"/>
    <x v="6"/>
    <x v="5"/>
    <n v="87.5"/>
    <n v="10"/>
    <n v="99"/>
    <n v="86"/>
    <n v="83"/>
  </r>
  <r>
    <n v="2017"/>
    <x v="3"/>
    <s v="Baptist"/>
    <n v="110569"/>
    <x v="6"/>
    <x v="0"/>
    <n v="94.4"/>
    <n v="10"/>
    <n v="99"/>
    <n v="99"/>
    <n v="97"/>
  </r>
  <r>
    <n v="2017"/>
    <x v="3"/>
    <s v="Baptist"/>
    <n v="110569"/>
    <x v="6"/>
    <x v="4"/>
    <n v="100"/>
    <n v="10"/>
    <n v="99"/>
    <n v="99"/>
    <n v="99"/>
  </r>
  <r>
    <n v="2017"/>
    <x v="3"/>
    <s v="Baptist"/>
    <n v="110569"/>
    <x v="6"/>
    <x v="2"/>
    <n v="95"/>
    <n v="10"/>
    <n v="99"/>
    <n v="99"/>
    <n v="98"/>
  </r>
  <r>
    <n v="2017"/>
    <x v="3"/>
    <s v="Baptist"/>
    <n v="110569"/>
    <x v="6"/>
    <x v="1"/>
    <n v="95"/>
    <n v="10"/>
    <n v="99"/>
    <n v="99"/>
    <n v="98"/>
  </r>
  <r>
    <n v="2017"/>
    <x v="3"/>
    <s v="Baptist"/>
    <n v="110569"/>
    <x v="6"/>
    <x v="3"/>
    <n v="87.5"/>
    <n v="10"/>
    <n v="86"/>
    <n v="67"/>
    <n v="64"/>
  </r>
  <r>
    <n v="2017"/>
    <x v="3"/>
    <s v="Baptist"/>
    <n v="117465"/>
    <x v="11"/>
    <x v="5"/>
    <n v="87.5"/>
    <n v="6"/>
    <n v="99"/>
    <n v="86"/>
    <n v="83"/>
  </r>
  <r>
    <n v="2017"/>
    <x v="3"/>
    <s v="Baptist"/>
    <n v="117465"/>
    <x v="11"/>
    <x v="0"/>
    <n v="80.2"/>
    <n v="6"/>
    <n v="14"/>
    <n v="5"/>
    <n v="7"/>
  </r>
  <r>
    <n v="2017"/>
    <x v="3"/>
    <s v="Baptist"/>
    <n v="117465"/>
    <x v="11"/>
    <x v="4"/>
    <n v="87.5"/>
    <n v="6"/>
    <n v="45"/>
    <n v="32"/>
    <n v="32"/>
  </r>
  <r>
    <n v="2017"/>
    <x v="3"/>
    <s v="Baptist"/>
    <n v="117465"/>
    <x v="11"/>
    <x v="2"/>
    <n v="87.5"/>
    <n v="6"/>
    <n v="74"/>
    <n v="54"/>
    <n v="52"/>
  </r>
  <r>
    <n v="2017"/>
    <x v="3"/>
    <s v="Baptist"/>
    <n v="117465"/>
    <x v="11"/>
    <x v="1"/>
    <n v="70.8"/>
    <n v="6"/>
    <n v="1"/>
    <n v="1"/>
    <n v="1"/>
  </r>
  <r>
    <n v="2017"/>
    <x v="3"/>
    <s v="Baptist"/>
    <n v="117465"/>
    <x v="11"/>
    <x v="3"/>
    <n v="75"/>
    <n v="6"/>
    <n v="5"/>
    <n v="1"/>
    <n v="2"/>
  </r>
  <r>
    <n v="2017"/>
    <x v="3"/>
    <s v="Baptist"/>
    <n v="121681"/>
    <x v="17"/>
    <x v="5"/>
    <n v="75"/>
    <n v="7"/>
    <n v="47"/>
    <n v="14"/>
    <n v="21"/>
  </r>
  <r>
    <n v="2017"/>
    <x v="3"/>
    <s v="Baptist"/>
    <n v="121681"/>
    <x v="17"/>
    <x v="0"/>
    <n v="83"/>
    <n v="7"/>
    <n v="26"/>
    <n v="19"/>
    <n v="18"/>
  </r>
  <r>
    <n v="2017"/>
    <x v="3"/>
    <s v="Baptist"/>
    <n v="121681"/>
    <x v="17"/>
    <x v="4"/>
    <n v="89.3"/>
    <n v="7"/>
    <n v="70"/>
    <n v="52"/>
    <n v="51"/>
  </r>
  <r>
    <n v="2017"/>
    <x v="3"/>
    <s v="Baptist"/>
    <n v="121681"/>
    <x v="17"/>
    <x v="2"/>
    <n v="82.1"/>
    <n v="7"/>
    <n v="20"/>
    <n v="16"/>
    <n v="13"/>
  </r>
  <r>
    <n v="2017"/>
    <x v="3"/>
    <s v="Baptist"/>
    <n v="121681"/>
    <x v="17"/>
    <x v="1"/>
    <n v="82.1"/>
    <n v="7"/>
    <n v="33"/>
    <n v="22"/>
    <n v="21"/>
  </r>
  <r>
    <n v="2017"/>
    <x v="3"/>
    <s v="Baptist"/>
    <n v="121681"/>
    <x v="17"/>
    <x v="3"/>
    <n v="78.599999999999994"/>
    <n v="7"/>
    <n v="14"/>
    <n v="5"/>
    <n v="7"/>
  </r>
  <r>
    <n v="2017"/>
    <x v="3"/>
    <s v="Baptist"/>
    <n v="103275"/>
    <x v="14"/>
    <x v="5"/>
    <n v="72.2"/>
    <n v="9"/>
    <n v="33"/>
    <n v="7"/>
    <n v="13"/>
  </r>
  <r>
    <n v="2017"/>
    <x v="3"/>
    <s v="Baptist"/>
    <n v="103275"/>
    <x v="14"/>
    <x v="0"/>
    <n v="88.9"/>
    <n v="9"/>
    <n v="89"/>
    <n v="69"/>
    <n v="68"/>
  </r>
  <r>
    <n v="2017"/>
    <x v="3"/>
    <s v="Baptist"/>
    <n v="103275"/>
    <x v="14"/>
    <x v="4"/>
    <n v="94.4"/>
    <n v="9"/>
    <n v="99"/>
    <n v="98"/>
    <n v="94"/>
  </r>
  <r>
    <n v="2017"/>
    <x v="3"/>
    <s v="Baptist"/>
    <n v="103275"/>
    <x v="14"/>
    <x v="2"/>
    <n v="88.9"/>
    <n v="9"/>
    <n v="85"/>
    <n v="67"/>
    <n v="65"/>
  </r>
  <r>
    <n v="2017"/>
    <x v="3"/>
    <s v="Baptist"/>
    <n v="103275"/>
    <x v="14"/>
    <x v="1"/>
    <n v="86.1"/>
    <n v="9"/>
    <n v="79"/>
    <n v="53"/>
    <n v="53"/>
  </r>
  <r>
    <n v="2017"/>
    <x v="3"/>
    <s v="Baptist"/>
    <n v="103275"/>
    <x v="14"/>
    <x v="3"/>
    <n v="86.1"/>
    <n v="9"/>
    <n v="77"/>
    <n v="57"/>
    <n v="52"/>
  </r>
  <r>
    <n v="2017"/>
    <x v="3"/>
    <s v="Baptist"/>
    <n v="150441"/>
    <x v="18"/>
    <x v="5"/>
    <n v="100"/>
    <n v="6"/>
    <n v="99"/>
    <n v="99"/>
    <n v="99"/>
  </r>
  <r>
    <n v="2017"/>
    <x v="3"/>
    <s v="Baptist"/>
    <n v="150441"/>
    <x v="18"/>
    <x v="0"/>
    <n v="100"/>
    <n v="6"/>
    <n v="99"/>
    <n v="99"/>
    <n v="99"/>
  </r>
  <r>
    <n v="2017"/>
    <x v="3"/>
    <s v="Baptist"/>
    <n v="150441"/>
    <x v="18"/>
    <x v="4"/>
    <n v="100"/>
    <n v="6"/>
    <n v="99"/>
    <n v="99"/>
    <n v="99"/>
  </r>
  <r>
    <n v="2017"/>
    <x v="3"/>
    <s v="Baptist"/>
    <n v="150441"/>
    <x v="18"/>
    <x v="2"/>
    <n v="100"/>
    <n v="6"/>
    <n v="99"/>
    <n v="99"/>
    <n v="99"/>
  </r>
  <r>
    <n v="2017"/>
    <x v="3"/>
    <s v="Baptist"/>
    <n v="150441"/>
    <x v="18"/>
    <x v="1"/>
    <n v="100"/>
    <n v="6"/>
    <n v="99"/>
    <n v="99"/>
    <n v="99"/>
  </r>
  <r>
    <n v="2017"/>
    <x v="3"/>
    <s v="Baptist"/>
    <n v="150441"/>
    <x v="18"/>
    <x v="3"/>
    <n v="100"/>
    <n v="6"/>
    <n v="99"/>
    <n v="99"/>
    <n v="99"/>
  </r>
  <r>
    <n v="2017"/>
    <x v="3"/>
    <s v="Baptist"/>
    <n v="152587"/>
    <x v="16"/>
    <x v="5"/>
    <n v="77.5"/>
    <n v="10"/>
    <n v="62"/>
    <n v="23"/>
    <n v="32"/>
  </r>
  <r>
    <n v="2017"/>
    <x v="3"/>
    <s v="Baptist"/>
    <n v="152587"/>
    <x v="16"/>
    <x v="0"/>
    <n v="86.9"/>
    <n v="10"/>
    <n v="69"/>
    <n v="49"/>
    <n v="49"/>
  </r>
  <r>
    <n v="2017"/>
    <x v="3"/>
    <s v="Baptist"/>
    <n v="152587"/>
    <x v="16"/>
    <x v="4"/>
    <n v="92.5"/>
    <n v="10"/>
    <n v="99"/>
    <n v="87"/>
    <n v="81"/>
  </r>
  <r>
    <n v="2017"/>
    <x v="3"/>
    <s v="Baptist"/>
    <n v="152587"/>
    <x v="16"/>
    <x v="2"/>
    <n v="90"/>
    <n v="10"/>
    <n v="93"/>
    <n v="77"/>
    <n v="75"/>
  </r>
  <r>
    <n v="2017"/>
    <x v="3"/>
    <s v="Baptist"/>
    <n v="152587"/>
    <x v="16"/>
    <x v="1"/>
    <n v="82.5"/>
    <n v="10"/>
    <n v="38"/>
    <n v="24"/>
    <n v="23"/>
  </r>
  <r>
    <n v="2017"/>
    <x v="3"/>
    <s v="Baptist"/>
    <n v="152587"/>
    <x v="16"/>
    <x v="3"/>
    <n v="82.5"/>
    <n v="10"/>
    <n v="38"/>
    <n v="26"/>
    <n v="23"/>
  </r>
  <r>
    <n v="2017"/>
    <x v="3"/>
    <s v="Baptist"/>
    <n v="149344"/>
    <x v="23"/>
    <x v="5"/>
    <n v="100"/>
    <n v="1"/>
    <n v="99"/>
    <n v="99"/>
    <n v="99"/>
  </r>
  <r>
    <n v="2017"/>
    <x v="3"/>
    <s v="Baptist"/>
    <n v="149344"/>
    <x v="23"/>
    <x v="0"/>
    <n v="62.5"/>
    <n v="1"/>
    <n v="1"/>
    <n v="1"/>
    <n v="1"/>
  </r>
  <r>
    <n v="2017"/>
    <x v="3"/>
    <s v="Baptist"/>
    <n v="149344"/>
    <x v="23"/>
    <x v="4"/>
    <n v="100"/>
    <n v="1"/>
    <n v="99"/>
    <n v="99"/>
    <n v="99"/>
  </r>
  <r>
    <n v="2017"/>
    <x v="3"/>
    <s v="Baptist"/>
    <n v="149344"/>
    <x v="23"/>
    <x v="2"/>
    <n v="50"/>
    <n v="1"/>
    <n v="1"/>
    <n v="1"/>
    <n v="1"/>
  </r>
  <r>
    <n v="2017"/>
    <x v="3"/>
    <s v="Baptist"/>
    <n v="149344"/>
    <x v="23"/>
    <x v="1"/>
    <n v="50"/>
    <n v="1"/>
    <n v="1"/>
    <n v="1"/>
    <n v="1"/>
  </r>
  <r>
    <n v="2017"/>
    <x v="3"/>
    <s v="Baptist"/>
    <n v="149344"/>
    <x v="23"/>
    <x v="3"/>
    <n v="50"/>
    <n v="1"/>
    <n v="1"/>
    <n v="1"/>
    <n v="1"/>
  </r>
  <r>
    <n v="2017"/>
    <x v="3"/>
    <s v="Baptist"/>
    <n v="117440"/>
    <x v="20"/>
    <x v="5"/>
    <n v="59.4"/>
    <n v="8"/>
    <n v="3"/>
    <n v="1"/>
    <n v="1"/>
  </r>
  <r>
    <n v="2017"/>
    <x v="3"/>
    <s v="Baptist"/>
    <n v="117440"/>
    <x v="20"/>
    <x v="0"/>
    <n v="75"/>
    <n v="8"/>
    <n v="3"/>
    <n v="1"/>
    <n v="2"/>
  </r>
  <r>
    <n v="2017"/>
    <x v="3"/>
    <s v="Baptist"/>
    <n v="117440"/>
    <x v="20"/>
    <x v="4"/>
    <n v="78.099999999999994"/>
    <n v="8"/>
    <n v="1"/>
    <n v="1"/>
    <n v="1"/>
  </r>
  <r>
    <n v="2017"/>
    <x v="3"/>
    <s v="Baptist"/>
    <n v="117440"/>
    <x v="20"/>
    <x v="2"/>
    <n v="75"/>
    <n v="8"/>
    <n v="2"/>
    <n v="1"/>
    <n v="1"/>
  </r>
  <r>
    <n v="2017"/>
    <x v="3"/>
    <s v="Baptist"/>
    <n v="117440"/>
    <x v="20"/>
    <x v="1"/>
    <n v="75"/>
    <n v="8"/>
    <n v="7"/>
    <n v="1"/>
    <n v="2"/>
  </r>
  <r>
    <n v="2017"/>
    <x v="3"/>
    <s v="Baptist"/>
    <n v="117440"/>
    <x v="20"/>
    <x v="3"/>
    <n v="71.900000000000006"/>
    <n v="8"/>
    <n v="1"/>
    <n v="1"/>
    <n v="1"/>
  </r>
  <r>
    <n v="2017"/>
    <x v="3"/>
    <s v="Baptist"/>
    <n v="153700"/>
    <x v="26"/>
    <x v="5"/>
    <n v="75"/>
    <n v="5"/>
    <n v="47"/>
    <n v="14"/>
    <n v="21"/>
  </r>
  <r>
    <n v="2017"/>
    <x v="3"/>
    <s v="Baptist"/>
    <n v="153700"/>
    <x v="26"/>
    <x v="0"/>
    <n v="77.5"/>
    <n v="5"/>
    <n v="7"/>
    <n v="1"/>
    <n v="4"/>
  </r>
  <r>
    <n v="2017"/>
    <x v="3"/>
    <s v="Baptist"/>
    <n v="153700"/>
    <x v="26"/>
    <x v="4"/>
    <n v="75"/>
    <n v="5"/>
    <n v="1"/>
    <n v="1"/>
    <n v="1"/>
  </r>
  <r>
    <n v="2017"/>
    <x v="3"/>
    <s v="Baptist"/>
    <n v="153700"/>
    <x v="26"/>
    <x v="2"/>
    <n v="75"/>
    <n v="5"/>
    <n v="2"/>
    <n v="1"/>
    <n v="1"/>
  </r>
  <r>
    <n v="2017"/>
    <x v="3"/>
    <s v="Baptist"/>
    <n v="153700"/>
    <x v="26"/>
    <x v="1"/>
    <n v="68.8"/>
    <n v="4"/>
    <n v="1"/>
    <n v="1"/>
    <n v="1"/>
  </r>
  <r>
    <n v="2017"/>
    <x v="3"/>
    <s v="Baptist"/>
    <n v="153700"/>
    <x v="26"/>
    <x v="3"/>
    <n v="85"/>
    <n v="5"/>
    <n v="64"/>
    <n v="45"/>
    <n v="41"/>
  </r>
  <r>
    <n v="2017"/>
    <x v="3"/>
    <s v="Baptist"/>
    <n v="130674"/>
    <x v="0"/>
    <x v="5"/>
    <n v="75"/>
    <n v="5"/>
    <n v="47"/>
    <n v="14"/>
    <n v="21"/>
  </r>
  <r>
    <n v="2017"/>
    <x v="3"/>
    <s v="Baptist"/>
    <n v="130674"/>
    <x v="0"/>
    <x v="0"/>
    <n v="85"/>
    <n v="5"/>
    <n v="48"/>
    <n v="32"/>
    <n v="31"/>
  </r>
  <r>
    <n v="2017"/>
    <x v="3"/>
    <s v="Baptist"/>
    <n v="130674"/>
    <x v="0"/>
    <x v="4"/>
    <n v="90"/>
    <n v="5"/>
    <n v="77"/>
    <n v="57"/>
    <n v="57"/>
  </r>
  <r>
    <n v="2017"/>
    <x v="3"/>
    <s v="Baptist"/>
    <n v="130674"/>
    <x v="0"/>
    <x v="2"/>
    <n v="80"/>
    <n v="5"/>
    <n v="13"/>
    <n v="6"/>
    <n v="7"/>
  </r>
  <r>
    <n v="2017"/>
    <x v="3"/>
    <s v="Baptist"/>
    <n v="130674"/>
    <x v="0"/>
    <x v="1"/>
    <n v="80"/>
    <n v="5"/>
    <n v="19"/>
    <n v="12"/>
    <n v="11"/>
  </r>
  <r>
    <n v="2017"/>
    <x v="3"/>
    <s v="Baptist"/>
    <n v="130674"/>
    <x v="0"/>
    <x v="3"/>
    <n v="90"/>
    <n v="5"/>
    <n v="99"/>
    <n v="89"/>
    <n v="83"/>
  </r>
  <r>
    <n v="2017"/>
    <x v="3"/>
    <s v="Baptist"/>
    <n v="59899"/>
    <x v="10"/>
    <x v="5"/>
    <n v="50"/>
    <n v="7"/>
    <n v="1"/>
    <n v="1"/>
    <n v="1"/>
  </r>
  <r>
    <n v="2017"/>
    <x v="3"/>
    <s v="Baptist"/>
    <n v="59899"/>
    <x v="10"/>
    <x v="0"/>
    <n v="73.2"/>
    <n v="7"/>
    <n v="1"/>
    <n v="1"/>
    <n v="1"/>
  </r>
  <r>
    <n v="2017"/>
    <x v="3"/>
    <s v="Baptist"/>
    <n v="59899"/>
    <x v="10"/>
    <x v="4"/>
    <n v="78.599999999999994"/>
    <n v="7"/>
    <n v="1"/>
    <n v="1"/>
    <n v="2"/>
  </r>
  <r>
    <n v="2017"/>
    <x v="3"/>
    <s v="Baptist"/>
    <n v="59899"/>
    <x v="10"/>
    <x v="2"/>
    <n v="75"/>
    <n v="7"/>
    <n v="2"/>
    <n v="1"/>
    <n v="1"/>
  </r>
  <r>
    <n v="2017"/>
    <x v="3"/>
    <s v="Baptist"/>
    <n v="59899"/>
    <x v="10"/>
    <x v="1"/>
    <n v="67.900000000000006"/>
    <n v="7"/>
    <n v="1"/>
    <n v="1"/>
    <n v="1"/>
  </r>
  <r>
    <n v="2017"/>
    <x v="3"/>
    <s v="Baptist"/>
    <n v="59899"/>
    <x v="10"/>
    <x v="3"/>
    <n v="71.400000000000006"/>
    <n v="7"/>
    <n v="1"/>
    <n v="1"/>
    <n v="1"/>
  </r>
  <r>
    <n v="2017"/>
    <x v="3"/>
    <s v="Baptist"/>
    <n v="99093"/>
    <x v="2"/>
    <x v="5"/>
    <n v="89.3"/>
    <n v="7"/>
    <n v="99"/>
    <n v="95"/>
    <n v="90"/>
  </r>
  <r>
    <n v="2017"/>
    <x v="3"/>
    <s v="Baptist"/>
    <n v="99093"/>
    <x v="2"/>
    <x v="0"/>
    <n v="97.6"/>
    <n v="7"/>
    <n v="99"/>
    <n v="99"/>
    <n v="99"/>
  </r>
  <r>
    <n v="2017"/>
    <x v="3"/>
    <s v="Baptist"/>
    <n v="99093"/>
    <x v="2"/>
    <x v="4"/>
    <n v="100"/>
    <n v="7"/>
    <n v="99"/>
    <n v="99"/>
    <n v="99"/>
  </r>
  <r>
    <n v="2017"/>
    <x v="3"/>
    <s v="Baptist"/>
    <n v="99093"/>
    <x v="2"/>
    <x v="2"/>
    <n v="96.4"/>
    <n v="7"/>
    <n v="99"/>
    <n v="99"/>
    <n v="99"/>
  </r>
  <r>
    <n v="2017"/>
    <x v="3"/>
    <s v="Baptist"/>
    <n v="99093"/>
    <x v="2"/>
    <x v="1"/>
    <n v="96.4"/>
    <n v="7"/>
    <n v="99"/>
    <n v="99"/>
    <n v="99"/>
  </r>
  <r>
    <n v="2017"/>
    <x v="3"/>
    <s v="Baptist"/>
    <n v="99093"/>
    <x v="2"/>
    <x v="3"/>
    <n v="100"/>
    <n v="6"/>
    <n v="99"/>
    <n v="99"/>
    <n v="99"/>
  </r>
  <r>
    <n v="2017"/>
    <x v="3"/>
    <s v="Baptist"/>
    <n v="70375"/>
    <x v="12"/>
    <x v="5"/>
    <n v="80.900000000000006"/>
    <n v="17"/>
    <n v="76"/>
    <n v="43"/>
    <n v="49"/>
  </r>
  <r>
    <n v="2017"/>
    <x v="3"/>
    <s v="Baptist"/>
    <n v="70375"/>
    <x v="12"/>
    <x v="0"/>
    <n v="85.2"/>
    <n v="16"/>
    <n v="48"/>
    <n v="33"/>
    <n v="33"/>
  </r>
  <r>
    <n v="2017"/>
    <x v="3"/>
    <s v="Baptist"/>
    <n v="70375"/>
    <x v="12"/>
    <x v="4"/>
    <n v="89.1"/>
    <n v="16"/>
    <n v="68"/>
    <n v="47"/>
    <n v="48"/>
  </r>
  <r>
    <n v="2017"/>
    <x v="3"/>
    <s v="Baptist"/>
    <n v="70375"/>
    <x v="12"/>
    <x v="2"/>
    <n v="85.9"/>
    <n v="16"/>
    <n v="51"/>
    <n v="39"/>
    <n v="37"/>
  </r>
  <r>
    <n v="2017"/>
    <x v="3"/>
    <s v="Baptist"/>
    <n v="70375"/>
    <x v="12"/>
    <x v="1"/>
    <n v="81.3"/>
    <n v="16"/>
    <n v="25"/>
    <n v="17"/>
    <n v="15"/>
  </r>
  <r>
    <n v="2017"/>
    <x v="3"/>
    <s v="Baptist"/>
    <n v="70375"/>
    <x v="12"/>
    <x v="3"/>
    <n v="84.4"/>
    <n v="16"/>
    <n v="59"/>
    <n v="41"/>
    <n v="37"/>
  </r>
  <r>
    <n v="2017"/>
    <x v="3"/>
    <s v="Baptist"/>
    <n v="70359"/>
    <x v="7"/>
    <x v="5"/>
    <n v="59.4"/>
    <n v="8"/>
    <n v="3"/>
    <n v="1"/>
    <n v="1"/>
  </r>
  <r>
    <n v="2017"/>
    <x v="3"/>
    <s v="Baptist"/>
    <n v="70359"/>
    <x v="7"/>
    <x v="0"/>
    <n v="85.9"/>
    <n v="8"/>
    <n v="60"/>
    <n v="42"/>
    <n v="40"/>
  </r>
  <r>
    <n v="2017"/>
    <x v="3"/>
    <s v="Baptist"/>
    <n v="70359"/>
    <x v="7"/>
    <x v="4"/>
    <n v="90.6"/>
    <n v="8"/>
    <n v="81"/>
    <n v="61"/>
    <n v="64"/>
  </r>
  <r>
    <n v="2017"/>
    <x v="3"/>
    <s v="Baptist"/>
    <n v="70359"/>
    <x v="7"/>
    <x v="2"/>
    <n v="90.6"/>
    <n v="8"/>
    <n v="98"/>
    <n v="84"/>
    <n v="80"/>
  </r>
  <r>
    <n v="2017"/>
    <x v="3"/>
    <s v="Baptist"/>
    <n v="70359"/>
    <x v="7"/>
    <x v="1"/>
    <n v="81.3"/>
    <n v="8"/>
    <n v="25"/>
    <n v="17"/>
    <n v="15"/>
  </r>
  <r>
    <n v="2017"/>
    <x v="3"/>
    <s v="Baptist"/>
    <n v="70359"/>
    <x v="7"/>
    <x v="3"/>
    <n v="81.3"/>
    <n v="8"/>
    <n v="23"/>
    <n v="18"/>
    <n v="16"/>
  </r>
  <r>
    <n v="2017"/>
    <x v="3"/>
    <s v="Baptist"/>
    <n v="99911"/>
    <x v="21"/>
    <x v="5"/>
    <n v="69.400000000000006"/>
    <n v="9"/>
    <n v="26"/>
    <n v="6"/>
    <n v="7"/>
  </r>
  <r>
    <n v="2017"/>
    <x v="3"/>
    <s v="Baptist"/>
    <n v="99911"/>
    <x v="21"/>
    <x v="0"/>
    <n v="92.4"/>
    <n v="9"/>
    <n v="99"/>
    <n v="96"/>
    <n v="91"/>
  </r>
  <r>
    <n v="2017"/>
    <x v="3"/>
    <s v="Baptist"/>
    <n v="99911"/>
    <x v="21"/>
    <x v="4"/>
    <n v="91.7"/>
    <n v="9"/>
    <n v="95"/>
    <n v="77"/>
    <n v="75"/>
  </r>
  <r>
    <n v="2017"/>
    <x v="3"/>
    <s v="Baptist"/>
    <n v="99911"/>
    <x v="21"/>
    <x v="2"/>
    <n v="91.7"/>
    <n v="9"/>
    <n v="99"/>
    <n v="93"/>
    <n v="87"/>
  </r>
  <r>
    <n v="2017"/>
    <x v="3"/>
    <s v="Baptist"/>
    <n v="99911"/>
    <x v="21"/>
    <x v="1"/>
    <n v="91.7"/>
    <n v="9"/>
    <n v="99"/>
    <n v="96"/>
    <n v="91"/>
  </r>
  <r>
    <n v="2017"/>
    <x v="3"/>
    <s v="Baptist"/>
    <n v="99911"/>
    <x v="21"/>
    <x v="3"/>
    <n v="94.4"/>
    <n v="9"/>
    <n v="99"/>
    <n v="99"/>
    <n v="98"/>
  </r>
  <r>
    <n v="2017"/>
    <x v="3"/>
    <s v="Baptist"/>
    <n v="177162"/>
    <x v="1"/>
    <x v="5"/>
    <n v="64.7"/>
    <n v="17"/>
    <n v="10"/>
    <n v="2"/>
    <n v="2"/>
  </r>
  <r>
    <n v="2017"/>
    <x v="3"/>
    <s v="Baptist"/>
    <n v="177162"/>
    <x v="1"/>
    <x v="0"/>
    <n v="86.4"/>
    <n v="17"/>
    <n v="65"/>
    <n v="45"/>
    <n v="44"/>
  </r>
  <r>
    <n v="2017"/>
    <x v="3"/>
    <s v="Baptist"/>
    <n v="177162"/>
    <x v="1"/>
    <x v="4"/>
    <n v="88.2"/>
    <n v="17"/>
    <n v="57"/>
    <n v="40"/>
    <n v="39"/>
  </r>
  <r>
    <n v="2017"/>
    <x v="3"/>
    <s v="Baptist"/>
    <n v="177162"/>
    <x v="1"/>
    <x v="2"/>
    <n v="88.2"/>
    <n v="17"/>
    <n v="84"/>
    <n v="63"/>
    <n v="60"/>
  </r>
  <r>
    <n v="2017"/>
    <x v="3"/>
    <s v="Baptist"/>
    <n v="177162"/>
    <x v="1"/>
    <x v="1"/>
    <n v="82.8"/>
    <n v="16"/>
    <n v="39"/>
    <n v="26"/>
    <n v="25"/>
  </r>
  <r>
    <n v="2017"/>
    <x v="3"/>
    <s v="Baptist"/>
    <n v="177162"/>
    <x v="1"/>
    <x v="3"/>
    <n v="85.3"/>
    <n v="17"/>
    <n v="67"/>
    <n v="47"/>
    <n v="44"/>
  </r>
  <r>
    <n v="2017"/>
    <x v="3"/>
    <s v="Baptist"/>
    <n v="60707"/>
    <x v="30"/>
    <x v="5"/>
    <n v="25"/>
    <n v="1"/>
    <n v="1"/>
    <n v="1"/>
    <n v="1"/>
  </r>
  <r>
    <n v="2017"/>
    <x v="3"/>
    <s v="Baptist"/>
    <n v="60707"/>
    <x v="30"/>
    <x v="0"/>
    <n v="75"/>
    <n v="1"/>
    <n v="3"/>
    <n v="1"/>
    <n v="2"/>
  </r>
  <r>
    <n v="2017"/>
    <x v="3"/>
    <s v="Baptist"/>
    <n v="60707"/>
    <x v="30"/>
    <x v="4"/>
    <n v="75"/>
    <n v="1"/>
    <n v="1"/>
    <n v="1"/>
    <n v="1"/>
  </r>
  <r>
    <n v="2017"/>
    <x v="3"/>
    <s v="Baptist"/>
    <n v="60707"/>
    <x v="30"/>
    <x v="2"/>
    <n v="75"/>
    <n v="1"/>
    <n v="2"/>
    <n v="1"/>
    <n v="1"/>
  </r>
  <r>
    <n v="2017"/>
    <x v="3"/>
    <s v="Baptist"/>
    <n v="60707"/>
    <x v="30"/>
    <x v="1"/>
    <n v="75"/>
    <n v="1"/>
    <n v="7"/>
    <n v="1"/>
    <n v="2"/>
  </r>
  <r>
    <n v="2017"/>
    <x v="3"/>
    <s v="Baptist"/>
    <n v="60707"/>
    <x v="30"/>
    <x v="3"/>
    <n v="75"/>
    <n v="1"/>
    <n v="5"/>
    <n v="1"/>
    <n v="2"/>
  </r>
  <r>
    <n v="2017"/>
    <x v="3"/>
    <s v="Baptist"/>
    <n v="58222"/>
    <x v="4"/>
    <x v="5"/>
    <n v="60"/>
    <n v="5"/>
    <n v="3"/>
    <n v="2"/>
    <n v="1"/>
  </r>
  <r>
    <n v="2017"/>
    <x v="3"/>
    <s v="Baptist"/>
    <n v="58222"/>
    <x v="4"/>
    <x v="0"/>
    <n v="93.8"/>
    <n v="4"/>
    <n v="99"/>
    <n v="99"/>
    <n v="96"/>
  </r>
  <r>
    <n v="2017"/>
    <x v="3"/>
    <s v="Baptist"/>
    <n v="58222"/>
    <x v="4"/>
    <x v="4"/>
    <n v="93.8"/>
    <n v="4"/>
    <n v="99"/>
    <n v="95"/>
    <n v="90"/>
  </r>
  <r>
    <n v="2017"/>
    <x v="3"/>
    <s v="Baptist"/>
    <n v="58222"/>
    <x v="4"/>
    <x v="2"/>
    <n v="93.8"/>
    <n v="4"/>
    <n v="99"/>
    <n v="97"/>
    <n v="95"/>
  </r>
  <r>
    <n v="2017"/>
    <x v="3"/>
    <s v="Baptist"/>
    <n v="58222"/>
    <x v="4"/>
    <x v="1"/>
    <n v="93.8"/>
    <n v="4"/>
    <n v="99"/>
    <n v="99"/>
    <n v="96"/>
  </r>
  <r>
    <n v="2017"/>
    <x v="3"/>
    <s v="Baptist"/>
    <n v="58222"/>
    <x v="4"/>
    <x v="3"/>
    <n v="93.8"/>
    <n v="4"/>
    <n v="99"/>
    <n v="99"/>
    <n v="96"/>
  </r>
  <r>
    <n v="2017"/>
    <x v="3"/>
    <s v="Baptist"/>
    <n v="89391"/>
    <x v="15"/>
    <x v="5"/>
    <n v="77.5"/>
    <n v="10"/>
    <n v="62"/>
    <n v="23"/>
    <n v="32"/>
  </r>
  <r>
    <n v="2017"/>
    <x v="3"/>
    <s v="Baptist"/>
    <n v="89391"/>
    <x v="15"/>
    <x v="0"/>
    <n v="89.4"/>
    <n v="10"/>
    <n v="94"/>
    <n v="76"/>
    <n v="72"/>
  </r>
  <r>
    <n v="2017"/>
    <x v="3"/>
    <s v="Baptist"/>
    <n v="89391"/>
    <x v="15"/>
    <x v="4"/>
    <n v="92.5"/>
    <n v="10"/>
    <n v="99"/>
    <n v="87"/>
    <n v="81"/>
  </r>
  <r>
    <n v="2017"/>
    <x v="3"/>
    <s v="Baptist"/>
    <n v="89391"/>
    <x v="15"/>
    <x v="2"/>
    <n v="87.5"/>
    <n v="10"/>
    <n v="74"/>
    <n v="54"/>
    <n v="52"/>
  </r>
  <r>
    <n v="2017"/>
    <x v="3"/>
    <s v="Baptist"/>
    <n v="89391"/>
    <x v="15"/>
    <x v="1"/>
    <n v="90"/>
    <n v="10"/>
    <n v="99"/>
    <n v="88"/>
    <n v="84"/>
  </r>
  <r>
    <n v="2017"/>
    <x v="3"/>
    <s v="Baptist"/>
    <n v="89391"/>
    <x v="15"/>
    <x v="3"/>
    <n v="87.5"/>
    <n v="10"/>
    <n v="86"/>
    <n v="67"/>
    <n v="64"/>
  </r>
  <r>
    <n v="2017"/>
    <x v="3"/>
    <s v="Baptist"/>
    <n v="36541"/>
    <x v="9"/>
    <x v="5"/>
    <n v="100"/>
    <n v="3"/>
    <n v="99"/>
    <n v="99"/>
    <n v="99"/>
  </r>
  <r>
    <n v="2017"/>
    <x v="3"/>
    <s v="Baptist"/>
    <n v="36541"/>
    <x v="9"/>
    <x v="0"/>
    <n v="100"/>
    <n v="3"/>
    <n v="99"/>
    <n v="99"/>
    <n v="99"/>
  </r>
  <r>
    <n v="2017"/>
    <x v="3"/>
    <s v="Baptist"/>
    <n v="36541"/>
    <x v="9"/>
    <x v="4"/>
    <n v="100"/>
    <n v="3"/>
    <n v="99"/>
    <n v="99"/>
    <n v="99"/>
  </r>
  <r>
    <n v="2017"/>
    <x v="3"/>
    <s v="Baptist"/>
    <n v="36541"/>
    <x v="9"/>
    <x v="2"/>
    <n v="100"/>
    <n v="3"/>
    <n v="99"/>
    <n v="99"/>
    <n v="99"/>
  </r>
  <r>
    <n v="2017"/>
    <x v="3"/>
    <s v="Baptist"/>
    <n v="36541"/>
    <x v="9"/>
    <x v="1"/>
    <n v="100"/>
    <n v="3"/>
    <n v="99"/>
    <n v="99"/>
    <n v="99"/>
  </r>
  <r>
    <n v="2017"/>
    <x v="3"/>
    <s v="Baptist"/>
    <n v="36541"/>
    <x v="9"/>
    <x v="3"/>
    <n v="100"/>
    <n v="3"/>
    <n v="99"/>
    <n v="99"/>
    <n v="99"/>
  </r>
  <r>
    <n v="2017"/>
    <x v="3"/>
    <s v="Baptist"/>
    <n v="91405"/>
    <x v="27"/>
    <x v="5"/>
    <n v="64.3"/>
    <n v="7"/>
    <n v="8"/>
    <n v="2"/>
    <n v="2"/>
  </r>
  <r>
    <n v="2017"/>
    <x v="3"/>
    <s v="Baptist"/>
    <n v="91405"/>
    <x v="27"/>
    <x v="0"/>
    <n v="66.400000000000006"/>
    <n v="8"/>
    <n v="1"/>
    <n v="1"/>
    <n v="1"/>
  </r>
  <r>
    <n v="2017"/>
    <x v="3"/>
    <s v="Baptist"/>
    <n v="91405"/>
    <x v="27"/>
    <x v="4"/>
    <n v="68.8"/>
    <n v="8"/>
    <n v="1"/>
    <n v="1"/>
    <n v="1"/>
  </r>
  <r>
    <n v="2017"/>
    <x v="3"/>
    <s v="Baptist"/>
    <n v="91405"/>
    <x v="27"/>
    <x v="2"/>
    <n v="65.599999999999994"/>
    <n v="8"/>
    <n v="1"/>
    <n v="1"/>
    <n v="1"/>
  </r>
  <r>
    <n v="2017"/>
    <x v="3"/>
    <s v="Baptist"/>
    <n v="91405"/>
    <x v="27"/>
    <x v="1"/>
    <n v="65.599999999999994"/>
    <n v="8"/>
    <n v="1"/>
    <n v="1"/>
    <n v="1"/>
  </r>
  <r>
    <n v="2017"/>
    <x v="3"/>
    <s v="Baptist"/>
    <n v="91405"/>
    <x v="27"/>
    <x v="3"/>
    <n v="65.599999999999994"/>
    <n v="8"/>
    <n v="1"/>
    <n v="1"/>
    <n v="1"/>
  </r>
  <r>
    <n v="2017"/>
    <x v="3"/>
    <s v="Baptist"/>
    <n v="58321"/>
    <x v="28"/>
    <x v="5"/>
    <n v="25"/>
    <n v="2"/>
    <n v="1"/>
    <n v="1"/>
    <n v="1"/>
  </r>
  <r>
    <n v="2017"/>
    <x v="3"/>
    <s v="Baptist"/>
    <n v="58321"/>
    <x v="28"/>
    <x v="0"/>
    <n v="58.3"/>
    <n v="3"/>
    <n v="1"/>
    <n v="1"/>
    <n v="1"/>
  </r>
  <r>
    <n v="2017"/>
    <x v="3"/>
    <s v="Baptist"/>
    <n v="58321"/>
    <x v="28"/>
    <x v="4"/>
    <n v="75"/>
    <n v="3"/>
    <n v="1"/>
    <n v="1"/>
    <n v="1"/>
  </r>
  <r>
    <n v="2017"/>
    <x v="3"/>
    <s v="Baptist"/>
    <n v="58321"/>
    <x v="28"/>
    <x v="2"/>
    <n v="58.3"/>
    <n v="3"/>
    <n v="1"/>
    <n v="1"/>
    <n v="1"/>
  </r>
  <r>
    <n v="2017"/>
    <x v="3"/>
    <s v="Baptist"/>
    <n v="58321"/>
    <x v="28"/>
    <x v="1"/>
    <n v="41.7"/>
    <n v="3"/>
    <n v="1"/>
    <n v="1"/>
    <n v="1"/>
  </r>
  <r>
    <n v="2017"/>
    <x v="3"/>
    <s v="Baptist"/>
    <n v="58321"/>
    <x v="28"/>
    <x v="3"/>
    <n v="58.3"/>
    <n v="3"/>
    <n v="1"/>
    <n v="1"/>
    <n v="1"/>
  </r>
  <r>
    <n v="2017"/>
    <x v="3"/>
    <s v="Baptist"/>
    <n v="23994"/>
    <x v="19"/>
    <x v="5"/>
    <n v="73.099999999999994"/>
    <n v="13"/>
    <n v="37"/>
    <n v="9"/>
    <n v="15"/>
  </r>
  <r>
    <n v="2017"/>
    <x v="3"/>
    <s v="Baptist"/>
    <n v="23994"/>
    <x v="19"/>
    <x v="0"/>
    <n v="87.5"/>
    <n v="13"/>
    <n v="80"/>
    <n v="58"/>
    <n v="55"/>
  </r>
  <r>
    <n v="2017"/>
    <x v="3"/>
    <s v="Baptist"/>
    <n v="23994"/>
    <x v="19"/>
    <x v="4"/>
    <n v="89.6"/>
    <n v="12"/>
    <n v="73"/>
    <n v="53"/>
    <n v="53"/>
  </r>
  <r>
    <n v="2017"/>
    <x v="3"/>
    <s v="Baptist"/>
    <n v="23994"/>
    <x v="19"/>
    <x v="2"/>
    <n v="88.5"/>
    <n v="13"/>
    <n v="84"/>
    <n v="65"/>
    <n v="62"/>
  </r>
  <r>
    <n v="2017"/>
    <x v="3"/>
    <s v="Baptist"/>
    <n v="23994"/>
    <x v="19"/>
    <x v="1"/>
    <n v="86.5"/>
    <n v="13"/>
    <n v="82"/>
    <n v="59"/>
    <n v="57"/>
  </r>
  <r>
    <n v="2017"/>
    <x v="3"/>
    <s v="Baptist"/>
    <n v="23994"/>
    <x v="19"/>
    <x v="3"/>
    <n v="86.5"/>
    <n v="13"/>
    <n v="80"/>
    <n v="59"/>
    <n v="56"/>
  </r>
  <r>
    <n v="2017"/>
    <x v="3"/>
    <s v="Baptist"/>
    <n v="22673"/>
    <x v="5"/>
    <x v="5"/>
    <n v="78.099999999999994"/>
    <n v="8"/>
    <n v="67"/>
    <n v="26"/>
    <n v="34"/>
  </r>
  <r>
    <n v="2017"/>
    <x v="3"/>
    <s v="Baptist"/>
    <n v="22673"/>
    <x v="5"/>
    <x v="0"/>
    <n v="90.6"/>
    <n v="8"/>
    <n v="99"/>
    <n v="87"/>
    <n v="82"/>
  </r>
  <r>
    <n v="2017"/>
    <x v="3"/>
    <s v="Baptist"/>
    <n v="22673"/>
    <x v="5"/>
    <x v="4"/>
    <n v="90.6"/>
    <n v="8"/>
    <n v="81"/>
    <n v="61"/>
    <n v="64"/>
  </r>
  <r>
    <n v="2017"/>
    <x v="3"/>
    <s v="Baptist"/>
    <n v="22673"/>
    <x v="5"/>
    <x v="2"/>
    <n v="90.6"/>
    <n v="8"/>
    <n v="98"/>
    <n v="84"/>
    <n v="80"/>
  </r>
  <r>
    <n v="2017"/>
    <x v="3"/>
    <s v="Baptist"/>
    <n v="22673"/>
    <x v="5"/>
    <x v="1"/>
    <n v="90.6"/>
    <n v="8"/>
    <n v="99"/>
    <n v="94"/>
    <n v="86"/>
  </r>
  <r>
    <n v="2017"/>
    <x v="3"/>
    <s v="Baptist"/>
    <n v="22673"/>
    <x v="5"/>
    <x v="3"/>
    <n v="90.6"/>
    <n v="8"/>
    <n v="99"/>
    <n v="94"/>
    <n v="87"/>
  </r>
  <r>
    <n v="2017"/>
    <x v="3"/>
    <s v="Baptist"/>
    <n v="91397"/>
    <x v="29"/>
    <x v="5"/>
    <n v="87.5"/>
    <n v="6"/>
    <n v="99"/>
    <n v="86"/>
    <n v="83"/>
  </r>
  <r>
    <n v="2017"/>
    <x v="3"/>
    <s v="Baptist"/>
    <n v="91397"/>
    <x v="29"/>
    <x v="0"/>
    <n v="95.8"/>
    <n v="6"/>
    <n v="99"/>
    <n v="99"/>
    <n v="99"/>
  </r>
  <r>
    <n v="2017"/>
    <x v="3"/>
    <s v="Baptist"/>
    <n v="91397"/>
    <x v="29"/>
    <x v="4"/>
    <n v="95.8"/>
    <n v="6"/>
    <n v="99"/>
    <n v="99"/>
    <n v="97"/>
  </r>
  <r>
    <n v="2017"/>
    <x v="3"/>
    <s v="Baptist"/>
    <n v="91397"/>
    <x v="29"/>
    <x v="2"/>
    <n v="95.8"/>
    <n v="6"/>
    <n v="99"/>
    <n v="99"/>
    <n v="99"/>
  </r>
  <r>
    <n v="2017"/>
    <x v="3"/>
    <s v="Baptist"/>
    <n v="91397"/>
    <x v="29"/>
    <x v="1"/>
    <n v="95.8"/>
    <n v="6"/>
    <n v="99"/>
    <n v="99"/>
    <n v="99"/>
  </r>
  <r>
    <n v="2017"/>
    <x v="3"/>
    <s v="Baptist"/>
    <n v="91397"/>
    <x v="29"/>
    <x v="3"/>
    <n v="95.8"/>
    <n v="6"/>
    <n v="99"/>
    <n v="99"/>
    <n v="99"/>
  </r>
  <r>
    <n v="2017"/>
    <x v="3"/>
    <s v="Baptist"/>
    <n v="64022"/>
    <x v="25"/>
    <x v="5"/>
    <n v="67.2"/>
    <n v="16"/>
    <n v="20"/>
    <n v="4"/>
    <n v="5"/>
  </r>
  <r>
    <n v="2017"/>
    <x v="3"/>
    <s v="Baptist"/>
    <n v="64022"/>
    <x v="25"/>
    <x v="0"/>
    <n v="74.2"/>
    <n v="16"/>
    <n v="2"/>
    <n v="1"/>
    <n v="1"/>
  </r>
  <r>
    <n v="2017"/>
    <x v="3"/>
    <s v="Baptist"/>
    <n v="64022"/>
    <x v="25"/>
    <x v="4"/>
    <n v="78.099999999999994"/>
    <n v="16"/>
    <n v="1"/>
    <n v="1"/>
    <n v="1"/>
  </r>
  <r>
    <n v="2017"/>
    <x v="3"/>
    <s v="Baptist"/>
    <n v="64022"/>
    <x v="25"/>
    <x v="2"/>
    <n v="76.599999999999994"/>
    <n v="16"/>
    <n v="3"/>
    <n v="1"/>
    <n v="3"/>
  </r>
  <r>
    <n v="2017"/>
    <x v="3"/>
    <s v="Baptist"/>
    <n v="64022"/>
    <x v="25"/>
    <x v="1"/>
    <n v="68.8"/>
    <n v="16"/>
    <n v="1"/>
    <n v="1"/>
    <n v="1"/>
  </r>
  <r>
    <n v="2017"/>
    <x v="3"/>
    <s v="Baptist"/>
    <n v="64022"/>
    <x v="25"/>
    <x v="3"/>
    <n v="73.400000000000006"/>
    <n v="16"/>
    <n v="4"/>
    <n v="1"/>
    <n v="2"/>
  </r>
  <r>
    <n v="2017"/>
    <x v="3"/>
    <s v="Baptist"/>
    <n v="88963"/>
    <x v="22"/>
    <x v="5"/>
    <n v="75"/>
    <n v="7"/>
    <n v="47"/>
    <n v="14"/>
    <n v="21"/>
  </r>
  <r>
    <n v="2017"/>
    <x v="3"/>
    <s v="Baptist"/>
    <n v="88963"/>
    <x v="22"/>
    <x v="0"/>
    <n v="92.2"/>
    <n v="8"/>
    <n v="99"/>
    <n v="96"/>
    <n v="90"/>
  </r>
  <r>
    <n v="2017"/>
    <x v="3"/>
    <s v="Baptist"/>
    <n v="88963"/>
    <x v="22"/>
    <x v="4"/>
    <n v="93.8"/>
    <n v="8"/>
    <n v="99"/>
    <n v="95"/>
    <n v="90"/>
  </r>
  <r>
    <n v="2017"/>
    <x v="3"/>
    <s v="Baptist"/>
    <n v="88963"/>
    <x v="22"/>
    <x v="2"/>
    <n v="93.8"/>
    <n v="8"/>
    <n v="99"/>
    <n v="97"/>
    <n v="95"/>
  </r>
  <r>
    <n v="2017"/>
    <x v="3"/>
    <s v="Baptist"/>
    <n v="88963"/>
    <x v="22"/>
    <x v="1"/>
    <n v="90.6"/>
    <n v="8"/>
    <n v="99"/>
    <n v="94"/>
    <n v="86"/>
  </r>
  <r>
    <n v="2017"/>
    <x v="3"/>
    <s v="Baptist"/>
    <n v="88963"/>
    <x v="22"/>
    <x v="3"/>
    <n v="90.6"/>
    <n v="8"/>
    <n v="99"/>
    <n v="94"/>
    <n v="87"/>
  </r>
  <r>
    <n v="2017"/>
    <x v="3"/>
    <s v="Baptist"/>
    <n v="8888"/>
    <x v="32"/>
    <x v="5"/>
    <n v="57.5"/>
    <n v="10"/>
    <n v="1"/>
    <n v="1"/>
    <n v="1"/>
  </r>
  <r>
    <n v="2017"/>
    <x v="3"/>
    <s v="Baptist"/>
    <n v="8888"/>
    <x v="32"/>
    <x v="0"/>
    <n v="63.8"/>
    <n v="10"/>
    <n v="1"/>
    <n v="1"/>
    <n v="1"/>
  </r>
  <r>
    <n v="2017"/>
    <x v="3"/>
    <s v="Baptist"/>
    <n v="8888"/>
    <x v="32"/>
    <x v="4"/>
    <n v="62.5"/>
    <n v="10"/>
    <n v="1"/>
    <n v="1"/>
    <n v="1"/>
  </r>
  <r>
    <n v="2017"/>
    <x v="3"/>
    <s v="Baptist"/>
    <n v="8888"/>
    <x v="32"/>
    <x v="2"/>
    <n v="65"/>
    <n v="10"/>
    <n v="1"/>
    <n v="1"/>
    <n v="1"/>
  </r>
  <r>
    <n v="2017"/>
    <x v="3"/>
    <s v="Baptist"/>
    <n v="8888"/>
    <x v="32"/>
    <x v="1"/>
    <n v="62.5"/>
    <n v="10"/>
    <n v="1"/>
    <n v="1"/>
    <n v="1"/>
  </r>
  <r>
    <n v="2017"/>
    <x v="3"/>
    <s v="Baptist"/>
    <n v="8888"/>
    <x v="32"/>
    <x v="3"/>
    <n v="65"/>
    <n v="10"/>
    <n v="1"/>
    <n v="1"/>
    <n v="1"/>
  </r>
  <r>
    <n v="2017"/>
    <x v="3"/>
    <s v="Baptist"/>
    <n v="84707"/>
    <x v="33"/>
    <x v="5"/>
    <n v="100"/>
    <n v="1"/>
    <n v="99"/>
    <n v="99"/>
    <n v="99"/>
  </r>
  <r>
    <n v="2017"/>
    <x v="3"/>
    <s v="Baptist"/>
    <n v="84707"/>
    <x v="33"/>
    <x v="0"/>
    <n v="81.3"/>
    <n v="1"/>
    <n v="17"/>
    <n v="9"/>
    <n v="10"/>
  </r>
  <r>
    <n v="2017"/>
    <x v="3"/>
    <s v="Baptist"/>
    <n v="84707"/>
    <x v="33"/>
    <x v="4"/>
    <n v="100"/>
    <n v="1"/>
    <n v="99"/>
    <n v="99"/>
    <n v="99"/>
  </r>
  <r>
    <n v="2017"/>
    <x v="3"/>
    <s v="Baptist"/>
    <n v="84707"/>
    <x v="33"/>
    <x v="2"/>
    <n v="75"/>
    <n v="1"/>
    <n v="2"/>
    <n v="1"/>
    <n v="1"/>
  </r>
  <r>
    <n v="2017"/>
    <x v="3"/>
    <s v="Baptist"/>
    <n v="84707"/>
    <x v="33"/>
    <x v="1"/>
    <n v="75"/>
    <n v="1"/>
    <n v="7"/>
    <n v="1"/>
    <n v="2"/>
  </r>
  <r>
    <n v="2017"/>
    <x v="3"/>
    <s v="Baptist"/>
    <n v="84707"/>
    <x v="33"/>
    <x v="3"/>
    <n v="75"/>
    <n v="1"/>
    <n v="5"/>
    <n v="1"/>
    <n v="2"/>
  </r>
  <r>
    <n v="2017"/>
    <x v="4"/>
    <s v="Baptist"/>
    <n v="117671"/>
    <x v="13"/>
    <x v="5"/>
    <n v="64.3"/>
    <n v="7"/>
    <n v="8"/>
    <n v="5"/>
    <n v="2"/>
  </r>
  <r>
    <n v="2017"/>
    <x v="4"/>
    <s v="Baptist"/>
    <n v="117671"/>
    <x v="13"/>
    <x v="0"/>
    <n v="69.599999999999994"/>
    <n v="7"/>
    <n v="1"/>
    <n v="1"/>
    <n v="1"/>
  </r>
  <r>
    <n v="2017"/>
    <x v="4"/>
    <s v="Baptist"/>
    <n v="117671"/>
    <x v="13"/>
    <x v="4"/>
    <n v="67.900000000000006"/>
    <n v="7"/>
    <n v="1"/>
    <n v="1"/>
    <n v="1"/>
  </r>
  <r>
    <n v="2017"/>
    <x v="4"/>
    <s v="Baptist"/>
    <n v="117671"/>
    <x v="13"/>
    <x v="2"/>
    <n v="71.400000000000006"/>
    <n v="7"/>
    <n v="1"/>
    <n v="1"/>
    <n v="1"/>
  </r>
  <r>
    <n v="2017"/>
    <x v="4"/>
    <s v="Baptist"/>
    <n v="117671"/>
    <x v="13"/>
    <x v="1"/>
    <n v="71.400000000000006"/>
    <n v="7"/>
    <n v="1"/>
    <n v="1"/>
    <n v="1"/>
  </r>
  <r>
    <n v="2017"/>
    <x v="4"/>
    <s v="Baptist"/>
    <n v="117671"/>
    <x v="13"/>
    <x v="3"/>
    <n v="67.900000000000006"/>
    <n v="7"/>
    <n v="1"/>
    <n v="1"/>
    <n v="1"/>
  </r>
  <r>
    <n v="2017"/>
    <x v="4"/>
    <s v="Baptist"/>
    <n v="104133"/>
    <x v="8"/>
    <x v="5"/>
    <n v="75"/>
    <n v="3"/>
    <n v="43"/>
    <n v="10"/>
    <n v="20"/>
  </r>
  <r>
    <n v="2017"/>
    <x v="4"/>
    <s v="Baptist"/>
    <n v="104133"/>
    <x v="8"/>
    <x v="0"/>
    <n v="81.3"/>
    <n v="3"/>
    <n v="10"/>
    <n v="9"/>
    <n v="10"/>
  </r>
  <r>
    <n v="2017"/>
    <x v="4"/>
    <s v="Baptist"/>
    <n v="104133"/>
    <x v="8"/>
    <x v="4"/>
    <n v="91.7"/>
    <n v="3"/>
    <n v="89"/>
    <n v="68"/>
    <n v="73"/>
  </r>
  <r>
    <n v="2017"/>
    <x v="4"/>
    <s v="Baptist"/>
    <n v="104133"/>
    <x v="8"/>
    <x v="2"/>
    <n v="83.3"/>
    <n v="3"/>
    <n v="18"/>
    <n v="12"/>
    <n v="18"/>
  </r>
  <r>
    <n v="2017"/>
    <x v="4"/>
    <s v="Baptist"/>
    <n v="104133"/>
    <x v="8"/>
    <x v="1"/>
    <n v="75"/>
    <n v="3"/>
    <n v="2"/>
    <n v="3"/>
    <n v="2"/>
  </r>
  <r>
    <n v="2017"/>
    <x v="4"/>
    <s v="Baptist"/>
    <n v="104133"/>
    <x v="8"/>
    <x v="3"/>
    <n v="75"/>
    <n v="3"/>
    <n v="3"/>
    <n v="2"/>
    <n v="2"/>
  </r>
  <r>
    <n v="2017"/>
    <x v="4"/>
    <s v="Baptist"/>
    <n v="114603"/>
    <x v="24"/>
    <x v="5"/>
    <n v="75"/>
    <n v="6"/>
    <n v="43"/>
    <n v="10"/>
    <n v="20"/>
  </r>
  <r>
    <n v="2017"/>
    <x v="4"/>
    <s v="Baptist"/>
    <n v="114603"/>
    <x v="24"/>
    <x v="0"/>
    <n v="63.5"/>
    <n v="6"/>
    <n v="1"/>
    <n v="1"/>
    <n v="1"/>
  </r>
  <r>
    <n v="2017"/>
    <x v="4"/>
    <s v="Baptist"/>
    <n v="114603"/>
    <x v="24"/>
    <x v="4"/>
    <n v="62.5"/>
    <n v="6"/>
    <n v="1"/>
    <n v="1"/>
    <n v="1"/>
  </r>
  <r>
    <n v="2017"/>
    <x v="4"/>
    <s v="Baptist"/>
    <n v="114603"/>
    <x v="24"/>
    <x v="2"/>
    <n v="66.7"/>
    <n v="6"/>
    <n v="1"/>
    <n v="1"/>
    <n v="1"/>
  </r>
  <r>
    <n v="2017"/>
    <x v="4"/>
    <s v="Baptist"/>
    <n v="114603"/>
    <x v="24"/>
    <x v="1"/>
    <n v="66.7"/>
    <n v="6"/>
    <n v="1"/>
    <n v="1"/>
    <n v="1"/>
  </r>
  <r>
    <n v="2017"/>
    <x v="4"/>
    <s v="Baptist"/>
    <n v="114603"/>
    <x v="24"/>
    <x v="3"/>
    <n v="58.3"/>
    <n v="6"/>
    <n v="1"/>
    <n v="1"/>
    <n v="1"/>
  </r>
  <r>
    <n v="2017"/>
    <x v="4"/>
    <s v="Baptist"/>
    <n v="101071"/>
    <x v="31"/>
    <x v="5"/>
    <n v="60"/>
    <n v="5"/>
    <n v="1"/>
    <n v="2"/>
    <n v="1"/>
  </r>
  <r>
    <n v="2017"/>
    <x v="4"/>
    <s v="Baptist"/>
    <n v="101071"/>
    <x v="31"/>
    <x v="0"/>
    <n v="85"/>
    <n v="5"/>
    <n v="34"/>
    <n v="18"/>
    <n v="30"/>
  </r>
  <r>
    <n v="2017"/>
    <x v="4"/>
    <s v="Baptist"/>
    <n v="101071"/>
    <x v="31"/>
    <x v="4"/>
    <n v="85"/>
    <n v="5"/>
    <n v="14"/>
    <n v="8"/>
    <n v="14"/>
  </r>
  <r>
    <n v="2017"/>
    <x v="4"/>
    <s v="Baptist"/>
    <n v="101071"/>
    <x v="31"/>
    <x v="2"/>
    <n v="85"/>
    <n v="5"/>
    <n v="28"/>
    <n v="17"/>
    <n v="28"/>
  </r>
  <r>
    <n v="2017"/>
    <x v="4"/>
    <s v="Baptist"/>
    <n v="101071"/>
    <x v="31"/>
    <x v="1"/>
    <n v="85"/>
    <n v="5"/>
    <n v="57"/>
    <n v="35"/>
    <n v="42"/>
  </r>
  <r>
    <n v="2017"/>
    <x v="4"/>
    <s v="Baptist"/>
    <n v="101071"/>
    <x v="31"/>
    <x v="3"/>
    <n v="85"/>
    <n v="5"/>
    <n v="51"/>
    <n v="31"/>
    <n v="40"/>
  </r>
  <r>
    <n v="2017"/>
    <x v="4"/>
    <s v="Baptist"/>
    <n v="110569"/>
    <x v="6"/>
    <x v="5"/>
    <n v="87.5"/>
    <n v="8"/>
    <n v="99"/>
    <n v="80"/>
    <n v="83"/>
  </r>
  <r>
    <n v="2017"/>
    <x v="4"/>
    <s v="Baptist"/>
    <n v="110569"/>
    <x v="6"/>
    <x v="0"/>
    <n v="99.2"/>
    <n v="8"/>
    <n v="99"/>
    <n v="99"/>
    <n v="99"/>
  </r>
  <r>
    <n v="2017"/>
    <x v="4"/>
    <s v="Baptist"/>
    <n v="110569"/>
    <x v="6"/>
    <x v="4"/>
    <n v="100"/>
    <n v="8"/>
    <n v="99"/>
    <n v="99"/>
    <n v="99"/>
  </r>
  <r>
    <n v="2017"/>
    <x v="4"/>
    <s v="Baptist"/>
    <n v="110569"/>
    <x v="6"/>
    <x v="2"/>
    <n v="100"/>
    <n v="8"/>
    <n v="99"/>
    <n v="99"/>
    <n v="99"/>
  </r>
  <r>
    <n v="2017"/>
    <x v="4"/>
    <s v="Baptist"/>
    <n v="110569"/>
    <x v="6"/>
    <x v="1"/>
    <n v="96.9"/>
    <n v="8"/>
    <n v="99"/>
    <n v="99"/>
    <n v="99"/>
  </r>
  <r>
    <n v="2017"/>
    <x v="4"/>
    <s v="Baptist"/>
    <n v="110569"/>
    <x v="6"/>
    <x v="3"/>
    <n v="100"/>
    <n v="8"/>
    <n v="99"/>
    <n v="99"/>
    <n v="99"/>
  </r>
  <r>
    <n v="2017"/>
    <x v="4"/>
    <s v="Baptist"/>
    <n v="117465"/>
    <x v="11"/>
    <x v="5"/>
    <n v="79.599999999999994"/>
    <n v="11"/>
    <n v="71"/>
    <n v="26"/>
    <n v="41"/>
  </r>
  <r>
    <n v="2017"/>
    <x v="4"/>
    <s v="Baptist"/>
    <n v="117465"/>
    <x v="11"/>
    <x v="0"/>
    <n v="82.4"/>
    <n v="11"/>
    <n v="15"/>
    <n v="10"/>
    <n v="15"/>
  </r>
  <r>
    <n v="2017"/>
    <x v="4"/>
    <s v="Baptist"/>
    <n v="117465"/>
    <x v="11"/>
    <x v="4"/>
    <n v="88.6"/>
    <n v="11"/>
    <n v="49"/>
    <n v="32"/>
    <n v="41"/>
  </r>
  <r>
    <n v="2017"/>
    <x v="4"/>
    <s v="Baptist"/>
    <n v="117465"/>
    <x v="11"/>
    <x v="2"/>
    <n v="84.1"/>
    <n v="11"/>
    <n v="24"/>
    <n v="12"/>
    <n v="22"/>
  </r>
  <r>
    <n v="2017"/>
    <x v="4"/>
    <s v="Baptist"/>
    <n v="117465"/>
    <x v="11"/>
    <x v="1"/>
    <n v="75"/>
    <n v="11"/>
    <n v="2"/>
    <n v="3"/>
    <n v="2"/>
  </r>
  <r>
    <n v="2017"/>
    <x v="4"/>
    <s v="Baptist"/>
    <n v="117465"/>
    <x v="11"/>
    <x v="3"/>
    <n v="81.8"/>
    <n v="11"/>
    <n v="23"/>
    <n v="12"/>
    <n v="19"/>
  </r>
  <r>
    <n v="2017"/>
    <x v="4"/>
    <s v="Baptist"/>
    <n v="121681"/>
    <x v="17"/>
    <x v="5"/>
    <n v="87.5"/>
    <n v="2"/>
    <n v="99"/>
    <n v="80"/>
    <n v="83"/>
  </r>
  <r>
    <n v="2017"/>
    <x v="4"/>
    <s v="Baptist"/>
    <n v="121681"/>
    <x v="17"/>
    <x v="0"/>
    <n v="100"/>
    <n v="2"/>
    <n v="99"/>
    <n v="99"/>
    <n v="99"/>
  </r>
  <r>
    <n v="2017"/>
    <x v="4"/>
    <s v="Baptist"/>
    <n v="121681"/>
    <x v="17"/>
    <x v="4"/>
    <n v="100"/>
    <n v="2"/>
    <n v="99"/>
    <n v="99"/>
    <n v="99"/>
  </r>
  <r>
    <n v="2017"/>
    <x v="4"/>
    <s v="Baptist"/>
    <n v="121681"/>
    <x v="17"/>
    <x v="2"/>
    <n v="100"/>
    <n v="2"/>
    <n v="99"/>
    <n v="99"/>
    <n v="99"/>
  </r>
  <r>
    <n v="2017"/>
    <x v="4"/>
    <s v="Baptist"/>
    <n v="121681"/>
    <x v="17"/>
    <x v="1"/>
    <n v="100"/>
    <n v="2"/>
    <n v="99"/>
    <n v="99"/>
    <n v="99"/>
  </r>
  <r>
    <n v="2017"/>
    <x v="4"/>
    <s v="Baptist"/>
    <n v="121681"/>
    <x v="17"/>
    <x v="3"/>
    <n v="100"/>
    <n v="2"/>
    <n v="99"/>
    <n v="99"/>
    <n v="99"/>
  </r>
  <r>
    <n v="2017"/>
    <x v="4"/>
    <s v="Baptist"/>
    <n v="103275"/>
    <x v="14"/>
    <x v="5"/>
    <n v="83.3"/>
    <n v="3"/>
    <n v="89"/>
    <n v="54"/>
    <n v="62"/>
  </r>
  <r>
    <n v="2017"/>
    <x v="4"/>
    <s v="Baptist"/>
    <n v="103275"/>
    <x v="14"/>
    <x v="0"/>
    <n v="100"/>
    <n v="4"/>
    <n v="99"/>
    <n v="99"/>
    <n v="99"/>
  </r>
  <r>
    <n v="2017"/>
    <x v="4"/>
    <s v="Baptist"/>
    <n v="103275"/>
    <x v="14"/>
    <x v="4"/>
    <n v="100"/>
    <n v="4"/>
    <n v="99"/>
    <n v="99"/>
    <n v="99"/>
  </r>
  <r>
    <n v="2017"/>
    <x v="4"/>
    <s v="Baptist"/>
    <n v="103275"/>
    <x v="14"/>
    <x v="2"/>
    <n v="100"/>
    <n v="4"/>
    <n v="99"/>
    <n v="99"/>
    <n v="99"/>
  </r>
  <r>
    <n v="2017"/>
    <x v="4"/>
    <s v="Baptist"/>
    <n v="103275"/>
    <x v="14"/>
    <x v="1"/>
    <n v="100"/>
    <n v="4"/>
    <n v="99"/>
    <n v="99"/>
    <n v="99"/>
  </r>
  <r>
    <n v="2017"/>
    <x v="4"/>
    <s v="Baptist"/>
    <n v="103275"/>
    <x v="14"/>
    <x v="3"/>
    <n v="100"/>
    <n v="4"/>
    <n v="99"/>
    <n v="99"/>
    <n v="99"/>
  </r>
  <r>
    <n v="2017"/>
    <x v="4"/>
    <s v="Baptist"/>
    <n v="150441"/>
    <x v="18"/>
    <x v="5"/>
    <n v="62.5"/>
    <n v="4"/>
    <n v="3"/>
    <n v="5"/>
    <n v="2"/>
  </r>
  <r>
    <n v="2017"/>
    <x v="4"/>
    <s v="Baptist"/>
    <n v="150441"/>
    <x v="18"/>
    <x v="0"/>
    <n v="37.5"/>
    <n v="4"/>
    <n v="1"/>
    <n v="1"/>
    <n v="1"/>
  </r>
  <r>
    <n v="2017"/>
    <x v="4"/>
    <s v="Baptist"/>
    <n v="150441"/>
    <x v="18"/>
    <x v="4"/>
    <n v="43.8"/>
    <n v="4"/>
    <n v="1"/>
    <n v="1"/>
    <n v="1"/>
  </r>
  <r>
    <n v="2017"/>
    <x v="4"/>
    <s v="Baptist"/>
    <n v="150441"/>
    <x v="18"/>
    <x v="2"/>
    <n v="31.3"/>
    <n v="4"/>
    <n v="1"/>
    <n v="1"/>
    <n v="1"/>
  </r>
  <r>
    <n v="2017"/>
    <x v="4"/>
    <s v="Baptist"/>
    <n v="150441"/>
    <x v="18"/>
    <x v="1"/>
    <n v="37.5"/>
    <n v="4"/>
    <n v="1"/>
    <n v="1"/>
    <n v="1"/>
  </r>
  <r>
    <n v="2017"/>
    <x v="4"/>
    <s v="Baptist"/>
    <n v="150441"/>
    <x v="18"/>
    <x v="3"/>
    <n v="37.5"/>
    <n v="4"/>
    <n v="1"/>
    <n v="1"/>
    <n v="1"/>
  </r>
  <r>
    <n v="2017"/>
    <x v="4"/>
    <s v="Baptist"/>
    <n v="152587"/>
    <x v="16"/>
    <x v="5"/>
    <n v="79.2"/>
    <n v="6"/>
    <n v="70"/>
    <n v="26"/>
    <n v="39"/>
  </r>
  <r>
    <n v="2017"/>
    <x v="4"/>
    <s v="Baptist"/>
    <n v="152587"/>
    <x v="16"/>
    <x v="0"/>
    <n v="70.099999999999994"/>
    <n v="6"/>
    <n v="1"/>
    <n v="1"/>
    <n v="1"/>
  </r>
  <r>
    <n v="2017"/>
    <x v="4"/>
    <s v="Baptist"/>
    <n v="152587"/>
    <x v="16"/>
    <x v="4"/>
    <n v="80"/>
    <n v="5"/>
    <n v="2"/>
    <n v="1"/>
    <n v="2"/>
  </r>
  <r>
    <n v="2017"/>
    <x v="4"/>
    <s v="Baptist"/>
    <n v="152587"/>
    <x v="16"/>
    <x v="2"/>
    <n v="75"/>
    <n v="6"/>
    <n v="1"/>
    <n v="1"/>
    <n v="1"/>
  </r>
  <r>
    <n v="2017"/>
    <x v="4"/>
    <s v="Baptist"/>
    <n v="152587"/>
    <x v="16"/>
    <x v="1"/>
    <n v="66.7"/>
    <n v="6"/>
    <n v="1"/>
    <n v="1"/>
    <n v="1"/>
  </r>
  <r>
    <n v="2017"/>
    <x v="4"/>
    <s v="Baptist"/>
    <n v="152587"/>
    <x v="16"/>
    <x v="3"/>
    <n v="66.7"/>
    <n v="6"/>
    <n v="1"/>
    <n v="1"/>
    <n v="1"/>
  </r>
  <r>
    <n v="2017"/>
    <x v="4"/>
    <s v="Baptist"/>
    <n v="149344"/>
    <x v="23"/>
    <x v="5"/>
    <n v="37.5"/>
    <n v="2"/>
    <n v="1"/>
    <n v="1"/>
    <n v="1"/>
  </r>
  <r>
    <n v="2017"/>
    <x v="4"/>
    <s v="Baptist"/>
    <n v="149344"/>
    <x v="23"/>
    <x v="0"/>
    <n v="53.1"/>
    <n v="2"/>
    <n v="1"/>
    <n v="1"/>
    <n v="1"/>
  </r>
  <r>
    <n v="2017"/>
    <x v="4"/>
    <s v="Baptist"/>
    <n v="149344"/>
    <x v="23"/>
    <x v="4"/>
    <n v="62.5"/>
    <n v="2"/>
    <n v="1"/>
    <n v="1"/>
    <n v="1"/>
  </r>
  <r>
    <n v="2017"/>
    <x v="4"/>
    <s v="Baptist"/>
    <n v="149344"/>
    <x v="23"/>
    <x v="2"/>
    <n v="50"/>
    <n v="2"/>
    <n v="1"/>
    <n v="1"/>
    <n v="1"/>
  </r>
  <r>
    <n v="2017"/>
    <x v="4"/>
    <s v="Baptist"/>
    <n v="149344"/>
    <x v="23"/>
    <x v="1"/>
    <n v="50"/>
    <n v="2"/>
    <n v="1"/>
    <n v="1"/>
    <n v="1"/>
  </r>
  <r>
    <n v="2017"/>
    <x v="4"/>
    <s v="Baptist"/>
    <n v="149344"/>
    <x v="23"/>
    <x v="3"/>
    <n v="25"/>
    <n v="1"/>
    <n v="1"/>
    <n v="1"/>
    <n v="1"/>
  </r>
  <r>
    <n v="2017"/>
    <x v="4"/>
    <s v="Baptist"/>
    <n v="117440"/>
    <x v="20"/>
    <x v="5"/>
    <n v="66.7"/>
    <n v="3"/>
    <n v="12"/>
    <n v="5"/>
    <n v="4"/>
  </r>
  <r>
    <n v="2017"/>
    <x v="4"/>
    <s v="Baptist"/>
    <n v="117440"/>
    <x v="20"/>
    <x v="0"/>
    <n v="77.099999999999994"/>
    <n v="3"/>
    <n v="2"/>
    <n v="3"/>
    <n v="3"/>
  </r>
  <r>
    <n v="2017"/>
    <x v="4"/>
    <s v="Baptist"/>
    <n v="117440"/>
    <x v="20"/>
    <x v="4"/>
    <n v="83.3"/>
    <n v="3"/>
    <n v="8"/>
    <n v="6"/>
    <n v="8"/>
  </r>
  <r>
    <n v="2017"/>
    <x v="4"/>
    <s v="Baptist"/>
    <n v="117440"/>
    <x v="20"/>
    <x v="2"/>
    <n v="83.3"/>
    <n v="3"/>
    <n v="18"/>
    <n v="12"/>
    <n v="18"/>
  </r>
  <r>
    <n v="2017"/>
    <x v="4"/>
    <s v="Baptist"/>
    <n v="117440"/>
    <x v="20"/>
    <x v="1"/>
    <n v="66.7"/>
    <n v="3"/>
    <n v="1"/>
    <n v="1"/>
    <n v="1"/>
  </r>
  <r>
    <n v="2017"/>
    <x v="4"/>
    <s v="Baptist"/>
    <n v="117440"/>
    <x v="20"/>
    <x v="3"/>
    <n v="75"/>
    <n v="3"/>
    <n v="3"/>
    <n v="2"/>
    <n v="2"/>
  </r>
  <r>
    <n v="2017"/>
    <x v="4"/>
    <s v="Baptist"/>
    <n v="153700"/>
    <x v="26"/>
    <x v="5"/>
    <n v="52.8"/>
    <n v="9"/>
    <n v="1"/>
    <n v="1"/>
    <n v="1"/>
  </r>
  <r>
    <n v="2017"/>
    <x v="4"/>
    <s v="Baptist"/>
    <n v="153700"/>
    <x v="26"/>
    <x v="0"/>
    <n v="86.1"/>
    <n v="9"/>
    <n v="49"/>
    <n v="32"/>
    <n v="40"/>
  </r>
  <r>
    <n v="2017"/>
    <x v="4"/>
    <s v="Baptist"/>
    <n v="153700"/>
    <x v="26"/>
    <x v="4"/>
    <n v="91.7"/>
    <n v="9"/>
    <n v="89"/>
    <n v="68"/>
    <n v="73"/>
  </r>
  <r>
    <n v="2017"/>
    <x v="4"/>
    <s v="Baptist"/>
    <n v="153700"/>
    <x v="26"/>
    <x v="2"/>
    <n v="88.9"/>
    <n v="9"/>
    <n v="84"/>
    <n v="53"/>
    <n v="64"/>
  </r>
  <r>
    <n v="2017"/>
    <x v="4"/>
    <s v="Baptist"/>
    <n v="153700"/>
    <x v="26"/>
    <x v="1"/>
    <n v="77.8"/>
    <n v="9"/>
    <n v="4"/>
    <n v="7"/>
    <n v="5"/>
  </r>
  <r>
    <n v="2017"/>
    <x v="4"/>
    <s v="Baptist"/>
    <n v="153700"/>
    <x v="26"/>
    <x v="3"/>
    <n v="86.1"/>
    <n v="9"/>
    <n v="67"/>
    <n v="40"/>
    <n v="50"/>
  </r>
  <r>
    <n v="2017"/>
    <x v="4"/>
    <s v="Baptist"/>
    <n v="59899"/>
    <x v="10"/>
    <x v="5"/>
    <n v="87.5"/>
    <n v="2"/>
    <n v="99"/>
    <n v="80"/>
    <n v="83"/>
  </r>
  <r>
    <n v="2017"/>
    <x v="4"/>
    <s v="Baptist"/>
    <n v="59899"/>
    <x v="10"/>
    <x v="0"/>
    <n v="87.5"/>
    <n v="2"/>
    <n v="68"/>
    <n v="40"/>
    <n v="53"/>
  </r>
  <r>
    <n v="2017"/>
    <x v="4"/>
    <s v="Baptist"/>
    <n v="59899"/>
    <x v="10"/>
    <x v="4"/>
    <n v="87.5"/>
    <n v="2"/>
    <n v="35"/>
    <n v="17"/>
    <n v="30"/>
  </r>
  <r>
    <n v="2017"/>
    <x v="4"/>
    <s v="Baptist"/>
    <n v="59899"/>
    <x v="10"/>
    <x v="2"/>
    <n v="87.5"/>
    <n v="2"/>
    <n v="64"/>
    <n v="40"/>
    <n v="50"/>
  </r>
  <r>
    <n v="2017"/>
    <x v="4"/>
    <s v="Baptist"/>
    <n v="59899"/>
    <x v="10"/>
    <x v="1"/>
    <n v="87.5"/>
    <n v="2"/>
    <n v="87"/>
    <n v="57"/>
    <n v="62"/>
  </r>
  <r>
    <n v="2017"/>
    <x v="4"/>
    <s v="Baptist"/>
    <n v="59899"/>
    <x v="10"/>
    <x v="3"/>
    <n v="87.5"/>
    <n v="2"/>
    <n v="87"/>
    <n v="59"/>
    <n v="62"/>
  </r>
  <r>
    <n v="2017"/>
    <x v="4"/>
    <s v="Baptist"/>
    <n v="99093"/>
    <x v="2"/>
    <x v="5"/>
    <n v="62.5"/>
    <n v="8"/>
    <n v="3"/>
    <n v="5"/>
    <n v="2"/>
  </r>
  <r>
    <n v="2017"/>
    <x v="4"/>
    <s v="Baptist"/>
    <n v="99093"/>
    <x v="2"/>
    <x v="0"/>
    <n v="68.8"/>
    <n v="8"/>
    <n v="1"/>
    <n v="1"/>
    <n v="1"/>
  </r>
  <r>
    <n v="2017"/>
    <x v="4"/>
    <s v="Baptist"/>
    <n v="99093"/>
    <x v="2"/>
    <x v="4"/>
    <n v="71.900000000000006"/>
    <n v="8"/>
    <n v="1"/>
    <n v="1"/>
    <n v="1"/>
  </r>
  <r>
    <n v="2017"/>
    <x v="4"/>
    <s v="Baptist"/>
    <n v="99093"/>
    <x v="2"/>
    <x v="2"/>
    <n v="68.8"/>
    <n v="8"/>
    <n v="1"/>
    <n v="1"/>
    <n v="1"/>
  </r>
  <r>
    <n v="2017"/>
    <x v="4"/>
    <s v="Baptist"/>
    <n v="99093"/>
    <x v="2"/>
    <x v="1"/>
    <n v="71.900000000000006"/>
    <n v="8"/>
    <n v="1"/>
    <n v="1"/>
    <n v="1"/>
  </r>
  <r>
    <n v="2017"/>
    <x v="4"/>
    <s v="Baptist"/>
    <n v="99093"/>
    <x v="2"/>
    <x v="3"/>
    <n v="57.1"/>
    <n v="7"/>
    <n v="1"/>
    <n v="1"/>
    <n v="1"/>
  </r>
  <r>
    <n v="2017"/>
    <x v="4"/>
    <s v="Baptist"/>
    <n v="70375"/>
    <x v="12"/>
    <x v="5"/>
    <n v="72.900000000000006"/>
    <n v="12"/>
    <n v="34"/>
    <n v="8"/>
    <n v="14"/>
  </r>
  <r>
    <n v="2017"/>
    <x v="4"/>
    <s v="Baptist"/>
    <n v="70375"/>
    <x v="12"/>
    <x v="0"/>
    <n v="85.4"/>
    <n v="12"/>
    <n v="43"/>
    <n v="22"/>
    <n v="34"/>
  </r>
  <r>
    <n v="2017"/>
    <x v="4"/>
    <s v="Baptist"/>
    <n v="70375"/>
    <x v="12"/>
    <x v="4"/>
    <n v="89.6"/>
    <n v="12"/>
    <n v="60"/>
    <n v="42"/>
    <n v="51"/>
  </r>
  <r>
    <n v="2017"/>
    <x v="4"/>
    <s v="Baptist"/>
    <n v="70375"/>
    <x v="12"/>
    <x v="2"/>
    <n v="87.5"/>
    <n v="12"/>
    <n v="64"/>
    <n v="40"/>
    <n v="50"/>
  </r>
  <r>
    <n v="2017"/>
    <x v="4"/>
    <s v="Baptist"/>
    <n v="70375"/>
    <x v="12"/>
    <x v="1"/>
    <n v="83.3"/>
    <n v="12"/>
    <n v="35"/>
    <n v="20"/>
    <n v="28"/>
  </r>
  <r>
    <n v="2017"/>
    <x v="4"/>
    <s v="Baptist"/>
    <n v="70375"/>
    <x v="12"/>
    <x v="3"/>
    <n v="81.3"/>
    <n v="12"/>
    <n v="20"/>
    <n v="11"/>
    <n v="16"/>
  </r>
  <r>
    <n v="2017"/>
    <x v="4"/>
    <s v="Baptist"/>
    <n v="70359"/>
    <x v="7"/>
    <x v="5"/>
    <n v="75"/>
    <n v="3"/>
    <n v="43"/>
    <n v="10"/>
    <n v="20"/>
  </r>
  <r>
    <n v="2017"/>
    <x v="4"/>
    <s v="Baptist"/>
    <n v="70359"/>
    <x v="7"/>
    <x v="0"/>
    <n v="29.2"/>
    <n v="3"/>
    <n v="1"/>
    <n v="1"/>
    <n v="1"/>
  </r>
  <r>
    <n v="2017"/>
    <x v="4"/>
    <s v="Baptist"/>
    <n v="70359"/>
    <x v="7"/>
    <x v="4"/>
    <n v="33.299999999999997"/>
    <n v="3"/>
    <n v="1"/>
    <n v="1"/>
    <n v="1"/>
  </r>
  <r>
    <n v="2017"/>
    <x v="4"/>
    <s v="Baptist"/>
    <n v="70359"/>
    <x v="7"/>
    <x v="2"/>
    <n v="25"/>
    <n v="3"/>
    <n v="1"/>
    <n v="1"/>
    <n v="1"/>
  </r>
  <r>
    <n v="2017"/>
    <x v="4"/>
    <s v="Baptist"/>
    <n v="70359"/>
    <x v="7"/>
    <x v="1"/>
    <n v="25"/>
    <n v="3"/>
    <n v="1"/>
    <n v="1"/>
    <n v="1"/>
  </r>
  <r>
    <n v="2017"/>
    <x v="4"/>
    <s v="Baptist"/>
    <n v="70359"/>
    <x v="7"/>
    <x v="3"/>
    <n v="33.299999999999997"/>
    <n v="3"/>
    <n v="1"/>
    <n v="1"/>
    <n v="1"/>
  </r>
  <r>
    <n v="2017"/>
    <x v="4"/>
    <s v="Baptist"/>
    <n v="99911"/>
    <x v="21"/>
    <x v="5"/>
    <n v="70.8"/>
    <n v="12"/>
    <n v="27"/>
    <n v="7"/>
    <n v="9"/>
  </r>
  <r>
    <n v="2017"/>
    <x v="4"/>
    <s v="Baptist"/>
    <n v="99911"/>
    <x v="21"/>
    <x v="0"/>
    <n v="83.9"/>
    <n v="12"/>
    <n v="25"/>
    <n v="12"/>
    <n v="22"/>
  </r>
  <r>
    <n v="2017"/>
    <x v="4"/>
    <s v="Baptist"/>
    <n v="99911"/>
    <x v="21"/>
    <x v="4"/>
    <n v="89.6"/>
    <n v="12"/>
    <n v="60"/>
    <n v="42"/>
    <n v="51"/>
  </r>
  <r>
    <n v="2017"/>
    <x v="4"/>
    <s v="Baptist"/>
    <n v="99911"/>
    <x v="21"/>
    <x v="2"/>
    <n v="81.3"/>
    <n v="12"/>
    <n v="8"/>
    <n v="8"/>
    <n v="9"/>
  </r>
  <r>
    <n v="2017"/>
    <x v="4"/>
    <s v="Baptist"/>
    <n v="99911"/>
    <x v="21"/>
    <x v="1"/>
    <n v="81.3"/>
    <n v="12"/>
    <n v="17"/>
    <n v="10"/>
    <n v="16"/>
  </r>
  <r>
    <n v="2017"/>
    <x v="4"/>
    <s v="Baptist"/>
    <n v="99911"/>
    <x v="21"/>
    <x v="3"/>
    <n v="83.3"/>
    <n v="12"/>
    <n v="32"/>
    <n v="19"/>
    <n v="27"/>
  </r>
  <r>
    <n v="2017"/>
    <x v="4"/>
    <s v="Baptist"/>
    <n v="177162"/>
    <x v="1"/>
    <x v="5"/>
    <n v="87.5"/>
    <n v="4"/>
    <n v="99"/>
    <n v="80"/>
    <n v="83"/>
  </r>
  <r>
    <n v="2017"/>
    <x v="4"/>
    <s v="Baptist"/>
    <n v="177162"/>
    <x v="1"/>
    <x v="0"/>
    <n v="100"/>
    <n v="4"/>
    <n v="99"/>
    <n v="99"/>
    <n v="99"/>
  </r>
  <r>
    <n v="2017"/>
    <x v="4"/>
    <s v="Baptist"/>
    <n v="177162"/>
    <x v="1"/>
    <x v="4"/>
    <n v="100"/>
    <n v="4"/>
    <n v="99"/>
    <n v="99"/>
    <n v="99"/>
  </r>
  <r>
    <n v="2017"/>
    <x v="4"/>
    <s v="Baptist"/>
    <n v="177162"/>
    <x v="1"/>
    <x v="2"/>
    <n v="100"/>
    <n v="4"/>
    <n v="99"/>
    <n v="99"/>
    <n v="99"/>
  </r>
  <r>
    <n v="2017"/>
    <x v="4"/>
    <s v="Baptist"/>
    <n v="177162"/>
    <x v="1"/>
    <x v="1"/>
    <n v="100"/>
    <n v="4"/>
    <n v="99"/>
    <n v="99"/>
    <n v="99"/>
  </r>
  <r>
    <n v="2017"/>
    <x v="4"/>
    <s v="Baptist"/>
    <n v="177162"/>
    <x v="1"/>
    <x v="3"/>
    <n v="100"/>
    <n v="4"/>
    <n v="99"/>
    <n v="99"/>
    <n v="99"/>
  </r>
  <r>
    <n v="2017"/>
    <x v="4"/>
    <s v="Baptist"/>
    <n v="60707"/>
    <x v="30"/>
    <x v="5"/>
    <n v="70.8"/>
    <n v="6"/>
    <n v="27"/>
    <n v="7"/>
    <n v="9"/>
  </r>
  <r>
    <n v="2017"/>
    <x v="4"/>
    <s v="Baptist"/>
    <n v="60707"/>
    <x v="30"/>
    <x v="0"/>
    <n v="82.3"/>
    <n v="6"/>
    <n v="15"/>
    <n v="10"/>
    <n v="14"/>
  </r>
  <r>
    <n v="2017"/>
    <x v="4"/>
    <s v="Baptist"/>
    <n v="60707"/>
    <x v="30"/>
    <x v="4"/>
    <n v="87.5"/>
    <n v="6"/>
    <n v="35"/>
    <n v="17"/>
    <n v="30"/>
  </r>
  <r>
    <n v="2017"/>
    <x v="4"/>
    <s v="Baptist"/>
    <n v="60707"/>
    <x v="30"/>
    <x v="2"/>
    <n v="75"/>
    <n v="6"/>
    <n v="1"/>
    <n v="1"/>
    <n v="1"/>
  </r>
  <r>
    <n v="2017"/>
    <x v="4"/>
    <s v="Baptist"/>
    <n v="60707"/>
    <x v="30"/>
    <x v="1"/>
    <n v="79.2"/>
    <n v="6"/>
    <n v="9"/>
    <n v="9"/>
    <n v="9"/>
  </r>
  <r>
    <n v="2017"/>
    <x v="4"/>
    <s v="Baptist"/>
    <n v="60707"/>
    <x v="30"/>
    <x v="3"/>
    <n v="87.5"/>
    <n v="6"/>
    <n v="87"/>
    <n v="59"/>
    <n v="62"/>
  </r>
  <r>
    <n v="2017"/>
    <x v="4"/>
    <s v="Baptist"/>
    <n v="58222"/>
    <x v="4"/>
    <x v="5"/>
    <n v="50"/>
    <n v="2"/>
    <n v="1"/>
    <n v="1"/>
    <n v="1"/>
  </r>
  <r>
    <n v="2017"/>
    <x v="4"/>
    <s v="Baptist"/>
    <n v="58222"/>
    <x v="4"/>
    <x v="0"/>
    <n v="56.3"/>
    <n v="2"/>
    <n v="1"/>
    <n v="1"/>
    <n v="1"/>
  </r>
  <r>
    <n v="2017"/>
    <x v="4"/>
    <s v="Baptist"/>
    <n v="58222"/>
    <x v="4"/>
    <x v="4"/>
    <n v="75"/>
    <n v="2"/>
    <n v="1"/>
    <n v="1"/>
    <n v="1"/>
  </r>
  <r>
    <n v="2017"/>
    <x v="4"/>
    <s v="Baptist"/>
    <n v="58222"/>
    <x v="4"/>
    <x v="2"/>
    <n v="37.5"/>
    <n v="2"/>
    <n v="1"/>
    <n v="1"/>
    <n v="1"/>
  </r>
  <r>
    <n v="2017"/>
    <x v="4"/>
    <s v="Baptist"/>
    <n v="58222"/>
    <x v="4"/>
    <x v="1"/>
    <n v="37.5"/>
    <n v="2"/>
    <n v="1"/>
    <n v="1"/>
    <n v="1"/>
  </r>
  <r>
    <n v="2017"/>
    <x v="4"/>
    <s v="Baptist"/>
    <n v="58222"/>
    <x v="4"/>
    <x v="3"/>
    <n v="75"/>
    <n v="2"/>
    <n v="3"/>
    <n v="2"/>
    <n v="2"/>
  </r>
  <r>
    <n v="2017"/>
    <x v="4"/>
    <s v="Baptist"/>
    <n v="89391"/>
    <x v="15"/>
    <x v="5"/>
    <n v="75"/>
    <n v="8"/>
    <n v="43"/>
    <n v="10"/>
    <n v="20"/>
  </r>
  <r>
    <n v="2017"/>
    <x v="4"/>
    <s v="Baptist"/>
    <n v="89391"/>
    <x v="15"/>
    <x v="0"/>
    <n v="85.9"/>
    <n v="8"/>
    <n v="48"/>
    <n v="31"/>
    <n v="38"/>
  </r>
  <r>
    <n v="2017"/>
    <x v="4"/>
    <s v="Baptist"/>
    <n v="89391"/>
    <x v="15"/>
    <x v="4"/>
    <n v="87.5"/>
    <n v="8"/>
    <n v="35"/>
    <n v="17"/>
    <n v="30"/>
  </r>
  <r>
    <n v="2017"/>
    <x v="4"/>
    <s v="Baptist"/>
    <n v="89391"/>
    <x v="15"/>
    <x v="2"/>
    <n v="82.1"/>
    <n v="7"/>
    <n v="12"/>
    <n v="9"/>
    <n v="12"/>
  </r>
  <r>
    <n v="2017"/>
    <x v="4"/>
    <s v="Baptist"/>
    <n v="89391"/>
    <x v="15"/>
    <x v="1"/>
    <n v="84.4"/>
    <n v="8"/>
    <n v="44"/>
    <n v="27"/>
    <n v="36"/>
  </r>
  <r>
    <n v="2017"/>
    <x v="4"/>
    <s v="Baptist"/>
    <n v="89391"/>
    <x v="15"/>
    <x v="3"/>
    <n v="87.5"/>
    <n v="8"/>
    <n v="87"/>
    <n v="59"/>
    <n v="62"/>
  </r>
  <r>
    <n v="2017"/>
    <x v="4"/>
    <s v="Baptist"/>
    <n v="36541"/>
    <x v="9"/>
    <x v="5"/>
    <n v="75"/>
    <n v="2"/>
    <n v="43"/>
    <n v="10"/>
    <n v="20"/>
  </r>
  <r>
    <n v="2017"/>
    <x v="4"/>
    <s v="Baptist"/>
    <n v="36541"/>
    <x v="9"/>
    <x v="0"/>
    <n v="96.9"/>
    <n v="2"/>
    <n v="99"/>
    <n v="99"/>
    <n v="99"/>
  </r>
  <r>
    <n v="2017"/>
    <x v="4"/>
    <s v="Baptist"/>
    <n v="36541"/>
    <x v="9"/>
    <x v="4"/>
    <n v="100"/>
    <n v="2"/>
    <n v="99"/>
    <n v="99"/>
    <n v="99"/>
  </r>
  <r>
    <n v="2017"/>
    <x v="4"/>
    <s v="Baptist"/>
    <n v="36541"/>
    <x v="9"/>
    <x v="2"/>
    <n v="100"/>
    <n v="2"/>
    <n v="99"/>
    <n v="99"/>
    <n v="99"/>
  </r>
  <r>
    <n v="2017"/>
    <x v="4"/>
    <s v="Baptist"/>
    <n v="36541"/>
    <x v="9"/>
    <x v="1"/>
    <n v="87.5"/>
    <n v="2"/>
    <n v="87"/>
    <n v="57"/>
    <n v="62"/>
  </r>
  <r>
    <n v="2017"/>
    <x v="4"/>
    <s v="Baptist"/>
    <n v="36541"/>
    <x v="9"/>
    <x v="3"/>
    <n v="100"/>
    <n v="1"/>
    <n v="99"/>
    <n v="99"/>
    <n v="99"/>
  </r>
  <r>
    <n v="2017"/>
    <x v="4"/>
    <s v="Baptist"/>
    <n v="91405"/>
    <x v="27"/>
    <x v="5"/>
    <n v="100"/>
    <n v="7"/>
    <n v="99"/>
    <n v="99"/>
    <n v="99"/>
  </r>
  <r>
    <n v="2017"/>
    <x v="4"/>
    <s v="Baptist"/>
    <n v="91405"/>
    <x v="27"/>
    <x v="0"/>
    <n v="83.6"/>
    <n v="8"/>
    <n v="24"/>
    <n v="12"/>
    <n v="21"/>
  </r>
  <r>
    <n v="2017"/>
    <x v="4"/>
    <s v="Baptist"/>
    <n v="91405"/>
    <x v="27"/>
    <x v="4"/>
    <n v="87.5"/>
    <n v="8"/>
    <n v="35"/>
    <n v="17"/>
    <n v="30"/>
  </r>
  <r>
    <n v="2017"/>
    <x v="4"/>
    <s v="Baptist"/>
    <n v="91405"/>
    <x v="27"/>
    <x v="2"/>
    <n v="84.4"/>
    <n v="8"/>
    <n v="25"/>
    <n v="13"/>
    <n v="24"/>
  </r>
  <r>
    <n v="2017"/>
    <x v="4"/>
    <s v="Baptist"/>
    <n v="91405"/>
    <x v="27"/>
    <x v="1"/>
    <n v="84.4"/>
    <n v="8"/>
    <n v="44"/>
    <n v="27"/>
    <n v="36"/>
  </r>
  <r>
    <n v="2017"/>
    <x v="4"/>
    <s v="Baptist"/>
    <n v="91405"/>
    <x v="27"/>
    <x v="3"/>
    <n v="78.099999999999994"/>
    <n v="8"/>
    <n v="5"/>
    <n v="6"/>
    <n v="6"/>
  </r>
  <r>
    <n v="2017"/>
    <x v="4"/>
    <s v="Baptist"/>
    <n v="58321"/>
    <x v="28"/>
    <x v="5"/>
    <n v="68.8"/>
    <n v="4"/>
    <n v="19"/>
    <n v="5"/>
    <n v="6"/>
  </r>
  <r>
    <n v="2017"/>
    <x v="4"/>
    <s v="Baptist"/>
    <n v="58321"/>
    <x v="28"/>
    <x v="0"/>
    <n v="84.4"/>
    <n v="4"/>
    <n v="29"/>
    <n v="14"/>
    <n v="26"/>
  </r>
  <r>
    <n v="2017"/>
    <x v="4"/>
    <s v="Baptist"/>
    <n v="58321"/>
    <x v="28"/>
    <x v="4"/>
    <n v="81.3"/>
    <n v="4"/>
    <n v="3"/>
    <n v="5"/>
    <n v="4"/>
  </r>
  <r>
    <n v="2017"/>
    <x v="4"/>
    <s v="Baptist"/>
    <n v="58321"/>
    <x v="28"/>
    <x v="2"/>
    <n v="81.3"/>
    <n v="4"/>
    <n v="8"/>
    <n v="8"/>
    <n v="9"/>
  </r>
  <r>
    <n v="2017"/>
    <x v="4"/>
    <s v="Baptist"/>
    <n v="58321"/>
    <x v="28"/>
    <x v="1"/>
    <n v="87.5"/>
    <n v="4"/>
    <n v="87"/>
    <n v="57"/>
    <n v="62"/>
  </r>
  <r>
    <n v="2017"/>
    <x v="4"/>
    <s v="Baptist"/>
    <n v="58321"/>
    <x v="28"/>
    <x v="3"/>
    <n v="87.5"/>
    <n v="4"/>
    <n v="87"/>
    <n v="59"/>
    <n v="62"/>
  </r>
  <r>
    <n v="2017"/>
    <x v="4"/>
    <s v="Baptist"/>
    <n v="23994"/>
    <x v="19"/>
    <x v="5"/>
    <n v="52.5"/>
    <n v="10"/>
    <n v="1"/>
    <n v="1"/>
    <n v="1"/>
  </r>
  <r>
    <n v="2017"/>
    <x v="4"/>
    <s v="Baptist"/>
    <n v="23994"/>
    <x v="19"/>
    <x v="0"/>
    <n v="63.2"/>
    <n v="9"/>
    <n v="1"/>
    <n v="1"/>
    <n v="1"/>
  </r>
  <r>
    <n v="2017"/>
    <x v="4"/>
    <s v="Baptist"/>
    <n v="23994"/>
    <x v="19"/>
    <x v="4"/>
    <n v="66.7"/>
    <n v="9"/>
    <n v="1"/>
    <n v="1"/>
    <n v="1"/>
  </r>
  <r>
    <n v="2017"/>
    <x v="4"/>
    <s v="Baptist"/>
    <n v="23994"/>
    <x v="19"/>
    <x v="2"/>
    <n v="61.1"/>
    <n v="9"/>
    <n v="1"/>
    <n v="1"/>
    <n v="1"/>
  </r>
  <r>
    <n v="2017"/>
    <x v="4"/>
    <s v="Baptist"/>
    <n v="23994"/>
    <x v="19"/>
    <x v="1"/>
    <n v="58.3"/>
    <n v="9"/>
    <n v="1"/>
    <n v="1"/>
    <n v="1"/>
  </r>
  <r>
    <n v="2017"/>
    <x v="4"/>
    <s v="Baptist"/>
    <n v="23994"/>
    <x v="19"/>
    <x v="3"/>
    <n v="66.7"/>
    <n v="9"/>
    <n v="1"/>
    <n v="1"/>
    <n v="1"/>
  </r>
  <r>
    <n v="2017"/>
    <x v="4"/>
    <s v="Baptist"/>
    <n v="22673"/>
    <x v="5"/>
    <x v="5"/>
    <n v="75"/>
    <n v="3"/>
    <n v="43"/>
    <n v="10"/>
    <n v="20"/>
  </r>
  <r>
    <n v="2017"/>
    <x v="4"/>
    <s v="Baptist"/>
    <n v="22673"/>
    <x v="5"/>
    <x v="0"/>
    <n v="83.3"/>
    <n v="3"/>
    <n v="23"/>
    <n v="12"/>
    <n v="19"/>
  </r>
  <r>
    <n v="2017"/>
    <x v="4"/>
    <s v="Baptist"/>
    <n v="22673"/>
    <x v="5"/>
    <x v="4"/>
    <n v="83.3"/>
    <n v="3"/>
    <n v="8"/>
    <n v="6"/>
    <n v="8"/>
  </r>
  <r>
    <n v="2017"/>
    <x v="4"/>
    <s v="Baptist"/>
    <n v="22673"/>
    <x v="5"/>
    <x v="2"/>
    <n v="83.3"/>
    <n v="3"/>
    <n v="18"/>
    <n v="12"/>
    <n v="18"/>
  </r>
  <r>
    <n v="2017"/>
    <x v="4"/>
    <s v="Baptist"/>
    <n v="22673"/>
    <x v="5"/>
    <x v="1"/>
    <n v="83.3"/>
    <n v="3"/>
    <n v="35"/>
    <n v="20"/>
    <n v="28"/>
  </r>
  <r>
    <n v="2017"/>
    <x v="4"/>
    <s v="Baptist"/>
    <n v="22673"/>
    <x v="5"/>
    <x v="3"/>
    <n v="83.3"/>
    <n v="3"/>
    <n v="32"/>
    <n v="19"/>
    <n v="27"/>
  </r>
  <r>
    <n v="2017"/>
    <x v="4"/>
    <s v="Baptist"/>
    <n v="91397"/>
    <x v="29"/>
    <x v="5"/>
    <n v="75"/>
    <n v="6"/>
    <n v="43"/>
    <n v="10"/>
    <n v="20"/>
  </r>
  <r>
    <n v="2017"/>
    <x v="4"/>
    <s v="Baptist"/>
    <n v="91397"/>
    <x v="29"/>
    <x v="0"/>
    <n v="75"/>
    <n v="6"/>
    <n v="1"/>
    <n v="1"/>
    <n v="1"/>
  </r>
  <r>
    <n v="2017"/>
    <x v="4"/>
    <s v="Baptist"/>
    <n v="91397"/>
    <x v="29"/>
    <x v="4"/>
    <n v="83.3"/>
    <n v="6"/>
    <n v="8"/>
    <n v="6"/>
    <n v="8"/>
  </r>
  <r>
    <n v="2017"/>
    <x v="4"/>
    <s v="Baptist"/>
    <n v="91397"/>
    <x v="29"/>
    <x v="2"/>
    <n v="83.3"/>
    <n v="6"/>
    <n v="18"/>
    <n v="12"/>
    <n v="18"/>
  </r>
  <r>
    <n v="2017"/>
    <x v="4"/>
    <s v="Baptist"/>
    <n v="91397"/>
    <x v="29"/>
    <x v="1"/>
    <n v="66.7"/>
    <n v="6"/>
    <n v="1"/>
    <n v="1"/>
    <n v="1"/>
  </r>
  <r>
    <n v="2017"/>
    <x v="4"/>
    <s v="Baptist"/>
    <n v="91397"/>
    <x v="29"/>
    <x v="3"/>
    <n v="66.7"/>
    <n v="6"/>
    <n v="1"/>
    <n v="1"/>
    <n v="1"/>
  </r>
  <r>
    <n v="2017"/>
    <x v="4"/>
    <s v="Baptist"/>
    <n v="88963"/>
    <x v="22"/>
    <x v="5"/>
    <n v="75"/>
    <n v="2"/>
    <n v="43"/>
    <n v="10"/>
    <n v="20"/>
  </r>
  <r>
    <n v="2017"/>
    <x v="4"/>
    <s v="Baptist"/>
    <n v="88963"/>
    <x v="22"/>
    <x v="0"/>
    <n v="87.5"/>
    <n v="2"/>
    <n v="68"/>
    <n v="40"/>
    <n v="53"/>
  </r>
  <r>
    <n v="2017"/>
    <x v="4"/>
    <s v="Baptist"/>
    <n v="88963"/>
    <x v="22"/>
    <x v="4"/>
    <n v="87.5"/>
    <n v="2"/>
    <n v="35"/>
    <n v="17"/>
    <n v="30"/>
  </r>
  <r>
    <n v="2017"/>
    <x v="4"/>
    <s v="Baptist"/>
    <n v="88963"/>
    <x v="22"/>
    <x v="2"/>
    <n v="87.5"/>
    <n v="2"/>
    <n v="64"/>
    <n v="40"/>
    <n v="50"/>
  </r>
  <r>
    <n v="2017"/>
    <x v="4"/>
    <s v="Baptist"/>
    <n v="88963"/>
    <x v="22"/>
    <x v="1"/>
    <n v="87.5"/>
    <n v="2"/>
    <n v="87"/>
    <n v="57"/>
    <n v="62"/>
  </r>
  <r>
    <n v="2017"/>
    <x v="4"/>
    <s v="Baptist"/>
    <n v="88963"/>
    <x v="22"/>
    <x v="3"/>
    <n v="87.5"/>
    <n v="2"/>
    <n v="87"/>
    <n v="59"/>
    <n v="62"/>
  </r>
  <r>
    <n v="2017"/>
    <x v="4"/>
    <s v="Baptist"/>
    <n v="8888"/>
    <x v="32"/>
    <x v="5"/>
    <n v="68.2"/>
    <n v="11"/>
    <n v="16"/>
    <n v="5"/>
    <n v="5"/>
  </r>
  <r>
    <n v="2017"/>
    <x v="4"/>
    <s v="Baptist"/>
    <n v="8888"/>
    <x v="32"/>
    <x v="0"/>
    <n v="86.9"/>
    <n v="11"/>
    <n v="60"/>
    <n v="40"/>
    <n v="47"/>
  </r>
  <r>
    <n v="2017"/>
    <x v="4"/>
    <s v="Baptist"/>
    <n v="8888"/>
    <x v="32"/>
    <x v="4"/>
    <n v="88.6"/>
    <n v="11"/>
    <n v="49"/>
    <n v="32"/>
    <n v="41"/>
  </r>
  <r>
    <n v="2017"/>
    <x v="4"/>
    <s v="Baptist"/>
    <n v="8888"/>
    <x v="32"/>
    <x v="2"/>
    <n v="88.6"/>
    <n v="11"/>
    <n v="81"/>
    <n v="52"/>
    <n v="61"/>
  </r>
  <r>
    <n v="2017"/>
    <x v="4"/>
    <s v="Baptist"/>
    <n v="8888"/>
    <x v="32"/>
    <x v="1"/>
    <n v="86.4"/>
    <n v="11"/>
    <n v="72"/>
    <n v="43"/>
    <n v="54"/>
  </r>
  <r>
    <n v="2017"/>
    <x v="4"/>
    <s v="Baptist"/>
    <n v="8888"/>
    <x v="32"/>
    <x v="3"/>
    <n v="84.1"/>
    <n v="11"/>
    <n v="42"/>
    <n v="19"/>
    <n v="33"/>
  </r>
  <r>
    <n v="2017"/>
    <x v="5"/>
    <s v="Baptist"/>
    <n v="117671"/>
    <x v="13"/>
    <x v="5"/>
    <n v="58.3"/>
    <n v="3"/>
    <n v="1"/>
    <n v="2"/>
    <n v="1"/>
  </r>
  <r>
    <n v="2017"/>
    <x v="5"/>
    <s v="Baptist"/>
    <n v="117671"/>
    <x v="13"/>
    <x v="0"/>
    <n v="68.8"/>
    <n v="3"/>
    <n v="1"/>
    <n v="1"/>
    <n v="1"/>
  </r>
  <r>
    <n v="2017"/>
    <x v="5"/>
    <s v="Baptist"/>
    <n v="117671"/>
    <x v="13"/>
    <x v="4"/>
    <n v="75"/>
    <n v="3"/>
    <n v="1"/>
    <n v="1"/>
    <n v="1"/>
  </r>
  <r>
    <n v="2017"/>
    <x v="5"/>
    <s v="Baptist"/>
    <n v="117671"/>
    <x v="13"/>
    <x v="2"/>
    <n v="66.7"/>
    <n v="3"/>
    <n v="1"/>
    <n v="1"/>
    <n v="1"/>
  </r>
  <r>
    <n v="2017"/>
    <x v="5"/>
    <s v="Baptist"/>
    <n v="117671"/>
    <x v="13"/>
    <x v="1"/>
    <n v="66.7"/>
    <n v="3"/>
    <n v="1"/>
    <n v="1"/>
    <n v="1"/>
  </r>
  <r>
    <n v="2017"/>
    <x v="5"/>
    <s v="Baptist"/>
    <n v="117671"/>
    <x v="13"/>
    <x v="3"/>
    <n v="66.7"/>
    <n v="3"/>
    <n v="1"/>
    <n v="1"/>
    <n v="1"/>
  </r>
  <r>
    <n v="2017"/>
    <x v="5"/>
    <s v="Baptist"/>
    <n v="104133"/>
    <x v="8"/>
    <x v="5"/>
    <n v="70"/>
    <n v="5"/>
    <n v="26"/>
    <n v="6"/>
    <n v="7"/>
  </r>
  <r>
    <n v="2017"/>
    <x v="5"/>
    <s v="Baptist"/>
    <n v="104133"/>
    <x v="8"/>
    <x v="0"/>
    <n v="75"/>
    <n v="6"/>
    <n v="1"/>
    <n v="1"/>
    <n v="1"/>
  </r>
  <r>
    <n v="2017"/>
    <x v="5"/>
    <s v="Baptist"/>
    <n v="104133"/>
    <x v="8"/>
    <x v="4"/>
    <n v="75"/>
    <n v="6"/>
    <n v="1"/>
    <n v="1"/>
    <n v="1"/>
  </r>
  <r>
    <n v="2017"/>
    <x v="5"/>
    <s v="Baptist"/>
    <n v="104133"/>
    <x v="8"/>
    <x v="2"/>
    <n v="75"/>
    <n v="6"/>
    <n v="1"/>
    <n v="1"/>
    <n v="1"/>
  </r>
  <r>
    <n v="2017"/>
    <x v="5"/>
    <s v="Baptist"/>
    <n v="104133"/>
    <x v="8"/>
    <x v="1"/>
    <n v="75"/>
    <n v="6"/>
    <n v="3"/>
    <n v="3"/>
    <n v="2"/>
  </r>
  <r>
    <n v="2017"/>
    <x v="5"/>
    <s v="Baptist"/>
    <n v="104133"/>
    <x v="8"/>
    <x v="3"/>
    <n v="80"/>
    <n v="5"/>
    <n v="16"/>
    <n v="10"/>
    <n v="11"/>
  </r>
  <r>
    <n v="2017"/>
    <x v="5"/>
    <s v="Baptist"/>
    <n v="114603"/>
    <x v="24"/>
    <x v="5"/>
    <n v="83.3"/>
    <n v="3"/>
    <n v="86"/>
    <n v="51"/>
    <n v="61"/>
  </r>
  <r>
    <n v="2017"/>
    <x v="5"/>
    <s v="Baptist"/>
    <n v="114603"/>
    <x v="24"/>
    <x v="0"/>
    <n v="83.3"/>
    <n v="3"/>
    <n v="24"/>
    <n v="16"/>
    <n v="18"/>
  </r>
  <r>
    <n v="2017"/>
    <x v="5"/>
    <s v="Baptist"/>
    <n v="114603"/>
    <x v="24"/>
    <x v="4"/>
    <n v="83.3"/>
    <n v="3"/>
    <n v="11"/>
    <n v="4"/>
    <n v="8"/>
  </r>
  <r>
    <n v="2017"/>
    <x v="5"/>
    <s v="Baptist"/>
    <n v="114603"/>
    <x v="24"/>
    <x v="2"/>
    <n v="83.3"/>
    <n v="3"/>
    <n v="22"/>
    <n v="16"/>
    <n v="17"/>
  </r>
  <r>
    <n v="2017"/>
    <x v="5"/>
    <s v="Baptist"/>
    <n v="114603"/>
    <x v="24"/>
    <x v="1"/>
    <n v="83.3"/>
    <n v="3"/>
    <n v="43"/>
    <n v="30"/>
    <n v="28"/>
  </r>
  <r>
    <n v="2017"/>
    <x v="5"/>
    <s v="Baptist"/>
    <n v="114603"/>
    <x v="24"/>
    <x v="3"/>
    <n v="83.3"/>
    <n v="3"/>
    <n v="39"/>
    <n v="30"/>
    <n v="26"/>
  </r>
  <r>
    <n v="2017"/>
    <x v="5"/>
    <s v="Baptist"/>
    <n v="101071"/>
    <x v="31"/>
    <x v="5"/>
    <n v="45.8"/>
    <n v="6"/>
    <n v="1"/>
    <n v="1"/>
    <n v="1"/>
  </r>
  <r>
    <n v="2017"/>
    <x v="5"/>
    <s v="Baptist"/>
    <n v="101071"/>
    <x v="31"/>
    <x v="0"/>
    <n v="67.2"/>
    <n v="4"/>
    <n v="1"/>
    <n v="1"/>
    <n v="1"/>
  </r>
  <r>
    <n v="2017"/>
    <x v="5"/>
    <s v="Baptist"/>
    <n v="101071"/>
    <x v="31"/>
    <x v="4"/>
    <n v="68.8"/>
    <n v="4"/>
    <n v="1"/>
    <n v="1"/>
    <n v="1"/>
  </r>
  <r>
    <n v="2017"/>
    <x v="5"/>
    <s v="Baptist"/>
    <n v="101071"/>
    <x v="31"/>
    <x v="2"/>
    <n v="68.8"/>
    <n v="4"/>
    <n v="1"/>
    <n v="1"/>
    <n v="1"/>
  </r>
  <r>
    <n v="2017"/>
    <x v="5"/>
    <s v="Baptist"/>
    <n v="101071"/>
    <x v="31"/>
    <x v="1"/>
    <n v="68.8"/>
    <n v="4"/>
    <n v="1"/>
    <n v="1"/>
    <n v="1"/>
  </r>
  <r>
    <n v="2017"/>
    <x v="5"/>
    <s v="Baptist"/>
    <n v="101071"/>
    <x v="31"/>
    <x v="3"/>
    <n v="62.5"/>
    <n v="4"/>
    <n v="1"/>
    <n v="1"/>
    <n v="1"/>
  </r>
  <r>
    <n v="2017"/>
    <x v="5"/>
    <s v="Baptist"/>
    <n v="110569"/>
    <x v="6"/>
    <x v="5"/>
    <n v="67.900000000000006"/>
    <n v="14"/>
    <n v="18"/>
    <n v="5"/>
    <n v="5"/>
  </r>
  <r>
    <n v="2017"/>
    <x v="5"/>
    <s v="Baptist"/>
    <n v="110569"/>
    <x v="6"/>
    <x v="0"/>
    <n v="92"/>
    <n v="14"/>
    <n v="99"/>
    <n v="96"/>
    <n v="89"/>
  </r>
  <r>
    <n v="2017"/>
    <x v="5"/>
    <s v="Baptist"/>
    <n v="110569"/>
    <x v="6"/>
    <x v="4"/>
    <n v="96.4"/>
    <n v="14"/>
    <n v="99"/>
    <n v="99"/>
    <n v="98"/>
  </r>
  <r>
    <n v="2017"/>
    <x v="5"/>
    <s v="Baptist"/>
    <n v="110569"/>
    <x v="6"/>
    <x v="2"/>
    <n v="92.9"/>
    <n v="14"/>
    <n v="99"/>
    <n v="98"/>
    <n v="92"/>
  </r>
  <r>
    <n v="2017"/>
    <x v="5"/>
    <s v="Baptist"/>
    <n v="110569"/>
    <x v="6"/>
    <x v="1"/>
    <n v="89.3"/>
    <n v="14"/>
    <n v="97"/>
    <n v="83"/>
    <n v="77"/>
  </r>
  <r>
    <n v="2017"/>
    <x v="5"/>
    <s v="Baptist"/>
    <n v="110569"/>
    <x v="6"/>
    <x v="3"/>
    <n v="89.3"/>
    <n v="14"/>
    <n v="95"/>
    <n v="83"/>
    <n v="76"/>
  </r>
  <r>
    <n v="2017"/>
    <x v="5"/>
    <s v="Baptist"/>
    <n v="117465"/>
    <x v="11"/>
    <x v="5"/>
    <n v="75"/>
    <n v="5"/>
    <n v="47"/>
    <n v="14"/>
    <n v="20"/>
  </r>
  <r>
    <n v="2017"/>
    <x v="5"/>
    <s v="Baptist"/>
    <n v="117465"/>
    <x v="11"/>
    <x v="0"/>
    <n v="91.3"/>
    <n v="5"/>
    <n v="99"/>
    <n v="92"/>
    <n v="85"/>
  </r>
  <r>
    <n v="2017"/>
    <x v="5"/>
    <s v="Baptist"/>
    <n v="117465"/>
    <x v="11"/>
    <x v="4"/>
    <n v="100"/>
    <n v="5"/>
    <n v="99"/>
    <n v="99"/>
    <n v="99"/>
  </r>
  <r>
    <n v="2017"/>
    <x v="5"/>
    <s v="Baptist"/>
    <n v="117465"/>
    <x v="11"/>
    <x v="2"/>
    <n v="95"/>
    <n v="5"/>
    <n v="99"/>
    <n v="99"/>
    <n v="97"/>
  </r>
  <r>
    <n v="2017"/>
    <x v="5"/>
    <s v="Baptist"/>
    <n v="117465"/>
    <x v="11"/>
    <x v="1"/>
    <n v="85"/>
    <n v="5"/>
    <n v="56"/>
    <n v="44"/>
    <n v="40"/>
  </r>
  <r>
    <n v="2017"/>
    <x v="5"/>
    <s v="Baptist"/>
    <n v="117465"/>
    <x v="11"/>
    <x v="3"/>
    <n v="85"/>
    <n v="5"/>
    <n v="52"/>
    <n v="44"/>
    <n v="40"/>
  </r>
  <r>
    <n v="2017"/>
    <x v="5"/>
    <s v="Baptist"/>
    <n v="121681"/>
    <x v="17"/>
    <x v="5"/>
    <n v="68.8"/>
    <n v="4"/>
    <n v="20"/>
    <n v="6"/>
    <n v="6"/>
  </r>
  <r>
    <n v="2017"/>
    <x v="5"/>
    <s v="Baptist"/>
    <n v="121681"/>
    <x v="17"/>
    <x v="0"/>
    <n v="78.099999999999994"/>
    <n v="4"/>
    <n v="5"/>
    <n v="4"/>
    <n v="4"/>
  </r>
  <r>
    <n v="2017"/>
    <x v="5"/>
    <s v="Baptist"/>
    <n v="121681"/>
    <x v="17"/>
    <x v="4"/>
    <n v="81.3"/>
    <n v="4"/>
    <n v="4"/>
    <n v="4"/>
    <n v="4"/>
  </r>
  <r>
    <n v="2017"/>
    <x v="5"/>
    <s v="Baptist"/>
    <n v="121681"/>
    <x v="17"/>
    <x v="2"/>
    <n v="75"/>
    <n v="4"/>
    <n v="1"/>
    <n v="1"/>
    <n v="1"/>
  </r>
  <r>
    <n v="2017"/>
    <x v="5"/>
    <s v="Baptist"/>
    <n v="121681"/>
    <x v="17"/>
    <x v="1"/>
    <n v="81.3"/>
    <n v="4"/>
    <n v="24"/>
    <n v="15"/>
    <n v="16"/>
  </r>
  <r>
    <n v="2017"/>
    <x v="5"/>
    <s v="Baptist"/>
    <n v="121681"/>
    <x v="17"/>
    <x v="3"/>
    <n v="75"/>
    <n v="4"/>
    <n v="3"/>
    <n v="3"/>
    <n v="2"/>
  </r>
  <r>
    <n v="2017"/>
    <x v="5"/>
    <s v="Baptist"/>
    <n v="103275"/>
    <x v="14"/>
    <x v="5"/>
    <n v="70.8"/>
    <n v="6"/>
    <n v="29"/>
    <n v="9"/>
    <n v="9"/>
  </r>
  <r>
    <n v="2017"/>
    <x v="5"/>
    <s v="Baptist"/>
    <n v="103275"/>
    <x v="14"/>
    <x v="0"/>
    <n v="82.3"/>
    <n v="6"/>
    <n v="18"/>
    <n v="13"/>
    <n v="14"/>
  </r>
  <r>
    <n v="2017"/>
    <x v="5"/>
    <s v="Baptist"/>
    <n v="103275"/>
    <x v="14"/>
    <x v="4"/>
    <n v="83.3"/>
    <n v="6"/>
    <n v="11"/>
    <n v="4"/>
    <n v="8"/>
  </r>
  <r>
    <n v="2017"/>
    <x v="5"/>
    <s v="Baptist"/>
    <n v="103275"/>
    <x v="14"/>
    <x v="2"/>
    <n v="83.3"/>
    <n v="6"/>
    <n v="22"/>
    <n v="16"/>
    <n v="17"/>
  </r>
  <r>
    <n v="2017"/>
    <x v="5"/>
    <s v="Baptist"/>
    <n v="103275"/>
    <x v="14"/>
    <x v="1"/>
    <n v="83.3"/>
    <n v="6"/>
    <n v="43"/>
    <n v="30"/>
    <n v="28"/>
  </r>
  <r>
    <n v="2017"/>
    <x v="5"/>
    <s v="Baptist"/>
    <n v="103275"/>
    <x v="14"/>
    <x v="3"/>
    <n v="79.2"/>
    <n v="6"/>
    <n v="12"/>
    <n v="6"/>
    <n v="8"/>
  </r>
  <r>
    <n v="2017"/>
    <x v="5"/>
    <s v="Baptist"/>
    <n v="150441"/>
    <x v="18"/>
    <x v="5"/>
    <n v="64.3"/>
    <n v="7"/>
    <n v="6"/>
    <n v="3"/>
    <n v="2"/>
  </r>
  <r>
    <n v="2017"/>
    <x v="5"/>
    <s v="Baptist"/>
    <n v="150441"/>
    <x v="18"/>
    <x v="0"/>
    <n v="87.5"/>
    <n v="7"/>
    <n v="70"/>
    <n v="56"/>
    <n v="53"/>
  </r>
  <r>
    <n v="2017"/>
    <x v="5"/>
    <s v="Baptist"/>
    <n v="150441"/>
    <x v="18"/>
    <x v="4"/>
    <n v="89.3"/>
    <n v="7"/>
    <n v="60"/>
    <n v="51"/>
    <n v="47"/>
  </r>
  <r>
    <n v="2017"/>
    <x v="5"/>
    <s v="Baptist"/>
    <n v="150441"/>
    <x v="18"/>
    <x v="2"/>
    <n v="85.7"/>
    <n v="7"/>
    <n v="41"/>
    <n v="36"/>
    <n v="33"/>
  </r>
  <r>
    <n v="2017"/>
    <x v="5"/>
    <s v="Baptist"/>
    <n v="150441"/>
    <x v="18"/>
    <x v="1"/>
    <n v="85.7"/>
    <n v="7"/>
    <n v="62"/>
    <n v="55"/>
    <n v="48"/>
  </r>
  <r>
    <n v="2017"/>
    <x v="5"/>
    <s v="Baptist"/>
    <n v="150441"/>
    <x v="18"/>
    <x v="3"/>
    <n v="89.3"/>
    <n v="7"/>
    <n v="95"/>
    <n v="83"/>
    <n v="76"/>
  </r>
  <r>
    <n v="2017"/>
    <x v="5"/>
    <s v="Baptist"/>
    <n v="152587"/>
    <x v="16"/>
    <x v="5"/>
    <n v="35"/>
    <n v="5"/>
    <n v="1"/>
    <n v="1"/>
    <n v="1"/>
  </r>
  <r>
    <n v="2017"/>
    <x v="5"/>
    <s v="Baptist"/>
    <n v="152587"/>
    <x v="16"/>
    <x v="0"/>
    <n v="51.3"/>
    <n v="5"/>
    <n v="1"/>
    <n v="1"/>
    <n v="1"/>
  </r>
  <r>
    <n v="2017"/>
    <x v="5"/>
    <s v="Baptist"/>
    <n v="152587"/>
    <x v="16"/>
    <x v="4"/>
    <n v="50"/>
    <n v="5"/>
    <n v="1"/>
    <n v="1"/>
    <n v="1"/>
  </r>
  <r>
    <n v="2017"/>
    <x v="5"/>
    <s v="Baptist"/>
    <n v="152587"/>
    <x v="16"/>
    <x v="2"/>
    <n v="50"/>
    <n v="5"/>
    <n v="1"/>
    <n v="1"/>
    <n v="1"/>
  </r>
  <r>
    <n v="2017"/>
    <x v="5"/>
    <s v="Baptist"/>
    <n v="152587"/>
    <x v="16"/>
    <x v="1"/>
    <n v="50"/>
    <n v="5"/>
    <n v="1"/>
    <n v="1"/>
    <n v="1"/>
  </r>
  <r>
    <n v="2017"/>
    <x v="5"/>
    <s v="Baptist"/>
    <n v="152587"/>
    <x v="16"/>
    <x v="3"/>
    <n v="55"/>
    <n v="5"/>
    <n v="1"/>
    <n v="1"/>
    <n v="1"/>
  </r>
  <r>
    <n v="2017"/>
    <x v="5"/>
    <s v="Baptist"/>
    <n v="149344"/>
    <x v="23"/>
    <x v="5"/>
    <n v="82.1"/>
    <n v="7"/>
    <n v="80"/>
    <n v="44"/>
    <n v="54"/>
  </r>
  <r>
    <n v="2017"/>
    <x v="5"/>
    <s v="Baptist"/>
    <n v="149344"/>
    <x v="23"/>
    <x v="0"/>
    <n v="89.3"/>
    <n v="7"/>
    <n v="91"/>
    <n v="75"/>
    <n v="70"/>
  </r>
  <r>
    <n v="2017"/>
    <x v="5"/>
    <s v="Baptist"/>
    <n v="149344"/>
    <x v="23"/>
    <x v="4"/>
    <n v="92.9"/>
    <n v="7"/>
    <n v="97"/>
    <n v="88"/>
    <n v="83"/>
  </r>
  <r>
    <n v="2017"/>
    <x v="5"/>
    <s v="Baptist"/>
    <n v="149344"/>
    <x v="23"/>
    <x v="2"/>
    <n v="89.3"/>
    <n v="7"/>
    <n v="88"/>
    <n v="71"/>
    <n v="68"/>
  </r>
  <r>
    <n v="2017"/>
    <x v="5"/>
    <s v="Baptist"/>
    <n v="149344"/>
    <x v="23"/>
    <x v="1"/>
    <n v="89.3"/>
    <n v="7"/>
    <n v="97"/>
    <n v="83"/>
    <n v="77"/>
  </r>
  <r>
    <n v="2017"/>
    <x v="5"/>
    <s v="Baptist"/>
    <n v="149344"/>
    <x v="23"/>
    <x v="3"/>
    <n v="85.7"/>
    <n v="7"/>
    <n v="67"/>
    <n v="49"/>
    <n v="46"/>
  </r>
  <r>
    <n v="2017"/>
    <x v="5"/>
    <s v="Baptist"/>
    <n v="117440"/>
    <x v="20"/>
    <x v="5"/>
    <n v="59.4"/>
    <n v="8"/>
    <n v="1"/>
    <n v="2"/>
    <n v="1"/>
  </r>
  <r>
    <n v="2017"/>
    <x v="5"/>
    <s v="Baptist"/>
    <n v="117440"/>
    <x v="20"/>
    <x v="0"/>
    <n v="89.3"/>
    <n v="7"/>
    <n v="91"/>
    <n v="75"/>
    <n v="70"/>
  </r>
  <r>
    <n v="2017"/>
    <x v="5"/>
    <s v="Baptist"/>
    <n v="117440"/>
    <x v="20"/>
    <x v="4"/>
    <n v="92.9"/>
    <n v="7"/>
    <n v="97"/>
    <n v="88"/>
    <n v="83"/>
  </r>
  <r>
    <n v="2017"/>
    <x v="5"/>
    <s v="Baptist"/>
    <n v="117440"/>
    <x v="20"/>
    <x v="2"/>
    <n v="89.3"/>
    <n v="7"/>
    <n v="88"/>
    <n v="71"/>
    <n v="68"/>
  </r>
  <r>
    <n v="2017"/>
    <x v="5"/>
    <s v="Baptist"/>
    <n v="117440"/>
    <x v="20"/>
    <x v="1"/>
    <n v="89.3"/>
    <n v="7"/>
    <n v="97"/>
    <n v="83"/>
    <n v="77"/>
  </r>
  <r>
    <n v="2017"/>
    <x v="5"/>
    <s v="Baptist"/>
    <n v="117440"/>
    <x v="20"/>
    <x v="3"/>
    <n v="85.7"/>
    <n v="7"/>
    <n v="67"/>
    <n v="49"/>
    <n v="46"/>
  </r>
  <r>
    <n v="2017"/>
    <x v="5"/>
    <s v="Baptist"/>
    <n v="153700"/>
    <x v="26"/>
    <x v="5"/>
    <n v="62.5"/>
    <n v="2"/>
    <n v="3"/>
    <n v="3"/>
    <n v="1"/>
  </r>
  <r>
    <n v="2017"/>
    <x v="5"/>
    <s v="Baptist"/>
    <n v="153700"/>
    <x v="26"/>
    <x v="0"/>
    <n v="65.599999999999994"/>
    <n v="2"/>
    <n v="1"/>
    <n v="1"/>
    <n v="1"/>
  </r>
  <r>
    <n v="2017"/>
    <x v="5"/>
    <s v="Baptist"/>
    <n v="153700"/>
    <x v="26"/>
    <x v="4"/>
    <n v="75"/>
    <n v="2"/>
    <n v="1"/>
    <n v="1"/>
    <n v="1"/>
  </r>
  <r>
    <n v="2017"/>
    <x v="5"/>
    <s v="Baptist"/>
    <n v="153700"/>
    <x v="26"/>
    <x v="2"/>
    <n v="62.5"/>
    <n v="2"/>
    <n v="1"/>
    <n v="1"/>
    <n v="1"/>
  </r>
  <r>
    <n v="2017"/>
    <x v="5"/>
    <s v="Baptist"/>
    <n v="153700"/>
    <x v="26"/>
    <x v="1"/>
    <n v="62.5"/>
    <n v="2"/>
    <n v="1"/>
    <n v="1"/>
    <n v="1"/>
  </r>
  <r>
    <n v="2017"/>
    <x v="5"/>
    <s v="Baptist"/>
    <n v="153700"/>
    <x v="26"/>
    <x v="3"/>
    <n v="62.5"/>
    <n v="2"/>
    <n v="1"/>
    <n v="1"/>
    <n v="1"/>
  </r>
  <r>
    <n v="2017"/>
    <x v="5"/>
    <s v="Baptist"/>
    <n v="130674"/>
    <x v="0"/>
    <x v="5"/>
    <n v="80"/>
    <n v="5"/>
    <n v="68"/>
    <n v="32"/>
    <n v="42"/>
  </r>
  <r>
    <n v="2017"/>
    <x v="5"/>
    <s v="Baptist"/>
    <n v="130674"/>
    <x v="0"/>
    <x v="0"/>
    <n v="87.5"/>
    <n v="5"/>
    <n v="70"/>
    <n v="56"/>
    <n v="53"/>
  </r>
  <r>
    <n v="2017"/>
    <x v="5"/>
    <s v="Baptist"/>
    <n v="130674"/>
    <x v="0"/>
    <x v="4"/>
    <n v="100"/>
    <n v="5"/>
    <n v="99"/>
    <n v="99"/>
    <n v="99"/>
  </r>
  <r>
    <n v="2017"/>
    <x v="5"/>
    <s v="Baptist"/>
    <n v="130674"/>
    <x v="0"/>
    <x v="2"/>
    <n v="85"/>
    <n v="5"/>
    <n v="30"/>
    <n v="27"/>
    <n v="27"/>
  </r>
  <r>
    <n v="2017"/>
    <x v="5"/>
    <s v="Baptist"/>
    <n v="130674"/>
    <x v="0"/>
    <x v="1"/>
    <n v="80"/>
    <n v="5"/>
    <n v="16"/>
    <n v="11"/>
    <n v="10"/>
  </r>
  <r>
    <n v="2017"/>
    <x v="5"/>
    <s v="Baptist"/>
    <n v="130674"/>
    <x v="0"/>
    <x v="3"/>
    <n v="85"/>
    <n v="5"/>
    <n v="52"/>
    <n v="44"/>
    <n v="40"/>
  </r>
  <r>
    <n v="2017"/>
    <x v="5"/>
    <s v="Baptist"/>
    <n v="59899"/>
    <x v="10"/>
    <x v="5"/>
    <n v="60"/>
    <n v="10"/>
    <n v="1"/>
    <n v="2"/>
    <n v="1"/>
  </r>
  <r>
    <n v="2017"/>
    <x v="5"/>
    <s v="Baptist"/>
    <n v="59899"/>
    <x v="10"/>
    <x v="0"/>
    <n v="81.3"/>
    <n v="9"/>
    <n v="13"/>
    <n v="7"/>
    <n v="10"/>
  </r>
  <r>
    <n v="2017"/>
    <x v="5"/>
    <s v="Baptist"/>
    <n v="59899"/>
    <x v="10"/>
    <x v="4"/>
    <n v="91.7"/>
    <n v="9"/>
    <n v="91"/>
    <n v="77"/>
    <n v="73"/>
  </r>
  <r>
    <n v="2017"/>
    <x v="5"/>
    <s v="Baptist"/>
    <n v="59899"/>
    <x v="10"/>
    <x v="2"/>
    <n v="83.3"/>
    <n v="9"/>
    <n v="22"/>
    <n v="16"/>
    <n v="17"/>
  </r>
  <r>
    <n v="2017"/>
    <x v="5"/>
    <s v="Baptist"/>
    <n v="59899"/>
    <x v="10"/>
    <x v="1"/>
    <n v="75"/>
    <n v="9"/>
    <n v="3"/>
    <n v="3"/>
    <n v="2"/>
  </r>
  <r>
    <n v="2017"/>
    <x v="5"/>
    <s v="Baptist"/>
    <n v="59899"/>
    <x v="10"/>
    <x v="3"/>
    <n v="75"/>
    <n v="9"/>
    <n v="3"/>
    <n v="3"/>
    <n v="2"/>
  </r>
  <r>
    <n v="2017"/>
    <x v="5"/>
    <s v="Baptist"/>
    <n v="99093"/>
    <x v="2"/>
    <x v="5"/>
    <n v="95.8"/>
    <n v="6"/>
    <n v="99"/>
    <n v="99"/>
    <n v="99"/>
  </r>
  <r>
    <n v="2017"/>
    <x v="5"/>
    <s v="Baptist"/>
    <n v="99093"/>
    <x v="2"/>
    <x v="0"/>
    <n v="97.9"/>
    <n v="6"/>
    <n v="99"/>
    <n v="99"/>
    <n v="99"/>
  </r>
  <r>
    <n v="2017"/>
    <x v="5"/>
    <s v="Baptist"/>
    <n v="99093"/>
    <x v="2"/>
    <x v="4"/>
    <n v="100"/>
    <n v="6"/>
    <n v="99"/>
    <n v="99"/>
    <n v="99"/>
  </r>
  <r>
    <n v="2017"/>
    <x v="5"/>
    <s v="Baptist"/>
    <n v="99093"/>
    <x v="2"/>
    <x v="2"/>
    <n v="95.8"/>
    <n v="6"/>
    <n v="99"/>
    <n v="99"/>
    <n v="98"/>
  </r>
  <r>
    <n v="2017"/>
    <x v="5"/>
    <s v="Baptist"/>
    <n v="99093"/>
    <x v="2"/>
    <x v="1"/>
    <n v="100"/>
    <n v="6"/>
    <n v="99"/>
    <n v="99"/>
    <n v="99"/>
  </r>
  <r>
    <n v="2017"/>
    <x v="5"/>
    <s v="Baptist"/>
    <n v="99093"/>
    <x v="2"/>
    <x v="3"/>
    <n v="95.8"/>
    <n v="6"/>
    <n v="99"/>
    <n v="99"/>
    <n v="99"/>
  </r>
  <r>
    <n v="2017"/>
    <x v="5"/>
    <s v="Baptist"/>
    <n v="70375"/>
    <x v="12"/>
    <x v="5"/>
    <n v="87.5"/>
    <n v="10"/>
    <n v="99"/>
    <n v="85"/>
    <n v="83"/>
  </r>
  <r>
    <n v="2017"/>
    <x v="5"/>
    <s v="Baptist"/>
    <n v="70375"/>
    <x v="12"/>
    <x v="0"/>
    <n v="93.1"/>
    <n v="10"/>
    <n v="99"/>
    <n v="99"/>
    <n v="93"/>
  </r>
  <r>
    <n v="2017"/>
    <x v="5"/>
    <s v="Baptist"/>
    <n v="70375"/>
    <x v="12"/>
    <x v="4"/>
    <n v="95"/>
    <n v="10"/>
    <n v="99"/>
    <n v="99"/>
    <n v="94"/>
  </r>
  <r>
    <n v="2017"/>
    <x v="5"/>
    <s v="Baptist"/>
    <n v="70375"/>
    <x v="12"/>
    <x v="2"/>
    <n v="92.5"/>
    <n v="10"/>
    <n v="99"/>
    <n v="98"/>
    <n v="90"/>
  </r>
  <r>
    <n v="2017"/>
    <x v="5"/>
    <s v="Baptist"/>
    <n v="70375"/>
    <x v="12"/>
    <x v="1"/>
    <n v="92.5"/>
    <n v="10"/>
    <n v="99"/>
    <n v="99"/>
    <n v="93"/>
  </r>
  <r>
    <n v="2017"/>
    <x v="5"/>
    <s v="Baptist"/>
    <n v="70375"/>
    <x v="12"/>
    <x v="3"/>
    <n v="92.5"/>
    <n v="10"/>
    <n v="99"/>
    <n v="99"/>
    <n v="93"/>
  </r>
  <r>
    <n v="2017"/>
    <x v="5"/>
    <s v="Baptist"/>
    <n v="70359"/>
    <x v="7"/>
    <x v="5"/>
    <n v="53.6"/>
    <n v="7"/>
    <n v="1"/>
    <n v="1"/>
    <n v="1"/>
  </r>
  <r>
    <n v="2017"/>
    <x v="5"/>
    <s v="Baptist"/>
    <n v="70359"/>
    <x v="7"/>
    <x v="0"/>
    <n v="86.6"/>
    <n v="7"/>
    <n v="59"/>
    <n v="49"/>
    <n v="44"/>
  </r>
  <r>
    <n v="2017"/>
    <x v="5"/>
    <s v="Baptist"/>
    <n v="70359"/>
    <x v="7"/>
    <x v="4"/>
    <n v="96.4"/>
    <n v="7"/>
    <n v="99"/>
    <n v="99"/>
    <n v="98"/>
  </r>
  <r>
    <n v="2017"/>
    <x v="5"/>
    <s v="Baptist"/>
    <n v="70359"/>
    <x v="7"/>
    <x v="2"/>
    <n v="82.1"/>
    <n v="7"/>
    <n v="16"/>
    <n v="13"/>
    <n v="12"/>
  </r>
  <r>
    <n v="2017"/>
    <x v="5"/>
    <s v="Baptist"/>
    <n v="70359"/>
    <x v="7"/>
    <x v="1"/>
    <n v="82.1"/>
    <n v="7"/>
    <n v="29"/>
    <n v="17"/>
    <n v="20"/>
  </r>
  <r>
    <n v="2017"/>
    <x v="5"/>
    <s v="Baptist"/>
    <n v="70359"/>
    <x v="7"/>
    <x v="3"/>
    <n v="85.7"/>
    <n v="7"/>
    <n v="67"/>
    <n v="49"/>
    <n v="46"/>
  </r>
  <r>
    <n v="2017"/>
    <x v="5"/>
    <s v="Baptist"/>
    <n v="99911"/>
    <x v="21"/>
    <x v="5"/>
    <n v="59.4"/>
    <n v="8"/>
    <n v="1"/>
    <n v="2"/>
    <n v="1"/>
  </r>
  <r>
    <n v="2017"/>
    <x v="5"/>
    <s v="Baptist"/>
    <n v="99911"/>
    <x v="21"/>
    <x v="0"/>
    <n v="84.4"/>
    <n v="8"/>
    <n v="35"/>
    <n v="24"/>
    <n v="25"/>
  </r>
  <r>
    <n v="2017"/>
    <x v="5"/>
    <s v="Baptist"/>
    <n v="99911"/>
    <x v="21"/>
    <x v="4"/>
    <n v="90.6"/>
    <n v="8"/>
    <n v="78"/>
    <n v="64"/>
    <n v="62"/>
  </r>
  <r>
    <n v="2017"/>
    <x v="5"/>
    <s v="Baptist"/>
    <n v="99911"/>
    <x v="21"/>
    <x v="2"/>
    <n v="84.4"/>
    <n v="8"/>
    <n v="29"/>
    <n v="20"/>
    <n v="23"/>
  </r>
  <r>
    <n v="2017"/>
    <x v="5"/>
    <s v="Baptist"/>
    <n v="99911"/>
    <x v="21"/>
    <x v="1"/>
    <n v="78.099999999999994"/>
    <n v="8"/>
    <n v="8"/>
    <n v="5"/>
    <n v="5"/>
  </r>
  <r>
    <n v="2017"/>
    <x v="5"/>
    <s v="Baptist"/>
    <n v="99911"/>
    <x v="21"/>
    <x v="3"/>
    <n v="84.4"/>
    <n v="8"/>
    <n v="46"/>
    <n v="40"/>
    <n v="35"/>
  </r>
  <r>
    <n v="2017"/>
    <x v="5"/>
    <s v="Baptist"/>
    <n v="177162"/>
    <x v="1"/>
    <x v="5"/>
    <n v="69.099999999999994"/>
    <n v="17"/>
    <n v="22"/>
    <n v="6"/>
    <n v="6"/>
  </r>
  <r>
    <n v="2017"/>
    <x v="5"/>
    <s v="Baptist"/>
    <n v="177162"/>
    <x v="1"/>
    <x v="0"/>
    <n v="69.5"/>
    <n v="17"/>
    <n v="1"/>
    <n v="1"/>
    <n v="1"/>
  </r>
  <r>
    <n v="2017"/>
    <x v="5"/>
    <s v="Baptist"/>
    <n v="177162"/>
    <x v="1"/>
    <x v="4"/>
    <n v="73.5"/>
    <n v="17"/>
    <n v="1"/>
    <n v="1"/>
    <n v="1"/>
  </r>
  <r>
    <n v="2017"/>
    <x v="5"/>
    <s v="Baptist"/>
    <n v="177162"/>
    <x v="1"/>
    <x v="2"/>
    <n v="70.599999999999994"/>
    <n v="17"/>
    <n v="1"/>
    <n v="1"/>
    <n v="1"/>
  </r>
  <r>
    <n v="2017"/>
    <x v="5"/>
    <s v="Baptist"/>
    <n v="177162"/>
    <x v="1"/>
    <x v="1"/>
    <n v="66.2"/>
    <n v="17"/>
    <n v="1"/>
    <n v="1"/>
    <n v="1"/>
  </r>
  <r>
    <n v="2017"/>
    <x v="5"/>
    <s v="Baptist"/>
    <n v="177162"/>
    <x v="1"/>
    <x v="3"/>
    <n v="67.7"/>
    <n v="17"/>
    <n v="1"/>
    <n v="1"/>
    <n v="1"/>
  </r>
  <r>
    <n v="2017"/>
    <x v="5"/>
    <s v="Baptist"/>
    <n v="60707"/>
    <x v="30"/>
    <x v="5"/>
    <n v="40.6"/>
    <n v="8"/>
    <n v="1"/>
    <n v="1"/>
    <n v="1"/>
  </r>
  <r>
    <n v="2017"/>
    <x v="5"/>
    <s v="Baptist"/>
    <n v="60707"/>
    <x v="30"/>
    <x v="0"/>
    <n v="66.400000000000006"/>
    <n v="8"/>
    <n v="1"/>
    <n v="1"/>
    <n v="1"/>
  </r>
  <r>
    <n v="2017"/>
    <x v="5"/>
    <s v="Baptist"/>
    <n v="60707"/>
    <x v="30"/>
    <x v="4"/>
    <n v="71.900000000000006"/>
    <n v="8"/>
    <n v="1"/>
    <n v="1"/>
    <n v="1"/>
  </r>
  <r>
    <n v="2017"/>
    <x v="5"/>
    <s v="Baptist"/>
    <n v="60707"/>
    <x v="30"/>
    <x v="2"/>
    <n v="68.8"/>
    <n v="8"/>
    <n v="1"/>
    <n v="1"/>
    <n v="1"/>
  </r>
  <r>
    <n v="2017"/>
    <x v="5"/>
    <s v="Baptist"/>
    <n v="60707"/>
    <x v="30"/>
    <x v="1"/>
    <n v="62.5"/>
    <n v="8"/>
    <n v="1"/>
    <n v="1"/>
    <n v="1"/>
  </r>
  <r>
    <n v="2017"/>
    <x v="5"/>
    <s v="Baptist"/>
    <n v="60707"/>
    <x v="30"/>
    <x v="3"/>
    <n v="62.5"/>
    <n v="8"/>
    <n v="1"/>
    <n v="1"/>
    <n v="1"/>
  </r>
  <r>
    <n v="2017"/>
    <x v="5"/>
    <s v="Baptist"/>
    <n v="58222"/>
    <x v="4"/>
    <x v="5"/>
    <n v="75"/>
    <n v="5"/>
    <n v="47"/>
    <n v="14"/>
    <n v="20"/>
  </r>
  <r>
    <n v="2017"/>
    <x v="5"/>
    <s v="Baptist"/>
    <n v="58222"/>
    <x v="4"/>
    <x v="0"/>
    <n v="80"/>
    <n v="5"/>
    <n v="10"/>
    <n v="4"/>
    <n v="6"/>
  </r>
  <r>
    <n v="2017"/>
    <x v="5"/>
    <s v="Baptist"/>
    <n v="58222"/>
    <x v="4"/>
    <x v="4"/>
    <n v="80"/>
    <n v="5"/>
    <n v="2"/>
    <n v="3"/>
    <n v="2"/>
  </r>
  <r>
    <n v="2017"/>
    <x v="5"/>
    <s v="Baptist"/>
    <n v="58222"/>
    <x v="4"/>
    <x v="2"/>
    <n v="80"/>
    <n v="5"/>
    <n v="8"/>
    <n v="4"/>
    <n v="6"/>
  </r>
  <r>
    <n v="2017"/>
    <x v="5"/>
    <s v="Baptist"/>
    <n v="58222"/>
    <x v="4"/>
    <x v="1"/>
    <n v="80"/>
    <n v="5"/>
    <n v="16"/>
    <n v="11"/>
    <n v="10"/>
  </r>
  <r>
    <n v="2017"/>
    <x v="5"/>
    <s v="Baptist"/>
    <n v="58222"/>
    <x v="4"/>
    <x v="3"/>
    <n v="80"/>
    <n v="5"/>
    <n v="16"/>
    <n v="10"/>
    <n v="11"/>
  </r>
  <r>
    <n v="2017"/>
    <x v="5"/>
    <s v="Baptist"/>
    <n v="89391"/>
    <x v="15"/>
    <x v="5"/>
    <n v="60"/>
    <n v="5"/>
    <n v="1"/>
    <n v="2"/>
    <n v="1"/>
  </r>
  <r>
    <n v="2017"/>
    <x v="5"/>
    <s v="Baptist"/>
    <n v="89391"/>
    <x v="15"/>
    <x v="0"/>
    <n v="73.8"/>
    <n v="5"/>
    <n v="1"/>
    <n v="1"/>
    <n v="1"/>
  </r>
  <r>
    <n v="2017"/>
    <x v="5"/>
    <s v="Baptist"/>
    <n v="89391"/>
    <x v="15"/>
    <x v="4"/>
    <n v="85"/>
    <n v="5"/>
    <n v="19"/>
    <n v="11"/>
    <n v="14"/>
  </r>
  <r>
    <n v="2017"/>
    <x v="5"/>
    <s v="Baptist"/>
    <n v="89391"/>
    <x v="15"/>
    <x v="2"/>
    <n v="75"/>
    <n v="5"/>
    <n v="1"/>
    <n v="1"/>
    <n v="1"/>
  </r>
  <r>
    <n v="2017"/>
    <x v="5"/>
    <s v="Baptist"/>
    <n v="89391"/>
    <x v="15"/>
    <x v="1"/>
    <n v="70"/>
    <n v="5"/>
    <n v="1"/>
    <n v="1"/>
    <n v="1"/>
  </r>
  <r>
    <n v="2017"/>
    <x v="5"/>
    <s v="Baptist"/>
    <n v="89391"/>
    <x v="15"/>
    <x v="3"/>
    <n v="65"/>
    <n v="5"/>
    <n v="1"/>
    <n v="1"/>
    <n v="1"/>
  </r>
  <r>
    <n v="2017"/>
    <x v="5"/>
    <s v="Baptist"/>
    <n v="36541"/>
    <x v="9"/>
    <x v="5"/>
    <n v="80"/>
    <n v="5"/>
    <n v="68"/>
    <n v="32"/>
    <n v="42"/>
  </r>
  <r>
    <n v="2017"/>
    <x v="5"/>
    <s v="Baptist"/>
    <n v="36541"/>
    <x v="9"/>
    <x v="0"/>
    <n v="91.3"/>
    <n v="5"/>
    <n v="99"/>
    <n v="92"/>
    <n v="85"/>
  </r>
  <r>
    <n v="2017"/>
    <x v="5"/>
    <s v="Baptist"/>
    <n v="36541"/>
    <x v="9"/>
    <x v="4"/>
    <n v="95"/>
    <n v="5"/>
    <n v="99"/>
    <n v="99"/>
    <n v="94"/>
  </r>
  <r>
    <n v="2017"/>
    <x v="5"/>
    <s v="Baptist"/>
    <n v="36541"/>
    <x v="9"/>
    <x v="2"/>
    <n v="90"/>
    <n v="5"/>
    <n v="92"/>
    <n v="77"/>
    <n v="74"/>
  </r>
  <r>
    <n v="2017"/>
    <x v="5"/>
    <s v="Baptist"/>
    <n v="36541"/>
    <x v="9"/>
    <x v="1"/>
    <n v="90"/>
    <n v="5"/>
    <n v="98"/>
    <n v="92"/>
    <n v="82"/>
  </r>
  <r>
    <n v="2017"/>
    <x v="5"/>
    <s v="Baptist"/>
    <n v="36541"/>
    <x v="9"/>
    <x v="3"/>
    <n v="90"/>
    <n v="5"/>
    <n v="98"/>
    <n v="86"/>
    <n v="82"/>
  </r>
  <r>
    <n v="2017"/>
    <x v="5"/>
    <s v="Baptist"/>
    <n v="91405"/>
    <x v="27"/>
    <x v="5"/>
    <n v="82.1"/>
    <n v="7"/>
    <n v="80"/>
    <n v="44"/>
    <n v="54"/>
  </r>
  <r>
    <n v="2017"/>
    <x v="5"/>
    <s v="Baptist"/>
    <n v="91405"/>
    <x v="27"/>
    <x v="0"/>
    <n v="79.5"/>
    <n v="7"/>
    <n v="8"/>
    <n v="4"/>
    <n v="5"/>
  </r>
  <r>
    <n v="2017"/>
    <x v="5"/>
    <s v="Baptist"/>
    <n v="91405"/>
    <x v="27"/>
    <x v="4"/>
    <n v="85.7"/>
    <n v="7"/>
    <n v="24"/>
    <n v="16"/>
    <n v="18"/>
  </r>
  <r>
    <n v="2017"/>
    <x v="5"/>
    <s v="Baptist"/>
    <n v="91405"/>
    <x v="27"/>
    <x v="2"/>
    <n v="78.599999999999994"/>
    <n v="7"/>
    <n v="4"/>
    <n v="4"/>
    <n v="4"/>
  </r>
  <r>
    <n v="2017"/>
    <x v="5"/>
    <s v="Baptist"/>
    <n v="91405"/>
    <x v="27"/>
    <x v="1"/>
    <n v="78.599999999999994"/>
    <n v="7"/>
    <n v="10"/>
    <n v="6"/>
    <n v="6"/>
  </r>
  <r>
    <n v="2017"/>
    <x v="5"/>
    <s v="Baptist"/>
    <n v="91405"/>
    <x v="27"/>
    <x v="3"/>
    <n v="75"/>
    <n v="7"/>
    <n v="3"/>
    <n v="3"/>
    <n v="2"/>
  </r>
  <r>
    <n v="2017"/>
    <x v="5"/>
    <s v="Baptist"/>
    <n v="58321"/>
    <x v="28"/>
    <x v="5"/>
    <n v="64.599999999999994"/>
    <n v="12"/>
    <n v="6"/>
    <n v="3"/>
    <n v="2"/>
  </r>
  <r>
    <n v="2017"/>
    <x v="5"/>
    <s v="Baptist"/>
    <n v="58321"/>
    <x v="28"/>
    <x v="0"/>
    <n v="81.8"/>
    <n v="12"/>
    <n v="17"/>
    <n v="13"/>
    <n v="12"/>
  </r>
  <r>
    <n v="2017"/>
    <x v="5"/>
    <s v="Baptist"/>
    <n v="58321"/>
    <x v="28"/>
    <x v="4"/>
    <n v="83.3"/>
    <n v="12"/>
    <n v="11"/>
    <n v="4"/>
    <n v="8"/>
  </r>
  <r>
    <n v="2017"/>
    <x v="5"/>
    <s v="Baptist"/>
    <n v="58321"/>
    <x v="28"/>
    <x v="2"/>
    <n v="81.3"/>
    <n v="12"/>
    <n v="13"/>
    <n v="6"/>
    <n v="9"/>
  </r>
  <r>
    <n v="2017"/>
    <x v="5"/>
    <s v="Baptist"/>
    <n v="58321"/>
    <x v="28"/>
    <x v="1"/>
    <n v="81.3"/>
    <n v="12"/>
    <n v="24"/>
    <n v="15"/>
    <n v="16"/>
  </r>
  <r>
    <n v="2017"/>
    <x v="5"/>
    <s v="Baptist"/>
    <n v="58321"/>
    <x v="28"/>
    <x v="3"/>
    <n v="81.3"/>
    <n v="12"/>
    <n v="24"/>
    <n v="14"/>
    <n v="15"/>
  </r>
  <r>
    <n v="2017"/>
    <x v="5"/>
    <s v="Baptist"/>
    <n v="23994"/>
    <x v="19"/>
    <x v="5"/>
    <n v="55.6"/>
    <n v="9"/>
    <n v="1"/>
    <n v="1"/>
    <n v="1"/>
  </r>
  <r>
    <n v="2017"/>
    <x v="5"/>
    <s v="Baptist"/>
    <n v="23994"/>
    <x v="19"/>
    <x v="0"/>
    <n v="72.900000000000006"/>
    <n v="9"/>
    <n v="1"/>
    <n v="1"/>
    <n v="1"/>
  </r>
  <r>
    <n v="2017"/>
    <x v="5"/>
    <s v="Baptist"/>
    <n v="23994"/>
    <x v="19"/>
    <x v="4"/>
    <n v="83.3"/>
    <n v="9"/>
    <n v="11"/>
    <n v="4"/>
    <n v="8"/>
  </r>
  <r>
    <n v="2017"/>
    <x v="5"/>
    <s v="Baptist"/>
    <n v="23994"/>
    <x v="19"/>
    <x v="2"/>
    <n v="66.7"/>
    <n v="9"/>
    <n v="1"/>
    <n v="1"/>
    <n v="1"/>
  </r>
  <r>
    <n v="2017"/>
    <x v="5"/>
    <s v="Baptist"/>
    <n v="23994"/>
    <x v="19"/>
    <x v="1"/>
    <n v="72.2"/>
    <n v="9"/>
    <n v="1"/>
    <n v="2"/>
    <n v="1"/>
  </r>
  <r>
    <n v="2017"/>
    <x v="5"/>
    <s v="Baptist"/>
    <n v="23994"/>
    <x v="19"/>
    <x v="3"/>
    <n v="69.400000000000006"/>
    <n v="9"/>
    <n v="1"/>
    <n v="1"/>
    <n v="1"/>
  </r>
  <r>
    <n v="2017"/>
    <x v="5"/>
    <s v="Baptist"/>
    <n v="22673"/>
    <x v="5"/>
    <x v="5"/>
    <n v="87.5"/>
    <n v="2"/>
    <n v="99"/>
    <n v="85"/>
    <n v="83"/>
  </r>
  <r>
    <n v="2017"/>
    <x v="5"/>
    <s v="Baptist"/>
    <n v="22673"/>
    <x v="5"/>
    <x v="0"/>
    <n v="93.8"/>
    <n v="3"/>
    <n v="99"/>
    <n v="99"/>
    <n v="95"/>
  </r>
  <r>
    <n v="2017"/>
    <x v="5"/>
    <s v="Baptist"/>
    <n v="22673"/>
    <x v="5"/>
    <x v="4"/>
    <n v="100"/>
    <n v="3"/>
    <n v="99"/>
    <n v="99"/>
    <n v="99"/>
  </r>
  <r>
    <n v="2017"/>
    <x v="5"/>
    <s v="Baptist"/>
    <n v="22673"/>
    <x v="5"/>
    <x v="2"/>
    <n v="91.7"/>
    <n v="3"/>
    <n v="99"/>
    <n v="92"/>
    <n v="86"/>
  </r>
  <r>
    <n v="2017"/>
    <x v="5"/>
    <s v="Baptist"/>
    <n v="22673"/>
    <x v="5"/>
    <x v="1"/>
    <n v="91.7"/>
    <n v="3"/>
    <n v="99"/>
    <n v="98"/>
    <n v="91"/>
  </r>
  <r>
    <n v="2017"/>
    <x v="5"/>
    <s v="Baptist"/>
    <n v="22673"/>
    <x v="5"/>
    <x v="3"/>
    <n v="91.7"/>
    <n v="3"/>
    <n v="99"/>
    <n v="98"/>
    <n v="90"/>
  </r>
  <r>
    <n v="2017"/>
    <x v="5"/>
    <s v="Baptist"/>
    <n v="91397"/>
    <x v="29"/>
    <x v="5"/>
    <n v="93.8"/>
    <n v="4"/>
    <n v="99"/>
    <n v="99"/>
    <n v="97"/>
  </r>
  <r>
    <n v="2017"/>
    <x v="5"/>
    <s v="Baptist"/>
    <n v="91397"/>
    <x v="29"/>
    <x v="0"/>
    <n v="98.4"/>
    <n v="4"/>
    <n v="99"/>
    <n v="99"/>
    <n v="99"/>
  </r>
  <r>
    <n v="2017"/>
    <x v="5"/>
    <s v="Baptist"/>
    <n v="91397"/>
    <x v="29"/>
    <x v="4"/>
    <n v="100"/>
    <n v="4"/>
    <n v="99"/>
    <n v="99"/>
    <n v="99"/>
  </r>
  <r>
    <n v="2017"/>
    <x v="5"/>
    <s v="Baptist"/>
    <n v="91397"/>
    <x v="29"/>
    <x v="2"/>
    <n v="100"/>
    <n v="4"/>
    <n v="99"/>
    <n v="99"/>
    <n v="99"/>
  </r>
  <r>
    <n v="2017"/>
    <x v="5"/>
    <s v="Baptist"/>
    <n v="91397"/>
    <x v="29"/>
    <x v="1"/>
    <n v="100"/>
    <n v="4"/>
    <n v="99"/>
    <n v="99"/>
    <n v="99"/>
  </r>
  <r>
    <n v="2017"/>
    <x v="5"/>
    <s v="Baptist"/>
    <n v="91397"/>
    <x v="29"/>
    <x v="3"/>
    <n v="93.8"/>
    <n v="4"/>
    <n v="99"/>
    <n v="99"/>
    <n v="96"/>
  </r>
  <r>
    <n v="2017"/>
    <x v="5"/>
    <s v="Baptist"/>
    <n v="64022"/>
    <x v="25"/>
    <x v="5"/>
    <n v="75"/>
    <n v="6"/>
    <n v="47"/>
    <n v="14"/>
    <n v="20"/>
  </r>
  <r>
    <n v="2017"/>
    <x v="5"/>
    <s v="Baptist"/>
    <n v="64022"/>
    <x v="25"/>
    <x v="0"/>
    <n v="90.6"/>
    <n v="6"/>
    <n v="97"/>
    <n v="85"/>
    <n v="81"/>
  </r>
  <r>
    <n v="2017"/>
    <x v="5"/>
    <s v="Baptist"/>
    <n v="64022"/>
    <x v="25"/>
    <x v="4"/>
    <n v="91.7"/>
    <n v="6"/>
    <n v="91"/>
    <n v="77"/>
    <n v="73"/>
  </r>
  <r>
    <n v="2017"/>
    <x v="5"/>
    <s v="Baptist"/>
    <n v="64022"/>
    <x v="25"/>
    <x v="2"/>
    <n v="91.7"/>
    <n v="6"/>
    <n v="99"/>
    <n v="92"/>
    <n v="86"/>
  </r>
  <r>
    <n v="2017"/>
    <x v="5"/>
    <s v="Baptist"/>
    <n v="64022"/>
    <x v="25"/>
    <x v="1"/>
    <n v="87.5"/>
    <n v="6"/>
    <n v="87"/>
    <n v="70"/>
    <n v="63"/>
  </r>
  <r>
    <n v="2017"/>
    <x v="5"/>
    <s v="Baptist"/>
    <n v="64022"/>
    <x v="25"/>
    <x v="3"/>
    <n v="91.7"/>
    <n v="6"/>
    <n v="99"/>
    <n v="98"/>
    <n v="90"/>
  </r>
  <r>
    <n v="2017"/>
    <x v="5"/>
    <s v="Baptist"/>
    <n v="88963"/>
    <x v="22"/>
    <x v="5"/>
    <n v="25"/>
    <n v="5"/>
    <n v="1"/>
    <n v="1"/>
    <n v="1"/>
  </r>
  <r>
    <n v="2017"/>
    <x v="5"/>
    <s v="Baptist"/>
    <n v="88963"/>
    <x v="22"/>
    <x v="0"/>
    <n v="77.5"/>
    <n v="5"/>
    <n v="3"/>
    <n v="3"/>
    <n v="3"/>
  </r>
  <r>
    <n v="2017"/>
    <x v="5"/>
    <s v="Baptist"/>
    <n v="88963"/>
    <x v="22"/>
    <x v="4"/>
    <n v="85"/>
    <n v="5"/>
    <n v="19"/>
    <n v="11"/>
    <n v="14"/>
  </r>
  <r>
    <n v="2017"/>
    <x v="5"/>
    <s v="Baptist"/>
    <n v="88963"/>
    <x v="22"/>
    <x v="2"/>
    <n v="75"/>
    <n v="5"/>
    <n v="1"/>
    <n v="1"/>
    <n v="1"/>
  </r>
  <r>
    <n v="2017"/>
    <x v="5"/>
    <s v="Baptist"/>
    <n v="88963"/>
    <x v="22"/>
    <x v="1"/>
    <n v="75"/>
    <n v="5"/>
    <n v="3"/>
    <n v="3"/>
    <n v="2"/>
  </r>
  <r>
    <n v="2017"/>
    <x v="5"/>
    <s v="Baptist"/>
    <n v="88963"/>
    <x v="22"/>
    <x v="3"/>
    <n v="75"/>
    <n v="5"/>
    <n v="3"/>
    <n v="3"/>
    <n v="2"/>
  </r>
  <r>
    <n v="2017"/>
    <x v="5"/>
    <s v="Baptist"/>
    <n v="8888"/>
    <x v="32"/>
    <x v="5"/>
    <n v="61.5"/>
    <n v="13"/>
    <n v="2"/>
    <n v="3"/>
    <n v="1"/>
  </r>
  <r>
    <n v="2017"/>
    <x v="5"/>
    <s v="Baptist"/>
    <n v="8888"/>
    <x v="32"/>
    <x v="0"/>
    <n v="77.099999999999994"/>
    <n v="13"/>
    <n v="3"/>
    <n v="3"/>
    <n v="3"/>
  </r>
  <r>
    <n v="2017"/>
    <x v="5"/>
    <s v="Baptist"/>
    <n v="8888"/>
    <x v="32"/>
    <x v="4"/>
    <n v="78.900000000000006"/>
    <n v="13"/>
    <n v="2"/>
    <n v="2"/>
    <n v="2"/>
  </r>
  <r>
    <n v="2017"/>
    <x v="5"/>
    <s v="Baptist"/>
    <n v="8888"/>
    <x v="32"/>
    <x v="2"/>
    <n v="76.900000000000006"/>
    <n v="13"/>
    <n v="3"/>
    <n v="3"/>
    <n v="2"/>
  </r>
  <r>
    <n v="2017"/>
    <x v="5"/>
    <s v="Baptist"/>
    <n v="8888"/>
    <x v="32"/>
    <x v="1"/>
    <n v="76.900000000000006"/>
    <n v="13"/>
    <n v="4"/>
    <n v="5"/>
    <n v="4"/>
  </r>
  <r>
    <n v="2017"/>
    <x v="5"/>
    <s v="Baptist"/>
    <n v="8888"/>
    <x v="32"/>
    <x v="3"/>
    <n v="81.3"/>
    <n v="12"/>
    <n v="24"/>
    <n v="14"/>
    <n v="15"/>
  </r>
  <r>
    <n v="2017"/>
    <x v="6"/>
    <s v="Baptist"/>
    <n v="117671"/>
    <x v="13"/>
    <x v="5"/>
    <n v="100"/>
    <n v="1"/>
    <n v="99"/>
    <n v="99"/>
    <n v="99"/>
  </r>
  <r>
    <n v="2017"/>
    <x v="6"/>
    <s v="Baptist"/>
    <n v="117671"/>
    <x v="13"/>
    <x v="0"/>
    <n v="100"/>
    <n v="1"/>
    <n v="99"/>
    <n v="99"/>
    <n v="99"/>
  </r>
  <r>
    <n v="2017"/>
    <x v="6"/>
    <s v="Baptist"/>
    <n v="117671"/>
    <x v="13"/>
    <x v="4"/>
    <n v="100"/>
    <n v="1"/>
    <n v="99"/>
    <n v="99"/>
    <n v="99"/>
  </r>
  <r>
    <n v="2017"/>
    <x v="6"/>
    <s v="Baptist"/>
    <n v="117671"/>
    <x v="13"/>
    <x v="2"/>
    <n v="100"/>
    <n v="1"/>
    <n v="99"/>
    <n v="99"/>
    <n v="99"/>
  </r>
  <r>
    <n v="2017"/>
    <x v="6"/>
    <s v="Baptist"/>
    <n v="117671"/>
    <x v="13"/>
    <x v="1"/>
    <n v="100"/>
    <n v="1"/>
    <n v="99"/>
    <n v="99"/>
    <n v="99"/>
  </r>
  <r>
    <n v="2017"/>
    <x v="6"/>
    <s v="Baptist"/>
    <n v="117671"/>
    <x v="13"/>
    <x v="3"/>
    <n v="100"/>
    <n v="1"/>
    <n v="99"/>
    <n v="99"/>
    <n v="99"/>
  </r>
  <r>
    <n v="2017"/>
    <x v="6"/>
    <s v="Baptist"/>
    <n v="104133"/>
    <x v="8"/>
    <x v="5"/>
    <n v="87.5"/>
    <n v="6"/>
    <n v="99"/>
    <n v="91"/>
    <n v="83"/>
  </r>
  <r>
    <n v="2017"/>
    <x v="6"/>
    <s v="Baptist"/>
    <n v="104133"/>
    <x v="8"/>
    <x v="0"/>
    <n v="90.6"/>
    <n v="6"/>
    <n v="99"/>
    <n v="89"/>
    <n v="81"/>
  </r>
  <r>
    <n v="2017"/>
    <x v="6"/>
    <s v="Baptist"/>
    <n v="104133"/>
    <x v="8"/>
    <x v="4"/>
    <n v="91.7"/>
    <n v="6"/>
    <n v="93"/>
    <n v="79"/>
    <n v="74"/>
  </r>
  <r>
    <n v="2017"/>
    <x v="6"/>
    <s v="Baptist"/>
    <n v="104133"/>
    <x v="8"/>
    <x v="2"/>
    <n v="87.5"/>
    <n v="6"/>
    <n v="66"/>
    <n v="56"/>
    <n v="50"/>
  </r>
  <r>
    <n v="2017"/>
    <x v="6"/>
    <s v="Baptist"/>
    <n v="104133"/>
    <x v="8"/>
    <x v="1"/>
    <n v="91.7"/>
    <n v="6"/>
    <n v="99"/>
    <n v="99"/>
    <n v="90"/>
  </r>
  <r>
    <n v="2017"/>
    <x v="6"/>
    <s v="Baptist"/>
    <n v="104133"/>
    <x v="8"/>
    <x v="3"/>
    <n v="91.7"/>
    <n v="6"/>
    <n v="99"/>
    <n v="98"/>
    <n v="90"/>
  </r>
  <r>
    <n v="2017"/>
    <x v="6"/>
    <s v="Baptist"/>
    <n v="114603"/>
    <x v="24"/>
    <x v="5"/>
    <n v="70.5"/>
    <n v="11"/>
    <n v="27"/>
    <n v="8"/>
    <n v="9"/>
  </r>
  <r>
    <n v="2017"/>
    <x v="6"/>
    <s v="Baptist"/>
    <n v="114603"/>
    <x v="24"/>
    <x v="0"/>
    <n v="89.6"/>
    <n v="12"/>
    <n v="94"/>
    <n v="79"/>
    <n v="73"/>
  </r>
  <r>
    <n v="2017"/>
    <x v="6"/>
    <s v="Baptist"/>
    <n v="114603"/>
    <x v="24"/>
    <x v="4"/>
    <n v="91.7"/>
    <n v="12"/>
    <n v="93"/>
    <n v="79"/>
    <n v="74"/>
  </r>
  <r>
    <n v="2017"/>
    <x v="6"/>
    <s v="Baptist"/>
    <n v="114603"/>
    <x v="24"/>
    <x v="2"/>
    <n v="91.7"/>
    <n v="12"/>
    <n v="99"/>
    <n v="95"/>
    <n v="86"/>
  </r>
  <r>
    <n v="2017"/>
    <x v="6"/>
    <s v="Baptist"/>
    <n v="114603"/>
    <x v="24"/>
    <x v="1"/>
    <n v="85.4"/>
    <n v="12"/>
    <n v="61"/>
    <n v="51"/>
    <n v="44"/>
  </r>
  <r>
    <n v="2017"/>
    <x v="6"/>
    <s v="Baptist"/>
    <n v="114603"/>
    <x v="24"/>
    <x v="3"/>
    <n v="89.6"/>
    <n v="12"/>
    <n v="98"/>
    <n v="86"/>
    <n v="79"/>
  </r>
  <r>
    <n v="2017"/>
    <x v="6"/>
    <s v="Baptist"/>
    <n v="101071"/>
    <x v="31"/>
    <x v="5"/>
    <n v="75"/>
    <n v="3"/>
    <n v="46"/>
    <n v="15"/>
    <n v="20"/>
  </r>
  <r>
    <n v="2017"/>
    <x v="6"/>
    <s v="Baptist"/>
    <n v="101071"/>
    <x v="31"/>
    <x v="0"/>
    <n v="98.4"/>
    <n v="4"/>
    <n v="99"/>
    <n v="99"/>
    <n v="99"/>
  </r>
  <r>
    <n v="2017"/>
    <x v="6"/>
    <s v="Baptist"/>
    <n v="101071"/>
    <x v="31"/>
    <x v="4"/>
    <n v="100"/>
    <n v="4"/>
    <n v="99"/>
    <n v="99"/>
    <n v="99"/>
  </r>
  <r>
    <n v="2017"/>
    <x v="6"/>
    <s v="Baptist"/>
    <n v="101071"/>
    <x v="31"/>
    <x v="2"/>
    <n v="93.8"/>
    <n v="4"/>
    <n v="99"/>
    <n v="99"/>
    <n v="94"/>
  </r>
  <r>
    <n v="2017"/>
    <x v="6"/>
    <s v="Baptist"/>
    <n v="101071"/>
    <x v="31"/>
    <x v="1"/>
    <n v="100"/>
    <n v="4"/>
    <n v="99"/>
    <n v="99"/>
    <n v="99"/>
  </r>
  <r>
    <n v="2017"/>
    <x v="6"/>
    <s v="Baptist"/>
    <n v="101071"/>
    <x v="31"/>
    <x v="3"/>
    <n v="100"/>
    <n v="4"/>
    <n v="99"/>
    <n v="99"/>
    <n v="99"/>
  </r>
  <r>
    <n v="2017"/>
    <x v="6"/>
    <s v="Baptist"/>
    <n v="110569"/>
    <x v="6"/>
    <x v="5"/>
    <n v="83.3"/>
    <n v="12"/>
    <n v="89"/>
    <n v="59"/>
    <n v="61"/>
  </r>
  <r>
    <n v="2017"/>
    <x v="6"/>
    <s v="Baptist"/>
    <n v="110569"/>
    <x v="6"/>
    <x v="0"/>
    <n v="98.3"/>
    <n v="11"/>
    <n v="99"/>
    <n v="99"/>
    <n v="99"/>
  </r>
  <r>
    <n v="2017"/>
    <x v="6"/>
    <s v="Baptist"/>
    <n v="110569"/>
    <x v="6"/>
    <x v="4"/>
    <n v="100"/>
    <n v="11"/>
    <n v="99"/>
    <n v="99"/>
    <n v="99"/>
  </r>
  <r>
    <n v="2017"/>
    <x v="6"/>
    <s v="Baptist"/>
    <n v="110569"/>
    <x v="6"/>
    <x v="2"/>
    <n v="97.5"/>
    <n v="10"/>
    <n v="99"/>
    <n v="99"/>
    <n v="99"/>
  </r>
  <r>
    <n v="2017"/>
    <x v="6"/>
    <s v="Baptist"/>
    <n v="110569"/>
    <x v="6"/>
    <x v="1"/>
    <n v="100"/>
    <n v="11"/>
    <n v="99"/>
    <n v="99"/>
    <n v="99"/>
  </r>
  <r>
    <n v="2017"/>
    <x v="6"/>
    <s v="Baptist"/>
    <n v="110569"/>
    <x v="6"/>
    <x v="3"/>
    <n v="95.5"/>
    <n v="11"/>
    <n v="99"/>
    <n v="99"/>
    <n v="98"/>
  </r>
  <r>
    <n v="2017"/>
    <x v="6"/>
    <s v="Baptist"/>
    <n v="117465"/>
    <x v="11"/>
    <x v="5"/>
    <n v="82.5"/>
    <n v="10"/>
    <n v="85"/>
    <n v="55"/>
    <n v="57"/>
  </r>
  <r>
    <n v="2017"/>
    <x v="6"/>
    <s v="Baptist"/>
    <n v="117465"/>
    <x v="11"/>
    <x v="0"/>
    <n v="82.6"/>
    <n v="9"/>
    <n v="20"/>
    <n v="13"/>
    <n v="15"/>
  </r>
  <r>
    <n v="2017"/>
    <x v="6"/>
    <s v="Baptist"/>
    <n v="117465"/>
    <x v="11"/>
    <x v="4"/>
    <n v="86.1"/>
    <n v="9"/>
    <n v="24"/>
    <n v="16"/>
    <n v="19"/>
  </r>
  <r>
    <n v="2017"/>
    <x v="6"/>
    <s v="Baptist"/>
    <n v="117465"/>
    <x v="11"/>
    <x v="2"/>
    <n v="80.599999999999994"/>
    <n v="9"/>
    <n v="7"/>
    <n v="4"/>
    <n v="7"/>
  </r>
  <r>
    <n v="2017"/>
    <x v="6"/>
    <s v="Baptist"/>
    <n v="117465"/>
    <x v="11"/>
    <x v="1"/>
    <n v="83.3"/>
    <n v="9"/>
    <n v="41"/>
    <n v="28"/>
    <n v="27"/>
  </r>
  <r>
    <n v="2017"/>
    <x v="6"/>
    <s v="Baptist"/>
    <n v="117465"/>
    <x v="11"/>
    <x v="3"/>
    <n v="80.599999999999994"/>
    <n v="9"/>
    <n v="19"/>
    <n v="13"/>
    <n v="13"/>
  </r>
  <r>
    <n v="2017"/>
    <x v="6"/>
    <s v="Baptist"/>
    <n v="121681"/>
    <x v="17"/>
    <x v="5"/>
    <n v="50"/>
    <n v="1"/>
    <n v="1"/>
    <n v="1"/>
    <n v="1"/>
  </r>
  <r>
    <n v="2017"/>
    <x v="6"/>
    <s v="Baptist"/>
    <n v="121681"/>
    <x v="17"/>
    <x v="0"/>
    <n v="75"/>
    <n v="1"/>
    <n v="2"/>
    <n v="2"/>
    <n v="1"/>
  </r>
  <r>
    <n v="2017"/>
    <x v="6"/>
    <s v="Baptist"/>
    <n v="121681"/>
    <x v="17"/>
    <x v="4"/>
    <n v="75"/>
    <n v="1"/>
    <n v="1"/>
    <n v="1"/>
    <n v="1"/>
  </r>
  <r>
    <n v="2017"/>
    <x v="6"/>
    <s v="Baptist"/>
    <n v="121681"/>
    <x v="17"/>
    <x v="2"/>
    <n v="75"/>
    <n v="1"/>
    <n v="1"/>
    <n v="1"/>
    <n v="1"/>
  </r>
  <r>
    <n v="2017"/>
    <x v="6"/>
    <s v="Baptist"/>
    <n v="121681"/>
    <x v="17"/>
    <x v="1"/>
    <n v="75"/>
    <n v="1"/>
    <n v="3"/>
    <n v="2"/>
    <n v="2"/>
  </r>
  <r>
    <n v="2017"/>
    <x v="6"/>
    <s v="Baptist"/>
    <n v="121681"/>
    <x v="17"/>
    <x v="3"/>
    <n v="75"/>
    <n v="1"/>
    <n v="3"/>
    <n v="2"/>
    <n v="2"/>
  </r>
  <r>
    <n v="2017"/>
    <x v="6"/>
    <s v="Baptist"/>
    <n v="103275"/>
    <x v="14"/>
    <x v="5"/>
    <n v="54.2"/>
    <n v="6"/>
    <n v="1"/>
    <n v="1"/>
    <n v="1"/>
  </r>
  <r>
    <n v="2017"/>
    <x v="6"/>
    <s v="Baptist"/>
    <n v="103275"/>
    <x v="14"/>
    <x v="0"/>
    <n v="62.5"/>
    <n v="6"/>
    <n v="1"/>
    <n v="1"/>
    <n v="1"/>
  </r>
  <r>
    <n v="2017"/>
    <x v="6"/>
    <s v="Baptist"/>
    <n v="103275"/>
    <x v="14"/>
    <x v="4"/>
    <n v="75"/>
    <n v="6"/>
    <n v="1"/>
    <n v="1"/>
    <n v="1"/>
  </r>
  <r>
    <n v="2017"/>
    <x v="6"/>
    <s v="Baptist"/>
    <n v="103275"/>
    <x v="14"/>
    <x v="2"/>
    <n v="62.5"/>
    <n v="6"/>
    <n v="1"/>
    <n v="1"/>
    <n v="1"/>
  </r>
  <r>
    <n v="2017"/>
    <x v="6"/>
    <s v="Baptist"/>
    <n v="103275"/>
    <x v="14"/>
    <x v="1"/>
    <n v="58.3"/>
    <n v="6"/>
    <n v="1"/>
    <n v="1"/>
    <n v="1"/>
  </r>
  <r>
    <n v="2017"/>
    <x v="6"/>
    <s v="Baptist"/>
    <n v="103275"/>
    <x v="14"/>
    <x v="3"/>
    <n v="54.2"/>
    <n v="6"/>
    <n v="1"/>
    <n v="1"/>
    <n v="1"/>
  </r>
  <r>
    <n v="2017"/>
    <x v="6"/>
    <s v="Baptist"/>
    <n v="150441"/>
    <x v="18"/>
    <x v="5"/>
    <n v="75"/>
    <n v="8"/>
    <n v="46"/>
    <n v="15"/>
    <n v="20"/>
  </r>
  <r>
    <n v="2017"/>
    <x v="6"/>
    <s v="Baptist"/>
    <n v="150441"/>
    <x v="18"/>
    <x v="0"/>
    <n v="99.2"/>
    <n v="8"/>
    <n v="99"/>
    <n v="99"/>
    <n v="99"/>
  </r>
  <r>
    <n v="2017"/>
    <x v="6"/>
    <s v="Baptist"/>
    <n v="150441"/>
    <x v="18"/>
    <x v="4"/>
    <n v="100"/>
    <n v="8"/>
    <n v="99"/>
    <n v="99"/>
    <n v="99"/>
  </r>
  <r>
    <n v="2017"/>
    <x v="6"/>
    <s v="Baptist"/>
    <n v="150441"/>
    <x v="18"/>
    <x v="2"/>
    <n v="100"/>
    <n v="8"/>
    <n v="99"/>
    <n v="99"/>
    <n v="99"/>
  </r>
  <r>
    <n v="2017"/>
    <x v="6"/>
    <s v="Baptist"/>
    <n v="150441"/>
    <x v="18"/>
    <x v="1"/>
    <n v="100"/>
    <n v="8"/>
    <n v="99"/>
    <n v="99"/>
    <n v="99"/>
  </r>
  <r>
    <n v="2017"/>
    <x v="6"/>
    <s v="Baptist"/>
    <n v="150441"/>
    <x v="18"/>
    <x v="3"/>
    <n v="96.9"/>
    <n v="8"/>
    <n v="99"/>
    <n v="99"/>
    <n v="99"/>
  </r>
  <r>
    <n v="2017"/>
    <x v="6"/>
    <s v="Baptist"/>
    <n v="152587"/>
    <x v="16"/>
    <x v="5"/>
    <n v="42.9"/>
    <n v="7"/>
    <n v="1"/>
    <n v="1"/>
    <n v="1"/>
  </r>
  <r>
    <n v="2017"/>
    <x v="6"/>
    <s v="Baptist"/>
    <n v="152587"/>
    <x v="16"/>
    <x v="0"/>
    <n v="62.5"/>
    <n v="6"/>
    <n v="1"/>
    <n v="1"/>
    <n v="1"/>
  </r>
  <r>
    <n v="2017"/>
    <x v="6"/>
    <s v="Baptist"/>
    <n v="152587"/>
    <x v="16"/>
    <x v="4"/>
    <n v="70.8"/>
    <n v="6"/>
    <n v="1"/>
    <n v="1"/>
    <n v="1"/>
  </r>
  <r>
    <n v="2017"/>
    <x v="6"/>
    <s v="Baptist"/>
    <n v="152587"/>
    <x v="16"/>
    <x v="2"/>
    <n v="62.5"/>
    <n v="6"/>
    <n v="1"/>
    <n v="1"/>
    <n v="1"/>
  </r>
  <r>
    <n v="2017"/>
    <x v="6"/>
    <s v="Baptist"/>
    <n v="152587"/>
    <x v="16"/>
    <x v="1"/>
    <n v="58.3"/>
    <n v="6"/>
    <n v="1"/>
    <n v="1"/>
    <n v="1"/>
  </r>
  <r>
    <n v="2017"/>
    <x v="6"/>
    <s v="Baptist"/>
    <n v="152587"/>
    <x v="16"/>
    <x v="3"/>
    <n v="58.3"/>
    <n v="6"/>
    <n v="1"/>
    <n v="1"/>
    <n v="1"/>
  </r>
  <r>
    <n v="2017"/>
    <x v="6"/>
    <s v="Baptist"/>
    <n v="149344"/>
    <x v="23"/>
    <x v="5"/>
    <n v="50"/>
    <n v="7"/>
    <n v="1"/>
    <n v="1"/>
    <n v="1"/>
  </r>
  <r>
    <n v="2017"/>
    <x v="6"/>
    <s v="Baptist"/>
    <n v="149344"/>
    <x v="23"/>
    <x v="0"/>
    <n v="70.5"/>
    <n v="7"/>
    <n v="1"/>
    <n v="1"/>
    <n v="1"/>
  </r>
  <r>
    <n v="2017"/>
    <x v="6"/>
    <s v="Baptist"/>
    <n v="149344"/>
    <x v="23"/>
    <x v="4"/>
    <n v="71.400000000000006"/>
    <n v="7"/>
    <n v="1"/>
    <n v="1"/>
    <n v="1"/>
  </r>
  <r>
    <n v="2017"/>
    <x v="6"/>
    <s v="Baptist"/>
    <n v="149344"/>
    <x v="23"/>
    <x v="2"/>
    <n v="67.900000000000006"/>
    <n v="7"/>
    <n v="1"/>
    <n v="1"/>
    <n v="1"/>
  </r>
  <r>
    <n v="2017"/>
    <x v="6"/>
    <s v="Baptist"/>
    <n v="149344"/>
    <x v="23"/>
    <x v="1"/>
    <n v="71.400000000000006"/>
    <n v="7"/>
    <n v="1"/>
    <n v="2"/>
    <n v="1"/>
  </r>
  <r>
    <n v="2017"/>
    <x v="6"/>
    <s v="Baptist"/>
    <n v="149344"/>
    <x v="23"/>
    <x v="3"/>
    <n v="71.400000000000006"/>
    <n v="7"/>
    <n v="1"/>
    <n v="1"/>
    <n v="1"/>
  </r>
  <r>
    <n v="2017"/>
    <x v="6"/>
    <s v="Baptist"/>
    <n v="117440"/>
    <x v="20"/>
    <x v="5"/>
    <n v="58.3"/>
    <n v="6"/>
    <n v="1"/>
    <n v="2"/>
    <n v="1"/>
  </r>
  <r>
    <n v="2017"/>
    <x v="6"/>
    <s v="Baptist"/>
    <n v="117440"/>
    <x v="20"/>
    <x v="0"/>
    <n v="86.5"/>
    <n v="6"/>
    <n v="57"/>
    <n v="47"/>
    <n v="43"/>
  </r>
  <r>
    <n v="2017"/>
    <x v="6"/>
    <s v="Baptist"/>
    <n v="117440"/>
    <x v="20"/>
    <x v="4"/>
    <n v="87.5"/>
    <n v="6"/>
    <n v="37"/>
    <n v="29"/>
    <n v="29"/>
  </r>
  <r>
    <n v="2017"/>
    <x v="6"/>
    <s v="Baptist"/>
    <n v="117440"/>
    <x v="20"/>
    <x v="2"/>
    <n v="87.5"/>
    <n v="6"/>
    <n v="66"/>
    <n v="56"/>
    <n v="50"/>
  </r>
  <r>
    <n v="2017"/>
    <x v="6"/>
    <s v="Baptist"/>
    <n v="117440"/>
    <x v="20"/>
    <x v="1"/>
    <n v="83.3"/>
    <n v="6"/>
    <n v="41"/>
    <n v="28"/>
    <n v="27"/>
  </r>
  <r>
    <n v="2017"/>
    <x v="6"/>
    <s v="Baptist"/>
    <n v="117440"/>
    <x v="20"/>
    <x v="3"/>
    <n v="87.5"/>
    <n v="6"/>
    <n v="88"/>
    <n v="68"/>
    <n v="63"/>
  </r>
  <r>
    <n v="2017"/>
    <x v="6"/>
    <s v="Baptist"/>
    <n v="153700"/>
    <x v="26"/>
    <x v="5"/>
    <n v="75"/>
    <n v="2"/>
    <n v="46"/>
    <n v="15"/>
    <n v="20"/>
  </r>
  <r>
    <n v="2017"/>
    <x v="6"/>
    <s v="Baptist"/>
    <n v="153700"/>
    <x v="26"/>
    <x v="0"/>
    <n v="78.099999999999994"/>
    <n v="2"/>
    <n v="3"/>
    <n v="3"/>
    <n v="3"/>
  </r>
  <r>
    <n v="2017"/>
    <x v="6"/>
    <s v="Baptist"/>
    <n v="153700"/>
    <x v="26"/>
    <x v="4"/>
    <n v="87.5"/>
    <n v="2"/>
    <n v="37"/>
    <n v="29"/>
    <n v="29"/>
  </r>
  <r>
    <n v="2017"/>
    <x v="6"/>
    <s v="Baptist"/>
    <n v="153700"/>
    <x v="26"/>
    <x v="2"/>
    <n v="75"/>
    <n v="2"/>
    <n v="1"/>
    <n v="1"/>
    <n v="1"/>
  </r>
  <r>
    <n v="2017"/>
    <x v="6"/>
    <s v="Baptist"/>
    <n v="153700"/>
    <x v="26"/>
    <x v="1"/>
    <n v="75"/>
    <n v="2"/>
    <n v="3"/>
    <n v="2"/>
    <n v="2"/>
  </r>
  <r>
    <n v="2017"/>
    <x v="6"/>
    <s v="Baptist"/>
    <n v="153700"/>
    <x v="26"/>
    <x v="3"/>
    <n v="75"/>
    <n v="2"/>
    <n v="3"/>
    <n v="2"/>
    <n v="2"/>
  </r>
  <r>
    <n v="2017"/>
    <x v="6"/>
    <s v="Baptist"/>
    <n v="59899"/>
    <x v="10"/>
    <x v="5"/>
    <n v="62.5"/>
    <n v="6"/>
    <n v="3"/>
    <n v="3"/>
    <n v="1"/>
  </r>
  <r>
    <n v="2017"/>
    <x v="6"/>
    <s v="Baptist"/>
    <n v="59899"/>
    <x v="10"/>
    <x v="0"/>
    <n v="79.2"/>
    <n v="6"/>
    <n v="4"/>
    <n v="4"/>
    <n v="5"/>
  </r>
  <r>
    <n v="2017"/>
    <x v="6"/>
    <s v="Baptist"/>
    <n v="59899"/>
    <x v="10"/>
    <x v="4"/>
    <n v="83.3"/>
    <n v="6"/>
    <n v="8"/>
    <n v="5"/>
    <n v="7"/>
  </r>
  <r>
    <n v="2017"/>
    <x v="6"/>
    <s v="Baptist"/>
    <n v="59899"/>
    <x v="10"/>
    <x v="2"/>
    <n v="83.3"/>
    <n v="6"/>
    <n v="22"/>
    <n v="16"/>
    <n v="17"/>
  </r>
  <r>
    <n v="2017"/>
    <x v="6"/>
    <s v="Baptist"/>
    <n v="59899"/>
    <x v="10"/>
    <x v="1"/>
    <n v="66.7"/>
    <n v="6"/>
    <n v="1"/>
    <n v="1"/>
    <n v="1"/>
  </r>
  <r>
    <n v="2017"/>
    <x v="6"/>
    <s v="Baptist"/>
    <n v="59899"/>
    <x v="10"/>
    <x v="3"/>
    <n v="83.3"/>
    <n v="6"/>
    <n v="36"/>
    <n v="28"/>
    <n v="26"/>
  </r>
  <r>
    <n v="2017"/>
    <x v="6"/>
    <s v="Baptist"/>
    <n v="99093"/>
    <x v="2"/>
    <x v="5"/>
    <n v="90.6"/>
    <n v="8"/>
    <n v="99"/>
    <n v="99"/>
    <n v="92"/>
  </r>
  <r>
    <n v="2017"/>
    <x v="6"/>
    <s v="Baptist"/>
    <n v="99093"/>
    <x v="2"/>
    <x v="0"/>
    <n v="87.5"/>
    <n v="8"/>
    <n v="71"/>
    <n v="57"/>
    <n v="53"/>
  </r>
  <r>
    <n v="2017"/>
    <x v="6"/>
    <s v="Baptist"/>
    <n v="99093"/>
    <x v="2"/>
    <x v="4"/>
    <n v="87.5"/>
    <n v="8"/>
    <n v="37"/>
    <n v="29"/>
    <n v="29"/>
  </r>
  <r>
    <n v="2017"/>
    <x v="6"/>
    <s v="Baptist"/>
    <n v="99093"/>
    <x v="2"/>
    <x v="2"/>
    <n v="87.5"/>
    <n v="8"/>
    <n v="66"/>
    <n v="56"/>
    <n v="50"/>
  </r>
  <r>
    <n v="2017"/>
    <x v="6"/>
    <s v="Baptist"/>
    <n v="99093"/>
    <x v="2"/>
    <x v="1"/>
    <n v="87.5"/>
    <n v="8"/>
    <n v="89"/>
    <n v="69"/>
    <n v="63"/>
  </r>
  <r>
    <n v="2017"/>
    <x v="6"/>
    <s v="Baptist"/>
    <n v="99093"/>
    <x v="2"/>
    <x v="3"/>
    <n v="87.5"/>
    <n v="8"/>
    <n v="88"/>
    <n v="68"/>
    <n v="63"/>
  </r>
  <r>
    <n v="2017"/>
    <x v="6"/>
    <s v="Baptist"/>
    <n v="70375"/>
    <x v="12"/>
    <x v="5"/>
    <n v="84.4"/>
    <n v="8"/>
    <n v="96"/>
    <n v="66"/>
    <n v="67"/>
  </r>
  <r>
    <n v="2017"/>
    <x v="6"/>
    <s v="Baptist"/>
    <n v="70375"/>
    <x v="12"/>
    <x v="0"/>
    <n v="93.8"/>
    <n v="8"/>
    <n v="99"/>
    <n v="99"/>
    <n v="95"/>
  </r>
  <r>
    <n v="2017"/>
    <x v="6"/>
    <s v="Baptist"/>
    <n v="70375"/>
    <x v="12"/>
    <x v="4"/>
    <n v="96.9"/>
    <n v="8"/>
    <n v="99"/>
    <n v="99"/>
    <n v="98"/>
  </r>
  <r>
    <n v="2017"/>
    <x v="6"/>
    <s v="Baptist"/>
    <n v="70375"/>
    <x v="12"/>
    <x v="2"/>
    <n v="93.8"/>
    <n v="8"/>
    <n v="99"/>
    <n v="99"/>
    <n v="94"/>
  </r>
  <r>
    <n v="2017"/>
    <x v="6"/>
    <s v="Baptist"/>
    <n v="70375"/>
    <x v="12"/>
    <x v="1"/>
    <n v="90.6"/>
    <n v="8"/>
    <n v="99"/>
    <n v="94"/>
    <n v="86"/>
  </r>
  <r>
    <n v="2017"/>
    <x v="6"/>
    <s v="Baptist"/>
    <n v="70375"/>
    <x v="12"/>
    <x v="3"/>
    <n v="93.8"/>
    <n v="8"/>
    <n v="99"/>
    <n v="99"/>
    <n v="96"/>
  </r>
  <r>
    <n v="2017"/>
    <x v="6"/>
    <s v="Baptist"/>
    <n v="70359"/>
    <x v="7"/>
    <x v="5"/>
    <n v="55.6"/>
    <n v="9"/>
    <n v="1"/>
    <n v="1"/>
    <n v="1"/>
  </r>
  <r>
    <n v="2017"/>
    <x v="6"/>
    <s v="Baptist"/>
    <n v="70359"/>
    <x v="7"/>
    <x v="0"/>
    <n v="68.099999999999994"/>
    <n v="9"/>
    <n v="1"/>
    <n v="1"/>
    <n v="1"/>
  </r>
  <r>
    <n v="2017"/>
    <x v="6"/>
    <s v="Baptist"/>
    <n v="70359"/>
    <x v="7"/>
    <x v="4"/>
    <n v="69.400000000000006"/>
    <n v="9"/>
    <n v="1"/>
    <n v="1"/>
    <n v="1"/>
  </r>
  <r>
    <n v="2017"/>
    <x v="6"/>
    <s v="Baptist"/>
    <n v="70359"/>
    <x v="7"/>
    <x v="2"/>
    <n v="75"/>
    <n v="9"/>
    <n v="1"/>
    <n v="1"/>
    <n v="1"/>
  </r>
  <r>
    <n v="2017"/>
    <x v="6"/>
    <s v="Baptist"/>
    <n v="70359"/>
    <x v="7"/>
    <x v="1"/>
    <n v="66.7"/>
    <n v="9"/>
    <n v="1"/>
    <n v="1"/>
    <n v="1"/>
  </r>
  <r>
    <n v="2017"/>
    <x v="6"/>
    <s v="Baptist"/>
    <n v="70359"/>
    <x v="7"/>
    <x v="3"/>
    <n v="61.1"/>
    <n v="9"/>
    <n v="1"/>
    <n v="1"/>
    <n v="1"/>
  </r>
  <r>
    <n v="2017"/>
    <x v="6"/>
    <s v="Baptist"/>
    <n v="99911"/>
    <x v="21"/>
    <x v="5"/>
    <n v="43.8"/>
    <n v="4"/>
    <n v="1"/>
    <n v="1"/>
    <n v="1"/>
  </r>
  <r>
    <n v="2017"/>
    <x v="6"/>
    <s v="Baptist"/>
    <n v="99911"/>
    <x v="21"/>
    <x v="0"/>
    <n v="71.900000000000006"/>
    <n v="4"/>
    <n v="1"/>
    <n v="1"/>
    <n v="1"/>
  </r>
  <r>
    <n v="2017"/>
    <x v="6"/>
    <s v="Baptist"/>
    <n v="99911"/>
    <x v="21"/>
    <x v="4"/>
    <n v="75"/>
    <n v="4"/>
    <n v="1"/>
    <n v="1"/>
    <n v="1"/>
  </r>
  <r>
    <n v="2017"/>
    <x v="6"/>
    <s v="Baptist"/>
    <n v="99911"/>
    <x v="21"/>
    <x v="2"/>
    <n v="75"/>
    <n v="4"/>
    <n v="1"/>
    <n v="1"/>
    <n v="1"/>
  </r>
  <r>
    <n v="2017"/>
    <x v="6"/>
    <s v="Baptist"/>
    <n v="99911"/>
    <x v="21"/>
    <x v="1"/>
    <n v="68.8"/>
    <n v="4"/>
    <n v="1"/>
    <n v="1"/>
    <n v="1"/>
  </r>
  <r>
    <n v="2017"/>
    <x v="6"/>
    <s v="Baptist"/>
    <n v="99911"/>
    <x v="21"/>
    <x v="3"/>
    <n v="68.8"/>
    <n v="4"/>
    <n v="1"/>
    <n v="1"/>
    <n v="1"/>
  </r>
  <r>
    <n v="2017"/>
    <x v="6"/>
    <s v="Baptist"/>
    <n v="177162"/>
    <x v="1"/>
    <x v="5"/>
    <n v="90.9"/>
    <n v="11"/>
    <n v="99"/>
    <n v="99"/>
    <n v="93"/>
  </r>
  <r>
    <n v="2017"/>
    <x v="6"/>
    <s v="Baptist"/>
    <n v="177162"/>
    <x v="1"/>
    <x v="0"/>
    <n v="95.5"/>
    <n v="11"/>
    <n v="99"/>
    <n v="99"/>
    <n v="98"/>
  </r>
  <r>
    <n v="2017"/>
    <x v="6"/>
    <s v="Baptist"/>
    <n v="177162"/>
    <x v="1"/>
    <x v="4"/>
    <n v="97.7"/>
    <n v="11"/>
    <n v="99"/>
    <n v="99"/>
    <n v="99"/>
  </r>
  <r>
    <n v="2017"/>
    <x v="6"/>
    <s v="Baptist"/>
    <n v="177162"/>
    <x v="1"/>
    <x v="2"/>
    <n v="95.5"/>
    <n v="11"/>
    <n v="99"/>
    <n v="99"/>
    <n v="98"/>
  </r>
  <r>
    <n v="2017"/>
    <x v="6"/>
    <s v="Baptist"/>
    <n v="177162"/>
    <x v="1"/>
    <x v="1"/>
    <n v="92.5"/>
    <n v="10"/>
    <n v="99"/>
    <n v="99"/>
    <n v="93"/>
  </r>
  <r>
    <n v="2017"/>
    <x v="6"/>
    <s v="Baptist"/>
    <n v="177162"/>
    <x v="1"/>
    <x v="3"/>
    <n v="95.5"/>
    <n v="11"/>
    <n v="99"/>
    <n v="99"/>
    <n v="98"/>
  </r>
  <r>
    <n v="2017"/>
    <x v="6"/>
    <s v="Baptist"/>
    <n v="60707"/>
    <x v="30"/>
    <x v="5"/>
    <n v="46.7"/>
    <n v="15"/>
    <n v="1"/>
    <n v="1"/>
    <n v="1"/>
  </r>
  <r>
    <n v="2017"/>
    <x v="6"/>
    <s v="Baptist"/>
    <n v="60707"/>
    <x v="30"/>
    <x v="0"/>
    <n v="58.3"/>
    <n v="15"/>
    <n v="1"/>
    <n v="1"/>
    <n v="1"/>
  </r>
  <r>
    <n v="2017"/>
    <x v="6"/>
    <s v="Baptist"/>
    <n v="60707"/>
    <x v="30"/>
    <x v="4"/>
    <n v="58.3"/>
    <n v="15"/>
    <n v="1"/>
    <n v="1"/>
    <n v="1"/>
  </r>
  <r>
    <n v="2017"/>
    <x v="6"/>
    <s v="Baptist"/>
    <n v="60707"/>
    <x v="30"/>
    <x v="2"/>
    <n v="60"/>
    <n v="15"/>
    <n v="1"/>
    <n v="1"/>
    <n v="1"/>
  </r>
  <r>
    <n v="2017"/>
    <x v="6"/>
    <s v="Baptist"/>
    <n v="60707"/>
    <x v="30"/>
    <x v="1"/>
    <n v="58.3"/>
    <n v="15"/>
    <n v="1"/>
    <n v="1"/>
    <n v="1"/>
  </r>
  <r>
    <n v="2017"/>
    <x v="6"/>
    <s v="Baptist"/>
    <n v="60707"/>
    <x v="30"/>
    <x v="3"/>
    <n v="56.7"/>
    <n v="15"/>
    <n v="1"/>
    <n v="1"/>
    <n v="1"/>
  </r>
  <r>
    <n v="2017"/>
    <x v="6"/>
    <s v="Baptist"/>
    <n v="58222"/>
    <x v="4"/>
    <x v="5"/>
    <n v="75"/>
    <n v="2"/>
    <n v="46"/>
    <n v="15"/>
    <n v="20"/>
  </r>
  <r>
    <n v="2017"/>
    <x v="6"/>
    <s v="Baptist"/>
    <n v="58222"/>
    <x v="4"/>
    <x v="0"/>
    <n v="96.9"/>
    <n v="2"/>
    <n v="99"/>
    <n v="99"/>
    <n v="99"/>
  </r>
  <r>
    <n v="2017"/>
    <x v="6"/>
    <s v="Baptist"/>
    <n v="58222"/>
    <x v="4"/>
    <x v="4"/>
    <n v="87.5"/>
    <n v="2"/>
    <n v="37"/>
    <n v="29"/>
    <n v="29"/>
  </r>
  <r>
    <n v="2017"/>
    <x v="6"/>
    <s v="Baptist"/>
    <n v="58222"/>
    <x v="4"/>
    <x v="2"/>
    <n v="100"/>
    <n v="2"/>
    <n v="99"/>
    <n v="99"/>
    <n v="99"/>
  </r>
  <r>
    <n v="2017"/>
    <x v="6"/>
    <s v="Baptist"/>
    <n v="58222"/>
    <x v="4"/>
    <x v="1"/>
    <n v="100"/>
    <n v="2"/>
    <n v="99"/>
    <n v="99"/>
    <n v="99"/>
  </r>
  <r>
    <n v="2017"/>
    <x v="6"/>
    <s v="Baptist"/>
    <n v="58222"/>
    <x v="4"/>
    <x v="3"/>
    <n v="100"/>
    <n v="2"/>
    <n v="99"/>
    <n v="99"/>
    <n v="99"/>
  </r>
  <r>
    <n v="2017"/>
    <x v="6"/>
    <s v="Baptist"/>
    <n v="89391"/>
    <x v="15"/>
    <x v="5"/>
    <n v="75"/>
    <n v="8"/>
    <n v="46"/>
    <n v="15"/>
    <n v="20"/>
  </r>
  <r>
    <n v="2017"/>
    <x v="6"/>
    <s v="Baptist"/>
    <n v="89391"/>
    <x v="15"/>
    <x v="0"/>
    <n v="88.3"/>
    <n v="8"/>
    <n v="83"/>
    <n v="65"/>
    <n v="61"/>
  </r>
  <r>
    <n v="2017"/>
    <x v="6"/>
    <s v="Baptist"/>
    <n v="89391"/>
    <x v="15"/>
    <x v="4"/>
    <n v="90.6"/>
    <n v="8"/>
    <n v="82"/>
    <n v="66"/>
    <n v="63"/>
  </r>
  <r>
    <n v="2017"/>
    <x v="6"/>
    <s v="Baptist"/>
    <n v="89391"/>
    <x v="15"/>
    <x v="2"/>
    <n v="90.6"/>
    <n v="8"/>
    <n v="97"/>
    <n v="84"/>
    <n v="79"/>
  </r>
  <r>
    <n v="2017"/>
    <x v="6"/>
    <s v="Baptist"/>
    <n v="89391"/>
    <x v="15"/>
    <x v="1"/>
    <n v="87.5"/>
    <n v="8"/>
    <n v="89"/>
    <n v="69"/>
    <n v="63"/>
  </r>
  <r>
    <n v="2017"/>
    <x v="6"/>
    <s v="Baptist"/>
    <n v="89391"/>
    <x v="15"/>
    <x v="3"/>
    <n v="84.4"/>
    <n v="8"/>
    <n v="50"/>
    <n v="38"/>
    <n v="34"/>
  </r>
  <r>
    <n v="2017"/>
    <x v="6"/>
    <s v="Baptist"/>
    <n v="36541"/>
    <x v="9"/>
    <x v="5"/>
    <n v="77.8"/>
    <n v="9"/>
    <n v="53"/>
    <n v="23"/>
    <n v="30"/>
  </r>
  <r>
    <n v="2017"/>
    <x v="6"/>
    <s v="Baptist"/>
    <n v="36541"/>
    <x v="9"/>
    <x v="0"/>
    <n v="88.2"/>
    <n v="9"/>
    <n v="81"/>
    <n v="65"/>
    <n v="60"/>
  </r>
  <r>
    <n v="2017"/>
    <x v="6"/>
    <s v="Baptist"/>
    <n v="36541"/>
    <x v="9"/>
    <x v="4"/>
    <n v="91.7"/>
    <n v="9"/>
    <n v="93"/>
    <n v="79"/>
    <n v="74"/>
  </r>
  <r>
    <n v="2017"/>
    <x v="6"/>
    <s v="Baptist"/>
    <n v="36541"/>
    <x v="9"/>
    <x v="2"/>
    <n v="88.9"/>
    <n v="9"/>
    <n v="85"/>
    <n v="65"/>
    <n v="65"/>
  </r>
  <r>
    <n v="2017"/>
    <x v="6"/>
    <s v="Baptist"/>
    <n v="36541"/>
    <x v="9"/>
    <x v="1"/>
    <n v="87.5"/>
    <n v="8"/>
    <n v="89"/>
    <n v="69"/>
    <n v="63"/>
  </r>
  <r>
    <n v="2017"/>
    <x v="6"/>
    <s v="Baptist"/>
    <n v="36541"/>
    <x v="9"/>
    <x v="3"/>
    <n v="83.3"/>
    <n v="9"/>
    <n v="36"/>
    <n v="28"/>
    <n v="26"/>
  </r>
  <r>
    <n v="2017"/>
    <x v="6"/>
    <s v="Baptist"/>
    <n v="91405"/>
    <x v="27"/>
    <x v="5"/>
    <n v="95.8"/>
    <n v="6"/>
    <n v="99"/>
    <n v="99"/>
    <n v="99"/>
  </r>
  <r>
    <n v="2017"/>
    <x v="6"/>
    <s v="Baptist"/>
    <n v="91405"/>
    <x v="27"/>
    <x v="0"/>
    <n v="81.3"/>
    <n v="6"/>
    <n v="13"/>
    <n v="7"/>
    <n v="10"/>
  </r>
  <r>
    <n v="2017"/>
    <x v="6"/>
    <s v="Baptist"/>
    <n v="91405"/>
    <x v="27"/>
    <x v="4"/>
    <n v="83.3"/>
    <n v="6"/>
    <n v="8"/>
    <n v="5"/>
    <n v="7"/>
  </r>
  <r>
    <n v="2017"/>
    <x v="6"/>
    <s v="Baptist"/>
    <n v="91405"/>
    <x v="27"/>
    <x v="2"/>
    <n v="83.3"/>
    <n v="6"/>
    <n v="22"/>
    <n v="16"/>
    <n v="17"/>
  </r>
  <r>
    <n v="2017"/>
    <x v="6"/>
    <s v="Baptist"/>
    <n v="91405"/>
    <x v="27"/>
    <x v="1"/>
    <n v="79.2"/>
    <n v="6"/>
    <n v="13"/>
    <n v="7"/>
    <n v="8"/>
  </r>
  <r>
    <n v="2017"/>
    <x v="6"/>
    <s v="Baptist"/>
    <n v="91405"/>
    <x v="27"/>
    <x v="3"/>
    <n v="79.2"/>
    <n v="6"/>
    <n v="13"/>
    <n v="6"/>
    <n v="8"/>
  </r>
  <r>
    <n v="2017"/>
    <x v="6"/>
    <s v="Baptist"/>
    <n v="58321"/>
    <x v="28"/>
    <x v="5"/>
    <n v="69.400000000000006"/>
    <n v="9"/>
    <n v="21"/>
    <n v="6"/>
    <n v="7"/>
  </r>
  <r>
    <n v="2017"/>
    <x v="6"/>
    <s v="Baptist"/>
    <n v="58321"/>
    <x v="28"/>
    <x v="0"/>
    <n v="93.1"/>
    <n v="10"/>
    <n v="99"/>
    <n v="99"/>
    <n v="93"/>
  </r>
  <r>
    <n v="2017"/>
    <x v="6"/>
    <s v="Baptist"/>
    <n v="58321"/>
    <x v="28"/>
    <x v="4"/>
    <n v="97.2"/>
    <n v="9"/>
    <n v="99"/>
    <n v="99"/>
    <n v="99"/>
  </r>
  <r>
    <n v="2017"/>
    <x v="6"/>
    <s v="Baptist"/>
    <n v="58321"/>
    <x v="28"/>
    <x v="2"/>
    <n v="95"/>
    <n v="10"/>
    <n v="99"/>
    <n v="99"/>
    <n v="96"/>
  </r>
  <r>
    <n v="2017"/>
    <x v="6"/>
    <s v="Baptist"/>
    <n v="58321"/>
    <x v="28"/>
    <x v="1"/>
    <n v="90"/>
    <n v="10"/>
    <n v="99"/>
    <n v="91"/>
    <n v="83"/>
  </r>
  <r>
    <n v="2017"/>
    <x v="6"/>
    <s v="Baptist"/>
    <n v="58321"/>
    <x v="28"/>
    <x v="3"/>
    <n v="90"/>
    <n v="10"/>
    <n v="99"/>
    <n v="89"/>
    <n v="81"/>
  </r>
  <r>
    <n v="2017"/>
    <x v="6"/>
    <s v="Baptist"/>
    <n v="23994"/>
    <x v="19"/>
    <x v="5"/>
    <n v="50"/>
    <n v="7"/>
    <n v="1"/>
    <n v="1"/>
    <n v="1"/>
  </r>
  <r>
    <n v="2017"/>
    <x v="6"/>
    <s v="Baptist"/>
    <n v="23994"/>
    <x v="19"/>
    <x v="0"/>
    <n v="69.599999999999994"/>
    <n v="7"/>
    <n v="1"/>
    <n v="1"/>
    <n v="1"/>
  </r>
  <r>
    <n v="2017"/>
    <x v="6"/>
    <s v="Baptist"/>
    <n v="23994"/>
    <x v="19"/>
    <x v="4"/>
    <n v="71.400000000000006"/>
    <n v="7"/>
    <n v="1"/>
    <n v="1"/>
    <n v="1"/>
  </r>
  <r>
    <n v="2017"/>
    <x v="6"/>
    <s v="Baptist"/>
    <n v="23994"/>
    <x v="19"/>
    <x v="2"/>
    <n v="75"/>
    <n v="7"/>
    <n v="1"/>
    <n v="1"/>
    <n v="1"/>
  </r>
  <r>
    <n v="2017"/>
    <x v="6"/>
    <s v="Baptist"/>
    <n v="23994"/>
    <x v="19"/>
    <x v="1"/>
    <n v="64.3"/>
    <n v="7"/>
    <n v="1"/>
    <n v="1"/>
    <n v="1"/>
  </r>
  <r>
    <n v="2017"/>
    <x v="6"/>
    <s v="Baptist"/>
    <n v="23994"/>
    <x v="19"/>
    <x v="3"/>
    <n v="67.900000000000006"/>
    <n v="7"/>
    <n v="1"/>
    <n v="1"/>
    <n v="1"/>
  </r>
  <r>
    <n v="2017"/>
    <x v="6"/>
    <s v="Baptist"/>
    <n v="22673"/>
    <x v="5"/>
    <x v="5"/>
    <n v="78.900000000000006"/>
    <n v="13"/>
    <n v="63"/>
    <n v="27"/>
    <n v="35"/>
  </r>
  <r>
    <n v="2017"/>
    <x v="6"/>
    <s v="Baptist"/>
    <n v="22673"/>
    <x v="5"/>
    <x v="0"/>
    <n v="72.099999999999994"/>
    <n v="13"/>
    <n v="1"/>
    <n v="1"/>
    <n v="1"/>
  </r>
  <r>
    <n v="2017"/>
    <x v="6"/>
    <s v="Baptist"/>
    <n v="22673"/>
    <x v="5"/>
    <x v="4"/>
    <n v="78.900000000000006"/>
    <n v="13"/>
    <n v="2"/>
    <n v="1"/>
    <n v="2"/>
  </r>
  <r>
    <n v="2017"/>
    <x v="6"/>
    <s v="Baptist"/>
    <n v="22673"/>
    <x v="5"/>
    <x v="2"/>
    <n v="70.8"/>
    <n v="12"/>
    <n v="1"/>
    <n v="1"/>
    <n v="1"/>
  </r>
  <r>
    <n v="2017"/>
    <x v="6"/>
    <s v="Baptist"/>
    <n v="22673"/>
    <x v="5"/>
    <x v="1"/>
    <n v="69.2"/>
    <n v="13"/>
    <n v="1"/>
    <n v="1"/>
    <n v="1"/>
  </r>
  <r>
    <n v="2017"/>
    <x v="6"/>
    <s v="Baptist"/>
    <n v="22673"/>
    <x v="5"/>
    <x v="3"/>
    <n v="67.3"/>
    <n v="13"/>
    <n v="1"/>
    <n v="1"/>
    <n v="1"/>
  </r>
  <r>
    <n v="2017"/>
    <x v="6"/>
    <s v="Baptist"/>
    <n v="91397"/>
    <x v="29"/>
    <x v="5"/>
    <n v="75"/>
    <n v="7"/>
    <n v="46"/>
    <n v="15"/>
    <n v="20"/>
  </r>
  <r>
    <n v="2017"/>
    <x v="6"/>
    <s v="Baptist"/>
    <n v="91397"/>
    <x v="29"/>
    <x v="0"/>
    <n v="83"/>
    <n v="7"/>
    <n v="22"/>
    <n v="16"/>
    <n v="16"/>
  </r>
  <r>
    <n v="2017"/>
    <x v="6"/>
    <s v="Baptist"/>
    <n v="91397"/>
    <x v="29"/>
    <x v="4"/>
    <n v="85.7"/>
    <n v="7"/>
    <n v="22"/>
    <n v="12"/>
    <n v="16"/>
  </r>
  <r>
    <n v="2017"/>
    <x v="6"/>
    <s v="Baptist"/>
    <n v="91397"/>
    <x v="29"/>
    <x v="2"/>
    <n v="82.1"/>
    <n v="7"/>
    <n v="13"/>
    <n v="7"/>
    <n v="11"/>
  </r>
  <r>
    <n v="2017"/>
    <x v="6"/>
    <s v="Baptist"/>
    <n v="91397"/>
    <x v="29"/>
    <x v="1"/>
    <n v="82.1"/>
    <n v="7"/>
    <n v="30"/>
    <n v="21"/>
    <n v="20"/>
  </r>
  <r>
    <n v="2017"/>
    <x v="6"/>
    <s v="Baptist"/>
    <n v="91397"/>
    <x v="29"/>
    <x v="3"/>
    <n v="82.1"/>
    <n v="7"/>
    <n v="27"/>
    <n v="20"/>
    <n v="19"/>
  </r>
  <r>
    <n v="2017"/>
    <x v="6"/>
    <s v="Baptist"/>
    <n v="64022"/>
    <x v="25"/>
    <x v="5"/>
    <n v="63.3"/>
    <n v="15"/>
    <n v="6"/>
    <n v="3"/>
    <n v="2"/>
  </r>
  <r>
    <n v="2017"/>
    <x v="6"/>
    <s v="Baptist"/>
    <n v="64022"/>
    <x v="25"/>
    <x v="0"/>
    <n v="83.3"/>
    <n v="15"/>
    <n v="24"/>
    <n v="17"/>
    <n v="18"/>
  </r>
  <r>
    <n v="2017"/>
    <x v="6"/>
    <s v="Baptist"/>
    <n v="64022"/>
    <x v="25"/>
    <x v="4"/>
    <n v="85"/>
    <n v="15"/>
    <n v="19"/>
    <n v="7"/>
    <n v="13"/>
  </r>
  <r>
    <n v="2017"/>
    <x v="6"/>
    <s v="Baptist"/>
    <n v="64022"/>
    <x v="25"/>
    <x v="2"/>
    <n v="86.7"/>
    <n v="15"/>
    <n v="53"/>
    <n v="46"/>
    <n v="41"/>
  </r>
  <r>
    <n v="2017"/>
    <x v="6"/>
    <s v="Baptist"/>
    <n v="64022"/>
    <x v="25"/>
    <x v="1"/>
    <n v="80"/>
    <n v="15"/>
    <n v="18"/>
    <n v="7"/>
    <n v="11"/>
  </r>
  <r>
    <n v="2017"/>
    <x v="6"/>
    <s v="Baptist"/>
    <n v="64022"/>
    <x v="25"/>
    <x v="3"/>
    <n v="81.7"/>
    <n v="15"/>
    <n v="25"/>
    <n v="17"/>
    <n v="17"/>
  </r>
  <r>
    <n v="2017"/>
    <x v="6"/>
    <s v="Baptist"/>
    <n v="88963"/>
    <x v="22"/>
    <x v="5"/>
    <n v="84.4"/>
    <n v="8"/>
    <n v="96"/>
    <n v="66"/>
    <n v="67"/>
  </r>
  <r>
    <n v="2017"/>
    <x v="6"/>
    <s v="Baptist"/>
    <n v="88963"/>
    <x v="22"/>
    <x v="0"/>
    <n v="89.1"/>
    <n v="8"/>
    <n v="92"/>
    <n v="75"/>
    <n v="69"/>
  </r>
  <r>
    <n v="2017"/>
    <x v="6"/>
    <s v="Baptist"/>
    <n v="88963"/>
    <x v="22"/>
    <x v="4"/>
    <n v="96.9"/>
    <n v="8"/>
    <n v="99"/>
    <n v="99"/>
    <n v="98"/>
  </r>
  <r>
    <n v="2017"/>
    <x v="6"/>
    <s v="Baptist"/>
    <n v="88963"/>
    <x v="22"/>
    <x v="2"/>
    <n v="84.4"/>
    <n v="8"/>
    <n v="28"/>
    <n v="23"/>
    <n v="22"/>
  </r>
  <r>
    <n v="2017"/>
    <x v="6"/>
    <s v="Baptist"/>
    <n v="88963"/>
    <x v="22"/>
    <x v="1"/>
    <n v="84.4"/>
    <n v="8"/>
    <n v="48"/>
    <n v="41"/>
    <n v="35"/>
  </r>
  <r>
    <n v="2017"/>
    <x v="6"/>
    <s v="Baptist"/>
    <n v="88963"/>
    <x v="22"/>
    <x v="3"/>
    <n v="91.7"/>
    <n v="6"/>
    <n v="99"/>
    <n v="98"/>
    <n v="90"/>
  </r>
  <r>
    <n v="2017"/>
    <x v="6"/>
    <s v="Baptist"/>
    <n v="8888"/>
    <x v="32"/>
    <x v="5"/>
    <n v="64.599999999999994"/>
    <n v="12"/>
    <n v="7"/>
    <n v="3"/>
    <n v="2"/>
  </r>
  <r>
    <n v="2017"/>
    <x v="6"/>
    <s v="Baptist"/>
    <n v="8888"/>
    <x v="32"/>
    <x v="0"/>
    <n v="78.7"/>
    <n v="12"/>
    <n v="4"/>
    <n v="3"/>
    <n v="4"/>
  </r>
  <r>
    <n v="2017"/>
    <x v="6"/>
    <s v="Baptist"/>
    <n v="8888"/>
    <x v="32"/>
    <x v="4"/>
    <n v="87.5"/>
    <n v="12"/>
    <n v="37"/>
    <n v="29"/>
    <n v="29"/>
  </r>
  <r>
    <n v="2017"/>
    <x v="6"/>
    <s v="Baptist"/>
    <n v="8888"/>
    <x v="32"/>
    <x v="2"/>
    <n v="75"/>
    <n v="12"/>
    <n v="1"/>
    <n v="1"/>
    <n v="1"/>
  </r>
  <r>
    <n v="2017"/>
    <x v="6"/>
    <s v="Baptist"/>
    <n v="8888"/>
    <x v="32"/>
    <x v="1"/>
    <n v="77.099999999999994"/>
    <n v="12"/>
    <n v="6"/>
    <n v="4"/>
    <n v="4"/>
  </r>
  <r>
    <n v="2017"/>
    <x v="6"/>
    <s v="Baptist"/>
    <n v="8888"/>
    <x v="32"/>
    <x v="3"/>
    <n v="75"/>
    <n v="12"/>
    <n v="3"/>
    <n v="2"/>
    <n v="2"/>
  </r>
  <r>
    <n v="2017"/>
    <x v="7"/>
    <s v="Baptist"/>
    <n v="149344"/>
    <x v="23"/>
    <x v="0"/>
    <n v="100"/>
    <n v="3"/>
    <n v="99"/>
    <n v="99"/>
    <n v="99"/>
  </r>
  <r>
    <n v="2017"/>
    <x v="7"/>
    <s v="Baptist"/>
    <n v="149344"/>
    <x v="23"/>
    <x v="1"/>
    <n v="100"/>
    <n v="3"/>
    <n v="99"/>
    <n v="99"/>
    <n v="99"/>
  </r>
  <r>
    <n v="2017"/>
    <x v="7"/>
    <s v="Baptist"/>
    <n v="149344"/>
    <x v="23"/>
    <x v="2"/>
    <n v="100"/>
    <n v="3"/>
    <n v="99"/>
    <n v="99"/>
    <n v="99"/>
  </r>
  <r>
    <n v="2017"/>
    <x v="7"/>
    <s v="Baptist"/>
    <n v="149344"/>
    <x v="23"/>
    <x v="3"/>
    <n v="100"/>
    <n v="3"/>
    <n v="99"/>
    <n v="99"/>
    <n v="99"/>
  </r>
  <r>
    <n v="2017"/>
    <x v="7"/>
    <s v="Baptist"/>
    <n v="149344"/>
    <x v="23"/>
    <x v="4"/>
    <n v="100"/>
    <n v="3"/>
    <n v="99"/>
    <n v="99"/>
    <n v="99"/>
  </r>
  <r>
    <n v="2017"/>
    <x v="7"/>
    <s v="Baptist"/>
    <n v="149344"/>
    <x v="23"/>
    <x v="5"/>
    <n v="83.3"/>
    <n v="3"/>
    <n v="89"/>
    <n v="65"/>
    <n v="60"/>
  </r>
  <r>
    <n v="2017"/>
    <x v="7"/>
    <s v="Baptist"/>
    <n v="36541"/>
    <x v="9"/>
    <x v="0"/>
    <n v="100"/>
    <n v="6"/>
    <n v="99"/>
    <n v="99"/>
    <n v="99"/>
  </r>
  <r>
    <n v="2017"/>
    <x v="7"/>
    <s v="Baptist"/>
    <n v="36541"/>
    <x v="9"/>
    <x v="1"/>
    <n v="100"/>
    <n v="6"/>
    <n v="99"/>
    <n v="99"/>
    <n v="99"/>
  </r>
  <r>
    <n v="2017"/>
    <x v="7"/>
    <s v="Baptist"/>
    <n v="36541"/>
    <x v="9"/>
    <x v="2"/>
    <n v="100"/>
    <n v="6"/>
    <n v="99"/>
    <n v="99"/>
    <n v="99"/>
  </r>
  <r>
    <n v="2017"/>
    <x v="7"/>
    <s v="Baptist"/>
    <n v="36541"/>
    <x v="9"/>
    <x v="3"/>
    <n v="100"/>
    <n v="6"/>
    <n v="99"/>
    <n v="99"/>
    <n v="99"/>
  </r>
  <r>
    <n v="2017"/>
    <x v="7"/>
    <s v="Baptist"/>
    <n v="36541"/>
    <x v="9"/>
    <x v="4"/>
    <n v="100"/>
    <n v="6"/>
    <n v="99"/>
    <n v="99"/>
    <n v="99"/>
  </r>
  <r>
    <n v="2017"/>
    <x v="7"/>
    <s v="Baptist"/>
    <n v="36541"/>
    <x v="9"/>
    <x v="5"/>
    <n v="95.8"/>
    <n v="6"/>
    <n v="99"/>
    <n v="99"/>
    <n v="99"/>
  </r>
  <r>
    <n v="2017"/>
    <x v="7"/>
    <s v="Baptist"/>
    <n v="58222"/>
    <x v="4"/>
    <x v="0"/>
    <n v="95.8"/>
    <n v="3"/>
    <n v="99"/>
    <n v="99"/>
    <n v="98"/>
  </r>
  <r>
    <n v="2017"/>
    <x v="7"/>
    <s v="Baptist"/>
    <n v="58222"/>
    <x v="4"/>
    <x v="1"/>
    <n v="91.7"/>
    <n v="3"/>
    <n v="99"/>
    <n v="97"/>
    <n v="90"/>
  </r>
  <r>
    <n v="2017"/>
    <x v="7"/>
    <s v="Baptist"/>
    <n v="58222"/>
    <x v="4"/>
    <x v="2"/>
    <n v="100"/>
    <n v="3"/>
    <n v="99"/>
    <n v="99"/>
    <n v="99"/>
  </r>
  <r>
    <n v="2017"/>
    <x v="7"/>
    <s v="Baptist"/>
    <n v="58222"/>
    <x v="4"/>
    <x v="3"/>
    <n v="91.7"/>
    <n v="3"/>
    <n v="99"/>
    <n v="97"/>
    <n v="90"/>
  </r>
  <r>
    <n v="2017"/>
    <x v="7"/>
    <s v="Baptist"/>
    <n v="58222"/>
    <x v="4"/>
    <x v="4"/>
    <n v="100"/>
    <n v="3"/>
    <n v="99"/>
    <n v="99"/>
    <n v="99"/>
  </r>
  <r>
    <n v="2017"/>
    <x v="7"/>
    <s v="Baptist"/>
    <n v="58222"/>
    <x v="4"/>
    <x v="5"/>
    <n v="91.7"/>
    <n v="3"/>
    <n v="99"/>
    <n v="99"/>
    <n v="94"/>
  </r>
  <r>
    <n v="2017"/>
    <x v="7"/>
    <s v="Baptist"/>
    <n v="114603"/>
    <x v="24"/>
    <x v="0"/>
    <n v="90.6"/>
    <n v="2"/>
    <n v="97"/>
    <n v="89"/>
    <n v="81"/>
  </r>
  <r>
    <n v="2017"/>
    <x v="7"/>
    <s v="Baptist"/>
    <n v="114603"/>
    <x v="24"/>
    <x v="1"/>
    <n v="100"/>
    <n v="2"/>
    <n v="99"/>
    <n v="99"/>
    <n v="99"/>
  </r>
  <r>
    <n v="2017"/>
    <x v="7"/>
    <s v="Baptist"/>
    <n v="114603"/>
    <x v="24"/>
    <x v="2"/>
    <n v="87.5"/>
    <n v="2"/>
    <n v="67"/>
    <n v="58"/>
    <n v="51"/>
  </r>
  <r>
    <n v="2017"/>
    <x v="7"/>
    <s v="Baptist"/>
    <n v="114603"/>
    <x v="24"/>
    <x v="3"/>
    <n v="87.5"/>
    <n v="2"/>
    <n v="86"/>
    <n v="72"/>
    <n v="63"/>
  </r>
  <r>
    <n v="2017"/>
    <x v="7"/>
    <s v="Baptist"/>
    <n v="114603"/>
    <x v="24"/>
    <x v="4"/>
    <n v="87.5"/>
    <n v="2"/>
    <n v="50"/>
    <n v="29"/>
    <n v="30"/>
  </r>
  <r>
    <n v="2017"/>
    <x v="7"/>
    <s v="Baptist"/>
    <n v="114603"/>
    <x v="24"/>
    <x v="5"/>
    <n v="37.5"/>
    <n v="2"/>
    <n v="1"/>
    <n v="1"/>
    <n v="1"/>
  </r>
  <r>
    <n v="2017"/>
    <x v="7"/>
    <s v="Baptist"/>
    <n v="22673"/>
    <x v="5"/>
    <x v="0"/>
    <n v="96.4"/>
    <n v="12"/>
    <n v="99"/>
    <n v="99"/>
    <n v="99"/>
  </r>
  <r>
    <n v="2017"/>
    <x v="7"/>
    <s v="Baptist"/>
    <n v="22673"/>
    <x v="5"/>
    <x v="1"/>
    <n v="95.8"/>
    <n v="12"/>
    <n v="99"/>
    <n v="99"/>
    <n v="99"/>
  </r>
  <r>
    <n v="2017"/>
    <x v="7"/>
    <s v="Baptist"/>
    <n v="22673"/>
    <x v="5"/>
    <x v="2"/>
    <n v="95.8"/>
    <n v="12"/>
    <n v="99"/>
    <n v="99"/>
    <n v="98"/>
  </r>
  <r>
    <n v="2017"/>
    <x v="7"/>
    <s v="Baptist"/>
    <n v="22673"/>
    <x v="5"/>
    <x v="3"/>
    <n v="93.8"/>
    <n v="12"/>
    <n v="99"/>
    <n v="99"/>
    <n v="96"/>
  </r>
  <r>
    <n v="2017"/>
    <x v="7"/>
    <s v="Baptist"/>
    <n v="22673"/>
    <x v="5"/>
    <x v="4"/>
    <n v="100"/>
    <n v="12"/>
    <n v="99"/>
    <n v="99"/>
    <n v="99"/>
  </r>
  <r>
    <n v="2017"/>
    <x v="7"/>
    <s v="Baptist"/>
    <n v="22673"/>
    <x v="5"/>
    <x v="5"/>
    <n v="83.3"/>
    <n v="12"/>
    <n v="89"/>
    <n v="65"/>
    <n v="60"/>
  </r>
  <r>
    <n v="2017"/>
    <x v="7"/>
    <s v="Baptist"/>
    <n v="117440"/>
    <x v="20"/>
    <x v="0"/>
    <n v="100"/>
    <n v="7"/>
    <n v="99"/>
    <n v="99"/>
    <n v="99"/>
  </r>
  <r>
    <n v="2017"/>
    <x v="7"/>
    <s v="Baptist"/>
    <n v="117440"/>
    <x v="20"/>
    <x v="1"/>
    <n v="100"/>
    <n v="7"/>
    <n v="99"/>
    <n v="99"/>
    <n v="99"/>
  </r>
  <r>
    <n v="2017"/>
    <x v="7"/>
    <s v="Baptist"/>
    <n v="117440"/>
    <x v="20"/>
    <x v="2"/>
    <n v="100"/>
    <n v="7"/>
    <n v="99"/>
    <n v="99"/>
    <n v="99"/>
  </r>
  <r>
    <n v="2017"/>
    <x v="7"/>
    <s v="Baptist"/>
    <n v="117440"/>
    <x v="20"/>
    <x v="3"/>
    <n v="100"/>
    <n v="6"/>
    <n v="99"/>
    <n v="99"/>
    <n v="99"/>
  </r>
  <r>
    <n v="2017"/>
    <x v="7"/>
    <s v="Baptist"/>
    <n v="117440"/>
    <x v="20"/>
    <x v="4"/>
    <n v="100"/>
    <n v="7"/>
    <n v="99"/>
    <n v="99"/>
    <n v="99"/>
  </r>
  <r>
    <n v="2017"/>
    <x v="7"/>
    <s v="Baptist"/>
    <n v="117440"/>
    <x v="20"/>
    <x v="5"/>
    <n v="67.900000000000006"/>
    <n v="7"/>
    <n v="18"/>
    <n v="5"/>
    <n v="4"/>
  </r>
  <r>
    <n v="2017"/>
    <x v="7"/>
    <s v="Baptist"/>
    <n v="64022"/>
    <x v="25"/>
    <x v="0"/>
    <n v="100"/>
    <n v="1"/>
    <n v="99"/>
    <n v="99"/>
    <n v="99"/>
  </r>
  <r>
    <n v="2017"/>
    <x v="7"/>
    <s v="Baptist"/>
    <n v="64022"/>
    <x v="25"/>
    <x v="1"/>
    <n v="100"/>
    <n v="1"/>
    <n v="99"/>
    <n v="99"/>
    <n v="99"/>
  </r>
  <r>
    <n v="2017"/>
    <x v="7"/>
    <s v="Baptist"/>
    <n v="64022"/>
    <x v="25"/>
    <x v="2"/>
    <n v="100"/>
    <n v="1"/>
    <n v="99"/>
    <n v="99"/>
    <n v="99"/>
  </r>
  <r>
    <n v="2017"/>
    <x v="7"/>
    <s v="Baptist"/>
    <n v="64022"/>
    <x v="25"/>
    <x v="3"/>
    <n v="100"/>
    <n v="1"/>
    <n v="99"/>
    <n v="99"/>
    <n v="99"/>
  </r>
  <r>
    <n v="2017"/>
    <x v="7"/>
    <s v="Baptist"/>
    <n v="64022"/>
    <x v="25"/>
    <x v="4"/>
    <n v="100"/>
    <n v="1"/>
    <n v="99"/>
    <n v="99"/>
    <n v="99"/>
  </r>
  <r>
    <n v="2017"/>
    <x v="7"/>
    <s v="Baptist"/>
    <n v="64022"/>
    <x v="25"/>
    <x v="5"/>
    <n v="100"/>
    <n v="1"/>
    <n v="99"/>
    <n v="99"/>
    <n v="99"/>
  </r>
  <r>
    <n v="2017"/>
    <x v="7"/>
    <s v="Baptist"/>
    <n v="101071"/>
    <x v="31"/>
    <x v="0"/>
    <n v="81.3"/>
    <n v="1"/>
    <n v="18"/>
    <n v="9"/>
    <n v="10"/>
  </r>
  <r>
    <n v="2017"/>
    <x v="7"/>
    <s v="Baptist"/>
    <n v="101071"/>
    <x v="31"/>
    <x v="1"/>
    <n v="100"/>
    <n v="1"/>
    <n v="99"/>
    <n v="99"/>
    <n v="99"/>
  </r>
  <r>
    <n v="2017"/>
    <x v="7"/>
    <s v="Baptist"/>
    <n v="101071"/>
    <x v="31"/>
    <x v="2"/>
    <n v="75"/>
    <n v="1"/>
    <n v="1"/>
    <n v="1"/>
    <n v="1"/>
  </r>
  <r>
    <n v="2017"/>
    <x v="7"/>
    <s v="Baptist"/>
    <n v="101071"/>
    <x v="31"/>
    <x v="3"/>
    <n v="75"/>
    <n v="1"/>
    <n v="3"/>
    <n v="2"/>
    <n v="2"/>
  </r>
  <r>
    <n v="2017"/>
    <x v="7"/>
    <s v="Baptist"/>
    <n v="101071"/>
    <x v="31"/>
    <x v="4"/>
    <n v="75"/>
    <n v="1"/>
    <n v="1"/>
    <n v="1"/>
    <n v="1"/>
  </r>
  <r>
    <n v="2017"/>
    <x v="7"/>
    <s v="Baptist"/>
    <n v="101071"/>
    <x v="31"/>
    <x v="5"/>
    <n v="75"/>
    <n v="1"/>
    <n v="45"/>
    <n v="15"/>
    <n v="19"/>
  </r>
  <r>
    <n v="2017"/>
    <x v="7"/>
    <s v="Baptist"/>
    <n v="70375"/>
    <x v="12"/>
    <x v="0"/>
    <n v="98.6"/>
    <n v="9"/>
    <n v="99"/>
    <n v="99"/>
    <n v="99"/>
  </r>
  <r>
    <n v="2017"/>
    <x v="7"/>
    <s v="Baptist"/>
    <n v="70375"/>
    <x v="12"/>
    <x v="1"/>
    <n v="97.2"/>
    <n v="9"/>
    <n v="99"/>
    <n v="99"/>
    <n v="99"/>
  </r>
  <r>
    <n v="2017"/>
    <x v="7"/>
    <s v="Baptist"/>
    <n v="70375"/>
    <x v="12"/>
    <x v="2"/>
    <n v="100"/>
    <n v="9"/>
    <n v="99"/>
    <n v="99"/>
    <n v="99"/>
  </r>
  <r>
    <n v="2017"/>
    <x v="7"/>
    <s v="Baptist"/>
    <n v="70375"/>
    <x v="12"/>
    <x v="3"/>
    <n v="97.2"/>
    <n v="9"/>
    <n v="99"/>
    <n v="99"/>
    <n v="99"/>
  </r>
  <r>
    <n v="2017"/>
    <x v="7"/>
    <s v="Baptist"/>
    <n v="70375"/>
    <x v="12"/>
    <x v="4"/>
    <n v="100"/>
    <n v="9"/>
    <n v="99"/>
    <n v="99"/>
    <n v="99"/>
  </r>
  <r>
    <n v="2017"/>
    <x v="7"/>
    <s v="Baptist"/>
    <n v="70375"/>
    <x v="12"/>
    <x v="5"/>
    <n v="94.4"/>
    <n v="9"/>
    <n v="99"/>
    <n v="99"/>
    <n v="98"/>
  </r>
  <r>
    <n v="2017"/>
    <x v="7"/>
    <s v="Baptist"/>
    <n v="104133"/>
    <x v="8"/>
    <x v="0"/>
    <n v="94.4"/>
    <n v="9"/>
    <n v="99"/>
    <n v="99"/>
    <n v="96"/>
  </r>
  <r>
    <n v="2017"/>
    <x v="7"/>
    <s v="Baptist"/>
    <n v="104133"/>
    <x v="8"/>
    <x v="1"/>
    <n v="94.4"/>
    <n v="9"/>
    <n v="99"/>
    <n v="99"/>
    <n v="97"/>
  </r>
  <r>
    <n v="2017"/>
    <x v="7"/>
    <s v="Baptist"/>
    <n v="104133"/>
    <x v="8"/>
    <x v="2"/>
    <n v="91.7"/>
    <n v="9"/>
    <n v="99"/>
    <n v="93"/>
    <n v="85"/>
  </r>
  <r>
    <n v="2017"/>
    <x v="7"/>
    <s v="Baptist"/>
    <n v="104133"/>
    <x v="8"/>
    <x v="3"/>
    <n v="94.4"/>
    <n v="9"/>
    <n v="99"/>
    <n v="99"/>
    <n v="97"/>
  </r>
  <r>
    <n v="2017"/>
    <x v="7"/>
    <s v="Baptist"/>
    <n v="104133"/>
    <x v="8"/>
    <x v="4"/>
    <n v="97.2"/>
    <n v="9"/>
    <n v="99"/>
    <n v="99"/>
    <n v="99"/>
  </r>
  <r>
    <n v="2017"/>
    <x v="7"/>
    <s v="Baptist"/>
    <n v="104133"/>
    <x v="8"/>
    <x v="5"/>
    <n v="77.8"/>
    <n v="9"/>
    <n v="56"/>
    <n v="23"/>
    <n v="30"/>
  </r>
  <r>
    <n v="2017"/>
    <x v="7"/>
    <s v="Baptist"/>
    <n v="110569"/>
    <x v="6"/>
    <x v="0"/>
    <n v="92"/>
    <n v="7"/>
    <n v="99"/>
    <n v="96"/>
    <n v="88"/>
  </r>
  <r>
    <n v="2017"/>
    <x v="7"/>
    <s v="Baptist"/>
    <n v="110569"/>
    <x v="6"/>
    <x v="1"/>
    <n v="92.9"/>
    <n v="7"/>
    <n v="99"/>
    <n v="98"/>
    <n v="94"/>
  </r>
  <r>
    <n v="2017"/>
    <x v="7"/>
    <s v="Baptist"/>
    <n v="110569"/>
    <x v="6"/>
    <x v="2"/>
    <n v="89.3"/>
    <n v="7"/>
    <n v="87"/>
    <n v="73"/>
    <n v="69"/>
  </r>
  <r>
    <n v="2017"/>
    <x v="7"/>
    <s v="Baptist"/>
    <n v="110569"/>
    <x v="6"/>
    <x v="3"/>
    <n v="92.9"/>
    <n v="7"/>
    <n v="99"/>
    <n v="98"/>
    <n v="94"/>
  </r>
  <r>
    <n v="2017"/>
    <x v="7"/>
    <s v="Baptist"/>
    <n v="110569"/>
    <x v="6"/>
    <x v="4"/>
    <n v="92.9"/>
    <n v="7"/>
    <n v="98"/>
    <n v="94"/>
    <n v="84"/>
  </r>
  <r>
    <n v="2017"/>
    <x v="7"/>
    <s v="Baptist"/>
    <n v="110569"/>
    <x v="6"/>
    <x v="5"/>
    <n v="71.400000000000006"/>
    <n v="7"/>
    <n v="32"/>
    <n v="9"/>
    <n v="11"/>
  </r>
  <r>
    <n v="2017"/>
    <x v="7"/>
    <s v="Baptist"/>
    <n v="121681"/>
    <x v="17"/>
    <x v="0"/>
    <n v="89.6"/>
    <n v="6"/>
    <n v="92"/>
    <n v="81"/>
    <n v="73"/>
  </r>
  <r>
    <n v="2017"/>
    <x v="7"/>
    <s v="Baptist"/>
    <n v="121681"/>
    <x v="17"/>
    <x v="1"/>
    <n v="87.5"/>
    <n v="6"/>
    <n v="87"/>
    <n v="75"/>
    <n v="64"/>
  </r>
  <r>
    <n v="2017"/>
    <x v="7"/>
    <s v="Baptist"/>
    <n v="121681"/>
    <x v="17"/>
    <x v="2"/>
    <n v="87.5"/>
    <n v="6"/>
    <n v="67"/>
    <n v="58"/>
    <n v="51"/>
  </r>
  <r>
    <n v="2017"/>
    <x v="7"/>
    <s v="Baptist"/>
    <n v="121681"/>
    <x v="17"/>
    <x v="3"/>
    <n v="91.7"/>
    <n v="6"/>
    <n v="99"/>
    <n v="97"/>
    <n v="90"/>
  </r>
  <r>
    <n v="2017"/>
    <x v="7"/>
    <s v="Baptist"/>
    <n v="121681"/>
    <x v="17"/>
    <x v="4"/>
    <n v="91.7"/>
    <n v="6"/>
    <n v="91"/>
    <n v="77"/>
    <n v="74"/>
  </r>
  <r>
    <n v="2017"/>
    <x v="7"/>
    <s v="Baptist"/>
    <n v="121681"/>
    <x v="17"/>
    <x v="5"/>
    <n v="75"/>
    <n v="6"/>
    <n v="45"/>
    <n v="15"/>
    <n v="19"/>
  </r>
  <r>
    <n v="2017"/>
    <x v="7"/>
    <s v="Baptist"/>
    <n v="150441"/>
    <x v="18"/>
    <x v="0"/>
    <n v="89.6"/>
    <n v="6"/>
    <n v="92"/>
    <n v="81"/>
    <n v="73"/>
  </r>
  <r>
    <n v="2017"/>
    <x v="7"/>
    <s v="Baptist"/>
    <n v="150441"/>
    <x v="18"/>
    <x v="1"/>
    <n v="87.5"/>
    <n v="6"/>
    <n v="87"/>
    <n v="75"/>
    <n v="64"/>
  </r>
  <r>
    <n v="2017"/>
    <x v="7"/>
    <s v="Baptist"/>
    <n v="150441"/>
    <x v="18"/>
    <x v="2"/>
    <n v="87.5"/>
    <n v="6"/>
    <n v="67"/>
    <n v="58"/>
    <n v="51"/>
  </r>
  <r>
    <n v="2017"/>
    <x v="7"/>
    <s v="Baptist"/>
    <n v="150441"/>
    <x v="18"/>
    <x v="3"/>
    <n v="91.7"/>
    <n v="6"/>
    <n v="99"/>
    <n v="97"/>
    <n v="90"/>
  </r>
  <r>
    <n v="2017"/>
    <x v="7"/>
    <s v="Baptist"/>
    <n v="150441"/>
    <x v="18"/>
    <x v="4"/>
    <n v="91.7"/>
    <n v="6"/>
    <n v="91"/>
    <n v="77"/>
    <n v="74"/>
  </r>
  <r>
    <n v="2017"/>
    <x v="7"/>
    <s v="Baptist"/>
    <n v="150441"/>
    <x v="18"/>
    <x v="5"/>
    <n v="83.3"/>
    <n v="6"/>
    <n v="89"/>
    <n v="65"/>
    <n v="60"/>
  </r>
  <r>
    <n v="2017"/>
    <x v="7"/>
    <s v="Baptist"/>
    <n v="130674"/>
    <x v="0"/>
    <x v="0"/>
    <n v="91.7"/>
    <n v="3"/>
    <n v="99"/>
    <n v="96"/>
    <n v="87"/>
  </r>
  <r>
    <n v="2017"/>
    <x v="7"/>
    <s v="Baptist"/>
    <n v="130674"/>
    <x v="0"/>
    <x v="1"/>
    <n v="91.7"/>
    <n v="3"/>
    <n v="99"/>
    <n v="97"/>
    <n v="90"/>
  </r>
  <r>
    <n v="2017"/>
    <x v="7"/>
    <s v="Baptist"/>
    <n v="130674"/>
    <x v="0"/>
    <x v="2"/>
    <n v="87.5"/>
    <n v="2"/>
    <n v="67"/>
    <n v="58"/>
    <n v="51"/>
  </r>
  <r>
    <n v="2017"/>
    <x v="7"/>
    <s v="Baptist"/>
    <n v="130674"/>
    <x v="0"/>
    <x v="3"/>
    <n v="91.7"/>
    <n v="3"/>
    <n v="99"/>
    <n v="97"/>
    <n v="90"/>
  </r>
  <r>
    <n v="2017"/>
    <x v="7"/>
    <s v="Baptist"/>
    <n v="130674"/>
    <x v="0"/>
    <x v="4"/>
    <n v="91.7"/>
    <n v="3"/>
    <n v="91"/>
    <n v="77"/>
    <n v="74"/>
  </r>
  <r>
    <n v="2017"/>
    <x v="7"/>
    <s v="Baptist"/>
    <n v="130674"/>
    <x v="0"/>
    <x v="5"/>
    <n v="75"/>
    <n v="3"/>
    <n v="45"/>
    <n v="15"/>
    <n v="19"/>
  </r>
  <r>
    <n v="2017"/>
    <x v="7"/>
    <s v="Baptist"/>
    <n v="117671"/>
    <x v="13"/>
    <x v="0"/>
    <n v="79.2"/>
    <n v="3"/>
    <n v="4"/>
    <n v="4"/>
    <n v="5"/>
  </r>
  <r>
    <n v="2017"/>
    <x v="7"/>
    <s v="Baptist"/>
    <n v="117671"/>
    <x v="13"/>
    <x v="1"/>
    <n v="66.7"/>
    <n v="3"/>
    <n v="1"/>
    <n v="1"/>
    <n v="1"/>
  </r>
  <r>
    <n v="2017"/>
    <x v="7"/>
    <s v="Baptist"/>
    <n v="117671"/>
    <x v="13"/>
    <x v="2"/>
    <n v="83.3"/>
    <n v="3"/>
    <n v="26"/>
    <n v="19"/>
    <n v="16"/>
  </r>
  <r>
    <n v="2017"/>
    <x v="7"/>
    <s v="Baptist"/>
    <n v="117671"/>
    <x v="13"/>
    <x v="3"/>
    <n v="75"/>
    <n v="3"/>
    <n v="3"/>
    <n v="2"/>
    <n v="2"/>
  </r>
  <r>
    <n v="2017"/>
    <x v="7"/>
    <s v="Baptist"/>
    <n v="117671"/>
    <x v="13"/>
    <x v="4"/>
    <n v="91.7"/>
    <n v="3"/>
    <n v="91"/>
    <n v="77"/>
    <n v="74"/>
  </r>
  <r>
    <n v="2017"/>
    <x v="7"/>
    <s v="Baptist"/>
    <n v="117671"/>
    <x v="13"/>
    <x v="5"/>
    <n v="83.3"/>
    <n v="3"/>
    <n v="89"/>
    <n v="65"/>
    <n v="60"/>
  </r>
  <r>
    <n v="2017"/>
    <x v="7"/>
    <s v="Baptist"/>
    <n v="88963"/>
    <x v="22"/>
    <x v="0"/>
    <n v="87.5"/>
    <n v="12"/>
    <n v="73"/>
    <n v="58"/>
    <n v="54"/>
  </r>
  <r>
    <n v="2017"/>
    <x v="7"/>
    <s v="Baptist"/>
    <n v="88963"/>
    <x v="22"/>
    <x v="1"/>
    <n v="87.5"/>
    <n v="12"/>
    <n v="87"/>
    <n v="75"/>
    <n v="64"/>
  </r>
  <r>
    <n v="2017"/>
    <x v="7"/>
    <s v="Baptist"/>
    <n v="88963"/>
    <x v="22"/>
    <x v="2"/>
    <n v="87.5"/>
    <n v="12"/>
    <n v="67"/>
    <n v="58"/>
    <n v="51"/>
  </r>
  <r>
    <n v="2017"/>
    <x v="7"/>
    <s v="Baptist"/>
    <n v="88963"/>
    <x v="22"/>
    <x v="3"/>
    <n v="85.4"/>
    <n v="12"/>
    <n v="64"/>
    <n v="48"/>
    <n v="44"/>
  </r>
  <r>
    <n v="2017"/>
    <x v="7"/>
    <s v="Baptist"/>
    <n v="88963"/>
    <x v="22"/>
    <x v="4"/>
    <n v="89.6"/>
    <n v="12"/>
    <n v="69"/>
    <n v="55"/>
    <n v="52"/>
  </r>
  <r>
    <n v="2017"/>
    <x v="7"/>
    <s v="Baptist"/>
    <n v="88963"/>
    <x v="22"/>
    <x v="5"/>
    <n v="65.900000000000006"/>
    <n v="11"/>
    <n v="13"/>
    <n v="4"/>
    <n v="3"/>
  </r>
  <r>
    <n v="2017"/>
    <x v="7"/>
    <s v="Baptist"/>
    <n v="153700"/>
    <x v="26"/>
    <x v="0"/>
    <n v="89.3"/>
    <n v="7"/>
    <n v="91"/>
    <n v="78"/>
    <n v="71"/>
  </r>
  <r>
    <n v="2017"/>
    <x v="7"/>
    <s v="Baptist"/>
    <n v="153700"/>
    <x v="26"/>
    <x v="1"/>
    <n v="87.5"/>
    <n v="6"/>
    <n v="87"/>
    <n v="75"/>
    <n v="64"/>
  </r>
  <r>
    <n v="2017"/>
    <x v="7"/>
    <s v="Baptist"/>
    <n v="153700"/>
    <x v="26"/>
    <x v="2"/>
    <n v="89.3"/>
    <n v="7"/>
    <n v="87"/>
    <n v="73"/>
    <n v="69"/>
  </r>
  <r>
    <n v="2017"/>
    <x v="7"/>
    <s v="Baptist"/>
    <n v="153700"/>
    <x v="26"/>
    <x v="3"/>
    <n v="87.5"/>
    <n v="6"/>
    <n v="86"/>
    <n v="72"/>
    <n v="63"/>
  </r>
  <r>
    <n v="2017"/>
    <x v="7"/>
    <s v="Baptist"/>
    <n v="153700"/>
    <x v="26"/>
    <x v="4"/>
    <n v="89.3"/>
    <n v="7"/>
    <n v="68"/>
    <n v="50"/>
    <n v="48"/>
  </r>
  <r>
    <n v="2017"/>
    <x v="7"/>
    <s v="Baptist"/>
    <n v="153700"/>
    <x v="26"/>
    <x v="5"/>
    <n v="85.7"/>
    <n v="7"/>
    <n v="98"/>
    <n v="82"/>
    <n v="75"/>
  </r>
  <r>
    <n v="2017"/>
    <x v="7"/>
    <s v="Baptist"/>
    <n v="177162"/>
    <x v="1"/>
    <x v="0"/>
    <n v="87.1"/>
    <n v="14"/>
    <n v="69"/>
    <n v="56"/>
    <n v="49"/>
  </r>
  <r>
    <n v="2017"/>
    <x v="7"/>
    <s v="Baptist"/>
    <n v="177162"/>
    <x v="1"/>
    <x v="1"/>
    <n v="85.7"/>
    <n v="14"/>
    <n v="68"/>
    <n v="54"/>
    <n v="48"/>
  </r>
  <r>
    <n v="2017"/>
    <x v="7"/>
    <s v="Baptist"/>
    <n v="177162"/>
    <x v="1"/>
    <x v="2"/>
    <n v="87.5"/>
    <n v="14"/>
    <n v="67"/>
    <n v="58"/>
    <n v="51"/>
  </r>
  <r>
    <n v="2017"/>
    <x v="7"/>
    <s v="Baptist"/>
    <n v="177162"/>
    <x v="1"/>
    <x v="3"/>
    <n v="85.7"/>
    <n v="14"/>
    <n v="68"/>
    <n v="48"/>
    <n v="47"/>
  </r>
  <r>
    <n v="2017"/>
    <x v="7"/>
    <s v="Baptist"/>
    <n v="177162"/>
    <x v="1"/>
    <x v="4"/>
    <n v="89.3"/>
    <n v="14"/>
    <n v="68"/>
    <n v="50"/>
    <n v="48"/>
  </r>
  <r>
    <n v="2017"/>
    <x v="7"/>
    <s v="Baptist"/>
    <n v="177162"/>
    <x v="1"/>
    <x v="5"/>
    <n v="67.900000000000006"/>
    <n v="14"/>
    <n v="18"/>
    <n v="5"/>
    <n v="4"/>
  </r>
  <r>
    <n v="2017"/>
    <x v="7"/>
    <s v="Baptist"/>
    <n v="23994"/>
    <x v="19"/>
    <x v="0"/>
    <n v="85.2"/>
    <n v="8"/>
    <n v="50"/>
    <n v="35"/>
    <n v="31"/>
  </r>
  <r>
    <n v="2017"/>
    <x v="7"/>
    <s v="Baptist"/>
    <n v="23994"/>
    <x v="19"/>
    <x v="1"/>
    <n v="81.3"/>
    <n v="8"/>
    <n v="27"/>
    <n v="18"/>
    <n v="15"/>
  </r>
  <r>
    <n v="2017"/>
    <x v="7"/>
    <s v="Baptist"/>
    <n v="23994"/>
    <x v="19"/>
    <x v="2"/>
    <n v="85.7"/>
    <n v="7"/>
    <n v="50"/>
    <n v="35"/>
    <n v="33"/>
  </r>
  <r>
    <n v="2017"/>
    <x v="7"/>
    <s v="Baptist"/>
    <n v="23994"/>
    <x v="19"/>
    <x v="3"/>
    <n v="84.4"/>
    <n v="8"/>
    <n v="53"/>
    <n v="39"/>
    <n v="35"/>
  </r>
  <r>
    <n v="2017"/>
    <x v="7"/>
    <s v="Baptist"/>
    <n v="23994"/>
    <x v="19"/>
    <x v="4"/>
    <n v="87.5"/>
    <n v="8"/>
    <n v="50"/>
    <n v="29"/>
    <n v="30"/>
  </r>
  <r>
    <n v="2017"/>
    <x v="7"/>
    <s v="Baptist"/>
    <n v="23994"/>
    <x v="19"/>
    <x v="5"/>
    <n v="46.9"/>
    <n v="8"/>
    <n v="1"/>
    <n v="1"/>
    <n v="1"/>
  </r>
  <r>
    <n v="2017"/>
    <x v="7"/>
    <s v="Baptist"/>
    <n v="91397"/>
    <x v="29"/>
    <x v="0"/>
    <n v="82.8"/>
    <n v="4"/>
    <n v="24"/>
    <n v="18"/>
    <n v="15"/>
  </r>
  <r>
    <n v="2017"/>
    <x v="7"/>
    <s v="Baptist"/>
    <n v="91397"/>
    <x v="29"/>
    <x v="1"/>
    <n v="81.3"/>
    <n v="4"/>
    <n v="27"/>
    <n v="18"/>
    <n v="15"/>
  </r>
  <r>
    <n v="2017"/>
    <x v="7"/>
    <s v="Baptist"/>
    <n v="91397"/>
    <x v="29"/>
    <x v="2"/>
    <n v="81.3"/>
    <n v="4"/>
    <n v="11"/>
    <n v="7"/>
    <n v="9"/>
  </r>
  <r>
    <n v="2017"/>
    <x v="7"/>
    <s v="Baptist"/>
    <n v="91397"/>
    <x v="29"/>
    <x v="3"/>
    <n v="75"/>
    <n v="3"/>
    <n v="3"/>
    <n v="2"/>
    <n v="2"/>
  </r>
  <r>
    <n v="2017"/>
    <x v="7"/>
    <s v="Baptist"/>
    <n v="91397"/>
    <x v="29"/>
    <x v="4"/>
    <n v="87.5"/>
    <n v="4"/>
    <n v="50"/>
    <n v="29"/>
    <n v="30"/>
  </r>
  <r>
    <n v="2017"/>
    <x v="7"/>
    <s v="Baptist"/>
    <n v="91397"/>
    <x v="29"/>
    <x v="5"/>
    <n v="83.3"/>
    <n v="3"/>
    <n v="89"/>
    <n v="65"/>
    <n v="60"/>
  </r>
  <r>
    <n v="2017"/>
    <x v="7"/>
    <s v="Baptist"/>
    <n v="91405"/>
    <x v="27"/>
    <x v="0"/>
    <n v="82.8"/>
    <n v="8"/>
    <n v="24"/>
    <n v="18"/>
    <n v="15"/>
  </r>
  <r>
    <n v="2017"/>
    <x v="7"/>
    <s v="Baptist"/>
    <n v="91405"/>
    <x v="27"/>
    <x v="1"/>
    <n v="84.4"/>
    <n v="8"/>
    <n v="57"/>
    <n v="41"/>
    <n v="36"/>
  </r>
  <r>
    <n v="2017"/>
    <x v="7"/>
    <s v="Baptist"/>
    <n v="91405"/>
    <x v="27"/>
    <x v="2"/>
    <n v="81.3"/>
    <n v="8"/>
    <n v="11"/>
    <n v="7"/>
    <n v="9"/>
  </r>
  <r>
    <n v="2017"/>
    <x v="7"/>
    <s v="Baptist"/>
    <n v="91405"/>
    <x v="27"/>
    <x v="3"/>
    <n v="78.099999999999994"/>
    <n v="8"/>
    <n v="10"/>
    <n v="6"/>
    <n v="6"/>
  </r>
  <r>
    <n v="2017"/>
    <x v="7"/>
    <s v="Baptist"/>
    <n v="91405"/>
    <x v="27"/>
    <x v="4"/>
    <n v="87.5"/>
    <n v="8"/>
    <n v="50"/>
    <n v="29"/>
    <n v="30"/>
  </r>
  <r>
    <n v="2017"/>
    <x v="7"/>
    <s v="Baptist"/>
    <n v="91405"/>
    <x v="27"/>
    <x v="5"/>
    <n v="84.4"/>
    <n v="8"/>
    <n v="95"/>
    <n v="69"/>
    <n v="67"/>
  </r>
  <r>
    <n v="2017"/>
    <x v="7"/>
    <s v="Baptist"/>
    <n v="70359"/>
    <x v="7"/>
    <x v="0"/>
    <n v="81.3"/>
    <n v="6"/>
    <n v="18"/>
    <n v="9"/>
    <n v="10"/>
  </r>
  <r>
    <n v="2017"/>
    <x v="7"/>
    <s v="Baptist"/>
    <n v="70359"/>
    <x v="7"/>
    <x v="1"/>
    <n v="79.2"/>
    <n v="6"/>
    <n v="14"/>
    <n v="9"/>
    <n v="8"/>
  </r>
  <r>
    <n v="2017"/>
    <x v="7"/>
    <s v="Baptist"/>
    <n v="70359"/>
    <x v="7"/>
    <x v="2"/>
    <n v="79.2"/>
    <n v="6"/>
    <n v="3"/>
    <n v="4"/>
    <n v="4"/>
  </r>
  <r>
    <n v="2017"/>
    <x v="7"/>
    <s v="Baptist"/>
    <n v="70359"/>
    <x v="7"/>
    <x v="3"/>
    <n v="79.2"/>
    <n v="6"/>
    <n v="13"/>
    <n v="8"/>
    <n v="8"/>
  </r>
  <r>
    <n v="2017"/>
    <x v="7"/>
    <s v="Baptist"/>
    <n v="70359"/>
    <x v="7"/>
    <x v="4"/>
    <n v="87.5"/>
    <n v="6"/>
    <n v="50"/>
    <n v="29"/>
    <n v="30"/>
  </r>
  <r>
    <n v="2017"/>
    <x v="7"/>
    <s v="Baptist"/>
    <n v="70359"/>
    <x v="7"/>
    <x v="5"/>
    <n v="62.5"/>
    <n v="6"/>
    <n v="6"/>
    <n v="3"/>
    <n v="1"/>
  </r>
  <r>
    <n v="2017"/>
    <x v="7"/>
    <s v="Baptist"/>
    <n v="89391"/>
    <x v="15"/>
    <x v="0"/>
    <n v="84.6"/>
    <n v="15"/>
    <n v="39"/>
    <n v="28"/>
    <n v="27"/>
  </r>
  <r>
    <n v="2017"/>
    <x v="7"/>
    <s v="Baptist"/>
    <n v="89391"/>
    <x v="15"/>
    <x v="1"/>
    <n v="86.7"/>
    <n v="15"/>
    <n v="82"/>
    <n v="63"/>
    <n v="57"/>
  </r>
  <r>
    <n v="2017"/>
    <x v="7"/>
    <s v="Baptist"/>
    <n v="89391"/>
    <x v="15"/>
    <x v="2"/>
    <n v="86.7"/>
    <n v="15"/>
    <n v="58"/>
    <n v="49"/>
    <n v="43"/>
  </r>
  <r>
    <n v="2017"/>
    <x v="7"/>
    <s v="Baptist"/>
    <n v="89391"/>
    <x v="15"/>
    <x v="3"/>
    <n v="78.3"/>
    <n v="15"/>
    <n v="10"/>
    <n v="7"/>
    <n v="6"/>
  </r>
  <r>
    <n v="2017"/>
    <x v="7"/>
    <s v="Baptist"/>
    <n v="89391"/>
    <x v="15"/>
    <x v="4"/>
    <n v="86.7"/>
    <n v="15"/>
    <n v="35"/>
    <n v="22"/>
    <n v="23"/>
  </r>
  <r>
    <n v="2017"/>
    <x v="7"/>
    <s v="Baptist"/>
    <n v="89391"/>
    <x v="15"/>
    <x v="5"/>
    <n v="83.3"/>
    <n v="15"/>
    <n v="89"/>
    <n v="65"/>
    <n v="60"/>
  </r>
  <r>
    <n v="2017"/>
    <x v="7"/>
    <s v="Baptist"/>
    <n v="60707"/>
    <x v="30"/>
    <x v="0"/>
    <n v="83.5"/>
    <n v="11"/>
    <n v="31"/>
    <n v="21"/>
    <n v="19"/>
  </r>
  <r>
    <n v="2017"/>
    <x v="7"/>
    <s v="Baptist"/>
    <n v="60707"/>
    <x v="30"/>
    <x v="1"/>
    <n v="81.8"/>
    <n v="11"/>
    <n v="29"/>
    <n v="21"/>
    <n v="18"/>
  </r>
  <r>
    <n v="2017"/>
    <x v="7"/>
    <s v="Baptist"/>
    <n v="60707"/>
    <x v="30"/>
    <x v="2"/>
    <n v="84.1"/>
    <n v="11"/>
    <n v="33"/>
    <n v="23"/>
    <n v="21"/>
  </r>
  <r>
    <n v="2017"/>
    <x v="7"/>
    <s v="Baptist"/>
    <n v="60707"/>
    <x v="30"/>
    <x v="3"/>
    <n v="80"/>
    <n v="10"/>
    <n v="21"/>
    <n v="11"/>
    <n v="10"/>
  </r>
  <r>
    <n v="2017"/>
    <x v="7"/>
    <s v="Baptist"/>
    <n v="60707"/>
    <x v="30"/>
    <x v="4"/>
    <n v="86.4"/>
    <n v="11"/>
    <n v="32"/>
    <n v="21"/>
    <n v="21"/>
  </r>
  <r>
    <n v="2017"/>
    <x v="7"/>
    <s v="Baptist"/>
    <n v="60707"/>
    <x v="30"/>
    <x v="5"/>
    <n v="81.8"/>
    <n v="11"/>
    <n v="80"/>
    <n v="49"/>
    <n v="51"/>
  </r>
  <r>
    <n v="2017"/>
    <x v="7"/>
    <s v="Baptist"/>
    <n v="59899"/>
    <x v="10"/>
    <x v="0"/>
    <n v="80.099999999999994"/>
    <n v="13"/>
    <n v="9"/>
    <n v="6"/>
    <n v="6"/>
  </r>
  <r>
    <n v="2017"/>
    <x v="7"/>
    <s v="Baptist"/>
    <n v="59899"/>
    <x v="10"/>
    <x v="1"/>
    <n v="75"/>
    <n v="13"/>
    <n v="3"/>
    <n v="3"/>
    <n v="2"/>
  </r>
  <r>
    <n v="2017"/>
    <x v="7"/>
    <s v="Baptist"/>
    <n v="59899"/>
    <x v="10"/>
    <x v="2"/>
    <n v="78.900000000000006"/>
    <n v="13"/>
    <n v="3"/>
    <n v="4"/>
    <n v="4"/>
  </r>
  <r>
    <n v="2017"/>
    <x v="7"/>
    <s v="Baptist"/>
    <n v="59899"/>
    <x v="10"/>
    <x v="3"/>
    <n v="81.3"/>
    <n v="12"/>
    <n v="26"/>
    <n v="16"/>
    <n v="15"/>
  </r>
  <r>
    <n v="2017"/>
    <x v="7"/>
    <s v="Baptist"/>
    <n v="59899"/>
    <x v="10"/>
    <x v="4"/>
    <n v="84.6"/>
    <n v="13"/>
    <n v="18"/>
    <n v="7"/>
    <n v="12"/>
  </r>
  <r>
    <n v="2017"/>
    <x v="7"/>
    <s v="Baptist"/>
    <n v="59899"/>
    <x v="10"/>
    <x v="5"/>
    <n v="59.6"/>
    <n v="13"/>
    <n v="3"/>
    <n v="1"/>
    <n v="1"/>
  </r>
  <r>
    <n v="2017"/>
    <x v="7"/>
    <s v="Baptist"/>
    <n v="117465"/>
    <x v="11"/>
    <x v="0"/>
    <n v="78.099999999999994"/>
    <n v="8"/>
    <n v="3"/>
    <n v="4"/>
    <n v="3"/>
  </r>
  <r>
    <n v="2017"/>
    <x v="7"/>
    <s v="Baptist"/>
    <n v="117465"/>
    <x v="11"/>
    <x v="1"/>
    <n v="81.3"/>
    <n v="8"/>
    <n v="27"/>
    <n v="18"/>
    <n v="15"/>
  </r>
  <r>
    <n v="2017"/>
    <x v="7"/>
    <s v="Baptist"/>
    <n v="117465"/>
    <x v="11"/>
    <x v="2"/>
    <n v="75"/>
    <n v="8"/>
    <n v="1"/>
    <n v="1"/>
    <n v="1"/>
  </r>
  <r>
    <n v="2017"/>
    <x v="7"/>
    <s v="Baptist"/>
    <n v="117465"/>
    <x v="11"/>
    <x v="3"/>
    <n v="71.900000000000006"/>
    <n v="8"/>
    <n v="1"/>
    <n v="1"/>
    <n v="1"/>
  </r>
  <r>
    <n v="2017"/>
    <x v="7"/>
    <s v="Baptist"/>
    <n v="117465"/>
    <x v="11"/>
    <x v="4"/>
    <n v="84.4"/>
    <n v="8"/>
    <n v="18"/>
    <n v="7"/>
    <n v="11"/>
  </r>
  <r>
    <n v="2017"/>
    <x v="7"/>
    <s v="Baptist"/>
    <n v="117465"/>
    <x v="11"/>
    <x v="5"/>
    <n v="56.3"/>
    <n v="8"/>
    <n v="1"/>
    <n v="1"/>
    <n v="1"/>
  </r>
  <r>
    <n v="2017"/>
    <x v="7"/>
    <s v="Baptist"/>
    <n v="8888"/>
    <x v="32"/>
    <x v="0"/>
    <n v="83.3"/>
    <n v="6"/>
    <n v="30"/>
    <n v="21"/>
    <n v="18"/>
  </r>
  <r>
    <n v="2017"/>
    <x v="7"/>
    <s v="Baptist"/>
    <n v="8888"/>
    <x v="32"/>
    <x v="1"/>
    <n v="83.3"/>
    <n v="6"/>
    <n v="45"/>
    <n v="29"/>
    <n v="28"/>
  </r>
  <r>
    <n v="2017"/>
    <x v="7"/>
    <s v="Baptist"/>
    <n v="8888"/>
    <x v="32"/>
    <x v="2"/>
    <n v="83.3"/>
    <n v="6"/>
    <n v="26"/>
    <n v="19"/>
    <n v="16"/>
  </r>
  <r>
    <n v="2017"/>
    <x v="7"/>
    <s v="Baptist"/>
    <n v="8888"/>
    <x v="32"/>
    <x v="3"/>
    <n v="83.3"/>
    <n v="6"/>
    <n v="41"/>
    <n v="33"/>
    <n v="27"/>
  </r>
  <r>
    <n v="2017"/>
    <x v="7"/>
    <s v="Baptist"/>
    <n v="8888"/>
    <x v="32"/>
    <x v="4"/>
    <n v="83.3"/>
    <n v="6"/>
    <n v="10"/>
    <n v="5"/>
    <n v="7"/>
  </r>
  <r>
    <n v="2017"/>
    <x v="7"/>
    <s v="Baptist"/>
    <n v="8888"/>
    <x v="32"/>
    <x v="5"/>
    <n v="75"/>
    <n v="6"/>
    <n v="45"/>
    <n v="15"/>
    <n v="19"/>
  </r>
  <r>
    <n v="2017"/>
    <x v="7"/>
    <s v="Baptist"/>
    <n v="103275"/>
    <x v="14"/>
    <x v="0"/>
    <n v="73.2"/>
    <n v="7"/>
    <n v="1"/>
    <n v="1"/>
    <n v="1"/>
  </r>
  <r>
    <n v="2017"/>
    <x v="7"/>
    <s v="Baptist"/>
    <n v="103275"/>
    <x v="14"/>
    <x v="1"/>
    <n v="75"/>
    <n v="7"/>
    <n v="3"/>
    <n v="3"/>
    <n v="2"/>
  </r>
  <r>
    <n v="2017"/>
    <x v="7"/>
    <s v="Baptist"/>
    <n v="103275"/>
    <x v="14"/>
    <x v="2"/>
    <n v="75"/>
    <n v="7"/>
    <n v="1"/>
    <n v="1"/>
    <n v="1"/>
  </r>
  <r>
    <n v="2017"/>
    <x v="7"/>
    <s v="Baptist"/>
    <n v="103275"/>
    <x v="14"/>
    <x v="3"/>
    <n v="67.900000000000006"/>
    <n v="7"/>
    <n v="1"/>
    <n v="1"/>
    <n v="1"/>
  </r>
  <r>
    <n v="2017"/>
    <x v="7"/>
    <s v="Baptist"/>
    <n v="103275"/>
    <x v="14"/>
    <x v="4"/>
    <n v="75"/>
    <n v="7"/>
    <n v="1"/>
    <n v="1"/>
    <n v="1"/>
  </r>
  <r>
    <n v="2017"/>
    <x v="7"/>
    <s v="Baptist"/>
    <n v="103275"/>
    <x v="14"/>
    <x v="5"/>
    <n v="82.1"/>
    <n v="7"/>
    <n v="84"/>
    <n v="52"/>
    <n v="53"/>
  </r>
  <r>
    <n v="2017"/>
    <x v="7"/>
    <s v="Baptist"/>
    <n v="58321"/>
    <x v="28"/>
    <x v="0"/>
    <n v="78.900000000000006"/>
    <n v="8"/>
    <n v="4"/>
    <n v="4"/>
    <n v="4"/>
  </r>
  <r>
    <n v="2017"/>
    <x v="7"/>
    <s v="Baptist"/>
    <n v="58321"/>
    <x v="28"/>
    <x v="1"/>
    <n v="78.099999999999994"/>
    <n v="8"/>
    <n v="7"/>
    <n v="7"/>
    <n v="5"/>
  </r>
  <r>
    <n v="2017"/>
    <x v="7"/>
    <s v="Baptist"/>
    <n v="58321"/>
    <x v="28"/>
    <x v="2"/>
    <n v="78.099999999999994"/>
    <n v="8"/>
    <n v="3"/>
    <n v="4"/>
    <n v="3"/>
  </r>
  <r>
    <n v="2017"/>
    <x v="7"/>
    <s v="Baptist"/>
    <n v="58321"/>
    <x v="28"/>
    <x v="3"/>
    <n v="75"/>
    <n v="7"/>
    <n v="3"/>
    <n v="2"/>
    <n v="2"/>
  </r>
  <r>
    <n v="2017"/>
    <x v="7"/>
    <s v="Baptist"/>
    <n v="58321"/>
    <x v="28"/>
    <x v="4"/>
    <n v="81.3"/>
    <n v="8"/>
    <n v="4"/>
    <n v="4"/>
    <n v="4"/>
  </r>
  <r>
    <n v="2017"/>
    <x v="7"/>
    <s v="Baptist"/>
    <n v="58321"/>
    <x v="28"/>
    <x v="5"/>
    <n v="75"/>
    <n v="8"/>
    <n v="45"/>
    <n v="15"/>
    <n v="19"/>
  </r>
  <r>
    <n v="2017"/>
    <x v="7"/>
    <s v="Baptist"/>
    <n v="99911"/>
    <x v="21"/>
    <x v="0"/>
    <n v="75"/>
    <n v="13"/>
    <n v="2"/>
    <n v="1"/>
    <n v="1"/>
  </r>
  <r>
    <n v="2017"/>
    <x v="7"/>
    <s v="Baptist"/>
    <n v="99911"/>
    <x v="21"/>
    <x v="1"/>
    <n v="73.099999999999994"/>
    <n v="13"/>
    <n v="2"/>
    <n v="2"/>
    <n v="1"/>
  </r>
  <r>
    <n v="2017"/>
    <x v="7"/>
    <s v="Baptist"/>
    <n v="99911"/>
    <x v="21"/>
    <x v="2"/>
    <n v="78.900000000000006"/>
    <n v="13"/>
    <n v="3"/>
    <n v="4"/>
    <n v="4"/>
  </r>
  <r>
    <n v="2017"/>
    <x v="7"/>
    <s v="Baptist"/>
    <n v="99911"/>
    <x v="21"/>
    <x v="3"/>
    <n v="71.2"/>
    <n v="13"/>
    <n v="1"/>
    <n v="1"/>
    <n v="1"/>
  </r>
  <r>
    <n v="2017"/>
    <x v="7"/>
    <s v="Baptist"/>
    <n v="99911"/>
    <x v="21"/>
    <x v="4"/>
    <n v="76.900000000000006"/>
    <n v="13"/>
    <n v="1"/>
    <n v="1"/>
    <n v="1"/>
  </r>
  <r>
    <n v="2017"/>
    <x v="7"/>
    <s v="Baptist"/>
    <n v="99911"/>
    <x v="21"/>
    <x v="5"/>
    <n v="76.900000000000006"/>
    <n v="13"/>
    <n v="54"/>
    <n v="20"/>
    <n v="26"/>
  </r>
  <r>
    <n v="2017"/>
    <x v="7"/>
    <s v="Baptist"/>
    <n v="99093"/>
    <x v="2"/>
    <x v="0"/>
    <n v="67.2"/>
    <n v="8"/>
    <n v="1"/>
    <n v="1"/>
    <n v="1"/>
  </r>
  <r>
    <n v="2017"/>
    <x v="7"/>
    <s v="Baptist"/>
    <n v="99093"/>
    <x v="2"/>
    <x v="1"/>
    <n v="56.3"/>
    <n v="8"/>
    <n v="1"/>
    <n v="1"/>
    <n v="1"/>
  </r>
  <r>
    <n v="2017"/>
    <x v="7"/>
    <s v="Baptist"/>
    <n v="99093"/>
    <x v="2"/>
    <x v="2"/>
    <n v="68.8"/>
    <n v="8"/>
    <n v="1"/>
    <n v="1"/>
    <n v="1"/>
  </r>
  <r>
    <n v="2017"/>
    <x v="7"/>
    <s v="Baptist"/>
    <n v="99093"/>
    <x v="2"/>
    <x v="3"/>
    <n v="65.599999999999994"/>
    <n v="8"/>
    <n v="1"/>
    <n v="1"/>
    <n v="1"/>
  </r>
  <r>
    <n v="2017"/>
    <x v="7"/>
    <s v="Baptist"/>
    <n v="99093"/>
    <x v="2"/>
    <x v="4"/>
    <n v="78.099999999999994"/>
    <n v="8"/>
    <n v="1"/>
    <n v="1"/>
    <n v="1"/>
  </r>
  <r>
    <n v="2017"/>
    <x v="7"/>
    <s v="Baptist"/>
    <n v="99093"/>
    <x v="2"/>
    <x v="5"/>
    <n v="53.1"/>
    <n v="8"/>
    <n v="1"/>
    <n v="1"/>
    <n v="1"/>
  </r>
  <r>
    <n v="2017"/>
    <x v="7"/>
    <s v="Baptist"/>
    <n v="152587"/>
    <x v="16"/>
    <x v="0"/>
    <n v="61.6"/>
    <n v="7"/>
    <n v="1"/>
    <n v="1"/>
    <n v="1"/>
  </r>
  <r>
    <n v="2017"/>
    <x v="7"/>
    <s v="Baptist"/>
    <n v="152587"/>
    <x v="16"/>
    <x v="1"/>
    <n v="64.3"/>
    <n v="7"/>
    <n v="1"/>
    <n v="1"/>
    <n v="1"/>
  </r>
  <r>
    <n v="2017"/>
    <x v="7"/>
    <s v="Baptist"/>
    <n v="152587"/>
    <x v="16"/>
    <x v="2"/>
    <n v="60.7"/>
    <n v="7"/>
    <n v="1"/>
    <n v="1"/>
    <n v="1"/>
  </r>
  <r>
    <n v="2017"/>
    <x v="7"/>
    <s v="Baptist"/>
    <n v="152587"/>
    <x v="16"/>
    <x v="3"/>
    <n v="57.1"/>
    <n v="7"/>
    <n v="1"/>
    <n v="1"/>
    <n v="1"/>
  </r>
  <r>
    <n v="2017"/>
    <x v="7"/>
    <s v="Baptist"/>
    <n v="152587"/>
    <x v="16"/>
    <x v="4"/>
    <n v="66.7"/>
    <n v="6"/>
    <n v="1"/>
    <n v="1"/>
    <n v="1"/>
  </r>
  <r>
    <n v="2017"/>
    <x v="7"/>
    <s v="Baptist"/>
    <n v="152587"/>
    <x v="16"/>
    <x v="5"/>
    <n v="57.1"/>
    <n v="7"/>
    <n v="1"/>
    <n v="1"/>
    <n v="1"/>
  </r>
  <r>
    <n v="2017"/>
    <x v="8"/>
    <s v="Baptist"/>
    <n v="149344"/>
    <x v="23"/>
    <x v="0"/>
    <n v="93.8"/>
    <n v="1"/>
    <n v="99"/>
    <n v="95"/>
    <n v="99"/>
  </r>
  <r>
    <n v="2017"/>
    <x v="8"/>
    <s v="Baptist"/>
    <n v="149344"/>
    <x v="23"/>
    <x v="1"/>
    <n v="100"/>
    <n v="1"/>
    <n v="99"/>
    <n v="99"/>
    <n v="99"/>
  </r>
  <r>
    <n v="2017"/>
    <x v="8"/>
    <s v="Baptist"/>
    <n v="149344"/>
    <x v="23"/>
    <x v="2"/>
    <n v="100"/>
    <n v="1"/>
    <n v="99"/>
    <n v="99"/>
    <n v="99"/>
  </r>
  <r>
    <n v="2017"/>
    <x v="8"/>
    <s v="Baptist"/>
    <n v="149344"/>
    <x v="23"/>
    <x v="3"/>
    <n v="75"/>
    <n v="1"/>
    <n v="1"/>
    <n v="1"/>
    <n v="2"/>
  </r>
  <r>
    <n v="2017"/>
    <x v="8"/>
    <s v="Baptist"/>
    <n v="149344"/>
    <x v="23"/>
    <x v="4"/>
    <n v="100"/>
    <n v="1"/>
    <n v="99"/>
    <n v="99"/>
    <n v="99"/>
  </r>
  <r>
    <n v="2017"/>
    <x v="8"/>
    <s v="Baptist"/>
    <n v="149344"/>
    <x v="23"/>
    <x v="5"/>
    <n v="50"/>
    <n v="1"/>
    <n v="1"/>
    <n v="1"/>
    <n v="1"/>
  </r>
  <r>
    <n v="2017"/>
    <x v="8"/>
    <s v="Baptist"/>
    <n v="22673"/>
    <x v="5"/>
    <x v="0"/>
    <n v="99"/>
    <n v="6"/>
    <n v="99"/>
    <n v="99"/>
    <n v="99"/>
  </r>
  <r>
    <n v="2017"/>
    <x v="8"/>
    <s v="Baptist"/>
    <n v="22673"/>
    <x v="5"/>
    <x v="1"/>
    <n v="100"/>
    <n v="6"/>
    <n v="99"/>
    <n v="99"/>
    <n v="99"/>
  </r>
  <r>
    <n v="2017"/>
    <x v="8"/>
    <s v="Baptist"/>
    <n v="22673"/>
    <x v="5"/>
    <x v="2"/>
    <n v="100"/>
    <n v="6"/>
    <n v="99"/>
    <n v="99"/>
    <n v="99"/>
  </r>
  <r>
    <n v="2017"/>
    <x v="8"/>
    <s v="Baptist"/>
    <n v="22673"/>
    <x v="5"/>
    <x v="3"/>
    <n v="100"/>
    <n v="5"/>
    <n v="99"/>
    <n v="99"/>
    <n v="99"/>
  </r>
  <r>
    <n v="2017"/>
    <x v="8"/>
    <s v="Baptist"/>
    <n v="22673"/>
    <x v="5"/>
    <x v="4"/>
    <n v="95.8"/>
    <n v="6"/>
    <n v="99"/>
    <n v="97"/>
    <n v="99"/>
  </r>
  <r>
    <n v="2017"/>
    <x v="8"/>
    <s v="Baptist"/>
    <n v="22673"/>
    <x v="5"/>
    <x v="5"/>
    <n v="87.5"/>
    <n v="6"/>
    <n v="99"/>
    <n v="83"/>
    <n v="91"/>
  </r>
  <r>
    <n v="2017"/>
    <x v="8"/>
    <s v="Baptist"/>
    <n v="58321"/>
    <x v="28"/>
    <x v="0"/>
    <n v="100"/>
    <n v="3"/>
    <n v="99"/>
    <n v="99"/>
    <n v="99"/>
  </r>
  <r>
    <n v="2017"/>
    <x v="8"/>
    <s v="Baptist"/>
    <n v="58321"/>
    <x v="28"/>
    <x v="1"/>
    <n v="100"/>
    <n v="3"/>
    <n v="99"/>
    <n v="99"/>
    <n v="99"/>
  </r>
  <r>
    <n v="2017"/>
    <x v="8"/>
    <s v="Baptist"/>
    <n v="58321"/>
    <x v="28"/>
    <x v="2"/>
    <n v="100"/>
    <n v="3"/>
    <n v="99"/>
    <n v="99"/>
    <n v="99"/>
  </r>
  <r>
    <n v="2017"/>
    <x v="8"/>
    <s v="Baptist"/>
    <n v="58321"/>
    <x v="28"/>
    <x v="3"/>
    <n v="100"/>
    <n v="3"/>
    <n v="99"/>
    <n v="99"/>
    <n v="99"/>
  </r>
  <r>
    <n v="2017"/>
    <x v="8"/>
    <s v="Baptist"/>
    <n v="58321"/>
    <x v="28"/>
    <x v="4"/>
    <n v="100"/>
    <n v="3"/>
    <n v="99"/>
    <n v="99"/>
    <n v="99"/>
  </r>
  <r>
    <n v="2017"/>
    <x v="8"/>
    <s v="Baptist"/>
    <n v="58321"/>
    <x v="28"/>
    <x v="5"/>
    <n v="91.7"/>
    <n v="3"/>
    <n v="99"/>
    <n v="94"/>
    <n v="99"/>
  </r>
  <r>
    <n v="2017"/>
    <x v="8"/>
    <s v="Baptist"/>
    <n v="121681"/>
    <x v="17"/>
    <x v="0"/>
    <n v="95.3"/>
    <n v="4"/>
    <n v="99"/>
    <n v="98"/>
    <n v="99"/>
  </r>
  <r>
    <n v="2017"/>
    <x v="8"/>
    <s v="Baptist"/>
    <n v="121681"/>
    <x v="17"/>
    <x v="1"/>
    <n v="100"/>
    <n v="4"/>
    <n v="99"/>
    <n v="99"/>
    <n v="99"/>
  </r>
  <r>
    <n v="2017"/>
    <x v="8"/>
    <s v="Baptist"/>
    <n v="121681"/>
    <x v="17"/>
    <x v="2"/>
    <n v="100"/>
    <n v="4"/>
    <n v="99"/>
    <n v="99"/>
    <n v="99"/>
  </r>
  <r>
    <n v="2017"/>
    <x v="8"/>
    <s v="Baptist"/>
    <n v="121681"/>
    <x v="17"/>
    <x v="3"/>
    <n v="81.3"/>
    <n v="4"/>
    <n v="24"/>
    <n v="15"/>
    <n v="12"/>
  </r>
  <r>
    <n v="2017"/>
    <x v="8"/>
    <s v="Baptist"/>
    <n v="121681"/>
    <x v="17"/>
    <x v="4"/>
    <n v="100"/>
    <n v="4"/>
    <n v="99"/>
    <n v="99"/>
    <n v="99"/>
  </r>
  <r>
    <n v="2017"/>
    <x v="8"/>
    <s v="Baptist"/>
    <n v="121681"/>
    <x v="17"/>
    <x v="5"/>
    <n v="87.5"/>
    <n v="4"/>
    <n v="99"/>
    <n v="83"/>
    <n v="91"/>
  </r>
  <r>
    <n v="2017"/>
    <x v="8"/>
    <s v="Baptist"/>
    <n v="88963"/>
    <x v="22"/>
    <x v="0"/>
    <n v="95.8"/>
    <n v="3"/>
    <n v="99"/>
    <n v="98"/>
    <n v="99"/>
  </r>
  <r>
    <n v="2017"/>
    <x v="8"/>
    <s v="Baptist"/>
    <n v="88963"/>
    <x v="22"/>
    <x v="1"/>
    <n v="91.7"/>
    <n v="3"/>
    <n v="99"/>
    <n v="90"/>
    <n v="97"/>
  </r>
  <r>
    <n v="2017"/>
    <x v="8"/>
    <s v="Baptist"/>
    <n v="88963"/>
    <x v="22"/>
    <x v="2"/>
    <n v="100"/>
    <n v="3"/>
    <n v="99"/>
    <n v="99"/>
    <n v="99"/>
  </r>
  <r>
    <n v="2017"/>
    <x v="8"/>
    <s v="Baptist"/>
    <n v="88963"/>
    <x v="22"/>
    <x v="3"/>
    <n v="91.7"/>
    <n v="3"/>
    <n v="99"/>
    <n v="90"/>
    <n v="97"/>
  </r>
  <r>
    <n v="2017"/>
    <x v="8"/>
    <s v="Baptist"/>
    <n v="88963"/>
    <x v="22"/>
    <x v="4"/>
    <n v="100"/>
    <n v="3"/>
    <n v="99"/>
    <n v="99"/>
    <n v="99"/>
  </r>
  <r>
    <n v="2017"/>
    <x v="8"/>
    <s v="Baptist"/>
    <n v="88963"/>
    <x v="22"/>
    <x v="5"/>
    <n v="50"/>
    <n v="3"/>
    <n v="1"/>
    <n v="1"/>
    <n v="1"/>
  </r>
  <r>
    <n v="2017"/>
    <x v="8"/>
    <s v="Baptist"/>
    <n v="103275"/>
    <x v="14"/>
    <x v="0"/>
    <n v="91.1"/>
    <n v="7"/>
    <n v="99"/>
    <n v="84"/>
    <n v="93"/>
  </r>
  <r>
    <n v="2017"/>
    <x v="8"/>
    <s v="Baptist"/>
    <n v="103275"/>
    <x v="14"/>
    <x v="1"/>
    <n v="85.7"/>
    <n v="7"/>
    <n v="70"/>
    <n v="47"/>
    <n v="50"/>
  </r>
  <r>
    <n v="2017"/>
    <x v="8"/>
    <s v="Baptist"/>
    <n v="103275"/>
    <x v="14"/>
    <x v="2"/>
    <n v="96.4"/>
    <n v="7"/>
    <n v="99"/>
    <n v="98"/>
    <n v="99"/>
  </r>
  <r>
    <n v="2017"/>
    <x v="8"/>
    <s v="Baptist"/>
    <n v="103275"/>
    <x v="14"/>
    <x v="3"/>
    <n v="82.1"/>
    <n v="7"/>
    <n v="33"/>
    <n v="19"/>
    <n v="19"/>
  </r>
  <r>
    <n v="2017"/>
    <x v="8"/>
    <s v="Baptist"/>
    <n v="103275"/>
    <x v="14"/>
    <x v="4"/>
    <n v="100"/>
    <n v="7"/>
    <n v="99"/>
    <n v="99"/>
    <n v="99"/>
  </r>
  <r>
    <n v="2017"/>
    <x v="8"/>
    <s v="Baptist"/>
    <n v="103275"/>
    <x v="14"/>
    <x v="5"/>
    <n v="78.599999999999994"/>
    <n v="7"/>
    <n v="60"/>
    <n v="33"/>
    <n v="28"/>
  </r>
  <r>
    <n v="2017"/>
    <x v="8"/>
    <s v="Baptist"/>
    <n v="8888"/>
    <x v="32"/>
    <x v="0"/>
    <n v="98.4"/>
    <n v="8"/>
    <n v="99"/>
    <n v="99"/>
    <n v="99"/>
  </r>
  <r>
    <n v="2017"/>
    <x v="8"/>
    <s v="Baptist"/>
    <n v="8888"/>
    <x v="32"/>
    <x v="1"/>
    <n v="100"/>
    <n v="8"/>
    <n v="99"/>
    <n v="99"/>
    <n v="99"/>
  </r>
  <r>
    <n v="2017"/>
    <x v="8"/>
    <s v="Baptist"/>
    <n v="8888"/>
    <x v="32"/>
    <x v="2"/>
    <n v="96.9"/>
    <n v="8"/>
    <n v="99"/>
    <n v="99"/>
    <n v="99"/>
  </r>
  <r>
    <n v="2017"/>
    <x v="8"/>
    <s v="Baptist"/>
    <n v="8888"/>
    <x v="32"/>
    <x v="3"/>
    <n v="96.9"/>
    <n v="8"/>
    <n v="99"/>
    <n v="99"/>
    <n v="99"/>
  </r>
  <r>
    <n v="2017"/>
    <x v="8"/>
    <s v="Baptist"/>
    <n v="8888"/>
    <x v="32"/>
    <x v="4"/>
    <n v="100"/>
    <n v="8"/>
    <n v="99"/>
    <n v="99"/>
    <n v="99"/>
  </r>
  <r>
    <n v="2017"/>
    <x v="8"/>
    <s v="Baptist"/>
    <n v="8888"/>
    <x v="32"/>
    <x v="5"/>
    <n v="84.4"/>
    <n v="8"/>
    <n v="93"/>
    <n v="66"/>
    <n v="75"/>
  </r>
  <r>
    <n v="2017"/>
    <x v="8"/>
    <s v="Baptist"/>
    <n v="70375"/>
    <x v="12"/>
    <x v="0"/>
    <n v="92"/>
    <n v="7"/>
    <n v="99"/>
    <n v="88"/>
    <n v="96"/>
  </r>
  <r>
    <n v="2017"/>
    <x v="8"/>
    <s v="Baptist"/>
    <n v="70375"/>
    <x v="12"/>
    <x v="1"/>
    <n v="92.9"/>
    <n v="7"/>
    <n v="99"/>
    <n v="94"/>
    <n v="99"/>
  </r>
  <r>
    <n v="2017"/>
    <x v="8"/>
    <s v="Baptist"/>
    <n v="70375"/>
    <x v="12"/>
    <x v="2"/>
    <n v="92.9"/>
    <n v="7"/>
    <n v="99"/>
    <n v="92"/>
    <n v="98"/>
  </r>
  <r>
    <n v="2017"/>
    <x v="8"/>
    <s v="Baptist"/>
    <n v="70375"/>
    <x v="12"/>
    <x v="3"/>
    <n v="82.1"/>
    <n v="7"/>
    <n v="33"/>
    <n v="19"/>
    <n v="19"/>
  </r>
  <r>
    <n v="2017"/>
    <x v="8"/>
    <s v="Baptist"/>
    <n v="70375"/>
    <x v="12"/>
    <x v="4"/>
    <n v="100"/>
    <n v="7"/>
    <n v="99"/>
    <n v="99"/>
    <n v="99"/>
  </r>
  <r>
    <n v="2017"/>
    <x v="8"/>
    <s v="Baptist"/>
    <n v="70375"/>
    <x v="12"/>
    <x v="5"/>
    <n v="78.599999999999994"/>
    <n v="7"/>
    <n v="60"/>
    <n v="33"/>
    <n v="28"/>
  </r>
  <r>
    <n v="2017"/>
    <x v="8"/>
    <s v="Baptist"/>
    <n v="153700"/>
    <x v="26"/>
    <x v="0"/>
    <n v="96.1"/>
    <n v="8"/>
    <n v="99"/>
    <n v="98"/>
    <n v="99"/>
  </r>
  <r>
    <n v="2017"/>
    <x v="8"/>
    <s v="Baptist"/>
    <n v="153700"/>
    <x v="26"/>
    <x v="1"/>
    <n v="96.9"/>
    <n v="8"/>
    <n v="99"/>
    <n v="99"/>
    <n v="99"/>
  </r>
  <r>
    <n v="2017"/>
    <x v="8"/>
    <s v="Baptist"/>
    <n v="153700"/>
    <x v="26"/>
    <x v="2"/>
    <n v="93.8"/>
    <n v="8"/>
    <n v="99"/>
    <n v="94"/>
    <n v="99"/>
  </r>
  <r>
    <n v="2017"/>
    <x v="8"/>
    <s v="Baptist"/>
    <n v="153700"/>
    <x v="26"/>
    <x v="3"/>
    <n v="96.9"/>
    <n v="8"/>
    <n v="99"/>
    <n v="99"/>
    <n v="99"/>
  </r>
  <r>
    <n v="2017"/>
    <x v="8"/>
    <s v="Baptist"/>
    <n v="153700"/>
    <x v="26"/>
    <x v="4"/>
    <n v="96.9"/>
    <n v="8"/>
    <n v="99"/>
    <n v="98"/>
    <n v="99"/>
  </r>
  <r>
    <n v="2017"/>
    <x v="8"/>
    <s v="Baptist"/>
    <n v="153700"/>
    <x v="26"/>
    <x v="5"/>
    <n v="78.599999999999994"/>
    <n v="7"/>
    <n v="60"/>
    <n v="33"/>
    <n v="28"/>
  </r>
  <r>
    <n v="2017"/>
    <x v="8"/>
    <s v="Baptist"/>
    <n v="36541"/>
    <x v="9"/>
    <x v="0"/>
    <n v="88.8"/>
    <n v="5"/>
    <n v="86"/>
    <n v="65"/>
    <n v="68"/>
  </r>
  <r>
    <n v="2017"/>
    <x v="8"/>
    <s v="Baptist"/>
    <n v="36541"/>
    <x v="9"/>
    <x v="1"/>
    <n v="90"/>
    <n v="5"/>
    <n v="99"/>
    <n v="82"/>
    <n v="93"/>
  </r>
  <r>
    <n v="2017"/>
    <x v="8"/>
    <s v="Baptist"/>
    <n v="36541"/>
    <x v="9"/>
    <x v="2"/>
    <n v="90"/>
    <n v="5"/>
    <n v="92"/>
    <n v="73"/>
    <n v="79"/>
  </r>
  <r>
    <n v="2017"/>
    <x v="8"/>
    <s v="Baptist"/>
    <n v="36541"/>
    <x v="9"/>
    <x v="3"/>
    <n v="90"/>
    <n v="5"/>
    <n v="97"/>
    <n v="82"/>
    <n v="90"/>
  </r>
  <r>
    <n v="2017"/>
    <x v="8"/>
    <s v="Baptist"/>
    <n v="36541"/>
    <x v="9"/>
    <x v="4"/>
    <n v="85"/>
    <n v="5"/>
    <n v="21"/>
    <n v="13"/>
    <n v="10"/>
  </r>
  <r>
    <n v="2017"/>
    <x v="8"/>
    <s v="Baptist"/>
    <n v="36541"/>
    <x v="9"/>
    <x v="5"/>
    <n v="95"/>
    <n v="5"/>
    <n v="99"/>
    <n v="98"/>
    <n v="99"/>
  </r>
  <r>
    <n v="2017"/>
    <x v="8"/>
    <s v="Baptist"/>
    <n v="110569"/>
    <x v="6"/>
    <x v="0"/>
    <n v="88.8"/>
    <n v="14"/>
    <n v="86"/>
    <n v="65"/>
    <n v="68"/>
  </r>
  <r>
    <n v="2017"/>
    <x v="8"/>
    <s v="Baptist"/>
    <n v="110569"/>
    <x v="6"/>
    <x v="1"/>
    <n v="83.9"/>
    <n v="14"/>
    <n v="48"/>
    <n v="31"/>
    <n v="34"/>
  </r>
  <r>
    <n v="2017"/>
    <x v="8"/>
    <s v="Baptist"/>
    <n v="110569"/>
    <x v="6"/>
    <x v="2"/>
    <n v="89.3"/>
    <n v="14"/>
    <n v="86"/>
    <n v="67"/>
    <n v="71"/>
  </r>
  <r>
    <n v="2017"/>
    <x v="8"/>
    <s v="Baptist"/>
    <n v="110569"/>
    <x v="6"/>
    <x v="3"/>
    <n v="87.5"/>
    <n v="14"/>
    <n v="85"/>
    <n v="61"/>
    <n v="67"/>
  </r>
  <r>
    <n v="2017"/>
    <x v="8"/>
    <s v="Baptist"/>
    <n v="110569"/>
    <x v="6"/>
    <x v="4"/>
    <n v="94.6"/>
    <n v="14"/>
    <n v="99"/>
    <n v="94"/>
    <n v="98"/>
  </r>
  <r>
    <n v="2017"/>
    <x v="8"/>
    <s v="Baptist"/>
    <n v="110569"/>
    <x v="6"/>
    <x v="5"/>
    <n v="80.400000000000006"/>
    <n v="14"/>
    <n v="68"/>
    <n v="42"/>
    <n v="37"/>
  </r>
  <r>
    <n v="2017"/>
    <x v="8"/>
    <s v="Baptist"/>
    <n v="104133"/>
    <x v="8"/>
    <x v="0"/>
    <n v="86.6"/>
    <n v="7"/>
    <n v="58"/>
    <n v="43"/>
    <n v="44"/>
  </r>
  <r>
    <n v="2017"/>
    <x v="8"/>
    <s v="Baptist"/>
    <n v="104133"/>
    <x v="8"/>
    <x v="1"/>
    <n v="85.7"/>
    <n v="7"/>
    <n v="70"/>
    <n v="47"/>
    <n v="50"/>
  </r>
  <r>
    <n v="2017"/>
    <x v="8"/>
    <s v="Baptist"/>
    <n v="104133"/>
    <x v="8"/>
    <x v="2"/>
    <n v="82.1"/>
    <n v="7"/>
    <n v="17"/>
    <n v="11"/>
    <n v="7"/>
  </r>
  <r>
    <n v="2017"/>
    <x v="8"/>
    <s v="Baptist"/>
    <n v="104133"/>
    <x v="8"/>
    <x v="3"/>
    <n v="85.7"/>
    <n v="7"/>
    <n v="63"/>
    <n v="45"/>
    <n v="48"/>
  </r>
  <r>
    <n v="2017"/>
    <x v="8"/>
    <s v="Baptist"/>
    <n v="104133"/>
    <x v="8"/>
    <x v="4"/>
    <n v="92.9"/>
    <n v="7"/>
    <n v="98"/>
    <n v="83"/>
    <n v="93"/>
  </r>
  <r>
    <n v="2017"/>
    <x v="8"/>
    <s v="Baptist"/>
    <n v="104133"/>
    <x v="8"/>
    <x v="5"/>
    <n v="60.7"/>
    <n v="7"/>
    <n v="3"/>
    <n v="1"/>
    <n v="1"/>
  </r>
  <r>
    <n v="2017"/>
    <x v="8"/>
    <s v="Baptist"/>
    <n v="89391"/>
    <x v="15"/>
    <x v="0"/>
    <n v="81.3"/>
    <n v="5"/>
    <n v="16"/>
    <n v="8"/>
    <n v="9"/>
  </r>
  <r>
    <n v="2017"/>
    <x v="8"/>
    <s v="Baptist"/>
    <n v="89391"/>
    <x v="15"/>
    <x v="1"/>
    <n v="80"/>
    <n v="5"/>
    <n v="19"/>
    <n v="10"/>
    <n v="8"/>
  </r>
  <r>
    <n v="2017"/>
    <x v="8"/>
    <s v="Baptist"/>
    <n v="89391"/>
    <x v="15"/>
    <x v="2"/>
    <n v="85"/>
    <n v="5"/>
    <n v="39"/>
    <n v="27"/>
    <n v="27"/>
  </r>
  <r>
    <n v="2017"/>
    <x v="8"/>
    <s v="Baptist"/>
    <n v="89391"/>
    <x v="15"/>
    <x v="3"/>
    <n v="70"/>
    <n v="5"/>
    <n v="1"/>
    <n v="1"/>
    <n v="1"/>
  </r>
  <r>
    <n v="2017"/>
    <x v="8"/>
    <s v="Baptist"/>
    <n v="89391"/>
    <x v="15"/>
    <x v="4"/>
    <n v="90"/>
    <n v="5"/>
    <n v="70"/>
    <n v="55"/>
    <n v="57"/>
  </r>
  <r>
    <n v="2017"/>
    <x v="8"/>
    <s v="Baptist"/>
    <n v="89391"/>
    <x v="15"/>
    <x v="5"/>
    <n v="80"/>
    <n v="5"/>
    <n v="68"/>
    <n v="40"/>
    <n v="37"/>
  </r>
  <r>
    <n v="2017"/>
    <x v="8"/>
    <s v="Baptist"/>
    <n v="114603"/>
    <x v="24"/>
    <x v="0"/>
    <n v="85.7"/>
    <n v="14"/>
    <n v="54"/>
    <n v="35"/>
    <n v="36"/>
  </r>
  <r>
    <n v="2017"/>
    <x v="8"/>
    <s v="Baptist"/>
    <n v="114603"/>
    <x v="24"/>
    <x v="1"/>
    <n v="89.3"/>
    <n v="14"/>
    <n v="98"/>
    <n v="77"/>
    <n v="89"/>
  </r>
  <r>
    <n v="2017"/>
    <x v="8"/>
    <s v="Baptist"/>
    <n v="114603"/>
    <x v="24"/>
    <x v="2"/>
    <n v="85.7"/>
    <n v="14"/>
    <n v="46"/>
    <n v="32"/>
    <n v="33"/>
  </r>
  <r>
    <n v="2017"/>
    <x v="8"/>
    <s v="Baptist"/>
    <n v="114603"/>
    <x v="24"/>
    <x v="3"/>
    <n v="80.400000000000006"/>
    <n v="14"/>
    <n v="22"/>
    <n v="11"/>
    <n v="10"/>
  </r>
  <r>
    <n v="2017"/>
    <x v="8"/>
    <s v="Baptist"/>
    <n v="114603"/>
    <x v="24"/>
    <x v="4"/>
    <n v="87.5"/>
    <n v="14"/>
    <n v="45"/>
    <n v="29"/>
    <n v="28"/>
  </r>
  <r>
    <n v="2017"/>
    <x v="8"/>
    <s v="Baptist"/>
    <n v="114603"/>
    <x v="24"/>
    <x v="5"/>
    <n v="73.2"/>
    <n v="14"/>
    <n v="38"/>
    <n v="14"/>
    <n v="11"/>
  </r>
  <r>
    <n v="2017"/>
    <x v="8"/>
    <s v="Baptist"/>
    <n v="91405"/>
    <x v="27"/>
    <x v="0"/>
    <n v="86.6"/>
    <n v="7"/>
    <n v="58"/>
    <n v="43"/>
    <n v="44"/>
  </r>
  <r>
    <n v="2017"/>
    <x v="8"/>
    <s v="Baptist"/>
    <n v="91405"/>
    <x v="27"/>
    <x v="1"/>
    <n v="89.3"/>
    <n v="7"/>
    <n v="98"/>
    <n v="77"/>
    <n v="89"/>
  </r>
  <r>
    <n v="2017"/>
    <x v="8"/>
    <s v="Baptist"/>
    <n v="91405"/>
    <x v="27"/>
    <x v="2"/>
    <n v="89.3"/>
    <n v="7"/>
    <n v="86"/>
    <n v="67"/>
    <n v="71"/>
  </r>
  <r>
    <n v="2017"/>
    <x v="8"/>
    <s v="Baptist"/>
    <n v="91405"/>
    <x v="27"/>
    <x v="3"/>
    <n v="82.1"/>
    <n v="7"/>
    <n v="33"/>
    <n v="19"/>
    <n v="19"/>
  </r>
  <r>
    <n v="2017"/>
    <x v="8"/>
    <s v="Baptist"/>
    <n v="91405"/>
    <x v="27"/>
    <x v="4"/>
    <n v="85.7"/>
    <n v="7"/>
    <n v="27"/>
    <n v="17"/>
    <n v="11"/>
  </r>
  <r>
    <n v="2017"/>
    <x v="8"/>
    <s v="Baptist"/>
    <n v="91405"/>
    <x v="27"/>
    <x v="5"/>
    <n v="85.7"/>
    <n v="7"/>
    <n v="97"/>
    <n v="74"/>
    <n v="86"/>
  </r>
  <r>
    <n v="2017"/>
    <x v="8"/>
    <s v="Baptist"/>
    <n v="59899"/>
    <x v="10"/>
    <x v="0"/>
    <n v="83"/>
    <n v="7"/>
    <n v="29"/>
    <n v="16"/>
    <n v="13"/>
  </r>
  <r>
    <n v="2017"/>
    <x v="8"/>
    <s v="Baptist"/>
    <n v="59899"/>
    <x v="10"/>
    <x v="1"/>
    <n v="78.599999999999994"/>
    <n v="7"/>
    <n v="10"/>
    <n v="6"/>
    <n v="5"/>
  </r>
  <r>
    <n v="2017"/>
    <x v="8"/>
    <s v="Baptist"/>
    <n v="59899"/>
    <x v="10"/>
    <x v="2"/>
    <n v="85.7"/>
    <n v="7"/>
    <n v="46"/>
    <n v="32"/>
    <n v="33"/>
  </r>
  <r>
    <n v="2017"/>
    <x v="8"/>
    <s v="Baptist"/>
    <n v="59899"/>
    <x v="10"/>
    <x v="3"/>
    <n v="78.599999999999994"/>
    <n v="7"/>
    <n v="13"/>
    <n v="6"/>
    <n v="5"/>
  </r>
  <r>
    <n v="2017"/>
    <x v="8"/>
    <s v="Baptist"/>
    <n v="59899"/>
    <x v="10"/>
    <x v="4"/>
    <n v="89.3"/>
    <n v="7"/>
    <n v="65"/>
    <n v="47"/>
    <n v="49"/>
  </r>
  <r>
    <n v="2017"/>
    <x v="8"/>
    <s v="Baptist"/>
    <n v="59899"/>
    <x v="10"/>
    <x v="5"/>
    <n v="64.3"/>
    <n v="7"/>
    <n v="8"/>
    <n v="2"/>
    <n v="3"/>
  </r>
  <r>
    <n v="2017"/>
    <x v="8"/>
    <s v="Baptist"/>
    <n v="130674"/>
    <x v="0"/>
    <x v="0"/>
    <n v="71.900000000000006"/>
    <n v="2"/>
    <n v="1"/>
    <n v="1"/>
    <n v="1"/>
  </r>
  <r>
    <n v="2017"/>
    <x v="8"/>
    <s v="Baptist"/>
    <n v="130674"/>
    <x v="0"/>
    <x v="1"/>
    <n v="62.5"/>
    <n v="2"/>
    <n v="1"/>
    <n v="1"/>
    <n v="1"/>
  </r>
  <r>
    <n v="2017"/>
    <x v="8"/>
    <s v="Baptist"/>
    <n v="130674"/>
    <x v="0"/>
    <x v="2"/>
    <n v="75"/>
    <n v="2"/>
    <n v="1"/>
    <n v="1"/>
    <n v="1"/>
  </r>
  <r>
    <n v="2017"/>
    <x v="8"/>
    <s v="Baptist"/>
    <n v="130674"/>
    <x v="0"/>
    <x v="3"/>
    <n v="62.5"/>
    <n v="2"/>
    <n v="1"/>
    <n v="1"/>
    <n v="1"/>
  </r>
  <r>
    <n v="2017"/>
    <x v="8"/>
    <s v="Baptist"/>
    <n v="130674"/>
    <x v="0"/>
    <x v="4"/>
    <n v="87.5"/>
    <n v="2"/>
    <n v="45"/>
    <n v="29"/>
    <n v="28"/>
  </r>
  <r>
    <n v="2017"/>
    <x v="8"/>
    <s v="Baptist"/>
    <n v="130674"/>
    <x v="0"/>
    <x v="5"/>
    <n v="37.5"/>
    <n v="2"/>
    <n v="1"/>
    <n v="1"/>
    <n v="1"/>
  </r>
  <r>
    <n v="2017"/>
    <x v="8"/>
    <s v="Baptist"/>
    <n v="150441"/>
    <x v="18"/>
    <x v="0"/>
    <n v="81.8"/>
    <n v="11"/>
    <n v="19"/>
    <n v="11"/>
    <n v="9"/>
  </r>
  <r>
    <n v="2017"/>
    <x v="8"/>
    <s v="Baptist"/>
    <n v="150441"/>
    <x v="18"/>
    <x v="1"/>
    <n v="77.3"/>
    <n v="11"/>
    <n v="6"/>
    <n v="3"/>
    <n v="4"/>
  </r>
  <r>
    <n v="2017"/>
    <x v="8"/>
    <s v="Baptist"/>
    <n v="150441"/>
    <x v="18"/>
    <x v="2"/>
    <n v="84.1"/>
    <n v="11"/>
    <n v="32"/>
    <n v="21"/>
    <n v="22"/>
  </r>
  <r>
    <n v="2017"/>
    <x v="8"/>
    <s v="Baptist"/>
    <n v="150441"/>
    <x v="18"/>
    <x v="3"/>
    <n v="79.599999999999994"/>
    <n v="11"/>
    <n v="18"/>
    <n v="8"/>
    <n v="9"/>
  </r>
  <r>
    <n v="2017"/>
    <x v="8"/>
    <s v="Baptist"/>
    <n v="150441"/>
    <x v="18"/>
    <x v="4"/>
    <n v="86.4"/>
    <n v="11"/>
    <n v="31"/>
    <n v="21"/>
    <n v="17"/>
  </r>
  <r>
    <n v="2017"/>
    <x v="8"/>
    <s v="Baptist"/>
    <n v="150441"/>
    <x v="18"/>
    <x v="5"/>
    <n v="72.7"/>
    <n v="11"/>
    <n v="36"/>
    <n v="13"/>
    <n v="11"/>
  </r>
  <r>
    <n v="2017"/>
    <x v="8"/>
    <s v="Baptist"/>
    <n v="70359"/>
    <x v="7"/>
    <x v="0"/>
    <n v="82.8"/>
    <n v="8"/>
    <n v="28"/>
    <n v="15"/>
    <n v="11"/>
  </r>
  <r>
    <n v="2017"/>
    <x v="8"/>
    <s v="Baptist"/>
    <n v="70359"/>
    <x v="7"/>
    <x v="1"/>
    <n v="78.099999999999994"/>
    <n v="8"/>
    <n v="9"/>
    <n v="5"/>
    <n v="5"/>
  </r>
  <r>
    <n v="2017"/>
    <x v="8"/>
    <s v="Baptist"/>
    <n v="70359"/>
    <x v="7"/>
    <x v="2"/>
    <n v="84.4"/>
    <n v="8"/>
    <n v="35"/>
    <n v="23"/>
    <n v="23"/>
  </r>
  <r>
    <n v="2017"/>
    <x v="8"/>
    <s v="Baptist"/>
    <n v="70359"/>
    <x v="7"/>
    <x v="3"/>
    <n v="84.4"/>
    <n v="8"/>
    <n v="49"/>
    <n v="34"/>
    <n v="35"/>
  </r>
  <r>
    <n v="2017"/>
    <x v="8"/>
    <s v="Baptist"/>
    <n v="70359"/>
    <x v="7"/>
    <x v="4"/>
    <n v="84.4"/>
    <n v="8"/>
    <n v="16"/>
    <n v="11"/>
    <n v="8"/>
  </r>
  <r>
    <n v="2017"/>
    <x v="8"/>
    <s v="Baptist"/>
    <n v="70359"/>
    <x v="7"/>
    <x v="5"/>
    <n v="75"/>
    <n v="8"/>
    <n v="43"/>
    <n v="19"/>
    <n v="13"/>
  </r>
  <r>
    <n v="2017"/>
    <x v="8"/>
    <s v="Baptist"/>
    <n v="91397"/>
    <x v="29"/>
    <x v="0"/>
    <n v="83.3"/>
    <n v="6"/>
    <n v="29"/>
    <n v="18"/>
    <n v="15"/>
  </r>
  <r>
    <n v="2017"/>
    <x v="8"/>
    <s v="Baptist"/>
    <n v="91397"/>
    <x v="29"/>
    <x v="1"/>
    <n v="83.3"/>
    <n v="6"/>
    <n v="43"/>
    <n v="27"/>
    <n v="29"/>
  </r>
  <r>
    <n v="2017"/>
    <x v="8"/>
    <s v="Baptist"/>
    <n v="91397"/>
    <x v="29"/>
    <x v="2"/>
    <n v="83.3"/>
    <n v="6"/>
    <n v="27"/>
    <n v="16"/>
    <n v="14"/>
  </r>
  <r>
    <n v="2017"/>
    <x v="8"/>
    <s v="Baptist"/>
    <n v="91397"/>
    <x v="29"/>
    <x v="3"/>
    <n v="83.3"/>
    <n v="6"/>
    <n v="41"/>
    <n v="26"/>
    <n v="30"/>
  </r>
  <r>
    <n v="2017"/>
    <x v="8"/>
    <s v="Baptist"/>
    <n v="91397"/>
    <x v="29"/>
    <x v="4"/>
    <n v="83.3"/>
    <n v="6"/>
    <n v="9"/>
    <n v="7"/>
    <n v="5"/>
  </r>
  <r>
    <n v="2017"/>
    <x v="8"/>
    <s v="Baptist"/>
    <n v="91397"/>
    <x v="29"/>
    <x v="5"/>
    <n v="64.3"/>
    <n v="7"/>
    <n v="8"/>
    <n v="2"/>
    <n v="3"/>
  </r>
  <r>
    <n v="2017"/>
    <x v="8"/>
    <s v="Baptist"/>
    <n v="117465"/>
    <x v="11"/>
    <x v="0"/>
    <n v="78.8"/>
    <n v="10"/>
    <n v="4"/>
    <n v="3"/>
    <n v="3"/>
  </r>
  <r>
    <n v="2017"/>
    <x v="8"/>
    <s v="Baptist"/>
    <n v="117465"/>
    <x v="11"/>
    <x v="1"/>
    <n v="72.5"/>
    <n v="10"/>
    <n v="1"/>
    <n v="1"/>
    <n v="1"/>
  </r>
  <r>
    <n v="2017"/>
    <x v="8"/>
    <s v="Baptist"/>
    <n v="117465"/>
    <x v="11"/>
    <x v="2"/>
    <n v="80"/>
    <n v="10"/>
    <n v="5"/>
    <n v="4"/>
    <n v="4"/>
  </r>
  <r>
    <n v="2017"/>
    <x v="8"/>
    <s v="Baptist"/>
    <n v="117465"/>
    <x v="11"/>
    <x v="3"/>
    <n v="80"/>
    <n v="10"/>
    <n v="19"/>
    <n v="10"/>
    <n v="9"/>
  </r>
  <r>
    <n v="2017"/>
    <x v="8"/>
    <s v="Baptist"/>
    <n v="117465"/>
    <x v="11"/>
    <x v="4"/>
    <n v="82.5"/>
    <n v="10"/>
    <n v="5"/>
    <n v="5"/>
    <n v="2"/>
  </r>
  <r>
    <n v="2017"/>
    <x v="8"/>
    <s v="Baptist"/>
    <n v="117465"/>
    <x v="11"/>
    <x v="5"/>
    <n v="54.6"/>
    <n v="11"/>
    <n v="1"/>
    <n v="1"/>
    <n v="1"/>
  </r>
  <r>
    <n v="2017"/>
    <x v="8"/>
    <s v="Baptist"/>
    <n v="177162"/>
    <x v="1"/>
    <x v="0"/>
    <n v="77.599999999999994"/>
    <n v="17"/>
    <n v="2"/>
    <n v="2"/>
    <n v="2"/>
  </r>
  <r>
    <n v="2017"/>
    <x v="8"/>
    <s v="Baptist"/>
    <n v="177162"/>
    <x v="1"/>
    <x v="1"/>
    <n v="75"/>
    <n v="17"/>
    <n v="2"/>
    <n v="2"/>
    <n v="3"/>
  </r>
  <r>
    <n v="2017"/>
    <x v="8"/>
    <s v="Baptist"/>
    <n v="177162"/>
    <x v="1"/>
    <x v="2"/>
    <n v="80.900000000000006"/>
    <n v="17"/>
    <n v="11"/>
    <n v="7"/>
    <n v="5"/>
  </r>
  <r>
    <n v="2017"/>
    <x v="8"/>
    <s v="Baptist"/>
    <n v="177162"/>
    <x v="1"/>
    <x v="3"/>
    <n v="72.099999999999994"/>
    <n v="17"/>
    <n v="1"/>
    <n v="1"/>
    <n v="1"/>
  </r>
  <r>
    <n v="2017"/>
    <x v="8"/>
    <s v="Baptist"/>
    <n v="177162"/>
    <x v="1"/>
    <x v="4"/>
    <n v="82.4"/>
    <n v="17"/>
    <n v="5"/>
    <n v="4"/>
    <n v="2"/>
  </r>
  <r>
    <n v="2017"/>
    <x v="8"/>
    <s v="Baptist"/>
    <n v="177162"/>
    <x v="1"/>
    <x v="5"/>
    <n v="67.2"/>
    <n v="16"/>
    <n v="14"/>
    <n v="4"/>
    <n v="4"/>
  </r>
  <r>
    <n v="2017"/>
    <x v="8"/>
    <s v="Baptist"/>
    <n v="23994"/>
    <x v="19"/>
    <x v="0"/>
    <n v="72.599999999999994"/>
    <n v="13"/>
    <n v="1"/>
    <n v="1"/>
    <n v="1"/>
  </r>
  <r>
    <n v="2017"/>
    <x v="8"/>
    <s v="Baptist"/>
    <n v="23994"/>
    <x v="19"/>
    <x v="1"/>
    <n v="71.2"/>
    <n v="13"/>
    <n v="1"/>
    <n v="1"/>
    <n v="1"/>
  </r>
  <r>
    <n v="2017"/>
    <x v="8"/>
    <s v="Baptist"/>
    <n v="23994"/>
    <x v="19"/>
    <x v="2"/>
    <n v="79.599999999999994"/>
    <n v="11"/>
    <n v="5"/>
    <n v="4"/>
    <n v="4"/>
  </r>
  <r>
    <n v="2017"/>
    <x v="8"/>
    <s v="Baptist"/>
    <n v="23994"/>
    <x v="19"/>
    <x v="3"/>
    <n v="73.099999999999994"/>
    <n v="13"/>
    <n v="1"/>
    <n v="1"/>
    <n v="1"/>
  </r>
  <r>
    <n v="2017"/>
    <x v="8"/>
    <s v="Baptist"/>
    <n v="23994"/>
    <x v="19"/>
    <x v="4"/>
    <n v="79.2"/>
    <n v="12"/>
    <n v="1"/>
    <n v="1"/>
    <n v="1"/>
  </r>
  <r>
    <n v="2017"/>
    <x v="8"/>
    <s v="Baptist"/>
    <n v="23994"/>
    <x v="19"/>
    <x v="5"/>
    <n v="67.3"/>
    <n v="13"/>
    <n v="14"/>
    <n v="4"/>
    <n v="4"/>
  </r>
  <r>
    <n v="2017"/>
    <x v="8"/>
    <s v="Baptist"/>
    <n v="64022"/>
    <x v="25"/>
    <x v="0"/>
    <n v="76"/>
    <n v="6"/>
    <n v="1"/>
    <n v="1"/>
    <n v="2"/>
  </r>
  <r>
    <n v="2017"/>
    <x v="8"/>
    <s v="Baptist"/>
    <n v="64022"/>
    <x v="25"/>
    <x v="1"/>
    <n v="75"/>
    <n v="6"/>
    <n v="2"/>
    <n v="2"/>
    <n v="3"/>
  </r>
  <r>
    <n v="2017"/>
    <x v="8"/>
    <s v="Baptist"/>
    <n v="64022"/>
    <x v="25"/>
    <x v="2"/>
    <n v="75"/>
    <n v="6"/>
    <n v="1"/>
    <n v="1"/>
    <n v="1"/>
  </r>
  <r>
    <n v="2017"/>
    <x v="8"/>
    <s v="Baptist"/>
    <n v="64022"/>
    <x v="25"/>
    <x v="3"/>
    <n v="75"/>
    <n v="6"/>
    <n v="1"/>
    <n v="1"/>
    <n v="2"/>
  </r>
  <r>
    <n v="2017"/>
    <x v="8"/>
    <s v="Baptist"/>
    <n v="64022"/>
    <x v="25"/>
    <x v="4"/>
    <n v="79.2"/>
    <n v="6"/>
    <n v="1"/>
    <n v="1"/>
    <n v="1"/>
  </r>
  <r>
    <n v="2017"/>
    <x v="8"/>
    <s v="Baptist"/>
    <n v="64022"/>
    <x v="25"/>
    <x v="5"/>
    <n v="66.7"/>
    <n v="6"/>
    <n v="13"/>
    <n v="3"/>
    <n v="4"/>
  </r>
  <r>
    <n v="2017"/>
    <x v="8"/>
    <s v="Baptist"/>
    <n v="99093"/>
    <x v="2"/>
    <x v="0"/>
    <n v="77.099999999999994"/>
    <n v="6"/>
    <n v="2"/>
    <n v="2"/>
    <n v="2"/>
  </r>
  <r>
    <n v="2017"/>
    <x v="8"/>
    <s v="Baptist"/>
    <n v="99093"/>
    <x v="2"/>
    <x v="1"/>
    <n v="75"/>
    <n v="6"/>
    <n v="2"/>
    <n v="2"/>
    <n v="3"/>
  </r>
  <r>
    <n v="2017"/>
    <x v="8"/>
    <s v="Baptist"/>
    <n v="99093"/>
    <x v="2"/>
    <x v="2"/>
    <n v="79.2"/>
    <n v="6"/>
    <n v="4"/>
    <n v="3"/>
    <n v="3"/>
  </r>
  <r>
    <n v="2017"/>
    <x v="8"/>
    <s v="Baptist"/>
    <n v="99093"/>
    <x v="2"/>
    <x v="3"/>
    <n v="75"/>
    <n v="6"/>
    <n v="1"/>
    <n v="1"/>
    <n v="2"/>
  </r>
  <r>
    <n v="2017"/>
    <x v="8"/>
    <s v="Baptist"/>
    <n v="99093"/>
    <x v="2"/>
    <x v="4"/>
    <n v="79.2"/>
    <n v="6"/>
    <n v="1"/>
    <n v="1"/>
    <n v="1"/>
  </r>
  <r>
    <n v="2017"/>
    <x v="8"/>
    <s v="Baptist"/>
    <n v="99093"/>
    <x v="2"/>
    <x v="5"/>
    <n v="70.8"/>
    <n v="6"/>
    <n v="26"/>
    <n v="9"/>
    <n v="8"/>
  </r>
  <r>
    <n v="2017"/>
    <x v="8"/>
    <s v="Baptist"/>
    <n v="58222"/>
    <x v="4"/>
    <x v="0"/>
    <n v="75.900000000000006"/>
    <n v="7"/>
    <n v="1"/>
    <n v="1"/>
    <n v="2"/>
  </r>
  <r>
    <n v="2017"/>
    <x v="8"/>
    <s v="Baptist"/>
    <n v="58222"/>
    <x v="4"/>
    <x v="1"/>
    <n v="75"/>
    <n v="7"/>
    <n v="2"/>
    <n v="2"/>
    <n v="3"/>
  </r>
  <r>
    <n v="2017"/>
    <x v="8"/>
    <s v="Baptist"/>
    <n v="58222"/>
    <x v="4"/>
    <x v="2"/>
    <n v="75"/>
    <n v="7"/>
    <n v="1"/>
    <n v="1"/>
    <n v="1"/>
  </r>
  <r>
    <n v="2017"/>
    <x v="8"/>
    <s v="Baptist"/>
    <n v="58222"/>
    <x v="4"/>
    <x v="3"/>
    <n v="75"/>
    <n v="7"/>
    <n v="1"/>
    <n v="1"/>
    <n v="2"/>
  </r>
  <r>
    <n v="2017"/>
    <x v="8"/>
    <s v="Baptist"/>
    <n v="58222"/>
    <x v="4"/>
    <x v="4"/>
    <n v="78.599999999999994"/>
    <n v="7"/>
    <n v="1"/>
    <n v="1"/>
    <n v="1"/>
  </r>
  <r>
    <n v="2017"/>
    <x v="8"/>
    <s v="Baptist"/>
    <n v="58222"/>
    <x v="4"/>
    <x v="5"/>
    <n v="64.3"/>
    <n v="7"/>
    <n v="8"/>
    <n v="2"/>
    <n v="3"/>
  </r>
  <r>
    <n v="2017"/>
    <x v="8"/>
    <s v="Baptist"/>
    <n v="99911"/>
    <x v="21"/>
    <x v="0"/>
    <n v="72.5"/>
    <n v="9"/>
    <n v="1"/>
    <n v="1"/>
    <n v="1"/>
  </r>
  <r>
    <n v="2017"/>
    <x v="8"/>
    <s v="Baptist"/>
    <n v="99911"/>
    <x v="21"/>
    <x v="1"/>
    <n v="69.400000000000006"/>
    <n v="9"/>
    <n v="1"/>
    <n v="1"/>
    <n v="1"/>
  </r>
  <r>
    <n v="2017"/>
    <x v="8"/>
    <s v="Baptist"/>
    <n v="99911"/>
    <x v="21"/>
    <x v="2"/>
    <n v="71.900000000000006"/>
    <n v="8"/>
    <n v="1"/>
    <n v="1"/>
    <n v="1"/>
  </r>
  <r>
    <n v="2017"/>
    <x v="8"/>
    <s v="Baptist"/>
    <n v="99911"/>
    <x v="21"/>
    <x v="3"/>
    <n v="69.400000000000006"/>
    <n v="9"/>
    <n v="1"/>
    <n v="1"/>
    <n v="1"/>
  </r>
  <r>
    <n v="2017"/>
    <x v="8"/>
    <s v="Baptist"/>
    <n v="99911"/>
    <x v="21"/>
    <x v="4"/>
    <n v="77.8"/>
    <n v="9"/>
    <n v="1"/>
    <n v="1"/>
    <n v="1"/>
  </r>
  <r>
    <n v="2017"/>
    <x v="8"/>
    <s v="Baptist"/>
    <n v="99911"/>
    <x v="21"/>
    <x v="5"/>
    <n v="66.7"/>
    <n v="9"/>
    <n v="13"/>
    <n v="3"/>
    <n v="4"/>
  </r>
  <r>
    <n v="2017"/>
    <x v="8"/>
    <s v="Baptist"/>
    <n v="101071"/>
    <x v="31"/>
    <x v="0"/>
    <n v="62.5"/>
    <n v="11"/>
    <n v="1"/>
    <n v="1"/>
    <n v="1"/>
  </r>
  <r>
    <n v="2017"/>
    <x v="8"/>
    <s v="Baptist"/>
    <n v="101071"/>
    <x v="31"/>
    <x v="1"/>
    <n v="50"/>
    <n v="11"/>
    <n v="1"/>
    <n v="1"/>
    <n v="1"/>
  </r>
  <r>
    <n v="2017"/>
    <x v="8"/>
    <s v="Baptist"/>
    <n v="101071"/>
    <x v="31"/>
    <x v="2"/>
    <n v="65"/>
    <n v="10"/>
    <n v="1"/>
    <n v="1"/>
    <n v="1"/>
  </r>
  <r>
    <n v="2017"/>
    <x v="8"/>
    <s v="Baptist"/>
    <n v="101071"/>
    <x v="31"/>
    <x v="3"/>
    <n v="56.8"/>
    <n v="11"/>
    <n v="1"/>
    <n v="1"/>
    <n v="1"/>
  </r>
  <r>
    <n v="2017"/>
    <x v="8"/>
    <s v="Baptist"/>
    <n v="101071"/>
    <x v="31"/>
    <x v="4"/>
    <n v="77.3"/>
    <n v="11"/>
    <n v="1"/>
    <n v="1"/>
    <n v="1"/>
  </r>
  <r>
    <n v="2017"/>
    <x v="8"/>
    <s v="Baptist"/>
    <n v="101071"/>
    <x v="31"/>
    <x v="5"/>
    <n v="47.7"/>
    <n v="11"/>
    <n v="1"/>
    <n v="1"/>
    <n v="1"/>
  </r>
  <r>
    <n v="2017"/>
    <x v="8"/>
    <s v="Baptist"/>
    <n v="152587"/>
    <x v="16"/>
    <x v="0"/>
    <n v="67"/>
    <n v="7"/>
    <n v="1"/>
    <n v="1"/>
    <n v="1"/>
  </r>
  <r>
    <n v="2017"/>
    <x v="8"/>
    <s v="Baptist"/>
    <n v="152587"/>
    <x v="16"/>
    <x v="1"/>
    <n v="60.7"/>
    <n v="7"/>
    <n v="1"/>
    <n v="1"/>
    <n v="1"/>
  </r>
  <r>
    <n v="2017"/>
    <x v="8"/>
    <s v="Baptist"/>
    <n v="152587"/>
    <x v="16"/>
    <x v="2"/>
    <n v="64.3"/>
    <n v="7"/>
    <n v="1"/>
    <n v="1"/>
    <n v="1"/>
  </r>
  <r>
    <n v="2017"/>
    <x v="8"/>
    <s v="Baptist"/>
    <n v="152587"/>
    <x v="16"/>
    <x v="3"/>
    <n v="75"/>
    <n v="6"/>
    <n v="1"/>
    <n v="1"/>
    <n v="2"/>
  </r>
  <r>
    <n v="2017"/>
    <x v="8"/>
    <s v="Baptist"/>
    <n v="152587"/>
    <x v="16"/>
    <x v="4"/>
    <n v="71.400000000000006"/>
    <n v="7"/>
    <n v="1"/>
    <n v="1"/>
    <n v="1"/>
  </r>
  <r>
    <n v="2017"/>
    <x v="8"/>
    <s v="Baptist"/>
    <n v="152587"/>
    <x v="16"/>
    <x v="5"/>
    <n v="62.5"/>
    <n v="8"/>
    <n v="6"/>
    <n v="1"/>
    <n v="2"/>
  </r>
  <r>
    <n v="2017"/>
    <x v="8"/>
    <s v="Baptist"/>
    <n v="117440"/>
    <x v="20"/>
    <x v="0"/>
    <n v="72.7"/>
    <n v="8"/>
    <n v="1"/>
    <n v="1"/>
    <n v="1"/>
  </r>
  <r>
    <n v="2017"/>
    <x v="8"/>
    <s v="Baptist"/>
    <n v="117440"/>
    <x v="20"/>
    <x v="1"/>
    <n v="71.900000000000006"/>
    <n v="8"/>
    <n v="1"/>
    <n v="1"/>
    <n v="1"/>
  </r>
  <r>
    <n v="2017"/>
    <x v="8"/>
    <s v="Baptist"/>
    <n v="117440"/>
    <x v="20"/>
    <x v="2"/>
    <n v="75"/>
    <n v="8"/>
    <n v="1"/>
    <n v="1"/>
    <n v="1"/>
  </r>
  <r>
    <n v="2017"/>
    <x v="8"/>
    <s v="Baptist"/>
    <n v="117440"/>
    <x v="20"/>
    <x v="3"/>
    <n v="68.8"/>
    <n v="8"/>
    <n v="1"/>
    <n v="1"/>
    <n v="1"/>
  </r>
  <r>
    <n v="2017"/>
    <x v="8"/>
    <s v="Baptist"/>
    <n v="117440"/>
    <x v="20"/>
    <x v="4"/>
    <n v="75"/>
    <n v="8"/>
    <n v="1"/>
    <n v="1"/>
    <n v="1"/>
  </r>
  <r>
    <n v="2017"/>
    <x v="8"/>
    <s v="Baptist"/>
    <n v="117440"/>
    <x v="20"/>
    <x v="5"/>
    <n v="68.8"/>
    <n v="8"/>
    <n v="18"/>
    <n v="6"/>
    <n v="5"/>
  </r>
  <r>
    <n v="2017"/>
    <x v="8"/>
    <s v="Baptist"/>
    <n v="117671"/>
    <x v="13"/>
    <x v="0"/>
    <n v="65.2"/>
    <n v="7"/>
    <n v="1"/>
    <n v="1"/>
    <n v="1"/>
  </r>
  <r>
    <n v="2017"/>
    <x v="8"/>
    <s v="Baptist"/>
    <n v="117671"/>
    <x v="13"/>
    <x v="1"/>
    <n v="57.1"/>
    <n v="7"/>
    <n v="1"/>
    <n v="1"/>
    <n v="1"/>
  </r>
  <r>
    <n v="2017"/>
    <x v="8"/>
    <s v="Baptist"/>
    <n v="117671"/>
    <x v="13"/>
    <x v="2"/>
    <n v="64.3"/>
    <n v="7"/>
    <n v="1"/>
    <n v="1"/>
    <n v="1"/>
  </r>
  <r>
    <n v="2017"/>
    <x v="8"/>
    <s v="Baptist"/>
    <n v="117671"/>
    <x v="13"/>
    <x v="3"/>
    <n v="67.900000000000006"/>
    <n v="7"/>
    <n v="1"/>
    <n v="1"/>
    <n v="1"/>
  </r>
  <r>
    <n v="2017"/>
    <x v="8"/>
    <s v="Baptist"/>
    <n v="117671"/>
    <x v="13"/>
    <x v="4"/>
    <n v="71.400000000000006"/>
    <n v="7"/>
    <n v="1"/>
    <n v="1"/>
    <n v="1"/>
  </r>
  <r>
    <n v="2017"/>
    <x v="8"/>
    <s v="Baptist"/>
    <n v="117671"/>
    <x v="13"/>
    <x v="5"/>
    <n v="53.6"/>
    <n v="7"/>
    <n v="1"/>
    <n v="1"/>
    <n v="1"/>
  </r>
  <r>
    <n v="2017"/>
    <x v="8"/>
    <s v="Baptist"/>
    <n v="60707"/>
    <x v="30"/>
    <x v="0"/>
    <n v="66.400000000000006"/>
    <n v="8"/>
    <n v="1"/>
    <n v="1"/>
    <n v="1"/>
  </r>
  <r>
    <n v="2017"/>
    <x v="8"/>
    <s v="Baptist"/>
    <n v="60707"/>
    <x v="30"/>
    <x v="1"/>
    <n v="65.599999999999994"/>
    <n v="8"/>
    <n v="1"/>
    <n v="1"/>
    <n v="1"/>
  </r>
  <r>
    <n v="2017"/>
    <x v="8"/>
    <s v="Baptist"/>
    <n v="60707"/>
    <x v="30"/>
    <x v="2"/>
    <n v="65.599999999999994"/>
    <n v="8"/>
    <n v="1"/>
    <n v="1"/>
    <n v="1"/>
  </r>
  <r>
    <n v="2017"/>
    <x v="8"/>
    <s v="Baptist"/>
    <n v="60707"/>
    <x v="30"/>
    <x v="3"/>
    <n v="65.599999999999994"/>
    <n v="8"/>
    <n v="1"/>
    <n v="1"/>
    <n v="1"/>
  </r>
  <r>
    <n v="2017"/>
    <x v="8"/>
    <s v="Baptist"/>
    <n v="60707"/>
    <x v="30"/>
    <x v="4"/>
    <n v="68.8"/>
    <n v="8"/>
    <n v="1"/>
    <n v="1"/>
    <n v="1"/>
  </r>
  <r>
    <n v="2017"/>
    <x v="8"/>
    <s v="Baptist"/>
    <n v="60707"/>
    <x v="30"/>
    <x v="5"/>
    <n v="38.9"/>
    <n v="9"/>
    <n v="1"/>
    <n v="1"/>
    <n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1" cacheId="3" applyNumberFormats="0" applyBorderFormats="0" applyFontFormats="0" applyPatternFormats="0" applyAlignmentFormats="0" applyWidthHeightFormats="1" dataCaption="Values" missingCaption="0" updatedVersion="5" minRefreshableVersion="3" colGrandTotals="0" itemPrintTitles="1" createdVersion="5" indent="0" compact="0" compactData="0" gridDropZones="1" multipleFieldFilters="0">
  <location ref="A3:T216" firstHeaderRow="1" firstDataRow="3" firstDataCol="2"/>
  <pivotFields count="11">
    <pivotField compact="0" outline="0" showAll="0"/>
    <pivotField axis="axisCol" compact="0" outline="0" showAll="0">
      <items count="10">
        <item x="0"/>
        <item x="1"/>
        <item x="2"/>
        <item x="3"/>
        <item x="4"/>
        <item x="5"/>
        <item x="6"/>
        <item x="7"/>
        <item x="8"/>
        <item t="default"/>
      </items>
    </pivotField>
    <pivotField compact="0" outline="0" showAll="0"/>
    <pivotField compact="0" outline="0" showAll="0"/>
    <pivotField axis="axisRow" compact="0" outline="0" showAll="0">
      <items count="36">
        <item x="9"/>
        <item x="18"/>
        <item x="2"/>
        <item x="26"/>
        <item x="14"/>
        <item x="30"/>
        <item x="5"/>
        <item x="3"/>
        <item x="21"/>
        <item x="6"/>
        <item x="4"/>
        <item x="12"/>
        <item x="20"/>
        <item x="23"/>
        <item x="24"/>
        <item x="11"/>
        <item x="0"/>
        <item x="27"/>
        <item x="16"/>
        <item x="28"/>
        <item x="10"/>
        <item x="19"/>
        <item x="15"/>
        <item x="7"/>
        <item x="32"/>
        <item x="33"/>
        <item x="22"/>
        <item x="29"/>
        <item x="1"/>
        <item x="13"/>
        <item x="31"/>
        <item x="17"/>
        <item x="8"/>
        <item x="25"/>
        <item m="1" x="34"/>
        <item t="default"/>
      </items>
    </pivotField>
    <pivotField axis="axisRow" compact="0" outline="0" showAll="0">
      <items count="7">
        <item x="1"/>
        <item x="2"/>
        <item x="3"/>
        <item x="4"/>
        <item x="0"/>
        <item x="5"/>
        <item t="default"/>
      </items>
    </pivotField>
    <pivotField dataField="1" compact="0" outline="0" showAll="0"/>
    <pivotField dataField="1" compact="0" outline="0" showAll="0"/>
    <pivotField compact="0" outline="0" showAll="0"/>
    <pivotField compact="0" outline="0" showAll="0" defaultSubtotal="0"/>
    <pivotField compact="0" outline="0" showAll="0" defaultSubtotal="0"/>
  </pivotFields>
  <rowFields count="2">
    <field x="5"/>
    <field x="4"/>
  </rowFields>
  <rowItems count="211">
    <i>
      <x/>
      <x/>
    </i>
    <i r="1">
      <x v="1"/>
    </i>
    <i r="1">
      <x v="2"/>
    </i>
    <i r="1">
      <x v="3"/>
    </i>
    <i r="1">
      <x v="4"/>
    </i>
    <i r="1">
      <x v="5"/>
    </i>
    <i r="1">
      <x v="6"/>
    </i>
    <i r="1">
      <x v="7"/>
    </i>
    <i r="1">
      <x v="8"/>
    </i>
    <i r="1">
      <x v="9"/>
    </i>
    <i r="1">
      <x v="10"/>
    </i>
    <i r="1">
      <x v="11"/>
    </i>
    <i r="1">
      <x v="12"/>
    </i>
    <i r="1">
      <x v="13"/>
    </i>
    <i r="1">
      <x v="14"/>
    </i>
    <i r="1">
      <x v="15"/>
    </i>
    <i r="1">
      <x v="16"/>
    </i>
    <i r="1">
      <x v="17"/>
    </i>
    <i r="1">
      <x v="18"/>
    </i>
    <i r="1">
      <x v="19"/>
    </i>
    <i r="1">
      <x v="20"/>
    </i>
    <i r="1">
      <x v="21"/>
    </i>
    <i r="1">
      <x v="22"/>
    </i>
    <i r="1">
      <x v="23"/>
    </i>
    <i r="1">
      <x v="24"/>
    </i>
    <i r="1">
      <x v="25"/>
    </i>
    <i r="1">
      <x v="26"/>
    </i>
    <i r="1">
      <x v="27"/>
    </i>
    <i r="1">
      <x v="28"/>
    </i>
    <i r="1">
      <x v="29"/>
    </i>
    <i r="1">
      <x v="30"/>
    </i>
    <i r="1">
      <x v="31"/>
    </i>
    <i r="1">
      <x v="32"/>
    </i>
    <i r="1">
      <x v="33"/>
    </i>
    <i t="default">
      <x/>
    </i>
    <i>
      <x v="1"/>
      <x/>
    </i>
    <i r="1">
      <x v="1"/>
    </i>
    <i r="1">
      <x v="2"/>
    </i>
    <i r="1">
      <x v="3"/>
    </i>
    <i r="1">
      <x v="4"/>
    </i>
    <i r="1">
      <x v="5"/>
    </i>
    <i r="1">
      <x v="6"/>
    </i>
    <i r="1">
      <x v="7"/>
    </i>
    <i r="1">
      <x v="8"/>
    </i>
    <i r="1">
      <x v="9"/>
    </i>
    <i r="1">
      <x v="10"/>
    </i>
    <i r="1">
      <x v="11"/>
    </i>
    <i r="1">
      <x v="12"/>
    </i>
    <i r="1">
      <x v="13"/>
    </i>
    <i r="1">
      <x v="14"/>
    </i>
    <i r="1">
      <x v="15"/>
    </i>
    <i r="1">
      <x v="16"/>
    </i>
    <i r="1">
      <x v="17"/>
    </i>
    <i r="1">
      <x v="18"/>
    </i>
    <i r="1">
      <x v="19"/>
    </i>
    <i r="1">
      <x v="20"/>
    </i>
    <i r="1">
      <x v="21"/>
    </i>
    <i r="1">
      <x v="22"/>
    </i>
    <i r="1">
      <x v="23"/>
    </i>
    <i r="1">
      <x v="24"/>
    </i>
    <i r="1">
      <x v="25"/>
    </i>
    <i r="1">
      <x v="26"/>
    </i>
    <i r="1">
      <x v="27"/>
    </i>
    <i r="1">
      <x v="28"/>
    </i>
    <i r="1">
      <x v="29"/>
    </i>
    <i r="1">
      <x v="30"/>
    </i>
    <i r="1">
      <x v="31"/>
    </i>
    <i r="1">
      <x v="32"/>
    </i>
    <i r="1">
      <x v="33"/>
    </i>
    <i t="default">
      <x v="1"/>
    </i>
    <i>
      <x v="2"/>
      <x/>
    </i>
    <i r="1">
      <x v="1"/>
    </i>
    <i r="1">
      <x v="2"/>
    </i>
    <i r="1">
      <x v="3"/>
    </i>
    <i r="1">
      <x v="4"/>
    </i>
    <i r="1">
      <x v="5"/>
    </i>
    <i r="1">
      <x v="6"/>
    </i>
    <i r="1">
      <x v="7"/>
    </i>
    <i r="1">
      <x v="8"/>
    </i>
    <i r="1">
      <x v="9"/>
    </i>
    <i r="1">
      <x v="10"/>
    </i>
    <i r="1">
      <x v="11"/>
    </i>
    <i r="1">
      <x v="12"/>
    </i>
    <i r="1">
      <x v="13"/>
    </i>
    <i r="1">
      <x v="14"/>
    </i>
    <i r="1">
      <x v="15"/>
    </i>
    <i r="1">
      <x v="16"/>
    </i>
    <i r="1">
      <x v="17"/>
    </i>
    <i r="1">
      <x v="18"/>
    </i>
    <i r="1">
      <x v="19"/>
    </i>
    <i r="1">
      <x v="20"/>
    </i>
    <i r="1">
      <x v="21"/>
    </i>
    <i r="1">
      <x v="22"/>
    </i>
    <i r="1">
      <x v="23"/>
    </i>
    <i r="1">
      <x v="24"/>
    </i>
    <i r="1">
      <x v="25"/>
    </i>
    <i r="1">
      <x v="26"/>
    </i>
    <i r="1">
      <x v="27"/>
    </i>
    <i r="1">
      <x v="28"/>
    </i>
    <i r="1">
      <x v="29"/>
    </i>
    <i r="1">
      <x v="30"/>
    </i>
    <i r="1">
      <x v="31"/>
    </i>
    <i r="1">
      <x v="32"/>
    </i>
    <i r="1">
      <x v="33"/>
    </i>
    <i t="default">
      <x v="2"/>
    </i>
    <i>
      <x v="3"/>
      <x/>
    </i>
    <i r="1">
      <x v="1"/>
    </i>
    <i r="1">
      <x v="2"/>
    </i>
    <i r="1">
      <x v="3"/>
    </i>
    <i r="1">
      <x v="4"/>
    </i>
    <i r="1">
      <x v="5"/>
    </i>
    <i r="1">
      <x v="6"/>
    </i>
    <i r="1">
      <x v="7"/>
    </i>
    <i r="1">
      <x v="8"/>
    </i>
    <i r="1">
      <x v="9"/>
    </i>
    <i r="1">
      <x v="10"/>
    </i>
    <i r="1">
      <x v="11"/>
    </i>
    <i r="1">
      <x v="12"/>
    </i>
    <i r="1">
      <x v="13"/>
    </i>
    <i r="1">
      <x v="14"/>
    </i>
    <i r="1">
      <x v="15"/>
    </i>
    <i r="1">
      <x v="16"/>
    </i>
    <i r="1">
      <x v="17"/>
    </i>
    <i r="1">
      <x v="18"/>
    </i>
    <i r="1">
      <x v="19"/>
    </i>
    <i r="1">
      <x v="20"/>
    </i>
    <i r="1">
      <x v="21"/>
    </i>
    <i r="1">
      <x v="22"/>
    </i>
    <i r="1">
      <x v="23"/>
    </i>
    <i r="1">
      <x v="24"/>
    </i>
    <i r="1">
      <x v="25"/>
    </i>
    <i r="1">
      <x v="26"/>
    </i>
    <i r="1">
      <x v="27"/>
    </i>
    <i r="1">
      <x v="28"/>
    </i>
    <i r="1">
      <x v="29"/>
    </i>
    <i r="1">
      <x v="30"/>
    </i>
    <i r="1">
      <x v="31"/>
    </i>
    <i r="1">
      <x v="32"/>
    </i>
    <i r="1">
      <x v="33"/>
    </i>
    <i t="default">
      <x v="3"/>
    </i>
    <i>
      <x v="4"/>
      <x/>
    </i>
    <i r="1">
      <x v="1"/>
    </i>
    <i r="1">
      <x v="2"/>
    </i>
    <i r="1">
      <x v="3"/>
    </i>
    <i r="1">
      <x v="4"/>
    </i>
    <i r="1">
      <x v="5"/>
    </i>
    <i r="1">
      <x v="6"/>
    </i>
    <i r="1">
      <x v="7"/>
    </i>
    <i r="1">
      <x v="8"/>
    </i>
    <i r="1">
      <x v="9"/>
    </i>
    <i r="1">
      <x v="10"/>
    </i>
    <i r="1">
      <x v="11"/>
    </i>
    <i r="1">
      <x v="12"/>
    </i>
    <i r="1">
      <x v="13"/>
    </i>
    <i r="1">
      <x v="14"/>
    </i>
    <i r="1">
      <x v="15"/>
    </i>
    <i r="1">
      <x v="16"/>
    </i>
    <i r="1">
      <x v="17"/>
    </i>
    <i r="1">
      <x v="18"/>
    </i>
    <i r="1">
      <x v="19"/>
    </i>
    <i r="1">
      <x v="20"/>
    </i>
    <i r="1">
      <x v="21"/>
    </i>
    <i r="1">
      <x v="22"/>
    </i>
    <i r="1">
      <x v="23"/>
    </i>
    <i r="1">
      <x v="24"/>
    </i>
    <i r="1">
      <x v="25"/>
    </i>
    <i r="1">
      <x v="26"/>
    </i>
    <i r="1">
      <x v="27"/>
    </i>
    <i r="1">
      <x v="28"/>
    </i>
    <i r="1">
      <x v="29"/>
    </i>
    <i r="1">
      <x v="30"/>
    </i>
    <i r="1">
      <x v="31"/>
    </i>
    <i r="1">
      <x v="32"/>
    </i>
    <i r="1">
      <x v="33"/>
    </i>
    <i t="default">
      <x v="4"/>
    </i>
    <i>
      <x v="5"/>
      <x/>
    </i>
    <i r="1">
      <x v="1"/>
    </i>
    <i r="1">
      <x v="2"/>
    </i>
    <i r="1">
      <x v="3"/>
    </i>
    <i r="1">
      <x v="4"/>
    </i>
    <i r="1">
      <x v="5"/>
    </i>
    <i r="1">
      <x v="6"/>
    </i>
    <i r="1">
      <x v="7"/>
    </i>
    <i r="1">
      <x v="8"/>
    </i>
    <i r="1">
      <x v="9"/>
    </i>
    <i r="1">
      <x v="10"/>
    </i>
    <i r="1">
      <x v="11"/>
    </i>
    <i r="1">
      <x v="12"/>
    </i>
    <i r="1">
      <x v="13"/>
    </i>
    <i r="1">
      <x v="14"/>
    </i>
    <i r="1">
      <x v="15"/>
    </i>
    <i r="1">
      <x v="16"/>
    </i>
    <i r="1">
      <x v="17"/>
    </i>
    <i r="1">
      <x v="18"/>
    </i>
    <i r="1">
      <x v="19"/>
    </i>
    <i r="1">
      <x v="20"/>
    </i>
    <i r="1">
      <x v="21"/>
    </i>
    <i r="1">
      <x v="22"/>
    </i>
    <i r="1">
      <x v="23"/>
    </i>
    <i r="1">
      <x v="24"/>
    </i>
    <i r="1">
      <x v="25"/>
    </i>
    <i r="1">
      <x v="26"/>
    </i>
    <i r="1">
      <x v="27"/>
    </i>
    <i r="1">
      <x v="28"/>
    </i>
    <i r="1">
      <x v="29"/>
    </i>
    <i r="1">
      <x v="30"/>
    </i>
    <i r="1">
      <x v="31"/>
    </i>
    <i r="1">
      <x v="32"/>
    </i>
    <i r="1">
      <x v="33"/>
    </i>
    <i t="default">
      <x v="5"/>
    </i>
    <i t="grand">
      <x/>
    </i>
  </rowItems>
  <colFields count="2">
    <field x="1"/>
    <field x="-2"/>
  </colFields>
  <colItems count="18">
    <i>
      <x/>
      <x/>
    </i>
    <i r="1" i="1">
      <x v="1"/>
    </i>
    <i>
      <x v="1"/>
      <x/>
    </i>
    <i r="1" i="1">
      <x v="1"/>
    </i>
    <i>
      <x v="2"/>
      <x/>
    </i>
    <i r="1" i="1">
      <x v="1"/>
    </i>
    <i>
      <x v="3"/>
      <x/>
    </i>
    <i r="1" i="1">
      <x v="1"/>
    </i>
    <i>
      <x v="4"/>
      <x/>
    </i>
    <i r="1" i="1">
      <x v="1"/>
    </i>
    <i>
      <x v="5"/>
      <x/>
    </i>
    <i r="1" i="1">
      <x v="1"/>
    </i>
    <i>
      <x v="6"/>
      <x/>
    </i>
    <i r="1" i="1">
      <x v="1"/>
    </i>
    <i>
      <x v="7"/>
      <x/>
    </i>
    <i r="1" i="1">
      <x v="1"/>
    </i>
    <i>
      <x v="8"/>
      <x/>
    </i>
    <i r="1" i="1">
      <x v="1"/>
    </i>
  </colItems>
  <dataFields count="2">
    <dataField name=" Mean Score" fld="6" baseField="0" baseItem="0"/>
    <dataField name=" Responses" fld="7" baseField="0" baseItem="0"/>
  </dataFields>
  <formats count="9">
    <format dxfId="8">
      <pivotArea dataOnly="0" labelOnly="1" outline="0" fieldPosition="0">
        <references count="1">
          <reference field="1" count="0"/>
        </references>
      </pivotArea>
    </format>
    <format dxfId="7">
      <pivotArea dataOnly="0" labelOnly="1" grandCol="1" outline="0" fieldPosition="0"/>
    </format>
    <format dxfId="6">
      <pivotArea dataOnly="0" labelOnly="1" outline="0" fieldPosition="0">
        <references count="2">
          <reference field="4294967294" count="2">
            <x v="0"/>
            <x v="1"/>
          </reference>
          <reference field="1" count="1" selected="0">
            <x v="0"/>
          </reference>
        </references>
      </pivotArea>
    </format>
    <format dxfId="5">
      <pivotArea dataOnly="0" labelOnly="1" outline="0" fieldPosition="0">
        <references count="2">
          <reference field="4294967294" count="2">
            <x v="0"/>
            <x v="1"/>
          </reference>
          <reference field="1" count="1" selected="0">
            <x v="1"/>
          </reference>
        </references>
      </pivotArea>
    </format>
    <format dxfId="4">
      <pivotArea dataOnly="0" labelOnly="1" outline="0" fieldPosition="0">
        <references count="2">
          <reference field="4294967294" count="2">
            <x v="0"/>
            <x v="1"/>
          </reference>
          <reference field="1" count="1" selected="0">
            <x v="2"/>
          </reference>
        </references>
      </pivotArea>
    </format>
    <format dxfId="3">
      <pivotArea dataOnly="0" labelOnly="1" outline="0" fieldPosition="0">
        <references count="2">
          <reference field="4294967294" count="2">
            <x v="0"/>
            <x v="1"/>
          </reference>
          <reference field="1" count="1" selected="0">
            <x v="3"/>
          </reference>
        </references>
      </pivotArea>
    </format>
    <format dxfId="2">
      <pivotArea dataOnly="0" labelOnly="1" outline="0" fieldPosition="0">
        <references count="2">
          <reference field="4294967294" count="2">
            <x v="0"/>
            <x v="1"/>
          </reference>
          <reference field="1" count="1" selected="0">
            <x v="4"/>
          </reference>
        </references>
      </pivotArea>
    </format>
    <format dxfId="1">
      <pivotArea dataOnly="0" labelOnly="1" outline="0" fieldPosition="0">
        <references count="2">
          <reference field="4294967294" count="2">
            <x v="0"/>
            <x v="1"/>
          </reference>
          <reference field="1" count="1" selected="0">
            <x v="5"/>
          </reference>
        </references>
      </pivotArea>
    </format>
    <format dxfId="0">
      <pivotArea dataOnly="0" labelOnly="1" outline="0" fieldPosition="0">
        <references count="2">
          <reference field="4294967294" count="2">
            <x v="0"/>
            <x v="1"/>
          </reference>
          <reference field="1" count="1" selected="0">
            <x v="6"/>
          </reference>
        </references>
      </pivotArea>
    </format>
  </formats>
  <pivotTableStyleInfo name="PivotStyleLight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N35"/>
  <sheetViews>
    <sheetView workbookViewId="0">
      <selection activeCell="P11" sqref="P11"/>
    </sheetView>
  </sheetViews>
  <sheetFormatPr defaultRowHeight="15" x14ac:dyDescent="0.25"/>
  <sheetData>
    <row r="3" spans="1:14" ht="17.25" x14ac:dyDescent="0.4">
      <c r="A3" s="15" t="s">
        <v>444</v>
      </c>
      <c r="B3" s="15" t="s">
        <v>443</v>
      </c>
      <c r="C3" s="15" t="s">
        <v>449</v>
      </c>
      <c r="D3" s="15" t="s">
        <v>441</v>
      </c>
      <c r="E3" s="15" t="s">
        <v>442</v>
      </c>
      <c r="J3" t="s">
        <v>435</v>
      </c>
      <c r="K3" t="s">
        <v>434</v>
      </c>
      <c r="M3" t="s">
        <v>435</v>
      </c>
      <c r="N3" t="s">
        <v>434</v>
      </c>
    </row>
    <row r="4" spans="1:14" x14ac:dyDescent="0.25">
      <c r="A4" s="2" t="s">
        <v>410</v>
      </c>
      <c r="B4" t="s">
        <v>445</v>
      </c>
      <c r="C4" t="s">
        <v>450</v>
      </c>
      <c r="D4" s="2">
        <v>34</v>
      </c>
      <c r="E4" s="2">
        <v>4</v>
      </c>
      <c r="J4">
        <v>7</v>
      </c>
      <c r="K4">
        <v>85.7</v>
      </c>
      <c r="M4">
        <v>7</v>
      </c>
      <c r="N4">
        <v>85.7</v>
      </c>
    </row>
    <row r="5" spans="1:14" x14ac:dyDescent="0.25">
      <c r="A5" s="2" t="s">
        <v>410</v>
      </c>
      <c r="B5" t="s">
        <v>446</v>
      </c>
      <c r="C5" t="s">
        <v>450</v>
      </c>
      <c r="D5" s="2">
        <v>56</v>
      </c>
      <c r="E5" s="2">
        <v>5</v>
      </c>
      <c r="J5">
        <v>7</v>
      </c>
      <c r="K5">
        <v>82.1</v>
      </c>
      <c r="M5">
        <v>7</v>
      </c>
      <c r="N5">
        <v>82.1</v>
      </c>
    </row>
    <row r="6" spans="1:14" x14ac:dyDescent="0.25">
      <c r="A6" s="2" t="s">
        <v>410</v>
      </c>
      <c r="B6" t="s">
        <v>447</v>
      </c>
      <c r="C6" t="s">
        <v>450</v>
      </c>
      <c r="D6" s="2">
        <v>85</v>
      </c>
      <c r="E6" s="2">
        <v>4</v>
      </c>
      <c r="J6">
        <v>7</v>
      </c>
      <c r="K6">
        <v>92.9</v>
      </c>
      <c r="M6">
        <v>7</v>
      </c>
      <c r="N6">
        <v>92.9</v>
      </c>
    </row>
    <row r="7" spans="1:14" x14ac:dyDescent="0.25">
      <c r="A7" s="2" t="s">
        <v>410</v>
      </c>
      <c r="B7" t="s">
        <v>448</v>
      </c>
      <c r="C7" t="s">
        <v>450</v>
      </c>
      <c r="D7" s="2">
        <v>35</v>
      </c>
      <c r="E7" s="2">
        <v>6</v>
      </c>
      <c r="J7">
        <v>4</v>
      </c>
      <c r="K7">
        <v>68.8</v>
      </c>
      <c r="M7">
        <v>4</v>
      </c>
      <c r="N7">
        <v>68.8</v>
      </c>
    </row>
    <row r="8" spans="1:14" x14ac:dyDescent="0.25">
      <c r="A8" s="2" t="s">
        <v>410</v>
      </c>
      <c r="B8" t="s">
        <v>445</v>
      </c>
      <c r="C8" t="s">
        <v>451</v>
      </c>
      <c r="D8" s="2">
        <v>45</v>
      </c>
      <c r="E8" s="2">
        <v>2</v>
      </c>
      <c r="J8">
        <v>7</v>
      </c>
      <c r="K8">
        <v>85.7</v>
      </c>
      <c r="M8">
        <v>7</v>
      </c>
      <c r="N8">
        <v>85.7</v>
      </c>
    </row>
    <row r="9" spans="1:14" x14ac:dyDescent="0.25">
      <c r="A9" s="2" t="s">
        <v>410</v>
      </c>
      <c r="B9" t="s">
        <v>446</v>
      </c>
      <c r="C9" t="s">
        <v>451</v>
      </c>
      <c r="D9" s="2">
        <v>34</v>
      </c>
      <c r="E9" s="2">
        <v>8</v>
      </c>
      <c r="J9">
        <v>4</v>
      </c>
      <c r="K9">
        <v>50</v>
      </c>
      <c r="M9">
        <v>4</v>
      </c>
      <c r="N9">
        <v>50</v>
      </c>
    </row>
    <row r="10" spans="1:14" x14ac:dyDescent="0.25">
      <c r="A10" s="2" t="s">
        <v>410</v>
      </c>
      <c r="B10" t="s">
        <v>447</v>
      </c>
      <c r="C10" t="s">
        <v>451</v>
      </c>
      <c r="D10" s="2">
        <v>45</v>
      </c>
      <c r="E10" s="2">
        <v>7</v>
      </c>
      <c r="J10">
        <v>4</v>
      </c>
      <c r="K10">
        <v>93.8</v>
      </c>
      <c r="M10">
        <v>4</v>
      </c>
      <c r="N10">
        <v>93.8</v>
      </c>
    </row>
    <row r="11" spans="1:14" x14ac:dyDescent="0.25">
      <c r="A11" s="2" t="s">
        <v>410</v>
      </c>
      <c r="B11" t="s">
        <v>448</v>
      </c>
      <c r="C11" t="s">
        <v>451</v>
      </c>
      <c r="D11" s="2">
        <v>56</v>
      </c>
      <c r="E11" s="2">
        <v>9</v>
      </c>
      <c r="J11">
        <v>5</v>
      </c>
      <c r="K11">
        <v>90</v>
      </c>
      <c r="M11">
        <v>5</v>
      </c>
      <c r="N11">
        <v>90</v>
      </c>
    </row>
    <row r="12" spans="1:14" x14ac:dyDescent="0.25">
      <c r="A12" s="2" t="s">
        <v>411</v>
      </c>
      <c r="B12" t="s">
        <v>445</v>
      </c>
      <c r="C12" t="s">
        <v>450</v>
      </c>
      <c r="D12" s="2" t="s">
        <v>452</v>
      </c>
      <c r="E12" s="2" t="s">
        <v>452</v>
      </c>
      <c r="J12">
        <v>8</v>
      </c>
      <c r="K12">
        <v>78.099999999999994</v>
      </c>
      <c r="M12">
        <v>8</v>
      </c>
      <c r="N12">
        <v>78.099999999999994</v>
      </c>
    </row>
    <row r="13" spans="1:14" x14ac:dyDescent="0.25">
      <c r="A13" s="2" t="s">
        <v>411</v>
      </c>
      <c r="B13" t="s">
        <v>446</v>
      </c>
      <c r="C13" t="s">
        <v>450</v>
      </c>
      <c r="D13" s="2" t="s">
        <v>452</v>
      </c>
      <c r="E13" s="2" t="s">
        <v>452</v>
      </c>
      <c r="J13">
        <v>8</v>
      </c>
      <c r="K13">
        <v>93.8</v>
      </c>
      <c r="M13">
        <v>8</v>
      </c>
      <c r="N13">
        <v>93.8</v>
      </c>
    </row>
    <row r="14" spans="1:14" x14ac:dyDescent="0.25">
      <c r="A14" s="2" t="s">
        <v>411</v>
      </c>
      <c r="B14" t="s">
        <v>447</v>
      </c>
      <c r="C14" t="s">
        <v>450</v>
      </c>
      <c r="D14" s="2" t="s">
        <v>452</v>
      </c>
      <c r="E14" s="2" t="s">
        <v>452</v>
      </c>
      <c r="J14">
        <v>4</v>
      </c>
      <c r="K14">
        <v>93.8</v>
      </c>
      <c r="M14">
        <v>4</v>
      </c>
      <c r="N14">
        <v>93.8</v>
      </c>
    </row>
    <row r="15" spans="1:14" x14ac:dyDescent="0.25">
      <c r="A15" s="2" t="s">
        <v>411</v>
      </c>
      <c r="B15" t="s">
        <v>448</v>
      </c>
      <c r="C15" t="s">
        <v>450</v>
      </c>
      <c r="D15" s="2" t="s">
        <v>452</v>
      </c>
      <c r="E15" s="2" t="s">
        <v>452</v>
      </c>
      <c r="J15">
        <v>11</v>
      </c>
      <c r="K15">
        <v>88.6</v>
      </c>
      <c r="M15">
        <v>11</v>
      </c>
      <c r="N15">
        <v>88.6</v>
      </c>
    </row>
    <row r="16" spans="1:14" x14ac:dyDescent="0.25">
      <c r="A16" s="2" t="s">
        <v>411</v>
      </c>
      <c r="B16" t="s">
        <v>445</v>
      </c>
      <c r="C16" t="s">
        <v>451</v>
      </c>
      <c r="D16" s="2" t="s">
        <v>452</v>
      </c>
      <c r="E16" s="2" t="s">
        <v>452</v>
      </c>
      <c r="J16">
        <v>9</v>
      </c>
      <c r="K16">
        <v>80.599999999999994</v>
      </c>
      <c r="M16">
        <v>9</v>
      </c>
      <c r="N16">
        <v>80.599999999999994</v>
      </c>
    </row>
    <row r="17" spans="1:14" x14ac:dyDescent="0.25">
      <c r="A17" s="2" t="s">
        <v>411</v>
      </c>
      <c r="B17" t="s">
        <v>446</v>
      </c>
      <c r="C17" t="s">
        <v>451</v>
      </c>
      <c r="D17" s="2" t="s">
        <v>452</v>
      </c>
      <c r="E17" s="2" t="s">
        <v>452</v>
      </c>
      <c r="J17">
        <v>1</v>
      </c>
      <c r="K17">
        <v>75</v>
      </c>
      <c r="M17">
        <v>1</v>
      </c>
      <c r="N17">
        <v>75</v>
      </c>
    </row>
    <row r="18" spans="1:14" x14ac:dyDescent="0.25">
      <c r="A18" s="2" t="s">
        <v>411</v>
      </c>
      <c r="B18" t="s">
        <v>447</v>
      </c>
      <c r="C18" t="s">
        <v>451</v>
      </c>
      <c r="D18" s="2" t="s">
        <v>452</v>
      </c>
      <c r="E18" s="2" t="s">
        <v>452</v>
      </c>
      <c r="J18">
        <v>7</v>
      </c>
      <c r="K18">
        <v>71.400000000000006</v>
      </c>
      <c r="M18">
        <v>7</v>
      </c>
      <c r="N18">
        <v>71.400000000000006</v>
      </c>
    </row>
    <row r="19" spans="1:14" x14ac:dyDescent="0.25">
      <c r="A19" s="2" t="s">
        <v>411</v>
      </c>
      <c r="B19" t="s">
        <v>448</v>
      </c>
      <c r="C19" t="s">
        <v>451</v>
      </c>
      <c r="D19" s="2" t="s">
        <v>452</v>
      </c>
      <c r="E19" s="2" t="s">
        <v>452</v>
      </c>
      <c r="J19">
        <v>11</v>
      </c>
      <c r="K19">
        <v>86.4</v>
      </c>
      <c r="M19">
        <v>11</v>
      </c>
      <c r="N19">
        <v>86.4</v>
      </c>
    </row>
    <row r="20" spans="1:14" x14ac:dyDescent="0.25">
      <c r="A20" s="2" t="s">
        <v>412</v>
      </c>
      <c r="B20" t="s">
        <v>445</v>
      </c>
      <c r="C20" t="s">
        <v>450</v>
      </c>
      <c r="D20" s="2" t="s">
        <v>452</v>
      </c>
      <c r="E20" s="2" t="s">
        <v>452</v>
      </c>
      <c r="J20">
        <v>1</v>
      </c>
      <c r="K20">
        <v>100</v>
      </c>
      <c r="M20">
        <v>1</v>
      </c>
      <c r="N20">
        <v>100</v>
      </c>
    </row>
    <row r="21" spans="1:14" x14ac:dyDescent="0.25">
      <c r="A21" s="2" t="s">
        <v>412</v>
      </c>
      <c r="B21" t="s">
        <v>446</v>
      </c>
      <c r="C21" t="s">
        <v>450</v>
      </c>
      <c r="D21" s="2" t="s">
        <v>452</v>
      </c>
      <c r="E21" s="2" t="s">
        <v>452</v>
      </c>
      <c r="J21">
        <v>11</v>
      </c>
      <c r="K21">
        <v>61.4</v>
      </c>
      <c r="M21">
        <v>11</v>
      </c>
      <c r="N21">
        <v>61.4</v>
      </c>
    </row>
    <row r="22" spans="1:14" x14ac:dyDescent="0.25">
      <c r="A22" s="2" t="s">
        <v>412</v>
      </c>
      <c r="B22" t="s">
        <v>447</v>
      </c>
      <c r="C22" t="s">
        <v>450</v>
      </c>
      <c r="D22" s="2" t="s">
        <v>452</v>
      </c>
      <c r="E22" s="2" t="s">
        <v>452</v>
      </c>
      <c r="J22">
        <v>6</v>
      </c>
      <c r="K22">
        <v>83.3</v>
      </c>
      <c r="M22">
        <v>6</v>
      </c>
      <c r="N22">
        <v>83.3</v>
      </c>
    </row>
    <row r="23" spans="1:14" x14ac:dyDescent="0.25">
      <c r="A23" s="2" t="s">
        <v>412</v>
      </c>
      <c r="B23" t="s">
        <v>448</v>
      </c>
      <c r="C23" t="s">
        <v>450</v>
      </c>
      <c r="D23" s="2" t="s">
        <v>452</v>
      </c>
      <c r="E23" s="2" t="s">
        <v>452</v>
      </c>
      <c r="J23">
        <v>8</v>
      </c>
      <c r="K23">
        <v>59.4</v>
      </c>
      <c r="M23">
        <v>8</v>
      </c>
      <c r="N23">
        <v>59.4</v>
      </c>
    </row>
    <row r="24" spans="1:14" x14ac:dyDescent="0.25">
      <c r="A24" s="2" t="s">
        <v>412</v>
      </c>
      <c r="B24" t="s">
        <v>445</v>
      </c>
      <c r="C24" t="s">
        <v>451</v>
      </c>
      <c r="D24" s="2" t="s">
        <v>452</v>
      </c>
      <c r="E24" s="2" t="s">
        <v>452</v>
      </c>
      <c r="J24">
        <v>9</v>
      </c>
      <c r="K24">
        <v>88.9</v>
      </c>
      <c r="M24">
        <v>9</v>
      </c>
      <c r="N24">
        <v>88.9</v>
      </c>
    </row>
    <row r="25" spans="1:14" x14ac:dyDescent="0.25">
      <c r="A25" s="2" t="s">
        <v>412</v>
      </c>
      <c r="B25" t="s">
        <v>446</v>
      </c>
      <c r="C25" t="s">
        <v>451</v>
      </c>
      <c r="D25" s="2" t="s">
        <v>452</v>
      </c>
      <c r="E25" s="2" t="s">
        <v>452</v>
      </c>
      <c r="J25">
        <v>4</v>
      </c>
      <c r="K25">
        <v>81.3</v>
      </c>
      <c r="M25">
        <v>4</v>
      </c>
      <c r="N25">
        <v>81.3</v>
      </c>
    </row>
    <row r="26" spans="1:14" x14ac:dyDescent="0.25">
      <c r="A26" s="2" t="s">
        <v>412</v>
      </c>
      <c r="B26" t="s">
        <v>447</v>
      </c>
      <c r="C26" t="s">
        <v>451</v>
      </c>
      <c r="D26" s="2" t="s">
        <v>452</v>
      </c>
      <c r="E26" s="2" t="s">
        <v>452</v>
      </c>
      <c r="J26">
        <v>5</v>
      </c>
      <c r="K26">
        <v>85</v>
      </c>
      <c r="M26">
        <v>5</v>
      </c>
      <c r="N26">
        <v>85</v>
      </c>
    </row>
    <row r="27" spans="1:14" x14ac:dyDescent="0.25">
      <c r="A27" s="2" t="s">
        <v>412</v>
      </c>
      <c r="B27" t="s">
        <v>448</v>
      </c>
      <c r="C27" t="s">
        <v>451</v>
      </c>
      <c r="D27" s="2" t="s">
        <v>452</v>
      </c>
      <c r="E27" s="2" t="s">
        <v>452</v>
      </c>
      <c r="J27">
        <v>4</v>
      </c>
      <c r="K27">
        <v>93.8</v>
      </c>
      <c r="M27">
        <v>4</v>
      </c>
      <c r="N27">
        <v>93.8</v>
      </c>
    </row>
    <row r="28" spans="1:14" x14ac:dyDescent="0.25">
      <c r="A28" s="2" t="s">
        <v>452</v>
      </c>
      <c r="B28" t="s">
        <v>452</v>
      </c>
      <c r="C28" t="s">
        <v>452</v>
      </c>
      <c r="D28" s="2" t="s">
        <v>452</v>
      </c>
      <c r="E28" s="2" t="s">
        <v>452</v>
      </c>
      <c r="J28">
        <v>1</v>
      </c>
      <c r="K28">
        <v>75</v>
      </c>
      <c r="M28">
        <v>1</v>
      </c>
      <c r="N28">
        <v>75</v>
      </c>
    </row>
    <row r="29" spans="1:14" x14ac:dyDescent="0.25">
      <c r="J29">
        <v>3</v>
      </c>
      <c r="K29">
        <v>58.3</v>
      </c>
      <c r="M29">
        <v>3</v>
      </c>
      <c r="N29">
        <v>58.3</v>
      </c>
    </row>
    <row r="30" spans="1:14" x14ac:dyDescent="0.25">
      <c r="A30" s="2" t="s">
        <v>453</v>
      </c>
      <c r="B30" t="s">
        <v>454</v>
      </c>
      <c r="C30" t="s">
        <v>455</v>
      </c>
      <c r="D30" s="2" t="s">
        <v>457</v>
      </c>
      <c r="E30" s="2" t="s">
        <v>456</v>
      </c>
      <c r="J30">
        <v>6</v>
      </c>
      <c r="K30">
        <v>100</v>
      </c>
      <c r="M30">
        <v>6</v>
      </c>
      <c r="N30">
        <v>100</v>
      </c>
    </row>
    <row r="31" spans="1:14" x14ac:dyDescent="0.25">
      <c r="J31">
        <v>6</v>
      </c>
      <c r="K31">
        <v>87.5</v>
      </c>
      <c r="M31">
        <v>6</v>
      </c>
      <c r="N31">
        <v>87.5</v>
      </c>
    </row>
    <row r="32" spans="1:14" x14ac:dyDescent="0.25">
      <c r="J32">
        <v>9</v>
      </c>
      <c r="K32">
        <v>16.7</v>
      </c>
      <c r="M32">
        <v>7</v>
      </c>
      <c r="N32">
        <v>82.1</v>
      </c>
    </row>
    <row r="33" spans="10:14" x14ac:dyDescent="0.25">
      <c r="J33">
        <v>7</v>
      </c>
      <c r="K33">
        <v>82.1</v>
      </c>
      <c r="M33">
        <v>5</v>
      </c>
      <c r="N33">
        <v>90</v>
      </c>
    </row>
    <row r="34" spans="10:14" x14ac:dyDescent="0.25">
      <c r="J34">
        <v>5</v>
      </c>
      <c r="K34">
        <v>90</v>
      </c>
      <c r="M34">
        <v>13</v>
      </c>
      <c r="N34">
        <v>71.2</v>
      </c>
    </row>
    <row r="35" spans="10:14" x14ac:dyDescent="0.25">
      <c r="J35">
        <v>13</v>
      </c>
      <c r="K35">
        <v>71.2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Y42"/>
  <sheetViews>
    <sheetView showGridLines="0" tabSelected="1" topLeftCell="AH1" zoomScale="80" zoomScaleNormal="80" workbookViewId="0">
      <selection activeCell="AS1" sqref="AS1"/>
    </sheetView>
  </sheetViews>
  <sheetFormatPr defaultRowHeight="15" x14ac:dyDescent="0.25"/>
  <cols>
    <col min="1" max="1" width="4.85546875" customWidth="1"/>
    <col min="2" max="3" width="8.42578125" customWidth="1"/>
    <col min="4" max="6" width="6.85546875" customWidth="1"/>
    <col min="16" max="16" width="9.140625" customWidth="1"/>
    <col min="18" max="18" width="4.85546875" customWidth="1"/>
    <col min="19" max="20" width="8.42578125" customWidth="1"/>
    <col min="21" max="23" width="6.85546875" customWidth="1"/>
    <col min="33" max="33" width="9.140625" customWidth="1"/>
    <col min="35" max="35" width="4.85546875" customWidth="1"/>
    <col min="36" max="37" width="8.42578125" customWidth="1"/>
    <col min="38" max="40" width="6.85546875" customWidth="1"/>
    <col min="52" max="52" width="4.85546875" customWidth="1"/>
    <col min="53" max="54" width="8.42578125" customWidth="1"/>
    <col min="55" max="57" width="6.85546875" customWidth="1"/>
    <col min="69" max="69" width="4.85546875" customWidth="1"/>
    <col min="70" max="71" width="8.42578125" customWidth="1"/>
    <col min="72" max="74" width="6.85546875" customWidth="1"/>
  </cols>
  <sheetData>
    <row r="1" spans="1:77" ht="21.75" x14ac:dyDescent="0.4">
      <c r="A1" s="54" t="s">
        <v>8</v>
      </c>
      <c r="H1" s="52" t="s">
        <v>438</v>
      </c>
      <c r="I1" s="52" t="s">
        <v>437</v>
      </c>
      <c r="R1" s="54" t="s">
        <v>9</v>
      </c>
      <c r="Y1" s="52" t="s">
        <v>438</v>
      </c>
      <c r="Z1" s="52" t="s">
        <v>437</v>
      </c>
      <c r="AI1" s="54" t="s">
        <v>10</v>
      </c>
      <c r="AP1" s="52" t="s">
        <v>438</v>
      </c>
      <c r="AQ1" s="52" t="s">
        <v>437</v>
      </c>
      <c r="AZ1" s="54" t="s">
        <v>11</v>
      </c>
      <c r="BG1" s="52" t="s">
        <v>438</v>
      </c>
      <c r="BH1" s="52" t="s">
        <v>437</v>
      </c>
      <c r="BQ1" s="54" t="s">
        <v>7</v>
      </c>
      <c r="BX1" s="52" t="s">
        <v>438</v>
      </c>
      <c r="BY1" s="52" t="s">
        <v>437</v>
      </c>
    </row>
    <row r="2" spans="1:77" x14ac:dyDescent="0.25">
      <c r="H2" s="2">
        <v>-0.85960000000000003</v>
      </c>
      <c r="I2" s="2">
        <v>78.796999999999997</v>
      </c>
      <c r="Y2" s="2">
        <v>-0.64300000000000002</v>
      </c>
      <c r="Z2" s="2">
        <v>79.570999999999998</v>
      </c>
      <c r="AP2" s="2">
        <v>-1.3854</v>
      </c>
      <c r="AQ2" s="2">
        <v>83.09</v>
      </c>
      <c r="BG2" s="2">
        <v>-0.89739999999999998</v>
      </c>
      <c r="BH2" s="2">
        <v>85.370999999999995</v>
      </c>
      <c r="BX2" s="2">
        <v>-0.95109999999999995</v>
      </c>
      <c r="BY2" s="2">
        <v>81.856999999999999</v>
      </c>
    </row>
    <row r="4" spans="1:77" ht="17.25" x14ac:dyDescent="0.4">
      <c r="B4" s="15" t="s">
        <v>435</v>
      </c>
      <c r="C4" s="15" t="s">
        <v>434</v>
      </c>
      <c r="D4" s="52" t="s">
        <v>439</v>
      </c>
      <c r="E4" s="52" t="s">
        <v>436</v>
      </c>
      <c r="F4" s="52"/>
      <c r="S4" s="15" t="s">
        <v>435</v>
      </c>
      <c r="T4" s="15" t="s">
        <v>434</v>
      </c>
      <c r="U4" s="52" t="s">
        <v>439</v>
      </c>
      <c r="V4" s="52" t="s">
        <v>436</v>
      </c>
      <c r="W4" s="52"/>
      <c r="AJ4" s="15" t="s">
        <v>435</v>
      </c>
      <c r="AK4" s="15" t="s">
        <v>434</v>
      </c>
      <c r="AL4" s="52" t="s">
        <v>439</v>
      </c>
      <c r="AM4" s="52" t="s">
        <v>436</v>
      </c>
      <c r="AN4" s="52"/>
      <c r="BA4" s="15" t="s">
        <v>435</v>
      </c>
      <c r="BB4" s="15" t="s">
        <v>434</v>
      </c>
      <c r="BC4" s="52" t="s">
        <v>439</v>
      </c>
      <c r="BD4" s="52" t="s">
        <v>436</v>
      </c>
      <c r="BE4" s="52"/>
      <c r="BR4" s="15" t="s">
        <v>435</v>
      </c>
      <c r="BS4" s="15" t="s">
        <v>434</v>
      </c>
      <c r="BT4" s="52" t="s">
        <v>439</v>
      </c>
      <c r="BU4" s="52" t="s">
        <v>436</v>
      </c>
      <c r="BV4" s="52"/>
    </row>
    <row r="5" spans="1:77" x14ac:dyDescent="0.25">
      <c r="A5" s="2">
        <v>1</v>
      </c>
      <c r="B5" s="41">
        <f>Satisfaction!K9</f>
        <v>7</v>
      </c>
      <c r="C5" s="51">
        <f>Satisfaction!I9</f>
        <v>85.7</v>
      </c>
      <c r="D5" s="51">
        <f t="shared" ref="D5:D38" si="0">($H$2*B5)+$I$2</f>
        <v>72.779799999999994</v>
      </c>
      <c r="E5" s="51">
        <f>C5-D5</f>
        <v>12.920200000000008</v>
      </c>
      <c r="F5" s="51"/>
      <c r="R5" s="2">
        <v>1</v>
      </c>
      <c r="S5" s="41">
        <v>7</v>
      </c>
      <c r="T5" s="51">
        <v>89.3</v>
      </c>
      <c r="U5" s="51">
        <f t="shared" ref="U5:U38" si="1">($Y$2*S5)+$Z$2</f>
        <v>75.069999999999993</v>
      </c>
      <c r="V5" s="51">
        <f>T5-U5</f>
        <v>14.230000000000004</v>
      </c>
      <c r="W5" s="51"/>
      <c r="AI5" s="2">
        <v>1</v>
      </c>
      <c r="AJ5" s="41">
        <v>7</v>
      </c>
      <c r="AK5" s="51">
        <v>89.3</v>
      </c>
      <c r="AL5" s="51">
        <f>($AP$2*AJ5)+$AQ$2</f>
        <v>73.392200000000003</v>
      </c>
      <c r="AM5" s="51">
        <f>AK5-AL5</f>
        <v>15.907799999999995</v>
      </c>
      <c r="AN5" s="51"/>
      <c r="AZ5" s="2">
        <v>1</v>
      </c>
      <c r="BA5" s="41">
        <v>7</v>
      </c>
      <c r="BB5" s="51">
        <v>85.7</v>
      </c>
      <c r="BC5" s="51">
        <f>($BG$2*BA5)+$BH$2</f>
        <v>79.089199999999991</v>
      </c>
      <c r="BD5" s="51">
        <f>BB5-BC5</f>
        <v>6.6108000000000118</v>
      </c>
      <c r="BE5" s="51"/>
      <c r="BQ5" s="2">
        <v>1</v>
      </c>
      <c r="BR5" s="41">
        <v>7</v>
      </c>
      <c r="BS5" s="51">
        <v>87.5</v>
      </c>
      <c r="BT5" s="51">
        <f>($BX$2*BR5)+$BY$2</f>
        <v>75.199299999999994</v>
      </c>
      <c r="BU5" s="51">
        <f>BS5-BT5</f>
        <v>12.300700000000006</v>
      </c>
      <c r="BV5" s="51"/>
    </row>
    <row r="6" spans="1:77" x14ac:dyDescent="0.25">
      <c r="A6" s="2">
        <v>2</v>
      </c>
      <c r="B6" s="41">
        <f>Satisfaction!K10</f>
        <v>7</v>
      </c>
      <c r="C6" s="51">
        <f>Satisfaction!I10</f>
        <v>71.400000000000006</v>
      </c>
      <c r="D6" s="51">
        <f t="shared" si="0"/>
        <v>72.779799999999994</v>
      </c>
      <c r="E6" s="51">
        <f t="shared" ref="E6:E38" si="2">C6-D6</f>
        <v>-1.3797999999999888</v>
      </c>
      <c r="F6" s="51"/>
      <c r="R6" s="2">
        <v>2</v>
      </c>
      <c r="S6" s="41">
        <v>7</v>
      </c>
      <c r="T6" s="51">
        <v>82.1</v>
      </c>
      <c r="U6" s="51">
        <f t="shared" si="1"/>
        <v>75.069999999999993</v>
      </c>
      <c r="V6" s="51">
        <f t="shared" ref="V6:V38" si="3">T6-U6</f>
        <v>7.0300000000000011</v>
      </c>
      <c r="W6" s="51"/>
      <c r="AI6" s="2">
        <v>2</v>
      </c>
      <c r="AJ6" s="41">
        <v>7</v>
      </c>
      <c r="AK6" s="51">
        <v>78.599999999999994</v>
      </c>
      <c r="AL6" s="51">
        <f t="shared" ref="AL6:AL38" si="4">($AP$2*AJ6)+$AQ$2</f>
        <v>73.392200000000003</v>
      </c>
      <c r="AM6" s="51">
        <f t="shared" ref="AM6:AM38" si="5">AK6-AL6</f>
        <v>5.2077999999999918</v>
      </c>
      <c r="AN6" s="51"/>
      <c r="AZ6" s="2">
        <v>2</v>
      </c>
      <c r="BA6" s="41">
        <v>7</v>
      </c>
      <c r="BB6" s="51">
        <v>82.1</v>
      </c>
      <c r="BC6" s="51">
        <f t="shared" ref="BC6:BC38" si="6">($BG$2*BA6)+$BH$2</f>
        <v>79.089199999999991</v>
      </c>
      <c r="BD6" s="51">
        <f t="shared" ref="BD6:BD38" si="7">BB6-BC6</f>
        <v>3.0108000000000033</v>
      </c>
      <c r="BE6" s="51"/>
      <c r="BQ6" s="2">
        <v>2</v>
      </c>
      <c r="BR6" s="41">
        <v>7</v>
      </c>
      <c r="BS6" s="51">
        <v>78.599999999999994</v>
      </c>
      <c r="BT6" s="51">
        <f t="shared" ref="BT6:BT38" si="8">($BX$2*BR6)+$BY$2</f>
        <v>75.199299999999994</v>
      </c>
      <c r="BU6" s="51">
        <f t="shared" ref="BU6:BU38" si="9">BS6-BT6</f>
        <v>3.4007000000000005</v>
      </c>
      <c r="BV6" s="51"/>
    </row>
    <row r="7" spans="1:77" x14ac:dyDescent="0.25">
      <c r="A7" s="2">
        <v>3</v>
      </c>
      <c r="B7" s="41">
        <f>Satisfaction!K11</f>
        <v>7</v>
      </c>
      <c r="C7" s="51">
        <f>Satisfaction!I11</f>
        <v>92.9</v>
      </c>
      <c r="D7" s="51">
        <f t="shared" si="0"/>
        <v>72.779799999999994</v>
      </c>
      <c r="E7" s="51">
        <f t="shared" si="2"/>
        <v>20.120200000000011</v>
      </c>
      <c r="F7" s="51"/>
      <c r="R7" s="2">
        <v>3</v>
      </c>
      <c r="S7" s="41">
        <v>7</v>
      </c>
      <c r="T7" s="51">
        <v>92.9</v>
      </c>
      <c r="U7" s="51">
        <f t="shared" si="1"/>
        <v>75.069999999999993</v>
      </c>
      <c r="V7" s="51">
        <f t="shared" si="3"/>
        <v>17.830000000000013</v>
      </c>
      <c r="W7" s="51"/>
      <c r="AI7" s="2">
        <v>3</v>
      </c>
      <c r="AJ7" s="41">
        <v>7</v>
      </c>
      <c r="AK7" s="51">
        <v>96.4</v>
      </c>
      <c r="AL7" s="51">
        <f t="shared" si="4"/>
        <v>73.392200000000003</v>
      </c>
      <c r="AM7" s="51">
        <f t="shared" si="5"/>
        <v>23.007800000000003</v>
      </c>
      <c r="AN7" s="51"/>
      <c r="AZ7" s="2">
        <v>3</v>
      </c>
      <c r="BA7" s="41">
        <v>7</v>
      </c>
      <c r="BB7" s="51">
        <v>92.9</v>
      </c>
      <c r="BC7" s="51">
        <f t="shared" si="6"/>
        <v>79.089199999999991</v>
      </c>
      <c r="BD7" s="51">
        <f t="shared" si="7"/>
        <v>13.810800000000015</v>
      </c>
      <c r="BE7" s="51"/>
      <c r="BQ7" s="2">
        <v>3</v>
      </c>
      <c r="BR7" s="41">
        <v>7</v>
      </c>
      <c r="BS7" s="51">
        <v>93.8</v>
      </c>
      <c r="BT7" s="51">
        <f t="shared" si="8"/>
        <v>75.199299999999994</v>
      </c>
      <c r="BU7" s="51">
        <f t="shared" si="9"/>
        <v>18.600700000000003</v>
      </c>
      <c r="BV7" s="51"/>
    </row>
    <row r="8" spans="1:77" x14ac:dyDescent="0.25">
      <c r="A8" s="2">
        <v>4</v>
      </c>
      <c r="B8" s="41">
        <f>Satisfaction!K12</f>
        <v>4</v>
      </c>
      <c r="C8" s="51">
        <f>Satisfaction!I12</f>
        <v>62.5</v>
      </c>
      <c r="D8" s="51">
        <f t="shared" si="0"/>
        <v>75.358599999999996</v>
      </c>
      <c r="E8" s="51">
        <f t="shared" si="2"/>
        <v>-12.858599999999996</v>
      </c>
      <c r="F8" s="51"/>
      <c r="R8" s="2">
        <v>4</v>
      </c>
      <c r="S8" s="41">
        <v>4</v>
      </c>
      <c r="T8" s="51">
        <v>68.8</v>
      </c>
      <c r="U8" s="51">
        <f t="shared" si="1"/>
        <v>76.998999999999995</v>
      </c>
      <c r="V8" s="51">
        <f t="shared" si="3"/>
        <v>-8.1989999999999981</v>
      </c>
      <c r="W8" s="51"/>
      <c r="AI8" s="2">
        <v>4</v>
      </c>
      <c r="AJ8" s="41">
        <v>4</v>
      </c>
      <c r="AK8" s="51">
        <v>62.5</v>
      </c>
      <c r="AL8" s="51">
        <f t="shared" si="4"/>
        <v>77.548400000000001</v>
      </c>
      <c r="AM8" s="51">
        <f t="shared" si="5"/>
        <v>-15.048400000000001</v>
      </c>
      <c r="AN8" s="51"/>
      <c r="AZ8" s="2">
        <v>4</v>
      </c>
      <c r="BA8" s="41">
        <v>4</v>
      </c>
      <c r="BB8" s="51">
        <v>68.8</v>
      </c>
      <c r="BC8" s="51">
        <f t="shared" si="6"/>
        <v>81.781399999999991</v>
      </c>
      <c r="BD8" s="51">
        <f t="shared" si="7"/>
        <v>-12.981399999999994</v>
      </c>
      <c r="BE8" s="51"/>
      <c r="BQ8" s="2">
        <v>4</v>
      </c>
      <c r="BR8" s="41">
        <v>4</v>
      </c>
      <c r="BS8" s="51">
        <v>65.599999999999994</v>
      </c>
      <c r="BT8" s="51">
        <f t="shared" si="8"/>
        <v>78.052599999999998</v>
      </c>
      <c r="BU8" s="51">
        <f t="shared" si="9"/>
        <v>-12.452600000000004</v>
      </c>
      <c r="BV8" s="51"/>
    </row>
    <row r="9" spans="1:77" x14ac:dyDescent="0.25">
      <c r="A9" s="2">
        <v>5</v>
      </c>
      <c r="B9" s="41">
        <f>Satisfaction!K13</f>
        <v>7</v>
      </c>
      <c r="C9" s="51">
        <f>Satisfaction!I13</f>
        <v>78.599999999999994</v>
      </c>
      <c r="D9" s="51">
        <f t="shared" si="0"/>
        <v>72.779799999999994</v>
      </c>
      <c r="E9" s="51">
        <f t="shared" si="2"/>
        <v>5.8201999999999998</v>
      </c>
      <c r="F9" s="51"/>
      <c r="R9" s="2">
        <v>5</v>
      </c>
      <c r="S9" s="41">
        <v>7</v>
      </c>
      <c r="T9" s="51">
        <v>85.7</v>
      </c>
      <c r="U9" s="51">
        <f t="shared" si="1"/>
        <v>75.069999999999993</v>
      </c>
      <c r="V9" s="51">
        <f t="shared" si="3"/>
        <v>10.63000000000001</v>
      </c>
      <c r="W9" s="51"/>
      <c r="AI9" s="2">
        <v>5</v>
      </c>
      <c r="AJ9" s="41">
        <v>7</v>
      </c>
      <c r="AK9" s="51">
        <v>78.599999999999994</v>
      </c>
      <c r="AL9" s="51">
        <f t="shared" si="4"/>
        <v>73.392200000000003</v>
      </c>
      <c r="AM9" s="51">
        <f t="shared" si="5"/>
        <v>5.2077999999999918</v>
      </c>
      <c r="AN9" s="51"/>
      <c r="AZ9" s="2">
        <v>5</v>
      </c>
      <c r="BA9" s="41">
        <v>7</v>
      </c>
      <c r="BB9" s="51">
        <v>85.7</v>
      </c>
      <c r="BC9" s="51">
        <f t="shared" si="6"/>
        <v>79.089199999999991</v>
      </c>
      <c r="BD9" s="51">
        <f t="shared" si="7"/>
        <v>6.6108000000000118</v>
      </c>
      <c r="BE9" s="51"/>
      <c r="BQ9" s="2">
        <v>5</v>
      </c>
      <c r="BR9" s="41">
        <v>7</v>
      </c>
      <c r="BS9" s="51">
        <v>82.1</v>
      </c>
      <c r="BT9" s="51">
        <f t="shared" si="8"/>
        <v>75.199299999999994</v>
      </c>
      <c r="BU9" s="51">
        <f t="shared" si="9"/>
        <v>6.9007000000000005</v>
      </c>
      <c r="BV9" s="51"/>
    </row>
    <row r="10" spans="1:77" x14ac:dyDescent="0.25">
      <c r="A10" s="2">
        <v>6</v>
      </c>
      <c r="B10" s="41">
        <f>Satisfaction!K14</f>
        <v>4</v>
      </c>
      <c r="C10" s="51">
        <f>Satisfaction!I14</f>
        <v>50</v>
      </c>
      <c r="D10" s="51">
        <f t="shared" si="0"/>
        <v>75.358599999999996</v>
      </c>
      <c r="E10" s="51">
        <f t="shared" si="2"/>
        <v>-25.358599999999996</v>
      </c>
      <c r="F10" s="51"/>
      <c r="R10" s="2">
        <v>6</v>
      </c>
      <c r="S10" s="41">
        <v>4</v>
      </c>
      <c r="T10" s="51">
        <v>56.3</v>
      </c>
      <c r="U10" s="51">
        <f t="shared" si="1"/>
        <v>76.998999999999995</v>
      </c>
      <c r="V10" s="51">
        <f t="shared" si="3"/>
        <v>-20.698999999999998</v>
      </c>
      <c r="W10" s="51"/>
      <c r="AI10" s="2">
        <v>6</v>
      </c>
      <c r="AJ10" s="41">
        <v>4</v>
      </c>
      <c r="AK10" s="51">
        <v>50</v>
      </c>
      <c r="AL10" s="51">
        <f t="shared" si="4"/>
        <v>77.548400000000001</v>
      </c>
      <c r="AM10" s="51">
        <f t="shared" si="5"/>
        <v>-27.548400000000001</v>
      </c>
      <c r="AN10" s="51"/>
      <c r="AZ10" s="2">
        <v>6</v>
      </c>
      <c r="BA10" s="41">
        <v>4</v>
      </c>
      <c r="BB10" s="51">
        <v>50</v>
      </c>
      <c r="BC10" s="51">
        <f t="shared" si="6"/>
        <v>81.781399999999991</v>
      </c>
      <c r="BD10" s="51">
        <f t="shared" si="7"/>
        <v>-31.781399999999991</v>
      </c>
      <c r="BE10" s="51"/>
      <c r="BQ10" s="2">
        <v>6</v>
      </c>
      <c r="BR10" s="41">
        <v>4</v>
      </c>
      <c r="BS10" s="51">
        <v>51.6</v>
      </c>
      <c r="BT10" s="51">
        <f t="shared" si="8"/>
        <v>78.052599999999998</v>
      </c>
      <c r="BU10" s="51">
        <f t="shared" si="9"/>
        <v>-26.452599999999997</v>
      </c>
      <c r="BV10" s="51"/>
    </row>
    <row r="11" spans="1:77" x14ac:dyDescent="0.25">
      <c r="A11" s="2">
        <v>7</v>
      </c>
      <c r="B11" s="41">
        <f>Satisfaction!K15</f>
        <v>4</v>
      </c>
      <c r="C11" s="51">
        <f>Satisfaction!I15</f>
        <v>81.3</v>
      </c>
      <c r="D11" s="51">
        <f t="shared" si="0"/>
        <v>75.358599999999996</v>
      </c>
      <c r="E11" s="51">
        <f t="shared" si="2"/>
        <v>5.9414000000000016</v>
      </c>
      <c r="F11" s="51"/>
      <c r="R11" s="2">
        <v>7</v>
      </c>
      <c r="S11" s="41">
        <v>4</v>
      </c>
      <c r="T11" s="51">
        <v>87.5</v>
      </c>
      <c r="U11" s="51">
        <f t="shared" si="1"/>
        <v>76.998999999999995</v>
      </c>
      <c r="V11" s="51">
        <f t="shared" si="3"/>
        <v>10.501000000000005</v>
      </c>
      <c r="W11" s="51"/>
      <c r="AI11" s="2">
        <v>7</v>
      </c>
      <c r="AJ11" s="41">
        <v>4</v>
      </c>
      <c r="AK11" s="51">
        <v>87.5</v>
      </c>
      <c r="AL11" s="51">
        <f t="shared" si="4"/>
        <v>77.548400000000001</v>
      </c>
      <c r="AM11" s="51">
        <f t="shared" si="5"/>
        <v>9.9515999999999991</v>
      </c>
      <c r="AN11" s="51"/>
      <c r="AZ11" s="2">
        <v>7</v>
      </c>
      <c r="BA11" s="41">
        <v>4</v>
      </c>
      <c r="BB11" s="51">
        <v>93.8</v>
      </c>
      <c r="BC11" s="51">
        <f t="shared" si="6"/>
        <v>81.781399999999991</v>
      </c>
      <c r="BD11" s="51">
        <f t="shared" si="7"/>
        <v>12.018600000000006</v>
      </c>
      <c r="BE11" s="51"/>
      <c r="BQ11" s="2">
        <v>7</v>
      </c>
      <c r="BR11" s="41">
        <v>4</v>
      </c>
      <c r="BS11" s="51">
        <v>87.5</v>
      </c>
      <c r="BT11" s="51">
        <f t="shared" si="8"/>
        <v>78.052599999999998</v>
      </c>
      <c r="BU11" s="51">
        <f t="shared" si="9"/>
        <v>9.4474000000000018</v>
      </c>
      <c r="BV11" s="51"/>
    </row>
    <row r="12" spans="1:77" x14ac:dyDescent="0.25">
      <c r="A12" s="2">
        <v>8</v>
      </c>
      <c r="B12" s="41">
        <f>Satisfaction!K16</f>
        <v>5</v>
      </c>
      <c r="C12" s="51">
        <f>Satisfaction!I16</f>
        <v>85</v>
      </c>
      <c r="D12" s="51">
        <f t="shared" si="0"/>
        <v>74.498999999999995</v>
      </c>
      <c r="E12" s="51">
        <f t="shared" si="2"/>
        <v>10.501000000000005</v>
      </c>
      <c r="F12" s="51"/>
      <c r="R12" s="2">
        <v>8</v>
      </c>
      <c r="S12" s="41">
        <v>5</v>
      </c>
      <c r="T12" s="51">
        <v>95</v>
      </c>
      <c r="U12" s="51">
        <f t="shared" si="1"/>
        <v>76.355999999999995</v>
      </c>
      <c r="V12" s="51">
        <f t="shared" si="3"/>
        <v>18.644000000000005</v>
      </c>
      <c r="W12" s="51"/>
      <c r="AI12" s="2">
        <v>8</v>
      </c>
      <c r="AJ12" s="41">
        <v>5</v>
      </c>
      <c r="AK12" s="51">
        <v>80</v>
      </c>
      <c r="AL12" s="51">
        <f t="shared" si="4"/>
        <v>76.163000000000011</v>
      </c>
      <c r="AM12" s="51">
        <f t="shared" si="5"/>
        <v>3.8369999999999891</v>
      </c>
      <c r="AN12" s="51"/>
      <c r="AZ12" s="2">
        <v>8</v>
      </c>
      <c r="BA12" s="41">
        <v>5</v>
      </c>
      <c r="BB12" s="51">
        <v>90</v>
      </c>
      <c r="BC12" s="51">
        <f t="shared" si="6"/>
        <v>80.884</v>
      </c>
      <c r="BD12" s="51">
        <f t="shared" si="7"/>
        <v>9.1159999999999997</v>
      </c>
      <c r="BE12" s="51"/>
      <c r="BQ12" s="2">
        <v>8</v>
      </c>
      <c r="BR12" s="41">
        <v>5</v>
      </c>
      <c r="BS12" s="51">
        <v>87.5</v>
      </c>
      <c r="BT12" s="51">
        <f t="shared" si="8"/>
        <v>77.101500000000001</v>
      </c>
      <c r="BU12" s="51">
        <f t="shared" si="9"/>
        <v>10.398499999999999</v>
      </c>
      <c r="BV12" s="51"/>
    </row>
    <row r="13" spans="1:77" x14ac:dyDescent="0.25">
      <c r="A13" s="2">
        <v>9</v>
      </c>
      <c r="B13" s="41">
        <f>Satisfaction!K17</f>
        <v>8</v>
      </c>
      <c r="C13" s="51">
        <f>Satisfaction!I17</f>
        <v>75</v>
      </c>
      <c r="D13" s="51">
        <f t="shared" si="0"/>
        <v>71.920199999999994</v>
      </c>
      <c r="E13" s="51">
        <f t="shared" si="2"/>
        <v>3.0798000000000059</v>
      </c>
      <c r="F13" s="51"/>
      <c r="R13" s="2">
        <v>9</v>
      </c>
      <c r="S13" s="41">
        <v>8</v>
      </c>
      <c r="T13" s="51">
        <v>75</v>
      </c>
      <c r="U13" s="51">
        <f t="shared" si="1"/>
        <v>74.426999999999992</v>
      </c>
      <c r="V13" s="51">
        <f t="shared" si="3"/>
        <v>0.5730000000000075</v>
      </c>
      <c r="W13" s="51"/>
      <c r="AI13" s="2">
        <v>9</v>
      </c>
      <c r="AJ13" s="41">
        <v>8</v>
      </c>
      <c r="AK13" s="51">
        <v>71.900000000000006</v>
      </c>
      <c r="AL13" s="51">
        <f t="shared" si="4"/>
        <v>72.006799999999998</v>
      </c>
      <c r="AM13" s="51">
        <f t="shared" si="5"/>
        <v>-0.10679999999999268</v>
      </c>
      <c r="AN13" s="51"/>
      <c r="AZ13" s="2">
        <v>9</v>
      </c>
      <c r="BA13" s="41">
        <v>8</v>
      </c>
      <c r="BB13" s="51">
        <v>78.099999999999994</v>
      </c>
      <c r="BC13" s="51">
        <f t="shared" si="6"/>
        <v>78.191800000000001</v>
      </c>
      <c r="BD13" s="51">
        <f t="shared" si="7"/>
        <v>-9.1800000000006321E-2</v>
      </c>
      <c r="BE13" s="51"/>
      <c r="BQ13" s="2">
        <v>9</v>
      </c>
      <c r="BR13" s="41">
        <v>8</v>
      </c>
      <c r="BS13" s="51">
        <v>75</v>
      </c>
      <c r="BT13" s="51">
        <f t="shared" si="8"/>
        <v>74.248199999999997</v>
      </c>
      <c r="BU13" s="51">
        <f t="shared" si="9"/>
        <v>0.75180000000000291</v>
      </c>
      <c r="BV13" s="51"/>
    </row>
    <row r="14" spans="1:77" x14ac:dyDescent="0.25">
      <c r="A14" s="2">
        <v>10</v>
      </c>
      <c r="B14" s="41">
        <f>Satisfaction!K18</f>
        <v>8</v>
      </c>
      <c r="C14" s="51">
        <f>Satisfaction!I18</f>
        <v>87.5</v>
      </c>
      <c r="D14" s="51">
        <f t="shared" si="0"/>
        <v>71.920199999999994</v>
      </c>
      <c r="E14" s="51">
        <f t="shared" si="2"/>
        <v>15.579800000000006</v>
      </c>
      <c r="F14" s="51"/>
      <c r="R14" s="2">
        <v>10</v>
      </c>
      <c r="S14" s="41">
        <v>8</v>
      </c>
      <c r="T14" s="51">
        <v>90.6</v>
      </c>
      <c r="U14" s="51">
        <f t="shared" si="1"/>
        <v>74.426999999999992</v>
      </c>
      <c r="V14" s="51">
        <f t="shared" si="3"/>
        <v>16.173000000000002</v>
      </c>
      <c r="W14" s="51"/>
      <c r="AI14" s="2">
        <v>10</v>
      </c>
      <c r="AJ14" s="41">
        <v>8</v>
      </c>
      <c r="AK14" s="51">
        <v>93.8</v>
      </c>
      <c r="AL14" s="51">
        <f t="shared" si="4"/>
        <v>72.006799999999998</v>
      </c>
      <c r="AM14" s="51">
        <f t="shared" si="5"/>
        <v>21.793199999999999</v>
      </c>
      <c r="AN14" s="51"/>
      <c r="AZ14" s="2">
        <v>10</v>
      </c>
      <c r="BA14" s="41">
        <v>8</v>
      </c>
      <c r="BB14" s="51">
        <v>93.8</v>
      </c>
      <c r="BC14" s="51">
        <f t="shared" si="6"/>
        <v>78.191800000000001</v>
      </c>
      <c r="BD14" s="51">
        <f t="shared" si="7"/>
        <v>15.608199999999997</v>
      </c>
      <c r="BE14" s="51"/>
      <c r="BQ14" s="2">
        <v>10</v>
      </c>
      <c r="BR14" s="41">
        <v>8</v>
      </c>
      <c r="BS14" s="51">
        <v>91.4</v>
      </c>
      <c r="BT14" s="51">
        <f t="shared" si="8"/>
        <v>74.248199999999997</v>
      </c>
      <c r="BU14" s="51">
        <f t="shared" si="9"/>
        <v>17.151800000000009</v>
      </c>
      <c r="BV14" s="51"/>
    </row>
    <row r="15" spans="1:77" x14ac:dyDescent="0.25">
      <c r="A15" s="2">
        <v>11</v>
      </c>
      <c r="B15" s="41">
        <f>Satisfaction!K19</f>
        <v>4</v>
      </c>
      <c r="C15" s="51">
        <f>Satisfaction!I19</f>
        <v>81.3</v>
      </c>
      <c r="D15" s="51">
        <f t="shared" si="0"/>
        <v>75.358599999999996</v>
      </c>
      <c r="E15" s="51">
        <f t="shared" si="2"/>
        <v>5.9414000000000016</v>
      </c>
      <c r="F15" s="51"/>
      <c r="R15" s="2">
        <v>11</v>
      </c>
      <c r="S15" s="41">
        <v>4</v>
      </c>
      <c r="T15" s="51">
        <v>87.5</v>
      </c>
      <c r="U15" s="51">
        <f t="shared" si="1"/>
        <v>76.998999999999995</v>
      </c>
      <c r="V15" s="51">
        <f t="shared" si="3"/>
        <v>10.501000000000005</v>
      </c>
      <c r="W15" s="51"/>
      <c r="AI15" s="2">
        <v>11</v>
      </c>
      <c r="AJ15" s="41">
        <v>4</v>
      </c>
      <c r="AK15" s="51">
        <v>93.8</v>
      </c>
      <c r="AL15" s="51">
        <f t="shared" si="4"/>
        <v>77.548400000000001</v>
      </c>
      <c r="AM15" s="51">
        <f t="shared" si="5"/>
        <v>16.251599999999996</v>
      </c>
      <c r="AN15" s="51"/>
      <c r="AZ15" s="2">
        <v>11</v>
      </c>
      <c r="BA15" s="41">
        <v>4</v>
      </c>
      <c r="BB15" s="51">
        <v>93.8</v>
      </c>
      <c r="BC15" s="51">
        <f t="shared" si="6"/>
        <v>81.781399999999991</v>
      </c>
      <c r="BD15" s="51">
        <f t="shared" si="7"/>
        <v>12.018600000000006</v>
      </c>
      <c r="BE15" s="51"/>
      <c r="BQ15" s="2">
        <v>11</v>
      </c>
      <c r="BR15" s="41">
        <v>4</v>
      </c>
      <c r="BS15" s="51">
        <v>89.1</v>
      </c>
      <c r="BT15" s="51">
        <f t="shared" si="8"/>
        <v>78.052599999999998</v>
      </c>
      <c r="BU15" s="51">
        <f t="shared" si="9"/>
        <v>11.047399999999996</v>
      </c>
      <c r="BV15" s="51"/>
    </row>
    <row r="16" spans="1:77" x14ac:dyDescent="0.25">
      <c r="A16" s="2">
        <v>12</v>
      </c>
      <c r="B16" s="41">
        <f>Satisfaction!K20</f>
        <v>11</v>
      </c>
      <c r="C16" s="51">
        <f>Satisfaction!I20</f>
        <v>79.599999999999994</v>
      </c>
      <c r="D16" s="51">
        <f t="shared" si="0"/>
        <v>69.341399999999993</v>
      </c>
      <c r="E16" s="51">
        <f t="shared" si="2"/>
        <v>10.258600000000001</v>
      </c>
      <c r="F16" s="51"/>
      <c r="R16" s="2">
        <v>12</v>
      </c>
      <c r="S16" s="41">
        <v>11</v>
      </c>
      <c r="T16" s="51">
        <v>81.8</v>
      </c>
      <c r="U16" s="51">
        <f t="shared" si="1"/>
        <v>72.49799999999999</v>
      </c>
      <c r="V16" s="51">
        <f t="shared" si="3"/>
        <v>9.3020000000000067</v>
      </c>
      <c r="W16" s="51"/>
      <c r="AI16" s="2">
        <v>12</v>
      </c>
      <c r="AJ16" s="41">
        <v>11</v>
      </c>
      <c r="AK16" s="51">
        <v>75</v>
      </c>
      <c r="AL16" s="51">
        <f t="shared" si="4"/>
        <v>67.8506</v>
      </c>
      <c r="AM16" s="51">
        <f t="shared" si="5"/>
        <v>7.1494</v>
      </c>
      <c r="AN16" s="51"/>
      <c r="AZ16" s="2">
        <v>12</v>
      </c>
      <c r="BA16" s="41">
        <v>11</v>
      </c>
      <c r="BB16" s="51">
        <v>88.6</v>
      </c>
      <c r="BC16" s="51">
        <f t="shared" si="6"/>
        <v>75.499600000000001</v>
      </c>
      <c r="BD16" s="51">
        <f t="shared" si="7"/>
        <v>13.100399999999993</v>
      </c>
      <c r="BE16" s="51"/>
      <c r="BQ16" s="2">
        <v>12</v>
      </c>
      <c r="BR16" s="41">
        <v>11</v>
      </c>
      <c r="BS16" s="51">
        <v>81.3</v>
      </c>
      <c r="BT16" s="51">
        <f t="shared" si="8"/>
        <v>71.394900000000007</v>
      </c>
      <c r="BU16" s="51">
        <f t="shared" si="9"/>
        <v>9.9050999999999902</v>
      </c>
      <c r="BV16" s="51"/>
    </row>
    <row r="17" spans="1:76" x14ac:dyDescent="0.25">
      <c r="A17" s="2">
        <v>13</v>
      </c>
      <c r="B17" s="41">
        <f>Satisfaction!K21</f>
        <v>8</v>
      </c>
      <c r="C17" s="51">
        <f>Satisfaction!I21</f>
        <v>71.900000000000006</v>
      </c>
      <c r="D17" s="51">
        <f t="shared" si="0"/>
        <v>71.920199999999994</v>
      </c>
      <c r="E17" s="51">
        <f t="shared" si="2"/>
        <v>-2.0199999999988449E-2</v>
      </c>
      <c r="F17" s="51"/>
      <c r="R17" s="2">
        <v>13</v>
      </c>
      <c r="S17" s="41">
        <v>9</v>
      </c>
      <c r="T17" s="51">
        <v>72.2</v>
      </c>
      <c r="U17" s="51">
        <f t="shared" si="1"/>
        <v>73.783999999999992</v>
      </c>
      <c r="V17" s="51">
        <f t="shared" si="3"/>
        <v>-1.583999999999989</v>
      </c>
      <c r="W17" s="51"/>
      <c r="AI17" s="2">
        <v>13</v>
      </c>
      <c r="AJ17" s="41">
        <v>8</v>
      </c>
      <c r="AK17" s="51">
        <v>65.599999999999994</v>
      </c>
      <c r="AL17" s="51">
        <f t="shared" si="4"/>
        <v>72.006799999999998</v>
      </c>
      <c r="AM17" s="51">
        <f t="shared" si="5"/>
        <v>-6.406800000000004</v>
      </c>
      <c r="AN17" s="51"/>
      <c r="AZ17" s="2">
        <v>13</v>
      </c>
      <c r="BA17" s="41">
        <v>9</v>
      </c>
      <c r="BB17" s="51">
        <v>80.599999999999994</v>
      </c>
      <c r="BC17" s="51">
        <f t="shared" si="6"/>
        <v>77.294399999999996</v>
      </c>
      <c r="BD17" s="51">
        <f t="shared" si="7"/>
        <v>3.3055999999999983</v>
      </c>
      <c r="BE17" s="51"/>
      <c r="BQ17" s="2">
        <v>13</v>
      </c>
      <c r="BR17" s="41">
        <v>9</v>
      </c>
      <c r="BS17" s="51">
        <v>72.900000000000006</v>
      </c>
      <c r="BT17" s="51">
        <f t="shared" si="8"/>
        <v>73.2971</v>
      </c>
      <c r="BU17" s="51">
        <f t="shared" si="9"/>
        <v>-0.39709999999999468</v>
      </c>
      <c r="BV17" s="51"/>
    </row>
    <row r="18" spans="1:76" x14ac:dyDescent="0.25">
      <c r="A18" s="2">
        <v>14</v>
      </c>
      <c r="B18" s="41">
        <f>Satisfaction!K22</f>
        <v>1</v>
      </c>
      <c r="C18" s="51">
        <f>Satisfaction!I22</f>
        <v>50</v>
      </c>
      <c r="D18" s="51">
        <f t="shared" si="0"/>
        <v>77.937399999999997</v>
      </c>
      <c r="E18" s="51">
        <f t="shared" si="2"/>
        <v>-27.937399999999997</v>
      </c>
      <c r="F18" s="51"/>
      <c r="R18" s="2">
        <v>14</v>
      </c>
      <c r="S18" s="41">
        <v>1</v>
      </c>
      <c r="T18" s="51">
        <v>50</v>
      </c>
      <c r="U18" s="51">
        <f t="shared" si="1"/>
        <v>78.927999999999997</v>
      </c>
      <c r="V18" s="51">
        <f t="shared" si="3"/>
        <v>-28.927999999999997</v>
      </c>
      <c r="W18" s="51"/>
      <c r="AI18" s="2">
        <v>14</v>
      </c>
      <c r="AJ18" s="41">
        <v>1</v>
      </c>
      <c r="AK18" s="51">
        <v>75</v>
      </c>
      <c r="AL18" s="51">
        <f t="shared" si="4"/>
        <v>81.704599999999999</v>
      </c>
      <c r="AM18" s="51">
        <f t="shared" si="5"/>
        <v>-6.7045999999999992</v>
      </c>
      <c r="AN18" s="51"/>
      <c r="AZ18" s="2">
        <v>14</v>
      </c>
      <c r="BA18" s="41">
        <v>1</v>
      </c>
      <c r="BB18" s="51">
        <v>75</v>
      </c>
      <c r="BC18" s="51">
        <f t="shared" si="6"/>
        <v>84.47359999999999</v>
      </c>
      <c r="BD18" s="51">
        <f t="shared" si="7"/>
        <v>-9.4735999999999905</v>
      </c>
      <c r="BE18" s="51"/>
      <c r="BQ18" s="2">
        <v>14</v>
      </c>
      <c r="BR18" s="41">
        <v>1</v>
      </c>
      <c r="BS18" s="51">
        <v>62.5</v>
      </c>
      <c r="BT18" s="51">
        <f t="shared" si="8"/>
        <v>80.905900000000003</v>
      </c>
      <c r="BU18" s="51">
        <f t="shared" si="9"/>
        <v>-18.405900000000003</v>
      </c>
      <c r="BV18" s="51"/>
    </row>
    <row r="19" spans="1:76" x14ac:dyDescent="0.25">
      <c r="A19" s="2">
        <v>15</v>
      </c>
      <c r="B19" s="41">
        <f>Satisfaction!K23</f>
        <v>7</v>
      </c>
      <c r="C19" s="51">
        <f>Satisfaction!I23</f>
        <v>67.900000000000006</v>
      </c>
      <c r="D19" s="51">
        <f t="shared" si="0"/>
        <v>72.779799999999994</v>
      </c>
      <c r="E19" s="51">
        <f t="shared" si="2"/>
        <v>-4.8797999999999888</v>
      </c>
      <c r="F19" s="51"/>
      <c r="R19" s="2">
        <v>15</v>
      </c>
      <c r="S19" s="41">
        <v>7</v>
      </c>
      <c r="T19" s="51">
        <v>71.400000000000006</v>
      </c>
      <c r="U19" s="51">
        <f t="shared" si="1"/>
        <v>75.069999999999993</v>
      </c>
      <c r="V19" s="51">
        <f t="shared" si="3"/>
        <v>-3.6699999999999875</v>
      </c>
      <c r="W19" s="51"/>
      <c r="AI19" s="2">
        <v>15</v>
      </c>
      <c r="AJ19" s="41">
        <v>7</v>
      </c>
      <c r="AK19" s="51">
        <v>60.7</v>
      </c>
      <c r="AL19" s="51">
        <f t="shared" si="4"/>
        <v>73.392200000000003</v>
      </c>
      <c r="AM19" s="51">
        <f t="shared" si="5"/>
        <v>-12.6922</v>
      </c>
      <c r="AN19" s="51"/>
      <c r="AZ19" s="2">
        <v>15</v>
      </c>
      <c r="BA19" s="41">
        <v>7</v>
      </c>
      <c r="BB19" s="51">
        <v>71.400000000000006</v>
      </c>
      <c r="BC19" s="51">
        <f t="shared" si="6"/>
        <v>79.089199999999991</v>
      </c>
      <c r="BD19" s="51">
        <f t="shared" si="7"/>
        <v>-7.6891999999999854</v>
      </c>
      <c r="BE19" s="51"/>
      <c r="BQ19" s="2">
        <v>15</v>
      </c>
      <c r="BR19" s="41">
        <v>7</v>
      </c>
      <c r="BS19" s="51">
        <v>67.900000000000006</v>
      </c>
      <c r="BT19" s="51">
        <f t="shared" si="8"/>
        <v>75.199299999999994</v>
      </c>
      <c r="BU19" s="51">
        <f t="shared" si="9"/>
        <v>-7.2992999999999881</v>
      </c>
      <c r="BV19" s="51"/>
    </row>
    <row r="20" spans="1:76" x14ac:dyDescent="0.25">
      <c r="A20" s="2">
        <v>16</v>
      </c>
      <c r="B20" s="41">
        <f>Satisfaction!K24</f>
        <v>11</v>
      </c>
      <c r="C20" s="51">
        <f>Satisfaction!I24</f>
        <v>84.1</v>
      </c>
      <c r="D20" s="51">
        <f t="shared" si="0"/>
        <v>69.341399999999993</v>
      </c>
      <c r="E20" s="51">
        <f t="shared" si="2"/>
        <v>14.758600000000001</v>
      </c>
      <c r="F20" s="51"/>
      <c r="R20" s="2">
        <v>16</v>
      </c>
      <c r="S20" s="41">
        <v>11</v>
      </c>
      <c r="T20" s="51">
        <v>86.4</v>
      </c>
      <c r="U20" s="51">
        <f t="shared" si="1"/>
        <v>72.49799999999999</v>
      </c>
      <c r="V20" s="51">
        <f t="shared" si="3"/>
        <v>13.902000000000015</v>
      </c>
      <c r="W20" s="51"/>
      <c r="AI20" s="2">
        <v>16</v>
      </c>
      <c r="AJ20" s="41">
        <v>11</v>
      </c>
      <c r="AK20" s="51">
        <v>88.6</v>
      </c>
      <c r="AL20" s="51">
        <f t="shared" si="4"/>
        <v>67.8506</v>
      </c>
      <c r="AM20" s="51">
        <f t="shared" si="5"/>
        <v>20.749399999999994</v>
      </c>
      <c r="AN20" s="51"/>
      <c r="AZ20" s="2">
        <v>16</v>
      </c>
      <c r="BA20" s="41">
        <v>11</v>
      </c>
      <c r="BB20" s="51">
        <v>86.4</v>
      </c>
      <c r="BC20" s="51">
        <f t="shared" si="6"/>
        <v>75.499600000000001</v>
      </c>
      <c r="BD20" s="51">
        <f t="shared" si="7"/>
        <v>10.900400000000005</v>
      </c>
      <c r="BE20" s="51"/>
      <c r="BQ20" s="2">
        <v>16</v>
      </c>
      <c r="BR20" s="41">
        <v>11</v>
      </c>
      <c r="BS20" s="51">
        <v>86.4</v>
      </c>
      <c r="BT20" s="51">
        <f t="shared" si="8"/>
        <v>71.394900000000007</v>
      </c>
      <c r="BU20" s="51">
        <f t="shared" si="9"/>
        <v>15.005099999999999</v>
      </c>
      <c r="BV20" s="51"/>
    </row>
    <row r="21" spans="1:76" x14ac:dyDescent="0.25">
      <c r="A21" s="2">
        <v>17</v>
      </c>
      <c r="B21" s="41">
        <f>Satisfaction!K25</f>
        <v>1</v>
      </c>
      <c r="C21" s="51">
        <f>Satisfaction!I25</f>
        <v>100</v>
      </c>
      <c r="D21" s="51">
        <f t="shared" si="0"/>
        <v>77.937399999999997</v>
      </c>
      <c r="E21" s="51">
        <f t="shared" si="2"/>
        <v>22.062600000000003</v>
      </c>
      <c r="F21" s="51"/>
      <c r="R21" s="2">
        <v>17</v>
      </c>
      <c r="S21" s="41">
        <v>1</v>
      </c>
      <c r="T21" s="51">
        <v>100</v>
      </c>
      <c r="U21" s="51">
        <f t="shared" si="1"/>
        <v>78.927999999999997</v>
      </c>
      <c r="V21" s="51">
        <f t="shared" si="3"/>
        <v>21.072000000000003</v>
      </c>
      <c r="W21" s="51"/>
      <c r="AI21" s="2">
        <v>17</v>
      </c>
      <c r="AJ21" s="41">
        <v>1</v>
      </c>
      <c r="AK21" s="51">
        <v>100</v>
      </c>
      <c r="AL21" s="51">
        <f t="shared" si="4"/>
        <v>81.704599999999999</v>
      </c>
      <c r="AM21" s="51">
        <f t="shared" si="5"/>
        <v>18.295400000000001</v>
      </c>
      <c r="AN21" s="51"/>
      <c r="AZ21" s="2">
        <v>17</v>
      </c>
      <c r="BA21" s="41">
        <v>1</v>
      </c>
      <c r="BB21" s="51">
        <v>100</v>
      </c>
      <c r="BC21" s="51">
        <f t="shared" si="6"/>
        <v>84.47359999999999</v>
      </c>
      <c r="BD21" s="51">
        <f t="shared" si="7"/>
        <v>15.52640000000001</v>
      </c>
      <c r="BE21" s="51"/>
      <c r="BQ21" s="2">
        <v>17</v>
      </c>
      <c r="BR21" s="41">
        <v>1</v>
      </c>
      <c r="BS21" s="51">
        <v>100</v>
      </c>
      <c r="BT21" s="51">
        <f t="shared" si="8"/>
        <v>80.905900000000003</v>
      </c>
      <c r="BU21" s="51">
        <f t="shared" si="9"/>
        <v>19.094099999999997</v>
      </c>
      <c r="BV21" s="51"/>
    </row>
    <row r="22" spans="1:76" x14ac:dyDescent="0.25">
      <c r="A22" s="2">
        <v>18</v>
      </c>
      <c r="B22" s="41">
        <f>Satisfaction!K26</f>
        <v>11</v>
      </c>
      <c r="C22" s="51">
        <f>Satisfaction!I26</f>
        <v>47.7</v>
      </c>
      <c r="D22" s="51">
        <f t="shared" si="0"/>
        <v>69.341399999999993</v>
      </c>
      <c r="E22" s="51">
        <f t="shared" si="2"/>
        <v>-21.64139999999999</v>
      </c>
      <c r="F22" s="51"/>
      <c r="R22" s="2">
        <v>18</v>
      </c>
      <c r="S22" s="41">
        <v>11</v>
      </c>
      <c r="T22" s="51">
        <v>59.1</v>
      </c>
      <c r="U22" s="51">
        <f t="shared" si="1"/>
        <v>72.49799999999999</v>
      </c>
      <c r="V22" s="51">
        <f t="shared" si="3"/>
        <v>-13.397999999999989</v>
      </c>
      <c r="W22" s="51"/>
      <c r="AI22" s="2">
        <v>18</v>
      </c>
      <c r="AJ22" s="41">
        <v>11</v>
      </c>
      <c r="AK22" s="51">
        <v>50</v>
      </c>
      <c r="AL22" s="51">
        <f t="shared" si="4"/>
        <v>67.8506</v>
      </c>
      <c r="AM22" s="51">
        <f t="shared" si="5"/>
        <v>-17.8506</v>
      </c>
      <c r="AN22" s="51"/>
      <c r="AZ22" s="2">
        <v>18</v>
      </c>
      <c r="BA22" s="41">
        <v>11</v>
      </c>
      <c r="BB22" s="51">
        <v>61.4</v>
      </c>
      <c r="BC22" s="51">
        <f t="shared" si="6"/>
        <v>75.499600000000001</v>
      </c>
      <c r="BD22" s="51">
        <f t="shared" si="7"/>
        <v>-14.099600000000002</v>
      </c>
      <c r="BE22" s="51"/>
      <c r="BQ22" s="2">
        <v>18</v>
      </c>
      <c r="BR22" s="41">
        <v>11</v>
      </c>
      <c r="BS22" s="51">
        <v>54.6</v>
      </c>
      <c r="BT22" s="51">
        <f t="shared" si="8"/>
        <v>71.394900000000007</v>
      </c>
      <c r="BU22" s="51">
        <f t="shared" si="9"/>
        <v>-16.794900000000005</v>
      </c>
      <c r="BV22" s="51"/>
    </row>
    <row r="23" spans="1:76" x14ac:dyDescent="0.25">
      <c r="A23" s="2">
        <v>19</v>
      </c>
      <c r="B23" s="41">
        <f>Satisfaction!K27</f>
        <v>6</v>
      </c>
      <c r="C23" s="51">
        <f>Satisfaction!I27</f>
        <v>70.8</v>
      </c>
      <c r="D23" s="51">
        <f t="shared" si="0"/>
        <v>73.639399999999995</v>
      </c>
      <c r="E23" s="51">
        <f t="shared" si="2"/>
        <v>-2.8393999999999977</v>
      </c>
      <c r="F23" s="51"/>
      <c r="R23" s="2">
        <v>19</v>
      </c>
      <c r="S23" s="41">
        <v>6</v>
      </c>
      <c r="T23" s="51">
        <v>75</v>
      </c>
      <c r="U23" s="51">
        <f t="shared" si="1"/>
        <v>75.712999999999994</v>
      </c>
      <c r="V23" s="51">
        <f t="shared" si="3"/>
        <v>-0.71299999999999386</v>
      </c>
      <c r="W23" s="51"/>
      <c r="AI23" s="2">
        <v>19</v>
      </c>
      <c r="AJ23" s="41">
        <v>6</v>
      </c>
      <c r="AK23" s="51">
        <v>66.7</v>
      </c>
      <c r="AL23" s="51">
        <f t="shared" si="4"/>
        <v>74.777600000000007</v>
      </c>
      <c r="AM23" s="51">
        <f t="shared" si="5"/>
        <v>-8.0776000000000039</v>
      </c>
      <c r="AN23" s="51"/>
      <c r="AZ23" s="2">
        <v>19</v>
      </c>
      <c r="BA23" s="41">
        <v>6</v>
      </c>
      <c r="BB23" s="51">
        <v>83.3</v>
      </c>
      <c r="BC23" s="51">
        <f t="shared" si="6"/>
        <v>79.986599999999996</v>
      </c>
      <c r="BD23" s="51">
        <f t="shared" si="7"/>
        <v>3.3134000000000015</v>
      </c>
      <c r="BE23" s="51"/>
      <c r="BQ23" s="2">
        <v>19</v>
      </c>
      <c r="BR23" s="41">
        <v>6</v>
      </c>
      <c r="BS23" s="51">
        <v>74</v>
      </c>
      <c r="BT23" s="51">
        <f t="shared" si="8"/>
        <v>76.150400000000005</v>
      </c>
      <c r="BU23" s="51">
        <f t="shared" si="9"/>
        <v>-2.1504000000000048</v>
      </c>
      <c r="BV23" s="51"/>
    </row>
    <row r="24" spans="1:76" ht="18.75" x14ac:dyDescent="0.3">
      <c r="A24" s="2">
        <v>20</v>
      </c>
      <c r="B24" s="41">
        <f>Satisfaction!K28</f>
        <v>8</v>
      </c>
      <c r="C24" s="51">
        <f>Satisfaction!I28</f>
        <v>53.1</v>
      </c>
      <c r="D24" s="51">
        <f t="shared" si="0"/>
        <v>71.920199999999994</v>
      </c>
      <c r="E24" s="51">
        <f t="shared" si="2"/>
        <v>-18.820199999999993</v>
      </c>
      <c r="F24" s="51"/>
      <c r="H24" s="53" t="s">
        <v>440</v>
      </c>
      <c r="R24" s="2">
        <v>20</v>
      </c>
      <c r="S24" s="41">
        <v>8</v>
      </c>
      <c r="T24" s="51">
        <v>50</v>
      </c>
      <c r="U24" s="51">
        <f t="shared" si="1"/>
        <v>74.426999999999992</v>
      </c>
      <c r="V24" s="51">
        <f t="shared" si="3"/>
        <v>-24.426999999999992</v>
      </c>
      <c r="W24" s="51"/>
      <c r="Y24" s="53" t="s">
        <v>440</v>
      </c>
      <c r="AI24" s="2">
        <v>20</v>
      </c>
      <c r="AJ24" s="41">
        <v>8</v>
      </c>
      <c r="AK24" s="51">
        <v>50</v>
      </c>
      <c r="AL24" s="51">
        <f t="shared" si="4"/>
        <v>72.006799999999998</v>
      </c>
      <c r="AM24" s="51">
        <f t="shared" si="5"/>
        <v>-22.006799999999998</v>
      </c>
      <c r="AN24" s="51"/>
      <c r="AP24" s="53" t="s">
        <v>440</v>
      </c>
      <c r="AZ24" s="2">
        <v>20</v>
      </c>
      <c r="BA24" s="41">
        <v>8</v>
      </c>
      <c r="BB24" s="51">
        <v>59.4</v>
      </c>
      <c r="BC24" s="51">
        <f t="shared" si="6"/>
        <v>78.191800000000001</v>
      </c>
      <c r="BD24" s="51">
        <f t="shared" si="7"/>
        <v>-18.791800000000002</v>
      </c>
      <c r="BE24" s="51"/>
      <c r="BG24" s="53" t="s">
        <v>440</v>
      </c>
      <c r="BQ24" s="2">
        <v>20</v>
      </c>
      <c r="BR24" s="41">
        <v>8</v>
      </c>
      <c r="BS24" s="51">
        <v>53.1</v>
      </c>
      <c r="BT24" s="51">
        <f t="shared" si="8"/>
        <v>74.248199999999997</v>
      </c>
      <c r="BU24" s="51">
        <f t="shared" si="9"/>
        <v>-21.148199999999996</v>
      </c>
      <c r="BV24" s="51"/>
      <c r="BX24" s="53" t="s">
        <v>440</v>
      </c>
    </row>
    <row r="25" spans="1:76" x14ac:dyDescent="0.25">
      <c r="A25" s="2">
        <v>21</v>
      </c>
      <c r="B25" s="41">
        <f>Satisfaction!K29</f>
        <v>9</v>
      </c>
      <c r="C25" s="51">
        <f>Satisfaction!I29</f>
        <v>77.8</v>
      </c>
      <c r="D25" s="51">
        <f t="shared" si="0"/>
        <v>71.060599999999994</v>
      </c>
      <c r="E25" s="51">
        <f t="shared" si="2"/>
        <v>6.7394000000000034</v>
      </c>
      <c r="F25" s="51"/>
      <c r="R25" s="2">
        <v>21</v>
      </c>
      <c r="S25" s="41">
        <v>9</v>
      </c>
      <c r="T25" s="51">
        <v>77.8</v>
      </c>
      <c r="U25" s="51">
        <f t="shared" si="1"/>
        <v>73.783999999999992</v>
      </c>
      <c r="V25" s="51">
        <f t="shared" si="3"/>
        <v>4.0160000000000053</v>
      </c>
      <c r="W25" s="51"/>
      <c r="AI25" s="2">
        <v>21</v>
      </c>
      <c r="AJ25" s="41">
        <v>9</v>
      </c>
      <c r="AK25" s="51">
        <v>80.599999999999994</v>
      </c>
      <c r="AL25" s="51">
        <f t="shared" si="4"/>
        <v>70.621400000000008</v>
      </c>
      <c r="AM25" s="51">
        <f t="shared" si="5"/>
        <v>9.9785999999999859</v>
      </c>
      <c r="AN25" s="51"/>
      <c r="AZ25" s="2">
        <v>21</v>
      </c>
      <c r="BA25" s="41">
        <v>9</v>
      </c>
      <c r="BB25" s="51">
        <v>88.9</v>
      </c>
      <c r="BC25" s="51">
        <f t="shared" si="6"/>
        <v>77.294399999999996</v>
      </c>
      <c r="BD25" s="51">
        <f t="shared" si="7"/>
        <v>11.60560000000001</v>
      </c>
      <c r="BE25" s="51"/>
      <c r="BQ25" s="2">
        <v>21</v>
      </c>
      <c r="BR25" s="41">
        <v>9</v>
      </c>
      <c r="BS25" s="51">
        <v>81.3</v>
      </c>
      <c r="BT25" s="51">
        <f t="shared" si="8"/>
        <v>73.2971</v>
      </c>
      <c r="BU25" s="51">
        <f t="shared" si="9"/>
        <v>8.0028999999999968</v>
      </c>
      <c r="BV25" s="51"/>
    </row>
    <row r="26" spans="1:76" x14ac:dyDescent="0.25">
      <c r="A26" s="2">
        <v>22</v>
      </c>
      <c r="B26" s="41">
        <f>Satisfaction!K30</f>
        <v>4</v>
      </c>
      <c r="C26" s="51">
        <f>Satisfaction!I30</f>
        <v>81.3</v>
      </c>
      <c r="D26" s="51">
        <f t="shared" si="0"/>
        <v>75.358599999999996</v>
      </c>
      <c r="E26" s="51">
        <f t="shared" si="2"/>
        <v>5.9414000000000016</v>
      </c>
      <c r="F26" s="51"/>
      <c r="R26" s="2">
        <v>22</v>
      </c>
      <c r="S26" s="41">
        <v>4</v>
      </c>
      <c r="T26" s="51">
        <v>75</v>
      </c>
      <c r="U26" s="51">
        <f t="shared" si="1"/>
        <v>76.998999999999995</v>
      </c>
      <c r="V26" s="51">
        <f t="shared" si="3"/>
        <v>-1.9989999999999952</v>
      </c>
      <c r="W26" s="51"/>
      <c r="AI26" s="2">
        <v>22</v>
      </c>
      <c r="AJ26" s="41">
        <v>3</v>
      </c>
      <c r="AK26" s="51">
        <v>75</v>
      </c>
      <c r="AL26" s="51">
        <f t="shared" si="4"/>
        <v>78.933800000000005</v>
      </c>
      <c r="AM26" s="51">
        <f t="shared" si="5"/>
        <v>-3.9338000000000051</v>
      </c>
      <c r="AN26" s="51"/>
      <c r="AZ26" s="2">
        <v>22</v>
      </c>
      <c r="BA26" s="41">
        <v>4</v>
      </c>
      <c r="BB26" s="51">
        <v>81.3</v>
      </c>
      <c r="BC26" s="51">
        <f t="shared" si="6"/>
        <v>81.781399999999991</v>
      </c>
      <c r="BD26" s="51">
        <f t="shared" si="7"/>
        <v>-0.48139999999999361</v>
      </c>
      <c r="BE26" s="51"/>
      <c r="BQ26" s="2">
        <v>22</v>
      </c>
      <c r="BR26" s="41">
        <v>4</v>
      </c>
      <c r="BS26" s="51">
        <v>79.7</v>
      </c>
      <c r="BT26" s="51">
        <f t="shared" si="8"/>
        <v>78.052599999999998</v>
      </c>
      <c r="BU26" s="51">
        <f t="shared" si="9"/>
        <v>1.6474000000000046</v>
      </c>
      <c r="BV26" s="51"/>
    </row>
    <row r="27" spans="1:76" x14ac:dyDescent="0.25">
      <c r="A27" s="2">
        <v>23</v>
      </c>
      <c r="B27" s="41">
        <f>Satisfaction!K31</f>
        <v>5</v>
      </c>
      <c r="C27" s="51">
        <f>Satisfaction!I31</f>
        <v>85</v>
      </c>
      <c r="D27" s="51">
        <f t="shared" si="0"/>
        <v>74.498999999999995</v>
      </c>
      <c r="E27" s="51">
        <f t="shared" si="2"/>
        <v>10.501000000000005</v>
      </c>
      <c r="F27" s="51"/>
      <c r="R27" s="2">
        <v>23</v>
      </c>
      <c r="S27" s="41">
        <v>5</v>
      </c>
      <c r="T27" s="51">
        <v>85</v>
      </c>
      <c r="U27" s="51">
        <f t="shared" si="1"/>
        <v>76.355999999999995</v>
      </c>
      <c r="V27" s="51">
        <f t="shared" si="3"/>
        <v>8.6440000000000055</v>
      </c>
      <c r="W27" s="51"/>
      <c r="AI27" s="2">
        <v>23</v>
      </c>
      <c r="AJ27" s="41">
        <v>5</v>
      </c>
      <c r="AK27" s="51">
        <v>80</v>
      </c>
      <c r="AL27" s="51">
        <f t="shared" si="4"/>
        <v>76.163000000000011</v>
      </c>
      <c r="AM27" s="51">
        <f t="shared" si="5"/>
        <v>3.8369999999999891</v>
      </c>
      <c r="AN27" s="51"/>
      <c r="AZ27" s="2">
        <v>23</v>
      </c>
      <c r="BA27" s="41">
        <v>5</v>
      </c>
      <c r="BB27" s="51">
        <v>85</v>
      </c>
      <c r="BC27" s="51">
        <f t="shared" si="6"/>
        <v>80.884</v>
      </c>
      <c r="BD27" s="51">
        <f t="shared" si="7"/>
        <v>4.1159999999999997</v>
      </c>
      <c r="BE27" s="51"/>
      <c r="BQ27" s="2">
        <v>23</v>
      </c>
      <c r="BR27" s="41">
        <v>5</v>
      </c>
      <c r="BS27" s="51">
        <v>83.8</v>
      </c>
      <c r="BT27" s="51">
        <f t="shared" si="8"/>
        <v>77.101500000000001</v>
      </c>
      <c r="BU27" s="51">
        <f t="shared" si="9"/>
        <v>6.6984999999999957</v>
      </c>
      <c r="BV27" s="51"/>
    </row>
    <row r="28" spans="1:76" x14ac:dyDescent="0.25">
      <c r="A28" s="2">
        <v>24</v>
      </c>
      <c r="B28" s="41">
        <f>Satisfaction!K32</f>
        <v>4</v>
      </c>
      <c r="C28" s="51">
        <f>Satisfaction!I32</f>
        <v>75</v>
      </c>
      <c r="D28" s="51">
        <f t="shared" si="0"/>
        <v>75.358599999999996</v>
      </c>
      <c r="E28" s="51">
        <f t="shared" si="2"/>
        <v>-0.35859999999999559</v>
      </c>
      <c r="F28" s="51"/>
      <c r="R28" s="2">
        <v>24</v>
      </c>
      <c r="S28" s="41">
        <v>4</v>
      </c>
      <c r="T28" s="51">
        <v>75</v>
      </c>
      <c r="U28" s="51">
        <f t="shared" si="1"/>
        <v>76.998999999999995</v>
      </c>
      <c r="V28" s="51">
        <f t="shared" si="3"/>
        <v>-1.9989999999999952</v>
      </c>
      <c r="W28" s="51"/>
      <c r="AI28" s="2">
        <v>24</v>
      </c>
      <c r="AJ28" s="41">
        <v>4</v>
      </c>
      <c r="AK28" s="51">
        <v>81.3</v>
      </c>
      <c r="AL28" s="51">
        <f t="shared" si="4"/>
        <v>77.548400000000001</v>
      </c>
      <c r="AM28" s="51">
        <f t="shared" si="5"/>
        <v>3.7515999999999963</v>
      </c>
      <c r="AN28" s="51"/>
      <c r="AZ28" s="2">
        <v>24</v>
      </c>
      <c r="BA28" s="41">
        <v>4</v>
      </c>
      <c r="BB28" s="51">
        <v>93.8</v>
      </c>
      <c r="BC28" s="51">
        <f t="shared" si="6"/>
        <v>81.781399999999991</v>
      </c>
      <c r="BD28" s="51">
        <f t="shared" si="7"/>
        <v>12.018600000000006</v>
      </c>
      <c r="BE28" s="51"/>
      <c r="BQ28" s="2">
        <v>24</v>
      </c>
      <c r="BR28" s="41">
        <v>4</v>
      </c>
      <c r="BS28" s="51">
        <v>81.3</v>
      </c>
      <c r="BT28" s="51">
        <f t="shared" si="8"/>
        <v>78.052599999999998</v>
      </c>
      <c r="BU28" s="51">
        <f t="shared" si="9"/>
        <v>3.247399999999999</v>
      </c>
      <c r="BV28" s="51"/>
    </row>
    <row r="29" spans="1:76" x14ac:dyDescent="0.25">
      <c r="A29" s="2">
        <v>25</v>
      </c>
      <c r="B29" s="41">
        <f>Satisfaction!K33</f>
        <v>1</v>
      </c>
      <c r="C29" s="51">
        <f>Satisfaction!I33</f>
        <v>75</v>
      </c>
      <c r="D29" s="51">
        <f t="shared" si="0"/>
        <v>77.937399999999997</v>
      </c>
      <c r="E29" s="51">
        <f t="shared" si="2"/>
        <v>-2.9373999999999967</v>
      </c>
      <c r="F29" s="51"/>
      <c r="R29" s="2">
        <v>25</v>
      </c>
      <c r="S29" s="41">
        <v>1</v>
      </c>
      <c r="T29" s="51">
        <v>75</v>
      </c>
      <c r="U29" s="51">
        <f t="shared" si="1"/>
        <v>78.927999999999997</v>
      </c>
      <c r="V29" s="51">
        <f t="shared" si="3"/>
        <v>-3.9279999999999973</v>
      </c>
      <c r="W29" s="51"/>
      <c r="AI29" s="2">
        <v>25</v>
      </c>
      <c r="AJ29" s="41">
        <v>1</v>
      </c>
      <c r="AK29" s="51">
        <v>75</v>
      </c>
      <c r="AL29" s="51">
        <f t="shared" si="4"/>
        <v>81.704599999999999</v>
      </c>
      <c r="AM29" s="51">
        <f t="shared" si="5"/>
        <v>-6.7045999999999992</v>
      </c>
      <c r="AN29" s="51"/>
      <c r="AZ29" s="2">
        <v>25</v>
      </c>
      <c r="BA29" s="41">
        <v>1</v>
      </c>
      <c r="BB29" s="51">
        <v>75</v>
      </c>
      <c r="BC29" s="51">
        <f t="shared" si="6"/>
        <v>84.47359999999999</v>
      </c>
      <c r="BD29" s="51">
        <f t="shared" si="7"/>
        <v>-9.4735999999999905</v>
      </c>
      <c r="BE29" s="51"/>
      <c r="BQ29" s="2">
        <v>25</v>
      </c>
      <c r="BR29" s="41">
        <v>1</v>
      </c>
      <c r="BS29" s="51">
        <v>75</v>
      </c>
      <c r="BT29" s="51">
        <f t="shared" si="8"/>
        <v>80.905900000000003</v>
      </c>
      <c r="BU29" s="51">
        <f t="shared" si="9"/>
        <v>-5.9059000000000026</v>
      </c>
      <c r="BV29" s="51"/>
    </row>
    <row r="30" spans="1:76" x14ac:dyDescent="0.25">
      <c r="A30" s="2">
        <v>26</v>
      </c>
      <c r="B30" s="41">
        <f>Satisfaction!K34</f>
        <v>3</v>
      </c>
      <c r="C30" s="51">
        <f>Satisfaction!I34</f>
        <v>58.3</v>
      </c>
      <c r="D30" s="51">
        <f t="shared" si="0"/>
        <v>76.218199999999996</v>
      </c>
      <c r="E30" s="51">
        <f t="shared" si="2"/>
        <v>-17.918199999999999</v>
      </c>
      <c r="F30" s="51"/>
      <c r="R30" s="2">
        <v>26</v>
      </c>
      <c r="S30" s="41">
        <v>3</v>
      </c>
      <c r="T30" s="51">
        <v>58.3</v>
      </c>
      <c r="U30" s="51">
        <f t="shared" si="1"/>
        <v>77.641999999999996</v>
      </c>
      <c r="V30" s="51">
        <f t="shared" si="3"/>
        <v>-19.341999999999999</v>
      </c>
      <c r="W30" s="51"/>
      <c r="AI30" s="2">
        <v>26</v>
      </c>
      <c r="AJ30" s="41">
        <v>3</v>
      </c>
      <c r="AK30" s="51">
        <v>58.3</v>
      </c>
      <c r="AL30" s="51">
        <f t="shared" si="4"/>
        <v>78.933800000000005</v>
      </c>
      <c r="AM30" s="51">
        <f t="shared" si="5"/>
        <v>-20.633800000000008</v>
      </c>
      <c r="AN30" s="51"/>
      <c r="AZ30" s="2">
        <v>26</v>
      </c>
      <c r="BA30" s="41">
        <v>3</v>
      </c>
      <c r="BB30" s="51">
        <v>58.3</v>
      </c>
      <c r="BC30" s="51">
        <f t="shared" si="6"/>
        <v>82.678799999999995</v>
      </c>
      <c r="BD30" s="51">
        <f t="shared" si="7"/>
        <v>-24.378799999999998</v>
      </c>
      <c r="BE30" s="51"/>
      <c r="BQ30" s="2">
        <v>26</v>
      </c>
      <c r="BR30" s="41">
        <v>3</v>
      </c>
      <c r="BS30" s="51">
        <v>58.3</v>
      </c>
      <c r="BT30" s="51">
        <f t="shared" si="8"/>
        <v>79.003699999999995</v>
      </c>
      <c r="BU30" s="51">
        <f t="shared" si="9"/>
        <v>-20.703699999999998</v>
      </c>
      <c r="BV30" s="51"/>
    </row>
    <row r="31" spans="1:76" x14ac:dyDescent="0.25">
      <c r="A31" s="2">
        <v>27</v>
      </c>
      <c r="B31" s="41">
        <f>Satisfaction!K35</f>
        <v>6</v>
      </c>
      <c r="C31" s="51">
        <f>Satisfaction!I35</f>
        <v>100</v>
      </c>
      <c r="D31" s="51">
        <f t="shared" si="0"/>
        <v>73.639399999999995</v>
      </c>
      <c r="E31" s="51">
        <f t="shared" si="2"/>
        <v>26.360600000000005</v>
      </c>
      <c r="F31" s="51"/>
      <c r="R31" s="2">
        <v>27</v>
      </c>
      <c r="S31" s="41">
        <v>6</v>
      </c>
      <c r="T31" s="51">
        <v>91.7</v>
      </c>
      <c r="U31" s="51">
        <f t="shared" si="1"/>
        <v>75.712999999999994</v>
      </c>
      <c r="V31" s="51">
        <f t="shared" si="3"/>
        <v>15.987000000000009</v>
      </c>
      <c r="W31" s="51"/>
      <c r="AI31" s="2">
        <v>27</v>
      </c>
      <c r="AJ31" s="41">
        <v>6</v>
      </c>
      <c r="AK31" s="51">
        <v>100</v>
      </c>
      <c r="AL31" s="51">
        <f t="shared" si="4"/>
        <v>74.777600000000007</v>
      </c>
      <c r="AM31" s="51">
        <f t="shared" si="5"/>
        <v>25.222399999999993</v>
      </c>
      <c r="AN31" s="51"/>
      <c r="AZ31" s="2">
        <v>27</v>
      </c>
      <c r="BA31" s="41">
        <v>6</v>
      </c>
      <c r="BB31" s="51">
        <v>100</v>
      </c>
      <c r="BC31" s="51">
        <f t="shared" si="6"/>
        <v>79.986599999999996</v>
      </c>
      <c r="BD31" s="51">
        <f t="shared" si="7"/>
        <v>20.013400000000004</v>
      </c>
      <c r="BE31" s="51"/>
      <c r="BQ31" s="2">
        <v>27</v>
      </c>
      <c r="BR31" s="41">
        <v>6</v>
      </c>
      <c r="BS31" s="51">
        <v>97.9</v>
      </c>
      <c r="BT31" s="51">
        <f t="shared" si="8"/>
        <v>76.150400000000005</v>
      </c>
      <c r="BU31" s="51">
        <f t="shared" si="9"/>
        <v>21.749600000000001</v>
      </c>
      <c r="BV31" s="51"/>
    </row>
    <row r="32" spans="1:76" x14ac:dyDescent="0.25">
      <c r="A32" s="2">
        <v>28</v>
      </c>
      <c r="B32" s="41">
        <f>Satisfaction!K36</f>
        <v>6</v>
      </c>
      <c r="C32" s="51">
        <f>Satisfaction!I36</f>
        <v>79.2</v>
      </c>
      <c r="D32" s="51">
        <f t="shared" si="0"/>
        <v>73.639399999999995</v>
      </c>
      <c r="E32" s="51">
        <f t="shared" si="2"/>
        <v>5.560600000000008</v>
      </c>
      <c r="F32" s="51"/>
      <c r="R32" s="2">
        <v>28</v>
      </c>
      <c r="S32" s="41">
        <v>6</v>
      </c>
      <c r="T32" s="51">
        <v>83.3</v>
      </c>
      <c r="U32" s="51">
        <f t="shared" si="1"/>
        <v>75.712999999999994</v>
      </c>
      <c r="V32" s="51">
        <f t="shared" si="3"/>
        <v>7.5870000000000033</v>
      </c>
      <c r="W32" s="51"/>
      <c r="AI32" s="2">
        <v>28</v>
      </c>
      <c r="AJ32" s="41">
        <v>6</v>
      </c>
      <c r="AK32" s="51">
        <v>79.2</v>
      </c>
      <c r="AL32" s="51">
        <f t="shared" si="4"/>
        <v>74.777600000000007</v>
      </c>
      <c r="AM32" s="51">
        <f t="shared" si="5"/>
        <v>4.4223999999999961</v>
      </c>
      <c r="AN32" s="51"/>
      <c r="AZ32" s="2">
        <v>28</v>
      </c>
      <c r="BA32" s="41">
        <v>6</v>
      </c>
      <c r="BB32" s="51">
        <v>87.5</v>
      </c>
      <c r="BC32" s="51">
        <f t="shared" si="6"/>
        <v>79.986599999999996</v>
      </c>
      <c r="BD32" s="51">
        <f t="shared" si="7"/>
        <v>7.5134000000000043</v>
      </c>
      <c r="BE32" s="51"/>
      <c r="BQ32" s="2">
        <v>28</v>
      </c>
      <c r="BR32" s="41">
        <v>6</v>
      </c>
      <c r="BS32" s="51">
        <v>82.3</v>
      </c>
      <c r="BT32" s="51">
        <f t="shared" si="8"/>
        <v>76.150400000000005</v>
      </c>
      <c r="BU32" s="51">
        <f t="shared" si="9"/>
        <v>6.1495999999999924</v>
      </c>
      <c r="BV32" s="51"/>
    </row>
    <row r="33" spans="1:74" x14ac:dyDescent="0.25">
      <c r="A33" s="2">
        <v>29</v>
      </c>
      <c r="B33" s="41">
        <f>Satisfaction!K37</f>
        <v>9</v>
      </c>
      <c r="C33" s="51">
        <f>Satisfaction!I37</f>
        <v>11.1</v>
      </c>
      <c r="D33" s="51">
        <f t="shared" si="0"/>
        <v>71.060599999999994</v>
      </c>
      <c r="E33" s="51">
        <f t="shared" si="2"/>
        <v>-59.960599999999992</v>
      </c>
      <c r="F33" s="51"/>
      <c r="R33" s="2">
        <v>29</v>
      </c>
      <c r="S33" s="41">
        <v>9</v>
      </c>
      <c r="T33" s="51">
        <v>11.1</v>
      </c>
      <c r="U33" s="51">
        <f t="shared" si="1"/>
        <v>73.783999999999992</v>
      </c>
      <c r="V33" s="51">
        <f t="shared" si="3"/>
        <v>-62.68399999999999</v>
      </c>
      <c r="W33" s="51"/>
      <c r="AI33" s="2">
        <v>29</v>
      </c>
      <c r="AJ33" s="41">
        <v>9</v>
      </c>
      <c r="AK33" s="51">
        <v>11.1</v>
      </c>
      <c r="AL33" s="51">
        <f t="shared" si="4"/>
        <v>70.621400000000008</v>
      </c>
      <c r="AM33" s="51">
        <f t="shared" si="5"/>
        <v>-59.521400000000007</v>
      </c>
      <c r="AN33" s="51"/>
      <c r="AZ33" s="2">
        <v>29</v>
      </c>
      <c r="BA33" s="41">
        <v>9</v>
      </c>
      <c r="BB33" s="51">
        <v>16.7</v>
      </c>
      <c r="BC33" s="51">
        <f t="shared" si="6"/>
        <v>77.294399999999996</v>
      </c>
      <c r="BD33" s="51">
        <f t="shared" si="7"/>
        <v>-60.594399999999993</v>
      </c>
      <c r="BE33" s="51"/>
      <c r="BQ33" s="2">
        <v>29</v>
      </c>
      <c r="BR33" s="41">
        <v>9</v>
      </c>
      <c r="BS33" s="51">
        <v>12.5</v>
      </c>
      <c r="BT33" s="51">
        <f t="shared" si="8"/>
        <v>73.2971</v>
      </c>
      <c r="BU33" s="51">
        <f t="shared" si="9"/>
        <v>-60.7971</v>
      </c>
      <c r="BV33" s="51"/>
    </row>
    <row r="34" spans="1:74" x14ac:dyDescent="0.25">
      <c r="A34" s="2">
        <v>30</v>
      </c>
      <c r="B34" s="41">
        <f>Satisfaction!K38</f>
        <v>6</v>
      </c>
      <c r="C34" s="51">
        <f>Satisfaction!I38</f>
        <v>83.3</v>
      </c>
      <c r="D34" s="51">
        <f t="shared" si="0"/>
        <v>73.639399999999995</v>
      </c>
      <c r="E34" s="51">
        <f t="shared" si="2"/>
        <v>9.6606000000000023</v>
      </c>
      <c r="F34" s="51"/>
      <c r="R34" s="2">
        <v>30</v>
      </c>
      <c r="S34" s="41">
        <v>7</v>
      </c>
      <c r="T34" s="51">
        <v>71.400000000000006</v>
      </c>
      <c r="U34" s="51">
        <f t="shared" si="1"/>
        <v>75.069999999999993</v>
      </c>
      <c r="V34" s="51">
        <f t="shared" si="3"/>
        <v>-3.6699999999999875</v>
      </c>
      <c r="W34" s="51"/>
      <c r="AI34" s="2">
        <v>30</v>
      </c>
      <c r="AJ34" s="41">
        <v>7</v>
      </c>
      <c r="AK34" s="51">
        <v>75</v>
      </c>
      <c r="AL34" s="51">
        <f t="shared" si="4"/>
        <v>73.392200000000003</v>
      </c>
      <c r="AM34" s="51">
        <f t="shared" si="5"/>
        <v>1.6077999999999975</v>
      </c>
      <c r="AN34" s="51"/>
      <c r="AZ34" s="2">
        <v>30</v>
      </c>
      <c r="BA34" s="41">
        <v>7</v>
      </c>
      <c r="BB34" s="51">
        <v>82.1</v>
      </c>
      <c r="BC34" s="51">
        <f t="shared" si="6"/>
        <v>79.089199999999991</v>
      </c>
      <c r="BD34" s="51">
        <f t="shared" si="7"/>
        <v>3.0108000000000033</v>
      </c>
      <c r="BE34" s="51"/>
      <c r="BQ34" s="2">
        <v>30</v>
      </c>
      <c r="BR34" s="41">
        <v>7</v>
      </c>
      <c r="BS34" s="51">
        <v>78.599999999999994</v>
      </c>
      <c r="BT34" s="51">
        <f t="shared" si="8"/>
        <v>75.199299999999994</v>
      </c>
      <c r="BU34" s="51">
        <f t="shared" si="9"/>
        <v>3.4007000000000005</v>
      </c>
      <c r="BV34" s="51"/>
    </row>
    <row r="35" spans="1:74" x14ac:dyDescent="0.25">
      <c r="A35" s="2">
        <v>31</v>
      </c>
      <c r="B35" s="41">
        <f>Satisfaction!K39</f>
        <v>5</v>
      </c>
      <c r="C35" s="51">
        <f>Satisfaction!I39</f>
        <v>80</v>
      </c>
      <c r="D35" s="51">
        <f t="shared" si="0"/>
        <v>74.498999999999995</v>
      </c>
      <c r="E35" s="51">
        <f t="shared" si="2"/>
        <v>5.5010000000000048</v>
      </c>
      <c r="F35" s="51"/>
      <c r="R35" s="2">
        <v>31</v>
      </c>
      <c r="S35" s="41">
        <v>5</v>
      </c>
      <c r="T35" s="51">
        <v>85</v>
      </c>
      <c r="U35" s="51">
        <f t="shared" si="1"/>
        <v>76.355999999999995</v>
      </c>
      <c r="V35" s="51">
        <f t="shared" si="3"/>
        <v>8.6440000000000055</v>
      </c>
      <c r="W35" s="51"/>
      <c r="AI35" s="2">
        <v>31</v>
      </c>
      <c r="AJ35" s="41">
        <v>5</v>
      </c>
      <c r="AK35" s="51">
        <v>85</v>
      </c>
      <c r="AL35" s="51">
        <f t="shared" si="4"/>
        <v>76.163000000000011</v>
      </c>
      <c r="AM35" s="51">
        <f t="shared" si="5"/>
        <v>8.8369999999999891</v>
      </c>
      <c r="AN35" s="51"/>
      <c r="AZ35" s="2">
        <v>31</v>
      </c>
      <c r="BA35" s="41">
        <v>5</v>
      </c>
      <c r="BB35" s="51">
        <v>90</v>
      </c>
      <c r="BC35" s="51">
        <f t="shared" si="6"/>
        <v>80.884</v>
      </c>
      <c r="BD35" s="51">
        <f t="shared" si="7"/>
        <v>9.1159999999999997</v>
      </c>
      <c r="BE35" s="51"/>
      <c r="BQ35" s="2">
        <v>31</v>
      </c>
      <c r="BR35" s="41">
        <v>5</v>
      </c>
      <c r="BS35" s="51">
        <v>85</v>
      </c>
      <c r="BT35" s="51">
        <f t="shared" si="8"/>
        <v>77.101500000000001</v>
      </c>
      <c r="BU35" s="51">
        <f t="shared" si="9"/>
        <v>7.8984999999999985</v>
      </c>
      <c r="BV35" s="51"/>
    </row>
    <row r="36" spans="1:74" x14ac:dyDescent="0.25">
      <c r="A36" s="2">
        <v>32</v>
      </c>
      <c r="B36" s="41">
        <f>Satisfaction!K40</f>
        <v>13</v>
      </c>
      <c r="C36" s="51">
        <f>Satisfaction!I40</f>
        <v>67.3</v>
      </c>
      <c r="D36" s="51">
        <f t="shared" si="0"/>
        <v>67.622199999999992</v>
      </c>
      <c r="E36" s="51">
        <f t="shared" si="2"/>
        <v>-0.32219999999999516</v>
      </c>
      <c r="F36" s="51"/>
      <c r="R36" s="2">
        <v>32</v>
      </c>
      <c r="S36" s="41">
        <v>13</v>
      </c>
      <c r="T36" s="51">
        <v>71.2</v>
      </c>
      <c r="U36" s="51">
        <f t="shared" si="1"/>
        <v>71.212000000000003</v>
      </c>
      <c r="V36" s="51">
        <f t="shared" si="3"/>
        <v>-1.2000000000000455E-2</v>
      </c>
      <c r="W36" s="51"/>
      <c r="AI36" s="2">
        <v>32</v>
      </c>
      <c r="AJ36" s="41">
        <v>13</v>
      </c>
      <c r="AK36" s="51">
        <v>67.3</v>
      </c>
      <c r="AL36" s="51">
        <f t="shared" si="4"/>
        <v>65.079800000000006</v>
      </c>
      <c r="AM36" s="51">
        <f t="shared" si="5"/>
        <v>2.2201999999999913</v>
      </c>
      <c r="AN36" s="51"/>
      <c r="AZ36" s="2">
        <v>32</v>
      </c>
      <c r="BA36" s="41">
        <v>13</v>
      </c>
      <c r="BB36" s="51">
        <v>71.2</v>
      </c>
      <c r="BC36" s="51">
        <f t="shared" si="6"/>
        <v>73.704799999999992</v>
      </c>
      <c r="BD36" s="51">
        <f t="shared" si="7"/>
        <v>-2.5047999999999888</v>
      </c>
      <c r="BE36" s="51"/>
      <c r="BQ36" s="2">
        <v>32</v>
      </c>
      <c r="BR36" s="41">
        <v>13</v>
      </c>
      <c r="BS36" s="51">
        <v>69.2</v>
      </c>
      <c r="BT36" s="51">
        <f t="shared" si="8"/>
        <v>69.492699999999999</v>
      </c>
      <c r="BU36" s="51">
        <f t="shared" si="9"/>
        <v>-0.29269999999999641</v>
      </c>
      <c r="BV36" s="51"/>
    </row>
    <row r="37" spans="1:74" x14ac:dyDescent="0.25">
      <c r="A37" s="2">
        <v>33</v>
      </c>
      <c r="B37" s="41">
        <f>Satisfaction!K41</f>
        <v>0</v>
      </c>
      <c r="C37" s="51">
        <f>Satisfaction!I41</f>
        <v>0</v>
      </c>
      <c r="D37" s="51">
        <f t="shared" si="0"/>
        <v>78.796999999999997</v>
      </c>
      <c r="E37" s="51">
        <f t="shared" si="2"/>
        <v>-78.796999999999997</v>
      </c>
      <c r="F37" s="51"/>
      <c r="R37" s="2">
        <v>33</v>
      </c>
      <c r="S37" s="41">
        <f>Satisfaction!AD41</f>
        <v>0</v>
      </c>
      <c r="T37" s="51">
        <f>Satisfaction!AB41</f>
        <v>0</v>
      </c>
      <c r="U37" s="51">
        <f t="shared" si="1"/>
        <v>79.570999999999998</v>
      </c>
      <c r="V37" s="51">
        <f t="shared" si="3"/>
        <v>-79.570999999999998</v>
      </c>
      <c r="W37" s="51"/>
      <c r="AI37" s="2">
        <v>33</v>
      </c>
      <c r="AJ37" s="41">
        <v>0</v>
      </c>
      <c r="AK37" s="51">
        <v>0</v>
      </c>
      <c r="AL37" s="51">
        <f t="shared" si="4"/>
        <v>83.09</v>
      </c>
      <c r="AM37" s="51">
        <f t="shared" si="5"/>
        <v>-83.09</v>
      </c>
      <c r="AN37" s="51"/>
      <c r="AZ37" s="2">
        <v>33</v>
      </c>
      <c r="BA37" s="41">
        <f>Satisfaction!BL41</f>
        <v>0</v>
      </c>
      <c r="BB37" s="51">
        <f>Satisfaction!BJ41</f>
        <v>0</v>
      </c>
      <c r="BC37" s="51">
        <f t="shared" si="6"/>
        <v>85.370999999999995</v>
      </c>
      <c r="BD37" s="51">
        <f t="shared" si="7"/>
        <v>-85.370999999999995</v>
      </c>
      <c r="BE37" s="51"/>
      <c r="BQ37" s="2">
        <v>33</v>
      </c>
      <c r="BR37" s="41">
        <f>Satisfaction!CC41</f>
        <v>0</v>
      </c>
      <c r="BS37" s="51">
        <v>0</v>
      </c>
      <c r="BT37" s="51">
        <f t="shared" si="8"/>
        <v>81.856999999999999</v>
      </c>
      <c r="BU37" s="51">
        <f t="shared" si="9"/>
        <v>-81.856999999999999</v>
      </c>
      <c r="BV37" s="51"/>
    </row>
    <row r="38" spans="1:74" x14ac:dyDescent="0.25">
      <c r="A38" s="2">
        <v>34</v>
      </c>
      <c r="B38" s="41">
        <f>Satisfaction!K42</f>
        <v>0</v>
      </c>
      <c r="C38" s="51">
        <f>Satisfaction!I42</f>
        <v>0</v>
      </c>
      <c r="D38" s="51">
        <f t="shared" si="0"/>
        <v>78.796999999999997</v>
      </c>
      <c r="E38" s="51">
        <f t="shared" si="2"/>
        <v>-78.796999999999997</v>
      </c>
      <c r="F38" s="51"/>
      <c r="R38" s="2">
        <v>34</v>
      </c>
      <c r="S38" s="41">
        <f>Satisfaction!AD42</f>
        <v>0</v>
      </c>
      <c r="T38" s="51">
        <f>Satisfaction!AB42</f>
        <v>0</v>
      </c>
      <c r="U38" s="51">
        <f t="shared" si="1"/>
        <v>79.570999999999998</v>
      </c>
      <c r="V38" s="51">
        <f t="shared" si="3"/>
        <v>-79.570999999999998</v>
      </c>
      <c r="W38" s="51"/>
      <c r="AI38" s="2">
        <v>34</v>
      </c>
      <c r="AJ38" s="41">
        <f>Satisfaction!AU42</f>
        <v>0</v>
      </c>
      <c r="AK38" s="51">
        <f>Satisfaction!AS42</f>
        <v>0</v>
      </c>
      <c r="AL38" s="51">
        <f t="shared" si="4"/>
        <v>83.09</v>
      </c>
      <c r="AM38" s="51">
        <f t="shared" si="5"/>
        <v>-83.09</v>
      </c>
      <c r="AN38" s="51"/>
      <c r="AZ38" s="2">
        <v>34</v>
      </c>
      <c r="BA38" s="41">
        <f>Satisfaction!BL42</f>
        <v>0</v>
      </c>
      <c r="BB38" s="51">
        <f>Satisfaction!BJ42</f>
        <v>0</v>
      </c>
      <c r="BC38" s="51">
        <f t="shared" si="6"/>
        <v>85.370999999999995</v>
      </c>
      <c r="BD38" s="51">
        <f t="shared" si="7"/>
        <v>-85.370999999999995</v>
      </c>
      <c r="BE38" s="51"/>
      <c r="BQ38" s="2">
        <v>34</v>
      </c>
      <c r="BR38" s="41">
        <f>Satisfaction!CC42</f>
        <v>0</v>
      </c>
      <c r="BS38" s="51">
        <f>Satisfaction!CA42</f>
        <v>0</v>
      </c>
      <c r="BT38" s="51">
        <f t="shared" si="8"/>
        <v>81.856999999999999</v>
      </c>
      <c r="BU38" s="51">
        <f t="shared" si="9"/>
        <v>-81.856999999999999</v>
      </c>
      <c r="BV38" s="51"/>
    </row>
    <row r="42" spans="1:74" x14ac:dyDescent="0.25">
      <c r="B42" s="55" t="e">
        <f>NA()</f>
        <v>#N/A</v>
      </c>
      <c r="C42" s="55" t="e">
        <f>NA()</f>
        <v>#N/A</v>
      </c>
      <c r="S42" s="55" t="e">
        <f>NA()</f>
        <v>#N/A</v>
      </c>
      <c r="T42" s="55" t="e">
        <f>NA()</f>
        <v>#N/A</v>
      </c>
      <c r="AJ42" s="55" t="e">
        <f>NA()</f>
        <v>#N/A</v>
      </c>
      <c r="AK42" s="55" t="e">
        <f>NA()</f>
        <v>#N/A</v>
      </c>
      <c r="BA42" s="55" t="e">
        <f>NA()</f>
        <v>#N/A</v>
      </c>
      <c r="BB42" s="55" t="e">
        <f>NA()</f>
        <v>#N/A</v>
      </c>
      <c r="BR42" s="55" t="e">
        <f>NA()</f>
        <v>#N/A</v>
      </c>
      <c r="BS42" s="55" t="e">
        <f>NA()</f>
        <v>#N/A</v>
      </c>
    </row>
  </sheetData>
  <pageMargins left="0.7" right="0.7" top="0.75" bottom="0.75" header="0.3" footer="0.3"/>
  <pageSetup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B257"/>
  <sheetViews>
    <sheetView showGridLines="0" zoomScale="80" zoomScaleNormal="80" workbookViewId="0">
      <pane xSplit="2" ySplit="5" topLeftCell="C6" activePane="bottomRight" state="frozen"/>
      <selection pane="topRight" activeCell="C1" sqref="C1"/>
      <selection pane="bottomLeft" activeCell="A7" sqref="A7"/>
      <selection pane="bottomRight" activeCell="Y1" sqref="Y1"/>
    </sheetView>
  </sheetViews>
  <sheetFormatPr defaultRowHeight="15" outlineLevelRow="1" outlineLevelCol="1" x14ac:dyDescent="0.25"/>
  <cols>
    <col min="1" max="1" width="5.140625" customWidth="1"/>
    <col min="2" max="2" width="34.85546875" customWidth="1"/>
    <col min="3" max="3" width="8.42578125" customWidth="1"/>
    <col min="4" max="4" width="4.28515625" customWidth="1"/>
    <col min="5" max="5" width="8.42578125" customWidth="1"/>
    <col min="6" max="6" width="4.28515625" customWidth="1"/>
    <col min="7" max="7" width="8.42578125" customWidth="1"/>
    <col min="8" max="8" width="4.28515625" customWidth="1"/>
    <col min="9" max="9" width="8.42578125" customWidth="1"/>
    <col min="10" max="10" width="1.42578125" customWidth="1"/>
    <col min="11" max="11" width="8.42578125" customWidth="1"/>
    <col min="12" max="12" width="1.42578125" hidden="1" customWidth="1" outlineLevel="1"/>
    <col min="13" max="13" width="9.85546875" hidden="1" customWidth="1" outlineLevel="1"/>
    <col min="14" max="14" width="1.42578125" hidden="1" customWidth="1" outlineLevel="1"/>
    <col min="15" max="15" width="9.85546875" hidden="1" customWidth="1" outlineLevel="1"/>
    <col min="16" max="16" width="4.28515625" customWidth="1" collapsed="1"/>
    <col min="17" max="17" width="8.42578125" customWidth="1"/>
    <col min="18" max="18" width="1.42578125" customWidth="1"/>
    <col min="19" max="19" width="8.42578125" customWidth="1"/>
    <col min="20" max="20" width="1.42578125" hidden="1" customWidth="1" outlineLevel="1"/>
    <col min="21" max="21" width="9.85546875" hidden="1" customWidth="1" outlineLevel="1"/>
    <col min="22" max="22" width="1.42578125" hidden="1" customWidth="1" outlineLevel="1"/>
    <col min="23" max="23" width="9.85546875" hidden="1" customWidth="1" outlineLevel="1"/>
    <col min="24" max="24" width="4.28515625" customWidth="1" collapsed="1"/>
    <col min="25" max="25" width="8.42578125" customWidth="1"/>
    <col min="26" max="26" width="1.42578125" customWidth="1"/>
    <col min="27" max="27" width="8.42578125" customWidth="1"/>
    <col min="28" max="28" width="1.42578125" hidden="1" customWidth="1" outlineLevel="1"/>
    <col min="29" max="29" width="9.85546875" hidden="1" customWidth="1" outlineLevel="1"/>
    <col min="30" max="30" width="1.42578125" hidden="1" customWidth="1" outlineLevel="1"/>
    <col min="31" max="31" width="9.85546875" hidden="1" customWidth="1" outlineLevel="1"/>
    <col min="32" max="32" width="4.28515625" customWidth="1" collapsed="1"/>
    <col min="33" max="33" width="8.42578125" customWidth="1"/>
    <col min="34" max="34" width="1.42578125" customWidth="1"/>
    <col min="35" max="35" width="8.42578125" customWidth="1"/>
    <col min="36" max="36" width="1.42578125" hidden="1" customWidth="1" outlineLevel="1"/>
    <col min="37" max="37" width="9.85546875" hidden="1" customWidth="1" outlineLevel="1"/>
    <col min="38" max="38" width="1.42578125" hidden="1" customWidth="1" outlineLevel="1"/>
    <col min="39" max="39" width="9.85546875" hidden="1" customWidth="1" outlineLevel="1"/>
    <col min="40" max="40" width="4.28515625" customWidth="1" collapsed="1"/>
    <col min="41" max="41" width="8.42578125" customWidth="1"/>
    <col min="42" max="42" width="1.42578125" customWidth="1"/>
    <col min="43" max="43" width="8.42578125" customWidth="1"/>
    <col min="44" max="44" width="1.42578125" hidden="1" customWidth="1" outlineLevel="1"/>
    <col min="45" max="45" width="9.85546875" hidden="1" customWidth="1" outlineLevel="1"/>
    <col min="46" max="46" width="1.42578125" hidden="1" customWidth="1" outlineLevel="1"/>
    <col min="47" max="47" width="9.85546875" hidden="1" customWidth="1" outlineLevel="1"/>
    <col min="48" max="48" width="4.28515625" customWidth="1" collapsed="1"/>
    <col min="49" max="49" width="8.42578125" customWidth="1"/>
    <col min="50" max="50" width="1.42578125" customWidth="1"/>
    <col min="51" max="51" width="8.42578125" customWidth="1"/>
    <col min="52" max="52" width="1.42578125" hidden="1" customWidth="1" outlineLevel="1"/>
    <col min="53" max="53" width="9.85546875" hidden="1" customWidth="1" outlineLevel="1"/>
    <col min="54" max="54" width="1.42578125" hidden="1" customWidth="1" outlineLevel="1"/>
    <col min="55" max="55" width="9.85546875" hidden="1" customWidth="1" outlineLevel="1"/>
    <col min="56" max="56" width="4.28515625" customWidth="1" collapsed="1"/>
    <col min="57" max="57" width="8.42578125" customWidth="1"/>
    <col min="58" max="58" width="1.42578125" customWidth="1"/>
    <col min="59" max="59" width="8.42578125" customWidth="1"/>
    <col min="60" max="60" width="1.42578125" hidden="1" customWidth="1" outlineLevel="1"/>
    <col min="61" max="61" width="9.85546875" hidden="1" customWidth="1" outlineLevel="1"/>
    <col min="62" max="62" width="1.42578125" hidden="1" customWidth="1" outlineLevel="1"/>
    <col min="63" max="63" width="9.85546875" hidden="1" customWidth="1" outlineLevel="1"/>
    <col min="64" max="64" width="4.28515625" customWidth="1" collapsed="1"/>
    <col min="65" max="65" width="8.42578125" customWidth="1"/>
    <col min="66" max="66" width="1.42578125" customWidth="1"/>
    <col min="67" max="67" width="8.42578125" customWidth="1"/>
    <col min="68" max="68" width="1.42578125" hidden="1" customWidth="1" outlineLevel="1"/>
    <col min="69" max="69" width="9.85546875" hidden="1" customWidth="1" outlineLevel="1"/>
    <col min="70" max="70" width="1.42578125" hidden="1" customWidth="1" outlineLevel="1"/>
    <col min="71" max="71" width="9.85546875" hidden="1" customWidth="1" outlineLevel="1"/>
    <col min="72" max="72" width="4.28515625" customWidth="1" collapsed="1"/>
    <col min="73" max="73" width="8.42578125" customWidth="1"/>
    <col min="74" max="74" width="1.42578125" customWidth="1"/>
    <col min="75" max="75" width="8.42578125" customWidth="1"/>
    <col min="76" max="76" width="1.42578125" hidden="1" customWidth="1" outlineLevel="1"/>
    <col min="77" max="77" width="9.85546875" hidden="1" customWidth="1" outlineLevel="1"/>
    <col min="78" max="78" width="1.42578125" hidden="1" customWidth="1" outlineLevel="1"/>
    <col min="79" max="79" width="9.85546875" hidden="1" customWidth="1" outlineLevel="1"/>
    <col min="80" max="80" width="9.140625" collapsed="1"/>
  </cols>
  <sheetData>
    <row r="1" spans="1:79" ht="18.75" x14ac:dyDescent="0.3">
      <c r="A1" s="13" t="s">
        <v>407</v>
      </c>
      <c r="B1" s="13"/>
    </row>
    <row r="2" spans="1:79" ht="15.75" x14ac:dyDescent="0.25">
      <c r="A2" s="12" t="s">
        <v>408</v>
      </c>
      <c r="B2" s="12"/>
    </row>
    <row r="4" spans="1:79" ht="15.75" x14ac:dyDescent="0.25">
      <c r="C4" s="27" t="s">
        <v>410</v>
      </c>
      <c r="D4" s="26"/>
      <c r="E4" s="27" t="s">
        <v>411</v>
      </c>
      <c r="F4" s="26"/>
      <c r="G4" s="27" t="s">
        <v>412</v>
      </c>
      <c r="H4" s="18"/>
      <c r="I4" s="56" t="s">
        <v>105</v>
      </c>
      <c r="J4" s="56"/>
      <c r="K4" s="56"/>
      <c r="L4" s="56"/>
      <c r="M4" s="56"/>
      <c r="N4" s="56"/>
      <c r="O4" s="56"/>
      <c r="P4" s="18"/>
      <c r="Q4" s="56" t="s">
        <v>160</v>
      </c>
      <c r="R4" s="56"/>
      <c r="S4" s="56"/>
      <c r="T4" s="56"/>
      <c r="U4" s="56"/>
      <c r="V4" s="56"/>
      <c r="W4" s="56"/>
      <c r="X4" s="18"/>
      <c r="Y4" s="56" t="s">
        <v>222</v>
      </c>
      <c r="Z4" s="56"/>
      <c r="AA4" s="56"/>
      <c r="AB4" s="56"/>
      <c r="AC4" s="56"/>
      <c r="AD4" s="56"/>
      <c r="AE4" s="56"/>
      <c r="AF4" s="18"/>
      <c r="AG4" s="56" t="s">
        <v>223</v>
      </c>
      <c r="AH4" s="56"/>
      <c r="AI4" s="56"/>
      <c r="AJ4" s="56"/>
      <c r="AK4" s="56"/>
      <c r="AL4" s="56"/>
      <c r="AM4" s="56"/>
      <c r="AN4" s="18"/>
      <c r="AO4" s="56" t="s">
        <v>225</v>
      </c>
      <c r="AP4" s="56"/>
      <c r="AQ4" s="56"/>
      <c r="AR4" s="56"/>
      <c r="AS4" s="56"/>
      <c r="AT4" s="56"/>
      <c r="AU4" s="56"/>
      <c r="AV4" s="18"/>
      <c r="AW4" s="56" t="s">
        <v>275</v>
      </c>
      <c r="AX4" s="56"/>
      <c r="AY4" s="56"/>
      <c r="AZ4" s="56"/>
      <c r="BA4" s="56"/>
      <c r="BB4" s="56"/>
      <c r="BC4" s="56"/>
      <c r="BD4" s="18"/>
      <c r="BE4" s="56" t="s">
        <v>276</v>
      </c>
      <c r="BF4" s="56"/>
      <c r="BG4" s="56"/>
      <c r="BH4" s="56"/>
      <c r="BI4" s="56"/>
      <c r="BJ4" s="56"/>
      <c r="BK4" s="56"/>
      <c r="BL4" s="18"/>
      <c r="BM4" s="56" t="s">
        <v>347</v>
      </c>
      <c r="BN4" s="56"/>
      <c r="BO4" s="56"/>
      <c r="BP4" s="56"/>
      <c r="BQ4" s="56"/>
      <c r="BR4" s="56"/>
      <c r="BS4" s="56"/>
      <c r="BT4" s="18"/>
      <c r="BU4" s="56" t="s">
        <v>413</v>
      </c>
      <c r="BV4" s="56"/>
      <c r="BW4" s="56"/>
      <c r="BX4" s="56"/>
      <c r="BY4" s="56"/>
      <c r="BZ4" s="56"/>
      <c r="CA4" s="56"/>
    </row>
    <row r="5" spans="1:79" ht="5.25" customHeight="1" x14ac:dyDescent="0.25">
      <c r="C5" s="28"/>
      <c r="D5" s="26"/>
      <c r="E5" s="28"/>
      <c r="F5" s="26"/>
      <c r="G5" s="28"/>
      <c r="H5" s="18"/>
      <c r="I5" s="28"/>
      <c r="J5" s="28"/>
      <c r="K5" s="28"/>
      <c r="L5" s="28"/>
      <c r="M5" s="28"/>
      <c r="N5" s="28"/>
      <c r="O5" s="28"/>
      <c r="P5" s="18"/>
      <c r="Q5" s="28"/>
      <c r="R5" s="28"/>
      <c r="S5" s="28"/>
      <c r="T5" s="28"/>
      <c r="U5" s="28"/>
      <c r="V5" s="28"/>
      <c r="W5" s="28"/>
      <c r="X5" s="18"/>
      <c r="Y5" s="28"/>
      <c r="Z5" s="28"/>
      <c r="AA5" s="28"/>
      <c r="AB5" s="28"/>
      <c r="AC5" s="28"/>
      <c r="AD5" s="28"/>
      <c r="AE5" s="28"/>
      <c r="AF5" s="18"/>
      <c r="AG5" s="28"/>
      <c r="AH5" s="28"/>
      <c r="AI5" s="28"/>
      <c r="AJ5" s="28"/>
      <c r="AK5" s="28"/>
      <c r="AL5" s="28"/>
      <c r="AM5" s="28"/>
      <c r="AN5" s="18"/>
      <c r="AO5" s="28"/>
      <c r="AP5" s="28"/>
      <c r="AQ5" s="28"/>
      <c r="AR5" s="28"/>
      <c r="AS5" s="28"/>
      <c r="AT5" s="28"/>
      <c r="AU5" s="28"/>
      <c r="AV5" s="18"/>
      <c r="AW5" s="28"/>
      <c r="AX5" s="28"/>
      <c r="AY5" s="28"/>
      <c r="AZ5" s="28"/>
      <c r="BA5" s="28"/>
      <c r="BB5" s="28"/>
      <c r="BC5" s="28"/>
      <c r="BD5" s="18"/>
      <c r="BE5" s="28"/>
      <c r="BF5" s="28"/>
      <c r="BG5" s="28"/>
      <c r="BH5" s="28"/>
      <c r="BI5" s="28"/>
      <c r="BJ5" s="28"/>
      <c r="BK5" s="28"/>
      <c r="BL5" s="18"/>
      <c r="BM5" s="28"/>
      <c r="BN5" s="28"/>
      <c r="BO5" s="28"/>
      <c r="BP5" s="28"/>
      <c r="BQ5" s="28"/>
      <c r="BR5" s="28"/>
      <c r="BS5" s="28"/>
      <c r="BT5" s="18"/>
      <c r="BU5" s="28"/>
      <c r="BV5" s="28"/>
      <c r="BW5" s="28"/>
      <c r="BX5" s="28"/>
      <c r="BY5" s="28"/>
      <c r="BZ5" s="28"/>
      <c r="CA5" s="28"/>
    </row>
    <row r="6" spans="1:79" x14ac:dyDescent="0.25">
      <c r="C6" s="18"/>
      <c r="D6" s="18"/>
      <c r="E6" s="18"/>
      <c r="F6" s="18"/>
      <c r="G6" s="18"/>
      <c r="H6" s="18"/>
      <c r="I6" s="18"/>
      <c r="J6" s="18"/>
      <c r="K6" s="18"/>
      <c r="L6" s="18"/>
      <c r="M6" s="18" t="s">
        <v>425</v>
      </c>
      <c r="N6" s="18"/>
      <c r="O6" s="18" t="s">
        <v>426</v>
      </c>
      <c r="P6" s="18"/>
      <c r="Q6" s="18"/>
      <c r="R6" s="18"/>
      <c r="S6" s="18"/>
      <c r="T6" s="18"/>
      <c r="U6" s="18" t="s">
        <v>425</v>
      </c>
      <c r="V6" s="18"/>
      <c r="W6" s="18" t="s">
        <v>426</v>
      </c>
      <c r="X6" s="18"/>
      <c r="Y6" s="18"/>
      <c r="Z6" s="18"/>
      <c r="AA6" s="18"/>
      <c r="AB6" s="18"/>
      <c r="AC6" s="18" t="s">
        <v>425</v>
      </c>
      <c r="AD6" s="18"/>
      <c r="AE6" s="18" t="s">
        <v>426</v>
      </c>
      <c r="AF6" s="18"/>
      <c r="AG6" s="18"/>
      <c r="AH6" s="18"/>
      <c r="AI6" s="18"/>
      <c r="AJ6" s="18"/>
      <c r="AK6" s="18" t="s">
        <v>425</v>
      </c>
      <c r="AL6" s="18"/>
      <c r="AM6" s="18" t="s">
        <v>426</v>
      </c>
      <c r="AN6" s="18"/>
      <c r="AO6" s="18"/>
      <c r="AP6" s="18"/>
      <c r="AQ6" s="18"/>
      <c r="AR6" s="18"/>
      <c r="AS6" s="18" t="s">
        <v>425</v>
      </c>
      <c r="AT6" s="18"/>
      <c r="AU6" s="18" t="s">
        <v>426</v>
      </c>
      <c r="AV6" s="18"/>
      <c r="AW6" s="18"/>
      <c r="AX6" s="18"/>
      <c r="AY6" s="18"/>
      <c r="AZ6" s="18"/>
      <c r="BA6" s="18" t="s">
        <v>425</v>
      </c>
      <c r="BB6" s="18"/>
      <c r="BC6" s="18" t="s">
        <v>426</v>
      </c>
      <c r="BD6" s="18"/>
      <c r="BE6" s="18"/>
      <c r="BF6" s="18"/>
      <c r="BG6" s="18"/>
      <c r="BH6" s="18"/>
      <c r="BI6" s="18" t="s">
        <v>425</v>
      </c>
      <c r="BJ6" s="18"/>
      <c r="BK6" s="18" t="s">
        <v>426</v>
      </c>
      <c r="BL6" s="18"/>
      <c r="BM6" s="18"/>
      <c r="BN6" s="18"/>
      <c r="BO6" s="18"/>
      <c r="BP6" s="18"/>
      <c r="BQ6" s="18" t="s">
        <v>425</v>
      </c>
      <c r="BR6" s="18"/>
      <c r="BS6" s="18" t="s">
        <v>426</v>
      </c>
      <c r="BT6" s="18"/>
      <c r="BU6" s="18"/>
      <c r="BV6" s="18"/>
      <c r="BW6" s="18"/>
      <c r="BX6" s="18"/>
      <c r="BY6" s="18" t="s">
        <v>425</v>
      </c>
      <c r="BZ6" s="18"/>
      <c r="CA6" s="18" t="s">
        <v>426</v>
      </c>
    </row>
    <row r="7" spans="1:79" ht="15.75" customHeight="1" x14ac:dyDescent="0.4">
      <c r="C7" s="15"/>
      <c r="D7" s="15"/>
      <c r="E7" s="15"/>
      <c r="F7" s="15"/>
      <c r="G7" s="15"/>
      <c r="H7" s="15"/>
      <c r="I7" s="21" t="s">
        <v>423</v>
      </c>
      <c r="J7" s="18"/>
      <c r="K7" s="21" t="s">
        <v>428</v>
      </c>
      <c r="L7" s="18"/>
      <c r="M7" s="21" t="s">
        <v>424</v>
      </c>
      <c r="N7" s="18"/>
      <c r="O7" s="21" t="s">
        <v>424</v>
      </c>
      <c r="P7" s="15"/>
      <c r="Q7" s="21" t="s">
        <v>423</v>
      </c>
      <c r="R7" s="18"/>
      <c r="S7" s="21" t="s">
        <v>428</v>
      </c>
      <c r="T7" s="18"/>
      <c r="U7" s="21" t="s">
        <v>424</v>
      </c>
      <c r="V7" s="18"/>
      <c r="W7" s="21" t="s">
        <v>424</v>
      </c>
      <c r="X7" s="15"/>
      <c r="Y7" s="21" t="s">
        <v>423</v>
      </c>
      <c r="Z7" s="18"/>
      <c r="AA7" s="21" t="s">
        <v>428</v>
      </c>
      <c r="AB7" s="18"/>
      <c r="AC7" s="21" t="s">
        <v>424</v>
      </c>
      <c r="AD7" s="18"/>
      <c r="AE7" s="21" t="s">
        <v>424</v>
      </c>
      <c r="AF7" s="15"/>
      <c r="AG7" s="21" t="s">
        <v>423</v>
      </c>
      <c r="AH7" s="18"/>
      <c r="AI7" s="21" t="s">
        <v>428</v>
      </c>
      <c r="AJ7" s="18"/>
      <c r="AK7" s="21" t="s">
        <v>424</v>
      </c>
      <c r="AL7" s="18"/>
      <c r="AM7" s="21" t="s">
        <v>424</v>
      </c>
      <c r="AN7" s="15"/>
      <c r="AO7" s="21" t="s">
        <v>423</v>
      </c>
      <c r="AP7" s="18"/>
      <c r="AQ7" s="21" t="s">
        <v>428</v>
      </c>
      <c r="AR7" s="18"/>
      <c r="AS7" s="21" t="s">
        <v>424</v>
      </c>
      <c r="AT7" s="18"/>
      <c r="AU7" s="21" t="s">
        <v>424</v>
      </c>
      <c r="AV7" s="15"/>
      <c r="AW7" s="21" t="s">
        <v>423</v>
      </c>
      <c r="AX7" s="18"/>
      <c r="AY7" s="21" t="s">
        <v>428</v>
      </c>
      <c r="AZ7" s="18"/>
      <c r="BA7" s="21" t="s">
        <v>424</v>
      </c>
      <c r="BB7" s="18"/>
      <c r="BC7" s="21" t="s">
        <v>424</v>
      </c>
      <c r="BD7" s="15"/>
      <c r="BE7" s="21" t="s">
        <v>423</v>
      </c>
      <c r="BF7" s="18"/>
      <c r="BG7" s="21" t="s">
        <v>428</v>
      </c>
      <c r="BH7" s="18"/>
      <c r="BI7" s="21" t="s">
        <v>424</v>
      </c>
      <c r="BJ7" s="18"/>
      <c r="BK7" s="21" t="s">
        <v>424</v>
      </c>
      <c r="BL7" s="15"/>
      <c r="BM7" s="21" t="s">
        <v>423</v>
      </c>
      <c r="BN7" s="18"/>
      <c r="BO7" s="21" t="s">
        <v>428</v>
      </c>
      <c r="BP7" s="18"/>
      <c r="BQ7" s="21" t="s">
        <v>424</v>
      </c>
      <c r="BR7" s="18"/>
      <c r="BS7" s="21" t="s">
        <v>424</v>
      </c>
      <c r="BT7" s="15"/>
      <c r="BU7" s="21" t="s">
        <v>423</v>
      </c>
      <c r="BV7" s="18"/>
      <c r="BW7" s="21" t="s">
        <v>428</v>
      </c>
      <c r="BX7" s="18"/>
      <c r="BY7" s="21" t="s">
        <v>424</v>
      </c>
      <c r="BZ7" s="18"/>
      <c r="CA7" s="21" t="s">
        <v>424</v>
      </c>
    </row>
    <row r="8" spans="1:79" ht="15.75" x14ac:dyDescent="0.25">
      <c r="A8" s="12" t="s">
        <v>8</v>
      </c>
    </row>
    <row r="9" spans="1:79" outlineLevel="1" x14ac:dyDescent="0.25">
      <c r="B9" t="s">
        <v>21</v>
      </c>
      <c r="C9" s="17">
        <v>0</v>
      </c>
      <c r="D9" s="17"/>
      <c r="E9" s="17">
        <v>0</v>
      </c>
      <c r="F9" s="17"/>
      <c r="G9" s="17">
        <v>0</v>
      </c>
      <c r="H9" s="17"/>
      <c r="I9" s="17">
        <f t="array" ref="I9">SUM(IF(Period=I$4,IF(Category=$A$8,IF(Provider=$B9,Score))))</f>
        <v>85.7</v>
      </c>
      <c r="J9" s="17"/>
      <c r="K9" s="20">
        <f t="array" ref="K9">SUM(IF(Period=I$4,IF(Category=$A$8,IF(Provider=$B9,Responses))))</f>
        <v>7</v>
      </c>
      <c r="L9" s="20"/>
      <c r="M9" s="19">
        <f>I9*(K9/SUM(K$9:K$42))</f>
        <v>2.9995000000000003</v>
      </c>
      <c r="N9" s="17"/>
      <c r="O9" s="17">
        <f>I9*(K9/(SUM(K$9:K$42)+SUM(K$48:K$81)+SUM(K$87:K$120)+SUM(K$126:K$159)+SUM(K$165:K$198)+SUM(K$204:K$237)))</f>
        <v>0.49619520264681555</v>
      </c>
      <c r="P9" s="17"/>
      <c r="Q9" s="17">
        <f t="array" ref="Q9">SUM(IF(Period=Q$4,IF(Category=$A$8,IF(Provider=$B9,Score))))</f>
        <v>81.3</v>
      </c>
      <c r="R9" s="17"/>
      <c r="S9" s="20">
        <f t="array" ref="S9">SUM(IF(Period=Q$4,IF(Category=$A$8,IF(Provider=$B9,Responses))))</f>
        <v>4</v>
      </c>
      <c r="T9" s="20"/>
      <c r="U9" s="19">
        <f>Q9*(S9/SUM(S$9:S$42))</f>
        <v>1.7297872340425531</v>
      </c>
      <c r="V9" s="17"/>
      <c r="W9" s="17">
        <f>Q9*(S9/(SUM(S$9:S$42)+SUM(S$48:S$81)+SUM(S$87:S$120)+SUM(S$126:S$159)+SUM(S$165:S$198)+SUM(S$204:S$237)))</f>
        <v>0.28983957219251333</v>
      </c>
      <c r="X9" s="17"/>
      <c r="Y9" s="17">
        <f t="array" ref="Y9">SUM(IF(Period=Y$4,IF(Category=$A$8,IF(Provider=$B9,Score))))</f>
        <v>87.5</v>
      </c>
      <c r="Z9" s="17"/>
      <c r="AA9" s="20">
        <f t="array" ref="AA9">SUM(IF(Period=Y$4,IF(Category=$A$8,IF(Provider=$B9,Responses))))</f>
        <v>14</v>
      </c>
      <c r="AB9" s="20"/>
      <c r="AC9" s="19">
        <f>Y9*(AA9/SUM(AA$9:AA$42))</f>
        <v>4.0296052631578947</v>
      </c>
      <c r="AD9" s="17"/>
      <c r="AE9" s="17">
        <f>Y9*(AA9/(SUM(AA$9:AA$42)+SUM(AA$48:AA$81)+SUM(AA$87:AA$120)+SUM(AA$126:AA$159)+SUM(AA$165:AA$198)+SUM(AA$204:AA$237)))</f>
        <v>0.67567567567567566</v>
      </c>
      <c r="AF9" s="17"/>
      <c r="AG9" s="17">
        <f t="array" ref="AG9">SUM(IF(Period=AG$4,IF(Category=$A$8,IF(Provider=$B9,Score))))</f>
        <v>100</v>
      </c>
      <c r="AH9" s="17"/>
      <c r="AI9" s="20">
        <f t="array" ref="AI9">SUM(IF(Period=AG$4,IF(Category=$A$8,IF(Provider=$B9,Responses))))</f>
        <v>3</v>
      </c>
      <c r="AJ9" s="20"/>
      <c r="AK9" s="19">
        <f>AG9*(AI9/SUM(AI$9:AI$42))</f>
        <v>1.171875</v>
      </c>
      <c r="AL9" s="17"/>
      <c r="AM9" s="17">
        <f>AG9*(AI9/(SUM(AI$9:AI$42)+SUM(AI$48:AI$81)+SUM(AI$87:AI$120)+SUM(AI$126:AI$159)+SUM(AI$165:AI$198)+SUM(AI$204:AI$237)))</f>
        <v>0.19430051813471502</v>
      </c>
      <c r="AN9" s="17"/>
      <c r="AO9" s="17">
        <f t="array" ref="AO9">SUM(IF(Period=AO$4,IF(Category=$A$8,IF(Provider=$B9,Score))))</f>
        <v>87.5</v>
      </c>
      <c r="AP9" s="17"/>
      <c r="AQ9" s="20">
        <f t="array" ref="AQ9">SUM(IF(Period=AO$4,IF(Category=$A$8,IF(Provider=$B9,Responses))))</f>
        <v>2</v>
      </c>
      <c r="AR9" s="20"/>
      <c r="AS9" s="19">
        <f>AO9*(AQ9/SUM(AQ$9:AQ$42))</f>
        <v>1.0174418604651163</v>
      </c>
      <c r="AT9" s="17"/>
      <c r="AU9" s="17">
        <f>AO9*(AQ9/(SUM(AQ$9:AQ$42)+SUM(AQ$48:AQ$81)+SUM(AQ$87:AQ$120)+SUM(AQ$126:AQ$159)+SUM(AQ$165:AQ$198)+SUM(AQ$204:AQ$237)))</f>
        <v>0.1705653021442495</v>
      </c>
      <c r="AV9" s="17"/>
      <c r="AW9" s="17">
        <f t="array" ref="AW9">SUM(IF(Period=AW$4,IF(Category=$A$8,IF(Provider=$B9,Score))))</f>
        <v>90</v>
      </c>
      <c r="AX9" s="17"/>
      <c r="AY9" s="20">
        <f t="array" ref="AY9">SUM(IF(Period=AW$4,IF(Category=$A$8,IF(Provider=$B9,Responses))))</f>
        <v>5</v>
      </c>
      <c r="AZ9" s="20"/>
      <c r="BA9" s="19">
        <f>AW9*(AY9/SUM(AY$9:AY$42))</f>
        <v>2.0737327188940093</v>
      </c>
      <c r="BB9" s="17"/>
      <c r="BC9" s="17">
        <f>AW9*(AY9/(SUM(AY$9:AY$42)+SUM(AY$48:AY$81)+SUM(AY$87:AY$120)+SUM(AY$126:AY$159)+SUM(AY$165:AY$198)+SUM(AY$204:AY$237)))</f>
        <v>0.34562211981566821</v>
      </c>
      <c r="BD9" s="17"/>
      <c r="BE9" s="17">
        <f t="array" ref="BE9">SUM(IF(Period=BE$4,IF(Category=$A$8,IF(Provider=$B9,Score))))</f>
        <v>87.5</v>
      </c>
      <c r="BF9" s="17"/>
      <c r="BG9" s="20">
        <f t="array" ref="BG9">SUM(IF(Period=BE$4,IF(Category=$A$8,IF(Provider=$B9,Responses))))</f>
        <v>8</v>
      </c>
      <c r="BH9" s="20"/>
      <c r="BI9" s="19">
        <f>BE9*(BG9/SUM(BG$9:BG$42))</f>
        <v>2.978723404255319</v>
      </c>
      <c r="BJ9" s="17"/>
      <c r="BK9" s="17">
        <f>BE9*(BG9/(SUM(BG$9:BG$42)+SUM(BG$48:BG$81)+SUM(BG$87:BG$120)+SUM(BG$126:BG$159)+SUM(BG$165:BG$198)+SUM(BG$204:BG$237)))</f>
        <v>0.4946996466431095</v>
      </c>
      <c r="BL9" s="17"/>
      <c r="BM9" s="17">
        <f t="array" ref="BM9">SUM(IF(Period=BM$4,IF(Category=$A$8,IF(Provider=$B9,Score))))</f>
        <v>100</v>
      </c>
      <c r="BN9" s="17"/>
      <c r="BO9" s="20">
        <f t="array" ref="BO9">SUM(IF(Period=BM$4,IF(Category=$A$8,IF(Provider=$B9,Responses))))</f>
        <v>6</v>
      </c>
      <c r="BP9" s="20"/>
      <c r="BQ9" s="19">
        <f>BM9*(BO9/SUM(BO$9:BO$42))</f>
        <v>2.5862068965517242</v>
      </c>
      <c r="BR9" s="17"/>
      <c r="BS9" s="17">
        <f>BM9*(BO9/(SUM(BO$9:BO$42)+SUM(BO$48:BO$81)+SUM(BO$87:BO$120)+SUM(BO$126:BO$159)+SUM(BO$165:BO$198)+SUM(BO$204:BO$237)))</f>
        <v>0.4329004329004329</v>
      </c>
      <c r="BT9" s="17"/>
      <c r="BU9" s="17">
        <f t="array" ref="BU9">SUM(IF(Period=BU$4,IF(Category=$A$8,IF(Provider=$B9,Score))))</f>
        <v>90</v>
      </c>
      <c r="BV9" s="17"/>
      <c r="BW9" s="20">
        <f t="array" ref="BW9">SUM(IF(Period=BU$4,IF(Category=$A$8,IF(Provider=$B9,Responses))))</f>
        <v>5</v>
      </c>
      <c r="BX9" s="20"/>
      <c r="BY9" s="19">
        <f>BU9*(BW9/SUM(BW$9:BW$42))</f>
        <v>1.859504132231405</v>
      </c>
      <c r="BZ9" s="17"/>
      <c r="CA9" s="17">
        <f>BU9*(BW9/(SUM(BW$9:BW$42)+SUM(BW$48:BW$81)+SUM(BW$87:BW$120)+SUM(BW$126:BW$159)+SUM(BW$165:BW$198)+SUM(BW$204:BW$237)))</f>
        <v>0.31098825155494125</v>
      </c>
    </row>
    <row r="10" spans="1:79" outlineLevel="1" x14ac:dyDescent="0.25">
      <c r="B10" t="s">
        <v>30</v>
      </c>
      <c r="C10" s="17">
        <v>0</v>
      </c>
      <c r="D10" s="17"/>
      <c r="E10" s="17">
        <v>0</v>
      </c>
      <c r="F10" s="17"/>
      <c r="G10" s="17">
        <v>0</v>
      </c>
      <c r="H10" s="17"/>
      <c r="I10" s="17">
        <f t="array" ref="I10">SUM(IF(Period=I$4,IF(Category=$A$8,IF(Provider=$B10,Score))))</f>
        <v>71.400000000000006</v>
      </c>
      <c r="J10" s="17"/>
      <c r="K10" s="20">
        <f t="array" ref="K10">SUM(IF(Period=I$4,IF(Category=$A$8,IF(Provider=$B10,Responses))))</f>
        <v>7</v>
      </c>
      <c r="L10" s="20"/>
      <c r="M10" s="17">
        <f t="shared" ref="M10:M42" si="0">I10*(K10/SUM(K$9:K$42))</f>
        <v>2.4990000000000006</v>
      </c>
      <c r="N10" s="17"/>
      <c r="O10" s="17">
        <f t="shared" ref="O10:O42" si="1">I10*(K10/(SUM(K$9:K$42)+SUM(K$48:K$81)+SUM(K$87:K$120)+SUM(K$126:K$159)+SUM(K$165:K$198)+SUM(K$204:K$237)))</f>
        <v>0.41339950372208439</v>
      </c>
      <c r="P10" s="17"/>
      <c r="Q10" s="17">
        <f t="array" ref="Q10">SUM(IF(Period=Q$4,IF(Category=$A$8,IF(Provider=$B10,Score))))</f>
        <v>95</v>
      </c>
      <c r="R10" s="17"/>
      <c r="S10" s="20">
        <f t="array" ref="S10">SUM(IF(Period=Q$4,IF(Category=$A$8,IF(Provider=$B10,Responses))))</f>
        <v>10</v>
      </c>
      <c r="T10" s="20"/>
      <c r="U10" s="17">
        <f t="shared" ref="U10:U42" si="2">Q10*(S10/SUM(S$9:S$42))</f>
        <v>5.0531914893617023</v>
      </c>
      <c r="V10" s="17"/>
      <c r="W10" s="17">
        <f t="shared" ref="W10:W42" si="3">Q10*(S10/(SUM(S$9:S$42)+SUM(S$48:S$81)+SUM(S$87:S$120)+SUM(S$126:S$159)+SUM(S$165:S$198)+SUM(S$204:S$237)))</f>
        <v>0.84670231729055256</v>
      </c>
      <c r="X10" s="17"/>
      <c r="Y10" s="17">
        <f t="array" ref="Y10">SUM(IF(Period=Y$4,IF(Category=$A$8,IF(Provider=$B10,Score))))</f>
        <v>83.3</v>
      </c>
      <c r="Z10" s="17"/>
      <c r="AA10" s="20">
        <f t="array" ref="AA10">SUM(IF(Period=Y$4,IF(Category=$A$8,IF(Provider=$B10,Responses))))</f>
        <v>9</v>
      </c>
      <c r="AB10" s="20"/>
      <c r="AC10" s="17">
        <f t="shared" ref="AC10:AC42" si="4">Y10*(AA10/SUM(AA$9:AA$42))</f>
        <v>2.4661184210526312</v>
      </c>
      <c r="AD10" s="17"/>
      <c r="AE10" s="17">
        <f t="shared" ref="AE10:AE42" si="5">Y10*(AA10/(SUM(AA$9:AA$42)+SUM(AA$48:AA$81)+SUM(AA$87:AA$120)+SUM(AA$126:AA$159)+SUM(AA$165:AA$198)+SUM(AA$204:AA$237)))</f>
        <v>0.41351351351351345</v>
      </c>
      <c r="AF10" s="17"/>
      <c r="AG10" s="17">
        <f t="array" ref="AG10">SUM(IF(Period=AG$4,IF(Category=$A$8,IF(Provider=$B10,Score))))</f>
        <v>100</v>
      </c>
      <c r="AH10" s="17"/>
      <c r="AI10" s="20">
        <f t="array" ref="AI10">SUM(IF(Period=AG$4,IF(Category=$A$8,IF(Provider=$B10,Responses))))</f>
        <v>6</v>
      </c>
      <c r="AJ10" s="20"/>
      <c r="AK10" s="17">
        <f t="shared" ref="AK10:AK42" si="6">AG10*(AI10/SUM(AI$9:AI$42))</f>
        <v>2.34375</v>
      </c>
      <c r="AL10" s="17"/>
      <c r="AM10" s="17">
        <f t="shared" ref="AM10:AM42" si="7">AG10*(AI10/(SUM(AI$9:AI$42)+SUM(AI$48:AI$81)+SUM(AI$87:AI$120)+SUM(AI$126:AI$159)+SUM(AI$165:AI$198)+SUM(AI$204:AI$237)))</f>
        <v>0.38860103626943004</v>
      </c>
      <c r="AN10" s="17"/>
      <c r="AO10" s="17">
        <f t="array" ref="AO10">SUM(IF(Period=AO$4,IF(Category=$A$8,IF(Provider=$B10,Score))))</f>
        <v>37.5</v>
      </c>
      <c r="AP10" s="17"/>
      <c r="AQ10" s="20">
        <f t="array" ref="AQ10">SUM(IF(Period=AO$4,IF(Category=$A$8,IF(Provider=$B10,Responses))))</f>
        <v>4</v>
      </c>
      <c r="AR10" s="20"/>
      <c r="AS10" s="17">
        <f t="shared" ref="AS10:AS42" si="8">AO10*(AQ10/SUM(AQ$9:AQ$42))</f>
        <v>0.87209302325581395</v>
      </c>
      <c r="AT10" s="17"/>
      <c r="AU10" s="17">
        <f t="shared" ref="AU10:AU42" si="9">AO10*(AQ10/(SUM(AQ$9:AQ$42)+SUM(AQ$48:AQ$81)+SUM(AQ$87:AQ$120)+SUM(AQ$126:AQ$159)+SUM(AQ$165:AQ$198)+SUM(AQ$204:AQ$237)))</f>
        <v>0.14619883040935672</v>
      </c>
      <c r="AV10" s="17"/>
      <c r="AW10" s="17">
        <f t="array" ref="AW10">SUM(IF(Period=AW$4,IF(Category=$A$8,IF(Provider=$B10,Score))))</f>
        <v>85.7</v>
      </c>
      <c r="AX10" s="17"/>
      <c r="AY10" s="20">
        <f t="array" ref="AY10">SUM(IF(Period=AW$4,IF(Category=$A$8,IF(Provider=$B10,Responses))))</f>
        <v>7</v>
      </c>
      <c r="AZ10" s="20"/>
      <c r="BA10" s="17">
        <f t="shared" ref="BA10:BA42" si="10">AW10*(AY10/SUM(AY$9:AY$42))</f>
        <v>2.7645161290322582</v>
      </c>
      <c r="BB10" s="17"/>
      <c r="BC10" s="17">
        <f t="shared" ref="BC10:BC42" si="11">AW10*(AY10/(SUM(AY$9:AY$42)+SUM(AY$48:AY$81)+SUM(AY$87:AY$120)+SUM(AY$126:AY$159)+SUM(AY$165:AY$198)+SUM(AY$204:AY$237)))</f>
        <v>0.46075268817204307</v>
      </c>
      <c r="BD10" s="17"/>
      <c r="BE10" s="17">
        <f t="array" ref="BE10">SUM(IF(Period=BE$4,IF(Category=$A$8,IF(Provider=$B10,Score))))</f>
        <v>100</v>
      </c>
      <c r="BF10" s="17"/>
      <c r="BG10" s="20">
        <f t="array" ref="BG10">SUM(IF(Period=BE$4,IF(Category=$A$8,IF(Provider=$B10,Responses))))</f>
        <v>8</v>
      </c>
      <c r="BH10" s="20"/>
      <c r="BI10" s="17">
        <f t="shared" ref="BI10:BI42" si="12">BE10*(BG10/SUM(BG$9:BG$42))</f>
        <v>3.4042553191489362</v>
      </c>
      <c r="BJ10" s="17"/>
      <c r="BK10" s="17">
        <f t="shared" ref="BK10:BK42" si="13">BE10*(BG10/(SUM(BG$9:BG$42)+SUM(BG$48:BG$81)+SUM(BG$87:BG$120)+SUM(BG$126:BG$159)+SUM(BG$165:BG$198)+SUM(BG$204:BG$237)))</f>
        <v>0.56537102473498235</v>
      </c>
      <c r="BL10" s="17"/>
      <c r="BM10" s="17">
        <f t="array" ref="BM10">SUM(IF(Period=BM$4,IF(Category=$A$8,IF(Provider=$B10,Score))))</f>
        <v>87.5</v>
      </c>
      <c r="BN10" s="17"/>
      <c r="BO10" s="20">
        <f t="array" ref="BO10">SUM(IF(Period=BM$4,IF(Category=$A$8,IF(Provider=$B10,Responses))))</f>
        <v>6</v>
      </c>
      <c r="BP10" s="20"/>
      <c r="BQ10" s="17">
        <f t="shared" ref="BQ10:BQ42" si="14">BM10*(BO10/SUM(BO$9:BO$42))</f>
        <v>2.2629310344827585</v>
      </c>
      <c r="BR10" s="17"/>
      <c r="BS10" s="17">
        <f t="shared" ref="BS10:BS42" si="15">BM10*(BO10/(SUM(BO$9:BO$42)+SUM(BO$48:BO$81)+SUM(BO$87:BO$120)+SUM(BO$126:BO$159)+SUM(BO$165:BO$198)+SUM(BO$204:BO$237)))</f>
        <v>0.37878787878787878</v>
      </c>
      <c r="BT10" s="17"/>
      <c r="BU10" s="17">
        <f t="array" ref="BU10">SUM(IF(Period=BU$4,IF(Category=$A$8,IF(Provider=$B10,Score))))</f>
        <v>77.3</v>
      </c>
      <c r="BV10" s="17"/>
      <c r="BW10" s="20">
        <f t="array" ref="BW10">SUM(IF(Period=BU$4,IF(Category=$A$8,IF(Provider=$B10,Responses))))</f>
        <v>11</v>
      </c>
      <c r="BX10" s="20"/>
      <c r="BY10" s="17">
        <f t="shared" ref="BY10:BY42" si="16">BU10*(BW10/SUM(BW$9:BW$42))</f>
        <v>3.5136363636363637</v>
      </c>
      <c r="BZ10" s="17"/>
      <c r="CA10" s="17">
        <f t="shared" ref="CA10:CA42" si="17">BU10*(BW10/(SUM(BW$9:BW$42)+SUM(BW$48:BW$81)+SUM(BW$87:BW$120)+SUM(BW$126:BW$159)+SUM(BW$165:BW$198)+SUM(BW$204:BW$237)))</f>
        <v>0.58762957843814789</v>
      </c>
    </row>
    <row r="11" spans="1:79" outlineLevel="1" x14ac:dyDescent="0.25">
      <c r="B11" t="s">
        <v>14</v>
      </c>
      <c r="C11" s="17">
        <v>0</v>
      </c>
      <c r="D11" s="17"/>
      <c r="E11" s="17">
        <v>0</v>
      </c>
      <c r="F11" s="17"/>
      <c r="G11" s="17">
        <v>0</v>
      </c>
      <c r="H11" s="17"/>
      <c r="I11" s="17">
        <f t="array" ref="I11">SUM(IF(Period=I$4,IF(Category=$A$8,IF(Provider=$B11,Score))))</f>
        <v>92.9</v>
      </c>
      <c r="J11" s="17"/>
      <c r="K11" s="20">
        <f t="array" ref="K11">SUM(IF(Period=I$4,IF(Category=$A$8,IF(Provider=$B11,Responses))))</f>
        <v>7</v>
      </c>
      <c r="L11" s="20"/>
      <c r="M11" s="17">
        <f t="shared" si="0"/>
        <v>3.2515000000000005</v>
      </c>
      <c r="N11" s="17"/>
      <c r="O11" s="17">
        <f t="shared" si="1"/>
        <v>0.53788254755996689</v>
      </c>
      <c r="P11" s="17"/>
      <c r="Q11" s="17">
        <f t="array" ref="Q11">SUM(IF(Period=Q$4,IF(Category=$A$8,IF(Provider=$B11,Score))))</f>
        <v>91.7</v>
      </c>
      <c r="R11" s="17"/>
      <c r="S11" s="20">
        <f t="array" ref="S11">SUM(IF(Period=Q$4,IF(Category=$A$8,IF(Provider=$B11,Responses))))</f>
        <v>6</v>
      </c>
      <c r="T11" s="20"/>
      <c r="U11" s="17">
        <f t="shared" si="2"/>
        <v>2.926595744680851</v>
      </c>
      <c r="V11" s="17"/>
      <c r="W11" s="17">
        <f t="shared" si="3"/>
        <v>0.49037433155080212</v>
      </c>
      <c r="X11" s="17"/>
      <c r="Y11" s="17">
        <f t="array" ref="Y11">SUM(IF(Period=Y$4,IF(Category=$A$8,IF(Provider=$B11,Score))))</f>
        <v>86.1</v>
      </c>
      <c r="Z11" s="17"/>
      <c r="AA11" s="20">
        <f t="array" ref="AA11">SUM(IF(Period=Y$4,IF(Category=$A$8,IF(Provider=$B11,Responses))))</f>
        <v>9</v>
      </c>
      <c r="AB11" s="20"/>
      <c r="AC11" s="17">
        <f t="shared" si="4"/>
        <v>2.5490131578947364</v>
      </c>
      <c r="AD11" s="17"/>
      <c r="AE11" s="17">
        <f t="shared" si="5"/>
        <v>0.42741312741312737</v>
      </c>
      <c r="AF11" s="17"/>
      <c r="AG11" s="17">
        <f t="array" ref="AG11">SUM(IF(Period=AG$4,IF(Category=$A$8,IF(Provider=$B11,Score))))</f>
        <v>96.4</v>
      </c>
      <c r="AH11" s="17"/>
      <c r="AI11" s="20">
        <f t="array" ref="AI11">SUM(IF(Period=AG$4,IF(Category=$A$8,IF(Provider=$B11,Responses))))</f>
        <v>7</v>
      </c>
      <c r="AJ11" s="20"/>
      <c r="AK11" s="17">
        <f t="shared" si="6"/>
        <v>2.6359375000000003</v>
      </c>
      <c r="AL11" s="17"/>
      <c r="AM11" s="17">
        <f t="shared" si="7"/>
        <v>0.4370466321243523</v>
      </c>
      <c r="AN11" s="17"/>
      <c r="AO11" s="17">
        <f t="array" ref="AO11">SUM(IF(Period=AO$4,IF(Category=$A$8,IF(Provider=$B11,Score))))</f>
        <v>71.900000000000006</v>
      </c>
      <c r="AP11" s="17"/>
      <c r="AQ11" s="20">
        <f t="array" ref="AQ11">SUM(IF(Period=AO$4,IF(Category=$A$8,IF(Provider=$B11,Responses))))</f>
        <v>8</v>
      </c>
      <c r="AR11" s="20"/>
      <c r="AS11" s="17">
        <f t="shared" si="8"/>
        <v>3.344186046511628</v>
      </c>
      <c r="AT11" s="17"/>
      <c r="AU11" s="17">
        <f t="shared" si="9"/>
        <v>0.56062378167641325</v>
      </c>
      <c r="AV11" s="17"/>
      <c r="AW11" s="17">
        <f t="array" ref="AW11">SUM(IF(Period=AW$4,IF(Category=$A$8,IF(Provider=$B11,Score))))</f>
        <v>100</v>
      </c>
      <c r="AX11" s="17"/>
      <c r="AY11" s="20">
        <f t="array" ref="AY11">SUM(IF(Period=AW$4,IF(Category=$A$8,IF(Provider=$B11,Responses))))</f>
        <v>6</v>
      </c>
      <c r="AZ11" s="20"/>
      <c r="BA11" s="17">
        <f t="shared" si="10"/>
        <v>2.7649769585253456</v>
      </c>
      <c r="BB11" s="17"/>
      <c r="BC11" s="17">
        <f t="shared" si="11"/>
        <v>0.46082949308755761</v>
      </c>
      <c r="BD11" s="17"/>
      <c r="BE11" s="17">
        <f t="array" ref="BE11">SUM(IF(Period=BE$4,IF(Category=$A$8,IF(Provider=$B11,Score))))</f>
        <v>87.5</v>
      </c>
      <c r="BF11" s="17"/>
      <c r="BG11" s="20">
        <f t="array" ref="BG11">SUM(IF(Period=BE$4,IF(Category=$A$8,IF(Provider=$B11,Responses))))</f>
        <v>8</v>
      </c>
      <c r="BH11" s="20"/>
      <c r="BI11" s="17">
        <f t="shared" si="12"/>
        <v>2.978723404255319</v>
      </c>
      <c r="BJ11" s="17"/>
      <c r="BK11" s="17">
        <f t="shared" si="13"/>
        <v>0.4946996466431095</v>
      </c>
      <c r="BL11" s="17"/>
      <c r="BM11" s="17">
        <f t="array" ref="BM11">SUM(IF(Period=BM$4,IF(Category=$A$8,IF(Provider=$B11,Score))))</f>
        <v>56.3</v>
      </c>
      <c r="BN11" s="17"/>
      <c r="BO11" s="20">
        <f t="array" ref="BO11">SUM(IF(Period=BM$4,IF(Category=$A$8,IF(Provider=$B11,Responses))))</f>
        <v>8</v>
      </c>
      <c r="BP11" s="20"/>
      <c r="BQ11" s="17">
        <f t="shared" si="14"/>
        <v>1.9413793103448274</v>
      </c>
      <c r="BR11" s="17"/>
      <c r="BS11" s="17">
        <f t="shared" si="15"/>
        <v>0.32496392496392495</v>
      </c>
      <c r="BT11" s="17"/>
      <c r="BU11" s="17">
        <f t="array" ref="BU11">SUM(IF(Period=BU$4,IF(Category=$A$8,IF(Provider=$B11,Score))))</f>
        <v>75</v>
      </c>
      <c r="BV11" s="17"/>
      <c r="BW11" s="20">
        <f t="array" ref="BW11">SUM(IF(Period=BU$4,IF(Category=$A$8,IF(Provider=$B11,Responses))))</f>
        <v>6</v>
      </c>
      <c r="BX11" s="20"/>
      <c r="BY11" s="17">
        <f t="shared" si="16"/>
        <v>1.859504132231405</v>
      </c>
      <c r="BZ11" s="17"/>
      <c r="CA11" s="17">
        <f t="shared" si="17"/>
        <v>0.31098825155494125</v>
      </c>
    </row>
    <row r="12" spans="1:79" outlineLevel="1" x14ac:dyDescent="0.25">
      <c r="B12" t="s">
        <v>38</v>
      </c>
      <c r="C12" s="17">
        <v>0</v>
      </c>
      <c r="D12" s="17"/>
      <c r="E12" s="17">
        <v>0</v>
      </c>
      <c r="F12" s="17"/>
      <c r="G12" s="17">
        <v>0</v>
      </c>
      <c r="H12" s="17"/>
      <c r="I12" s="17">
        <f t="array" ref="I12">SUM(IF(Period=I$4,IF(Category=$A$8,IF(Provider=$B12,Score))))</f>
        <v>62.5</v>
      </c>
      <c r="J12" s="17"/>
      <c r="K12" s="20">
        <f t="array" ref="K12">SUM(IF(Period=I$4,IF(Category=$A$8,IF(Provider=$B12,Responses))))</f>
        <v>4</v>
      </c>
      <c r="L12" s="20"/>
      <c r="M12" s="17">
        <f t="shared" si="0"/>
        <v>1.25</v>
      </c>
      <c r="N12" s="17"/>
      <c r="O12" s="17">
        <f t="shared" si="1"/>
        <v>0.20678246484698098</v>
      </c>
      <c r="P12" s="17"/>
      <c r="Q12" s="17">
        <f t="array" ref="Q12">SUM(IF(Period=Q$4,IF(Category=$A$8,IF(Provider=$B12,Score))))</f>
        <v>85.7</v>
      </c>
      <c r="R12" s="17"/>
      <c r="S12" s="20">
        <f t="array" ref="S12">SUM(IF(Period=Q$4,IF(Category=$A$8,IF(Provider=$B12,Responses))))</f>
        <v>7</v>
      </c>
      <c r="T12" s="20"/>
      <c r="U12" s="17">
        <f t="shared" si="2"/>
        <v>3.1909574468085107</v>
      </c>
      <c r="V12" s="17"/>
      <c r="W12" s="17">
        <f t="shared" si="3"/>
        <v>0.53467023172905526</v>
      </c>
      <c r="X12" s="17"/>
      <c r="Y12" s="17">
        <f t="array" ref="Y12">SUM(IF(Period=Y$4,IF(Category=$A$8,IF(Provider=$B12,Score))))</f>
        <v>77.3</v>
      </c>
      <c r="Z12" s="17"/>
      <c r="AA12" s="20">
        <f t="array" ref="AA12">SUM(IF(Period=Y$4,IF(Category=$A$8,IF(Provider=$B12,Responses))))</f>
        <v>11</v>
      </c>
      <c r="AB12" s="20"/>
      <c r="AC12" s="17">
        <f t="shared" si="4"/>
        <v>2.7970394736842104</v>
      </c>
      <c r="AD12" s="17"/>
      <c r="AE12" s="17">
        <f t="shared" si="5"/>
        <v>0.46900165471594041</v>
      </c>
      <c r="AF12" s="17"/>
      <c r="AG12" s="17">
        <f t="array" ref="AG12">SUM(IF(Period=AG$4,IF(Category=$A$8,IF(Provider=$B12,Score))))</f>
        <v>68.8</v>
      </c>
      <c r="AH12" s="17"/>
      <c r="AI12" s="20">
        <f t="array" ref="AI12">SUM(IF(Period=AG$4,IF(Category=$A$8,IF(Provider=$B12,Responses))))</f>
        <v>4</v>
      </c>
      <c r="AJ12" s="20"/>
      <c r="AK12" s="17">
        <f t="shared" si="6"/>
        <v>1.075</v>
      </c>
      <c r="AL12" s="17"/>
      <c r="AM12" s="17">
        <f t="shared" si="7"/>
        <v>0.17823834196891192</v>
      </c>
      <c r="AN12" s="17"/>
      <c r="AO12" s="17">
        <f t="array" ref="AO12">SUM(IF(Period=AO$4,IF(Category=$A$8,IF(Provider=$B12,Score))))</f>
        <v>77.8</v>
      </c>
      <c r="AP12" s="17"/>
      <c r="AQ12" s="20">
        <f t="array" ref="AQ12">SUM(IF(Period=AO$4,IF(Category=$A$8,IF(Provider=$B12,Responses))))</f>
        <v>9</v>
      </c>
      <c r="AR12" s="20"/>
      <c r="AS12" s="17">
        <f t="shared" si="8"/>
        <v>4.0709302325581396</v>
      </c>
      <c r="AT12" s="17"/>
      <c r="AU12" s="17">
        <f t="shared" si="9"/>
        <v>0.68245614035087709</v>
      </c>
      <c r="AV12" s="17"/>
      <c r="AW12" s="17">
        <f t="array" ref="AW12">SUM(IF(Period=AW$4,IF(Category=$A$8,IF(Provider=$B12,Score))))</f>
        <v>62.5</v>
      </c>
      <c r="AX12" s="17"/>
      <c r="AY12" s="20">
        <f t="array" ref="AY12">SUM(IF(Period=AW$4,IF(Category=$A$8,IF(Provider=$B12,Responses))))</f>
        <v>2</v>
      </c>
      <c r="AZ12" s="20"/>
      <c r="BA12" s="17">
        <f t="shared" si="10"/>
        <v>0.57603686635944695</v>
      </c>
      <c r="BB12" s="17"/>
      <c r="BC12" s="17">
        <f t="shared" si="11"/>
        <v>9.6006144393241163E-2</v>
      </c>
      <c r="BD12" s="17"/>
      <c r="BE12" s="17">
        <f t="array" ref="BE12">SUM(IF(Period=BE$4,IF(Category=$A$8,IF(Provider=$B12,Score))))</f>
        <v>75</v>
      </c>
      <c r="BF12" s="17"/>
      <c r="BG12" s="20">
        <f t="array" ref="BG12">SUM(IF(Period=BE$4,IF(Category=$A$8,IF(Provider=$B12,Responses))))</f>
        <v>2</v>
      </c>
      <c r="BH12" s="20"/>
      <c r="BI12" s="17">
        <f t="shared" si="12"/>
        <v>0.63829787234042556</v>
      </c>
      <c r="BJ12" s="17"/>
      <c r="BK12" s="17">
        <f t="shared" si="13"/>
        <v>0.10600706713780918</v>
      </c>
      <c r="BL12" s="17"/>
      <c r="BM12" s="17">
        <f t="array" ref="BM12">SUM(IF(Period=BM$4,IF(Category=$A$8,IF(Provider=$B12,Score))))</f>
        <v>87.5</v>
      </c>
      <c r="BN12" s="17"/>
      <c r="BO12" s="20">
        <f t="array" ref="BO12">SUM(IF(Period=BM$4,IF(Category=$A$8,IF(Provider=$B12,Responses))))</f>
        <v>6</v>
      </c>
      <c r="BP12" s="20"/>
      <c r="BQ12" s="17">
        <f t="shared" si="14"/>
        <v>2.2629310344827585</v>
      </c>
      <c r="BR12" s="17"/>
      <c r="BS12" s="17">
        <f t="shared" si="15"/>
        <v>0.37878787878787878</v>
      </c>
      <c r="BT12" s="17"/>
      <c r="BU12" s="17">
        <f t="array" ref="BU12">SUM(IF(Period=BU$4,IF(Category=$A$8,IF(Provider=$B12,Score))))</f>
        <v>96.9</v>
      </c>
      <c r="BV12" s="17"/>
      <c r="BW12" s="20">
        <f t="array" ref="BW12">SUM(IF(Period=BU$4,IF(Category=$A$8,IF(Provider=$B12,Responses))))</f>
        <v>8</v>
      </c>
      <c r="BX12" s="20"/>
      <c r="BY12" s="17">
        <f t="shared" si="16"/>
        <v>3.203305785123967</v>
      </c>
      <c r="BZ12" s="17"/>
      <c r="CA12" s="17">
        <f t="shared" si="17"/>
        <v>0.53572909467864549</v>
      </c>
    </row>
    <row r="13" spans="1:79" outlineLevel="1" x14ac:dyDescent="0.25">
      <c r="B13" t="s">
        <v>26</v>
      </c>
      <c r="C13" s="17">
        <v>0</v>
      </c>
      <c r="D13" s="17"/>
      <c r="E13" s="17">
        <v>0</v>
      </c>
      <c r="F13" s="17"/>
      <c r="G13" s="17">
        <v>0</v>
      </c>
      <c r="H13" s="17"/>
      <c r="I13" s="17">
        <f t="array" ref="I13">SUM(IF(Period=I$4,IF(Category=$A$8,IF(Provider=$B13,Score))))</f>
        <v>78.599999999999994</v>
      </c>
      <c r="J13" s="17"/>
      <c r="K13" s="20">
        <f t="array" ref="K13">SUM(IF(Period=I$4,IF(Category=$A$8,IF(Provider=$B13,Responses))))</f>
        <v>7</v>
      </c>
      <c r="L13" s="20"/>
      <c r="M13" s="17">
        <f t="shared" si="0"/>
        <v>2.7509999999999999</v>
      </c>
      <c r="N13" s="17"/>
      <c r="O13" s="17">
        <f t="shared" si="1"/>
        <v>0.45508684863523569</v>
      </c>
      <c r="P13" s="17"/>
      <c r="Q13" s="17">
        <f t="array" ref="Q13">SUM(IF(Period=Q$4,IF(Category=$A$8,IF(Provider=$B13,Score))))</f>
        <v>79.2</v>
      </c>
      <c r="R13" s="17"/>
      <c r="S13" s="20">
        <f t="array" ref="S13">SUM(IF(Period=Q$4,IF(Category=$A$8,IF(Provider=$B13,Responses))))</f>
        <v>6</v>
      </c>
      <c r="T13" s="20"/>
      <c r="U13" s="17">
        <f t="shared" si="2"/>
        <v>2.527659574468085</v>
      </c>
      <c r="V13" s="17"/>
      <c r="W13" s="17">
        <f t="shared" si="3"/>
        <v>0.42352941176470588</v>
      </c>
      <c r="X13" s="17"/>
      <c r="Y13" s="17">
        <f t="array" ref="Y13">SUM(IF(Period=Y$4,IF(Category=$A$8,IF(Provider=$B13,Score))))</f>
        <v>70.8</v>
      </c>
      <c r="Z13" s="17"/>
      <c r="AA13" s="20">
        <f t="array" ref="AA13">SUM(IF(Period=Y$4,IF(Category=$A$8,IF(Provider=$B13,Responses))))</f>
        <v>12</v>
      </c>
      <c r="AB13" s="20"/>
      <c r="AC13" s="17">
        <f t="shared" si="4"/>
        <v>2.7947368421052627</v>
      </c>
      <c r="AD13" s="17"/>
      <c r="AE13" s="17">
        <f t="shared" si="5"/>
        <v>0.46861555432983998</v>
      </c>
      <c r="AF13" s="17"/>
      <c r="AG13" s="17">
        <f t="array" ref="AG13">SUM(IF(Period=AG$4,IF(Category=$A$8,IF(Provider=$B13,Score))))</f>
        <v>86.1</v>
      </c>
      <c r="AH13" s="17"/>
      <c r="AI13" s="20">
        <f t="array" ref="AI13">SUM(IF(Period=AG$4,IF(Category=$A$8,IF(Provider=$B13,Responses))))</f>
        <v>9</v>
      </c>
      <c r="AJ13" s="20"/>
      <c r="AK13" s="17">
        <f t="shared" si="6"/>
        <v>3.0269531249999999</v>
      </c>
      <c r="AL13" s="17"/>
      <c r="AM13" s="17">
        <f t="shared" si="7"/>
        <v>0.50187823834196887</v>
      </c>
      <c r="AN13" s="17"/>
      <c r="AO13" s="17">
        <f t="array" ref="AO13">SUM(IF(Period=AO$4,IF(Category=$A$8,IF(Provider=$B13,Score))))</f>
        <v>100</v>
      </c>
      <c r="AP13" s="17"/>
      <c r="AQ13" s="20">
        <f t="array" ref="AQ13">SUM(IF(Period=AO$4,IF(Category=$A$8,IF(Provider=$B13,Responses))))</f>
        <v>4</v>
      </c>
      <c r="AR13" s="20"/>
      <c r="AS13" s="17">
        <f t="shared" si="8"/>
        <v>2.3255813953488373</v>
      </c>
      <c r="AT13" s="17"/>
      <c r="AU13" s="17">
        <f t="shared" si="9"/>
        <v>0.38986354775828458</v>
      </c>
      <c r="AV13" s="17"/>
      <c r="AW13" s="17">
        <f t="array" ref="AW13">SUM(IF(Period=AW$4,IF(Category=$A$8,IF(Provider=$B13,Score))))</f>
        <v>83.3</v>
      </c>
      <c r="AX13" s="17"/>
      <c r="AY13" s="20">
        <f t="array" ref="AY13">SUM(IF(Period=AW$4,IF(Category=$A$8,IF(Provider=$B13,Responses))))</f>
        <v>6</v>
      </c>
      <c r="AZ13" s="20"/>
      <c r="BA13" s="17">
        <f t="shared" si="10"/>
        <v>2.3032258064516129</v>
      </c>
      <c r="BB13" s="17"/>
      <c r="BC13" s="17">
        <f t="shared" si="11"/>
        <v>0.38387096774193546</v>
      </c>
      <c r="BD13" s="17"/>
      <c r="BE13" s="17">
        <f t="array" ref="BE13">SUM(IF(Period=BE$4,IF(Category=$A$8,IF(Provider=$B13,Score))))</f>
        <v>58.3</v>
      </c>
      <c r="BF13" s="17"/>
      <c r="BG13" s="20">
        <f t="array" ref="BG13">SUM(IF(Period=BE$4,IF(Category=$A$8,IF(Provider=$B13,Responses))))</f>
        <v>6</v>
      </c>
      <c r="BH13" s="20"/>
      <c r="BI13" s="17">
        <f t="shared" si="12"/>
        <v>1.4885106382978721</v>
      </c>
      <c r="BJ13" s="17"/>
      <c r="BK13" s="17">
        <f t="shared" si="13"/>
        <v>0.24720848056537098</v>
      </c>
      <c r="BL13" s="17"/>
      <c r="BM13" s="17">
        <f t="array" ref="BM13">SUM(IF(Period=BM$4,IF(Category=$A$8,IF(Provider=$B13,Score))))</f>
        <v>75</v>
      </c>
      <c r="BN13" s="17"/>
      <c r="BO13" s="20">
        <f t="array" ref="BO13">SUM(IF(Period=BM$4,IF(Category=$A$8,IF(Provider=$B13,Responses))))</f>
        <v>7</v>
      </c>
      <c r="BP13" s="20"/>
      <c r="BQ13" s="17">
        <f t="shared" si="14"/>
        <v>2.2629310344827589</v>
      </c>
      <c r="BR13" s="17"/>
      <c r="BS13" s="17">
        <f t="shared" si="15"/>
        <v>0.37878787878787884</v>
      </c>
      <c r="BT13" s="17"/>
      <c r="BU13" s="17">
        <f t="array" ref="BU13">SUM(IF(Period=BU$4,IF(Category=$A$8,IF(Provider=$B13,Score))))</f>
        <v>85.7</v>
      </c>
      <c r="BV13" s="17"/>
      <c r="BW13" s="20">
        <f t="array" ref="BW13">SUM(IF(Period=BU$4,IF(Category=$A$8,IF(Provider=$B13,Responses))))</f>
        <v>7</v>
      </c>
      <c r="BX13" s="20"/>
      <c r="BY13" s="17">
        <f t="shared" si="16"/>
        <v>2.4789256198347109</v>
      </c>
      <c r="BZ13" s="17"/>
      <c r="CA13" s="17">
        <f t="shared" si="17"/>
        <v>0.41458189357290953</v>
      </c>
    </row>
    <row r="14" spans="1:79" outlineLevel="1" x14ac:dyDescent="0.25">
      <c r="B14" t="s">
        <v>42</v>
      </c>
      <c r="C14" s="17">
        <v>0</v>
      </c>
      <c r="D14" s="17"/>
      <c r="E14" s="17">
        <v>0</v>
      </c>
      <c r="F14" s="17"/>
      <c r="G14" s="17">
        <v>0</v>
      </c>
      <c r="H14" s="17"/>
      <c r="I14" s="17">
        <f t="array" ref="I14">SUM(IF(Period=I$4,IF(Category=$A$8,IF(Provider=$B14,Score))))</f>
        <v>50</v>
      </c>
      <c r="J14" s="17"/>
      <c r="K14" s="20">
        <f t="array" ref="K14">SUM(IF(Period=I$4,IF(Category=$A$8,IF(Provider=$B14,Responses))))</f>
        <v>4</v>
      </c>
      <c r="L14" s="20"/>
      <c r="M14" s="17">
        <f t="shared" si="0"/>
        <v>1</v>
      </c>
      <c r="N14" s="17"/>
      <c r="O14" s="17">
        <f t="shared" si="1"/>
        <v>0.16542597187758479</v>
      </c>
      <c r="P14" s="17"/>
      <c r="Q14" s="17">
        <f t="array" ref="Q14">SUM(IF(Period=Q$4,IF(Category=$A$8,IF(Provider=$B14,Score))))</f>
        <v>35</v>
      </c>
      <c r="R14" s="17"/>
      <c r="S14" s="20">
        <f t="array" ref="S14">SUM(IF(Period=Q$4,IF(Category=$A$8,IF(Provider=$B14,Responses))))</f>
        <v>10</v>
      </c>
      <c r="T14" s="20"/>
      <c r="U14" s="17">
        <f t="shared" si="2"/>
        <v>1.8617021276595744</v>
      </c>
      <c r="V14" s="17"/>
      <c r="W14" s="17">
        <f t="shared" si="3"/>
        <v>0.31194295900178254</v>
      </c>
      <c r="X14" s="17"/>
      <c r="Y14" s="17">
        <f t="array" ref="Y14">SUM(IF(Period=Y$4,IF(Category=$A$8,IF(Provider=$B14,Score))))</f>
        <v>70</v>
      </c>
      <c r="Z14" s="17"/>
      <c r="AA14" s="20">
        <f t="array" ref="AA14">SUM(IF(Period=Y$4,IF(Category=$A$8,IF(Provider=$B14,Responses))))</f>
        <v>5</v>
      </c>
      <c r="AB14" s="20"/>
      <c r="AC14" s="17">
        <f t="shared" si="4"/>
        <v>1.1513157894736841</v>
      </c>
      <c r="AD14" s="17"/>
      <c r="AE14" s="17">
        <f t="shared" si="5"/>
        <v>0.19305019305019305</v>
      </c>
      <c r="AF14" s="17"/>
      <c r="AG14" s="17">
        <f t="array" ref="AG14">SUM(IF(Period=AG$4,IF(Category=$A$8,IF(Provider=$B14,Score))))</f>
        <v>75</v>
      </c>
      <c r="AH14" s="17"/>
      <c r="AI14" s="20">
        <f t="array" ref="AI14">SUM(IF(Period=AG$4,IF(Category=$A$8,IF(Provider=$B14,Responses))))</f>
        <v>1</v>
      </c>
      <c r="AJ14" s="20"/>
      <c r="AK14" s="17">
        <f t="shared" si="6"/>
        <v>0.29296875</v>
      </c>
      <c r="AL14" s="17"/>
      <c r="AM14" s="17">
        <f t="shared" si="7"/>
        <v>4.8575129533678756E-2</v>
      </c>
      <c r="AN14" s="17"/>
      <c r="AO14" s="17">
        <f t="array" ref="AO14">SUM(IF(Period=AO$4,IF(Category=$A$8,IF(Provider=$B14,Score))))</f>
        <v>79.2</v>
      </c>
      <c r="AP14" s="17"/>
      <c r="AQ14" s="20">
        <f t="array" ref="AQ14">SUM(IF(Period=AO$4,IF(Category=$A$8,IF(Provider=$B14,Responses))))</f>
        <v>6</v>
      </c>
      <c r="AR14" s="20"/>
      <c r="AS14" s="17">
        <f t="shared" si="8"/>
        <v>2.7627906976744185</v>
      </c>
      <c r="AT14" s="17"/>
      <c r="AU14" s="17">
        <f t="shared" si="9"/>
        <v>0.4631578947368421</v>
      </c>
      <c r="AV14" s="17"/>
      <c r="AW14" s="17">
        <f t="array" ref="AW14">SUM(IF(Period=AW$4,IF(Category=$A$8,IF(Provider=$B14,Score))))</f>
        <v>62.5</v>
      </c>
      <c r="AX14" s="17"/>
      <c r="AY14" s="20">
        <f t="array" ref="AY14">SUM(IF(Period=AW$4,IF(Category=$A$8,IF(Provider=$B14,Responses))))</f>
        <v>8</v>
      </c>
      <c r="AZ14" s="20"/>
      <c r="BA14" s="17">
        <f t="shared" si="10"/>
        <v>2.3041474654377878</v>
      </c>
      <c r="BB14" s="17"/>
      <c r="BC14" s="17">
        <f t="shared" si="11"/>
        <v>0.38402457757296465</v>
      </c>
      <c r="BD14" s="17"/>
      <c r="BE14" s="17">
        <f t="array" ref="BE14">SUM(IF(Period=BE$4,IF(Category=$A$8,IF(Provider=$B14,Score))))</f>
        <v>58.3</v>
      </c>
      <c r="BF14" s="17"/>
      <c r="BG14" s="20">
        <f t="array" ref="BG14">SUM(IF(Period=BE$4,IF(Category=$A$8,IF(Provider=$B14,Responses))))</f>
        <v>15</v>
      </c>
      <c r="BH14" s="20"/>
      <c r="BI14" s="17">
        <f t="shared" si="12"/>
        <v>3.7212765957446803</v>
      </c>
      <c r="BJ14" s="17"/>
      <c r="BK14" s="17">
        <f t="shared" si="13"/>
        <v>0.61802120141342753</v>
      </c>
      <c r="BL14" s="17"/>
      <c r="BM14" s="17">
        <f t="array" ref="BM14">SUM(IF(Period=BM$4,IF(Category=$A$8,IF(Provider=$B14,Score))))</f>
        <v>81.8</v>
      </c>
      <c r="BN14" s="17"/>
      <c r="BO14" s="20">
        <f t="array" ref="BO14">SUM(IF(Period=BM$4,IF(Category=$A$8,IF(Provider=$B14,Responses))))</f>
        <v>11</v>
      </c>
      <c r="BP14" s="20"/>
      <c r="BQ14" s="17">
        <f t="shared" si="14"/>
        <v>3.8784482758620684</v>
      </c>
      <c r="BR14" s="17"/>
      <c r="BS14" s="17">
        <f t="shared" si="15"/>
        <v>0.64920634920634912</v>
      </c>
      <c r="BT14" s="17"/>
      <c r="BU14" s="17">
        <f t="array" ref="BU14">SUM(IF(Period=BU$4,IF(Category=$A$8,IF(Provider=$B14,Score))))</f>
        <v>65.599999999999994</v>
      </c>
      <c r="BV14" s="17"/>
      <c r="BW14" s="20">
        <f t="array" ref="BW14">SUM(IF(Period=BU$4,IF(Category=$A$8,IF(Provider=$B14,Responses))))</f>
        <v>8</v>
      </c>
      <c r="BX14" s="20"/>
      <c r="BY14" s="17">
        <f t="shared" si="16"/>
        <v>2.1685950413223138</v>
      </c>
      <c r="BZ14" s="17"/>
      <c r="CA14" s="17">
        <f t="shared" si="17"/>
        <v>0.36268140981340702</v>
      </c>
    </row>
    <row r="15" spans="1:79" outlineLevel="1" x14ac:dyDescent="0.25">
      <c r="B15" t="s">
        <v>17</v>
      </c>
      <c r="C15" s="17">
        <v>0</v>
      </c>
      <c r="D15" s="17"/>
      <c r="E15" s="17">
        <v>0</v>
      </c>
      <c r="F15" s="17"/>
      <c r="G15" s="17">
        <v>0</v>
      </c>
      <c r="H15" s="17"/>
      <c r="I15" s="17">
        <f t="array" ref="I15">SUM(IF(Period=I$4,IF(Category=$A$8,IF(Provider=$B15,Score))))</f>
        <v>81.3</v>
      </c>
      <c r="J15" s="17"/>
      <c r="K15" s="20">
        <f t="array" ref="K15">SUM(IF(Period=I$4,IF(Category=$A$8,IF(Provider=$B15,Responses))))</f>
        <v>4</v>
      </c>
      <c r="L15" s="20"/>
      <c r="M15" s="17">
        <f t="shared" si="0"/>
        <v>1.6259999999999999</v>
      </c>
      <c r="N15" s="17"/>
      <c r="O15" s="17">
        <f t="shared" si="1"/>
        <v>0.26898263027295283</v>
      </c>
      <c r="P15" s="17"/>
      <c r="Q15" s="17">
        <f t="array" ref="Q15">SUM(IF(Period=Q$4,IF(Category=$A$8,IF(Provider=$B15,Score))))</f>
        <v>83.3</v>
      </c>
      <c r="R15" s="17"/>
      <c r="S15" s="20">
        <f t="array" ref="S15">SUM(IF(Period=Q$4,IF(Category=$A$8,IF(Provider=$B15,Responses))))</f>
        <v>3</v>
      </c>
      <c r="T15" s="20"/>
      <c r="U15" s="17">
        <f t="shared" si="2"/>
        <v>1.329255319148936</v>
      </c>
      <c r="V15" s="17"/>
      <c r="W15" s="17">
        <f t="shared" si="3"/>
        <v>0.22272727272727272</v>
      </c>
      <c r="X15" s="17"/>
      <c r="Y15" s="17">
        <f t="array" ref="Y15">SUM(IF(Period=Y$4,IF(Category=$A$8,IF(Provider=$B15,Score))))</f>
        <v>96.9</v>
      </c>
      <c r="Z15" s="17"/>
      <c r="AA15" s="20">
        <f t="array" ref="AA15">SUM(IF(Period=Y$4,IF(Category=$A$8,IF(Provider=$B15,Responses))))</f>
        <v>8</v>
      </c>
      <c r="AB15" s="20"/>
      <c r="AC15" s="17">
        <f t="shared" si="4"/>
        <v>2.5499999999999998</v>
      </c>
      <c r="AD15" s="17"/>
      <c r="AE15" s="17">
        <f t="shared" si="5"/>
        <v>0.42757859900717049</v>
      </c>
      <c r="AF15" s="17"/>
      <c r="AG15" s="17">
        <f t="array" ref="AG15">SUM(IF(Period=AG$4,IF(Category=$A$8,IF(Provider=$B15,Score))))</f>
        <v>90.6</v>
      </c>
      <c r="AH15" s="17"/>
      <c r="AI15" s="20">
        <f t="array" ref="AI15">SUM(IF(Period=AG$4,IF(Category=$A$8,IF(Provider=$B15,Responses))))</f>
        <v>8</v>
      </c>
      <c r="AJ15" s="20"/>
      <c r="AK15" s="17">
        <f t="shared" si="6"/>
        <v>2.8312499999999998</v>
      </c>
      <c r="AL15" s="17"/>
      <c r="AM15" s="17">
        <f t="shared" si="7"/>
        <v>0.46943005181347147</v>
      </c>
      <c r="AN15" s="17"/>
      <c r="AO15" s="17">
        <f t="array" ref="AO15">SUM(IF(Period=AO$4,IF(Category=$A$8,IF(Provider=$B15,Score))))</f>
        <v>83.3</v>
      </c>
      <c r="AP15" s="17"/>
      <c r="AQ15" s="20">
        <f t="array" ref="AQ15">SUM(IF(Period=AO$4,IF(Category=$A$8,IF(Provider=$B15,Responses))))</f>
        <v>3</v>
      </c>
      <c r="AR15" s="20"/>
      <c r="AS15" s="17">
        <f t="shared" si="8"/>
        <v>1.452906976744186</v>
      </c>
      <c r="AT15" s="17"/>
      <c r="AU15" s="17">
        <f t="shared" si="9"/>
        <v>0.24356725146198829</v>
      </c>
      <c r="AV15" s="17"/>
      <c r="AW15" s="17">
        <f t="array" ref="AW15">SUM(IF(Period=AW$4,IF(Category=$A$8,IF(Provider=$B15,Score))))</f>
        <v>91.7</v>
      </c>
      <c r="AX15" s="17"/>
      <c r="AY15" s="20">
        <f t="array" ref="AY15">SUM(IF(Period=AW$4,IF(Category=$A$8,IF(Provider=$B15,Responses))))</f>
        <v>3</v>
      </c>
      <c r="AZ15" s="20"/>
      <c r="BA15" s="17">
        <f t="shared" si="10"/>
        <v>1.267741935483871</v>
      </c>
      <c r="BB15" s="17"/>
      <c r="BC15" s="17">
        <f t="shared" si="11"/>
        <v>0.21129032258064517</v>
      </c>
      <c r="BD15" s="17"/>
      <c r="BE15" s="17">
        <f t="array" ref="BE15">SUM(IF(Period=BE$4,IF(Category=$A$8,IF(Provider=$B15,Score))))</f>
        <v>69.2</v>
      </c>
      <c r="BF15" s="17"/>
      <c r="BG15" s="20">
        <f t="array" ref="BG15">SUM(IF(Period=BE$4,IF(Category=$A$8,IF(Provider=$B15,Responses))))</f>
        <v>13</v>
      </c>
      <c r="BH15" s="20"/>
      <c r="BI15" s="17">
        <f t="shared" si="12"/>
        <v>3.8280851063829786</v>
      </c>
      <c r="BJ15" s="17"/>
      <c r="BK15" s="17">
        <f t="shared" si="13"/>
        <v>0.63575971731448766</v>
      </c>
      <c r="BL15" s="17"/>
      <c r="BM15" s="17">
        <f t="array" ref="BM15">SUM(IF(Period=BM$4,IF(Category=$A$8,IF(Provider=$B15,Score))))</f>
        <v>95.8</v>
      </c>
      <c r="BN15" s="17"/>
      <c r="BO15" s="20">
        <f t="array" ref="BO15">SUM(IF(Period=BM$4,IF(Category=$A$8,IF(Provider=$B15,Responses))))</f>
        <v>12</v>
      </c>
      <c r="BP15" s="20"/>
      <c r="BQ15" s="17">
        <f t="shared" si="14"/>
        <v>4.955172413793103</v>
      </c>
      <c r="BR15" s="17"/>
      <c r="BS15" s="17">
        <f t="shared" si="15"/>
        <v>0.82943722943722942</v>
      </c>
      <c r="BT15" s="17"/>
      <c r="BU15" s="17">
        <f t="array" ref="BU15">SUM(IF(Period=BU$4,IF(Category=$A$8,IF(Provider=$B15,Score))))</f>
        <v>100</v>
      </c>
      <c r="BV15" s="17"/>
      <c r="BW15" s="20">
        <f t="array" ref="BW15">SUM(IF(Period=BU$4,IF(Category=$A$8,IF(Provider=$B15,Responses))))</f>
        <v>6</v>
      </c>
      <c r="BX15" s="20"/>
      <c r="BY15" s="17">
        <f t="shared" si="16"/>
        <v>2.4793388429752068</v>
      </c>
      <c r="BZ15" s="17"/>
      <c r="CA15" s="17">
        <f t="shared" si="17"/>
        <v>0.414651002073255</v>
      </c>
    </row>
    <row r="16" spans="1:79" outlineLevel="1" x14ac:dyDescent="0.25">
      <c r="B16" t="s">
        <v>15</v>
      </c>
      <c r="C16" s="17">
        <v>0</v>
      </c>
      <c r="D16" s="17"/>
      <c r="E16" s="17">
        <v>0</v>
      </c>
      <c r="F16" s="17"/>
      <c r="G16" s="17">
        <v>0</v>
      </c>
      <c r="H16" s="17"/>
      <c r="I16" s="17">
        <f t="array" ref="I16">SUM(IF(Period=I$4,IF(Category=$A$8,IF(Provider=$B16,Score))))</f>
        <v>85</v>
      </c>
      <c r="J16" s="17"/>
      <c r="K16" s="20">
        <f t="array" ref="K16">SUM(IF(Period=I$4,IF(Category=$A$8,IF(Provider=$B16,Responses))))</f>
        <v>5</v>
      </c>
      <c r="L16" s="20"/>
      <c r="M16" s="17">
        <f t="shared" si="0"/>
        <v>2.125</v>
      </c>
      <c r="N16" s="17"/>
      <c r="O16" s="17">
        <f t="shared" si="1"/>
        <v>0.35153019023986765</v>
      </c>
      <c r="P16" s="17"/>
      <c r="Q16" s="17">
        <f t="array" ref="Q16">SUM(IF(Period=Q$4,IF(Category=$A$8,IF(Provider=$B16,Score))))</f>
        <v>83.3</v>
      </c>
      <c r="R16" s="17"/>
      <c r="S16" s="20">
        <f t="array" ref="S16">SUM(IF(Period=Q$4,IF(Category=$A$8,IF(Provider=$B16,Responses))))</f>
        <v>3</v>
      </c>
      <c r="T16" s="20"/>
      <c r="U16" s="17">
        <f t="shared" si="2"/>
        <v>1.329255319148936</v>
      </c>
      <c r="V16" s="17"/>
      <c r="W16" s="17">
        <f t="shared" si="3"/>
        <v>0.22272727272727272</v>
      </c>
      <c r="X16" s="17"/>
      <c r="Y16" s="17">
        <f t="array" ref="Y16">SUM(IF(Period=Y$4,IF(Category=$A$8,IF(Provider=$B16,Score))))</f>
        <v>0</v>
      </c>
      <c r="Z16" s="17"/>
      <c r="AA16" s="20">
        <f t="array" ref="AA16">SUM(IF(Period=Y$4,IF(Category=$A$8,IF(Provider=$B16,Responses))))</f>
        <v>0</v>
      </c>
      <c r="AB16" s="20"/>
      <c r="AC16" s="17">
        <f t="shared" si="4"/>
        <v>0</v>
      </c>
      <c r="AD16" s="17"/>
      <c r="AE16" s="17">
        <f t="shared" si="5"/>
        <v>0</v>
      </c>
      <c r="AF16" s="17"/>
      <c r="AG16" s="17">
        <f t="array" ref="AG16">SUM(IF(Period=AG$4,IF(Category=$A$8,IF(Provider=$B16,Score))))</f>
        <v>0</v>
      </c>
      <c r="AH16" s="17"/>
      <c r="AI16" s="20">
        <f t="array" ref="AI16">SUM(IF(Period=AG$4,IF(Category=$A$8,IF(Provider=$B16,Responses))))</f>
        <v>0</v>
      </c>
      <c r="AJ16" s="20"/>
      <c r="AK16" s="17">
        <f t="shared" si="6"/>
        <v>0</v>
      </c>
      <c r="AL16" s="17"/>
      <c r="AM16" s="17">
        <f t="shared" si="7"/>
        <v>0</v>
      </c>
      <c r="AN16" s="17"/>
      <c r="AO16" s="17">
        <f t="array" ref="AO16">SUM(IF(Period=AO$4,IF(Category=$A$8,IF(Provider=$B16,Score))))</f>
        <v>0</v>
      </c>
      <c r="AP16" s="17"/>
      <c r="AQ16" s="20">
        <f t="array" ref="AQ16">SUM(IF(Period=AO$4,IF(Category=$A$8,IF(Provider=$B16,Responses))))</f>
        <v>0</v>
      </c>
      <c r="AR16" s="20"/>
      <c r="AS16" s="17">
        <f t="shared" si="8"/>
        <v>0</v>
      </c>
      <c r="AT16" s="17"/>
      <c r="AU16" s="17">
        <f t="shared" si="9"/>
        <v>0</v>
      </c>
      <c r="AV16" s="17"/>
      <c r="AW16" s="17">
        <f t="array" ref="AW16">SUM(IF(Period=AW$4,IF(Category=$A$8,IF(Provider=$B16,Score))))</f>
        <v>0</v>
      </c>
      <c r="AX16" s="17"/>
      <c r="AY16" s="20">
        <f t="array" ref="AY16">SUM(IF(Period=AW$4,IF(Category=$A$8,IF(Provider=$B16,Responses))))</f>
        <v>0</v>
      </c>
      <c r="AZ16" s="20"/>
      <c r="BA16" s="17">
        <f t="shared" si="10"/>
        <v>0</v>
      </c>
      <c r="BB16" s="17"/>
      <c r="BC16" s="17">
        <f t="shared" si="11"/>
        <v>0</v>
      </c>
      <c r="BD16" s="17"/>
      <c r="BE16" s="17">
        <f t="array" ref="BE16">SUM(IF(Period=BE$4,IF(Category=$A$8,IF(Provider=$B16,Score))))</f>
        <v>0</v>
      </c>
      <c r="BF16" s="17"/>
      <c r="BG16" s="20">
        <f t="array" ref="BG16">SUM(IF(Period=BE$4,IF(Category=$A$8,IF(Provider=$B16,Responses))))</f>
        <v>0</v>
      </c>
      <c r="BH16" s="20"/>
      <c r="BI16" s="17">
        <f t="shared" si="12"/>
        <v>0</v>
      </c>
      <c r="BJ16" s="17"/>
      <c r="BK16" s="17">
        <f t="shared" si="13"/>
        <v>0</v>
      </c>
      <c r="BL16" s="17"/>
      <c r="BM16" s="17">
        <f t="array" ref="BM16">SUM(IF(Period=BM$4,IF(Category=$A$8,IF(Provider=$B16,Score))))</f>
        <v>0</v>
      </c>
      <c r="BN16" s="17"/>
      <c r="BO16" s="20">
        <f t="array" ref="BO16">SUM(IF(Period=BM$4,IF(Category=$A$8,IF(Provider=$B16,Responses))))</f>
        <v>0</v>
      </c>
      <c r="BP16" s="20"/>
      <c r="BQ16" s="17">
        <f t="shared" si="14"/>
        <v>0</v>
      </c>
      <c r="BR16" s="17"/>
      <c r="BS16" s="17">
        <f t="shared" si="15"/>
        <v>0</v>
      </c>
      <c r="BT16" s="17"/>
      <c r="BU16" s="17">
        <f t="array" ref="BU16">SUM(IF(Period=BU$4,IF(Category=$A$8,IF(Provider=$B16,Score))))</f>
        <v>0</v>
      </c>
      <c r="BV16" s="17"/>
      <c r="BW16" s="20">
        <f t="array" ref="BW16">SUM(IF(Period=BU$4,IF(Category=$A$8,IF(Provider=$B16,Responses))))</f>
        <v>0</v>
      </c>
      <c r="BX16" s="20"/>
      <c r="BY16" s="17">
        <f t="shared" si="16"/>
        <v>0</v>
      </c>
      <c r="BZ16" s="17"/>
      <c r="CA16" s="17">
        <f t="shared" si="17"/>
        <v>0</v>
      </c>
    </row>
    <row r="17" spans="2:79" outlineLevel="1" x14ac:dyDescent="0.25">
      <c r="B17" t="s">
        <v>33</v>
      </c>
      <c r="C17" s="17">
        <v>0</v>
      </c>
      <c r="D17" s="17"/>
      <c r="E17" s="17">
        <v>0</v>
      </c>
      <c r="F17" s="17"/>
      <c r="G17" s="17">
        <v>0</v>
      </c>
      <c r="H17" s="17"/>
      <c r="I17" s="17">
        <f t="array" ref="I17">SUM(IF(Period=I$4,IF(Category=$A$8,IF(Provider=$B17,Score))))</f>
        <v>75</v>
      </c>
      <c r="J17" s="17"/>
      <c r="K17" s="20">
        <f t="array" ref="K17">SUM(IF(Period=I$4,IF(Category=$A$8,IF(Provider=$B17,Responses))))</f>
        <v>8</v>
      </c>
      <c r="L17" s="20"/>
      <c r="M17" s="17">
        <f t="shared" si="0"/>
        <v>3</v>
      </c>
      <c r="N17" s="17"/>
      <c r="O17" s="17">
        <f t="shared" si="1"/>
        <v>0.49627791563275436</v>
      </c>
      <c r="P17" s="17"/>
      <c r="Q17" s="17">
        <f t="array" ref="Q17">SUM(IF(Period=Q$4,IF(Category=$A$8,IF(Provider=$B17,Score))))</f>
        <v>65</v>
      </c>
      <c r="R17" s="17"/>
      <c r="S17" s="20">
        <f t="array" ref="S17">SUM(IF(Period=Q$4,IF(Category=$A$8,IF(Provider=$B17,Responses))))</f>
        <v>5</v>
      </c>
      <c r="T17" s="20"/>
      <c r="U17" s="17">
        <f t="shared" si="2"/>
        <v>1.7287234042553192</v>
      </c>
      <c r="V17" s="17"/>
      <c r="W17" s="17">
        <f t="shared" si="3"/>
        <v>0.28966131907308379</v>
      </c>
      <c r="X17" s="17"/>
      <c r="Y17" s="17">
        <f t="array" ref="Y17">SUM(IF(Period=Y$4,IF(Category=$A$8,IF(Provider=$B17,Score))))</f>
        <v>77.099999999999994</v>
      </c>
      <c r="Z17" s="17"/>
      <c r="AA17" s="20">
        <f t="array" ref="AA17">SUM(IF(Period=Y$4,IF(Category=$A$8,IF(Provider=$B17,Responses))))</f>
        <v>12</v>
      </c>
      <c r="AB17" s="20"/>
      <c r="AC17" s="17">
        <f t="shared" si="4"/>
        <v>3.0434210526315786</v>
      </c>
      <c r="AD17" s="17"/>
      <c r="AE17" s="17">
        <f t="shared" si="5"/>
        <v>0.51031439602868167</v>
      </c>
      <c r="AF17" s="17"/>
      <c r="AG17" s="17">
        <f t="array" ref="AG17">SUM(IF(Period=AG$4,IF(Category=$A$8,IF(Provider=$B17,Score))))</f>
        <v>91.7</v>
      </c>
      <c r="AH17" s="17"/>
      <c r="AI17" s="20">
        <f t="array" ref="AI17">SUM(IF(Period=AG$4,IF(Category=$A$8,IF(Provider=$B17,Responses))))</f>
        <v>9</v>
      </c>
      <c r="AJ17" s="20"/>
      <c r="AK17" s="17">
        <f t="shared" si="6"/>
        <v>3.2238281250000003</v>
      </c>
      <c r="AL17" s="17"/>
      <c r="AM17" s="17">
        <f t="shared" si="7"/>
        <v>0.53452072538860107</v>
      </c>
      <c r="AN17" s="17"/>
      <c r="AO17" s="17">
        <f t="array" ref="AO17">SUM(IF(Period=AO$4,IF(Category=$A$8,IF(Provider=$B17,Score))))</f>
        <v>81.3</v>
      </c>
      <c r="AP17" s="17"/>
      <c r="AQ17" s="20">
        <f t="array" ref="AQ17">SUM(IF(Period=AO$4,IF(Category=$A$8,IF(Provider=$B17,Responses))))</f>
        <v>12</v>
      </c>
      <c r="AR17" s="20"/>
      <c r="AS17" s="17">
        <f t="shared" si="8"/>
        <v>5.6720930232558135</v>
      </c>
      <c r="AT17" s="17"/>
      <c r="AU17" s="17">
        <f t="shared" si="9"/>
        <v>0.9508771929824561</v>
      </c>
      <c r="AV17" s="17"/>
      <c r="AW17" s="17">
        <f t="array" ref="AW17">SUM(IF(Period=AW$4,IF(Category=$A$8,IF(Provider=$B17,Score))))</f>
        <v>78.099999999999994</v>
      </c>
      <c r="AX17" s="17"/>
      <c r="AY17" s="20">
        <f t="array" ref="AY17">SUM(IF(Period=AW$4,IF(Category=$A$8,IF(Provider=$B17,Responses))))</f>
        <v>8</v>
      </c>
      <c r="AZ17" s="20"/>
      <c r="BA17" s="17">
        <f t="shared" si="10"/>
        <v>2.8792626728110595</v>
      </c>
      <c r="BB17" s="17"/>
      <c r="BC17" s="17">
        <f t="shared" si="11"/>
        <v>0.47987711213517664</v>
      </c>
      <c r="BD17" s="17"/>
      <c r="BE17" s="17">
        <f t="array" ref="BE17">SUM(IF(Period=BE$4,IF(Category=$A$8,IF(Provider=$B17,Score))))</f>
        <v>68.8</v>
      </c>
      <c r="BF17" s="17"/>
      <c r="BG17" s="20">
        <f t="array" ref="BG17">SUM(IF(Period=BE$4,IF(Category=$A$8,IF(Provider=$B17,Responses))))</f>
        <v>4</v>
      </c>
      <c r="BH17" s="20"/>
      <c r="BI17" s="17">
        <f t="shared" si="12"/>
        <v>1.171063829787234</v>
      </c>
      <c r="BJ17" s="17"/>
      <c r="BK17" s="17">
        <f t="shared" si="13"/>
        <v>0.19448763250883391</v>
      </c>
      <c r="BL17" s="17"/>
      <c r="BM17" s="17">
        <f t="array" ref="BM17">SUM(IF(Period=BM$4,IF(Category=$A$8,IF(Provider=$B17,Score))))</f>
        <v>73.099999999999994</v>
      </c>
      <c r="BN17" s="17"/>
      <c r="BO17" s="20">
        <f t="array" ref="BO17">SUM(IF(Period=BM$4,IF(Category=$A$8,IF(Provider=$B17,Responses))))</f>
        <v>13</v>
      </c>
      <c r="BP17" s="20"/>
      <c r="BQ17" s="17">
        <f t="shared" si="14"/>
        <v>4.0961206896551721</v>
      </c>
      <c r="BR17" s="17"/>
      <c r="BS17" s="17">
        <f t="shared" si="15"/>
        <v>0.68564213564213561</v>
      </c>
      <c r="BT17" s="17"/>
      <c r="BU17" s="17">
        <f t="array" ref="BU17">SUM(IF(Period=BU$4,IF(Category=$A$8,IF(Provider=$B17,Score))))</f>
        <v>69.400000000000006</v>
      </c>
      <c r="BV17" s="17"/>
      <c r="BW17" s="20">
        <f t="array" ref="BW17">SUM(IF(Period=BU$4,IF(Category=$A$8,IF(Provider=$B17,Responses))))</f>
        <v>9</v>
      </c>
      <c r="BX17" s="20"/>
      <c r="BY17" s="17">
        <f t="shared" si="16"/>
        <v>2.5809917355371903</v>
      </c>
      <c r="BZ17" s="17"/>
      <c r="CA17" s="17">
        <f t="shared" si="17"/>
        <v>0.43165169315825852</v>
      </c>
    </row>
    <row r="18" spans="2:79" outlineLevel="1" x14ac:dyDescent="0.25">
      <c r="B18" t="s">
        <v>18</v>
      </c>
      <c r="C18" s="17">
        <v>0</v>
      </c>
      <c r="D18" s="17"/>
      <c r="E18" s="17">
        <v>0</v>
      </c>
      <c r="F18" s="17"/>
      <c r="G18" s="17">
        <v>0</v>
      </c>
      <c r="H18" s="17"/>
      <c r="I18" s="17">
        <f t="array" ref="I18">SUM(IF(Period=I$4,IF(Category=$A$8,IF(Provider=$B18,Score))))</f>
        <v>87.5</v>
      </c>
      <c r="J18" s="17"/>
      <c r="K18" s="20">
        <f t="array" ref="K18">SUM(IF(Period=I$4,IF(Category=$A$8,IF(Provider=$B18,Responses))))</f>
        <v>8</v>
      </c>
      <c r="L18" s="20"/>
      <c r="M18" s="17">
        <f t="shared" si="0"/>
        <v>3.5</v>
      </c>
      <c r="N18" s="17"/>
      <c r="O18" s="17">
        <f t="shared" si="1"/>
        <v>0.57899090157154676</v>
      </c>
      <c r="P18" s="17"/>
      <c r="Q18" s="17">
        <f t="array" ref="Q18">SUM(IF(Period=Q$4,IF(Category=$A$8,IF(Provider=$B18,Score))))</f>
        <v>63.9</v>
      </c>
      <c r="R18" s="17"/>
      <c r="S18" s="20">
        <f t="array" ref="S18">SUM(IF(Period=Q$4,IF(Category=$A$8,IF(Provider=$B18,Responses))))</f>
        <v>9</v>
      </c>
      <c r="T18" s="20"/>
      <c r="U18" s="17">
        <f t="shared" si="2"/>
        <v>3.0590425531914893</v>
      </c>
      <c r="V18" s="17"/>
      <c r="W18" s="17">
        <f t="shared" si="3"/>
        <v>0.5125668449197861</v>
      </c>
      <c r="X18" s="17"/>
      <c r="Y18" s="17">
        <f t="array" ref="Y18">SUM(IF(Period=Y$4,IF(Category=$A$8,IF(Provider=$B18,Score))))</f>
        <v>76.900000000000006</v>
      </c>
      <c r="Z18" s="17"/>
      <c r="AA18" s="20">
        <f t="array" ref="AA18">SUM(IF(Period=Y$4,IF(Category=$A$8,IF(Provider=$B18,Responses))))</f>
        <v>13</v>
      </c>
      <c r="AB18" s="20"/>
      <c r="AC18" s="17">
        <f t="shared" si="4"/>
        <v>3.2884868421052635</v>
      </c>
      <c r="AD18" s="17"/>
      <c r="AE18" s="17">
        <f t="shared" si="5"/>
        <v>0.55140650854936568</v>
      </c>
      <c r="AF18" s="17"/>
      <c r="AG18" s="17">
        <f t="array" ref="AG18">SUM(IF(Period=AG$4,IF(Category=$A$8,IF(Provider=$B18,Score))))</f>
        <v>95</v>
      </c>
      <c r="AH18" s="17"/>
      <c r="AI18" s="20">
        <f t="array" ref="AI18">SUM(IF(Period=AG$4,IF(Category=$A$8,IF(Provider=$B18,Responses))))</f>
        <v>10</v>
      </c>
      <c r="AJ18" s="20"/>
      <c r="AK18" s="17">
        <f t="shared" si="6"/>
        <v>3.7109375</v>
      </c>
      <c r="AL18" s="17"/>
      <c r="AM18" s="17">
        <f t="shared" si="7"/>
        <v>0.61528497409326421</v>
      </c>
      <c r="AN18" s="17"/>
      <c r="AO18" s="17">
        <f t="array" ref="AO18">SUM(IF(Period=AO$4,IF(Category=$A$8,IF(Provider=$B18,Score))))</f>
        <v>96.9</v>
      </c>
      <c r="AP18" s="17"/>
      <c r="AQ18" s="20">
        <f t="array" ref="AQ18">SUM(IF(Period=AO$4,IF(Category=$A$8,IF(Provider=$B18,Responses))))</f>
        <v>8</v>
      </c>
      <c r="AR18" s="20"/>
      <c r="AS18" s="17">
        <f t="shared" si="8"/>
        <v>4.5069767441860469</v>
      </c>
      <c r="AT18" s="17"/>
      <c r="AU18" s="17">
        <f t="shared" si="9"/>
        <v>0.75555555555555554</v>
      </c>
      <c r="AV18" s="17"/>
      <c r="AW18" s="17">
        <f t="array" ref="AW18">SUM(IF(Period=AW$4,IF(Category=$A$8,IF(Provider=$B18,Score))))</f>
        <v>89.3</v>
      </c>
      <c r="AX18" s="17"/>
      <c r="AY18" s="20">
        <f t="array" ref="AY18">SUM(IF(Period=AW$4,IF(Category=$A$8,IF(Provider=$B18,Responses))))</f>
        <v>14</v>
      </c>
      <c r="AZ18" s="20"/>
      <c r="BA18" s="17">
        <f t="shared" si="10"/>
        <v>5.7612903225806447</v>
      </c>
      <c r="BB18" s="17"/>
      <c r="BC18" s="17">
        <f t="shared" si="11"/>
        <v>0.96021505376344085</v>
      </c>
      <c r="BD18" s="17"/>
      <c r="BE18" s="17">
        <f t="array" ref="BE18">SUM(IF(Period=BE$4,IF(Category=$A$8,IF(Provider=$B18,Score))))</f>
        <v>100</v>
      </c>
      <c r="BF18" s="17"/>
      <c r="BG18" s="20">
        <f t="array" ref="BG18">SUM(IF(Period=BE$4,IF(Category=$A$8,IF(Provider=$B18,Responses))))</f>
        <v>11</v>
      </c>
      <c r="BH18" s="20"/>
      <c r="BI18" s="17">
        <f t="shared" si="12"/>
        <v>4.6808510638297873</v>
      </c>
      <c r="BJ18" s="17"/>
      <c r="BK18" s="17">
        <f t="shared" si="13"/>
        <v>0.77738515901060079</v>
      </c>
      <c r="BL18" s="17"/>
      <c r="BM18" s="17">
        <f t="array" ref="BM18">SUM(IF(Period=BM$4,IF(Category=$A$8,IF(Provider=$B18,Score))))</f>
        <v>92.9</v>
      </c>
      <c r="BN18" s="17"/>
      <c r="BO18" s="20">
        <f t="array" ref="BO18">SUM(IF(Period=BM$4,IF(Category=$A$8,IF(Provider=$B18,Responses))))</f>
        <v>7</v>
      </c>
      <c r="BP18" s="20"/>
      <c r="BQ18" s="17">
        <f t="shared" si="14"/>
        <v>2.8030172413793109</v>
      </c>
      <c r="BR18" s="17"/>
      <c r="BS18" s="17">
        <f t="shared" si="15"/>
        <v>0.46919191919191927</v>
      </c>
      <c r="BT18" s="17"/>
      <c r="BU18" s="17">
        <f t="array" ref="BU18">SUM(IF(Period=BU$4,IF(Category=$A$8,IF(Provider=$B18,Score))))</f>
        <v>83.9</v>
      </c>
      <c r="BV18" s="17"/>
      <c r="BW18" s="20">
        <f t="array" ref="BW18">SUM(IF(Period=BU$4,IF(Category=$A$8,IF(Provider=$B18,Responses))))</f>
        <v>14</v>
      </c>
      <c r="BX18" s="20"/>
      <c r="BY18" s="17">
        <f t="shared" si="16"/>
        <v>4.8537190082644637</v>
      </c>
      <c r="BZ18" s="17"/>
      <c r="CA18" s="17">
        <f t="shared" si="17"/>
        <v>0.81174844505874233</v>
      </c>
    </row>
    <row r="19" spans="2:79" outlineLevel="1" x14ac:dyDescent="0.25">
      <c r="B19" t="s">
        <v>16</v>
      </c>
      <c r="C19" s="17">
        <v>0</v>
      </c>
      <c r="D19" s="17"/>
      <c r="E19" s="17">
        <v>0</v>
      </c>
      <c r="F19" s="17"/>
      <c r="G19" s="17">
        <v>0</v>
      </c>
      <c r="H19" s="17"/>
      <c r="I19" s="17">
        <f t="array" ref="I19">SUM(IF(Period=I$4,IF(Category=$A$8,IF(Provider=$B19,Score))))</f>
        <v>81.3</v>
      </c>
      <c r="J19" s="17"/>
      <c r="K19" s="20">
        <f t="array" ref="K19">SUM(IF(Period=I$4,IF(Category=$A$8,IF(Provider=$B19,Responses))))</f>
        <v>4</v>
      </c>
      <c r="L19" s="20"/>
      <c r="M19" s="17">
        <f t="shared" si="0"/>
        <v>1.6259999999999999</v>
      </c>
      <c r="N19" s="17"/>
      <c r="O19" s="17">
        <f t="shared" si="1"/>
        <v>0.26898263027295283</v>
      </c>
      <c r="P19" s="17"/>
      <c r="Q19" s="17">
        <f t="array" ref="Q19">SUM(IF(Period=Q$4,IF(Category=$A$8,IF(Provider=$B19,Score))))</f>
        <v>81.3</v>
      </c>
      <c r="R19" s="17"/>
      <c r="S19" s="20">
        <f t="array" ref="S19">SUM(IF(Period=Q$4,IF(Category=$A$8,IF(Provider=$B19,Responses))))</f>
        <v>4</v>
      </c>
      <c r="T19" s="20"/>
      <c r="U19" s="17">
        <f t="shared" si="2"/>
        <v>1.7297872340425531</v>
      </c>
      <c r="V19" s="17"/>
      <c r="W19" s="17">
        <f t="shared" si="3"/>
        <v>0.28983957219251333</v>
      </c>
      <c r="X19" s="17"/>
      <c r="Y19" s="17">
        <f t="array" ref="Y19">SUM(IF(Period=Y$4,IF(Category=$A$8,IF(Provider=$B19,Score))))</f>
        <v>80</v>
      </c>
      <c r="Z19" s="17"/>
      <c r="AA19" s="20">
        <f t="array" ref="AA19">SUM(IF(Period=Y$4,IF(Category=$A$8,IF(Provider=$B19,Responses))))</f>
        <v>5</v>
      </c>
      <c r="AB19" s="20"/>
      <c r="AC19" s="17">
        <f t="shared" si="4"/>
        <v>1.3157894736842104</v>
      </c>
      <c r="AD19" s="17"/>
      <c r="AE19" s="17">
        <f t="shared" si="5"/>
        <v>0.22062879205736349</v>
      </c>
      <c r="AF19" s="17"/>
      <c r="AG19" s="17">
        <f t="array" ref="AG19">SUM(IF(Period=AG$4,IF(Category=$A$8,IF(Provider=$B19,Score))))</f>
        <v>93.8</v>
      </c>
      <c r="AH19" s="17"/>
      <c r="AI19" s="20">
        <f t="array" ref="AI19">SUM(IF(Period=AG$4,IF(Category=$A$8,IF(Provider=$B19,Responses))))</f>
        <v>4</v>
      </c>
      <c r="AJ19" s="20"/>
      <c r="AK19" s="17">
        <f t="shared" si="6"/>
        <v>1.465625</v>
      </c>
      <c r="AL19" s="17"/>
      <c r="AM19" s="17">
        <f t="shared" si="7"/>
        <v>0.24300518134715027</v>
      </c>
      <c r="AN19" s="17"/>
      <c r="AO19" s="17">
        <f t="array" ref="AO19">SUM(IF(Period=AO$4,IF(Category=$A$8,IF(Provider=$B19,Score))))</f>
        <v>37.5</v>
      </c>
      <c r="AP19" s="17"/>
      <c r="AQ19" s="20">
        <f t="array" ref="AQ19">SUM(IF(Period=AO$4,IF(Category=$A$8,IF(Provider=$B19,Responses))))</f>
        <v>2</v>
      </c>
      <c r="AR19" s="20"/>
      <c r="AS19" s="17">
        <f t="shared" si="8"/>
        <v>0.43604651162790697</v>
      </c>
      <c r="AT19" s="17"/>
      <c r="AU19" s="17">
        <f t="shared" si="9"/>
        <v>7.3099415204678359E-2</v>
      </c>
      <c r="AV19" s="17"/>
      <c r="AW19" s="17">
        <f t="array" ref="AW19">SUM(IF(Period=AW$4,IF(Category=$A$8,IF(Provider=$B19,Score))))</f>
        <v>80</v>
      </c>
      <c r="AX19" s="17"/>
      <c r="AY19" s="20">
        <f t="array" ref="AY19">SUM(IF(Period=AW$4,IF(Category=$A$8,IF(Provider=$B19,Responses))))</f>
        <v>5</v>
      </c>
      <c r="AZ19" s="20"/>
      <c r="BA19" s="17">
        <f t="shared" si="10"/>
        <v>1.8433179723502304</v>
      </c>
      <c r="BB19" s="17"/>
      <c r="BC19" s="17">
        <f t="shared" si="11"/>
        <v>0.30721966205837176</v>
      </c>
      <c r="BD19" s="17"/>
      <c r="BE19" s="17">
        <f t="array" ref="BE19">SUM(IF(Period=BE$4,IF(Category=$A$8,IF(Provider=$B19,Score))))</f>
        <v>100</v>
      </c>
      <c r="BF19" s="17"/>
      <c r="BG19" s="20">
        <f t="array" ref="BG19">SUM(IF(Period=BE$4,IF(Category=$A$8,IF(Provider=$B19,Responses))))</f>
        <v>2</v>
      </c>
      <c r="BH19" s="20"/>
      <c r="BI19" s="17">
        <f t="shared" si="12"/>
        <v>0.85106382978723405</v>
      </c>
      <c r="BJ19" s="17"/>
      <c r="BK19" s="17">
        <f t="shared" si="13"/>
        <v>0.14134275618374559</v>
      </c>
      <c r="BL19" s="17"/>
      <c r="BM19" s="17">
        <f t="array" ref="BM19">SUM(IF(Period=BM$4,IF(Category=$A$8,IF(Provider=$B19,Score))))</f>
        <v>91.7</v>
      </c>
      <c r="BN19" s="17"/>
      <c r="BO19" s="20">
        <f t="array" ref="BO19">SUM(IF(Period=BM$4,IF(Category=$A$8,IF(Provider=$B19,Responses))))</f>
        <v>3</v>
      </c>
      <c r="BP19" s="20"/>
      <c r="BQ19" s="17">
        <f t="shared" si="14"/>
        <v>1.1857758620689656</v>
      </c>
      <c r="BR19" s="17"/>
      <c r="BS19" s="17">
        <f t="shared" si="15"/>
        <v>0.19848484848484849</v>
      </c>
      <c r="BT19" s="17"/>
      <c r="BU19" s="17">
        <f t="array" ref="BU19">SUM(IF(Period=BU$4,IF(Category=$A$8,IF(Provider=$B19,Score))))</f>
        <v>75</v>
      </c>
      <c r="BV19" s="17"/>
      <c r="BW19" s="20">
        <f t="array" ref="BW19">SUM(IF(Period=BU$4,IF(Category=$A$8,IF(Provider=$B19,Responses))))</f>
        <v>7</v>
      </c>
      <c r="BX19" s="20"/>
      <c r="BY19" s="17">
        <f t="shared" si="16"/>
        <v>2.169421487603306</v>
      </c>
      <c r="BZ19" s="17"/>
      <c r="CA19" s="17">
        <f t="shared" si="17"/>
        <v>0.36281962681409818</v>
      </c>
    </row>
    <row r="20" spans="2:79" outlineLevel="1" x14ac:dyDescent="0.25">
      <c r="B20" t="s">
        <v>24</v>
      </c>
      <c r="C20" s="17">
        <v>0</v>
      </c>
      <c r="D20" s="17"/>
      <c r="E20" s="17">
        <v>0</v>
      </c>
      <c r="F20" s="17"/>
      <c r="G20" s="17">
        <v>0</v>
      </c>
      <c r="H20" s="17"/>
      <c r="I20" s="17">
        <f t="array" ref="I20">SUM(IF(Period=I$4,IF(Category=$A$8,IF(Provider=$B20,Score))))</f>
        <v>79.599999999999994</v>
      </c>
      <c r="J20" s="17"/>
      <c r="K20" s="20">
        <f t="array" ref="K20">SUM(IF(Period=I$4,IF(Category=$A$8,IF(Provider=$B20,Responses))))</f>
        <v>11</v>
      </c>
      <c r="L20" s="20"/>
      <c r="M20" s="17">
        <f t="shared" si="0"/>
        <v>4.3780000000000001</v>
      </c>
      <c r="N20" s="17"/>
      <c r="O20" s="17">
        <f t="shared" si="1"/>
        <v>0.72423490488006614</v>
      </c>
      <c r="P20" s="17"/>
      <c r="Q20" s="17">
        <f t="array" ref="Q20">SUM(IF(Period=Q$4,IF(Category=$A$8,IF(Provider=$B20,Score))))</f>
        <v>86.1</v>
      </c>
      <c r="R20" s="17"/>
      <c r="S20" s="20">
        <f t="array" ref="S20">SUM(IF(Period=Q$4,IF(Category=$A$8,IF(Provider=$B20,Responses))))</f>
        <v>9</v>
      </c>
      <c r="T20" s="20"/>
      <c r="U20" s="17">
        <f t="shared" si="2"/>
        <v>4.1218085106382976</v>
      </c>
      <c r="V20" s="17"/>
      <c r="W20" s="17">
        <f t="shared" si="3"/>
        <v>0.69064171122994655</v>
      </c>
      <c r="X20" s="17"/>
      <c r="Y20" s="17">
        <f t="array" ref="Y20">SUM(IF(Period=Y$4,IF(Category=$A$8,IF(Provider=$B20,Score))))</f>
        <v>76.400000000000006</v>
      </c>
      <c r="Z20" s="17"/>
      <c r="AA20" s="20">
        <f t="array" ref="AA20">SUM(IF(Period=Y$4,IF(Category=$A$8,IF(Provider=$B20,Responses))))</f>
        <v>18</v>
      </c>
      <c r="AB20" s="20"/>
      <c r="AC20" s="17">
        <f t="shared" si="4"/>
        <v>4.5236842105263158</v>
      </c>
      <c r="AD20" s="17"/>
      <c r="AE20" s="17">
        <f t="shared" si="5"/>
        <v>0.75852178709321572</v>
      </c>
      <c r="AF20" s="17"/>
      <c r="AG20" s="17">
        <f t="array" ref="AG20">SUM(IF(Period=AG$4,IF(Category=$A$8,IF(Provider=$B20,Score))))</f>
        <v>81.3</v>
      </c>
      <c r="AH20" s="17"/>
      <c r="AI20" s="20">
        <f t="array" ref="AI20">SUM(IF(Period=AG$4,IF(Category=$A$8,IF(Provider=$B20,Responses))))</f>
        <v>16</v>
      </c>
      <c r="AJ20" s="20"/>
      <c r="AK20" s="17">
        <f t="shared" si="6"/>
        <v>5.0812499999999998</v>
      </c>
      <c r="AL20" s="17"/>
      <c r="AM20" s="17">
        <f t="shared" si="7"/>
        <v>0.84248704663212437</v>
      </c>
      <c r="AN20" s="17"/>
      <c r="AO20" s="17">
        <f t="array" ref="AO20">SUM(IF(Period=AO$4,IF(Category=$A$8,IF(Provider=$B20,Score))))</f>
        <v>83.3</v>
      </c>
      <c r="AP20" s="17"/>
      <c r="AQ20" s="20">
        <f t="array" ref="AQ20">SUM(IF(Period=AO$4,IF(Category=$A$8,IF(Provider=$B20,Responses))))</f>
        <v>12</v>
      </c>
      <c r="AR20" s="20"/>
      <c r="AS20" s="17">
        <f t="shared" si="8"/>
        <v>5.811627906976744</v>
      </c>
      <c r="AT20" s="17"/>
      <c r="AU20" s="17">
        <f t="shared" si="9"/>
        <v>0.97426900584795317</v>
      </c>
      <c r="AV20" s="17"/>
      <c r="AW20" s="17">
        <f t="array" ref="AW20">SUM(IF(Period=AW$4,IF(Category=$A$8,IF(Provider=$B20,Score))))</f>
        <v>92.5</v>
      </c>
      <c r="AX20" s="17"/>
      <c r="AY20" s="20">
        <f t="array" ref="AY20">SUM(IF(Period=AW$4,IF(Category=$A$8,IF(Provider=$B20,Responses))))</f>
        <v>10</v>
      </c>
      <c r="AZ20" s="20"/>
      <c r="BA20" s="17">
        <f t="shared" si="10"/>
        <v>4.2626728110599084</v>
      </c>
      <c r="BB20" s="17"/>
      <c r="BC20" s="17">
        <f t="shared" si="11"/>
        <v>0.71044546850998469</v>
      </c>
      <c r="BD20" s="17"/>
      <c r="BE20" s="17">
        <f t="array" ref="BE20">SUM(IF(Period=BE$4,IF(Category=$A$8,IF(Provider=$B20,Score))))</f>
        <v>90.6</v>
      </c>
      <c r="BF20" s="17"/>
      <c r="BG20" s="20">
        <f t="array" ref="BG20">SUM(IF(Period=BE$4,IF(Category=$A$8,IF(Provider=$B20,Responses))))</f>
        <v>8</v>
      </c>
      <c r="BH20" s="20"/>
      <c r="BI20" s="17">
        <f t="shared" si="12"/>
        <v>3.0842553191489359</v>
      </c>
      <c r="BJ20" s="17"/>
      <c r="BK20" s="17">
        <f t="shared" si="13"/>
        <v>0.51222614840989389</v>
      </c>
      <c r="BL20" s="17"/>
      <c r="BM20" s="17">
        <f t="array" ref="BM20">SUM(IF(Period=BM$4,IF(Category=$A$8,IF(Provider=$B20,Score))))</f>
        <v>97.2</v>
      </c>
      <c r="BN20" s="17"/>
      <c r="BO20" s="20">
        <f t="array" ref="BO20">SUM(IF(Period=BM$4,IF(Category=$A$8,IF(Provider=$B20,Responses))))</f>
        <v>9</v>
      </c>
      <c r="BP20" s="20"/>
      <c r="BQ20" s="17">
        <f t="shared" si="14"/>
        <v>3.7706896551724141</v>
      </c>
      <c r="BR20" s="17"/>
      <c r="BS20" s="17">
        <f t="shared" si="15"/>
        <v>0.63116883116883127</v>
      </c>
      <c r="BT20" s="17"/>
      <c r="BU20" s="17">
        <f t="array" ref="BU20">SUM(IF(Period=BU$4,IF(Category=$A$8,IF(Provider=$B20,Score))))</f>
        <v>92.9</v>
      </c>
      <c r="BV20" s="17"/>
      <c r="BW20" s="20">
        <f t="array" ref="BW20">SUM(IF(Period=BU$4,IF(Category=$A$8,IF(Provider=$B20,Responses))))</f>
        <v>7</v>
      </c>
      <c r="BX20" s="20"/>
      <c r="BY20" s="17">
        <f t="shared" si="16"/>
        <v>2.6871900826446282</v>
      </c>
      <c r="BZ20" s="17"/>
      <c r="CA20" s="17">
        <f t="shared" si="17"/>
        <v>0.44941257774706295</v>
      </c>
    </row>
    <row r="21" spans="2:79" outlineLevel="1" x14ac:dyDescent="0.25">
      <c r="B21" t="s">
        <v>32</v>
      </c>
      <c r="C21" s="17">
        <v>0</v>
      </c>
      <c r="D21" s="17"/>
      <c r="E21" s="17">
        <v>0</v>
      </c>
      <c r="F21" s="17"/>
      <c r="G21" s="17">
        <v>0</v>
      </c>
      <c r="H21" s="17"/>
      <c r="I21" s="17">
        <f t="array" ref="I21">SUM(IF(Period=I$4,IF(Category=$A$8,IF(Provider=$B21,Score))))</f>
        <v>71.900000000000006</v>
      </c>
      <c r="J21" s="17"/>
      <c r="K21" s="20">
        <f t="array" ref="K21">SUM(IF(Period=I$4,IF(Category=$A$8,IF(Provider=$B21,Responses))))</f>
        <v>8</v>
      </c>
      <c r="L21" s="20"/>
      <c r="M21" s="17">
        <f t="shared" si="0"/>
        <v>2.8760000000000003</v>
      </c>
      <c r="N21" s="17"/>
      <c r="O21" s="17">
        <f t="shared" si="1"/>
        <v>0.47576509511993387</v>
      </c>
      <c r="P21" s="17"/>
      <c r="Q21" s="17">
        <f t="array" ref="Q21">SUM(IF(Period=Q$4,IF(Category=$A$8,IF(Provider=$B21,Score))))</f>
        <v>100</v>
      </c>
      <c r="R21" s="17"/>
      <c r="S21" s="20">
        <f t="array" ref="S21">SUM(IF(Period=Q$4,IF(Category=$A$8,IF(Provider=$B21,Responses))))</f>
        <v>3</v>
      </c>
      <c r="T21" s="20"/>
      <c r="U21" s="17">
        <f t="shared" si="2"/>
        <v>1.5957446808510638</v>
      </c>
      <c r="V21" s="17"/>
      <c r="W21" s="17">
        <f t="shared" si="3"/>
        <v>0.26737967914438499</v>
      </c>
      <c r="X21" s="17"/>
      <c r="Y21" s="17">
        <f t="array" ref="Y21">SUM(IF(Period=Y$4,IF(Category=$A$8,IF(Provider=$B21,Score))))</f>
        <v>59.4</v>
      </c>
      <c r="Z21" s="17"/>
      <c r="AA21" s="20">
        <f t="array" ref="AA21">SUM(IF(Period=Y$4,IF(Category=$A$8,IF(Provider=$B21,Responses))))</f>
        <v>8</v>
      </c>
      <c r="AB21" s="20"/>
      <c r="AC21" s="17">
        <f t="shared" si="4"/>
        <v>1.5631578947368421</v>
      </c>
      <c r="AD21" s="17"/>
      <c r="AE21" s="17">
        <f t="shared" si="5"/>
        <v>0.26210700496414785</v>
      </c>
      <c r="AF21" s="17"/>
      <c r="AG21" s="17">
        <f t="array" ref="AG21">SUM(IF(Period=AG$4,IF(Category=$A$8,IF(Provider=$B21,Score))))</f>
        <v>75</v>
      </c>
      <c r="AH21" s="17"/>
      <c r="AI21" s="20">
        <f t="array" ref="AI21">SUM(IF(Period=AG$4,IF(Category=$A$8,IF(Provider=$B21,Responses))))</f>
        <v>8</v>
      </c>
      <c r="AJ21" s="20"/>
      <c r="AK21" s="17">
        <f t="shared" si="6"/>
        <v>2.34375</v>
      </c>
      <c r="AL21" s="17"/>
      <c r="AM21" s="17">
        <f t="shared" si="7"/>
        <v>0.38860103626943004</v>
      </c>
      <c r="AN21" s="17"/>
      <c r="AO21" s="17">
        <f t="array" ref="AO21">SUM(IF(Period=AO$4,IF(Category=$A$8,IF(Provider=$B21,Score))))</f>
        <v>66.7</v>
      </c>
      <c r="AP21" s="17"/>
      <c r="AQ21" s="20">
        <f t="array" ref="AQ21">SUM(IF(Period=AO$4,IF(Category=$A$8,IF(Provider=$B21,Responses))))</f>
        <v>3</v>
      </c>
      <c r="AR21" s="20"/>
      <c r="AS21" s="17">
        <f t="shared" si="8"/>
        <v>1.1633720930232558</v>
      </c>
      <c r="AT21" s="17"/>
      <c r="AU21" s="17">
        <f t="shared" si="9"/>
        <v>0.19502923976608186</v>
      </c>
      <c r="AV21" s="17"/>
      <c r="AW21" s="17">
        <f t="array" ref="AW21">SUM(IF(Period=AW$4,IF(Category=$A$8,IF(Provider=$B21,Score))))</f>
        <v>89.3</v>
      </c>
      <c r="AX21" s="17"/>
      <c r="AY21" s="20">
        <f t="array" ref="AY21">SUM(IF(Period=AW$4,IF(Category=$A$8,IF(Provider=$B21,Responses))))</f>
        <v>7</v>
      </c>
      <c r="AZ21" s="20"/>
      <c r="BA21" s="17">
        <f t="shared" si="10"/>
        <v>2.8806451612903223</v>
      </c>
      <c r="BB21" s="17"/>
      <c r="BC21" s="17">
        <f t="shared" si="11"/>
        <v>0.48010752688172043</v>
      </c>
      <c r="BD21" s="17"/>
      <c r="BE21" s="17">
        <f t="array" ref="BE21">SUM(IF(Period=BE$4,IF(Category=$A$8,IF(Provider=$B21,Score))))</f>
        <v>83.3</v>
      </c>
      <c r="BF21" s="17"/>
      <c r="BG21" s="20">
        <f t="array" ref="BG21">SUM(IF(Period=BE$4,IF(Category=$A$8,IF(Provider=$B21,Responses))))</f>
        <v>6</v>
      </c>
      <c r="BH21" s="20"/>
      <c r="BI21" s="17">
        <f t="shared" si="12"/>
        <v>2.1268085106382979</v>
      </c>
      <c r="BJ21" s="17"/>
      <c r="BK21" s="17">
        <f t="shared" si="13"/>
        <v>0.35321554770318014</v>
      </c>
      <c r="BL21" s="17"/>
      <c r="BM21" s="17">
        <f t="array" ref="BM21">SUM(IF(Period=BM$4,IF(Category=$A$8,IF(Provider=$B21,Score))))</f>
        <v>100</v>
      </c>
      <c r="BN21" s="17"/>
      <c r="BO21" s="20">
        <f t="array" ref="BO21">SUM(IF(Period=BM$4,IF(Category=$A$8,IF(Provider=$B21,Responses))))</f>
        <v>7</v>
      </c>
      <c r="BP21" s="20"/>
      <c r="BQ21" s="17">
        <f t="shared" si="14"/>
        <v>3.0172413793103448</v>
      </c>
      <c r="BR21" s="17"/>
      <c r="BS21" s="17">
        <f t="shared" si="15"/>
        <v>0.50505050505050508</v>
      </c>
      <c r="BT21" s="17"/>
      <c r="BU21" s="17">
        <f t="array" ref="BU21">SUM(IF(Period=BU$4,IF(Category=$A$8,IF(Provider=$B21,Score))))</f>
        <v>71.900000000000006</v>
      </c>
      <c r="BV21" s="17"/>
      <c r="BW21" s="20">
        <f t="array" ref="BW21">SUM(IF(Period=BU$4,IF(Category=$A$8,IF(Provider=$B21,Responses))))</f>
        <v>8</v>
      </c>
      <c r="BX21" s="20"/>
      <c r="BY21" s="17">
        <f t="shared" si="16"/>
        <v>2.3768595041322316</v>
      </c>
      <c r="BZ21" s="17"/>
      <c r="CA21" s="17">
        <f t="shared" si="17"/>
        <v>0.39751209398756049</v>
      </c>
    </row>
    <row r="22" spans="2:79" outlineLevel="1" x14ac:dyDescent="0.25">
      <c r="B22" t="s">
        <v>35</v>
      </c>
      <c r="C22" s="17">
        <v>0</v>
      </c>
      <c r="D22" s="17"/>
      <c r="E22" s="17">
        <v>0</v>
      </c>
      <c r="F22" s="17"/>
      <c r="G22" s="17">
        <v>0</v>
      </c>
      <c r="H22" s="17"/>
      <c r="I22" s="17">
        <f t="array" ref="I22">SUM(IF(Period=I$4,IF(Category=$A$8,IF(Provider=$B22,Score))))</f>
        <v>50</v>
      </c>
      <c r="J22" s="17"/>
      <c r="K22" s="20">
        <f t="array" ref="K22">SUM(IF(Period=I$4,IF(Category=$A$8,IF(Provider=$B22,Responses))))</f>
        <v>1</v>
      </c>
      <c r="L22" s="20"/>
      <c r="M22" s="17">
        <f t="shared" si="0"/>
        <v>0.25</v>
      </c>
      <c r="N22" s="17"/>
      <c r="O22" s="17">
        <f t="shared" si="1"/>
        <v>4.1356492969396197E-2</v>
      </c>
      <c r="P22" s="17"/>
      <c r="Q22" s="17">
        <f t="array" ref="Q22">SUM(IF(Period=Q$4,IF(Category=$A$8,IF(Provider=$B22,Score))))</f>
        <v>0</v>
      </c>
      <c r="R22" s="17"/>
      <c r="S22" s="20">
        <f t="array" ref="S22">SUM(IF(Period=Q$4,IF(Category=$A$8,IF(Provider=$B22,Responses))))</f>
        <v>0</v>
      </c>
      <c r="T22" s="20"/>
      <c r="U22" s="17">
        <f t="shared" si="2"/>
        <v>0</v>
      </c>
      <c r="V22" s="17"/>
      <c r="W22" s="17">
        <f t="shared" si="3"/>
        <v>0</v>
      </c>
      <c r="X22" s="17"/>
      <c r="Y22" s="17">
        <f t="array" ref="Y22">SUM(IF(Period=Y$4,IF(Category=$A$8,IF(Provider=$B22,Score))))</f>
        <v>68.8</v>
      </c>
      <c r="Z22" s="17"/>
      <c r="AA22" s="20">
        <f t="array" ref="AA22">SUM(IF(Period=Y$4,IF(Category=$A$8,IF(Provider=$B22,Responses))))</f>
        <v>4</v>
      </c>
      <c r="AB22" s="20"/>
      <c r="AC22" s="17">
        <f t="shared" si="4"/>
        <v>0.90526315789473677</v>
      </c>
      <c r="AD22" s="17"/>
      <c r="AE22" s="17">
        <f t="shared" si="5"/>
        <v>0.15179260893546609</v>
      </c>
      <c r="AF22" s="17"/>
      <c r="AG22" s="17">
        <f t="array" ref="AG22">SUM(IF(Period=AG$4,IF(Category=$A$8,IF(Provider=$B22,Score))))</f>
        <v>50</v>
      </c>
      <c r="AH22" s="17"/>
      <c r="AI22" s="20">
        <f t="array" ref="AI22">SUM(IF(Period=AG$4,IF(Category=$A$8,IF(Provider=$B22,Responses))))</f>
        <v>1</v>
      </c>
      <c r="AJ22" s="20"/>
      <c r="AK22" s="17">
        <f t="shared" si="6"/>
        <v>0.1953125</v>
      </c>
      <c r="AL22" s="17"/>
      <c r="AM22" s="17">
        <f t="shared" si="7"/>
        <v>3.2383419689119175E-2</v>
      </c>
      <c r="AN22" s="17"/>
      <c r="AO22" s="17">
        <f t="array" ref="AO22">SUM(IF(Period=AO$4,IF(Category=$A$8,IF(Provider=$B22,Score))))</f>
        <v>50</v>
      </c>
      <c r="AP22" s="17"/>
      <c r="AQ22" s="20">
        <f t="array" ref="AQ22">SUM(IF(Period=AO$4,IF(Category=$A$8,IF(Provider=$B22,Responses))))</f>
        <v>2</v>
      </c>
      <c r="AR22" s="20"/>
      <c r="AS22" s="17">
        <f t="shared" si="8"/>
        <v>0.58139534883720934</v>
      </c>
      <c r="AT22" s="17"/>
      <c r="AU22" s="17">
        <f t="shared" si="9"/>
        <v>9.7465886939571145E-2</v>
      </c>
      <c r="AV22" s="17"/>
      <c r="AW22" s="17">
        <f t="array" ref="AW22">SUM(IF(Period=AW$4,IF(Category=$A$8,IF(Provider=$B22,Score))))</f>
        <v>89.3</v>
      </c>
      <c r="AX22" s="17"/>
      <c r="AY22" s="20">
        <f t="array" ref="AY22">SUM(IF(Period=AW$4,IF(Category=$A$8,IF(Provider=$B22,Responses))))</f>
        <v>7</v>
      </c>
      <c r="AZ22" s="20"/>
      <c r="BA22" s="17">
        <f t="shared" si="10"/>
        <v>2.8806451612903223</v>
      </c>
      <c r="BB22" s="17"/>
      <c r="BC22" s="17">
        <f t="shared" si="11"/>
        <v>0.48010752688172043</v>
      </c>
      <c r="BD22" s="17"/>
      <c r="BE22" s="17">
        <f t="array" ref="BE22">SUM(IF(Period=BE$4,IF(Category=$A$8,IF(Provider=$B22,Score))))</f>
        <v>71.400000000000006</v>
      </c>
      <c r="BF22" s="17"/>
      <c r="BG22" s="20">
        <f t="array" ref="BG22">SUM(IF(Period=BE$4,IF(Category=$A$8,IF(Provider=$B22,Responses))))</f>
        <v>7</v>
      </c>
      <c r="BH22" s="20"/>
      <c r="BI22" s="17">
        <f t="shared" si="12"/>
        <v>2.1268085106382983</v>
      </c>
      <c r="BJ22" s="17"/>
      <c r="BK22" s="17">
        <f t="shared" si="13"/>
        <v>0.35321554770318025</v>
      </c>
      <c r="BL22" s="17"/>
      <c r="BM22" s="17">
        <f t="array" ref="BM22">SUM(IF(Period=BM$4,IF(Category=$A$8,IF(Provider=$B22,Score))))</f>
        <v>100</v>
      </c>
      <c r="BN22" s="17"/>
      <c r="BO22" s="20">
        <f t="array" ref="BO22">SUM(IF(Period=BM$4,IF(Category=$A$8,IF(Provider=$B22,Responses))))</f>
        <v>3</v>
      </c>
      <c r="BP22" s="20"/>
      <c r="BQ22" s="17">
        <f t="shared" si="14"/>
        <v>1.2931034482758621</v>
      </c>
      <c r="BR22" s="17"/>
      <c r="BS22" s="17">
        <f t="shared" si="15"/>
        <v>0.21645021645021645</v>
      </c>
      <c r="BT22" s="17"/>
      <c r="BU22" s="17">
        <f t="array" ref="BU22">SUM(IF(Period=BU$4,IF(Category=$A$8,IF(Provider=$B22,Score))))</f>
        <v>100</v>
      </c>
      <c r="BV22" s="17"/>
      <c r="BW22" s="20">
        <f t="array" ref="BW22">SUM(IF(Period=BU$4,IF(Category=$A$8,IF(Provider=$B22,Responses))))</f>
        <v>1</v>
      </c>
      <c r="BX22" s="20"/>
      <c r="BY22" s="17">
        <f t="shared" si="16"/>
        <v>0.41322314049586778</v>
      </c>
      <c r="BZ22" s="17"/>
      <c r="CA22" s="17">
        <f t="shared" si="17"/>
        <v>6.9108500345542501E-2</v>
      </c>
    </row>
    <row r="23" spans="2:79" outlineLevel="1" x14ac:dyDescent="0.25">
      <c r="B23" t="s">
        <v>36</v>
      </c>
      <c r="C23" s="17">
        <v>0</v>
      </c>
      <c r="D23" s="17"/>
      <c r="E23" s="17">
        <v>0</v>
      </c>
      <c r="F23" s="17"/>
      <c r="G23" s="17">
        <v>0</v>
      </c>
      <c r="H23" s="17"/>
      <c r="I23" s="17">
        <f t="array" ref="I23">SUM(IF(Period=I$4,IF(Category=$A$8,IF(Provider=$B23,Score))))</f>
        <v>67.900000000000006</v>
      </c>
      <c r="J23" s="17"/>
      <c r="K23" s="20">
        <f t="array" ref="K23">SUM(IF(Period=I$4,IF(Category=$A$8,IF(Provider=$B23,Responses))))</f>
        <v>7</v>
      </c>
      <c r="L23" s="20"/>
      <c r="M23" s="17">
        <f t="shared" si="0"/>
        <v>2.3765000000000005</v>
      </c>
      <c r="N23" s="17"/>
      <c r="O23" s="17">
        <f t="shared" si="1"/>
        <v>0.39313482216708029</v>
      </c>
      <c r="P23" s="17"/>
      <c r="Q23" s="17">
        <f t="array" ref="Q23">SUM(IF(Period=Q$4,IF(Category=$A$8,IF(Provider=$B23,Score))))</f>
        <v>93.8</v>
      </c>
      <c r="R23" s="17"/>
      <c r="S23" s="20">
        <f t="array" ref="S23">SUM(IF(Period=Q$4,IF(Category=$A$8,IF(Provider=$B23,Responses))))</f>
        <v>4</v>
      </c>
      <c r="T23" s="20"/>
      <c r="U23" s="17">
        <f t="shared" si="2"/>
        <v>1.9957446808510637</v>
      </c>
      <c r="V23" s="17"/>
      <c r="W23" s="17">
        <f t="shared" si="3"/>
        <v>0.33440285204991083</v>
      </c>
      <c r="X23" s="17"/>
      <c r="Y23" s="17">
        <f t="array" ref="Y23">SUM(IF(Period=Y$4,IF(Category=$A$8,IF(Provider=$B23,Score))))</f>
        <v>86.1</v>
      </c>
      <c r="Z23" s="17"/>
      <c r="AA23" s="20">
        <f t="array" ref="AA23">SUM(IF(Period=Y$4,IF(Category=$A$8,IF(Provider=$B23,Responses))))</f>
        <v>9</v>
      </c>
      <c r="AB23" s="20"/>
      <c r="AC23" s="17">
        <f t="shared" si="4"/>
        <v>2.5490131578947364</v>
      </c>
      <c r="AD23" s="17"/>
      <c r="AE23" s="17">
        <f t="shared" si="5"/>
        <v>0.42741312741312737</v>
      </c>
      <c r="AF23" s="17"/>
      <c r="AG23" s="17">
        <f t="array" ref="AG23">SUM(IF(Period=AG$4,IF(Category=$A$8,IF(Provider=$B23,Score))))</f>
        <v>61.1</v>
      </c>
      <c r="AH23" s="17"/>
      <c r="AI23" s="20">
        <f t="array" ref="AI23">SUM(IF(Period=AG$4,IF(Category=$A$8,IF(Provider=$B23,Responses))))</f>
        <v>9</v>
      </c>
      <c r="AJ23" s="20"/>
      <c r="AK23" s="17">
        <f t="shared" si="6"/>
        <v>2.1480468749999999</v>
      </c>
      <c r="AL23" s="17"/>
      <c r="AM23" s="17">
        <f t="shared" si="7"/>
        <v>0.35615284974093264</v>
      </c>
      <c r="AN23" s="17"/>
      <c r="AO23" s="17">
        <f t="array" ref="AO23">SUM(IF(Period=AO$4,IF(Category=$A$8,IF(Provider=$B23,Score))))</f>
        <v>66.7</v>
      </c>
      <c r="AP23" s="17"/>
      <c r="AQ23" s="20">
        <f t="array" ref="AQ23">SUM(IF(Period=AO$4,IF(Category=$A$8,IF(Provider=$B23,Responses))))</f>
        <v>6</v>
      </c>
      <c r="AR23" s="20"/>
      <c r="AS23" s="17">
        <f t="shared" si="8"/>
        <v>2.3267441860465117</v>
      </c>
      <c r="AT23" s="17"/>
      <c r="AU23" s="17">
        <f t="shared" si="9"/>
        <v>0.39005847953216372</v>
      </c>
      <c r="AV23" s="17"/>
      <c r="AW23" s="17">
        <f t="array" ref="AW23">SUM(IF(Period=AW$4,IF(Category=$A$8,IF(Provider=$B23,Score))))</f>
        <v>83.3</v>
      </c>
      <c r="AX23" s="17"/>
      <c r="AY23" s="20">
        <f t="array" ref="AY23">SUM(IF(Period=AW$4,IF(Category=$A$8,IF(Provider=$B23,Responses))))</f>
        <v>3</v>
      </c>
      <c r="AZ23" s="20"/>
      <c r="BA23" s="17">
        <f t="shared" si="10"/>
        <v>1.1516129032258065</v>
      </c>
      <c r="BB23" s="17"/>
      <c r="BC23" s="17">
        <f t="shared" si="11"/>
        <v>0.19193548387096773</v>
      </c>
      <c r="BD23" s="17"/>
      <c r="BE23" s="17">
        <f t="array" ref="BE23">SUM(IF(Period=BE$4,IF(Category=$A$8,IF(Provider=$B23,Score))))</f>
        <v>85.4</v>
      </c>
      <c r="BF23" s="17"/>
      <c r="BG23" s="20">
        <f t="array" ref="BG23">SUM(IF(Period=BE$4,IF(Category=$A$8,IF(Provider=$B23,Responses))))</f>
        <v>12</v>
      </c>
      <c r="BH23" s="20"/>
      <c r="BI23" s="17">
        <f t="shared" si="12"/>
        <v>4.360851063829787</v>
      </c>
      <c r="BJ23" s="17"/>
      <c r="BK23" s="17">
        <f t="shared" si="13"/>
        <v>0.72424028268551233</v>
      </c>
      <c r="BL23" s="17"/>
      <c r="BM23" s="17">
        <f t="array" ref="BM23">SUM(IF(Period=BM$4,IF(Category=$A$8,IF(Provider=$B23,Score))))</f>
        <v>100</v>
      </c>
      <c r="BN23" s="17"/>
      <c r="BO23" s="20">
        <f t="array" ref="BO23">SUM(IF(Period=BM$4,IF(Category=$A$8,IF(Provider=$B23,Responses))))</f>
        <v>2</v>
      </c>
      <c r="BP23" s="20"/>
      <c r="BQ23" s="17">
        <f t="shared" si="14"/>
        <v>0.86206896551724133</v>
      </c>
      <c r="BR23" s="17"/>
      <c r="BS23" s="17">
        <f t="shared" si="15"/>
        <v>0.14430014430014429</v>
      </c>
      <c r="BT23" s="17"/>
      <c r="BU23" s="17">
        <f t="array" ref="BU23">SUM(IF(Period=BU$4,IF(Category=$A$8,IF(Provider=$B23,Score))))</f>
        <v>89.3</v>
      </c>
      <c r="BV23" s="17"/>
      <c r="BW23" s="20">
        <f t="array" ref="BW23">SUM(IF(Period=BU$4,IF(Category=$A$8,IF(Provider=$B23,Responses))))</f>
        <v>14</v>
      </c>
      <c r="BX23" s="20"/>
      <c r="BY23" s="17">
        <f t="shared" si="16"/>
        <v>5.1661157024793392</v>
      </c>
      <c r="BZ23" s="17"/>
      <c r="CA23" s="17">
        <f t="shared" si="17"/>
        <v>0.86399447131997242</v>
      </c>
    </row>
    <row r="24" spans="2:79" outlineLevel="1" x14ac:dyDescent="0.25">
      <c r="B24" t="s">
        <v>23</v>
      </c>
      <c r="C24" s="17">
        <v>0</v>
      </c>
      <c r="D24" s="17"/>
      <c r="E24" s="17">
        <v>0</v>
      </c>
      <c r="F24" s="17"/>
      <c r="G24" s="17">
        <v>0</v>
      </c>
      <c r="H24" s="17"/>
      <c r="I24" s="17">
        <f t="array" ref="I24">SUM(IF(Period=I$4,IF(Category=$A$8,IF(Provider=$B24,Score))))</f>
        <v>84.1</v>
      </c>
      <c r="J24" s="17"/>
      <c r="K24" s="20">
        <f t="array" ref="K24">SUM(IF(Period=I$4,IF(Category=$A$8,IF(Provider=$B24,Responses))))</f>
        <v>11</v>
      </c>
      <c r="L24" s="20"/>
      <c r="M24" s="17">
        <f t="shared" si="0"/>
        <v>4.6254999999999997</v>
      </c>
      <c r="N24" s="17"/>
      <c r="O24" s="17">
        <f t="shared" si="1"/>
        <v>0.76517783291976837</v>
      </c>
      <c r="P24" s="17"/>
      <c r="Q24" s="17">
        <f t="array" ref="Q24">SUM(IF(Period=Q$4,IF(Category=$A$8,IF(Provider=$B24,Score))))</f>
        <v>100</v>
      </c>
      <c r="R24" s="17"/>
      <c r="S24" s="20">
        <f t="array" ref="S24">SUM(IF(Period=Q$4,IF(Category=$A$8,IF(Provider=$B24,Responses))))</f>
        <v>4</v>
      </c>
      <c r="T24" s="20"/>
      <c r="U24" s="17">
        <f t="shared" si="2"/>
        <v>2.1276595744680851</v>
      </c>
      <c r="V24" s="17"/>
      <c r="W24" s="17">
        <f t="shared" si="3"/>
        <v>0.35650623885918004</v>
      </c>
      <c r="X24" s="17"/>
      <c r="Y24" s="17">
        <f t="array" ref="Y24">SUM(IF(Period=Y$4,IF(Category=$A$8,IF(Provider=$B24,Score))))</f>
        <v>60</v>
      </c>
      <c r="Z24" s="17"/>
      <c r="AA24" s="20">
        <f t="array" ref="AA24">SUM(IF(Period=Y$4,IF(Category=$A$8,IF(Provider=$B24,Responses))))</f>
        <v>10</v>
      </c>
      <c r="AB24" s="20"/>
      <c r="AC24" s="17">
        <f t="shared" si="4"/>
        <v>1.9736842105263157</v>
      </c>
      <c r="AD24" s="17"/>
      <c r="AE24" s="17">
        <f t="shared" si="5"/>
        <v>0.33094318808604523</v>
      </c>
      <c r="AF24" s="17"/>
      <c r="AG24" s="17">
        <f t="array" ref="AG24">SUM(IF(Period=AG$4,IF(Category=$A$8,IF(Provider=$B24,Score))))</f>
        <v>70.8</v>
      </c>
      <c r="AH24" s="17"/>
      <c r="AI24" s="20">
        <f t="array" ref="AI24">SUM(IF(Period=AG$4,IF(Category=$A$8,IF(Provider=$B24,Responses))))</f>
        <v>6</v>
      </c>
      <c r="AJ24" s="20"/>
      <c r="AK24" s="17">
        <f t="shared" si="6"/>
        <v>1.6593749999999998</v>
      </c>
      <c r="AL24" s="17"/>
      <c r="AM24" s="17">
        <f t="shared" si="7"/>
        <v>0.27512953367875648</v>
      </c>
      <c r="AN24" s="17"/>
      <c r="AO24" s="17">
        <f t="array" ref="AO24">SUM(IF(Period=AO$4,IF(Category=$A$8,IF(Provider=$B24,Score))))</f>
        <v>75</v>
      </c>
      <c r="AP24" s="17"/>
      <c r="AQ24" s="20">
        <f t="array" ref="AQ24">SUM(IF(Period=AO$4,IF(Category=$A$8,IF(Provider=$B24,Responses))))</f>
        <v>11</v>
      </c>
      <c r="AR24" s="20"/>
      <c r="AS24" s="17">
        <f t="shared" si="8"/>
        <v>4.7965116279069768</v>
      </c>
      <c r="AT24" s="17"/>
      <c r="AU24" s="17">
        <f t="shared" si="9"/>
        <v>0.80409356725146197</v>
      </c>
      <c r="AV24" s="17"/>
      <c r="AW24" s="17">
        <f t="array" ref="AW24">SUM(IF(Period=AW$4,IF(Category=$A$8,IF(Provider=$B24,Score))))</f>
        <v>85</v>
      </c>
      <c r="AX24" s="17"/>
      <c r="AY24" s="20">
        <f t="array" ref="AY24">SUM(IF(Period=AW$4,IF(Category=$A$8,IF(Provider=$B24,Responses))))</f>
        <v>5</v>
      </c>
      <c r="AZ24" s="20"/>
      <c r="BA24" s="17">
        <f t="shared" si="10"/>
        <v>1.9585253456221199</v>
      </c>
      <c r="BB24" s="17"/>
      <c r="BC24" s="17">
        <f t="shared" si="11"/>
        <v>0.32642089093701998</v>
      </c>
      <c r="BD24" s="17"/>
      <c r="BE24" s="17">
        <f t="array" ref="BE24">SUM(IF(Period=BE$4,IF(Category=$A$8,IF(Provider=$B24,Score))))</f>
        <v>83.3</v>
      </c>
      <c r="BF24" s="17"/>
      <c r="BG24" s="20">
        <f t="array" ref="BG24">SUM(IF(Period=BE$4,IF(Category=$A$8,IF(Provider=$B24,Responses))))</f>
        <v>9</v>
      </c>
      <c r="BH24" s="20"/>
      <c r="BI24" s="17">
        <f t="shared" si="12"/>
        <v>3.1902127659574466</v>
      </c>
      <c r="BJ24" s="17"/>
      <c r="BK24" s="17">
        <f t="shared" si="13"/>
        <v>0.5298233215547703</v>
      </c>
      <c r="BL24" s="17"/>
      <c r="BM24" s="17">
        <f t="array" ref="BM24">SUM(IF(Period=BM$4,IF(Category=$A$8,IF(Provider=$B24,Score))))</f>
        <v>81.3</v>
      </c>
      <c r="BN24" s="17"/>
      <c r="BO24" s="20">
        <f t="array" ref="BO24">SUM(IF(Period=BM$4,IF(Category=$A$8,IF(Provider=$B24,Responses))))</f>
        <v>8</v>
      </c>
      <c r="BP24" s="20"/>
      <c r="BQ24" s="17">
        <f t="shared" si="14"/>
        <v>2.8034482758620687</v>
      </c>
      <c r="BR24" s="17"/>
      <c r="BS24" s="17">
        <f t="shared" si="15"/>
        <v>0.46926406926406927</v>
      </c>
      <c r="BT24" s="17"/>
      <c r="BU24" s="17">
        <f t="array" ref="BU24">SUM(IF(Period=BU$4,IF(Category=$A$8,IF(Provider=$B24,Score))))</f>
        <v>72.5</v>
      </c>
      <c r="BV24" s="17"/>
      <c r="BW24" s="20">
        <f t="array" ref="BW24">SUM(IF(Period=BU$4,IF(Category=$A$8,IF(Provider=$B24,Responses))))</f>
        <v>10</v>
      </c>
      <c r="BX24" s="20"/>
      <c r="BY24" s="17">
        <f t="shared" si="16"/>
        <v>2.9958677685950414</v>
      </c>
      <c r="BZ24" s="17"/>
      <c r="CA24" s="17">
        <f t="shared" si="17"/>
        <v>0.50103662750518319</v>
      </c>
    </row>
    <row r="25" spans="2:79" outlineLevel="1" x14ac:dyDescent="0.25">
      <c r="B25" t="s">
        <v>6</v>
      </c>
      <c r="C25" s="17">
        <v>0</v>
      </c>
      <c r="D25" s="17"/>
      <c r="E25" s="17">
        <v>0</v>
      </c>
      <c r="F25" s="17"/>
      <c r="G25" s="17">
        <v>0</v>
      </c>
      <c r="H25" s="17"/>
      <c r="I25" s="17">
        <f t="array" ref="I25">SUM(IF(Period=I$4,IF(Category=$A$8,IF(Provider=$B25,Score))))</f>
        <v>100</v>
      </c>
      <c r="J25" s="17"/>
      <c r="K25" s="20">
        <f t="array" ref="K25">SUM(IF(Period=I$4,IF(Category=$A$8,IF(Provider=$B25,Responses))))</f>
        <v>1</v>
      </c>
      <c r="L25" s="20"/>
      <c r="M25" s="17">
        <f t="shared" si="0"/>
        <v>0.5</v>
      </c>
      <c r="N25" s="17"/>
      <c r="O25" s="17">
        <f t="shared" si="1"/>
        <v>8.2712985938792394E-2</v>
      </c>
      <c r="P25" s="17"/>
      <c r="Q25" s="17">
        <f t="array" ref="Q25">SUM(IF(Period=Q$4,IF(Category=$A$8,IF(Provider=$B25,Score))))</f>
        <v>0</v>
      </c>
      <c r="R25" s="17"/>
      <c r="S25" s="20">
        <f t="array" ref="S25">SUM(IF(Period=Q$4,IF(Category=$A$8,IF(Provider=$B25,Responses))))</f>
        <v>0</v>
      </c>
      <c r="T25" s="20"/>
      <c r="U25" s="17">
        <f t="shared" si="2"/>
        <v>0</v>
      </c>
      <c r="V25" s="17"/>
      <c r="W25" s="17">
        <f t="shared" si="3"/>
        <v>0</v>
      </c>
      <c r="X25" s="17"/>
      <c r="Y25" s="17">
        <f t="array" ref="Y25">SUM(IF(Period=Y$4,IF(Category=$A$8,IF(Provider=$B25,Score))))</f>
        <v>83.3</v>
      </c>
      <c r="Z25" s="17"/>
      <c r="AA25" s="20">
        <f t="array" ref="AA25">SUM(IF(Period=Y$4,IF(Category=$A$8,IF(Provider=$B25,Responses))))</f>
        <v>3</v>
      </c>
      <c r="AB25" s="20"/>
      <c r="AC25" s="17">
        <f t="shared" si="4"/>
        <v>0.82203947368421049</v>
      </c>
      <c r="AD25" s="17"/>
      <c r="AE25" s="17">
        <f t="shared" si="5"/>
        <v>0.13783783783783782</v>
      </c>
      <c r="AF25" s="17"/>
      <c r="AG25" s="17">
        <f t="array" ref="AG25">SUM(IF(Period=AG$4,IF(Category=$A$8,IF(Provider=$B25,Score))))</f>
        <v>80</v>
      </c>
      <c r="AH25" s="17"/>
      <c r="AI25" s="20">
        <f t="array" ref="AI25">SUM(IF(Period=AG$4,IF(Category=$A$8,IF(Provider=$B25,Responses))))</f>
        <v>5</v>
      </c>
      <c r="AJ25" s="20"/>
      <c r="AK25" s="17">
        <f t="shared" si="6"/>
        <v>1.5625</v>
      </c>
      <c r="AL25" s="17"/>
      <c r="AM25" s="17">
        <f t="shared" si="7"/>
        <v>0.25906735751295334</v>
      </c>
      <c r="AN25" s="17"/>
      <c r="AO25" s="17">
        <f t="array" ref="AO25">SUM(IF(Period=AO$4,IF(Category=$A$8,IF(Provider=$B25,Score))))</f>
        <v>0</v>
      </c>
      <c r="AP25" s="17"/>
      <c r="AQ25" s="20">
        <f t="array" ref="AQ25">SUM(IF(Period=AO$4,IF(Category=$A$8,IF(Provider=$B25,Responses))))</f>
        <v>0</v>
      </c>
      <c r="AR25" s="20"/>
      <c r="AS25" s="17">
        <f t="shared" si="8"/>
        <v>0</v>
      </c>
      <c r="AT25" s="17"/>
      <c r="AU25" s="17">
        <f t="shared" si="9"/>
        <v>0</v>
      </c>
      <c r="AV25" s="17"/>
      <c r="AW25" s="17">
        <f t="array" ref="AW25">SUM(IF(Period=AW$4,IF(Category=$A$8,IF(Provider=$B25,Score))))</f>
        <v>80</v>
      </c>
      <c r="AX25" s="17"/>
      <c r="AY25" s="20">
        <f t="array" ref="AY25">SUM(IF(Period=AW$4,IF(Category=$A$8,IF(Provider=$B25,Responses))))</f>
        <v>5</v>
      </c>
      <c r="AZ25" s="20"/>
      <c r="BA25" s="17">
        <f t="shared" si="10"/>
        <v>1.8433179723502304</v>
      </c>
      <c r="BB25" s="17"/>
      <c r="BC25" s="17">
        <f t="shared" si="11"/>
        <v>0.30721966205837176</v>
      </c>
      <c r="BD25" s="17"/>
      <c r="BE25" s="17">
        <f t="array" ref="BE25">SUM(IF(Period=BE$4,IF(Category=$A$8,IF(Provider=$B25,Score))))</f>
        <v>0</v>
      </c>
      <c r="BF25" s="17"/>
      <c r="BG25" s="20">
        <f t="array" ref="BG25">SUM(IF(Period=BE$4,IF(Category=$A$8,IF(Provider=$B25,Responses))))</f>
        <v>0</v>
      </c>
      <c r="BH25" s="20"/>
      <c r="BI25" s="17">
        <f t="shared" si="12"/>
        <v>0</v>
      </c>
      <c r="BJ25" s="17"/>
      <c r="BK25" s="17">
        <f t="shared" si="13"/>
        <v>0</v>
      </c>
      <c r="BL25" s="17"/>
      <c r="BM25" s="17">
        <f t="array" ref="BM25">SUM(IF(Period=BM$4,IF(Category=$A$8,IF(Provider=$B25,Score))))</f>
        <v>91.7</v>
      </c>
      <c r="BN25" s="17"/>
      <c r="BO25" s="20">
        <f t="array" ref="BO25">SUM(IF(Period=BM$4,IF(Category=$A$8,IF(Provider=$B25,Responses))))</f>
        <v>3</v>
      </c>
      <c r="BP25" s="20"/>
      <c r="BQ25" s="17">
        <f t="shared" si="14"/>
        <v>1.1857758620689656</v>
      </c>
      <c r="BR25" s="17"/>
      <c r="BS25" s="17">
        <f t="shared" si="15"/>
        <v>0.19848484848484849</v>
      </c>
      <c r="BT25" s="17"/>
      <c r="BU25" s="17">
        <f t="array" ref="BU25">SUM(IF(Period=BU$4,IF(Category=$A$8,IF(Provider=$B25,Score))))</f>
        <v>62.5</v>
      </c>
      <c r="BV25" s="17"/>
      <c r="BW25" s="20">
        <f t="array" ref="BW25">SUM(IF(Period=BU$4,IF(Category=$A$8,IF(Provider=$B25,Responses))))</f>
        <v>2</v>
      </c>
      <c r="BX25" s="20"/>
      <c r="BY25" s="17">
        <f t="shared" si="16"/>
        <v>0.51652892561983477</v>
      </c>
      <c r="BZ25" s="17"/>
      <c r="CA25" s="17">
        <f t="shared" si="17"/>
        <v>8.6385625431928126E-2</v>
      </c>
    </row>
    <row r="26" spans="2:79" outlineLevel="1" x14ac:dyDescent="0.25">
      <c r="B26" t="s">
        <v>39</v>
      </c>
      <c r="C26" s="17">
        <v>0</v>
      </c>
      <c r="D26" s="17"/>
      <c r="E26" s="17">
        <v>0</v>
      </c>
      <c r="F26" s="17"/>
      <c r="G26" s="17">
        <v>0</v>
      </c>
      <c r="H26" s="17"/>
      <c r="I26" s="17">
        <f t="array" ref="I26">SUM(IF(Period=I$4,IF(Category=$A$8,IF(Provider=$B26,Score))))</f>
        <v>47.7</v>
      </c>
      <c r="J26" s="17"/>
      <c r="K26" s="20">
        <f t="array" ref="K26">SUM(IF(Period=I$4,IF(Category=$A$8,IF(Provider=$B26,Responses))))</f>
        <v>11</v>
      </c>
      <c r="L26" s="20"/>
      <c r="M26" s="17">
        <f t="shared" si="0"/>
        <v>2.6235000000000004</v>
      </c>
      <c r="N26" s="17"/>
      <c r="O26" s="17">
        <f t="shared" si="1"/>
        <v>0.43399503722084376</v>
      </c>
      <c r="P26" s="17"/>
      <c r="Q26" s="17">
        <f t="array" ref="Q26">SUM(IF(Period=Q$4,IF(Category=$A$8,IF(Provider=$B26,Score))))</f>
        <v>70</v>
      </c>
      <c r="R26" s="17"/>
      <c r="S26" s="20">
        <f t="array" ref="S26">SUM(IF(Period=Q$4,IF(Category=$A$8,IF(Provider=$B26,Responses))))</f>
        <v>10</v>
      </c>
      <c r="T26" s="20"/>
      <c r="U26" s="17">
        <f t="shared" si="2"/>
        <v>3.7234042553191489</v>
      </c>
      <c r="V26" s="17"/>
      <c r="W26" s="17">
        <f t="shared" si="3"/>
        <v>0.62388591800356508</v>
      </c>
      <c r="X26" s="17"/>
      <c r="Y26" s="17">
        <f t="array" ref="Y26">SUM(IF(Period=Y$4,IF(Category=$A$8,IF(Provider=$B26,Score))))</f>
        <v>62.5</v>
      </c>
      <c r="Z26" s="17"/>
      <c r="AA26" s="20">
        <f t="array" ref="AA26">SUM(IF(Period=Y$4,IF(Category=$A$8,IF(Provider=$B26,Responses))))</f>
        <v>8</v>
      </c>
      <c r="AB26" s="20"/>
      <c r="AC26" s="17">
        <f t="shared" si="4"/>
        <v>1.6447368421052631</v>
      </c>
      <c r="AD26" s="17"/>
      <c r="AE26" s="17">
        <f t="shared" si="5"/>
        <v>0.2757859900717044</v>
      </c>
      <c r="AF26" s="17"/>
      <c r="AG26" s="17">
        <f t="array" ref="AG26">SUM(IF(Period=AG$4,IF(Category=$A$8,IF(Provider=$B26,Score))))</f>
        <v>65.599999999999994</v>
      </c>
      <c r="AH26" s="17"/>
      <c r="AI26" s="20">
        <f t="array" ref="AI26">SUM(IF(Period=AG$4,IF(Category=$A$8,IF(Provider=$B26,Responses))))</f>
        <v>8</v>
      </c>
      <c r="AJ26" s="20"/>
      <c r="AK26" s="17">
        <f t="shared" si="6"/>
        <v>2.0499999999999998</v>
      </c>
      <c r="AL26" s="17"/>
      <c r="AM26" s="17">
        <f t="shared" si="7"/>
        <v>0.33989637305699483</v>
      </c>
      <c r="AN26" s="17"/>
      <c r="AO26" s="17">
        <f t="array" ref="AO26">SUM(IF(Period=AO$4,IF(Category=$A$8,IF(Provider=$B26,Score))))</f>
        <v>84.4</v>
      </c>
      <c r="AP26" s="17"/>
      <c r="AQ26" s="20">
        <f t="array" ref="AQ26">SUM(IF(Period=AO$4,IF(Category=$A$8,IF(Provider=$B26,Responses))))</f>
        <v>8</v>
      </c>
      <c r="AR26" s="20"/>
      <c r="AS26" s="17">
        <f t="shared" si="8"/>
        <v>3.9255813953488374</v>
      </c>
      <c r="AT26" s="17"/>
      <c r="AU26" s="17">
        <f t="shared" si="9"/>
        <v>0.65808966861598439</v>
      </c>
      <c r="AV26" s="17"/>
      <c r="AW26" s="17">
        <f t="array" ref="AW26">SUM(IF(Period=AW$4,IF(Category=$A$8,IF(Provider=$B26,Score))))</f>
        <v>78.599999999999994</v>
      </c>
      <c r="AX26" s="17"/>
      <c r="AY26" s="20">
        <f t="array" ref="AY26">SUM(IF(Period=AW$4,IF(Category=$A$8,IF(Provider=$B26,Responses))))</f>
        <v>7</v>
      </c>
      <c r="AZ26" s="20"/>
      <c r="BA26" s="17">
        <f t="shared" si="10"/>
        <v>2.5354838709677416</v>
      </c>
      <c r="BB26" s="17"/>
      <c r="BC26" s="17">
        <f t="shared" si="11"/>
        <v>0.42258064516129035</v>
      </c>
      <c r="BD26" s="17"/>
      <c r="BE26" s="17">
        <f t="array" ref="BE26">SUM(IF(Period=BE$4,IF(Category=$A$8,IF(Provider=$B26,Score))))</f>
        <v>79.2</v>
      </c>
      <c r="BF26" s="17"/>
      <c r="BG26" s="20">
        <f t="array" ref="BG26">SUM(IF(Period=BE$4,IF(Category=$A$8,IF(Provider=$B26,Responses))))</f>
        <v>6</v>
      </c>
      <c r="BH26" s="20"/>
      <c r="BI26" s="17">
        <f t="shared" si="12"/>
        <v>2.0221276595744682</v>
      </c>
      <c r="BJ26" s="17"/>
      <c r="BK26" s="17">
        <f t="shared" si="13"/>
        <v>0.33583038869257947</v>
      </c>
      <c r="BL26" s="17"/>
      <c r="BM26" s="17">
        <f t="array" ref="BM26">SUM(IF(Period=BM$4,IF(Category=$A$8,IF(Provider=$B26,Score))))</f>
        <v>84.4</v>
      </c>
      <c r="BN26" s="17"/>
      <c r="BO26" s="20">
        <f t="array" ref="BO26">SUM(IF(Period=BM$4,IF(Category=$A$8,IF(Provider=$B26,Responses))))</f>
        <v>8</v>
      </c>
      <c r="BP26" s="20"/>
      <c r="BQ26" s="17">
        <f t="shared" si="14"/>
        <v>2.9103448275862069</v>
      </c>
      <c r="BR26" s="17"/>
      <c r="BS26" s="17">
        <f t="shared" si="15"/>
        <v>0.48715728715728718</v>
      </c>
      <c r="BT26" s="17"/>
      <c r="BU26" s="17">
        <f t="array" ref="BU26">SUM(IF(Period=BU$4,IF(Category=$A$8,IF(Provider=$B26,Score))))</f>
        <v>89.3</v>
      </c>
      <c r="BV26" s="17"/>
      <c r="BW26" s="20">
        <f t="array" ref="BW26">SUM(IF(Period=BU$4,IF(Category=$A$8,IF(Provider=$B26,Responses))))</f>
        <v>7</v>
      </c>
      <c r="BX26" s="20"/>
      <c r="BY26" s="17">
        <f t="shared" si="16"/>
        <v>2.5830578512396696</v>
      </c>
      <c r="BZ26" s="17"/>
      <c r="CA26" s="17">
        <f t="shared" si="17"/>
        <v>0.43199723565998621</v>
      </c>
    </row>
    <row r="27" spans="2:79" outlineLevel="1" x14ac:dyDescent="0.25">
      <c r="B27" t="s">
        <v>28</v>
      </c>
      <c r="C27" s="17">
        <v>0</v>
      </c>
      <c r="D27" s="17"/>
      <c r="E27" s="17">
        <v>0</v>
      </c>
      <c r="F27" s="17"/>
      <c r="G27" s="17">
        <v>0</v>
      </c>
      <c r="H27" s="17"/>
      <c r="I27" s="17">
        <f t="array" ref="I27">SUM(IF(Period=I$4,IF(Category=$A$8,IF(Provider=$B27,Score))))</f>
        <v>70.8</v>
      </c>
      <c r="J27" s="17"/>
      <c r="K27" s="20">
        <f t="array" ref="K27">SUM(IF(Period=I$4,IF(Category=$A$8,IF(Provider=$B27,Responses))))</f>
        <v>6</v>
      </c>
      <c r="L27" s="20"/>
      <c r="M27" s="17">
        <f t="shared" si="0"/>
        <v>2.1239999999999997</v>
      </c>
      <c r="N27" s="17"/>
      <c r="O27" s="17">
        <f t="shared" si="1"/>
        <v>0.35136476426799007</v>
      </c>
      <c r="P27" s="17"/>
      <c r="Q27" s="17">
        <f t="array" ref="Q27">SUM(IF(Period=Q$4,IF(Category=$A$8,IF(Provider=$B27,Score))))</f>
        <v>30</v>
      </c>
      <c r="R27" s="17"/>
      <c r="S27" s="20">
        <f t="array" ref="S27">SUM(IF(Period=Q$4,IF(Category=$A$8,IF(Provider=$B27,Responses))))</f>
        <v>5</v>
      </c>
      <c r="T27" s="20"/>
      <c r="U27" s="17">
        <f t="shared" si="2"/>
        <v>0.7978723404255319</v>
      </c>
      <c r="V27" s="17"/>
      <c r="W27" s="17">
        <f t="shared" si="3"/>
        <v>0.13368983957219252</v>
      </c>
      <c r="X27" s="17"/>
      <c r="Y27" s="17">
        <f t="array" ref="Y27">SUM(IF(Period=Y$4,IF(Category=$A$8,IF(Provider=$B27,Score))))</f>
        <v>65</v>
      </c>
      <c r="Z27" s="17"/>
      <c r="AA27" s="20">
        <f t="array" ref="AA27">SUM(IF(Period=Y$4,IF(Category=$A$8,IF(Provider=$B27,Responses))))</f>
        <v>10</v>
      </c>
      <c r="AB27" s="20"/>
      <c r="AC27" s="17">
        <f t="shared" si="4"/>
        <v>2.138157894736842</v>
      </c>
      <c r="AD27" s="17"/>
      <c r="AE27" s="17">
        <f t="shared" si="5"/>
        <v>0.35852178709321564</v>
      </c>
      <c r="AF27" s="17"/>
      <c r="AG27" s="17">
        <f t="array" ref="AG27">SUM(IF(Period=AG$4,IF(Category=$A$8,IF(Provider=$B27,Score))))</f>
        <v>82.5</v>
      </c>
      <c r="AH27" s="17"/>
      <c r="AI27" s="20">
        <f t="array" ref="AI27">SUM(IF(Period=AG$4,IF(Category=$A$8,IF(Provider=$B27,Responses))))</f>
        <v>10</v>
      </c>
      <c r="AJ27" s="20"/>
      <c r="AK27" s="17">
        <f t="shared" si="6"/>
        <v>3.22265625</v>
      </c>
      <c r="AL27" s="17"/>
      <c r="AM27" s="17">
        <f t="shared" si="7"/>
        <v>0.53432642487046633</v>
      </c>
      <c r="AN27" s="17"/>
      <c r="AO27" s="17">
        <f t="array" ref="AO27">SUM(IF(Period=AO$4,IF(Category=$A$8,IF(Provider=$B27,Score))))</f>
        <v>66.7</v>
      </c>
      <c r="AP27" s="17"/>
      <c r="AQ27" s="20">
        <f t="array" ref="AQ27">SUM(IF(Period=AO$4,IF(Category=$A$8,IF(Provider=$B27,Responses))))</f>
        <v>6</v>
      </c>
      <c r="AR27" s="20"/>
      <c r="AS27" s="17">
        <f t="shared" si="8"/>
        <v>2.3267441860465117</v>
      </c>
      <c r="AT27" s="17"/>
      <c r="AU27" s="17">
        <f t="shared" si="9"/>
        <v>0.39005847953216372</v>
      </c>
      <c r="AV27" s="17"/>
      <c r="AW27" s="17">
        <f t="array" ref="AW27">SUM(IF(Period=AW$4,IF(Category=$A$8,IF(Provider=$B27,Score))))</f>
        <v>50</v>
      </c>
      <c r="AX27" s="17"/>
      <c r="AY27" s="20">
        <f t="array" ref="AY27">SUM(IF(Period=AW$4,IF(Category=$A$8,IF(Provider=$B27,Responses))))</f>
        <v>5</v>
      </c>
      <c r="AZ27" s="20"/>
      <c r="BA27" s="17">
        <f t="shared" si="10"/>
        <v>1.1520737327188941</v>
      </c>
      <c r="BB27" s="17"/>
      <c r="BC27" s="17">
        <f t="shared" si="11"/>
        <v>0.19201228878648233</v>
      </c>
      <c r="BD27" s="17"/>
      <c r="BE27" s="17">
        <f t="array" ref="BE27">SUM(IF(Period=BE$4,IF(Category=$A$8,IF(Provider=$B27,Score))))</f>
        <v>58.3</v>
      </c>
      <c r="BF27" s="17"/>
      <c r="BG27" s="20">
        <f t="array" ref="BG27">SUM(IF(Period=BE$4,IF(Category=$A$8,IF(Provider=$B27,Responses))))</f>
        <v>6</v>
      </c>
      <c r="BH27" s="20"/>
      <c r="BI27" s="17">
        <f t="shared" si="12"/>
        <v>1.4885106382978721</v>
      </c>
      <c r="BJ27" s="17"/>
      <c r="BK27" s="17">
        <f t="shared" si="13"/>
        <v>0.24720848056537098</v>
      </c>
      <c r="BL27" s="17"/>
      <c r="BM27" s="17">
        <f t="array" ref="BM27">SUM(IF(Period=BM$4,IF(Category=$A$8,IF(Provider=$B27,Score))))</f>
        <v>64.3</v>
      </c>
      <c r="BN27" s="17"/>
      <c r="BO27" s="20">
        <f t="array" ref="BO27">SUM(IF(Period=BM$4,IF(Category=$A$8,IF(Provider=$B27,Responses))))</f>
        <v>7</v>
      </c>
      <c r="BP27" s="20"/>
      <c r="BQ27" s="17">
        <f t="shared" si="14"/>
        <v>1.9400862068965516</v>
      </c>
      <c r="BR27" s="17"/>
      <c r="BS27" s="17">
        <f t="shared" si="15"/>
        <v>0.32474747474747478</v>
      </c>
      <c r="BT27" s="17"/>
      <c r="BU27" s="17">
        <f t="array" ref="BU27">SUM(IF(Period=BU$4,IF(Category=$A$8,IF(Provider=$B27,Score))))</f>
        <v>60.7</v>
      </c>
      <c r="BV27" s="17"/>
      <c r="BW27" s="20">
        <f t="array" ref="BW27">SUM(IF(Period=BU$4,IF(Category=$A$8,IF(Provider=$B27,Responses))))</f>
        <v>7</v>
      </c>
      <c r="BX27" s="20"/>
      <c r="BY27" s="17">
        <f t="shared" si="16"/>
        <v>1.7557851239669422</v>
      </c>
      <c r="BZ27" s="17"/>
      <c r="CA27" s="17">
        <f t="shared" si="17"/>
        <v>0.2936420179682101</v>
      </c>
    </row>
    <row r="28" spans="2:79" outlineLevel="1" x14ac:dyDescent="0.25">
      <c r="B28" t="s">
        <v>40</v>
      </c>
      <c r="C28" s="17">
        <v>0</v>
      </c>
      <c r="D28" s="17"/>
      <c r="E28" s="17">
        <v>0</v>
      </c>
      <c r="F28" s="17"/>
      <c r="G28" s="17">
        <v>0</v>
      </c>
      <c r="H28" s="17"/>
      <c r="I28" s="17">
        <f t="array" ref="I28">SUM(IF(Period=I$4,IF(Category=$A$8,IF(Provider=$B28,Score))))</f>
        <v>53.1</v>
      </c>
      <c r="J28" s="17"/>
      <c r="K28" s="20">
        <f t="array" ref="K28">SUM(IF(Period=I$4,IF(Category=$A$8,IF(Provider=$B28,Responses))))</f>
        <v>8</v>
      </c>
      <c r="L28" s="20"/>
      <c r="M28" s="17">
        <f t="shared" si="0"/>
        <v>2.1240000000000001</v>
      </c>
      <c r="N28" s="17"/>
      <c r="O28" s="17">
        <f t="shared" si="1"/>
        <v>0.35136476426799007</v>
      </c>
      <c r="P28" s="17"/>
      <c r="Q28" s="17">
        <f t="array" ref="Q28">SUM(IF(Period=Q$4,IF(Category=$A$8,IF(Provider=$B28,Score))))</f>
        <v>62.5</v>
      </c>
      <c r="R28" s="17"/>
      <c r="S28" s="20">
        <f t="array" ref="S28">SUM(IF(Period=Q$4,IF(Category=$A$8,IF(Provider=$B28,Responses))))</f>
        <v>2</v>
      </c>
      <c r="T28" s="20"/>
      <c r="U28" s="17">
        <f t="shared" si="2"/>
        <v>0.66489361702127658</v>
      </c>
      <c r="V28" s="17"/>
      <c r="W28" s="17">
        <f t="shared" si="3"/>
        <v>0.11140819964349376</v>
      </c>
      <c r="X28" s="17"/>
      <c r="Y28" s="17">
        <f t="array" ref="Y28">SUM(IF(Period=Y$4,IF(Category=$A$8,IF(Provider=$B28,Score))))</f>
        <v>85</v>
      </c>
      <c r="Z28" s="17"/>
      <c r="AA28" s="20">
        <f t="array" ref="AA28">SUM(IF(Period=Y$4,IF(Category=$A$8,IF(Provider=$B28,Responses))))</f>
        <v>5</v>
      </c>
      <c r="AB28" s="20"/>
      <c r="AC28" s="17">
        <f t="shared" si="4"/>
        <v>1.3980263157894737</v>
      </c>
      <c r="AD28" s="17"/>
      <c r="AE28" s="17">
        <f t="shared" si="5"/>
        <v>0.2344180915609487</v>
      </c>
      <c r="AF28" s="17"/>
      <c r="AG28" s="17">
        <f t="array" ref="AG28">SUM(IF(Period=AG$4,IF(Category=$A$8,IF(Provider=$B28,Score))))</f>
        <v>41.7</v>
      </c>
      <c r="AH28" s="17"/>
      <c r="AI28" s="20">
        <f t="array" ref="AI28">SUM(IF(Period=AG$4,IF(Category=$A$8,IF(Provider=$B28,Responses))))</f>
        <v>3</v>
      </c>
      <c r="AJ28" s="20"/>
      <c r="AK28" s="17">
        <f t="shared" si="6"/>
        <v>0.48867187500000003</v>
      </c>
      <c r="AL28" s="17"/>
      <c r="AM28" s="17">
        <f t="shared" si="7"/>
        <v>8.1023316062176165E-2</v>
      </c>
      <c r="AN28" s="17"/>
      <c r="AO28" s="17">
        <f t="array" ref="AO28">SUM(IF(Period=AO$4,IF(Category=$A$8,IF(Provider=$B28,Score))))</f>
        <v>87.5</v>
      </c>
      <c r="AP28" s="17"/>
      <c r="AQ28" s="20">
        <f t="array" ref="AQ28">SUM(IF(Period=AO$4,IF(Category=$A$8,IF(Provider=$B28,Responses))))</f>
        <v>4</v>
      </c>
      <c r="AR28" s="20"/>
      <c r="AS28" s="17">
        <f t="shared" si="8"/>
        <v>2.0348837209302326</v>
      </c>
      <c r="AT28" s="17"/>
      <c r="AU28" s="17">
        <f t="shared" si="9"/>
        <v>0.34113060428849901</v>
      </c>
      <c r="AV28" s="17"/>
      <c r="AW28" s="17">
        <f t="array" ref="AW28">SUM(IF(Period=AW$4,IF(Category=$A$8,IF(Provider=$B28,Score))))</f>
        <v>81.3</v>
      </c>
      <c r="AX28" s="17"/>
      <c r="AY28" s="20">
        <f t="array" ref="AY28">SUM(IF(Period=AW$4,IF(Category=$A$8,IF(Provider=$B28,Responses))))</f>
        <v>12</v>
      </c>
      <c r="AZ28" s="20"/>
      <c r="BA28" s="17">
        <f t="shared" si="10"/>
        <v>4.4958525345622125</v>
      </c>
      <c r="BB28" s="17"/>
      <c r="BC28" s="17">
        <f t="shared" si="11"/>
        <v>0.74930875576036859</v>
      </c>
      <c r="BD28" s="17"/>
      <c r="BE28" s="17">
        <f t="array" ref="BE28">SUM(IF(Period=BE$4,IF(Category=$A$8,IF(Provider=$B28,Score))))</f>
        <v>90</v>
      </c>
      <c r="BF28" s="17"/>
      <c r="BG28" s="20">
        <f t="array" ref="BG28">SUM(IF(Period=BE$4,IF(Category=$A$8,IF(Provider=$B28,Responses))))</f>
        <v>10</v>
      </c>
      <c r="BH28" s="20"/>
      <c r="BI28" s="17">
        <f t="shared" si="12"/>
        <v>3.8297872340425529</v>
      </c>
      <c r="BJ28" s="17"/>
      <c r="BK28" s="17">
        <f t="shared" si="13"/>
        <v>0.63604240282685509</v>
      </c>
      <c r="BL28" s="17"/>
      <c r="BM28" s="17">
        <f t="array" ref="BM28">SUM(IF(Period=BM$4,IF(Category=$A$8,IF(Provider=$B28,Score))))</f>
        <v>78.099999999999994</v>
      </c>
      <c r="BN28" s="17"/>
      <c r="BO28" s="20">
        <f t="array" ref="BO28">SUM(IF(Period=BM$4,IF(Category=$A$8,IF(Provider=$B28,Responses))))</f>
        <v>8</v>
      </c>
      <c r="BP28" s="20"/>
      <c r="BQ28" s="17">
        <f t="shared" si="14"/>
        <v>2.693103448275862</v>
      </c>
      <c r="BR28" s="17"/>
      <c r="BS28" s="17">
        <f t="shared" si="15"/>
        <v>0.45079365079365075</v>
      </c>
      <c r="BT28" s="17"/>
      <c r="BU28" s="17">
        <f t="array" ref="BU28">SUM(IF(Period=BU$4,IF(Category=$A$8,IF(Provider=$B28,Score))))</f>
        <v>100</v>
      </c>
      <c r="BV28" s="17"/>
      <c r="BW28" s="20">
        <f t="array" ref="BW28">SUM(IF(Period=BU$4,IF(Category=$A$8,IF(Provider=$B28,Responses))))</f>
        <v>3</v>
      </c>
      <c r="BX28" s="20"/>
      <c r="BY28" s="17">
        <f t="shared" si="16"/>
        <v>1.2396694214876034</v>
      </c>
      <c r="BZ28" s="17"/>
      <c r="CA28" s="17">
        <f t="shared" si="17"/>
        <v>0.2073255010366275</v>
      </c>
    </row>
    <row r="29" spans="2:79" outlineLevel="1" x14ac:dyDescent="0.25">
      <c r="B29" t="s">
        <v>22</v>
      </c>
      <c r="C29" s="17">
        <v>0</v>
      </c>
      <c r="D29" s="17"/>
      <c r="E29" s="17">
        <v>0</v>
      </c>
      <c r="F29" s="17"/>
      <c r="G29" s="17">
        <v>0</v>
      </c>
      <c r="H29" s="17"/>
      <c r="I29" s="17">
        <f t="array" ref="I29">SUM(IF(Period=I$4,IF(Category=$A$8,IF(Provider=$B29,Score))))</f>
        <v>77.8</v>
      </c>
      <c r="J29" s="17"/>
      <c r="K29" s="20">
        <f t="array" ref="K29">SUM(IF(Period=I$4,IF(Category=$A$8,IF(Provider=$B29,Responses))))</f>
        <v>9</v>
      </c>
      <c r="L29" s="20"/>
      <c r="M29" s="17">
        <f t="shared" si="0"/>
        <v>3.5009999999999999</v>
      </c>
      <c r="N29" s="17"/>
      <c r="O29" s="17">
        <f t="shared" si="1"/>
        <v>0.57915632754342428</v>
      </c>
      <c r="P29" s="17"/>
      <c r="Q29" s="17">
        <f t="array" ref="Q29">SUM(IF(Period=Q$4,IF(Category=$A$8,IF(Provider=$B29,Score))))</f>
        <v>91.7</v>
      </c>
      <c r="R29" s="17"/>
      <c r="S29" s="20">
        <f t="array" ref="S29">SUM(IF(Period=Q$4,IF(Category=$A$8,IF(Provider=$B29,Responses))))</f>
        <v>3</v>
      </c>
      <c r="T29" s="20"/>
      <c r="U29" s="17">
        <f t="shared" si="2"/>
        <v>1.4632978723404255</v>
      </c>
      <c r="V29" s="17"/>
      <c r="W29" s="17">
        <f t="shared" si="3"/>
        <v>0.24518716577540106</v>
      </c>
      <c r="X29" s="17"/>
      <c r="Y29" s="17">
        <f t="array" ref="Y29">SUM(IF(Period=Y$4,IF(Category=$A$8,IF(Provider=$B29,Score))))</f>
        <v>79.2</v>
      </c>
      <c r="Z29" s="17"/>
      <c r="AA29" s="20">
        <f t="array" ref="AA29">SUM(IF(Period=Y$4,IF(Category=$A$8,IF(Provider=$B29,Responses))))</f>
        <v>12</v>
      </c>
      <c r="AB29" s="20"/>
      <c r="AC29" s="17">
        <f t="shared" si="4"/>
        <v>3.1263157894736842</v>
      </c>
      <c r="AD29" s="17"/>
      <c r="AE29" s="17">
        <f t="shared" si="5"/>
        <v>0.52421400992829559</v>
      </c>
      <c r="AF29" s="17"/>
      <c r="AG29" s="17">
        <f t="array" ref="AG29">SUM(IF(Period=AG$4,IF(Category=$A$8,IF(Provider=$B29,Score))))</f>
        <v>67.900000000000006</v>
      </c>
      <c r="AH29" s="17"/>
      <c r="AI29" s="20">
        <f t="array" ref="AI29">SUM(IF(Period=AG$4,IF(Category=$A$8,IF(Provider=$B29,Responses))))</f>
        <v>7</v>
      </c>
      <c r="AJ29" s="20"/>
      <c r="AK29" s="17">
        <f t="shared" si="6"/>
        <v>1.8566406250000003</v>
      </c>
      <c r="AL29" s="17"/>
      <c r="AM29" s="17">
        <f t="shared" si="7"/>
        <v>0.30783678756476685</v>
      </c>
      <c r="AN29" s="17"/>
      <c r="AO29" s="17">
        <f t="array" ref="AO29">SUM(IF(Period=AO$4,IF(Category=$A$8,IF(Provider=$B29,Score))))</f>
        <v>87.5</v>
      </c>
      <c r="AP29" s="17"/>
      <c r="AQ29" s="20">
        <f t="array" ref="AQ29">SUM(IF(Period=AO$4,IF(Category=$A$8,IF(Provider=$B29,Responses))))</f>
        <v>2</v>
      </c>
      <c r="AR29" s="20"/>
      <c r="AS29" s="17">
        <f t="shared" si="8"/>
        <v>1.0174418604651163</v>
      </c>
      <c r="AT29" s="17"/>
      <c r="AU29" s="17">
        <f t="shared" si="9"/>
        <v>0.1705653021442495</v>
      </c>
      <c r="AV29" s="17"/>
      <c r="AW29" s="17">
        <f t="array" ref="AW29">SUM(IF(Period=AW$4,IF(Category=$A$8,IF(Provider=$B29,Score))))</f>
        <v>75</v>
      </c>
      <c r="AX29" s="17"/>
      <c r="AY29" s="20">
        <f t="array" ref="AY29">SUM(IF(Period=AW$4,IF(Category=$A$8,IF(Provider=$B29,Responses))))</f>
        <v>9</v>
      </c>
      <c r="AZ29" s="20"/>
      <c r="BA29" s="17">
        <f t="shared" si="10"/>
        <v>3.1105990783410138</v>
      </c>
      <c r="BB29" s="17"/>
      <c r="BC29" s="17">
        <f t="shared" si="11"/>
        <v>0.51843317972350234</v>
      </c>
      <c r="BD29" s="17"/>
      <c r="BE29" s="17">
        <f t="array" ref="BE29">SUM(IF(Period=BE$4,IF(Category=$A$8,IF(Provider=$B29,Score))))</f>
        <v>66.7</v>
      </c>
      <c r="BF29" s="17"/>
      <c r="BG29" s="20">
        <f t="array" ref="BG29">SUM(IF(Period=BE$4,IF(Category=$A$8,IF(Provider=$B29,Responses))))</f>
        <v>6</v>
      </c>
      <c r="BH29" s="20"/>
      <c r="BI29" s="17">
        <f t="shared" si="12"/>
        <v>1.7029787234042553</v>
      </c>
      <c r="BJ29" s="17"/>
      <c r="BK29" s="17">
        <f t="shared" si="13"/>
        <v>0.28282685512367489</v>
      </c>
      <c r="BL29" s="17"/>
      <c r="BM29" s="17">
        <f t="array" ref="BM29">SUM(IF(Period=BM$4,IF(Category=$A$8,IF(Provider=$B29,Score))))</f>
        <v>75</v>
      </c>
      <c r="BN29" s="17"/>
      <c r="BO29" s="20">
        <f t="array" ref="BO29">SUM(IF(Period=BM$4,IF(Category=$A$8,IF(Provider=$B29,Responses))))</f>
        <v>13</v>
      </c>
      <c r="BP29" s="20"/>
      <c r="BQ29" s="17">
        <f t="shared" si="14"/>
        <v>4.2025862068965516</v>
      </c>
      <c r="BR29" s="17"/>
      <c r="BS29" s="17">
        <f t="shared" si="15"/>
        <v>0.70346320346320346</v>
      </c>
      <c r="BT29" s="17"/>
      <c r="BU29" s="17">
        <f t="array" ref="BU29">SUM(IF(Period=BU$4,IF(Category=$A$8,IF(Provider=$B29,Score))))</f>
        <v>78.599999999999994</v>
      </c>
      <c r="BV29" s="17"/>
      <c r="BW29" s="20">
        <f t="array" ref="BW29">SUM(IF(Period=BU$4,IF(Category=$A$8,IF(Provider=$B29,Responses))))</f>
        <v>7</v>
      </c>
      <c r="BX29" s="20"/>
      <c r="BY29" s="17">
        <f t="shared" si="16"/>
        <v>2.2735537190082642</v>
      </c>
      <c r="BZ29" s="17"/>
      <c r="CA29" s="17">
        <f t="shared" si="17"/>
        <v>0.38023496890117486</v>
      </c>
    </row>
    <row r="30" spans="2:79" outlineLevel="1" x14ac:dyDescent="0.25">
      <c r="B30" t="s">
        <v>31</v>
      </c>
      <c r="C30" s="17">
        <v>0</v>
      </c>
      <c r="D30" s="17"/>
      <c r="E30" s="17">
        <v>0</v>
      </c>
      <c r="F30" s="17"/>
      <c r="G30" s="17">
        <v>0</v>
      </c>
      <c r="H30" s="17"/>
      <c r="I30" s="17">
        <f t="array" ref="I30">SUM(IF(Period=I$4,IF(Category=$A$8,IF(Provider=$B30,Score))))</f>
        <v>81.3</v>
      </c>
      <c r="J30" s="17"/>
      <c r="K30" s="20">
        <f t="array" ref="K30">SUM(IF(Period=I$4,IF(Category=$A$8,IF(Provider=$B30,Responses))))</f>
        <v>4</v>
      </c>
      <c r="L30" s="20"/>
      <c r="M30" s="17">
        <f t="shared" si="0"/>
        <v>1.6259999999999999</v>
      </c>
      <c r="N30" s="17"/>
      <c r="O30" s="17">
        <f t="shared" si="1"/>
        <v>0.26898263027295283</v>
      </c>
      <c r="P30" s="17"/>
      <c r="Q30" s="17">
        <f t="array" ref="Q30">SUM(IF(Period=Q$4,IF(Category=$A$8,IF(Provider=$B30,Score))))</f>
        <v>54.2</v>
      </c>
      <c r="R30" s="17"/>
      <c r="S30" s="20">
        <f t="array" ref="S30">SUM(IF(Period=Q$4,IF(Category=$A$8,IF(Provider=$B30,Responses))))</f>
        <v>6</v>
      </c>
      <c r="T30" s="20"/>
      <c r="U30" s="17">
        <f t="shared" si="2"/>
        <v>1.7297872340425531</v>
      </c>
      <c r="V30" s="17"/>
      <c r="W30" s="17">
        <f t="shared" si="3"/>
        <v>0.28983957219251338</v>
      </c>
      <c r="X30" s="17"/>
      <c r="Y30" s="17">
        <f t="array" ref="Y30">SUM(IF(Period=Y$4,IF(Category=$A$8,IF(Provider=$B30,Score))))</f>
        <v>96.4</v>
      </c>
      <c r="Z30" s="17"/>
      <c r="AA30" s="20">
        <f t="array" ref="AA30">SUM(IF(Period=Y$4,IF(Category=$A$8,IF(Provider=$B30,Responses))))</f>
        <v>7</v>
      </c>
      <c r="AB30" s="20"/>
      <c r="AC30" s="17">
        <f t="shared" si="4"/>
        <v>2.219736842105263</v>
      </c>
      <c r="AD30" s="17"/>
      <c r="AE30" s="17">
        <f t="shared" si="5"/>
        <v>0.37220077220077225</v>
      </c>
      <c r="AF30" s="17"/>
      <c r="AG30" s="17">
        <f t="array" ref="AG30">SUM(IF(Period=AG$4,IF(Category=$A$8,IF(Provider=$B30,Score))))</f>
        <v>86.5</v>
      </c>
      <c r="AH30" s="17"/>
      <c r="AI30" s="20">
        <f t="array" ref="AI30">SUM(IF(Period=AG$4,IF(Category=$A$8,IF(Provider=$B30,Responses))))</f>
        <v>13</v>
      </c>
      <c r="AJ30" s="20"/>
      <c r="AK30" s="17">
        <f t="shared" si="6"/>
        <v>4.392578125</v>
      </c>
      <c r="AL30" s="17"/>
      <c r="AM30" s="17">
        <f t="shared" si="7"/>
        <v>0.72830310880829019</v>
      </c>
      <c r="AN30" s="17"/>
      <c r="AO30" s="17">
        <f t="array" ref="AO30">SUM(IF(Period=AO$4,IF(Category=$A$8,IF(Provider=$B30,Score))))</f>
        <v>58.3</v>
      </c>
      <c r="AP30" s="17"/>
      <c r="AQ30" s="20">
        <f t="array" ref="AQ30">SUM(IF(Period=AO$4,IF(Category=$A$8,IF(Provider=$B30,Responses))))</f>
        <v>9</v>
      </c>
      <c r="AR30" s="20"/>
      <c r="AS30" s="17">
        <f t="shared" si="8"/>
        <v>3.0505813953488374</v>
      </c>
      <c r="AT30" s="17"/>
      <c r="AU30" s="17">
        <f t="shared" si="9"/>
        <v>0.51140350877192975</v>
      </c>
      <c r="AV30" s="17"/>
      <c r="AW30" s="17">
        <f t="array" ref="AW30">SUM(IF(Period=AW$4,IF(Category=$A$8,IF(Provider=$B30,Score))))</f>
        <v>72.2</v>
      </c>
      <c r="AX30" s="17"/>
      <c r="AY30" s="20">
        <f t="array" ref="AY30">SUM(IF(Period=AW$4,IF(Category=$A$8,IF(Provider=$B30,Responses))))</f>
        <v>9</v>
      </c>
      <c r="AZ30" s="20"/>
      <c r="BA30" s="17">
        <f t="shared" si="10"/>
        <v>2.9944700460829496</v>
      </c>
      <c r="BB30" s="17"/>
      <c r="BC30" s="17">
        <f t="shared" si="11"/>
        <v>0.49907834101382492</v>
      </c>
      <c r="BD30" s="17"/>
      <c r="BE30" s="17">
        <f t="array" ref="BE30">SUM(IF(Period=BE$4,IF(Category=$A$8,IF(Provider=$B30,Score))))</f>
        <v>64.3</v>
      </c>
      <c r="BF30" s="17"/>
      <c r="BG30" s="20">
        <f t="array" ref="BG30">SUM(IF(Period=BE$4,IF(Category=$A$8,IF(Provider=$B30,Responses))))</f>
        <v>7</v>
      </c>
      <c r="BH30" s="20"/>
      <c r="BI30" s="17">
        <f t="shared" si="12"/>
        <v>1.9153191489361703</v>
      </c>
      <c r="BJ30" s="17"/>
      <c r="BK30" s="17">
        <f t="shared" si="13"/>
        <v>0.3180918727915194</v>
      </c>
      <c r="BL30" s="17"/>
      <c r="BM30" s="17">
        <f t="array" ref="BM30">SUM(IF(Period=BM$4,IF(Category=$A$8,IF(Provider=$B30,Score))))</f>
        <v>81.3</v>
      </c>
      <c r="BN30" s="17"/>
      <c r="BO30" s="20">
        <f t="array" ref="BO30">SUM(IF(Period=BM$4,IF(Category=$A$8,IF(Provider=$B30,Responses))))</f>
        <v>8</v>
      </c>
      <c r="BP30" s="20"/>
      <c r="BQ30" s="17">
        <f t="shared" si="14"/>
        <v>2.8034482758620687</v>
      </c>
      <c r="BR30" s="17"/>
      <c r="BS30" s="17">
        <f t="shared" si="15"/>
        <v>0.46926406926406927</v>
      </c>
      <c r="BT30" s="17"/>
      <c r="BU30" s="17">
        <f t="array" ref="BU30">SUM(IF(Period=BU$4,IF(Category=$A$8,IF(Provider=$B30,Score))))</f>
        <v>71.2</v>
      </c>
      <c r="BV30" s="17"/>
      <c r="BW30" s="20">
        <f t="array" ref="BW30">SUM(IF(Period=BU$4,IF(Category=$A$8,IF(Provider=$B30,Responses))))</f>
        <v>13</v>
      </c>
      <c r="BX30" s="20"/>
      <c r="BY30" s="17">
        <f t="shared" si="16"/>
        <v>3.8247933884297525</v>
      </c>
      <c r="BZ30" s="17"/>
      <c r="CA30" s="17">
        <f t="shared" si="17"/>
        <v>0.63966827919834135</v>
      </c>
    </row>
    <row r="31" spans="2:79" outlineLevel="1" x14ac:dyDescent="0.25">
      <c r="B31" t="s">
        <v>27</v>
      </c>
      <c r="C31" s="17">
        <v>0</v>
      </c>
      <c r="D31" s="17"/>
      <c r="E31" s="17">
        <v>0</v>
      </c>
      <c r="F31" s="17"/>
      <c r="G31" s="17">
        <v>0</v>
      </c>
      <c r="H31" s="17"/>
      <c r="I31" s="17">
        <f t="array" ref="I31">SUM(IF(Period=I$4,IF(Category=$A$8,IF(Provider=$B31,Score))))</f>
        <v>85</v>
      </c>
      <c r="J31" s="17"/>
      <c r="K31" s="20">
        <f t="array" ref="K31">SUM(IF(Period=I$4,IF(Category=$A$8,IF(Provider=$B31,Responses))))</f>
        <v>5</v>
      </c>
      <c r="L31" s="20"/>
      <c r="M31" s="17">
        <f t="shared" si="0"/>
        <v>2.125</v>
      </c>
      <c r="N31" s="17"/>
      <c r="O31" s="17">
        <f t="shared" si="1"/>
        <v>0.35153019023986765</v>
      </c>
      <c r="P31" s="17"/>
      <c r="Q31" s="17">
        <f t="array" ref="Q31">SUM(IF(Period=Q$4,IF(Category=$A$8,IF(Provider=$B31,Score))))</f>
        <v>100</v>
      </c>
      <c r="R31" s="17"/>
      <c r="S31" s="20">
        <f t="array" ref="S31">SUM(IF(Period=Q$4,IF(Category=$A$8,IF(Provider=$B31,Responses))))</f>
        <v>6</v>
      </c>
      <c r="T31" s="20"/>
      <c r="U31" s="17">
        <f t="shared" si="2"/>
        <v>3.1914893617021276</v>
      </c>
      <c r="V31" s="17"/>
      <c r="W31" s="17">
        <f t="shared" si="3"/>
        <v>0.53475935828876997</v>
      </c>
      <c r="X31" s="17"/>
      <c r="Y31" s="17">
        <f t="array" ref="Y31">SUM(IF(Period=Y$4,IF(Category=$A$8,IF(Provider=$B31,Score))))</f>
        <v>70.8</v>
      </c>
      <c r="Z31" s="17"/>
      <c r="AA31" s="20">
        <f t="array" ref="AA31">SUM(IF(Period=Y$4,IF(Category=$A$8,IF(Provider=$B31,Responses))))</f>
        <v>6</v>
      </c>
      <c r="AB31" s="20"/>
      <c r="AC31" s="17">
        <f t="shared" si="4"/>
        <v>1.3973684210526314</v>
      </c>
      <c r="AD31" s="17"/>
      <c r="AE31" s="17">
        <f t="shared" si="5"/>
        <v>0.23430777716491999</v>
      </c>
      <c r="AF31" s="17"/>
      <c r="AG31" s="17">
        <f t="array" ref="AG31">SUM(IF(Period=AG$4,IF(Category=$A$8,IF(Provider=$B31,Score))))</f>
        <v>90</v>
      </c>
      <c r="AH31" s="17"/>
      <c r="AI31" s="20">
        <f t="array" ref="AI31">SUM(IF(Period=AG$4,IF(Category=$A$8,IF(Provider=$B31,Responses))))</f>
        <v>10</v>
      </c>
      <c r="AJ31" s="20"/>
      <c r="AK31" s="17">
        <f t="shared" si="6"/>
        <v>3.515625</v>
      </c>
      <c r="AL31" s="17"/>
      <c r="AM31" s="17">
        <f t="shared" si="7"/>
        <v>0.58290155440414504</v>
      </c>
      <c r="AN31" s="17"/>
      <c r="AO31" s="17">
        <f t="array" ref="AO31">SUM(IF(Period=AO$4,IF(Category=$A$8,IF(Provider=$B31,Score))))</f>
        <v>84.4</v>
      </c>
      <c r="AP31" s="17"/>
      <c r="AQ31" s="20">
        <f t="array" ref="AQ31">SUM(IF(Period=AO$4,IF(Category=$A$8,IF(Provider=$B31,Responses))))</f>
        <v>8</v>
      </c>
      <c r="AR31" s="20"/>
      <c r="AS31" s="17">
        <f t="shared" si="8"/>
        <v>3.9255813953488374</v>
      </c>
      <c r="AT31" s="17"/>
      <c r="AU31" s="17">
        <f t="shared" si="9"/>
        <v>0.65808966861598439</v>
      </c>
      <c r="AV31" s="17"/>
      <c r="AW31" s="17">
        <f t="array" ref="AW31">SUM(IF(Period=AW$4,IF(Category=$A$8,IF(Provider=$B31,Score))))</f>
        <v>70</v>
      </c>
      <c r="AX31" s="17"/>
      <c r="AY31" s="20">
        <f t="array" ref="AY31">SUM(IF(Period=AW$4,IF(Category=$A$8,IF(Provider=$B31,Responses))))</f>
        <v>5</v>
      </c>
      <c r="AZ31" s="20"/>
      <c r="BA31" s="17">
        <f t="shared" si="10"/>
        <v>1.6129032258064517</v>
      </c>
      <c r="BB31" s="17"/>
      <c r="BC31" s="17">
        <f t="shared" si="11"/>
        <v>0.26881720430107525</v>
      </c>
      <c r="BD31" s="17"/>
      <c r="BE31" s="17">
        <f t="array" ref="BE31">SUM(IF(Period=BE$4,IF(Category=$A$8,IF(Provider=$B31,Score))))</f>
        <v>87.5</v>
      </c>
      <c r="BF31" s="17"/>
      <c r="BG31" s="20">
        <f t="array" ref="BG31">SUM(IF(Period=BE$4,IF(Category=$A$8,IF(Provider=$B31,Responses))))</f>
        <v>8</v>
      </c>
      <c r="BH31" s="20"/>
      <c r="BI31" s="17">
        <f t="shared" si="12"/>
        <v>2.978723404255319</v>
      </c>
      <c r="BJ31" s="17"/>
      <c r="BK31" s="17">
        <f t="shared" si="13"/>
        <v>0.4946996466431095</v>
      </c>
      <c r="BL31" s="17"/>
      <c r="BM31" s="17">
        <f t="array" ref="BM31">SUM(IF(Period=BM$4,IF(Category=$A$8,IF(Provider=$B31,Score))))</f>
        <v>86.7</v>
      </c>
      <c r="BN31" s="17"/>
      <c r="BO31" s="20">
        <f t="array" ref="BO31">SUM(IF(Period=BM$4,IF(Category=$A$8,IF(Provider=$B31,Responses))))</f>
        <v>15</v>
      </c>
      <c r="BP31" s="20"/>
      <c r="BQ31" s="17">
        <f t="shared" si="14"/>
        <v>5.605603448275863</v>
      </c>
      <c r="BR31" s="17"/>
      <c r="BS31" s="17">
        <f t="shared" si="15"/>
        <v>0.93831168831168832</v>
      </c>
      <c r="BT31" s="17"/>
      <c r="BU31" s="17">
        <f t="array" ref="BU31">SUM(IF(Period=BU$4,IF(Category=$A$8,IF(Provider=$B31,Score))))</f>
        <v>80</v>
      </c>
      <c r="BV31" s="17"/>
      <c r="BW31" s="20">
        <f t="array" ref="BW31">SUM(IF(Period=BU$4,IF(Category=$A$8,IF(Provider=$B31,Responses))))</f>
        <v>5</v>
      </c>
      <c r="BX31" s="20"/>
      <c r="BY31" s="17">
        <f t="shared" si="16"/>
        <v>1.6528925619834711</v>
      </c>
      <c r="BZ31" s="17"/>
      <c r="CA31" s="17">
        <f t="shared" si="17"/>
        <v>0.27643400138217</v>
      </c>
    </row>
    <row r="32" spans="2:79" outlineLevel="1" x14ac:dyDescent="0.25">
      <c r="B32" t="s">
        <v>19</v>
      </c>
      <c r="C32" s="17">
        <v>0</v>
      </c>
      <c r="D32" s="17"/>
      <c r="E32" s="17">
        <v>0</v>
      </c>
      <c r="F32" s="17"/>
      <c r="G32" s="17">
        <v>0</v>
      </c>
      <c r="H32" s="17"/>
      <c r="I32" s="17">
        <f t="array" ref="I32">SUM(IF(Period=I$4,IF(Category=$A$8,IF(Provider=$B32,Score))))</f>
        <v>75</v>
      </c>
      <c r="J32" s="17"/>
      <c r="K32" s="20">
        <f t="array" ref="K32">SUM(IF(Period=I$4,IF(Category=$A$8,IF(Provider=$B32,Responses))))</f>
        <v>4</v>
      </c>
      <c r="L32" s="20"/>
      <c r="M32" s="17">
        <f t="shared" si="0"/>
        <v>1.5</v>
      </c>
      <c r="N32" s="17"/>
      <c r="O32" s="17">
        <f t="shared" si="1"/>
        <v>0.24813895781637718</v>
      </c>
      <c r="P32" s="17"/>
      <c r="Q32" s="17">
        <f t="array" ref="Q32">SUM(IF(Period=Q$4,IF(Category=$A$8,IF(Provider=$B32,Score))))</f>
        <v>75</v>
      </c>
      <c r="R32" s="17"/>
      <c r="S32" s="20">
        <f t="array" ref="S32">SUM(IF(Period=Q$4,IF(Category=$A$8,IF(Provider=$B32,Responses))))</f>
        <v>4</v>
      </c>
      <c r="T32" s="20"/>
      <c r="U32" s="17">
        <f t="shared" si="2"/>
        <v>1.5957446808510638</v>
      </c>
      <c r="V32" s="17"/>
      <c r="W32" s="17">
        <f t="shared" si="3"/>
        <v>0.26737967914438499</v>
      </c>
      <c r="X32" s="17"/>
      <c r="Y32" s="17">
        <f t="array" ref="Y32">SUM(IF(Period=Y$4,IF(Category=$A$8,IF(Provider=$B32,Score))))</f>
        <v>100</v>
      </c>
      <c r="Z32" s="17"/>
      <c r="AA32" s="20">
        <f t="array" ref="AA32">SUM(IF(Period=Y$4,IF(Category=$A$8,IF(Provider=$B32,Responses))))</f>
        <v>3</v>
      </c>
      <c r="AB32" s="20"/>
      <c r="AC32" s="17">
        <f t="shared" si="4"/>
        <v>0.98684210526315785</v>
      </c>
      <c r="AD32" s="17"/>
      <c r="AE32" s="17">
        <f t="shared" si="5"/>
        <v>0.16547159404302261</v>
      </c>
      <c r="AF32" s="17"/>
      <c r="AG32" s="17">
        <f t="array" ref="AG32">SUM(IF(Period=AG$4,IF(Category=$A$8,IF(Provider=$B32,Score))))</f>
        <v>81.3</v>
      </c>
      <c r="AH32" s="17"/>
      <c r="AI32" s="20">
        <f t="array" ref="AI32">SUM(IF(Period=AG$4,IF(Category=$A$8,IF(Provider=$B32,Responses))))</f>
        <v>8</v>
      </c>
      <c r="AJ32" s="20"/>
      <c r="AK32" s="17">
        <f t="shared" si="6"/>
        <v>2.5406249999999999</v>
      </c>
      <c r="AL32" s="17"/>
      <c r="AM32" s="17">
        <f t="shared" si="7"/>
        <v>0.42124352331606219</v>
      </c>
      <c r="AN32" s="17"/>
      <c r="AO32" s="17">
        <f t="array" ref="AO32">SUM(IF(Period=AO$4,IF(Category=$A$8,IF(Provider=$B32,Score))))</f>
        <v>25</v>
      </c>
      <c r="AP32" s="17"/>
      <c r="AQ32" s="20">
        <f t="array" ref="AQ32">SUM(IF(Period=AO$4,IF(Category=$A$8,IF(Provider=$B32,Responses))))</f>
        <v>3</v>
      </c>
      <c r="AR32" s="20"/>
      <c r="AS32" s="17">
        <f t="shared" si="8"/>
        <v>0.43604651162790697</v>
      </c>
      <c r="AT32" s="17"/>
      <c r="AU32" s="17">
        <f t="shared" si="9"/>
        <v>7.3099415204678359E-2</v>
      </c>
      <c r="AV32" s="17"/>
      <c r="AW32" s="17">
        <f t="array" ref="AW32">SUM(IF(Period=AW$4,IF(Category=$A$8,IF(Provider=$B32,Score))))</f>
        <v>82.1</v>
      </c>
      <c r="AX32" s="17"/>
      <c r="AY32" s="20">
        <f t="array" ref="AY32">SUM(IF(Period=AW$4,IF(Category=$A$8,IF(Provider=$B32,Responses))))</f>
        <v>7</v>
      </c>
      <c r="AZ32" s="20"/>
      <c r="BA32" s="17">
        <f t="shared" si="10"/>
        <v>2.6483870967741932</v>
      </c>
      <c r="BB32" s="17"/>
      <c r="BC32" s="17">
        <f t="shared" si="11"/>
        <v>0.4413978494623656</v>
      </c>
      <c r="BD32" s="17"/>
      <c r="BE32" s="17">
        <f t="array" ref="BE32">SUM(IF(Period=BE$4,IF(Category=$A$8,IF(Provider=$B32,Score))))</f>
        <v>66.7</v>
      </c>
      <c r="BF32" s="17"/>
      <c r="BG32" s="20">
        <f t="array" ref="BG32">SUM(IF(Period=BE$4,IF(Category=$A$8,IF(Provider=$B32,Responses))))</f>
        <v>9</v>
      </c>
      <c r="BH32" s="20"/>
      <c r="BI32" s="17">
        <f t="shared" si="12"/>
        <v>2.5544680851063832</v>
      </c>
      <c r="BJ32" s="17"/>
      <c r="BK32" s="17">
        <f t="shared" si="13"/>
        <v>0.42424028268551239</v>
      </c>
      <c r="BL32" s="17"/>
      <c r="BM32" s="17">
        <f t="array" ref="BM32">SUM(IF(Period=BM$4,IF(Category=$A$8,IF(Provider=$B32,Score))))</f>
        <v>79.2</v>
      </c>
      <c r="BN32" s="17"/>
      <c r="BO32" s="20">
        <f t="array" ref="BO32">SUM(IF(Period=BM$4,IF(Category=$A$8,IF(Provider=$B32,Responses))))</f>
        <v>6</v>
      </c>
      <c r="BP32" s="20"/>
      <c r="BQ32" s="17">
        <f t="shared" si="14"/>
        <v>2.0482758620689654</v>
      </c>
      <c r="BR32" s="17"/>
      <c r="BS32" s="17">
        <f t="shared" si="15"/>
        <v>0.34285714285714286</v>
      </c>
      <c r="BT32" s="17"/>
      <c r="BU32" s="17">
        <f t="array" ref="BU32">SUM(IF(Period=BU$4,IF(Category=$A$8,IF(Provider=$B32,Score))))</f>
        <v>78.099999999999994</v>
      </c>
      <c r="BV32" s="17"/>
      <c r="BW32" s="20">
        <f t="array" ref="BW32">SUM(IF(Period=BU$4,IF(Category=$A$8,IF(Provider=$B32,Responses))))</f>
        <v>8</v>
      </c>
      <c r="BX32" s="20"/>
      <c r="BY32" s="17">
        <f t="shared" si="16"/>
        <v>2.5818181818181816</v>
      </c>
      <c r="BZ32" s="17"/>
      <c r="CA32" s="17">
        <f t="shared" si="17"/>
        <v>0.43178991015894952</v>
      </c>
    </row>
    <row r="33" spans="1:79" outlineLevel="1" x14ac:dyDescent="0.25">
      <c r="B33" t="s">
        <v>34</v>
      </c>
      <c r="C33" s="17">
        <v>0</v>
      </c>
      <c r="D33" s="17"/>
      <c r="E33" s="17">
        <v>0</v>
      </c>
      <c r="F33" s="17"/>
      <c r="G33" s="17">
        <v>0</v>
      </c>
      <c r="H33" s="17"/>
      <c r="I33" s="17">
        <f t="array" ref="I33">SUM(IF(Period=I$4,IF(Category=$A$8,IF(Provider=$B33,Score))))</f>
        <v>75</v>
      </c>
      <c r="J33" s="17"/>
      <c r="K33" s="20">
        <f t="array" ref="K33">SUM(IF(Period=I$4,IF(Category=$A$8,IF(Provider=$B33,Responses))))</f>
        <v>1</v>
      </c>
      <c r="L33" s="20"/>
      <c r="M33" s="17">
        <f t="shared" si="0"/>
        <v>0.375</v>
      </c>
      <c r="N33" s="17"/>
      <c r="O33" s="17">
        <f t="shared" si="1"/>
        <v>6.2034739454094295E-2</v>
      </c>
      <c r="P33" s="17"/>
      <c r="Q33" s="17">
        <f t="array" ref="Q33">SUM(IF(Period=Q$4,IF(Category=$A$8,IF(Provider=$B33,Score))))</f>
        <v>93.8</v>
      </c>
      <c r="R33" s="17"/>
      <c r="S33" s="20">
        <f t="array" ref="S33">SUM(IF(Period=Q$4,IF(Category=$A$8,IF(Provider=$B33,Responses))))</f>
        <v>4</v>
      </c>
      <c r="T33" s="20"/>
      <c r="U33" s="17">
        <f t="shared" si="2"/>
        <v>1.9957446808510637</v>
      </c>
      <c r="V33" s="17"/>
      <c r="W33" s="17">
        <f t="shared" si="3"/>
        <v>0.33440285204991083</v>
      </c>
      <c r="X33" s="17"/>
      <c r="Y33" s="17">
        <f t="array" ref="Y33">SUM(IF(Period=Y$4,IF(Category=$A$8,IF(Provider=$B33,Score))))</f>
        <v>72.900000000000006</v>
      </c>
      <c r="Z33" s="17"/>
      <c r="AA33" s="20">
        <f t="array" ref="AA33">SUM(IF(Period=Y$4,IF(Category=$A$8,IF(Provider=$B33,Responses))))</f>
        <v>12</v>
      </c>
      <c r="AB33" s="20"/>
      <c r="AC33" s="17">
        <f t="shared" si="4"/>
        <v>2.8776315789473683</v>
      </c>
      <c r="AD33" s="17"/>
      <c r="AE33" s="17">
        <f t="shared" si="5"/>
        <v>0.48251516822945395</v>
      </c>
      <c r="AF33" s="17"/>
      <c r="AG33" s="17">
        <f t="array" ref="AG33">SUM(IF(Period=AG$4,IF(Category=$A$8,IF(Provider=$B33,Score))))</f>
        <v>90.6</v>
      </c>
      <c r="AH33" s="17"/>
      <c r="AI33" s="20">
        <f t="array" ref="AI33">SUM(IF(Period=AG$4,IF(Category=$A$8,IF(Provider=$B33,Responses))))</f>
        <v>8</v>
      </c>
      <c r="AJ33" s="20"/>
      <c r="AK33" s="17">
        <f t="shared" si="6"/>
        <v>2.8312499999999998</v>
      </c>
      <c r="AL33" s="17"/>
      <c r="AM33" s="17">
        <f t="shared" si="7"/>
        <v>0.46943005181347147</v>
      </c>
      <c r="AN33" s="17"/>
      <c r="AO33" s="17">
        <f t="array" ref="AO33">SUM(IF(Period=AO$4,IF(Category=$A$8,IF(Provider=$B33,Score))))</f>
        <v>87.5</v>
      </c>
      <c r="AP33" s="17"/>
      <c r="AQ33" s="20">
        <f t="array" ref="AQ33">SUM(IF(Period=AO$4,IF(Category=$A$8,IF(Provider=$B33,Responses))))</f>
        <v>2</v>
      </c>
      <c r="AR33" s="20"/>
      <c r="AS33" s="17">
        <f t="shared" si="8"/>
        <v>1.0174418604651163</v>
      </c>
      <c r="AT33" s="17"/>
      <c r="AU33" s="17">
        <f t="shared" si="9"/>
        <v>0.1705653021442495</v>
      </c>
      <c r="AV33" s="17"/>
      <c r="AW33" s="17">
        <f t="array" ref="AW33">SUM(IF(Period=AW$4,IF(Category=$A$8,IF(Provider=$B33,Score))))</f>
        <v>75</v>
      </c>
      <c r="AX33" s="17"/>
      <c r="AY33" s="20">
        <f t="array" ref="AY33">SUM(IF(Period=AW$4,IF(Category=$A$8,IF(Provider=$B33,Responses))))</f>
        <v>5</v>
      </c>
      <c r="AZ33" s="20"/>
      <c r="BA33" s="17">
        <f t="shared" si="10"/>
        <v>1.728110599078341</v>
      </c>
      <c r="BB33" s="17"/>
      <c r="BC33" s="17">
        <f t="shared" si="11"/>
        <v>0.28801843317972348</v>
      </c>
      <c r="BD33" s="17"/>
      <c r="BE33" s="17">
        <f t="array" ref="BE33">SUM(IF(Period=BE$4,IF(Category=$A$8,IF(Provider=$B33,Score))))</f>
        <v>84.4</v>
      </c>
      <c r="BF33" s="17"/>
      <c r="BG33" s="20">
        <f t="array" ref="BG33">SUM(IF(Period=BE$4,IF(Category=$A$8,IF(Provider=$B33,Responses))))</f>
        <v>8</v>
      </c>
      <c r="BH33" s="20"/>
      <c r="BI33" s="17">
        <f t="shared" si="12"/>
        <v>2.8731914893617025</v>
      </c>
      <c r="BJ33" s="17"/>
      <c r="BK33" s="17">
        <f t="shared" si="13"/>
        <v>0.47717314487632512</v>
      </c>
      <c r="BL33" s="17"/>
      <c r="BM33" s="17">
        <f t="array" ref="BM33">SUM(IF(Period=BM$4,IF(Category=$A$8,IF(Provider=$B33,Score))))</f>
        <v>87.5</v>
      </c>
      <c r="BN33" s="17"/>
      <c r="BO33" s="20">
        <f t="array" ref="BO33">SUM(IF(Period=BM$4,IF(Category=$A$8,IF(Provider=$B33,Responses))))</f>
        <v>12</v>
      </c>
      <c r="BP33" s="20"/>
      <c r="BQ33" s="17">
        <f t="shared" si="14"/>
        <v>4.5258620689655169</v>
      </c>
      <c r="BR33" s="17"/>
      <c r="BS33" s="17">
        <f t="shared" si="15"/>
        <v>0.75757575757575757</v>
      </c>
      <c r="BT33" s="17"/>
      <c r="BU33" s="17">
        <f t="array" ref="BU33">SUM(IF(Period=BU$4,IF(Category=$A$8,IF(Provider=$B33,Score))))</f>
        <v>91.7</v>
      </c>
      <c r="BV33" s="17"/>
      <c r="BW33" s="20">
        <f t="array" ref="BW33">SUM(IF(Period=BU$4,IF(Category=$A$8,IF(Provider=$B33,Responses))))</f>
        <v>3</v>
      </c>
      <c r="BX33" s="20"/>
      <c r="BY33" s="17">
        <f t="shared" si="16"/>
        <v>1.1367768595041323</v>
      </c>
      <c r="BZ33" s="17"/>
      <c r="CA33" s="17">
        <f t="shared" si="17"/>
        <v>0.19011748445058743</v>
      </c>
    </row>
    <row r="34" spans="1:79" outlineLevel="1" x14ac:dyDescent="0.25">
      <c r="B34" t="s">
        <v>41</v>
      </c>
      <c r="C34" s="17">
        <v>0</v>
      </c>
      <c r="D34" s="17"/>
      <c r="E34" s="17">
        <v>0</v>
      </c>
      <c r="F34" s="17"/>
      <c r="G34" s="17">
        <v>0</v>
      </c>
      <c r="H34" s="17"/>
      <c r="I34" s="17">
        <f t="array" ref="I34">SUM(IF(Period=I$4,IF(Category=$A$8,IF(Provider=$B34,Score))))</f>
        <v>58.3</v>
      </c>
      <c r="J34" s="17"/>
      <c r="K34" s="20">
        <f t="array" ref="K34">SUM(IF(Period=I$4,IF(Category=$A$8,IF(Provider=$B34,Responses))))</f>
        <v>3</v>
      </c>
      <c r="L34" s="20"/>
      <c r="M34" s="17">
        <f t="shared" si="0"/>
        <v>0.87449999999999994</v>
      </c>
      <c r="N34" s="17"/>
      <c r="O34" s="17">
        <f t="shared" si="1"/>
        <v>0.14466501240694787</v>
      </c>
      <c r="P34" s="17"/>
      <c r="Q34" s="17">
        <f t="array" ref="Q34">SUM(IF(Period=Q$4,IF(Category=$A$8,IF(Provider=$B34,Score))))</f>
        <v>80</v>
      </c>
      <c r="R34" s="17"/>
      <c r="S34" s="20">
        <f t="array" ref="S34">SUM(IF(Period=Q$4,IF(Category=$A$8,IF(Provider=$B34,Responses))))</f>
        <v>5</v>
      </c>
      <c r="T34" s="20"/>
      <c r="U34" s="17">
        <f t="shared" si="2"/>
        <v>2.1276595744680851</v>
      </c>
      <c r="V34" s="17"/>
      <c r="W34" s="17">
        <f t="shared" si="3"/>
        <v>0.35650623885918004</v>
      </c>
      <c r="X34" s="17"/>
      <c r="Y34" s="17">
        <f t="array" ref="Y34">SUM(IF(Period=Y$4,IF(Category=$A$8,IF(Provider=$B34,Score))))</f>
        <v>84.4</v>
      </c>
      <c r="Z34" s="17"/>
      <c r="AA34" s="20">
        <f t="array" ref="AA34">SUM(IF(Period=Y$4,IF(Category=$A$8,IF(Provider=$B34,Responses))))</f>
        <v>8</v>
      </c>
      <c r="AB34" s="20"/>
      <c r="AC34" s="17">
        <f t="shared" si="4"/>
        <v>2.2210526315789476</v>
      </c>
      <c r="AD34" s="17"/>
      <c r="AE34" s="17">
        <f t="shared" si="5"/>
        <v>0.37242140099282961</v>
      </c>
      <c r="AF34" s="17"/>
      <c r="AG34" s="17">
        <f t="array" ref="AG34">SUM(IF(Period=AG$4,IF(Category=$A$8,IF(Provider=$B34,Score))))</f>
        <v>95.8</v>
      </c>
      <c r="AH34" s="17"/>
      <c r="AI34" s="20">
        <f t="array" ref="AI34">SUM(IF(Period=AG$4,IF(Category=$A$8,IF(Provider=$B34,Responses))))</f>
        <v>6</v>
      </c>
      <c r="AJ34" s="20"/>
      <c r="AK34" s="17">
        <f t="shared" si="6"/>
        <v>2.2453124999999998</v>
      </c>
      <c r="AL34" s="17"/>
      <c r="AM34" s="17">
        <f t="shared" si="7"/>
        <v>0.37227979274611395</v>
      </c>
      <c r="AN34" s="17"/>
      <c r="AO34" s="17">
        <f t="array" ref="AO34">SUM(IF(Period=AO$4,IF(Category=$A$8,IF(Provider=$B34,Score))))</f>
        <v>66.7</v>
      </c>
      <c r="AP34" s="17"/>
      <c r="AQ34" s="20">
        <f t="array" ref="AQ34">SUM(IF(Period=AO$4,IF(Category=$A$8,IF(Provider=$B34,Responses))))</f>
        <v>6</v>
      </c>
      <c r="AR34" s="20"/>
      <c r="AS34" s="17">
        <f t="shared" si="8"/>
        <v>2.3267441860465117</v>
      </c>
      <c r="AT34" s="17"/>
      <c r="AU34" s="17">
        <f t="shared" si="9"/>
        <v>0.39005847953216372</v>
      </c>
      <c r="AV34" s="17"/>
      <c r="AW34" s="17">
        <f t="array" ref="AW34">SUM(IF(Period=AW$4,IF(Category=$A$8,IF(Provider=$B34,Score))))</f>
        <v>100</v>
      </c>
      <c r="AX34" s="17"/>
      <c r="AY34" s="20">
        <f t="array" ref="AY34">SUM(IF(Period=AW$4,IF(Category=$A$8,IF(Provider=$B34,Responses))))</f>
        <v>4</v>
      </c>
      <c r="AZ34" s="20"/>
      <c r="BA34" s="17">
        <f t="shared" si="10"/>
        <v>1.8433179723502304</v>
      </c>
      <c r="BB34" s="17"/>
      <c r="BC34" s="17">
        <f t="shared" si="11"/>
        <v>0.30721966205837176</v>
      </c>
      <c r="BD34" s="17"/>
      <c r="BE34" s="17">
        <f t="array" ref="BE34">SUM(IF(Period=BE$4,IF(Category=$A$8,IF(Provider=$B34,Score))))</f>
        <v>82.1</v>
      </c>
      <c r="BF34" s="17"/>
      <c r="BG34" s="20">
        <f t="array" ref="BG34">SUM(IF(Period=BE$4,IF(Category=$A$8,IF(Provider=$B34,Responses))))</f>
        <v>7</v>
      </c>
      <c r="BH34" s="20"/>
      <c r="BI34" s="17">
        <f t="shared" si="12"/>
        <v>2.4455319148936168</v>
      </c>
      <c r="BJ34" s="17"/>
      <c r="BK34" s="17">
        <f t="shared" si="13"/>
        <v>0.40614840989399292</v>
      </c>
      <c r="BL34" s="17"/>
      <c r="BM34" s="17">
        <f t="array" ref="BM34">SUM(IF(Period=BM$4,IF(Category=$A$8,IF(Provider=$B34,Score))))</f>
        <v>81.3</v>
      </c>
      <c r="BN34" s="17"/>
      <c r="BO34" s="20">
        <f t="array" ref="BO34">SUM(IF(Period=BM$4,IF(Category=$A$8,IF(Provider=$B34,Responses))))</f>
        <v>4</v>
      </c>
      <c r="BP34" s="20"/>
      <c r="BQ34" s="17">
        <f t="shared" si="14"/>
        <v>1.4017241379310343</v>
      </c>
      <c r="BR34" s="17"/>
      <c r="BS34" s="17">
        <f t="shared" si="15"/>
        <v>0.23463203463203464</v>
      </c>
      <c r="BT34" s="17"/>
      <c r="BU34" s="17">
        <f t="array" ref="BU34">SUM(IF(Period=BU$4,IF(Category=$A$8,IF(Provider=$B34,Score))))</f>
        <v>83.3</v>
      </c>
      <c r="BV34" s="17"/>
      <c r="BW34" s="20">
        <f t="array" ref="BW34">SUM(IF(Period=BU$4,IF(Category=$A$8,IF(Provider=$B34,Responses))))</f>
        <v>6</v>
      </c>
      <c r="BX34" s="20"/>
      <c r="BY34" s="17">
        <f t="shared" si="16"/>
        <v>2.0652892561983469</v>
      </c>
      <c r="BZ34" s="17"/>
      <c r="CA34" s="17">
        <f t="shared" si="17"/>
        <v>0.34540428472702139</v>
      </c>
    </row>
    <row r="35" spans="1:79" outlineLevel="1" x14ac:dyDescent="0.25">
      <c r="B35" t="s">
        <v>13</v>
      </c>
      <c r="C35" s="17">
        <v>0</v>
      </c>
      <c r="D35" s="17"/>
      <c r="E35" s="17">
        <v>0</v>
      </c>
      <c r="F35" s="17"/>
      <c r="G35" s="17">
        <v>0</v>
      </c>
      <c r="H35" s="17"/>
      <c r="I35" s="17">
        <f t="array" ref="I35">SUM(IF(Period=I$4,IF(Category=$A$8,IF(Provider=$B35,Score))))</f>
        <v>100</v>
      </c>
      <c r="J35" s="17"/>
      <c r="K35" s="20">
        <f t="array" ref="K35">SUM(IF(Period=I$4,IF(Category=$A$8,IF(Provider=$B35,Responses))))</f>
        <v>6</v>
      </c>
      <c r="L35" s="20"/>
      <c r="M35" s="17">
        <f t="shared" si="0"/>
        <v>3</v>
      </c>
      <c r="N35" s="17"/>
      <c r="O35" s="17">
        <f t="shared" si="1"/>
        <v>0.49627791563275436</v>
      </c>
      <c r="P35" s="17"/>
      <c r="Q35" s="17">
        <f t="array" ref="Q35">SUM(IF(Period=Q$4,IF(Category=$A$8,IF(Provider=$B35,Score))))</f>
        <v>78.099999999999994</v>
      </c>
      <c r="R35" s="17"/>
      <c r="S35" s="20">
        <f t="array" ref="S35">SUM(IF(Period=Q$4,IF(Category=$A$8,IF(Provider=$B35,Responses))))</f>
        <v>16</v>
      </c>
      <c r="T35" s="20"/>
      <c r="U35" s="17">
        <f t="shared" si="2"/>
        <v>6.646808510638297</v>
      </c>
      <c r="V35" s="17"/>
      <c r="W35" s="17">
        <f t="shared" si="3"/>
        <v>1.1137254901960782</v>
      </c>
      <c r="X35" s="17"/>
      <c r="Y35" s="17">
        <f t="array" ref="Y35">SUM(IF(Period=Y$4,IF(Category=$A$8,IF(Provider=$B35,Score))))</f>
        <v>93.8</v>
      </c>
      <c r="Z35" s="17"/>
      <c r="AA35" s="20">
        <f t="array" ref="AA35">SUM(IF(Period=Y$4,IF(Category=$A$8,IF(Provider=$B35,Responses))))</f>
        <v>12</v>
      </c>
      <c r="AB35" s="20"/>
      <c r="AC35" s="17">
        <f t="shared" si="4"/>
        <v>3.7026315789473681</v>
      </c>
      <c r="AD35" s="17"/>
      <c r="AE35" s="17">
        <f t="shared" si="5"/>
        <v>0.62084942084942085</v>
      </c>
      <c r="AF35" s="17"/>
      <c r="AG35" s="17">
        <f t="array" ref="AG35">SUM(IF(Period=AG$4,IF(Category=$A$8,IF(Provider=$B35,Score))))</f>
        <v>82.8</v>
      </c>
      <c r="AH35" s="17"/>
      <c r="AI35" s="20">
        <f t="array" ref="AI35">SUM(IF(Period=AG$4,IF(Category=$A$8,IF(Provider=$B35,Responses))))</f>
        <v>16</v>
      </c>
      <c r="AJ35" s="20"/>
      <c r="AK35" s="17">
        <f t="shared" si="6"/>
        <v>5.1749999999999998</v>
      </c>
      <c r="AL35" s="17"/>
      <c r="AM35" s="17">
        <f t="shared" si="7"/>
        <v>0.85803108808290152</v>
      </c>
      <c r="AN35" s="17"/>
      <c r="AO35" s="17">
        <f t="array" ref="AO35">SUM(IF(Period=AO$4,IF(Category=$A$8,IF(Provider=$B35,Score))))</f>
        <v>100</v>
      </c>
      <c r="AP35" s="17"/>
      <c r="AQ35" s="20">
        <f t="array" ref="AQ35">SUM(IF(Period=AO$4,IF(Category=$A$8,IF(Provider=$B35,Responses))))</f>
        <v>4</v>
      </c>
      <c r="AR35" s="20"/>
      <c r="AS35" s="17">
        <f t="shared" si="8"/>
        <v>2.3255813953488373</v>
      </c>
      <c r="AT35" s="17"/>
      <c r="AU35" s="17">
        <f t="shared" si="9"/>
        <v>0.38986354775828458</v>
      </c>
      <c r="AV35" s="17"/>
      <c r="AW35" s="17">
        <f t="array" ref="AW35">SUM(IF(Period=AW$4,IF(Category=$A$8,IF(Provider=$B35,Score))))</f>
        <v>66.2</v>
      </c>
      <c r="AX35" s="17"/>
      <c r="AY35" s="20">
        <f t="array" ref="AY35">SUM(IF(Period=AW$4,IF(Category=$A$8,IF(Provider=$B35,Responses))))</f>
        <v>17</v>
      </c>
      <c r="AZ35" s="20"/>
      <c r="BA35" s="17">
        <f t="shared" si="10"/>
        <v>5.186175115207373</v>
      </c>
      <c r="BB35" s="17"/>
      <c r="BC35" s="17">
        <f t="shared" si="11"/>
        <v>0.86436251920122886</v>
      </c>
      <c r="BD35" s="17"/>
      <c r="BE35" s="17">
        <f t="array" ref="BE35">SUM(IF(Period=BE$4,IF(Category=$A$8,IF(Provider=$B35,Score))))</f>
        <v>92.5</v>
      </c>
      <c r="BF35" s="17"/>
      <c r="BG35" s="20">
        <f t="array" ref="BG35">SUM(IF(Period=BE$4,IF(Category=$A$8,IF(Provider=$B35,Responses))))</f>
        <v>10</v>
      </c>
      <c r="BH35" s="20"/>
      <c r="BI35" s="17">
        <f t="shared" si="12"/>
        <v>3.9361702127659575</v>
      </c>
      <c r="BJ35" s="17"/>
      <c r="BK35" s="17">
        <f t="shared" si="13"/>
        <v>0.6537102473498233</v>
      </c>
      <c r="BL35" s="17"/>
      <c r="BM35" s="17">
        <f t="array" ref="BM35">SUM(IF(Period=BM$4,IF(Category=$A$8,IF(Provider=$B35,Score))))</f>
        <v>85.7</v>
      </c>
      <c r="BN35" s="17"/>
      <c r="BO35" s="20">
        <f t="array" ref="BO35">SUM(IF(Period=BM$4,IF(Category=$A$8,IF(Provider=$B35,Responses))))</f>
        <v>14</v>
      </c>
      <c r="BP35" s="20"/>
      <c r="BQ35" s="17">
        <f t="shared" si="14"/>
        <v>5.1715517241379318</v>
      </c>
      <c r="BR35" s="17"/>
      <c r="BS35" s="17">
        <f t="shared" si="15"/>
        <v>0.86565656565656579</v>
      </c>
      <c r="BT35" s="17"/>
      <c r="BU35" s="17">
        <f t="array" ref="BU35">SUM(IF(Period=BU$4,IF(Category=$A$8,IF(Provider=$B35,Score))))</f>
        <v>75</v>
      </c>
      <c r="BV35" s="17"/>
      <c r="BW35" s="20">
        <f t="array" ref="BW35">SUM(IF(Period=BU$4,IF(Category=$A$8,IF(Provider=$B35,Responses))))</f>
        <v>17</v>
      </c>
      <c r="BX35" s="20"/>
      <c r="BY35" s="17">
        <f t="shared" si="16"/>
        <v>5.2685950413223139</v>
      </c>
      <c r="BZ35" s="17"/>
      <c r="CA35" s="17">
        <f t="shared" si="17"/>
        <v>0.88113337940566694</v>
      </c>
    </row>
    <row r="36" spans="1:79" outlineLevel="1" x14ac:dyDescent="0.25">
      <c r="B36" t="s">
        <v>25</v>
      </c>
      <c r="C36" s="17">
        <v>0</v>
      </c>
      <c r="D36" s="17"/>
      <c r="E36" s="17">
        <v>0</v>
      </c>
      <c r="F36" s="17"/>
      <c r="G36" s="17">
        <v>0</v>
      </c>
      <c r="H36" s="17"/>
      <c r="I36" s="17">
        <f t="array" ref="I36">SUM(IF(Period=I$4,IF(Category=$A$8,IF(Provider=$B36,Score))))</f>
        <v>79.2</v>
      </c>
      <c r="J36" s="17"/>
      <c r="K36" s="20">
        <f t="array" ref="K36">SUM(IF(Period=I$4,IF(Category=$A$8,IF(Provider=$B36,Responses))))</f>
        <v>6</v>
      </c>
      <c r="L36" s="20"/>
      <c r="M36" s="17">
        <f t="shared" si="0"/>
        <v>2.3759999999999999</v>
      </c>
      <c r="N36" s="17"/>
      <c r="O36" s="17">
        <f t="shared" si="1"/>
        <v>0.39305210918114147</v>
      </c>
      <c r="P36" s="17"/>
      <c r="Q36" s="17">
        <f t="array" ref="Q36">SUM(IF(Period=Q$4,IF(Category=$A$8,IF(Provider=$B36,Score))))</f>
        <v>78.099999999999994</v>
      </c>
      <c r="R36" s="17"/>
      <c r="S36" s="20">
        <f t="array" ref="S36">SUM(IF(Period=Q$4,IF(Category=$A$8,IF(Provider=$B36,Responses))))</f>
        <v>8</v>
      </c>
      <c r="T36" s="20"/>
      <c r="U36" s="17">
        <f t="shared" si="2"/>
        <v>3.3234042553191485</v>
      </c>
      <c r="V36" s="17"/>
      <c r="W36" s="17">
        <f t="shared" si="3"/>
        <v>0.55686274509803912</v>
      </c>
      <c r="X36" s="17"/>
      <c r="Y36" s="17">
        <f t="array" ref="Y36">SUM(IF(Period=Y$4,IF(Category=$A$8,IF(Provider=$B36,Score))))</f>
        <v>80</v>
      </c>
      <c r="Z36" s="17"/>
      <c r="AA36" s="20">
        <f t="array" ref="AA36">SUM(IF(Period=Y$4,IF(Category=$A$8,IF(Provider=$B36,Responses))))</f>
        <v>10</v>
      </c>
      <c r="AB36" s="20"/>
      <c r="AC36" s="17">
        <f t="shared" si="4"/>
        <v>2.6315789473684208</v>
      </c>
      <c r="AD36" s="17"/>
      <c r="AE36" s="17">
        <f t="shared" si="5"/>
        <v>0.44125758411472699</v>
      </c>
      <c r="AF36" s="17"/>
      <c r="AG36" s="17">
        <f t="array" ref="AG36">SUM(IF(Period=AG$4,IF(Category=$A$8,IF(Provider=$B36,Score))))</f>
        <v>80</v>
      </c>
      <c r="AH36" s="17"/>
      <c r="AI36" s="20">
        <f t="array" ref="AI36">SUM(IF(Period=AG$4,IF(Category=$A$8,IF(Provider=$B36,Responses))))</f>
        <v>5</v>
      </c>
      <c r="AJ36" s="20"/>
      <c r="AK36" s="17">
        <f t="shared" si="6"/>
        <v>1.5625</v>
      </c>
      <c r="AL36" s="17"/>
      <c r="AM36" s="17">
        <f t="shared" si="7"/>
        <v>0.25906735751295334</v>
      </c>
      <c r="AN36" s="17"/>
      <c r="AO36" s="17">
        <f t="array" ref="AO36">SUM(IF(Period=AO$4,IF(Category=$A$8,IF(Provider=$B36,Score))))</f>
        <v>71.400000000000006</v>
      </c>
      <c r="AP36" s="17"/>
      <c r="AQ36" s="20">
        <f t="array" ref="AQ36">SUM(IF(Period=AO$4,IF(Category=$A$8,IF(Provider=$B36,Responses))))</f>
        <v>7</v>
      </c>
      <c r="AR36" s="20"/>
      <c r="AS36" s="17">
        <f t="shared" si="8"/>
        <v>2.9058139534883725</v>
      </c>
      <c r="AT36" s="17"/>
      <c r="AU36" s="17">
        <f t="shared" si="9"/>
        <v>0.48713450292397664</v>
      </c>
      <c r="AV36" s="17"/>
      <c r="AW36" s="17">
        <f t="array" ref="AW36">SUM(IF(Period=AW$4,IF(Category=$A$8,IF(Provider=$B36,Score))))</f>
        <v>66.7</v>
      </c>
      <c r="AX36" s="17"/>
      <c r="AY36" s="20">
        <f t="array" ref="AY36">SUM(IF(Period=AW$4,IF(Category=$A$8,IF(Provider=$B36,Responses))))</f>
        <v>3</v>
      </c>
      <c r="AZ36" s="20"/>
      <c r="BA36" s="17">
        <f t="shared" si="10"/>
        <v>0.92211981566820289</v>
      </c>
      <c r="BB36" s="17"/>
      <c r="BC36" s="17">
        <f t="shared" si="11"/>
        <v>0.15368663594470047</v>
      </c>
      <c r="BD36" s="17"/>
      <c r="BE36" s="17">
        <f t="array" ref="BE36">SUM(IF(Period=BE$4,IF(Category=$A$8,IF(Provider=$B36,Score))))</f>
        <v>100</v>
      </c>
      <c r="BF36" s="17"/>
      <c r="BG36" s="20">
        <f t="array" ref="BG36">SUM(IF(Period=BE$4,IF(Category=$A$8,IF(Provider=$B36,Responses))))</f>
        <v>1</v>
      </c>
      <c r="BH36" s="20"/>
      <c r="BI36" s="17">
        <f t="shared" si="12"/>
        <v>0.42553191489361702</v>
      </c>
      <c r="BJ36" s="17"/>
      <c r="BK36" s="17">
        <f t="shared" si="13"/>
        <v>7.0671378091872794E-2</v>
      </c>
      <c r="BL36" s="17"/>
      <c r="BM36" s="17">
        <f t="array" ref="BM36">SUM(IF(Period=BM$4,IF(Category=$A$8,IF(Provider=$B36,Score))))</f>
        <v>66.7</v>
      </c>
      <c r="BN36" s="17"/>
      <c r="BO36" s="20">
        <f t="array" ref="BO36">SUM(IF(Period=BM$4,IF(Category=$A$8,IF(Provider=$B36,Responses))))</f>
        <v>3</v>
      </c>
      <c r="BP36" s="20"/>
      <c r="BQ36" s="17">
        <f t="shared" si="14"/>
        <v>0.86250000000000004</v>
      </c>
      <c r="BR36" s="17"/>
      <c r="BS36" s="17">
        <f t="shared" si="15"/>
        <v>0.14437229437229437</v>
      </c>
      <c r="BT36" s="17"/>
      <c r="BU36" s="17">
        <f t="array" ref="BU36">SUM(IF(Period=BU$4,IF(Category=$A$8,IF(Provider=$B36,Score))))</f>
        <v>57.1</v>
      </c>
      <c r="BV36" s="17"/>
      <c r="BW36" s="20">
        <f t="array" ref="BW36">SUM(IF(Period=BU$4,IF(Category=$A$8,IF(Provider=$B36,Responses))))</f>
        <v>7</v>
      </c>
      <c r="BX36" s="20"/>
      <c r="BY36" s="17">
        <f t="shared" si="16"/>
        <v>1.6516528925619836</v>
      </c>
      <c r="BZ36" s="17"/>
      <c r="CA36" s="17">
        <f t="shared" si="17"/>
        <v>0.27622667588113342</v>
      </c>
    </row>
    <row r="37" spans="1:79" outlineLevel="1" x14ac:dyDescent="0.25">
      <c r="B37" t="s">
        <v>43</v>
      </c>
      <c r="C37" s="17">
        <v>0</v>
      </c>
      <c r="D37" s="17"/>
      <c r="E37" s="17">
        <v>0</v>
      </c>
      <c r="F37" s="17"/>
      <c r="G37" s="17">
        <v>0</v>
      </c>
      <c r="H37" s="17"/>
      <c r="I37" s="17">
        <f t="array" ref="I37">SUM(IF(Period=I$4,IF(Category=$A$8,IF(Provider=$B37,Score))))</f>
        <v>11.1</v>
      </c>
      <c r="J37" s="17"/>
      <c r="K37" s="20">
        <f t="array" ref="K37">SUM(IF(Period=I$4,IF(Category=$A$8,IF(Provider=$B37,Responses))))</f>
        <v>9</v>
      </c>
      <c r="L37" s="20"/>
      <c r="M37" s="17">
        <f t="shared" si="0"/>
        <v>0.49949999999999994</v>
      </c>
      <c r="N37" s="17"/>
      <c r="O37" s="17">
        <f t="shared" si="1"/>
        <v>8.2630272952853592E-2</v>
      </c>
      <c r="P37" s="17"/>
      <c r="Q37" s="17">
        <f t="array" ref="Q37">SUM(IF(Period=Q$4,IF(Category=$A$8,IF(Provider=$B37,Score))))</f>
        <v>66.7</v>
      </c>
      <c r="R37" s="17"/>
      <c r="S37" s="20">
        <f t="array" ref="S37">SUM(IF(Period=Q$4,IF(Category=$A$8,IF(Provider=$B37,Responses))))</f>
        <v>9</v>
      </c>
      <c r="T37" s="20"/>
      <c r="U37" s="17">
        <f t="shared" si="2"/>
        <v>3.1930851063829788</v>
      </c>
      <c r="V37" s="17"/>
      <c r="W37" s="17">
        <f t="shared" si="3"/>
        <v>0.53502673796791456</v>
      </c>
      <c r="X37" s="17"/>
      <c r="Y37" s="17">
        <f t="array" ref="Y37">SUM(IF(Period=Y$4,IF(Category=$A$8,IF(Provider=$B37,Score))))</f>
        <v>61.8</v>
      </c>
      <c r="Z37" s="17"/>
      <c r="AA37" s="20">
        <f t="array" ref="AA37">SUM(IF(Period=Y$4,IF(Category=$A$8,IF(Provider=$B37,Responses))))</f>
        <v>19</v>
      </c>
      <c r="AB37" s="20"/>
      <c r="AC37" s="17">
        <f t="shared" si="4"/>
        <v>3.8624999999999998</v>
      </c>
      <c r="AD37" s="17"/>
      <c r="AE37" s="17">
        <f t="shared" si="5"/>
        <v>0.64765581908439052</v>
      </c>
      <c r="AF37" s="17"/>
      <c r="AG37" s="17">
        <f t="array" ref="AG37">SUM(IF(Period=AG$4,IF(Category=$A$8,IF(Provider=$B37,Score))))</f>
        <v>65</v>
      </c>
      <c r="AH37" s="17"/>
      <c r="AI37" s="20">
        <f t="array" ref="AI37">SUM(IF(Period=AG$4,IF(Category=$A$8,IF(Provider=$B37,Responses))))</f>
        <v>5</v>
      </c>
      <c r="AJ37" s="20"/>
      <c r="AK37" s="17">
        <f t="shared" si="6"/>
        <v>1.26953125</v>
      </c>
      <c r="AL37" s="17"/>
      <c r="AM37" s="17">
        <f t="shared" si="7"/>
        <v>0.21049222797927461</v>
      </c>
      <c r="AN37" s="17"/>
      <c r="AO37" s="17">
        <f t="array" ref="AO37">SUM(IF(Period=AO$4,IF(Category=$A$8,IF(Provider=$B37,Score))))</f>
        <v>85</v>
      </c>
      <c r="AP37" s="17"/>
      <c r="AQ37" s="20">
        <f t="array" ref="AQ37">SUM(IF(Period=AO$4,IF(Category=$A$8,IF(Provider=$B37,Responses))))</f>
        <v>5</v>
      </c>
      <c r="AR37" s="20"/>
      <c r="AS37" s="17">
        <f t="shared" si="8"/>
        <v>2.4709302325581395</v>
      </c>
      <c r="AT37" s="17"/>
      <c r="AU37" s="17">
        <f t="shared" si="9"/>
        <v>0.41423001949317739</v>
      </c>
      <c r="AV37" s="17"/>
      <c r="AW37" s="17">
        <f t="array" ref="AW37">SUM(IF(Period=AW$4,IF(Category=$A$8,IF(Provider=$B37,Score))))</f>
        <v>68.8</v>
      </c>
      <c r="AX37" s="17"/>
      <c r="AY37" s="20">
        <f t="array" ref="AY37">SUM(IF(Period=AW$4,IF(Category=$A$8,IF(Provider=$B37,Responses))))</f>
        <v>4</v>
      </c>
      <c r="AZ37" s="20"/>
      <c r="BA37" s="17">
        <f t="shared" si="10"/>
        <v>1.2682027649769585</v>
      </c>
      <c r="BB37" s="17"/>
      <c r="BC37" s="17">
        <f t="shared" si="11"/>
        <v>0.21136712749615974</v>
      </c>
      <c r="BD37" s="17"/>
      <c r="BE37" s="17">
        <f t="array" ref="BE37">SUM(IF(Period=BE$4,IF(Category=$A$8,IF(Provider=$B37,Score))))</f>
        <v>100</v>
      </c>
      <c r="BF37" s="17"/>
      <c r="BG37" s="20">
        <f t="array" ref="BG37">SUM(IF(Period=BE$4,IF(Category=$A$8,IF(Provider=$B37,Responses))))</f>
        <v>4</v>
      </c>
      <c r="BH37" s="20"/>
      <c r="BI37" s="17">
        <f t="shared" si="12"/>
        <v>1.7021276595744681</v>
      </c>
      <c r="BJ37" s="17"/>
      <c r="BK37" s="17">
        <f t="shared" si="13"/>
        <v>0.28268551236749118</v>
      </c>
      <c r="BL37" s="17"/>
      <c r="BM37" s="17">
        <f t="array" ref="BM37">SUM(IF(Period=BM$4,IF(Category=$A$8,IF(Provider=$B37,Score))))</f>
        <v>100</v>
      </c>
      <c r="BN37" s="17"/>
      <c r="BO37" s="20">
        <f t="array" ref="BO37">SUM(IF(Period=BM$4,IF(Category=$A$8,IF(Provider=$B37,Responses))))</f>
        <v>1</v>
      </c>
      <c r="BP37" s="20"/>
      <c r="BQ37" s="17">
        <f t="shared" si="14"/>
        <v>0.43103448275862066</v>
      </c>
      <c r="BR37" s="17"/>
      <c r="BS37" s="17">
        <f t="shared" si="15"/>
        <v>7.2150072150072145E-2</v>
      </c>
      <c r="BT37" s="17"/>
      <c r="BU37" s="17">
        <f t="array" ref="BU37">SUM(IF(Period=BU$4,IF(Category=$A$8,IF(Provider=$B37,Score))))</f>
        <v>50</v>
      </c>
      <c r="BV37" s="17"/>
      <c r="BW37" s="20">
        <f t="array" ref="BW37">SUM(IF(Period=BU$4,IF(Category=$A$8,IF(Provider=$B37,Responses))))</f>
        <v>11</v>
      </c>
      <c r="BX37" s="20"/>
      <c r="BY37" s="17">
        <f t="shared" si="16"/>
        <v>2.2727272727272729</v>
      </c>
      <c r="BZ37" s="17"/>
      <c r="CA37" s="17">
        <f t="shared" si="17"/>
        <v>0.38009675190048375</v>
      </c>
    </row>
    <row r="38" spans="1:79" outlineLevel="1" x14ac:dyDescent="0.25">
      <c r="B38" t="s">
        <v>29</v>
      </c>
      <c r="C38" s="17">
        <v>0</v>
      </c>
      <c r="D38" s="17"/>
      <c r="E38" s="17">
        <v>0</v>
      </c>
      <c r="F38" s="17"/>
      <c r="G38" s="17">
        <v>0</v>
      </c>
      <c r="H38" s="17"/>
      <c r="I38" s="17">
        <f t="array" ref="I38">SUM(IF(Period=I$4,IF(Category=$A$8,IF(Provider=$B38,Score))))</f>
        <v>83.3</v>
      </c>
      <c r="J38" s="17"/>
      <c r="K38" s="20">
        <f t="array" ref="K38">SUM(IF(Period=I$4,IF(Category=$A$8,IF(Provider=$B38,Responses))))</f>
        <v>6</v>
      </c>
      <c r="L38" s="20"/>
      <c r="M38" s="17">
        <f t="shared" si="0"/>
        <v>2.4989999999999997</v>
      </c>
      <c r="N38" s="17"/>
      <c r="O38" s="17">
        <f t="shared" si="1"/>
        <v>0.41339950372208434</v>
      </c>
      <c r="P38" s="17"/>
      <c r="Q38" s="17">
        <f t="array" ref="Q38">SUM(IF(Period=Q$4,IF(Category=$A$8,IF(Provider=$B38,Score))))</f>
        <v>71.400000000000006</v>
      </c>
      <c r="R38" s="17"/>
      <c r="S38" s="20">
        <f t="array" ref="S38">SUM(IF(Period=Q$4,IF(Category=$A$8,IF(Provider=$B38,Responses))))</f>
        <v>7</v>
      </c>
      <c r="T38" s="20"/>
      <c r="U38" s="17">
        <f t="shared" si="2"/>
        <v>2.6585106382978725</v>
      </c>
      <c r="V38" s="17"/>
      <c r="W38" s="17">
        <f t="shared" si="3"/>
        <v>0.44545454545454549</v>
      </c>
      <c r="X38" s="17"/>
      <c r="Y38" s="17">
        <f t="array" ref="Y38">SUM(IF(Period=Y$4,IF(Category=$A$8,IF(Provider=$B38,Score))))</f>
        <v>70.8</v>
      </c>
      <c r="Z38" s="17"/>
      <c r="AA38" s="20">
        <f t="array" ref="AA38">SUM(IF(Period=Y$4,IF(Category=$A$8,IF(Provider=$B38,Responses))))</f>
        <v>6</v>
      </c>
      <c r="AB38" s="20"/>
      <c r="AC38" s="17">
        <f t="shared" si="4"/>
        <v>1.3973684210526314</v>
      </c>
      <c r="AD38" s="17"/>
      <c r="AE38" s="17">
        <f t="shared" si="5"/>
        <v>0.23430777716491999</v>
      </c>
      <c r="AF38" s="17"/>
      <c r="AG38" s="17">
        <f t="array" ref="AG38">SUM(IF(Period=AG$4,IF(Category=$A$8,IF(Provider=$B38,Score))))</f>
        <v>82.1</v>
      </c>
      <c r="AH38" s="17"/>
      <c r="AI38" s="20">
        <f t="array" ref="AI38">SUM(IF(Period=AG$4,IF(Category=$A$8,IF(Provider=$B38,Responses))))</f>
        <v>7</v>
      </c>
      <c r="AJ38" s="20"/>
      <c r="AK38" s="17">
        <f t="shared" si="6"/>
        <v>2.2449218749999997</v>
      </c>
      <c r="AL38" s="17"/>
      <c r="AM38" s="17">
        <f t="shared" si="7"/>
        <v>0.37221502590673572</v>
      </c>
      <c r="AN38" s="17"/>
      <c r="AO38" s="17">
        <f t="array" ref="AO38">SUM(IF(Period=AO$4,IF(Category=$A$8,IF(Provider=$B38,Score))))</f>
        <v>100</v>
      </c>
      <c r="AP38" s="17"/>
      <c r="AQ38" s="20">
        <f t="array" ref="AQ38">SUM(IF(Period=AO$4,IF(Category=$A$8,IF(Provider=$B38,Responses))))</f>
        <v>2</v>
      </c>
      <c r="AR38" s="20"/>
      <c r="AS38" s="17">
        <f t="shared" si="8"/>
        <v>1.1627906976744187</v>
      </c>
      <c r="AT38" s="17"/>
      <c r="AU38" s="17">
        <f t="shared" si="9"/>
        <v>0.19493177387914229</v>
      </c>
      <c r="AV38" s="17"/>
      <c r="AW38" s="17">
        <f t="array" ref="AW38">SUM(IF(Period=AW$4,IF(Category=$A$8,IF(Provider=$B38,Score))))</f>
        <v>81.3</v>
      </c>
      <c r="AX38" s="17"/>
      <c r="AY38" s="20">
        <f t="array" ref="AY38">SUM(IF(Period=AW$4,IF(Category=$A$8,IF(Provider=$B38,Responses))))</f>
        <v>4</v>
      </c>
      <c r="AZ38" s="20"/>
      <c r="BA38" s="17">
        <f t="shared" si="10"/>
        <v>1.4986175115207372</v>
      </c>
      <c r="BB38" s="17"/>
      <c r="BC38" s="17">
        <f t="shared" si="11"/>
        <v>0.24976958525345622</v>
      </c>
      <c r="BD38" s="17"/>
      <c r="BE38" s="17">
        <f t="array" ref="BE38">SUM(IF(Period=BE$4,IF(Category=$A$8,IF(Provider=$B38,Score))))</f>
        <v>75</v>
      </c>
      <c r="BF38" s="17"/>
      <c r="BG38" s="20">
        <f t="array" ref="BG38">SUM(IF(Period=BE$4,IF(Category=$A$8,IF(Provider=$B38,Responses))))</f>
        <v>1</v>
      </c>
      <c r="BH38" s="20"/>
      <c r="BI38" s="17">
        <f t="shared" si="12"/>
        <v>0.31914893617021278</v>
      </c>
      <c r="BJ38" s="17"/>
      <c r="BK38" s="17">
        <f t="shared" si="13"/>
        <v>5.3003533568904589E-2</v>
      </c>
      <c r="BL38" s="17"/>
      <c r="BM38" s="17">
        <f t="array" ref="BM38">SUM(IF(Period=BM$4,IF(Category=$A$8,IF(Provider=$B38,Score))))</f>
        <v>87.5</v>
      </c>
      <c r="BN38" s="17"/>
      <c r="BO38" s="20">
        <f t="array" ref="BO38">SUM(IF(Period=BM$4,IF(Category=$A$8,IF(Provider=$B38,Responses))))</f>
        <v>6</v>
      </c>
      <c r="BP38" s="20"/>
      <c r="BQ38" s="17">
        <f t="shared" si="14"/>
        <v>2.2629310344827585</v>
      </c>
      <c r="BR38" s="17"/>
      <c r="BS38" s="17">
        <f t="shared" si="15"/>
        <v>0.37878787878787878</v>
      </c>
      <c r="BT38" s="17"/>
      <c r="BU38" s="17">
        <f t="array" ref="BU38">SUM(IF(Period=BU$4,IF(Category=$A$8,IF(Provider=$B38,Score))))</f>
        <v>100</v>
      </c>
      <c r="BV38" s="17"/>
      <c r="BW38" s="20">
        <f t="array" ref="BW38">SUM(IF(Period=BU$4,IF(Category=$A$8,IF(Provider=$B38,Responses))))</f>
        <v>4</v>
      </c>
      <c r="BX38" s="20"/>
      <c r="BY38" s="17">
        <f t="shared" si="16"/>
        <v>1.6528925619834711</v>
      </c>
      <c r="BZ38" s="17"/>
      <c r="CA38" s="17">
        <f t="shared" si="17"/>
        <v>0.27643400138217</v>
      </c>
    </row>
    <row r="39" spans="1:79" outlineLevel="1" x14ac:dyDescent="0.25">
      <c r="B39" t="s">
        <v>20</v>
      </c>
      <c r="C39" s="17">
        <v>0</v>
      </c>
      <c r="D39" s="17"/>
      <c r="E39" s="17">
        <v>0</v>
      </c>
      <c r="F39" s="17"/>
      <c r="G39" s="17">
        <v>0</v>
      </c>
      <c r="H39" s="17"/>
      <c r="I39" s="17">
        <f t="array" ref="I39">SUM(IF(Period=I$4,IF(Category=$A$8,IF(Provider=$B39,Score))))</f>
        <v>80</v>
      </c>
      <c r="J39" s="17"/>
      <c r="K39" s="20">
        <f t="array" ref="K39">SUM(IF(Period=I$4,IF(Category=$A$8,IF(Provider=$B39,Responses))))</f>
        <v>5</v>
      </c>
      <c r="L39" s="20"/>
      <c r="M39" s="17">
        <f t="shared" si="0"/>
        <v>2</v>
      </c>
      <c r="N39" s="17"/>
      <c r="O39" s="17">
        <f t="shared" si="1"/>
        <v>0.33085194375516958</v>
      </c>
      <c r="P39" s="17"/>
      <c r="Q39" s="17">
        <f t="array" ref="Q39">SUM(IF(Period=Q$4,IF(Category=$A$8,IF(Provider=$B39,Score))))</f>
        <v>75</v>
      </c>
      <c r="R39" s="17"/>
      <c r="S39" s="20">
        <f t="array" ref="S39">SUM(IF(Period=Q$4,IF(Category=$A$8,IF(Provider=$B39,Responses))))</f>
        <v>6</v>
      </c>
      <c r="T39" s="20"/>
      <c r="U39" s="17">
        <f t="shared" si="2"/>
        <v>2.3936170212765955</v>
      </c>
      <c r="V39" s="17"/>
      <c r="W39" s="17">
        <f t="shared" si="3"/>
        <v>0.40106951871657753</v>
      </c>
      <c r="X39" s="17"/>
      <c r="Y39" s="17">
        <f t="array" ref="Y39">SUM(IF(Period=Y$4,IF(Category=$A$8,IF(Provider=$B39,Score))))</f>
        <v>73.5</v>
      </c>
      <c r="Z39" s="17"/>
      <c r="AA39" s="20">
        <f t="array" ref="AA39">SUM(IF(Period=Y$4,IF(Category=$A$8,IF(Provider=$B39,Responses))))</f>
        <v>17</v>
      </c>
      <c r="AB39" s="20"/>
      <c r="AC39" s="17">
        <f t="shared" si="4"/>
        <v>4.1101973684210531</v>
      </c>
      <c r="AD39" s="17"/>
      <c r="AE39" s="17">
        <f t="shared" si="5"/>
        <v>0.68918918918918914</v>
      </c>
      <c r="AF39" s="17"/>
      <c r="AG39" s="17">
        <f t="array" ref="AG39">SUM(IF(Period=AG$4,IF(Category=$A$8,IF(Provider=$B39,Score))))</f>
        <v>83.8</v>
      </c>
      <c r="AH39" s="17"/>
      <c r="AI39" s="20">
        <f t="array" ref="AI39">SUM(IF(Period=AG$4,IF(Category=$A$8,IF(Provider=$B39,Responses))))</f>
        <v>17</v>
      </c>
      <c r="AJ39" s="20"/>
      <c r="AK39" s="17">
        <f t="shared" si="6"/>
        <v>5.5648437499999996</v>
      </c>
      <c r="AL39" s="17"/>
      <c r="AM39" s="17">
        <f t="shared" si="7"/>
        <v>0.9226683937823833</v>
      </c>
      <c r="AN39" s="17"/>
      <c r="AO39" s="17">
        <f t="array" ref="AO39">SUM(IF(Period=AO$4,IF(Category=$A$8,IF(Provider=$B39,Score))))</f>
        <v>75</v>
      </c>
      <c r="AP39" s="17"/>
      <c r="AQ39" s="20">
        <f t="array" ref="AQ39">SUM(IF(Period=AO$4,IF(Category=$A$8,IF(Provider=$B39,Responses))))</f>
        <v>3</v>
      </c>
      <c r="AR39" s="20"/>
      <c r="AS39" s="17">
        <f t="shared" si="8"/>
        <v>1.3081395348837208</v>
      </c>
      <c r="AT39" s="17"/>
      <c r="AU39" s="17">
        <f t="shared" si="9"/>
        <v>0.21929824561403508</v>
      </c>
      <c r="AV39" s="17"/>
      <c r="AW39" s="17">
        <f t="array" ref="AW39">SUM(IF(Period=AW$4,IF(Category=$A$8,IF(Provider=$B39,Score))))</f>
        <v>75</v>
      </c>
      <c r="AX39" s="17"/>
      <c r="AY39" s="20">
        <f t="array" ref="AY39">SUM(IF(Period=AW$4,IF(Category=$A$8,IF(Provider=$B39,Responses))))</f>
        <v>6</v>
      </c>
      <c r="AZ39" s="20"/>
      <c r="BA39" s="17">
        <f t="shared" si="10"/>
        <v>2.0737327188940093</v>
      </c>
      <c r="BB39" s="17"/>
      <c r="BC39" s="17">
        <f t="shared" si="11"/>
        <v>0.34562211981566821</v>
      </c>
      <c r="BD39" s="17"/>
      <c r="BE39" s="17">
        <f t="array" ref="BE39">SUM(IF(Period=BE$4,IF(Category=$A$8,IF(Provider=$B39,Score))))</f>
        <v>91.7</v>
      </c>
      <c r="BF39" s="17"/>
      <c r="BG39" s="20">
        <f t="array" ref="BG39">SUM(IF(Period=BE$4,IF(Category=$A$8,IF(Provider=$B39,Responses))))</f>
        <v>6</v>
      </c>
      <c r="BH39" s="20"/>
      <c r="BI39" s="17">
        <f t="shared" si="12"/>
        <v>2.3412765957446808</v>
      </c>
      <c r="BJ39" s="17"/>
      <c r="BK39" s="17">
        <f t="shared" si="13"/>
        <v>0.38883392226148406</v>
      </c>
      <c r="BL39" s="17"/>
      <c r="BM39" s="17">
        <f t="array" ref="BM39">SUM(IF(Period=BM$4,IF(Category=$A$8,IF(Provider=$B39,Score))))</f>
        <v>94.4</v>
      </c>
      <c r="BN39" s="17"/>
      <c r="BO39" s="20">
        <f t="array" ref="BO39">SUM(IF(Period=BM$4,IF(Category=$A$8,IF(Provider=$B39,Responses))))</f>
        <v>9</v>
      </c>
      <c r="BP39" s="20"/>
      <c r="BQ39" s="17">
        <f t="shared" si="14"/>
        <v>3.6620689655172418</v>
      </c>
      <c r="BR39" s="17"/>
      <c r="BS39" s="17">
        <f t="shared" si="15"/>
        <v>0.61298701298701308</v>
      </c>
      <c r="BT39" s="17"/>
      <c r="BU39" s="17">
        <f t="array" ref="BU39">SUM(IF(Period=BU$4,IF(Category=$A$8,IF(Provider=$B39,Score))))</f>
        <v>85.7</v>
      </c>
      <c r="BV39" s="17"/>
      <c r="BW39" s="20">
        <f t="array" ref="BW39">SUM(IF(Period=BU$4,IF(Category=$A$8,IF(Provider=$B39,Responses))))</f>
        <v>7</v>
      </c>
      <c r="BX39" s="20"/>
      <c r="BY39" s="17">
        <f t="shared" si="16"/>
        <v>2.4789256198347109</v>
      </c>
      <c r="BZ39" s="17"/>
      <c r="CA39" s="17">
        <f t="shared" si="17"/>
        <v>0.41458189357290953</v>
      </c>
    </row>
    <row r="40" spans="1:79" outlineLevel="1" x14ac:dyDescent="0.25">
      <c r="B40" t="s">
        <v>37</v>
      </c>
      <c r="C40" s="17">
        <v>0</v>
      </c>
      <c r="D40" s="17"/>
      <c r="E40" s="17">
        <v>0</v>
      </c>
      <c r="F40" s="17"/>
      <c r="G40" s="17">
        <v>0</v>
      </c>
      <c r="H40" s="17"/>
      <c r="I40" s="17">
        <f t="array" ref="I40">SUM(IF(Period=I$4,IF(Category=$A$8,IF(Provider=$B40,Score))))</f>
        <v>67.3</v>
      </c>
      <c r="J40" s="17"/>
      <c r="K40" s="20">
        <f t="array" ref="K40">SUM(IF(Period=I$4,IF(Category=$A$8,IF(Provider=$B40,Responses))))</f>
        <v>13</v>
      </c>
      <c r="L40" s="20"/>
      <c r="M40" s="17">
        <f t="shared" si="0"/>
        <v>4.3745000000000003</v>
      </c>
      <c r="N40" s="17"/>
      <c r="O40" s="17">
        <f t="shared" si="1"/>
        <v>0.7236559139784946</v>
      </c>
      <c r="P40" s="17"/>
      <c r="Q40" s="17">
        <f t="array" ref="Q40">SUM(IF(Period=Q$4,IF(Category=$A$8,IF(Provider=$B40,Score))))</f>
        <v>82.5</v>
      </c>
      <c r="R40" s="17"/>
      <c r="S40" s="20">
        <f t="array" ref="S40">SUM(IF(Period=Q$4,IF(Category=$A$8,IF(Provider=$B40,Responses))))</f>
        <v>10</v>
      </c>
      <c r="T40" s="20"/>
      <c r="U40" s="17">
        <f t="shared" si="2"/>
        <v>4.3882978723404253</v>
      </c>
      <c r="V40" s="17"/>
      <c r="W40" s="17">
        <f t="shared" si="3"/>
        <v>0.73529411764705888</v>
      </c>
      <c r="X40" s="17"/>
      <c r="Y40" s="17">
        <f t="array" ref="Y40">SUM(IF(Period=Y$4,IF(Category=$A$8,IF(Provider=$B40,Score))))</f>
        <v>64.5</v>
      </c>
      <c r="Z40" s="17"/>
      <c r="AA40" s="20">
        <f t="array" ref="AA40">SUM(IF(Period=Y$4,IF(Category=$A$8,IF(Provider=$B40,Responses))))</f>
        <v>19</v>
      </c>
      <c r="AB40" s="20"/>
      <c r="AC40" s="17">
        <f t="shared" si="4"/>
        <v>4.03125</v>
      </c>
      <c r="AD40" s="17"/>
      <c r="AE40" s="17">
        <f t="shared" si="5"/>
        <v>0.67595146166574738</v>
      </c>
      <c r="AF40" s="17"/>
      <c r="AG40" s="17">
        <f t="array" ref="AG40">SUM(IF(Period=AG$4,IF(Category=$A$8,IF(Provider=$B40,Score))))</f>
        <v>68.8</v>
      </c>
      <c r="AH40" s="17"/>
      <c r="AI40" s="20">
        <f t="array" ref="AI40">SUM(IF(Period=AG$4,IF(Category=$A$8,IF(Provider=$B40,Responses))))</f>
        <v>16</v>
      </c>
      <c r="AJ40" s="20"/>
      <c r="AK40" s="17">
        <f t="shared" si="6"/>
        <v>4.3</v>
      </c>
      <c r="AL40" s="17"/>
      <c r="AM40" s="17">
        <f t="shared" si="7"/>
        <v>0.71295336787564767</v>
      </c>
      <c r="AN40" s="17"/>
      <c r="AO40" s="17">
        <f t="array" ref="AO40">SUM(IF(Period=AO$4,IF(Category=$A$8,IF(Provider=$B40,Score))))</f>
        <v>0</v>
      </c>
      <c r="AP40" s="17"/>
      <c r="AQ40" s="20">
        <f t="array" ref="AQ40">SUM(IF(Period=AO$4,IF(Category=$A$8,IF(Provider=$B40,Responses))))</f>
        <v>0</v>
      </c>
      <c r="AR40" s="20"/>
      <c r="AS40" s="17">
        <f t="shared" si="8"/>
        <v>0</v>
      </c>
      <c r="AT40" s="17"/>
      <c r="AU40" s="17">
        <f t="shared" si="9"/>
        <v>0</v>
      </c>
      <c r="AV40" s="17"/>
      <c r="AW40" s="17">
        <f t="array" ref="AW40">SUM(IF(Period=AW$4,IF(Category=$A$8,IF(Provider=$B40,Score))))</f>
        <v>87.5</v>
      </c>
      <c r="AX40" s="17"/>
      <c r="AY40" s="20">
        <f t="array" ref="AY40">SUM(IF(Period=AW$4,IF(Category=$A$8,IF(Provider=$B40,Responses))))</f>
        <v>6</v>
      </c>
      <c r="AZ40" s="20"/>
      <c r="BA40" s="17">
        <f t="shared" si="10"/>
        <v>2.4193548387096775</v>
      </c>
      <c r="BB40" s="17"/>
      <c r="BC40" s="17">
        <f t="shared" si="11"/>
        <v>0.40322580645161288</v>
      </c>
      <c r="BD40" s="17"/>
      <c r="BE40" s="17">
        <f t="array" ref="BE40">SUM(IF(Period=BE$4,IF(Category=$A$8,IF(Provider=$B40,Score))))</f>
        <v>80</v>
      </c>
      <c r="BF40" s="17"/>
      <c r="BG40" s="20">
        <f t="array" ref="BG40">SUM(IF(Period=BE$4,IF(Category=$A$8,IF(Provider=$B40,Responses))))</f>
        <v>15</v>
      </c>
      <c r="BH40" s="20"/>
      <c r="BI40" s="17">
        <f t="shared" si="12"/>
        <v>5.1063829787234036</v>
      </c>
      <c r="BJ40" s="17"/>
      <c r="BK40" s="17">
        <f t="shared" si="13"/>
        <v>0.84805653710247353</v>
      </c>
      <c r="BL40" s="17"/>
      <c r="BM40" s="17">
        <f t="array" ref="BM40">SUM(IF(Period=BM$4,IF(Category=$A$8,IF(Provider=$B40,Score))))</f>
        <v>100</v>
      </c>
      <c r="BN40" s="17"/>
      <c r="BO40" s="20">
        <f t="array" ref="BO40">SUM(IF(Period=BM$4,IF(Category=$A$8,IF(Provider=$B40,Responses))))</f>
        <v>1</v>
      </c>
      <c r="BP40" s="20"/>
      <c r="BQ40" s="17">
        <f t="shared" si="14"/>
        <v>0.43103448275862066</v>
      </c>
      <c r="BR40" s="17"/>
      <c r="BS40" s="17">
        <f t="shared" si="15"/>
        <v>7.2150072150072145E-2</v>
      </c>
      <c r="BT40" s="17"/>
      <c r="BU40" s="17">
        <f t="array" ref="BU40">SUM(IF(Period=BU$4,IF(Category=$A$8,IF(Provider=$B40,Score))))</f>
        <v>75</v>
      </c>
      <c r="BV40" s="17"/>
      <c r="BW40" s="20">
        <f t="array" ref="BW40">SUM(IF(Period=BU$4,IF(Category=$A$8,IF(Provider=$B40,Responses))))</f>
        <v>6</v>
      </c>
      <c r="BX40" s="20"/>
      <c r="BY40" s="17">
        <f t="shared" si="16"/>
        <v>1.859504132231405</v>
      </c>
      <c r="BZ40" s="17"/>
      <c r="CA40" s="17">
        <f t="shared" si="17"/>
        <v>0.31098825155494125</v>
      </c>
    </row>
    <row r="41" spans="1:79" outlineLevel="1" x14ac:dyDescent="0.25">
      <c r="B41" t="s">
        <v>226</v>
      </c>
      <c r="C41" s="17">
        <v>0</v>
      </c>
      <c r="D41" s="17"/>
      <c r="E41" s="17">
        <v>0</v>
      </c>
      <c r="F41" s="17"/>
      <c r="G41" s="17">
        <v>0</v>
      </c>
      <c r="H41" s="17"/>
      <c r="I41" s="17">
        <f t="array" ref="I41">SUM(IF(Period=I$4,IF(Category=$A$8,IF(Provider=$B41,Score))))</f>
        <v>0</v>
      </c>
      <c r="J41" s="17"/>
      <c r="K41" s="20">
        <f t="array" ref="K41">SUM(IF(Period=I$4,IF(Category=$A$8,IF(Provider=$B41,Responses))))</f>
        <v>0</v>
      </c>
      <c r="L41" s="20"/>
      <c r="M41" s="17">
        <f t="shared" si="0"/>
        <v>0</v>
      </c>
      <c r="N41" s="17"/>
      <c r="O41" s="17">
        <f t="shared" si="1"/>
        <v>0</v>
      </c>
      <c r="P41" s="17"/>
      <c r="Q41" s="17">
        <f t="array" ref="Q41">SUM(IF(Period=Q$4,IF(Category=$A$8,IF(Provider=$B41,Score))))</f>
        <v>0</v>
      </c>
      <c r="R41" s="17"/>
      <c r="S41" s="20">
        <f t="array" ref="S41">SUM(IF(Period=Q$4,IF(Category=$A$8,IF(Provider=$B41,Responses))))</f>
        <v>0</v>
      </c>
      <c r="T41" s="20"/>
      <c r="U41" s="17">
        <f t="shared" si="2"/>
        <v>0</v>
      </c>
      <c r="V41" s="17"/>
      <c r="W41" s="17">
        <f t="shared" si="3"/>
        <v>0</v>
      </c>
      <c r="X41" s="17"/>
      <c r="Y41" s="17">
        <f t="array" ref="Y41">SUM(IF(Period=Y$4,IF(Category=$A$8,IF(Provider=$B41,Score))))</f>
        <v>0</v>
      </c>
      <c r="Z41" s="17"/>
      <c r="AA41" s="20">
        <f t="array" ref="AA41">SUM(IF(Period=Y$4,IF(Category=$A$8,IF(Provider=$B41,Responses))))</f>
        <v>0</v>
      </c>
      <c r="AB41" s="20"/>
      <c r="AC41" s="17">
        <f t="shared" si="4"/>
        <v>0</v>
      </c>
      <c r="AD41" s="17"/>
      <c r="AE41" s="17">
        <f t="shared" si="5"/>
        <v>0</v>
      </c>
      <c r="AF41" s="17"/>
      <c r="AG41" s="17">
        <f t="array" ref="AG41">SUM(IF(Period=AG$4,IF(Category=$A$8,IF(Provider=$B41,Score))))</f>
        <v>62.5</v>
      </c>
      <c r="AH41" s="17"/>
      <c r="AI41" s="20">
        <f t="array" ref="AI41">SUM(IF(Period=AG$4,IF(Category=$A$8,IF(Provider=$B41,Responses))))</f>
        <v>10</v>
      </c>
      <c r="AJ41" s="20"/>
      <c r="AK41" s="17">
        <f t="shared" si="6"/>
        <v>2.44140625</v>
      </c>
      <c r="AL41" s="17"/>
      <c r="AM41" s="17">
        <f t="shared" si="7"/>
        <v>0.40479274611398963</v>
      </c>
      <c r="AN41" s="17"/>
      <c r="AO41" s="17">
        <f t="array" ref="AO41">SUM(IF(Period=AO$4,IF(Category=$A$8,IF(Provider=$B41,Score))))</f>
        <v>86.4</v>
      </c>
      <c r="AP41" s="17"/>
      <c r="AQ41" s="20">
        <f t="array" ref="AQ41">SUM(IF(Period=AO$4,IF(Category=$A$8,IF(Provider=$B41,Responses))))</f>
        <v>11</v>
      </c>
      <c r="AR41" s="20"/>
      <c r="AS41" s="17">
        <f t="shared" si="8"/>
        <v>5.525581395348838</v>
      </c>
      <c r="AT41" s="17"/>
      <c r="AU41" s="17">
        <f t="shared" si="9"/>
        <v>0.9263157894736842</v>
      </c>
      <c r="AV41" s="17"/>
      <c r="AW41" s="17">
        <f t="array" ref="AW41">SUM(IF(Period=AW$4,IF(Category=$A$8,IF(Provider=$B41,Score))))</f>
        <v>76.900000000000006</v>
      </c>
      <c r="AX41" s="17"/>
      <c r="AY41" s="20">
        <f t="array" ref="AY41">SUM(IF(Period=AW$4,IF(Category=$A$8,IF(Provider=$B41,Responses))))</f>
        <v>13</v>
      </c>
      <c r="AZ41" s="20"/>
      <c r="BA41" s="17">
        <f t="shared" si="10"/>
        <v>4.6069124423963137</v>
      </c>
      <c r="BB41" s="17"/>
      <c r="BC41" s="17">
        <f t="shared" si="11"/>
        <v>0.76781874039938558</v>
      </c>
      <c r="BD41" s="17"/>
      <c r="BE41" s="17">
        <f t="array" ref="BE41">SUM(IF(Period=BE$4,IF(Category=$A$8,IF(Provider=$B41,Score))))</f>
        <v>77.099999999999994</v>
      </c>
      <c r="BF41" s="17"/>
      <c r="BG41" s="20">
        <f t="array" ref="BG41">SUM(IF(Period=BE$4,IF(Category=$A$8,IF(Provider=$B41,Responses))))</f>
        <v>12</v>
      </c>
      <c r="BH41" s="20"/>
      <c r="BI41" s="17">
        <f t="shared" si="12"/>
        <v>3.9370212765957442</v>
      </c>
      <c r="BJ41" s="17"/>
      <c r="BK41" s="17">
        <f t="shared" si="13"/>
        <v>0.65385159010600691</v>
      </c>
      <c r="BL41" s="17"/>
      <c r="BM41" s="17">
        <f t="array" ref="BM41">SUM(IF(Period=BM$4,IF(Category=$A$8,IF(Provider=$B41,Score))))</f>
        <v>83.3</v>
      </c>
      <c r="BN41" s="17"/>
      <c r="BO41" s="20">
        <f t="array" ref="BO41">SUM(IF(Period=BM$4,IF(Category=$A$8,IF(Provider=$B41,Responses))))</f>
        <v>6</v>
      </c>
      <c r="BP41" s="20"/>
      <c r="BQ41" s="17">
        <f t="shared" si="14"/>
        <v>2.1543103448275862</v>
      </c>
      <c r="BR41" s="17"/>
      <c r="BS41" s="17">
        <f t="shared" si="15"/>
        <v>0.3606060606060606</v>
      </c>
      <c r="BT41" s="17"/>
      <c r="BU41" s="17">
        <f t="array" ref="BU41">SUM(IF(Period=BU$4,IF(Category=$A$8,IF(Provider=$B41,Score))))</f>
        <v>100</v>
      </c>
      <c r="BV41" s="17"/>
      <c r="BW41" s="20">
        <f t="array" ref="BW41">SUM(IF(Period=BU$4,IF(Category=$A$8,IF(Provider=$B41,Responses))))</f>
        <v>8</v>
      </c>
      <c r="BX41" s="20"/>
      <c r="BY41" s="17">
        <f t="shared" si="16"/>
        <v>3.3057851239669422</v>
      </c>
      <c r="BZ41" s="17"/>
      <c r="CA41" s="17">
        <f t="shared" si="17"/>
        <v>0.55286800276434001</v>
      </c>
    </row>
    <row r="42" spans="1:79" outlineLevel="1" x14ac:dyDescent="0.25">
      <c r="B42" t="s">
        <v>227</v>
      </c>
      <c r="C42" s="22">
        <v>0</v>
      </c>
      <c r="D42" s="17"/>
      <c r="E42" s="22">
        <v>0</v>
      </c>
      <c r="F42" s="17"/>
      <c r="G42" s="22">
        <v>0</v>
      </c>
      <c r="H42" s="17"/>
      <c r="I42" s="22">
        <f t="array" ref="I42">SUM(IF(Period=I$4,IF(Category=$A$8,IF(Provider=$B42,Score))))</f>
        <v>0</v>
      </c>
      <c r="J42" s="17"/>
      <c r="K42" s="23">
        <f t="array" ref="K42">SUM(IF(Period=I$4,IF(Category=$A$8,IF(Provider=$B42,Responses))))</f>
        <v>0</v>
      </c>
      <c r="L42" s="20"/>
      <c r="M42" s="22">
        <f t="shared" si="0"/>
        <v>0</v>
      </c>
      <c r="N42" s="17"/>
      <c r="O42" s="22">
        <f t="shared" si="1"/>
        <v>0</v>
      </c>
      <c r="P42" s="17"/>
      <c r="Q42" s="22">
        <f t="array" ref="Q42">SUM(IF(Period=Q$4,IF(Category=$A$8,IF(Provider=$B42,Score))))</f>
        <v>0</v>
      </c>
      <c r="R42" s="17"/>
      <c r="S42" s="23">
        <f t="array" ref="S42">SUM(IF(Period=Q$4,IF(Category=$A$8,IF(Provider=$B42,Responses))))</f>
        <v>0</v>
      </c>
      <c r="T42" s="20"/>
      <c r="U42" s="22">
        <f t="shared" si="2"/>
        <v>0</v>
      </c>
      <c r="V42" s="17"/>
      <c r="W42" s="22">
        <f t="shared" si="3"/>
        <v>0</v>
      </c>
      <c r="X42" s="17"/>
      <c r="Y42" s="22">
        <f t="array" ref="Y42">SUM(IF(Period=Y$4,IF(Category=$A$8,IF(Provider=$B42,Score))))</f>
        <v>0</v>
      </c>
      <c r="Z42" s="17"/>
      <c r="AA42" s="23">
        <f t="array" ref="AA42">SUM(IF(Period=Y$4,IF(Category=$A$8,IF(Provider=$B42,Responses))))</f>
        <v>0</v>
      </c>
      <c r="AB42" s="20"/>
      <c r="AC42" s="22">
        <f t="shared" si="4"/>
        <v>0</v>
      </c>
      <c r="AD42" s="17"/>
      <c r="AE42" s="22">
        <f t="shared" si="5"/>
        <v>0</v>
      </c>
      <c r="AF42" s="17"/>
      <c r="AG42" s="22">
        <f t="array" ref="AG42">SUM(IF(Period=AG$4,IF(Category=$A$8,IF(Provider=$B42,Score))))</f>
        <v>75</v>
      </c>
      <c r="AH42" s="17"/>
      <c r="AI42" s="23">
        <f t="array" ref="AI42">SUM(IF(Period=AG$4,IF(Category=$A$8,IF(Provider=$B42,Responses))))</f>
        <v>1</v>
      </c>
      <c r="AJ42" s="20"/>
      <c r="AK42" s="22">
        <f t="shared" si="6"/>
        <v>0.29296875</v>
      </c>
      <c r="AL42" s="17"/>
      <c r="AM42" s="22">
        <f t="shared" si="7"/>
        <v>4.8575129533678756E-2</v>
      </c>
      <c r="AN42" s="17"/>
      <c r="AO42" s="22">
        <f t="array" ref="AO42">SUM(IF(Period=AO$4,IF(Category=$A$8,IF(Provider=$B42,Score))))</f>
        <v>0</v>
      </c>
      <c r="AP42" s="17"/>
      <c r="AQ42" s="23">
        <f t="array" ref="AQ42">SUM(IF(Period=AO$4,IF(Category=$A$8,IF(Provider=$B42,Responses))))</f>
        <v>0</v>
      </c>
      <c r="AR42" s="20"/>
      <c r="AS42" s="22">
        <f t="shared" si="8"/>
        <v>0</v>
      </c>
      <c r="AT42" s="17"/>
      <c r="AU42" s="22">
        <f t="shared" si="9"/>
        <v>0</v>
      </c>
      <c r="AV42" s="17"/>
      <c r="AW42" s="22">
        <f t="array" ref="AW42">SUM(IF(Period=AW$4,IF(Category=$A$8,IF(Provider=$B42,Score))))</f>
        <v>0</v>
      </c>
      <c r="AX42" s="17"/>
      <c r="AY42" s="23">
        <f t="array" ref="AY42">SUM(IF(Period=AW$4,IF(Category=$A$8,IF(Provider=$B42,Responses))))</f>
        <v>0</v>
      </c>
      <c r="AZ42" s="20"/>
      <c r="BA42" s="22">
        <f t="shared" si="10"/>
        <v>0</v>
      </c>
      <c r="BB42" s="17"/>
      <c r="BC42" s="22">
        <f t="shared" si="11"/>
        <v>0</v>
      </c>
      <c r="BD42" s="17"/>
      <c r="BE42" s="22">
        <f t="array" ref="BE42">SUM(IF(Period=BE$4,IF(Category=$A$8,IF(Provider=$B42,Score))))</f>
        <v>0</v>
      </c>
      <c r="BF42" s="17"/>
      <c r="BG42" s="23">
        <f t="array" ref="BG42">SUM(IF(Period=BE$4,IF(Category=$A$8,IF(Provider=$B42,Responses))))</f>
        <v>0</v>
      </c>
      <c r="BH42" s="20"/>
      <c r="BI42" s="22">
        <f t="shared" si="12"/>
        <v>0</v>
      </c>
      <c r="BJ42" s="17"/>
      <c r="BK42" s="22">
        <f t="shared" si="13"/>
        <v>0</v>
      </c>
      <c r="BL42" s="17"/>
      <c r="BM42" s="22">
        <f t="array" ref="BM42">SUM(IF(Period=BM$4,IF(Category=$A$8,IF(Provider=$B42,Score))))</f>
        <v>0</v>
      </c>
      <c r="BN42" s="17"/>
      <c r="BO42" s="23">
        <f t="array" ref="BO42">SUM(IF(Period=BM$4,IF(Category=$A$8,IF(Provider=$B42,Responses))))</f>
        <v>0</v>
      </c>
      <c r="BP42" s="20"/>
      <c r="BQ42" s="22">
        <f t="shared" si="14"/>
        <v>0</v>
      </c>
      <c r="BR42" s="17"/>
      <c r="BS42" s="22">
        <f t="shared" si="15"/>
        <v>0</v>
      </c>
      <c r="BT42" s="17"/>
      <c r="BU42" s="22">
        <f t="array" ref="BU42">SUM(IF(Period=BU$4,IF(Category=$A$8,IF(Provider=$B42,Score))))</f>
        <v>0</v>
      </c>
      <c r="BV42" s="17"/>
      <c r="BW42" s="23">
        <f t="array" ref="BW42">SUM(IF(Period=BU$4,IF(Category=$A$8,IF(Provider=$B42,Responses))))</f>
        <v>0</v>
      </c>
      <c r="BX42" s="20"/>
      <c r="BY42" s="22">
        <f t="shared" si="16"/>
        <v>0</v>
      </c>
      <c r="BZ42" s="17"/>
      <c r="CA42" s="22">
        <f t="shared" si="17"/>
        <v>0</v>
      </c>
    </row>
    <row r="43" spans="1:79" x14ac:dyDescent="0.25">
      <c r="B43" s="11" t="s">
        <v>427</v>
      </c>
      <c r="C43" s="24">
        <v>0</v>
      </c>
      <c r="D43" s="24"/>
      <c r="E43" s="24">
        <v>0</v>
      </c>
      <c r="F43" s="24"/>
      <c r="G43" s="24">
        <v>0</v>
      </c>
      <c r="H43" s="24"/>
      <c r="I43" s="24">
        <f>SUM(M9:M42)</f>
        <v>72.256</v>
      </c>
      <c r="J43" s="24"/>
      <c r="K43" s="29">
        <f>AVERAGEIF(K9:K42,"&lt;&gt;0")</f>
        <v>6.25</v>
      </c>
      <c r="L43" s="25"/>
      <c r="M43" s="24"/>
      <c r="N43" s="24"/>
      <c r="O43" s="24"/>
      <c r="P43" s="24"/>
      <c r="Q43" s="24">
        <f>SUM(U9:U42)</f>
        <v>76.200531914893602</v>
      </c>
      <c r="R43" s="24"/>
      <c r="S43" s="29">
        <f>AVERAGEIF(S9:S42,"&lt;&gt;0")</f>
        <v>6.2666666666666666</v>
      </c>
      <c r="T43" s="25"/>
      <c r="U43" s="24"/>
      <c r="V43" s="24"/>
      <c r="W43" s="24"/>
      <c r="X43" s="24"/>
      <c r="Y43" s="24">
        <f>SUM(AC9:AC42)</f>
        <v>76.067763157894731</v>
      </c>
      <c r="Z43" s="24"/>
      <c r="AA43" s="29">
        <f>AVERAGEIF(AA9:AA42,"&lt;&gt;0")</f>
        <v>9.806451612903226</v>
      </c>
      <c r="AB43" s="25"/>
      <c r="AC43" s="24"/>
      <c r="AD43" s="24"/>
      <c r="AE43" s="24"/>
      <c r="AF43" s="24"/>
      <c r="AG43" s="24">
        <f>SUM(AK9:AK42)</f>
        <v>80.762890624999983</v>
      </c>
      <c r="AH43" s="24"/>
      <c r="AI43" s="29">
        <f>AVERAGEIF(AI9:AI42,"&lt;&gt;0")</f>
        <v>7.7575757575757578</v>
      </c>
      <c r="AJ43" s="25"/>
      <c r="AK43" s="24"/>
      <c r="AL43" s="24"/>
      <c r="AM43" s="24"/>
      <c r="AN43" s="24"/>
      <c r="AO43" s="24">
        <f>SUM(AS9:AS42)</f>
        <v>76.900581395348851</v>
      </c>
      <c r="AP43" s="24"/>
      <c r="AQ43" s="29">
        <f>AVERAGEIF(AQ9:AQ42,"&lt;&gt;0")</f>
        <v>5.7333333333333334</v>
      </c>
      <c r="AR43" s="25"/>
      <c r="AS43" s="24"/>
      <c r="AT43" s="24"/>
      <c r="AU43" s="24"/>
      <c r="AV43" s="24"/>
      <c r="AW43" s="24">
        <f>SUM(BA9:BA42)</f>
        <v>79.611981566820248</v>
      </c>
      <c r="AX43" s="24"/>
      <c r="AY43" s="29">
        <f>AVERAGEIF(AY9:AY42,"&lt;&gt;0")</f>
        <v>6.78125</v>
      </c>
      <c r="AZ43" s="25"/>
      <c r="BA43" s="24"/>
      <c r="BB43" s="24"/>
      <c r="BC43" s="24"/>
      <c r="BD43" s="24"/>
      <c r="BE43" s="24">
        <f>SUM(BI9:BI42)</f>
        <v>80.208085106382967</v>
      </c>
      <c r="BF43" s="24"/>
      <c r="BG43" s="29">
        <f>AVERAGEIF(BG9:BG42,"&lt;&gt;0")</f>
        <v>7.580645161290323</v>
      </c>
      <c r="BH43" s="25"/>
      <c r="BI43" s="24"/>
      <c r="BJ43" s="24"/>
      <c r="BK43" s="24"/>
      <c r="BL43" s="24"/>
      <c r="BM43" s="24">
        <f>SUM(BQ9:BQ42)</f>
        <v>84.273706896551715</v>
      </c>
      <c r="BN43" s="24"/>
      <c r="BO43" s="29">
        <f>AVERAGEIF(BO9:BO42,"&lt;&gt;0")</f>
        <v>7.25</v>
      </c>
      <c r="BP43" s="25"/>
      <c r="BQ43" s="24"/>
      <c r="BR43" s="24"/>
      <c r="BS43" s="24"/>
      <c r="BT43" s="24"/>
      <c r="BU43" s="24">
        <f>SUM(BY9:BY42)</f>
        <v>78.926446280991755</v>
      </c>
      <c r="BV43" s="24"/>
      <c r="BW43" s="29">
        <f>AVERAGEIF(BW9:BW42,"&lt;&gt;0")</f>
        <v>7.5625</v>
      </c>
      <c r="BX43" s="25"/>
      <c r="BY43" s="24"/>
      <c r="BZ43" s="24"/>
      <c r="CA43" s="24"/>
    </row>
    <row r="44" spans="1:79" s="36" customFormat="1" x14ac:dyDescent="0.25">
      <c r="B44" s="32" t="s">
        <v>430</v>
      </c>
      <c r="C44" s="33"/>
      <c r="D44" s="33"/>
      <c r="E44" s="33"/>
      <c r="F44" s="33"/>
      <c r="G44" s="33"/>
      <c r="H44" s="33"/>
      <c r="I44" s="33">
        <f t="array" ref="I44">MEDIAN(IF(I9:I42&lt;&gt;0,I9:I42))</f>
        <v>78.199999999999989</v>
      </c>
      <c r="J44" s="33"/>
      <c r="K44" s="34">
        <f t="array" ref="K44">MEDIAN(IF(K9:K42&lt;&gt;0,K9:K42))</f>
        <v>6</v>
      </c>
      <c r="L44" s="35"/>
      <c r="M44" s="33"/>
      <c r="N44" s="33"/>
      <c r="O44" s="33"/>
      <c r="P44" s="33"/>
      <c r="Q44" s="33">
        <f t="array" ref="Q44">MEDIAN(IF(Q9:Q42&lt;&gt;0,Q9:Q42))</f>
        <v>80.650000000000006</v>
      </c>
      <c r="R44" s="33"/>
      <c r="S44" s="34">
        <f t="array" ref="S44">MEDIAN(IF(S9:S42&lt;&gt;0,S9:S42))</f>
        <v>6</v>
      </c>
      <c r="T44" s="35"/>
      <c r="U44" s="33"/>
      <c r="V44" s="33"/>
      <c r="W44" s="33"/>
      <c r="X44" s="33"/>
      <c r="Y44" s="33">
        <f t="array" ref="Y44">MEDIAN(IF(Y9:Y42&lt;&gt;0,Y9:Y42))</f>
        <v>77.099999999999994</v>
      </c>
      <c r="Z44" s="33"/>
      <c r="AA44" s="34">
        <f t="array" ref="AA44">MEDIAN(IF(AA9:AA42&lt;&gt;0,AA9:AA42))</f>
        <v>9</v>
      </c>
      <c r="AB44" s="35"/>
      <c r="AC44" s="33"/>
      <c r="AD44" s="33"/>
      <c r="AE44" s="33"/>
      <c r="AF44" s="33"/>
      <c r="AG44" s="33">
        <f t="array" ref="AG44">MEDIAN(IF(AG9:AG42&lt;&gt;0,AG9:AG42))</f>
        <v>81.3</v>
      </c>
      <c r="AH44" s="33"/>
      <c r="AI44" s="34">
        <f t="array" ref="AI44">MEDIAN(IF(AI9:AI42&lt;&gt;0,AI9:AI42))</f>
        <v>8</v>
      </c>
      <c r="AJ44" s="35"/>
      <c r="AK44" s="33"/>
      <c r="AL44" s="33"/>
      <c r="AM44" s="33"/>
      <c r="AN44" s="33"/>
      <c r="AO44" s="33">
        <f t="array" ref="AO44">MEDIAN(IF(AO9:AO42&lt;&gt;0,AO9:AO42))</f>
        <v>80.25</v>
      </c>
      <c r="AP44" s="33"/>
      <c r="AQ44" s="34">
        <f t="array" ref="AQ44">MEDIAN(IF(AQ9:AQ42&lt;&gt;0,AQ9:AQ42))</f>
        <v>5.5</v>
      </c>
      <c r="AR44" s="35"/>
      <c r="AS44" s="33"/>
      <c r="AT44" s="33"/>
      <c r="AU44" s="33"/>
      <c r="AV44" s="33"/>
      <c r="AW44" s="33">
        <f t="array" ref="AW44">MEDIAN(IF(AW9:AW42&lt;&gt;0,AW9:AW42))</f>
        <v>80.650000000000006</v>
      </c>
      <c r="AX44" s="33"/>
      <c r="AY44" s="34">
        <f t="array" ref="AY44">MEDIAN(IF(AY9:AY42&lt;&gt;0,AY9:AY42))</f>
        <v>6</v>
      </c>
      <c r="AZ44" s="35"/>
      <c r="BA44" s="33"/>
      <c r="BB44" s="33"/>
      <c r="BC44" s="33"/>
      <c r="BD44" s="33"/>
      <c r="BE44" s="33">
        <f t="array" ref="BE44">MEDIAN(IF(BE9:BE42&lt;&gt;0,BE9:BE42))</f>
        <v>83.3</v>
      </c>
      <c r="BF44" s="33"/>
      <c r="BG44" s="34">
        <f t="array" ref="BG44">MEDIAN(IF(BG9:BG42&lt;&gt;0,BG9:BG42))</f>
        <v>8</v>
      </c>
      <c r="BH44" s="35"/>
      <c r="BI44" s="33"/>
      <c r="BJ44" s="33"/>
      <c r="BK44" s="33"/>
      <c r="BL44" s="33"/>
      <c r="BM44" s="33">
        <f t="array" ref="BM44">MEDIAN(IF(BM9:BM42&lt;&gt;0,BM9:BM42))</f>
        <v>87.1</v>
      </c>
      <c r="BN44" s="33"/>
      <c r="BO44" s="34">
        <f t="array" ref="BO44">MEDIAN(IF(BO9:BO42&lt;&gt;0,BO9:BO42))</f>
        <v>7</v>
      </c>
      <c r="BP44" s="35"/>
      <c r="BQ44" s="33"/>
      <c r="BR44" s="33"/>
      <c r="BS44" s="33"/>
      <c r="BT44" s="33"/>
      <c r="BU44" s="33">
        <f t="array" ref="BU44">MEDIAN(IF(BU9:BU42&lt;&gt;0,BU9:BU42))</f>
        <v>79.3</v>
      </c>
      <c r="BV44" s="33"/>
      <c r="BW44" s="34">
        <f t="array" ref="BW44">MEDIAN(IF(BW9:BW42&lt;&gt;0,BW9:BW42))</f>
        <v>7</v>
      </c>
      <c r="BX44" s="25"/>
      <c r="BY44" s="24"/>
      <c r="BZ44" s="24"/>
      <c r="CA44" s="24"/>
    </row>
    <row r="45" spans="1:79" s="45" customFormat="1" x14ac:dyDescent="0.25">
      <c r="B45" s="46" t="s">
        <v>433</v>
      </c>
      <c r="C45" s="47"/>
      <c r="D45" s="47"/>
      <c r="E45" s="47"/>
      <c r="F45" s="47"/>
      <c r="G45" s="47"/>
      <c r="H45" s="47"/>
      <c r="I45" s="47"/>
      <c r="J45" s="47"/>
      <c r="K45" s="48">
        <f>SUM(K9:K42)</f>
        <v>200</v>
      </c>
      <c r="L45" s="48"/>
      <c r="M45" s="47"/>
      <c r="N45" s="47"/>
      <c r="O45" s="47"/>
      <c r="P45" s="47"/>
      <c r="Q45" s="47"/>
      <c r="R45" s="47"/>
      <c r="S45" s="48">
        <f>SUM(S9:S42)</f>
        <v>188</v>
      </c>
      <c r="T45" s="48"/>
      <c r="U45" s="47"/>
      <c r="V45" s="47"/>
      <c r="W45" s="47"/>
      <c r="X45" s="47"/>
      <c r="Y45" s="47"/>
      <c r="Z45" s="47"/>
      <c r="AA45" s="48">
        <f>SUM(AA9:AA42)</f>
        <v>304</v>
      </c>
      <c r="AB45" s="48"/>
      <c r="AC45" s="47"/>
      <c r="AD45" s="47"/>
      <c r="AE45" s="47"/>
      <c r="AF45" s="47"/>
      <c r="AG45" s="47"/>
      <c r="AH45" s="47"/>
      <c r="AI45" s="48">
        <f>SUM(AI9:AI42)</f>
        <v>256</v>
      </c>
      <c r="AJ45" s="48"/>
      <c r="AK45" s="47"/>
      <c r="AL45" s="47"/>
      <c r="AM45" s="47"/>
      <c r="AN45" s="47"/>
      <c r="AO45" s="47"/>
      <c r="AP45" s="47"/>
      <c r="AQ45" s="48">
        <f>SUM(AQ9:AQ42)</f>
        <v>172</v>
      </c>
      <c r="AR45" s="48"/>
      <c r="AS45" s="47"/>
      <c r="AT45" s="47"/>
      <c r="AU45" s="47"/>
      <c r="AV45" s="47"/>
      <c r="AW45" s="47"/>
      <c r="AX45" s="47"/>
      <c r="AY45" s="48">
        <f>SUM(AY9:AY42)</f>
        <v>217</v>
      </c>
      <c r="AZ45" s="48"/>
      <c r="BA45" s="47"/>
      <c r="BB45" s="47"/>
      <c r="BC45" s="47"/>
      <c r="BD45" s="47"/>
      <c r="BE45" s="47"/>
      <c r="BF45" s="47"/>
      <c r="BG45" s="48">
        <f>SUM(BG9:BG42)</f>
        <v>235</v>
      </c>
      <c r="BH45" s="48"/>
      <c r="BI45" s="47"/>
      <c r="BJ45" s="47"/>
      <c r="BK45" s="47"/>
      <c r="BL45" s="47"/>
      <c r="BM45" s="47"/>
      <c r="BN45" s="47"/>
      <c r="BO45" s="48">
        <f>SUM(BO9:BO42)</f>
        <v>232</v>
      </c>
      <c r="BP45" s="48"/>
      <c r="BQ45" s="47"/>
      <c r="BR45" s="47"/>
      <c r="BS45" s="47"/>
      <c r="BT45" s="47"/>
      <c r="BU45" s="47"/>
      <c r="BV45" s="47"/>
      <c r="BW45" s="48">
        <f>SUM(BW9:BW42)</f>
        <v>242</v>
      </c>
      <c r="BX45" s="49"/>
      <c r="BY45" s="50"/>
      <c r="BZ45" s="50"/>
      <c r="CA45" s="50"/>
    </row>
    <row r="47" spans="1:79" ht="15.75" x14ac:dyDescent="0.25">
      <c r="A47" s="12" t="s">
        <v>9</v>
      </c>
    </row>
    <row r="48" spans="1:79" outlineLevel="1" x14ac:dyDescent="0.25">
      <c r="B48" t="s">
        <v>21</v>
      </c>
      <c r="C48" s="17">
        <v>0</v>
      </c>
      <c r="D48" s="17"/>
      <c r="E48" s="17">
        <v>0</v>
      </c>
      <c r="F48" s="17"/>
      <c r="G48" s="17">
        <v>0</v>
      </c>
      <c r="H48" s="17"/>
      <c r="I48" s="17">
        <f t="array" ref="I48">SUM(IF(Period=I$4,IF(Category=$A$47,IF(Provider=$B48,Score))))</f>
        <v>89.3</v>
      </c>
      <c r="J48" s="17"/>
      <c r="K48" s="20">
        <f t="array" ref="K48">SUM(IF(Period=I$4,IF(Category=$A$47,IF(Provider=$B48,Responses))))</f>
        <v>7</v>
      </c>
      <c r="L48" s="20"/>
      <c r="M48" s="19">
        <f>I48*(K48/SUM(K$48:K$81))</f>
        <v>3.0945544554455449</v>
      </c>
      <c r="N48" s="17"/>
      <c r="O48" s="17">
        <f t="shared" ref="O48:O81" si="18">I48*(K48/(SUM(K$9:K$42)+SUM(K$48:K$81)+SUM(K$87:K$120)+SUM(K$126:K$159)+SUM(K$165:K$198)+SUM(K$204:K$237)))</f>
        <v>0.51703887510339119</v>
      </c>
      <c r="P48" s="17"/>
      <c r="Q48" s="17">
        <f t="array" ref="Q48">SUM(IF(Period=Q$4,IF(Category=$A$47,IF(Provider=$B48,Score))))</f>
        <v>81.3</v>
      </c>
      <c r="R48" s="17"/>
      <c r="S48" s="20">
        <f t="array" ref="S48">SUM(IF(Period=Q$4,IF(Category=$A$47,IF(Provider=$B48,Responses))))</f>
        <v>4</v>
      </c>
      <c r="T48" s="20"/>
      <c r="U48" s="19">
        <f>Q48*(S48/SUM(S$48:S$81))</f>
        <v>1.7297872340425531</v>
      </c>
      <c r="V48" s="17"/>
      <c r="W48" s="17">
        <f t="shared" ref="W48:W81" si="19">Q48*(S48/(SUM(S$9:S$42)+SUM(S$48:S$81)+SUM(S$87:S$120)+SUM(S$126:S$159)+SUM(S$165:S$198)+SUM(S$204:S$237)))</f>
        <v>0.28983957219251333</v>
      </c>
      <c r="X48" s="17"/>
      <c r="Y48" s="17">
        <f t="array" ref="Y48">SUM(IF(Period=Y$4,IF(Category=$A$47,IF(Provider=$B48,Score))))</f>
        <v>87.5</v>
      </c>
      <c r="Z48" s="17"/>
      <c r="AA48" s="20">
        <f t="array" ref="AA48">SUM(IF(Period=Y$4,IF(Category=$A$47,IF(Provider=$B48,Responses))))</f>
        <v>14</v>
      </c>
      <c r="AB48" s="20"/>
      <c r="AC48" s="19">
        <f>Y48*(AA48/SUM(AA$48:AA$81))</f>
        <v>4.056291390728477</v>
      </c>
      <c r="AD48" s="17"/>
      <c r="AE48" s="17">
        <f t="shared" ref="AE48:AE81" si="20">Y48*(AA48/(SUM(AA$9:AA$42)+SUM(AA$48:AA$81)+SUM(AA$87:AA$120)+SUM(AA$126:AA$159)+SUM(AA$165:AA$198)+SUM(AA$204:AA$237)))</f>
        <v>0.67567567567567566</v>
      </c>
      <c r="AF48" s="17"/>
      <c r="AG48" s="17">
        <f t="array" ref="AG48">SUM(IF(Period=AG$4,IF(Category=$A$47,IF(Provider=$B48,Score))))</f>
        <v>100</v>
      </c>
      <c r="AH48" s="17"/>
      <c r="AI48" s="20">
        <f t="array" ref="AI48">SUM(IF(Period=AG$4,IF(Category=$A$47,IF(Provider=$B48,Responses))))</f>
        <v>3</v>
      </c>
      <c r="AJ48" s="20"/>
      <c r="AK48" s="19">
        <f>AG48*(AI48/SUM(AI$48:AI$81))</f>
        <v>1.1627906976744187</v>
      </c>
      <c r="AL48" s="17"/>
      <c r="AM48" s="17">
        <f t="shared" ref="AM48:AM81" si="21">AG48*(AI48/(SUM(AI$9:AI$42)+SUM(AI$48:AI$81)+SUM(AI$87:AI$120)+SUM(AI$126:AI$159)+SUM(AI$165:AI$198)+SUM(AI$204:AI$237)))</f>
        <v>0.19430051813471502</v>
      </c>
      <c r="AN48" s="17"/>
      <c r="AO48" s="17">
        <f t="array" ref="AO48">SUM(IF(Period=AO$4,IF(Category=$A$47,IF(Provider=$B48,Score))))</f>
        <v>100</v>
      </c>
      <c r="AP48" s="17"/>
      <c r="AQ48" s="20">
        <f t="array" ref="AQ48">SUM(IF(Period=AO$4,IF(Category=$A$47,IF(Provider=$B48,Responses))))</f>
        <v>2</v>
      </c>
      <c r="AR48" s="20"/>
      <c r="AS48" s="19">
        <f>AO48*(AQ48/SUM(AQ$48:AQ$81))</f>
        <v>1.1695906432748537</v>
      </c>
      <c r="AT48" s="17"/>
      <c r="AU48" s="17">
        <f t="shared" ref="AU48:AU81" si="22">AO48*(AQ48/(SUM(AQ$9:AQ$42)+SUM(AQ$48:AQ$81)+SUM(AQ$87:AQ$120)+SUM(AQ$126:AQ$159)+SUM(AQ$165:AQ$198)+SUM(AQ$204:AQ$237)))</f>
        <v>0.19493177387914229</v>
      </c>
      <c r="AV48" s="17"/>
      <c r="AW48" s="17">
        <f t="array" ref="AW48">SUM(IF(Period=AW$4,IF(Category=$A$47,IF(Provider=$B48,Score))))</f>
        <v>90</v>
      </c>
      <c r="AX48" s="17"/>
      <c r="AY48" s="20">
        <f t="array" ref="AY48">SUM(IF(Period=AW$4,IF(Category=$A$47,IF(Provider=$B48,Responses))))</f>
        <v>5</v>
      </c>
      <c r="AZ48" s="20"/>
      <c r="BA48" s="19">
        <f>AW48*(AY48/SUM(AY$48:AY$81))</f>
        <v>2.0737327188940093</v>
      </c>
      <c r="BB48" s="17"/>
      <c r="BC48" s="17">
        <f t="shared" ref="BC48:BC81" si="23">AW48*(AY48/(SUM(AY$9:AY$42)+SUM(AY$48:AY$81)+SUM(AY$87:AY$120)+SUM(AY$126:AY$159)+SUM(AY$165:AY$198)+SUM(AY$204:AY$237)))</f>
        <v>0.34562211981566821</v>
      </c>
      <c r="BD48" s="17"/>
      <c r="BE48" s="17">
        <f t="array" ref="BE48">SUM(IF(Period=BE$4,IF(Category=$A$47,IF(Provider=$B48,Score))))</f>
        <v>88.9</v>
      </c>
      <c r="BF48" s="17"/>
      <c r="BG48" s="20">
        <f t="array" ref="BG48">SUM(IF(Period=BE$4,IF(Category=$A$47,IF(Provider=$B48,Responses))))</f>
        <v>9</v>
      </c>
      <c r="BH48" s="20"/>
      <c r="BI48" s="19">
        <f>BE48*(BG48/SUM(BG$48:BG$81))</f>
        <v>3.40468085106383</v>
      </c>
      <c r="BJ48" s="17"/>
      <c r="BK48" s="17">
        <f t="shared" ref="BK48:BK81" si="24">BE48*(BG48/(SUM(BG$9:BG$42)+SUM(BG$48:BG$81)+SUM(BG$87:BG$120)+SUM(BG$126:BG$159)+SUM(BG$165:BG$198)+SUM(BG$204:BG$237)))</f>
        <v>0.56544169611307427</v>
      </c>
      <c r="BL48" s="17"/>
      <c r="BM48" s="17">
        <f t="array" ref="BM48">SUM(IF(Period=BM$4,IF(Category=$A$47,IF(Provider=$B48,Score))))</f>
        <v>100</v>
      </c>
      <c r="BN48" s="17"/>
      <c r="BO48" s="20">
        <f t="array" ref="BO48">SUM(IF(Period=BM$4,IF(Category=$A$47,IF(Provider=$B48,Responses))))</f>
        <v>6</v>
      </c>
      <c r="BP48" s="20"/>
      <c r="BQ48" s="19">
        <f>BM48*(BO48/SUM(BO$48:BO$81))</f>
        <v>2.5974025974025974</v>
      </c>
      <c r="BR48" s="17"/>
      <c r="BS48" s="17">
        <f t="shared" ref="BS48:BS81" si="25">BM48*(BO48/(SUM(BO$9:BO$42)+SUM(BO$48:BO$81)+SUM(BO$87:BO$120)+SUM(BO$126:BO$159)+SUM(BO$165:BO$198)+SUM(BO$204:BO$237)))</f>
        <v>0.4329004329004329</v>
      </c>
      <c r="BT48" s="17"/>
      <c r="BU48" s="17">
        <f t="array" ref="BU48">SUM(IF(Period=BU$4,IF(Category=$A$47,IF(Provider=$B48,Score))))</f>
        <v>90</v>
      </c>
      <c r="BV48" s="17"/>
      <c r="BW48" s="20">
        <f t="array" ref="BW48">SUM(IF(Period=BU$4,IF(Category=$A$47,IF(Provider=$B48,Responses))))</f>
        <v>5</v>
      </c>
      <c r="BX48" s="20"/>
      <c r="BY48" s="19">
        <f>BU48*(BW48/SUM(BW$48:BW$81))</f>
        <v>1.8907563025210086</v>
      </c>
      <c r="BZ48" s="17"/>
      <c r="CA48" s="17">
        <f t="shared" ref="CA48:CA81" si="26">BU48*(BW48/(SUM(BW$9:BW$42)+SUM(BW$48:BW$81)+SUM(BW$87:BW$120)+SUM(BW$126:BW$159)+SUM(BW$165:BW$198)+SUM(BW$204:BW$237)))</f>
        <v>0.31098825155494125</v>
      </c>
    </row>
    <row r="49" spans="2:79" outlineLevel="1" x14ac:dyDescent="0.25">
      <c r="B49" t="s">
        <v>30</v>
      </c>
      <c r="C49" s="17">
        <v>0</v>
      </c>
      <c r="D49" s="17"/>
      <c r="E49" s="17">
        <v>0</v>
      </c>
      <c r="F49" s="17"/>
      <c r="G49" s="17">
        <v>0</v>
      </c>
      <c r="H49" s="17"/>
      <c r="I49" s="17">
        <f t="array" ref="I49">SUM(IF(Period=I$4,IF(Category=$A$47,IF(Provider=$B49,Score))))</f>
        <v>82.1</v>
      </c>
      <c r="J49" s="17"/>
      <c r="K49" s="20">
        <f t="array" ref="K49">SUM(IF(Period=I$4,IF(Category=$A$47,IF(Provider=$B49,Responses))))</f>
        <v>7</v>
      </c>
      <c r="L49" s="20"/>
      <c r="M49" s="17">
        <f t="shared" ref="M49:M81" si="27">I49*(K49/SUM(K$48:K$81))</f>
        <v>2.8450495049504951</v>
      </c>
      <c r="N49" s="17"/>
      <c r="O49" s="17">
        <f t="shared" si="18"/>
        <v>0.47535153019023985</v>
      </c>
      <c r="P49" s="17"/>
      <c r="Q49" s="17">
        <f t="array" ref="Q49">SUM(IF(Period=Q$4,IF(Category=$A$47,IF(Provider=$B49,Score))))</f>
        <v>92.5</v>
      </c>
      <c r="R49" s="17"/>
      <c r="S49" s="20">
        <f t="array" ref="S49">SUM(IF(Period=Q$4,IF(Category=$A$47,IF(Provider=$B49,Responses))))</f>
        <v>10</v>
      </c>
      <c r="T49" s="20"/>
      <c r="U49" s="17">
        <f t="shared" ref="U49:U81" si="28">Q49*(S49/SUM(S$48:S$81))</f>
        <v>4.9202127659574471</v>
      </c>
      <c r="V49" s="17"/>
      <c r="W49" s="17">
        <f t="shared" si="19"/>
        <v>0.82442067736185387</v>
      </c>
      <c r="X49" s="17"/>
      <c r="Y49" s="17">
        <f t="array" ref="Y49">SUM(IF(Period=Y$4,IF(Category=$A$47,IF(Provider=$B49,Score))))</f>
        <v>83.3</v>
      </c>
      <c r="Z49" s="17"/>
      <c r="AA49" s="20">
        <f t="array" ref="AA49">SUM(IF(Period=Y$4,IF(Category=$A$47,IF(Provider=$B49,Responses))))</f>
        <v>9</v>
      </c>
      <c r="AB49" s="20"/>
      <c r="AC49" s="17">
        <f t="shared" ref="AC49:AC81" si="29">Y49*(AA49/SUM(AA$48:AA$81))</f>
        <v>2.4824503311258277</v>
      </c>
      <c r="AD49" s="17"/>
      <c r="AE49" s="17">
        <f t="shared" si="20"/>
        <v>0.41351351351351345</v>
      </c>
      <c r="AF49" s="17"/>
      <c r="AG49" s="17">
        <f t="array" ref="AG49">SUM(IF(Period=AG$4,IF(Category=$A$47,IF(Provider=$B49,Score))))</f>
        <v>100</v>
      </c>
      <c r="AH49" s="17"/>
      <c r="AI49" s="20">
        <f t="array" ref="AI49">SUM(IF(Period=AG$4,IF(Category=$A$47,IF(Provider=$B49,Responses))))</f>
        <v>6</v>
      </c>
      <c r="AJ49" s="20"/>
      <c r="AK49" s="17">
        <f t="shared" ref="AK49:AK81" si="30">AG49*(AI49/SUM(AI$48:AI$81))</f>
        <v>2.3255813953488373</v>
      </c>
      <c r="AL49" s="17"/>
      <c r="AM49" s="17">
        <f t="shared" si="21"/>
        <v>0.38860103626943004</v>
      </c>
      <c r="AN49" s="17"/>
      <c r="AO49" s="17">
        <f t="array" ref="AO49">SUM(IF(Period=AO$4,IF(Category=$A$47,IF(Provider=$B49,Score))))</f>
        <v>31.3</v>
      </c>
      <c r="AP49" s="17"/>
      <c r="AQ49" s="20">
        <f t="array" ref="AQ49">SUM(IF(Period=AO$4,IF(Category=$A$47,IF(Provider=$B49,Responses))))</f>
        <v>4</v>
      </c>
      <c r="AR49" s="20"/>
      <c r="AS49" s="17">
        <f t="shared" ref="AS49:AS81" si="31">AO49*(AQ49/SUM(AQ$48:AQ$81))</f>
        <v>0.73216374269005846</v>
      </c>
      <c r="AT49" s="17"/>
      <c r="AU49" s="17">
        <f t="shared" si="22"/>
        <v>0.12202729044834308</v>
      </c>
      <c r="AV49" s="17"/>
      <c r="AW49" s="17">
        <f t="array" ref="AW49">SUM(IF(Period=AW$4,IF(Category=$A$47,IF(Provider=$B49,Score))))</f>
        <v>85.7</v>
      </c>
      <c r="AX49" s="17"/>
      <c r="AY49" s="20">
        <f t="array" ref="AY49">SUM(IF(Period=AW$4,IF(Category=$A$47,IF(Provider=$B49,Responses))))</f>
        <v>7</v>
      </c>
      <c r="AZ49" s="20"/>
      <c r="BA49" s="17">
        <f t="shared" ref="BA49:BA81" si="32">AW49*(AY49/SUM(AY$48:AY$81))</f>
        <v>2.7645161290322582</v>
      </c>
      <c r="BB49" s="17"/>
      <c r="BC49" s="17">
        <f t="shared" si="23"/>
        <v>0.46075268817204307</v>
      </c>
      <c r="BD49" s="17"/>
      <c r="BE49" s="17">
        <f t="array" ref="BE49">SUM(IF(Period=BE$4,IF(Category=$A$47,IF(Provider=$B49,Score))))</f>
        <v>100</v>
      </c>
      <c r="BF49" s="17"/>
      <c r="BG49" s="20">
        <f t="array" ref="BG49">SUM(IF(Period=BE$4,IF(Category=$A$47,IF(Provider=$B49,Responses))))</f>
        <v>8</v>
      </c>
      <c r="BH49" s="20"/>
      <c r="BI49" s="17">
        <f t="shared" ref="BI49:BI81" si="33">BE49*(BG49/SUM(BG$48:BG$81))</f>
        <v>3.4042553191489362</v>
      </c>
      <c r="BJ49" s="17"/>
      <c r="BK49" s="17">
        <f t="shared" si="24"/>
        <v>0.56537102473498235</v>
      </c>
      <c r="BL49" s="17"/>
      <c r="BM49" s="17">
        <f t="array" ref="BM49">SUM(IF(Period=BM$4,IF(Category=$A$47,IF(Provider=$B49,Score))))</f>
        <v>87.5</v>
      </c>
      <c r="BN49" s="17"/>
      <c r="BO49" s="20">
        <f t="array" ref="BO49">SUM(IF(Period=BM$4,IF(Category=$A$47,IF(Provider=$B49,Responses))))</f>
        <v>6</v>
      </c>
      <c r="BP49" s="20"/>
      <c r="BQ49" s="17">
        <f t="shared" ref="BQ49:BQ81" si="34">BM49*(BO49/SUM(BO$48:BO$81))</f>
        <v>2.2727272727272729</v>
      </c>
      <c r="BR49" s="17"/>
      <c r="BS49" s="17">
        <f t="shared" si="25"/>
        <v>0.37878787878787878</v>
      </c>
      <c r="BT49" s="17"/>
      <c r="BU49" s="17">
        <f t="array" ref="BU49">SUM(IF(Period=BU$4,IF(Category=$A$47,IF(Provider=$B49,Score))))</f>
        <v>84.1</v>
      </c>
      <c r="BV49" s="17"/>
      <c r="BW49" s="20">
        <f t="array" ref="BW49">SUM(IF(Period=BU$4,IF(Category=$A$47,IF(Provider=$B49,Responses))))</f>
        <v>11</v>
      </c>
      <c r="BX49" s="20"/>
      <c r="BY49" s="17">
        <f t="shared" ref="BY49:BY81" si="35">BU49*(BW49/SUM(BW$48:BW$81))</f>
        <v>3.8869747899159663</v>
      </c>
      <c r="BZ49" s="17"/>
      <c r="CA49" s="17">
        <f t="shared" si="26"/>
        <v>0.63932273669661366</v>
      </c>
    </row>
    <row r="50" spans="2:79" outlineLevel="1" x14ac:dyDescent="0.25">
      <c r="B50" t="s">
        <v>14</v>
      </c>
      <c r="C50" s="17">
        <v>0</v>
      </c>
      <c r="D50" s="17"/>
      <c r="E50" s="17">
        <v>0</v>
      </c>
      <c r="F50" s="17"/>
      <c r="G50" s="17">
        <v>0</v>
      </c>
      <c r="H50" s="17"/>
      <c r="I50" s="17">
        <f t="array" ref="I50">SUM(IF(Period=I$4,IF(Category=$A$47,IF(Provider=$B50,Score))))</f>
        <v>92.9</v>
      </c>
      <c r="J50" s="17"/>
      <c r="K50" s="20">
        <f t="array" ref="K50">SUM(IF(Period=I$4,IF(Category=$A$47,IF(Provider=$B50,Responses))))</f>
        <v>7</v>
      </c>
      <c r="L50" s="20"/>
      <c r="M50" s="17">
        <f t="shared" si="27"/>
        <v>3.2193069306930697</v>
      </c>
      <c r="N50" s="17"/>
      <c r="O50" s="17">
        <f t="shared" si="18"/>
        <v>0.53788254755996689</v>
      </c>
      <c r="P50" s="17"/>
      <c r="Q50" s="17">
        <f t="array" ref="Q50">SUM(IF(Period=Q$4,IF(Category=$A$47,IF(Provider=$B50,Score))))</f>
        <v>91.7</v>
      </c>
      <c r="R50" s="17"/>
      <c r="S50" s="20">
        <f t="array" ref="S50">SUM(IF(Period=Q$4,IF(Category=$A$47,IF(Provider=$B50,Responses))))</f>
        <v>6</v>
      </c>
      <c r="T50" s="20"/>
      <c r="U50" s="17">
        <f t="shared" si="28"/>
        <v>2.926595744680851</v>
      </c>
      <c r="V50" s="17"/>
      <c r="W50" s="17">
        <f t="shared" si="19"/>
        <v>0.49037433155080212</v>
      </c>
      <c r="X50" s="17"/>
      <c r="Y50" s="17">
        <f t="array" ref="Y50">SUM(IF(Period=Y$4,IF(Category=$A$47,IF(Provider=$B50,Score))))</f>
        <v>81.3</v>
      </c>
      <c r="Z50" s="17"/>
      <c r="AA50" s="20">
        <f t="array" ref="AA50">SUM(IF(Period=Y$4,IF(Category=$A$47,IF(Provider=$B50,Responses))))</f>
        <v>8</v>
      </c>
      <c r="AB50" s="20"/>
      <c r="AC50" s="17">
        <f t="shared" si="29"/>
        <v>2.15364238410596</v>
      </c>
      <c r="AD50" s="17"/>
      <c r="AE50" s="17">
        <f t="shared" si="20"/>
        <v>0.35874241588527306</v>
      </c>
      <c r="AF50" s="17"/>
      <c r="AG50" s="17">
        <f t="array" ref="AG50">SUM(IF(Period=AG$4,IF(Category=$A$47,IF(Provider=$B50,Score))))</f>
        <v>96.4</v>
      </c>
      <c r="AH50" s="17"/>
      <c r="AI50" s="20">
        <f t="array" ref="AI50">SUM(IF(Period=AG$4,IF(Category=$A$47,IF(Provider=$B50,Responses))))</f>
        <v>7</v>
      </c>
      <c r="AJ50" s="20"/>
      <c r="AK50" s="17">
        <f t="shared" si="30"/>
        <v>2.6155038759689924</v>
      </c>
      <c r="AL50" s="17"/>
      <c r="AM50" s="17">
        <f t="shared" si="21"/>
        <v>0.4370466321243523</v>
      </c>
      <c r="AN50" s="17"/>
      <c r="AO50" s="17">
        <f t="array" ref="AO50">SUM(IF(Period=AO$4,IF(Category=$A$47,IF(Provider=$B50,Score))))</f>
        <v>68.8</v>
      </c>
      <c r="AP50" s="17"/>
      <c r="AQ50" s="20">
        <f t="array" ref="AQ50">SUM(IF(Period=AO$4,IF(Category=$A$47,IF(Provider=$B50,Responses))))</f>
        <v>8</v>
      </c>
      <c r="AR50" s="20"/>
      <c r="AS50" s="17">
        <f t="shared" si="31"/>
        <v>3.2187134502923973</v>
      </c>
      <c r="AT50" s="17"/>
      <c r="AU50" s="17">
        <f t="shared" si="22"/>
        <v>0.53645224171539951</v>
      </c>
      <c r="AV50" s="17"/>
      <c r="AW50" s="17">
        <f t="array" ref="AW50">SUM(IF(Period=AW$4,IF(Category=$A$47,IF(Provider=$B50,Score))))</f>
        <v>95.8</v>
      </c>
      <c r="AX50" s="17"/>
      <c r="AY50" s="20">
        <f t="array" ref="AY50">SUM(IF(Period=AW$4,IF(Category=$A$47,IF(Provider=$B50,Responses))))</f>
        <v>6</v>
      </c>
      <c r="AZ50" s="20"/>
      <c r="BA50" s="17">
        <f t="shared" si="32"/>
        <v>2.648847926267281</v>
      </c>
      <c r="BB50" s="17"/>
      <c r="BC50" s="17">
        <f t="shared" si="23"/>
        <v>0.44147465437788019</v>
      </c>
      <c r="BD50" s="17"/>
      <c r="BE50" s="17">
        <f t="array" ref="BE50">SUM(IF(Period=BE$4,IF(Category=$A$47,IF(Provider=$B50,Score))))</f>
        <v>87.5</v>
      </c>
      <c r="BF50" s="17"/>
      <c r="BG50" s="20">
        <f t="array" ref="BG50">SUM(IF(Period=BE$4,IF(Category=$A$47,IF(Provider=$B50,Responses))))</f>
        <v>8</v>
      </c>
      <c r="BH50" s="20"/>
      <c r="BI50" s="17">
        <f t="shared" si="33"/>
        <v>2.978723404255319</v>
      </c>
      <c r="BJ50" s="17"/>
      <c r="BK50" s="17">
        <f t="shared" si="24"/>
        <v>0.4946996466431095</v>
      </c>
      <c r="BL50" s="17"/>
      <c r="BM50" s="17">
        <f t="array" ref="BM50">SUM(IF(Period=BM$4,IF(Category=$A$47,IF(Provider=$B50,Score))))</f>
        <v>68.8</v>
      </c>
      <c r="BN50" s="17"/>
      <c r="BO50" s="20">
        <f t="array" ref="BO50">SUM(IF(Period=BM$4,IF(Category=$A$47,IF(Provider=$B50,Responses))))</f>
        <v>8</v>
      </c>
      <c r="BP50" s="20"/>
      <c r="BQ50" s="17">
        <f t="shared" si="34"/>
        <v>2.3826839826839827</v>
      </c>
      <c r="BR50" s="17"/>
      <c r="BS50" s="17">
        <f t="shared" si="25"/>
        <v>0.39711399711399709</v>
      </c>
      <c r="BT50" s="17"/>
      <c r="BU50" s="17">
        <f t="array" ref="BU50">SUM(IF(Period=BU$4,IF(Category=$A$47,IF(Provider=$B50,Score))))</f>
        <v>79.2</v>
      </c>
      <c r="BV50" s="17"/>
      <c r="BW50" s="20">
        <f t="array" ref="BW50">SUM(IF(Period=BU$4,IF(Category=$A$47,IF(Provider=$B50,Responses))))</f>
        <v>6</v>
      </c>
      <c r="BX50" s="20"/>
      <c r="BY50" s="17">
        <f t="shared" si="35"/>
        <v>1.9966386554621849</v>
      </c>
      <c r="BZ50" s="17"/>
      <c r="CA50" s="17">
        <f t="shared" si="26"/>
        <v>0.32840359364201799</v>
      </c>
    </row>
    <row r="51" spans="2:79" outlineLevel="1" x14ac:dyDescent="0.25">
      <c r="B51" t="s">
        <v>38</v>
      </c>
      <c r="C51" s="17">
        <v>0</v>
      </c>
      <c r="D51" s="17"/>
      <c r="E51" s="17">
        <v>0</v>
      </c>
      <c r="F51" s="17"/>
      <c r="G51" s="17">
        <v>0</v>
      </c>
      <c r="H51" s="17"/>
      <c r="I51" s="17">
        <f t="array" ref="I51">SUM(IF(Period=I$4,IF(Category=$A$47,IF(Provider=$B51,Score))))</f>
        <v>68.8</v>
      </c>
      <c r="J51" s="17"/>
      <c r="K51" s="20">
        <f t="array" ref="K51">SUM(IF(Period=I$4,IF(Category=$A$47,IF(Provider=$B51,Responses))))</f>
        <v>4</v>
      </c>
      <c r="L51" s="20"/>
      <c r="M51" s="17">
        <f t="shared" si="27"/>
        <v>1.3623762376237623</v>
      </c>
      <c r="N51" s="17"/>
      <c r="O51" s="17">
        <f t="shared" si="18"/>
        <v>0.22762613730355666</v>
      </c>
      <c r="P51" s="17"/>
      <c r="Q51" s="17">
        <f t="array" ref="Q51">SUM(IF(Period=Q$4,IF(Category=$A$47,IF(Provider=$B51,Score))))</f>
        <v>85.7</v>
      </c>
      <c r="R51" s="17"/>
      <c r="S51" s="20">
        <f t="array" ref="S51">SUM(IF(Period=Q$4,IF(Category=$A$47,IF(Provider=$B51,Responses))))</f>
        <v>7</v>
      </c>
      <c r="T51" s="20"/>
      <c r="U51" s="17">
        <f t="shared" si="28"/>
        <v>3.1909574468085107</v>
      </c>
      <c r="V51" s="17"/>
      <c r="W51" s="17">
        <f t="shared" si="19"/>
        <v>0.53467023172905526</v>
      </c>
      <c r="X51" s="17"/>
      <c r="Y51" s="17">
        <f t="array" ref="Y51">SUM(IF(Period=Y$4,IF(Category=$A$47,IF(Provider=$B51,Score))))</f>
        <v>81.8</v>
      </c>
      <c r="Z51" s="17"/>
      <c r="AA51" s="20">
        <f t="array" ref="AA51">SUM(IF(Period=Y$4,IF(Category=$A$47,IF(Provider=$B51,Responses))))</f>
        <v>11</v>
      </c>
      <c r="AB51" s="20"/>
      <c r="AC51" s="17">
        <f t="shared" si="29"/>
        <v>2.9794701986754966</v>
      </c>
      <c r="AD51" s="17"/>
      <c r="AE51" s="17">
        <f t="shared" si="20"/>
        <v>0.49630446773303916</v>
      </c>
      <c r="AF51" s="17"/>
      <c r="AG51" s="17">
        <f t="array" ref="AG51">SUM(IF(Period=AG$4,IF(Category=$A$47,IF(Provider=$B51,Score))))</f>
        <v>75</v>
      </c>
      <c r="AH51" s="17"/>
      <c r="AI51" s="20">
        <f t="array" ref="AI51">SUM(IF(Period=AG$4,IF(Category=$A$47,IF(Provider=$B51,Responses))))</f>
        <v>5</v>
      </c>
      <c r="AJ51" s="20"/>
      <c r="AK51" s="17">
        <f t="shared" si="30"/>
        <v>1.4534883720930232</v>
      </c>
      <c r="AL51" s="17"/>
      <c r="AM51" s="17">
        <f t="shared" si="21"/>
        <v>0.24287564766839376</v>
      </c>
      <c r="AN51" s="17"/>
      <c r="AO51" s="17">
        <f t="array" ref="AO51">SUM(IF(Period=AO$4,IF(Category=$A$47,IF(Provider=$B51,Score))))</f>
        <v>88.9</v>
      </c>
      <c r="AP51" s="17"/>
      <c r="AQ51" s="20">
        <f t="array" ref="AQ51">SUM(IF(Period=AO$4,IF(Category=$A$47,IF(Provider=$B51,Responses))))</f>
        <v>9</v>
      </c>
      <c r="AR51" s="20"/>
      <c r="AS51" s="17">
        <f t="shared" si="31"/>
        <v>4.6789473684210527</v>
      </c>
      <c r="AT51" s="17"/>
      <c r="AU51" s="17">
        <f t="shared" si="22"/>
        <v>0.77982456140350875</v>
      </c>
      <c r="AV51" s="17"/>
      <c r="AW51" s="17">
        <f t="array" ref="AW51">SUM(IF(Period=AW$4,IF(Category=$A$47,IF(Provider=$B51,Score))))</f>
        <v>62.5</v>
      </c>
      <c r="AX51" s="17"/>
      <c r="AY51" s="20">
        <f t="array" ref="AY51">SUM(IF(Period=AW$4,IF(Category=$A$47,IF(Provider=$B51,Responses))))</f>
        <v>2</v>
      </c>
      <c r="AZ51" s="20"/>
      <c r="BA51" s="17">
        <f t="shared" si="32"/>
        <v>0.57603686635944695</v>
      </c>
      <c r="BB51" s="17"/>
      <c r="BC51" s="17">
        <f t="shared" si="23"/>
        <v>9.6006144393241163E-2</v>
      </c>
      <c r="BD51" s="17"/>
      <c r="BE51" s="17">
        <f t="array" ref="BE51">SUM(IF(Period=BE$4,IF(Category=$A$47,IF(Provider=$B51,Score))))</f>
        <v>75</v>
      </c>
      <c r="BF51" s="17"/>
      <c r="BG51" s="20">
        <f t="array" ref="BG51">SUM(IF(Period=BE$4,IF(Category=$A$47,IF(Provider=$B51,Responses))))</f>
        <v>2</v>
      </c>
      <c r="BH51" s="20"/>
      <c r="BI51" s="17">
        <f t="shared" si="33"/>
        <v>0.63829787234042556</v>
      </c>
      <c r="BJ51" s="17"/>
      <c r="BK51" s="17">
        <f t="shared" si="24"/>
        <v>0.10600706713780918</v>
      </c>
      <c r="BL51" s="17"/>
      <c r="BM51" s="17">
        <f t="array" ref="BM51">SUM(IF(Period=BM$4,IF(Category=$A$47,IF(Provider=$B51,Score))))</f>
        <v>89.3</v>
      </c>
      <c r="BN51" s="17"/>
      <c r="BO51" s="20">
        <f t="array" ref="BO51">SUM(IF(Period=BM$4,IF(Category=$A$47,IF(Provider=$B51,Responses))))</f>
        <v>7</v>
      </c>
      <c r="BP51" s="20"/>
      <c r="BQ51" s="17">
        <f t="shared" si="34"/>
        <v>2.7060606060606061</v>
      </c>
      <c r="BR51" s="17"/>
      <c r="BS51" s="17">
        <f t="shared" si="25"/>
        <v>0.45101010101010103</v>
      </c>
      <c r="BT51" s="17"/>
      <c r="BU51" s="17">
        <f t="array" ref="BU51">SUM(IF(Period=BU$4,IF(Category=$A$47,IF(Provider=$B51,Score))))</f>
        <v>93.8</v>
      </c>
      <c r="BV51" s="17"/>
      <c r="BW51" s="20">
        <f t="array" ref="BW51">SUM(IF(Period=BU$4,IF(Category=$A$47,IF(Provider=$B51,Responses))))</f>
        <v>8</v>
      </c>
      <c r="BX51" s="20"/>
      <c r="BY51" s="17">
        <f t="shared" si="35"/>
        <v>3.1529411764705881</v>
      </c>
      <c r="BZ51" s="17"/>
      <c r="CA51" s="17">
        <f t="shared" si="26"/>
        <v>0.51859018659295086</v>
      </c>
    </row>
    <row r="52" spans="2:79" outlineLevel="1" x14ac:dyDescent="0.25">
      <c r="B52" t="s">
        <v>26</v>
      </c>
      <c r="C52" s="17">
        <v>0</v>
      </c>
      <c r="D52" s="17"/>
      <c r="E52" s="17">
        <v>0</v>
      </c>
      <c r="F52" s="17"/>
      <c r="G52" s="17">
        <v>0</v>
      </c>
      <c r="H52" s="17"/>
      <c r="I52" s="17">
        <f t="array" ref="I52">SUM(IF(Period=I$4,IF(Category=$A$47,IF(Provider=$B52,Score))))</f>
        <v>85.7</v>
      </c>
      <c r="J52" s="17"/>
      <c r="K52" s="20">
        <f t="array" ref="K52">SUM(IF(Period=I$4,IF(Category=$A$47,IF(Provider=$B52,Responses))))</f>
        <v>7</v>
      </c>
      <c r="L52" s="20"/>
      <c r="M52" s="17">
        <f t="shared" si="27"/>
        <v>2.96980198019802</v>
      </c>
      <c r="N52" s="17"/>
      <c r="O52" s="17">
        <f t="shared" si="18"/>
        <v>0.49619520264681555</v>
      </c>
      <c r="P52" s="17"/>
      <c r="Q52" s="17">
        <f t="array" ref="Q52">SUM(IF(Period=Q$4,IF(Category=$A$47,IF(Provider=$B52,Score))))</f>
        <v>83.3</v>
      </c>
      <c r="R52" s="17"/>
      <c r="S52" s="20">
        <f t="array" ref="S52">SUM(IF(Period=Q$4,IF(Category=$A$47,IF(Provider=$B52,Responses))))</f>
        <v>6</v>
      </c>
      <c r="T52" s="20"/>
      <c r="U52" s="17">
        <f t="shared" si="28"/>
        <v>2.658510638297872</v>
      </c>
      <c r="V52" s="17"/>
      <c r="W52" s="17">
        <f t="shared" si="19"/>
        <v>0.44545454545454544</v>
      </c>
      <c r="X52" s="17"/>
      <c r="Y52" s="17">
        <f t="array" ref="Y52">SUM(IF(Period=Y$4,IF(Category=$A$47,IF(Provider=$B52,Score))))</f>
        <v>81.3</v>
      </c>
      <c r="Z52" s="17"/>
      <c r="AA52" s="20">
        <f t="array" ref="AA52">SUM(IF(Period=Y$4,IF(Category=$A$47,IF(Provider=$B52,Responses))))</f>
        <v>12</v>
      </c>
      <c r="AB52" s="20"/>
      <c r="AC52" s="17">
        <f t="shared" si="29"/>
        <v>3.2304635761589404</v>
      </c>
      <c r="AD52" s="17"/>
      <c r="AE52" s="17">
        <f t="shared" si="20"/>
        <v>0.5381136238279095</v>
      </c>
      <c r="AF52" s="17"/>
      <c r="AG52" s="17">
        <f t="array" ref="AG52">SUM(IF(Period=AG$4,IF(Category=$A$47,IF(Provider=$B52,Score))))</f>
        <v>88.9</v>
      </c>
      <c r="AH52" s="17"/>
      <c r="AI52" s="20">
        <f t="array" ref="AI52">SUM(IF(Period=AG$4,IF(Category=$A$47,IF(Provider=$B52,Responses))))</f>
        <v>9</v>
      </c>
      <c r="AJ52" s="20"/>
      <c r="AK52" s="17">
        <f t="shared" si="30"/>
        <v>3.1011627906976744</v>
      </c>
      <c r="AL52" s="17"/>
      <c r="AM52" s="17">
        <f t="shared" si="21"/>
        <v>0.51819948186528497</v>
      </c>
      <c r="AN52" s="17"/>
      <c r="AO52" s="17">
        <f t="array" ref="AO52">SUM(IF(Period=AO$4,IF(Category=$A$47,IF(Provider=$B52,Score))))</f>
        <v>100</v>
      </c>
      <c r="AP52" s="17"/>
      <c r="AQ52" s="20">
        <f t="array" ref="AQ52">SUM(IF(Period=AO$4,IF(Category=$A$47,IF(Provider=$B52,Responses))))</f>
        <v>4</v>
      </c>
      <c r="AR52" s="20"/>
      <c r="AS52" s="17">
        <f t="shared" si="31"/>
        <v>2.3391812865497075</v>
      </c>
      <c r="AT52" s="17"/>
      <c r="AU52" s="17">
        <f t="shared" si="22"/>
        <v>0.38986354775828458</v>
      </c>
      <c r="AV52" s="17"/>
      <c r="AW52" s="17">
        <f t="array" ref="AW52">SUM(IF(Period=AW$4,IF(Category=$A$47,IF(Provider=$B52,Score))))</f>
        <v>83.3</v>
      </c>
      <c r="AX52" s="17"/>
      <c r="AY52" s="20">
        <f t="array" ref="AY52">SUM(IF(Period=AW$4,IF(Category=$A$47,IF(Provider=$B52,Responses))))</f>
        <v>6</v>
      </c>
      <c r="AZ52" s="20"/>
      <c r="BA52" s="17">
        <f t="shared" si="32"/>
        <v>2.3032258064516129</v>
      </c>
      <c r="BB52" s="17"/>
      <c r="BC52" s="17">
        <f t="shared" si="23"/>
        <v>0.38387096774193546</v>
      </c>
      <c r="BD52" s="17"/>
      <c r="BE52" s="17">
        <f t="array" ref="BE52">SUM(IF(Period=BE$4,IF(Category=$A$47,IF(Provider=$B52,Score))))</f>
        <v>62.5</v>
      </c>
      <c r="BF52" s="17"/>
      <c r="BG52" s="20">
        <f t="array" ref="BG52">SUM(IF(Period=BE$4,IF(Category=$A$47,IF(Provider=$B52,Responses))))</f>
        <v>6</v>
      </c>
      <c r="BH52" s="20"/>
      <c r="BI52" s="17">
        <f t="shared" si="33"/>
        <v>1.5957446808510638</v>
      </c>
      <c r="BJ52" s="17"/>
      <c r="BK52" s="17">
        <f t="shared" si="24"/>
        <v>0.26501766784452296</v>
      </c>
      <c r="BL52" s="17"/>
      <c r="BM52" s="17">
        <f t="array" ref="BM52">SUM(IF(Period=BM$4,IF(Category=$A$47,IF(Provider=$B52,Score))))</f>
        <v>75</v>
      </c>
      <c r="BN52" s="17"/>
      <c r="BO52" s="20">
        <f t="array" ref="BO52">SUM(IF(Period=BM$4,IF(Category=$A$47,IF(Provider=$B52,Responses))))</f>
        <v>7</v>
      </c>
      <c r="BP52" s="20"/>
      <c r="BQ52" s="17">
        <f t="shared" si="34"/>
        <v>2.2727272727272729</v>
      </c>
      <c r="BR52" s="17"/>
      <c r="BS52" s="17">
        <f t="shared" si="25"/>
        <v>0.37878787878787884</v>
      </c>
      <c r="BT52" s="17"/>
      <c r="BU52" s="17">
        <f t="array" ref="BU52">SUM(IF(Period=BU$4,IF(Category=$A$47,IF(Provider=$B52,Score))))</f>
        <v>96.4</v>
      </c>
      <c r="BV52" s="17"/>
      <c r="BW52" s="20">
        <f t="array" ref="BW52">SUM(IF(Period=BU$4,IF(Category=$A$47,IF(Provider=$B52,Responses))))</f>
        <v>7</v>
      </c>
      <c r="BX52" s="20"/>
      <c r="BY52" s="17">
        <f t="shared" si="35"/>
        <v>2.835294117647059</v>
      </c>
      <c r="BZ52" s="17"/>
      <c r="CA52" s="17">
        <f t="shared" si="26"/>
        <v>0.46634416033172088</v>
      </c>
    </row>
    <row r="53" spans="2:79" outlineLevel="1" x14ac:dyDescent="0.25">
      <c r="B53" t="s">
        <v>42</v>
      </c>
      <c r="C53" s="17">
        <v>0</v>
      </c>
      <c r="D53" s="17"/>
      <c r="E53" s="17">
        <v>0</v>
      </c>
      <c r="F53" s="17"/>
      <c r="G53" s="17">
        <v>0</v>
      </c>
      <c r="H53" s="17"/>
      <c r="I53" s="17">
        <f t="array" ref="I53">SUM(IF(Period=I$4,IF(Category=$A$47,IF(Provider=$B53,Score))))</f>
        <v>56.3</v>
      </c>
      <c r="J53" s="17"/>
      <c r="K53" s="20">
        <f t="array" ref="K53">SUM(IF(Period=I$4,IF(Category=$A$47,IF(Provider=$B53,Responses))))</f>
        <v>4</v>
      </c>
      <c r="L53" s="20"/>
      <c r="M53" s="17">
        <f t="shared" si="27"/>
        <v>1.1148514851485147</v>
      </c>
      <c r="N53" s="17"/>
      <c r="O53" s="17">
        <f t="shared" si="18"/>
        <v>0.18626964433416046</v>
      </c>
      <c r="P53" s="17"/>
      <c r="Q53" s="17">
        <f t="array" ref="Q53">SUM(IF(Period=Q$4,IF(Category=$A$47,IF(Provider=$B53,Score))))</f>
        <v>45</v>
      </c>
      <c r="R53" s="17"/>
      <c r="S53" s="20">
        <f t="array" ref="S53">SUM(IF(Period=Q$4,IF(Category=$A$47,IF(Provider=$B53,Responses))))</f>
        <v>10</v>
      </c>
      <c r="T53" s="20"/>
      <c r="U53" s="17">
        <f t="shared" si="28"/>
        <v>2.3936170212765959</v>
      </c>
      <c r="V53" s="17"/>
      <c r="W53" s="17">
        <f t="shared" si="19"/>
        <v>0.40106951871657753</v>
      </c>
      <c r="X53" s="17"/>
      <c r="Y53" s="17">
        <f t="array" ref="Y53">SUM(IF(Period=Y$4,IF(Category=$A$47,IF(Provider=$B53,Score))))</f>
        <v>70</v>
      </c>
      <c r="Z53" s="17"/>
      <c r="AA53" s="20">
        <f t="array" ref="AA53">SUM(IF(Period=Y$4,IF(Category=$A$47,IF(Provider=$B53,Responses))))</f>
        <v>5</v>
      </c>
      <c r="AB53" s="20"/>
      <c r="AC53" s="17">
        <f t="shared" si="29"/>
        <v>1.1589403973509935</v>
      </c>
      <c r="AD53" s="17"/>
      <c r="AE53" s="17">
        <f t="shared" si="20"/>
        <v>0.19305019305019305</v>
      </c>
      <c r="AF53" s="17"/>
      <c r="AG53" s="17">
        <f t="array" ref="AG53">SUM(IF(Period=AG$4,IF(Category=$A$47,IF(Provider=$B53,Score))))</f>
        <v>75</v>
      </c>
      <c r="AH53" s="17"/>
      <c r="AI53" s="20">
        <f t="array" ref="AI53">SUM(IF(Period=AG$4,IF(Category=$A$47,IF(Provider=$B53,Responses))))</f>
        <v>1</v>
      </c>
      <c r="AJ53" s="20"/>
      <c r="AK53" s="17">
        <f t="shared" si="30"/>
        <v>0.29069767441860467</v>
      </c>
      <c r="AL53" s="17"/>
      <c r="AM53" s="17">
        <f t="shared" si="21"/>
        <v>4.8575129533678756E-2</v>
      </c>
      <c r="AN53" s="17"/>
      <c r="AO53" s="17">
        <f t="array" ref="AO53">SUM(IF(Period=AO$4,IF(Category=$A$47,IF(Provider=$B53,Score))))</f>
        <v>75</v>
      </c>
      <c r="AP53" s="17"/>
      <c r="AQ53" s="20">
        <f t="array" ref="AQ53">SUM(IF(Period=AO$4,IF(Category=$A$47,IF(Provider=$B53,Responses))))</f>
        <v>6</v>
      </c>
      <c r="AR53" s="20"/>
      <c r="AS53" s="17">
        <f t="shared" si="31"/>
        <v>2.6315789473684208</v>
      </c>
      <c r="AT53" s="17"/>
      <c r="AU53" s="17">
        <f t="shared" si="22"/>
        <v>0.43859649122807015</v>
      </c>
      <c r="AV53" s="17"/>
      <c r="AW53" s="17">
        <f t="array" ref="AW53">SUM(IF(Period=AW$4,IF(Category=$A$47,IF(Provider=$B53,Score))))</f>
        <v>68.8</v>
      </c>
      <c r="AX53" s="17"/>
      <c r="AY53" s="20">
        <f t="array" ref="AY53">SUM(IF(Period=AW$4,IF(Category=$A$47,IF(Provider=$B53,Responses))))</f>
        <v>8</v>
      </c>
      <c r="AZ53" s="20"/>
      <c r="BA53" s="17">
        <f t="shared" si="32"/>
        <v>2.536405529953917</v>
      </c>
      <c r="BB53" s="17"/>
      <c r="BC53" s="17">
        <f t="shared" si="23"/>
        <v>0.42273425499231948</v>
      </c>
      <c r="BD53" s="17"/>
      <c r="BE53" s="17">
        <f t="array" ref="BE53">SUM(IF(Period=BE$4,IF(Category=$A$47,IF(Provider=$B53,Score))))</f>
        <v>60</v>
      </c>
      <c r="BF53" s="17"/>
      <c r="BG53" s="20">
        <f t="array" ref="BG53">SUM(IF(Period=BE$4,IF(Category=$A$47,IF(Provider=$B53,Responses))))</f>
        <v>15</v>
      </c>
      <c r="BH53" s="20"/>
      <c r="BI53" s="17">
        <f t="shared" si="33"/>
        <v>3.8297872340425529</v>
      </c>
      <c r="BJ53" s="17"/>
      <c r="BK53" s="17">
        <f t="shared" si="24"/>
        <v>0.6360424028268552</v>
      </c>
      <c r="BL53" s="17"/>
      <c r="BM53" s="17">
        <f t="array" ref="BM53">SUM(IF(Period=BM$4,IF(Category=$A$47,IF(Provider=$B53,Score))))</f>
        <v>84.1</v>
      </c>
      <c r="BN53" s="17"/>
      <c r="BO53" s="20">
        <f t="array" ref="BO53">SUM(IF(Period=BM$4,IF(Category=$A$47,IF(Provider=$B53,Responses))))</f>
        <v>11</v>
      </c>
      <c r="BP53" s="20"/>
      <c r="BQ53" s="17">
        <f t="shared" si="34"/>
        <v>4.0047619047619039</v>
      </c>
      <c r="BR53" s="17"/>
      <c r="BS53" s="17">
        <f t="shared" si="25"/>
        <v>0.66746031746031742</v>
      </c>
      <c r="BT53" s="17"/>
      <c r="BU53" s="17">
        <f t="array" ref="BU53">SUM(IF(Period=BU$4,IF(Category=$A$47,IF(Provider=$B53,Score))))</f>
        <v>65.599999999999994</v>
      </c>
      <c r="BV53" s="17"/>
      <c r="BW53" s="20">
        <f t="array" ref="BW53">SUM(IF(Period=BU$4,IF(Category=$A$47,IF(Provider=$B53,Responses))))</f>
        <v>8</v>
      </c>
      <c r="BX53" s="20"/>
      <c r="BY53" s="17">
        <f t="shared" si="35"/>
        <v>2.2050420168067224</v>
      </c>
      <c r="BZ53" s="17"/>
      <c r="CA53" s="17">
        <f t="shared" si="26"/>
        <v>0.36268140981340702</v>
      </c>
    </row>
    <row r="54" spans="2:79" outlineLevel="1" x14ac:dyDescent="0.25">
      <c r="B54" t="s">
        <v>17</v>
      </c>
      <c r="C54" s="17">
        <v>0</v>
      </c>
      <c r="D54" s="17"/>
      <c r="E54" s="17">
        <v>0</v>
      </c>
      <c r="F54" s="17"/>
      <c r="G54" s="17">
        <v>0</v>
      </c>
      <c r="H54" s="17"/>
      <c r="I54" s="17">
        <f t="array" ref="I54">SUM(IF(Period=I$4,IF(Category=$A$47,IF(Provider=$B54,Score))))</f>
        <v>87.5</v>
      </c>
      <c r="J54" s="17"/>
      <c r="K54" s="20">
        <f t="array" ref="K54">SUM(IF(Period=I$4,IF(Category=$A$47,IF(Provider=$B54,Responses))))</f>
        <v>4</v>
      </c>
      <c r="L54" s="20"/>
      <c r="M54" s="17">
        <f t="shared" si="27"/>
        <v>1.7326732673267327</v>
      </c>
      <c r="N54" s="17"/>
      <c r="O54" s="17">
        <f t="shared" si="18"/>
        <v>0.28949545078577338</v>
      </c>
      <c r="P54" s="17"/>
      <c r="Q54" s="17">
        <f t="array" ref="Q54">SUM(IF(Period=Q$4,IF(Category=$A$47,IF(Provider=$B54,Score))))</f>
        <v>83.3</v>
      </c>
      <c r="R54" s="17"/>
      <c r="S54" s="20">
        <f t="array" ref="S54">SUM(IF(Period=Q$4,IF(Category=$A$47,IF(Provider=$B54,Responses))))</f>
        <v>3</v>
      </c>
      <c r="T54" s="20"/>
      <c r="U54" s="17">
        <f t="shared" si="28"/>
        <v>1.329255319148936</v>
      </c>
      <c r="V54" s="17"/>
      <c r="W54" s="17">
        <f t="shared" si="19"/>
        <v>0.22272727272727272</v>
      </c>
      <c r="X54" s="17"/>
      <c r="Y54" s="17">
        <f t="array" ref="Y54">SUM(IF(Period=Y$4,IF(Category=$A$47,IF(Provider=$B54,Score))))</f>
        <v>96.9</v>
      </c>
      <c r="Z54" s="17"/>
      <c r="AA54" s="20">
        <f t="array" ref="AA54">SUM(IF(Period=Y$4,IF(Category=$A$47,IF(Provider=$B54,Responses))))</f>
        <v>8</v>
      </c>
      <c r="AB54" s="20"/>
      <c r="AC54" s="17">
        <f t="shared" si="29"/>
        <v>2.5668874172185432</v>
      </c>
      <c r="AD54" s="17"/>
      <c r="AE54" s="17">
        <f t="shared" si="20"/>
        <v>0.42757859900717049</v>
      </c>
      <c r="AF54" s="17"/>
      <c r="AG54" s="17">
        <f t="array" ref="AG54">SUM(IF(Period=AG$4,IF(Category=$A$47,IF(Provider=$B54,Score))))</f>
        <v>90.6</v>
      </c>
      <c r="AH54" s="17"/>
      <c r="AI54" s="20">
        <f t="array" ref="AI54">SUM(IF(Period=AG$4,IF(Category=$A$47,IF(Provider=$B54,Responses))))</f>
        <v>8</v>
      </c>
      <c r="AJ54" s="20"/>
      <c r="AK54" s="17">
        <f t="shared" si="30"/>
        <v>2.8093023255813949</v>
      </c>
      <c r="AL54" s="17"/>
      <c r="AM54" s="17">
        <f t="shared" si="21"/>
        <v>0.46943005181347147</v>
      </c>
      <c r="AN54" s="17"/>
      <c r="AO54" s="17">
        <f t="array" ref="AO54">SUM(IF(Period=AO$4,IF(Category=$A$47,IF(Provider=$B54,Score))))</f>
        <v>83.3</v>
      </c>
      <c r="AP54" s="17"/>
      <c r="AQ54" s="20">
        <f t="array" ref="AQ54">SUM(IF(Period=AO$4,IF(Category=$A$47,IF(Provider=$B54,Responses))))</f>
        <v>3</v>
      </c>
      <c r="AR54" s="20"/>
      <c r="AS54" s="17">
        <f t="shared" si="31"/>
        <v>1.4614035087719297</v>
      </c>
      <c r="AT54" s="17"/>
      <c r="AU54" s="17">
        <f t="shared" si="22"/>
        <v>0.24356725146198829</v>
      </c>
      <c r="AV54" s="17"/>
      <c r="AW54" s="17">
        <f t="array" ref="AW54">SUM(IF(Period=AW$4,IF(Category=$A$47,IF(Provider=$B54,Score))))</f>
        <v>91.7</v>
      </c>
      <c r="AX54" s="17"/>
      <c r="AY54" s="20">
        <f t="array" ref="AY54">SUM(IF(Period=AW$4,IF(Category=$A$47,IF(Provider=$B54,Responses))))</f>
        <v>3</v>
      </c>
      <c r="AZ54" s="20"/>
      <c r="BA54" s="17">
        <f t="shared" si="32"/>
        <v>1.267741935483871</v>
      </c>
      <c r="BB54" s="17"/>
      <c r="BC54" s="17">
        <f t="shared" si="23"/>
        <v>0.21129032258064517</v>
      </c>
      <c r="BD54" s="17"/>
      <c r="BE54" s="17">
        <f t="array" ref="BE54">SUM(IF(Period=BE$4,IF(Category=$A$47,IF(Provider=$B54,Score))))</f>
        <v>70.8</v>
      </c>
      <c r="BF54" s="17"/>
      <c r="BG54" s="20">
        <f t="array" ref="BG54">SUM(IF(Period=BE$4,IF(Category=$A$47,IF(Provider=$B54,Responses))))</f>
        <v>12</v>
      </c>
      <c r="BH54" s="20"/>
      <c r="BI54" s="17">
        <f t="shared" si="33"/>
        <v>3.61531914893617</v>
      </c>
      <c r="BJ54" s="17"/>
      <c r="BK54" s="17">
        <f t="shared" si="24"/>
        <v>0.60042402826855112</v>
      </c>
      <c r="BL54" s="17"/>
      <c r="BM54" s="17">
        <f t="array" ref="BM54">SUM(IF(Period=BM$4,IF(Category=$A$47,IF(Provider=$B54,Score))))</f>
        <v>95.8</v>
      </c>
      <c r="BN54" s="17"/>
      <c r="BO54" s="20">
        <f t="array" ref="BO54">SUM(IF(Period=BM$4,IF(Category=$A$47,IF(Provider=$B54,Responses))))</f>
        <v>12</v>
      </c>
      <c r="BP54" s="20"/>
      <c r="BQ54" s="17">
        <f t="shared" si="34"/>
        <v>4.9766233766233769</v>
      </c>
      <c r="BR54" s="17"/>
      <c r="BS54" s="17">
        <f t="shared" si="25"/>
        <v>0.82943722943722942</v>
      </c>
      <c r="BT54" s="17"/>
      <c r="BU54" s="17">
        <f t="array" ref="BU54">SUM(IF(Period=BU$4,IF(Category=$A$47,IF(Provider=$B54,Score))))</f>
        <v>100</v>
      </c>
      <c r="BV54" s="17"/>
      <c r="BW54" s="20">
        <f t="array" ref="BW54">SUM(IF(Period=BU$4,IF(Category=$A$47,IF(Provider=$B54,Responses))))</f>
        <v>6</v>
      </c>
      <c r="BX54" s="20"/>
      <c r="BY54" s="17">
        <f t="shared" si="35"/>
        <v>2.5210084033613445</v>
      </c>
      <c r="BZ54" s="17"/>
      <c r="CA54" s="17">
        <f t="shared" si="26"/>
        <v>0.414651002073255</v>
      </c>
    </row>
    <row r="55" spans="2:79" outlineLevel="1" x14ac:dyDescent="0.25">
      <c r="B55" t="s">
        <v>15</v>
      </c>
      <c r="C55" s="17">
        <v>0</v>
      </c>
      <c r="D55" s="17"/>
      <c r="E55" s="17">
        <v>0</v>
      </c>
      <c r="F55" s="17"/>
      <c r="G55" s="17">
        <v>0</v>
      </c>
      <c r="H55" s="17"/>
      <c r="I55" s="17">
        <f t="array" ref="I55">SUM(IF(Period=I$4,IF(Category=$A$47,IF(Provider=$B55,Score))))</f>
        <v>95</v>
      </c>
      <c r="J55" s="17"/>
      <c r="K55" s="20">
        <f t="array" ref="K55">SUM(IF(Period=I$4,IF(Category=$A$47,IF(Provider=$B55,Responses))))</f>
        <v>5</v>
      </c>
      <c r="L55" s="20"/>
      <c r="M55" s="17">
        <f t="shared" si="27"/>
        <v>2.3514851485148518</v>
      </c>
      <c r="N55" s="17"/>
      <c r="O55" s="17">
        <f t="shared" si="18"/>
        <v>0.39288668320926384</v>
      </c>
      <c r="P55" s="17"/>
      <c r="Q55" s="17">
        <f t="array" ref="Q55">SUM(IF(Period=Q$4,IF(Category=$A$47,IF(Provider=$B55,Score))))</f>
        <v>75</v>
      </c>
      <c r="R55" s="17"/>
      <c r="S55" s="20">
        <f t="array" ref="S55">SUM(IF(Period=Q$4,IF(Category=$A$47,IF(Provider=$B55,Responses))))</f>
        <v>3</v>
      </c>
      <c r="T55" s="20"/>
      <c r="U55" s="17">
        <f t="shared" si="28"/>
        <v>1.1968085106382977</v>
      </c>
      <c r="V55" s="17"/>
      <c r="W55" s="17">
        <f t="shared" si="19"/>
        <v>0.20053475935828877</v>
      </c>
      <c r="X55" s="17"/>
      <c r="Y55" s="17">
        <f t="array" ref="Y55">SUM(IF(Period=Y$4,IF(Category=$A$47,IF(Provider=$B55,Score))))</f>
        <v>0</v>
      </c>
      <c r="Z55" s="17"/>
      <c r="AA55" s="20">
        <f t="array" ref="AA55">SUM(IF(Period=Y$4,IF(Category=$A$47,IF(Provider=$B55,Responses))))</f>
        <v>0</v>
      </c>
      <c r="AB55" s="20"/>
      <c r="AC55" s="17">
        <f t="shared" si="29"/>
        <v>0</v>
      </c>
      <c r="AD55" s="17"/>
      <c r="AE55" s="17">
        <f t="shared" si="20"/>
        <v>0</v>
      </c>
      <c r="AF55" s="17"/>
      <c r="AG55" s="17">
        <f t="array" ref="AG55">SUM(IF(Period=AG$4,IF(Category=$A$47,IF(Provider=$B55,Score))))</f>
        <v>0</v>
      </c>
      <c r="AH55" s="17"/>
      <c r="AI55" s="20">
        <f t="array" ref="AI55">SUM(IF(Period=AG$4,IF(Category=$A$47,IF(Provider=$B55,Responses))))</f>
        <v>0</v>
      </c>
      <c r="AJ55" s="20"/>
      <c r="AK55" s="17">
        <f t="shared" si="30"/>
        <v>0</v>
      </c>
      <c r="AL55" s="17"/>
      <c r="AM55" s="17">
        <f t="shared" si="21"/>
        <v>0</v>
      </c>
      <c r="AN55" s="17"/>
      <c r="AO55" s="17">
        <f t="array" ref="AO55">SUM(IF(Period=AO$4,IF(Category=$A$47,IF(Provider=$B55,Score))))</f>
        <v>0</v>
      </c>
      <c r="AP55" s="17"/>
      <c r="AQ55" s="20">
        <f t="array" ref="AQ55">SUM(IF(Period=AO$4,IF(Category=$A$47,IF(Provider=$B55,Responses))))</f>
        <v>0</v>
      </c>
      <c r="AR55" s="20"/>
      <c r="AS55" s="17">
        <f t="shared" si="31"/>
        <v>0</v>
      </c>
      <c r="AT55" s="17"/>
      <c r="AU55" s="17">
        <f t="shared" si="22"/>
        <v>0</v>
      </c>
      <c r="AV55" s="17"/>
      <c r="AW55" s="17">
        <f t="array" ref="AW55">SUM(IF(Period=AW$4,IF(Category=$A$47,IF(Provider=$B55,Score))))</f>
        <v>0</v>
      </c>
      <c r="AX55" s="17"/>
      <c r="AY55" s="20">
        <f t="array" ref="AY55">SUM(IF(Period=AW$4,IF(Category=$A$47,IF(Provider=$B55,Responses))))</f>
        <v>0</v>
      </c>
      <c r="AZ55" s="20"/>
      <c r="BA55" s="17">
        <f t="shared" si="32"/>
        <v>0</v>
      </c>
      <c r="BB55" s="17"/>
      <c r="BC55" s="17">
        <f t="shared" si="23"/>
        <v>0</v>
      </c>
      <c r="BD55" s="17"/>
      <c r="BE55" s="17">
        <f t="array" ref="BE55">SUM(IF(Period=BE$4,IF(Category=$A$47,IF(Provider=$B55,Score))))</f>
        <v>0</v>
      </c>
      <c r="BF55" s="17"/>
      <c r="BG55" s="20">
        <f t="array" ref="BG55">SUM(IF(Period=BE$4,IF(Category=$A$47,IF(Provider=$B55,Responses))))</f>
        <v>0</v>
      </c>
      <c r="BH55" s="20"/>
      <c r="BI55" s="17">
        <f t="shared" si="33"/>
        <v>0</v>
      </c>
      <c r="BJ55" s="17"/>
      <c r="BK55" s="17">
        <f t="shared" si="24"/>
        <v>0</v>
      </c>
      <c r="BL55" s="17"/>
      <c r="BM55" s="17">
        <f t="array" ref="BM55">SUM(IF(Period=BM$4,IF(Category=$A$47,IF(Provider=$B55,Score))))</f>
        <v>0</v>
      </c>
      <c r="BN55" s="17"/>
      <c r="BO55" s="20">
        <f t="array" ref="BO55">SUM(IF(Period=BM$4,IF(Category=$A$47,IF(Provider=$B55,Responses))))</f>
        <v>0</v>
      </c>
      <c r="BP55" s="20"/>
      <c r="BQ55" s="17">
        <f t="shared" si="34"/>
        <v>0</v>
      </c>
      <c r="BR55" s="17"/>
      <c r="BS55" s="17">
        <f t="shared" si="25"/>
        <v>0</v>
      </c>
      <c r="BT55" s="17"/>
      <c r="BU55" s="17">
        <f t="array" ref="BU55">SUM(IF(Period=BU$4,IF(Category=$A$47,IF(Provider=$B55,Score))))</f>
        <v>0</v>
      </c>
      <c r="BV55" s="17"/>
      <c r="BW55" s="20">
        <f t="array" ref="BW55">SUM(IF(Period=BU$4,IF(Category=$A$47,IF(Provider=$B55,Responses))))</f>
        <v>0</v>
      </c>
      <c r="BX55" s="20"/>
      <c r="BY55" s="17">
        <f t="shared" si="35"/>
        <v>0</v>
      </c>
      <c r="BZ55" s="17"/>
      <c r="CA55" s="17">
        <f t="shared" si="26"/>
        <v>0</v>
      </c>
    </row>
    <row r="56" spans="2:79" outlineLevel="1" x14ac:dyDescent="0.25">
      <c r="B56" t="s">
        <v>33</v>
      </c>
      <c r="C56" s="17">
        <v>0</v>
      </c>
      <c r="D56" s="17"/>
      <c r="E56" s="17">
        <v>0</v>
      </c>
      <c r="F56" s="17"/>
      <c r="G56" s="17">
        <v>0</v>
      </c>
      <c r="H56" s="17"/>
      <c r="I56" s="17">
        <f t="array" ref="I56">SUM(IF(Period=I$4,IF(Category=$A$47,IF(Provider=$B56,Score))))</f>
        <v>75</v>
      </c>
      <c r="J56" s="17"/>
      <c r="K56" s="20">
        <f t="array" ref="K56">SUM(IF(Period=I$4,IF(Category=$A$47,IF(Provider=$B56,Responses))))</f>
        <v>8</v>
      </c>
      <c r="L56" s="20"/>
      <c r="M56" s="17">
        <f t="shared" si="27"/>
        <v>2.9702970297029703</v>
      </c>
      <c r="N56" s="17"/>
      <c r="O56" s="17">
        <f t="shared" si="18"/>
        <v>0.49627791563275436</v>
      </c>
      <c r="P56" s="17"/>
      <c r="Q56" s="17">
        <f t="array" ref="Q56">SUM(IF(Period=Q$4,IF(Category=$A$47,IF(Provider=$B56,Score))))</f>
        <v>70</v>
      </c>
      <c r="R56" s="17"/>
      <c r="S56" s="20">
        <f t="array" ref="S56">SUM(IF(Period=Q$4,IF(Category=$A$47,IF(Provider=$B56,Responses))))</f>
        <v>5</v>
      </c>
      <c r="T56" s="20"/>
      <c r="U56" s="17">
        <f t="shared" si="28"/>
        <v>1.8617021276595744</v>
      </c>
      <c r="V56" s="17"/>
      <c r="W56" s="17">
        <f t="shared" si="19"/>
        <v>0.31194295900178254</v>
      </c>
      <c r="X56" s="17"/>
      <c r="Y56" s="17">
        <f t="array" ref="Y56">SUM(IF(Period=Y$4,IF(Category=$A$47,IF(Provider=$B56,Score))))</f>
        <v>79.2</v>
      </c>
      <c r="Z56" s="17"/>
      <c r="AA56" s="20">
        <f t="array" ref="AA56">SUM(IF(Period=Y$4,IF(Category=$A$47,IF(Provider=$B56,Responses))))</f>
        <v>12</v>
      </c>
      <c r="AB56" s="20"/>
      <c r="AC56" s="17">
        <f t="shared" si="29"/>
        <v>3.1470198675496692</v>
      </c>
      <c r="AD56" s="17"/>
      <c r="AE56" s="17">
        <f t="shared" si="20"/>
        <v>0.52421400992829559</v>
      </c>
      <c r="AF56" s="17"/>
      <c r="AG56" s="17">
        <f t="array" ref="AG56">SUM(IF(Period=AG$4,IF(Category=$A$47,IF(Provider=$B56,Score))))</f>
        <v>91.7</v>
      </c>
      <c r="AH56" s="17"/>
      <c r="AI56" s="20">
        <f t="array" ref="AI56">SUM(IF(Period=AG$4,IF(Category=$A$47,IF(Provider=$B56,Responses))))</f>
        <v>9</v>
      </c>
      <c r="AJ56" s="20"/>
      <c r="AK56" s="17">
        <f t="shared" si="30"/>
        <v>3.1988372093023258</v>
      </c>
      <c r="AL56" s="17"/>
      <c r="AM56" s="17">
        <f t="shared" si="21"/>
        <v>0.53452072538860107</v>
      </c>
      <c r="AN56" s="17"/>
      <c r="AO56" s="17">
        <f t="array" ref="AO56">SUM(IF(Period=AO$4,IF(Category=$A$47,IF(Provider=$B56,Score))))</f>
        <v>81.3</v>
      </c>
      <c r="AP56" s="17"/>
      <c r="AQ56" s="20">
        <f t="array" ref="AQ56">SUM(IF(Period=AO$4,IF(Category=$A$47,IF(Provider=$B56,Responses))))</f>
        <v>12</v>
      </c>
      <c r="AR56" s="20"/>
      <c r="AS56" s="17">
        <f t="shared" si="31"/>
        <v>5.7052631578947359</v>
      </c>
      <c r="AT56" s="17"/>
      <c r="AU56" s="17">
        <f t="shared" si="22"/>
        <v>0.9508771929824561</v>
      </c>
      <c r="AV56" s="17"/>
      <c r="AW56" s="17">
        <f t="array" ref="AW56">SUM(IF(Period=AW$4,IF(Category=$A$47,IF(Provider=$B56,Score))))</f>
        <v>84.4</v>
      </c>
      <c r="AX56" s="17"/>
      <c r="AY56" s="20">
        <f t="array" ref="AY56">SUM(IF(Period=AW$4,IF(Category=$A$47,IF(Provider=$B56,Responses))))</f>
        <v>8</v>
      </c>
      <c r="AZ56" s="20"/>
      <c r="BA56" s="17">
        <f t="shared" si="32"/>
        <v>3.1115207373271891</v>
      </c>
      <c r="BB56" s="17"/>
      <c r="BC56" s="17">
        <f t="shared" si="23"/>
        <v>0.51858678955453152</v>
      </c>
      <c r="BD56" s="17"/>
      <c r="BE56" s="17">
        <f t="array" ref="BE56">SUM(IF(Period=BE$4,IF(Category=$A$47,IF(Provider=$B56,Score))))</f>
        <v>75</v>
      </c>
      <c r="BF56" s="17"/>
      <c r="BG56" s="20">
        <f t="array" ref="BG56">SUM(IF(Period=BE$4,IF(Category=$A$47,IF(Provider=$B56,Responses))))</f>
        <v>4</v>
      </c>
      <c r="BH56" s="20"/>
      <c r="BI56" s="17">
        <f t="shared" si="33"/>
        <v>1.2765957446808511</v>
      </c>
      <c r="BJ56" s="17"/>
      <c r="BK56" s="17">
        <f t="shared" si="24"/>
        <v>0.21201413427561835</v>
      </c>
      <c r="BL56" s="17"/>
      <c r="BM56" s="17">
        <f t="array" ref="BM56">SUM(IF(Period=BM$4,IF(Category=$A$47,IF(Provider=$B56,Score))))</f>
        <v>78.900000000000006</v>
      </c>
      <c r="BN56" s="17"/>
      <c r="BO56" s="20">
        <f t="array" ref="BO56">SUM(IF(Period=BM$4,IF(Category=$A$47,IF(Provider=$B56,Responses))))</f>
        <v>13</v>
      </c>
      <c r="BP56" s="20"/>
      <c r="BQ56" s="17">
        <f t="shared" si="34"/>
        <v>4.4402597402597408</v>
      </c>
      <c r="BR56" s="17"/>
      <c r="BS56" s="17">
        <f t="shared" si="25"/>
        <v>0.74004329004329017</v>
      </c>
      <c r="BT56" s="17"/>
      <c r="BU56" s="17">
        <f t="array" ref="BU56">SUM(IF(Period=BU$4,IF(Category=$A$47,IF(Provider=$B56,Score))))</f>
        <v>71.900000000000006</v>
      </c>
      <c r="BV56" s="17"/>
      <c r="BW56" s="20">
        <f t="array" ref="BW56">SUM(IF(Period=BU$4,IF(Category=$A$47,IF(Provider=$B56,Responses))))</f>
        <v>8</v>
      </c>
      <c r="BX56" s="20"/>
      <c r="BY56" s="17">
        <f t="shared" si="35"/>
        <v>2.4168067226890759</v>
      </c>
      <c r="BZ56" s="17"/>
      <c r="CA56" s="17">
        <f t="shared" si="26"/>
        <v>0.39751209398756049</v>
      </c>
    </row>
    <row r="57" spans="2:79" outlineLevel="1" x14ac:dyDescent="0.25">
      <c r="B57" t="s">
        <v>18</v>
      </c>
      <c r="C57" s="17">
        <v>0</v>
      </c>
      <c r="D57" s="17"/>
      <c r="E57" s="17">
        <v>0</v>
      </c>
      <c r="F57" s="17"/>
      <c r="G57" s="17">
        <v>0</v>
      </c>
      <c r="H57" s="17"/>
      <c r="I57" s="17">
        <f t="array" ref="I57">SUM(IF(Period=I$4,IF(Category=$A$47,IF(Provider=$B57,Score))))</f>
        <v>90.6</v>
      </c>
      <c r="J57" s="17"/>
      <c r="K57" s="20">
        <f t="array" ref="K57">SUM(IF(Period=I$4,IF(Category=$A$47,IF(Provider=$B57,Responses))))</f>
        <v>8</v>
      </c>
      <c r="L57" s="20"/>
      <c r="M57" s="17">
        <f t="shared" si="27"/>
        <v>3.5881188118811878</v>
      </c>
      <c r="N57" s="17"/>
      <c r="O57" s="17">
        <f t="shared" si="18"/>
        <v>0.5995037220843672</v>
      </c>
      <c r="P57" s="17"/>
      <c r="Q57" s="17">
        <f t="array" ref="Q57">SUM(IF(Period=Q$4,IF(Category=$A$47,IF(Provider=$B57,Score))))</f>
        <v>63.9</v>
      </c>
      <c r="R57" s="17"/>
      <c r="S57" s="20">
        <f t="array" ref="S57">SUM(IF(Period=Q$4,IF(Category=$A$47,IF(Provider=$B57,Responses))))</f>
        <v>9</v>
      </c>
      <c r="T57" s="20"/>
      <c r="U57" s="17">
        <f t="shared" si="28"/>
        <v>3.0590425531914893</v>
      </c>
      <c r="V57" s="17"/>
      <c r="W57" s="17">
        <f t="shared" si="19"/>
        <v>0.5125668449197861</v>
      </c>
      <c r="X57" s="17"/>
      <c r="Y57" s="17">
        <f t="array" ref="Y57">SUM(IF(Period=Y$4,IF(Category=$A$47,IF(Provider=$B57,Score))))</f>
        <v>76.900000000000006</v>
      </c>
      <c r="Z57" s="17"/>
      <c r="AA57" s="20">
        <f t="array" ref="AA57">SUM(IF(Period=Y$4,IF(Category=$A$47,IF(Provider=$B57,Responses))))</f>
        <v>13</v>
      </c>
      <c r="AB57" s="20"/>
      <c r="AC57" s="17">
        <f t="shared" si="29"/>
        <v>3.3102649006622515</v>
      </c>
      <c r="AD57" s="17"/>
      <c r="AE57" s="17">
        <f t="shared" si="20"/>
        <v>0.55140650854936568</v>
      </c>
      <c r="AF57" s="17"/>
      <c r="AG57" s="17">
        <f t="array" ref="AG57">SUM(IF(Period=AG$4,IF(Category=$A$47,IF(Provider=$B57,Score))))</f>
        <v>95</v>
      </c>
      <c r="AH57" s="17"/>
      <c r="AI57" s="20">
        <f t="array" ref="AI57">SUM(IF(Period=AG$4,IF(Category=$A$47,IF(Provider=$B57,Responses))))</f>
        <v>10</v>
      </c>
      <c r="AJ57" s="20"/>
      <c r="AK57" s="17">
        <f t="shared" si="30"/>
        <v>3.6821705426356588</v>
      </c>
      <c r="AL57" s="17"/>
      <c r="AM57" s="17">
        <f t="shared" si="21"/>
        <v>0.61528497409326421</v>
      </c>
      <c r="AN57" s="17"/>
      <c r="AO57" s="17">
        <f t="array" ref="AO57">SUM(IF(Period=AO$4,IF(Category=$A$47,IF(Provider=$B57,Score))))</f>
        <v>100</v>
      </c>
      <c r="AP57" s="17"/>
      <c r="AQ57" s="20">
        <f t="array" ref="AQ57">SUM(IF(Period=AO$4,IF(Category=$A$47,IF(Provider=$B57,Responses))))</f>
        <v>8</v>
      </c>
      <c r="AR57" s="20"/>
      <c r="AS57" s="17">
        <f t="shared" si="31"/>
        <v>4.6783625730994149</v>
      </c>
      <c r="AT57" s="17"/>
      <c r="AU57" s="17">
        <f t="shared" si="22"/>
        <v>0.77972709551656916</v>
      </c>
      <c r="AV57" s="17"/>
      <c r="AW57" s="17">
        <f t="array" ref="AW57">SUM(IF(Period=AW$4,IF(Category=$A$47,IF(Provider=$B57,Score))))</f>
        <v>92.9</v>
      </c>
      <c r="AX57" s="17"/>
      <c r="AY57" s="20">
        <f t="array" ref="AY57">SUM(IF(Period=AW$4,IF(Category=$A$47,IF(Provider=$B57,Responses))))</f>
        <v>14</v>
      </c>
      <c r="AZ57" s="20"/>
      <c r="BA57" s="17">
        <f t="shared" si="32"/>
        <v>5.9935483870967747</v>
      </c>
      <c r="BB57" s="17"/>
      <c r="BC57" s="17">
        <f t="shared" si="23"/>
        <v>0.99892473118279579</v>
      </c>
      <c r="BD57" s="17"/>
      <c r="BE57" s="17">
        <f t="array" ref="BE57">SUM(IF(Period=BE$4,IF(Category=$A$47,IF(Provider=$B57,Score))))</f>
        <v>97.5</v>
      </c>
      <c r="BF57" s="17"/>
      <c r="BG57" s="20">
        <f t="array" ref="BG57">SUM(IF(Period=BE$4,IF(Category=$A$47,IF(Provider=$B57,Responses))))</f>
        <v>10</v>
      </c>
      <c r="BH57" s="20"/>
      <c r="BI57" s="17">
        <f t="shared" si="33"/>
        <v>4.1489361702127656</v>
      </c>
      <c r="BJ57" s="17"/>
      <c r="BK57" s="17">
        <f t="shared" si="24"/>
        <v>0.68904593639575973</v>
      </c>
      <c r="BL57" s="17"/>
      <c r="BM57" s="17">
        <f t="array" ref="BM57">SUM(IF(Period=BM$4,IF(Category=$A$47,IF(Provider=$B57,Score))))</f>
        <v>89.3</v>
      </c>
      <c r="BN57" s="17"/>
      <c r="BO57" s="20">
        <f t="array" ref="BO57">SUM(IF(Period=BM$4,IF(Category=$A$47,IF(Provider=$B57,Responses))))</f>
        <v>7</v>
      </c>
      <c r="BP57" s="20"/>
      <c r="BQ57" s="17">
        <f t="shared" si="34"/>
        <v>2.7060606060606061</v>
      </c>
      <c r="BR57" s="17"/>
      <c r="BS57" s="17">
        <f t="shared" si="25"/>
        <v>0.45101010101010103</v>
      </c>
      <c r="BT57" s="17"/>
      <c r="BU57" s="17">
        <f t="array" ref="BU57">SUM(IF(Period=BU$4,IF(Category=$A$47,IF(Provider=$B57,Score))))</f>
        <v>89.3</v>
      </c>
      <c r="BV57" s="17"/>
      <c r="BW57" s="20">
        <f t="array" ref="BW57">SUM(IF(Period=BU$4,IF(Category=$A$47,IF(Provider=$B57,Responses))))</f>
        <v>14</v>
      </c>
      <c r="BX57" s="20"/>
      <c r="BY57" s="17">
        <f t="shared" si="35"/>
        <v>5.2529411764705882</v>
      </c>
      <c r="BZ57" s="17"/>
      <c r="CA57" s="17">
        <f t="shared" si="26"/>
        <v>0.86399447131997242</v>
      </c>
    </row>
    <row r="58" spans="2:79" outlineLevel="1" x14ac:dyDescent="0.25">
      <c r="B58" t="s">
        <v>16</v>
      </c>
      <c r="C58" s="17">
        <v>0</v>
      </c>
      <c r="D58" s="17"/>
      <c r="E58" s="17">
        <v>0</v>
      </c>
      <c r="F58" s="17"/>
      <c r="G58" s="17">
        <v>0</v>
      </c>
      <c r="H58" s="17"/>
      <c r="I58" s="17">
        <f t="array" ref="I58">SUM(IF(Period=I$4,IF(Category=$A$47,IF(Provider=$B58,Score))))</f>
        <v>87.5</v>
      </c>
      <c r="J58" s="17"/>
      <c r="K58" s="20">
        <f t="array" ref="K58">SUM(IF(Period=I$4,IF(Category=$A$47,IF(Provider=$B58,Responses))))</f>
        <v>4</v>
      </c>
      <c r="L58" s="20"/>
      <c r="M58" s="17">
        <f t="shared" si="27"/>
        <v>1.7326732673267327</v>
      </c>
      <c r="N58" s="17"/>
      <c r="O58" s="17">
        <f t="shared" si="18"/>
        <v>0.28949545078577338</v>
      </c>
      <c r="P58" s="17"/>
      <c r="Q58" s="17">
        <f t="array" ref="Q58">SUM(IF(Period=Q$4,IF(Category=$A$47,IF(Provider=$B58,Score))))</f>
        <v>100</v>
      </c>
      <c r="R58" s="17"/>
      <c r="S58" s="20">
        <f t="array" ref="S58">SUM(IF(Period=Q$4,IF(Category=$A$47,IF(Provider=$B58,Responses))))</f>
        <v>4</v>
      </c>
      <c r="T58" s="20"/>
      <c r="U58" s="17">
        <f t="shared" si="28"/>
        <v>2.1276595744680851</v>
      </c>
      <c r="V58" s="17"/>
      <c r="W58" s="17">
        <f t="shared" si="19"/>
        <v>0.35650623885918004</v>
      </c>
      <c r="X58" s="17"/>
      <c r="Y58" s="17">
        <f t="array" ref="Y58">SUM(IF(Period=Y$4,IF(Category=$A$47,IF(Provider=$B58,Score))))</f>
        <v>90</v>
      </c>
      <c r="Z58" s="17"/>
      <c r="AA58" s="20">
        <f t="array" ref="AA58">SUM(IF(Period=Y$4,IF(Category=$A$47,IF(Provider=$B58,Responses))))</f>
        <v>5</v>
      </c>
      <c r="AB58" s="20"/>
      <c r="AC58" s="17">
        <f t="shared" si="29"/>
        <v>1.490066225165563</v>
      </c>
      <c r="AD58" s="17"/>
      <c r="AE58" s="17">
        <f t="shared" si="20"/>
        <v>0.24820739106453393</v>
      </c>
      <c r="AF58" s="17"/>
      <c r="AG58" s="17">
        <f t="array" ref="AG58">SUM(IF(Period=AG$4,IF(Category=$A$47,IF(Provider=$B58,Score))))</f>
        <v>93.8</v>
      </c>
      <c r="AH58" s="17"/>
      <c r="AI58" s="20">
        <f t="array" ref="AI58">SUM(IF(Period=AG$4,IF(Category=$A$47,IF(Provider=$B58,Responses))))</f>
        <v>4</v>
      </c>
      <c r="AJ58" s="20"/>
      <c r="AK58" s="17">
        <f t="shared" si="30"/>
        <v>1.4542635658914729</v>
      </c>
      <c r="AL58" s="17"/>
      <c r="AM58" s="17">
        <f t="shared" si="21"/>
        <v>0.24300518134715027</v>
      </c>
      <c r="AN58" s="17"/>
      <c r="AO58" s="17">
        <f t="array" ref="AO58">SUM(IF(Period=AO$4,IF(Category=$A$47,IF(Provider=$B58,Score))))</f>
        <v>37.5</v>
      </c>
      <c r="AP58" s="17"/>
      <c r="AQ58" s="20">
        <f t="array" ref="AQ58">SUM(IF(Period=AO$4,IF(Category=$A$47,IF(Provider=$B58,Responses))))</f>
        <v>2</v>
      </c>
      <c r="AR58" s="20"/>
      <c r="AS58" s="17">
        <f t="shared" si="31"/>
        <v>0.43859649122807015</v>
      </c>
      <c r="AT58" s="17"/>
      <c r="AU58" s="17">
        <f t="shared" si="22"/>
        <v>7.3099415204678359E-2</v>
      </c>
      <c r="AV58" s="17"/>
      <c r="AW58" s="17">
        <f t="array" ref="AW58">SUM(IF(Period=AW$4,IF(Category=$A$47,IF(Provider=$B58,Score))))</f>
        <v>80</v>
      </c>
      <c r="AX58" s="17"/>
      <c r="AY58" s="20">
        <f t="array" ref="AY58">SUM(IF(Period=AW$4,IF(Category=$A$47,IF(Provider=$B58,Responses))))</f>
        <v>5</v>
      </c>
      <c r="AZ58" s="20"/>
      <c r="BA58" s="17">
        <f t="shared" si="32"/>
        <v>1.8433179723502304</v>
      </c>
      <c r="BB58" s="17"/>
      <c r="BC58" s="17">
        <f t="shared" si="23"/>
        <v>0.30721966205837176</v>
      </c>
      <c r="BD58" s="17"/>
      <c r="BE58" s="17">
        <f t="array" ref="BE58">SUM(IF(Period=BE$4,IF(Category=$A$47,IF(Provider=$B58,Score))))</f>
        <v>100</v>
      </c>
      <c r="BF58" s="17"/>
      <c r="BG58" s="20">
        <f t="array" ref="BG58">SUM(IF(Period=BE$4,IF(Category=$A$47,IF(Provider=$B58,Responses))))</f>
        <v>2</v>
      </c>
      <c r="BH58" s="20"/>
      <c r="BI58" s="17">
        <f t="shared" si="33"/>
        <v>0.85106382978723405</v>
      </c>
      <c r="BJ58" s="17"/>
      <c r="BK58" s="17">
        <f t="shared" si="24"/>
        <v>0.14134275618374559</v>
      </c>
      <c r="BL58" s="17"/>
      <c r="BM58" s="17">
        <f t="array" ref="BM58">SUM(IF(Period=BM$4,IF(Category=$A$47,IF(Provider=$B58,Score))))</f>
        <v>100</v>
      </c>
      <c r="BN58" s="17"/>
      <c r="BO58" s="20">
        <f t="array" ref="BO58">SUM(IF(Period=BM$4,IF(Category=$A$47,IF(Provider=$B58,Responses))))</f>
        <v>3</v>
      </c>
      <c r="BP58" s="20"/>
      <c r="BQ58" s="17">
        <f t="shared" si="34"/>
        <v>1.2987012987012987</v>
      </c>
      <c r="BR58" s="17"/>
      <c r="BS58" s="17">
        <f t="shared" si="25"/>
        <v>0.21645021645021645</v>
      </c>
      <c r="BT58" s="17"/>
      <c r="BU58" s="17">
        <f t="array" ref="BU58">SUM(IF(Period=BU$4,IF(Category=$A$47,IF(Provider=$B58,Score))))</f>
        <v>75</v>
      </c>
      <c r="BV58" s="17"/>
      <c r="BW58" s="20">
        <f t="array" ref="BW58">SUM(IF(Period=BU$4,IF(Category=$A$47,IF(Provider=$B58,Responses))))</f>
        <v>7</v>
      </c>
      <c r="BX58" s="20"/>
      <c r="BY58" s="17">
        <f t="shared" si="35"/>
        <v>2.2058823529411766</v>
      </c>
      <c r="BZ58" s="17"/>
      <c r="CA58" s="17">
        <f t="shared" si="26"/>
        <v>0.36281962681409818</v>
      </c>
    </row>
    <row r="59" spans="2:79" outlineLevel="1" x14ac:dyDescent="0.25">
      <c r="B59" t="s">
        <v>24</v>
      </c>
      <c r="C59" s="17">
        <v>0</v>
      </c>
      <c r="D59" s="17"/>
      <c r="E59" s="17">
        <v>0</v>
      </c>
      <c r="F59" s="17"/>
      <c r="G59" s="17">
        <v>0</v>
      </c>
      <c r="H59" s="17"/>
      <c r="I59" s="17">
        <f t="array" ref="I59">SUM(IF(Period=I$4,IF(Category=$A$47,IF(Provider=$B59,Score))))</f>
        <v>81.8</v>
      </c>
      <c r="J59" s="17"/>
      <c r="K59" s="20">
        <f t="array" ref="K59">SUM(IF(Period=I$4,IF(Category=$A$47,IF(Provider=$B59,Responses))))</f>
        <v>11</v>
      </c>
      <c r="L59" s="20"/>
      <c r="M59" s="17">
        <f t="shared" si="27"/>
        <v>4.4544554455445544</v>
      </c>
      <c r="N59" s="17"/>
      <c r="O59" s="17">
        <f t="shared" si="18"/>
        <v>0.74425144747725402</v>
      </c>
      <c r="P59" s="17"/>
      <c r="Q59" s="17">
        <f t="array" ref="Q59">SUM(IF(Period=Q$4,IF(Category=$A$47,IF(Provider=$B59,Score))))</f>
        <v>86.1</v>
      </c>
      <c r="R59" s="17"/>
      <c r="S59" s="20">
        <f t="array" ref="S59">SUM(IF(Period=Q$4,IF(Category=$A$47,IF(Provider=$B59,Responses))))</f>
        <v>9</v>
      </c>
      <c r="T59" s="20"/>
      <c r="U59" s="17">
        <f t="shared" si="28"/>
        <v>4.1218085106382976</v>
      </c>
      <c r="V59" s="17"/>
      <c r="W59" s="17">
        <f t="shared" si="19"/>
        <v>0.69064171122994655</v>
      </c>
      <c r="X59" s="17"/>
      <c r="Y59" s="17">
        <f t="array" ref="Y59">SUM(IF(Period=Y$4,IF(Category=$A$47,IF(Provider=$B59,Score))))</f>
        <v>83.3</v>
      </c>
      <c r="Z59" s="17"/>
      <c r="AA59" s="20">
        <f t="array" ref="AA59">SUM(IF(Period=Y$4,IF(Category=$A$47,IF(Provider=$B59,Responses))))</f>
        <v>18</v>
      </c>
      <c r="AB59" s="20"/>
      <c r="AC59" s="17">
        <f t="shared" si="29"/>
        <v>4.9649006622516554</v>
      </c>
      <c r="AD59" s="17"/>
      <c r="AE59" s="17">
        <f t="shared" si="20"/>
        <v>0.82702702702702691</v>
      </c>
      <c r="AF59" s="17"/>
      <c r="AG59" s="17">
        <f t="array" ref="AG59">SUM(IF(Period=AG$4,IF(Category=$A$47,IF(Provider=$B59,Score))))</f>
        <v>85.9</v>
      </c>
      <c r="AH59" s="17"/>
      <c r="AI59" s="20">
        <f t="array" ref="AI59">SUM(IF(Period=AG$4,IF(Category=$A$47,IF(Provider=$B59,Responses))))</f>
        <v>16</v>
      </c>
      <c r="AJ59" s="20"/>
      <c r="AK59" s="17">
        <f t="shared" si="30"/>
        <v>5.3271317829457363</v>
      </c>
      <c r="AL59" s="17"/>
      <c r="AM59" s="17">
        <f t="shared" si="21"/>
        <v>0.89015544041450789</v>
      </c>
      <c r="AN59" s="17"/>
      <c r="AO59" s="17">
        <f t="array" ref="AO59">SUM(IF(Period=AO$4,IF(Category=$A$47,IF(Provider=$B59,Score))))</f>
        <v>87.5</v>
      </c>
      <c r="AP59" s="17"/>
      <c r="AQ59" s="20">
        <f t="array" ref="AQ59">SUM(IF(Period=AO$4,IF(Category=$A$47,IF(Provider=$B59,Responses))))</f>
        <v>12</v>
      </c>
      <c r="AR59" s="20"/>
      <c r="AS59" s="17">
        <f t="shared" si="31"/>
        <v>6.140350877192982</v>
      </c>
      <c r="AT59" s="17"/>
      <c r="AU59" s="17">
        <f t="shared" si="22"/>
        <v>1.0233918128654971</v>
      </c>
      <c r="AV59" s="17"/>
      <c r="AW59" s="17">
        <f t="array" ref="AW59">SUM(IF(Period=AW$4,IF(Category=$A$47,IF(Provider=$B59,Score))))</f>
        <v>92.5</v>
      </c>
      <c r="AX59" s="17"/>
      <c r="AY59" s="20">
        <f t="array" ref="AY59">SUM(IF(Period=AW$4,IF(Category=$A$47,IF(Provider=$B59,Responses))))</f>
        <v>10</v>
      </c>
      <c r="AZ59" s="20"/>
      <c r="BA59" s="17">
        <f t="shared" si="32"/>
        <v>4.2626728110599084</v>
      </c>
      <c r="BB59" s="17"/>
      <c r="BC59" s="17">
        <f t="shared" si="23"/>
        <v>0.71044546850998469</v>
      </c>
      <c r="BD59" s="17"/>
      <c r="BE59" s="17">
        <f t="array" ref="BE59">SUM(IF(Period=BE$4,IF(Category=$A$47,IF(Provider=$B59,Score))))</f>
        <v>93.8</v>
      </c>
      <c r="BF59" s="17"/>
      <c r="BG59" s="20">
        <f t="array" ref="BG59">SUM(IF(Period=BE$4,IF(Category=$A$47,IF(Provider=$B59,Responses))))</f>
        <v>8</v>
      </c>
      <c r="BH59" s="20"/>
      <c r="BI59" s="17">
        <f t="shared" si="33"/>
        <v>3.1931914893617019</v>
      </c>
      <c r="BJ59" s="17"/>
      <c r="BK59" s="17">
        <f t="shared" si="24"/>
        <v>0.53031802120141336</v>
      </c>
      <c r="BL59" s="17"/>
      <c r="BM59" s="17">
        <f t="array" ref="BM59">SUM(IF(Period=BM$4,IF(Category=$A$47,IF(Provider=$B59,Score))))</f>
        <v>100</v>
      </c>
      <c r="BN59" s="17"/>
      <c r="BO59" s="20">
        <f t="array" ref="BO59">SUM(IF(Period=BM$4,IF(Category=$A$47,IF(Provider=$B59,Responses))))</f>
        <v>9</v>
      </c>
      <c r="BP59" s="20"/>
      <c r="BQ59" s="17">
        <f t="shared" si="34"/>
        <v>3.8961038961038961</v>
      </c>
      <c r="BR59" s="17"/>
      <c r="BS59" s="17">
        <f t="shared" si="25"/>
        <v>0.64935064935064934</v>
      </c>
      <c r="BT59" s="17"/>
      <c r="BU59" s="17">
        <f t="array" ref="BU59">SUM(IF(Period=BU$4,IF(Category=$A$47,IF(Provider=$B59,Score))))</f>
        <v>92.9</v>
      </c>
      <c r="BV59" s="17"/>
      <c r="BW59" s="20">
        <f t="array" ref="BW59">SUM(IF(Period=BU$4,IF(Category=$A$47,IF(Provider=$B59,Responses))))</f>
        <v>7</v>
      </c>
      <c r="BX59" s="20"/>
      <c r="BY59" s="17">
        <f t="shared" si="35"/>
        <v>2.7323529411764707</v>
      </c>
      <c r="BZ59" s="17"/>
      <c r="CA59" s="17">
        <f t="shared" si="26"/>
        <v>0.44941257774706295</v>
      </c>
    </row>
    <row r="60" spans="2:79" outlineLevel="1" x14ac:dyDescent="0.25">
      <c r="B60" t="s">
        <v>32</v>
      </c>
      <c r="C60" s="17">
        <v>0</v>
      </c>
      <c r="D60" s="17"/>
      <c r="E60" s="17">
        <v>0</v>
      </c>
      <c r="F60" s="17"/>
      <c r="G60" s="17">
        <v>0</v>
      </c>
      <c r="H60" s="17"/>
      <c r="I60" s="17">
        <f t="array" ref="I60">SUM(IF(Period=I$4,IF(Category=$A$47,IF(Provider=$B60,Score))))</f>
        <v>72.2</v>
      </c>
      <c r="J60" s="17"/>
      <c r="K60" s="20">
        <f t="array" ref="K60">SUM(IF(Period=I$4,IF(Category=$A$47,IF(Provider=$B60,Responses))))</f>
        <v>9</v>
      </c>
      <c r="L60" s="20"/>
      <c r="M60" s="17">
        <f t="shared" si="27"/>
        <v>3.216831683168317</v>
      </c>
      <c r="N60" s="17"/>
      <c r="O60" s="17">
        <f t="shared" si="18"/>
        <v>0.53746898263027298</v>
      </c>
      <c r="P60" s="17"/>
      <c r="Q60" s="17">
        <f t="array" ref="Q60">SUM(IF(Period=Q$4,IF(Category=$A$47,IF(Provider=$B60,Score))))</f>
        <v>100</v>
      </c>
      <c r="R60" s="17"/>
      <c r="S60" s="20">
        <f t="array" ref="S60">SUM(IF(Period=Q$4,IF(Category=$A$47,IF(Provider=$B60,Responses))))</f>
        <v>3</v>
      </c>
      <c r="T60" s="20"/>
      <c r="U60" s="17">
        <f t="shared" si="28"/>
        <v>1.5957446808510638</v>
      </c>
      <c r="V60" s="17"/>
      <c r="W60" s="17">
        <f t="shared" si="19"/>
        <v>0.26737967914438499</v>
      </c>
      <c r="X60" s="17"/>
      <c r="Y60" s="17">
        <f t="array" ref="Y60">SUM(IF(Period=Y$4,IF(Category=$A$47,IF(Provider=$B60,Score))))</f>
        <v>59.4</v>
      </c>
      <c r="Z60" s="17"/>
      <c r="AA60" s="20">
        <f t="array" ref="AA60">SUM(IF(Period=Y$4,IF(Category=$A$47,IF(Provider=$B60,Responses))))</f>
        <v>8</v>
      </c>
      <c r="AB60" s="20"/>
      <c r="AC60" s="17">
        <f t="shared" si="29"/>
        <v>1.5735099337748344</v>
      </c>
      <c r="AD60" s="17"/>
      <c r="AE60" s="17">
        <f t="shared" si="20"/>
        <v>0.26210700496414785</v>
      </c>
      <c r="AF60" s="17"/>
      <c r="AG60" s="17">
        <f t="array" ref="AG60">SUM(IF(Period=AG$4,IF(Category=$A$47,IF(Provider=$B60,Score))))</f>
        <v>75</v>
      </c>
      <c r="AH60" s="17"/>
      <c r="AI60" s="20">
        <f t="array" ref="AI60">SUM(IF(Period=AG$4,IF(Category=$A$47,IF(Provider=$B60,Responses))))</f>
        <v>8</v>
      </c>
      <c r="AJ60" s="20"/>
      <c r="AK60" s="17">
        <f t="shared" si="30"/>
        <v>2.3255813953488373</v>
      </c>
      <c r="AL60" s="17"/>
      <c r="AM60" s="17">
        <f t="shared" si="21"/>
        <v>0.38860103626943004</v>
      </c>
      <c r="AN60" s="17"/>
      <c r="AO60" s="17">
        <f t="array" ref="AO60">SUM(IF(Period=AO$4,IF(Category=$A$47,IF(Provider=$B60,Score))))</f>
        <v>83.3</v>
      </c>
      <c r="AP60" s="17"/>
      <c r="AQ60" s="20">
        <f t="array" ref="AQ60">SUM(IF(Period=AO$4,IF(Category=$A$47,IF(Provider=$B60,Responses))))</f>
        <v>3</v>
      </c>
      <c r="AR60" s="20"/>
      <c r="AS60" s="17">
        <f t="shared" si="31"/>
        <v>1.4614035087719297</v>
      </c>
      <c r="AT60" s="17"/>
      <c r="AU60" s="17">
        <f t="shared" si="22"/>
        <v>0.24356725146198829</v>
      </c>
      <c r="AV60" s="17"/>
      <c r="AW60" s="17">
        <f t="array" ref="AW60">SUM(IF(Period=AW$4,IF(Category=$A$47,IF(Provider=$B60,Score))))</f>
        <v>89.3</v>
      </c>
      <c r="AX60" s="17"/>
      <c r="AY60" s="20">
        <f t="array" ref="AY60">SUM(IF(Period=AW$4,IF(Category=$A$47,IF(Provider=$B60,Responses))))</f>
        <v>7</v>
      </c>
      <c r="AZ60" s="20"/>
      <c r="BA60" s="17">
        <f t="shared" si="32"/>
        <v>2.8806451612903223</v>
      </c>
      <c r="BB60" s="17"/>
      <c r="BC60" s="17">
        <f t="shared" si="23"/>
        <v>0.48010752688172043</v>
      </c>
      <c r="BD60" s="17"/>
      <c r="BE60" s="17">
        <f t="array" ref="BE60">SUM(IF(Period=BE$4,IF(Category=$A$47,IF(Provider=$B60,Score))))</f>
        <v>87.5</v>
      </c>
      <c r="BF60" s="17"/>
      <c r="BG60" s="20">
        <f t="array" ref="BG60">SUM(IF(Period=BE$4,IF(Category=$A$47,IF(Provider=$B60,Responses))))</f>
        <v>6</v>
      </c>
      <c r="BH60" s="20"/>
      <c r="BI60" s="17">
        <f t="shared" si="33"/>
        <v>2.2340425531914891</v>
      </c>
      <c r="BJ60" s="17"/>
      <c r="BK60" s="17">
        <f t="shared" si="24"/>
        <v>0.37102473498233213</v>
      </c>
      <c r="BL60" s="17"/>
      <c r="BM60" s="17">
        <f t="array" ref="BM60">SUM(IF(Period=BM$4,IF(Category=$A$47,IF(Provider=$B60,Score))))</f>
        <v>100</v>
      </c>
      <c r="BN60" s="17"/>
      <c r="BO60" s="20">
        <f t="array" ref="BO60">SUM(IF(Period=BM$4,IF(Category=$A$47,IF(Provider=$B60,Responses))))</f>
        <v>7</v>
      </c>
      <c r="BP60" s="20"/>
      <c r="BQ60" s="17">
        <f t="shared" si="34"/>
        <v>3.0303030303030303</v>
      </c>
      <c r="BR60" s="17"/>
      <c r="BS60" s="17">
        <f t="shared" si="25"/>
        <v>0.50505050505050508</v>
      </c>
      <c r="BT60" s="17"/>
      <c r="BU60" s="17">
        <f t="array" ref="BU60">SUM(IF(Period=BU$4,IF(Category=$A$47,IF(Provider=$B60,Score))))</f>
        <v>75</v>
      </c>
      <c r="BV60" s="17"/>
      <c r="BW60" s="20">
        <f t="array" ref="BW60">SUM(IF(Period=BU$4,IF(Category=$A$47,IF(Provider=$B60,Responses))))</f>
        <v>8</v>
      </c>
      <c r="BX60" s="20"/>
      <c r="BY60" s="17">
        <f t="shared" si="35"/>
        <v>2.5210084033613445</v>
      </c>
      <c r="BZ60" s="17"/>
      <c r="CA60" s="17">
        <f t="shared" si="26"/>
        <v>0.414651002073255</v>
      </c>
    </row>
    <row r="61" spans="2:79" outlineLevel="1" x14ac:dyDescent="0.25">
      <c r="B61" t="s">
        <v>35</v>
      </c>
      <c r="C61" s="17">
        <v>0</v>
      </c>
      <c r="D61" s="17"/>
      <c r="E61" s="17">
        <v>0</v>
      </c>
      <c r="F61" s="17"/>
      <c r="G61" s="17">
        <v>0</v>
      </c>
      <c r="H61" s="17"/>
      <c r="I61" s="17">
        <f t="array" ref="I61">SUM(IF(Period=I$4,IF(Category=$A$47,IF(Provider=$B61,Score))))</f>
        <v>50</v>
      </c>
      <c r="J61" s="17"/>
      <c r="K61" s="20">
        <f t="array" ref="K61">SUM(IF(Period=I$4,IF(Category=$A$47,IF(Provider=$B61,Responses))))</f>
        <v>1</v>
      </c>
      <c r="L61" s="20"/>
      <c r="M61" s="17">
        <f t="shared" si="27"/>
        <v>0.24752475247524752</v>
      </c>
      <c r="N61" s="17"/>
      <c r="O61" s="17">
        <f t="shared" si="18"/>
        <v>4.1356492969396197E-2</v>
      </c>
      <c r="P61" s="17"/>
      <c r="Q61" s="17">
        <f t="array" ref="Q61">SUM(IF(Period=Q$4,IF(Category=$A$47,IF(Provider=$B61,Score))))</f>
        <v>0</v>
      </c>
      <c r="R61" s="17"/>
      <c r="S61" s="20">
        <f t="array" ref="S61">SUM(IF(Period=Q$4,IF(Category=$A$47,IF(Provider=$B61,Responses))))</f>
        <v>0</v>
      </c>
      <c r="T61" s="20"/>
      <c r="U61" s="17">
        <f t="shared" si="28"/>
        <v>0</v>
      </c>
      <c r="V61" s="17"/>
      <c r="W61" s="17">
        <f t="shared" si="19"/>
        <v>0</v>
      </c>
      <c r="X61" s="17"/>
      <c r="Y61" s="17">
        <f t="array" ref="Y61">SUM(IF(Period=Y$4,IF(Category=$A$47,IF(Provider=$B61,Score))))</f>
        <v>83.3</v>
      </c>
      <c r="Z61" s="17"/>
      <c r="AA61" s="20">
        <f t="array" ref="AA61">SUM(IF(Period=Y$4,IF(Category=$A$47,IF(Provider=$B61,Responses))))</f>
        <v>3</v>
      </c>
      <c r="AB61" s="20"/>
      <c r="AC61" s="17">
        <f t="shared" si="29"/>
        <v>0.82748344370860927</v>
      </c>
      <c r="AD61" s="17"/>
      <c r="AE61" s="17">
        <f t="shared" si="20"/>
        <v>0.13783783783783782</v>
      </c>
      <c r="AF61" s="17"/>
      <c r="AG61" s="17">
        <f t="array" ref="AG61">SUM(IF(Period=AG$4,IF(Category=$A$47,IF(Provider=$B61,Score))))</f>
        <v>50</v>
      </c>
      <c r="AH61" s="17"/>
      <c r="AI61" s="20">
        <f t="array" ref="AI61">SUM(IF(Period=AG$4,IF(Category=$A$47,IF(Provider=$B61,Responses))))</f>
        <v>1</v>
      </c>
      <c r="AJ61" s="20"/>
      <c r="AK61" s="17">
        <f t="shared" si="30"/>
        <v>0.19379844961240311</v>
      </c>
      <c r="AL61" s="17"/>
      <c r="AM61" s="17">
        <f t="shared" si="21"/>
        <v>3.2383419689119175E-2</v>
      </c>
      <c r="AN61" s="17"/>
      <c r="AO61" s="17">
        <f t="array" ref="AO61">SUM(IF(Period=AO$4,IF(Category=$A$47,IF(Provider=$B61,Score))))</f>
        <v>50</v>
      </c>
      <c r="AP61" s="17"/>
      <c r="AQ61" s="20">
        <f t="array" ref="AQ61">SUM(IF(Period=AO$4,IF(Category=$A$47,IF(Provider=$B61,Responses))))</f>
        <v>2</v>
      </c>
      <c r="AR61" s="20"/>
      <c r="AS61" s="17">
        <f t="shared" si="31"/>
        <v>0.58479532163742687</v>
      </c>
      <c r="AT61" s="17"/>
      <c r="AU61" s="17">
        <f t="shared" si="22"/>
        <v>9.7465886939571145E-2</v>
      </c>
      <c r="AV61" s="17"/>
      <c r="AW61" s="17">
        <f t="array" ref="AW61">SUM(IF(Period=AW$4,IF(Category=$A$47,IF(Provider=$B61,Score))))</f>
        <v>89.3</v>
      </c>
      <c r="AX61" s="17"/>
      <c r="AY61" s="20">
        <f t="array" ref="AY61">SUM(IF(Period=AW$4,IF(Category=$A$47,IF(Provider=$B61,Responses))))</f>
        <v>7</v>
      </c>
      <c r="AZ61" s="20"/>
      <c r="BA61" s="17">
        <f t="shared" si="32"/>
        <v>2.8806451612903223</v>
      </c>
      <c r="BB61" s="17"/>
      <c r="BC61" s="17">
        <f t="shared" si="23"/>
        <v>0.48010752688172043</v>
      </c>
      <c r="BD61" s="17"/>
      <c r="BE61" s="17">
        <f t="array" ref="BE61">SUM(IF(Period=BE$4,IF(Category=$A$47,IF(Provider=$B61,Score))))</f>
        <v>67.900000000000006</v>
      </c>
      <c r="BF61" s="17"/>
      <c r="BG61" s="20">
        <f t="array" ref="BG61">SUM(IF(Period=BE$4,IF(Category=$A$47,IF(Provider=$B61,Responses))))</f>
        <v>7</v>
      </c>
      <c r="BH61" s="20"/>
      <c r="BI61" s="17">
        <f t="shared" si="33"/>
        <v>2.022553191489362</v>
      </c>
      <c r="BJ61" s="17"/>
      <c r="BK61" s="17">
        <f t="shared" si="24"/>
        <v>0.33590106007067139</v>
      </c>
      <c r="BL61" s="17"/>
      <c r="BM61" s="17">
        <f t="array" ref="BM61">SUM(IF(Period=BM$4,IF(Category=$A$47,IF(Provider=$B61,Score))))</f>
        <v>100</v>
      </c>
      <c r="BN61" s="17"/>
      <c r="BO61" s="20">
        <f t="array" ref="BO61">SUM(IF(Period=BM$4,IF(Category=$A$47,IF(Provider=$B61,Responses))))</f>
        <v>3</v>
      </c>
      <c r="BP61" s="20"/>
      <c r="BQ61" s="17">
        <f t="shared" si="34"/>
        <v>1.2987012987012987</v>
      </c>
      <c r="BR61" s="17"/>
      <c r="BS61" s="17">
        <f t="shared" si="25"/>
        <v>0.21645021645021645</v>
      </c>
      <c r="BT61" s="17"/>
      <c r="BU61" s="17">
        <f t="array" ref="BU61">SUM(IF(Period=BU$4,IF(Category=$A$47,IF(Provider=$B61,Score))))</f>
        <v>100</v>
      </c>
      <c r="BV61" s="17"/>
      <c r="BW61" s="20">
        <f t="array" ref="BW61">SUM(IF(Period=BU$4,IF(Category=$A$47,IF(Provider=$B61,Responses))))</f>
        <v>1</v>
      </c>
      <c r="BX61" s="20"/>
      <c r="BY61" s="17">
        <f t="shared" si="35"/>
        <v>0.42016806722689076</v>
      </c>
      <c r="BZ61" s="17"/>
      <c r="CA61" s="17">
        <f t="shared" si="26"/>
        <v>6.9108500345542501E-2</v>
      </c>
    </row>
    <row r="62" spans="2:79" outlineLevel="1" x14ac:dyDescent="0.25">
      <c r="B62" t="s">
        <v>36</v>
      </c>
      <c r="C62" s="17">
        <v>0</v>
      </c>
      <c r="D62" s="17"/>
      <c r="E62" s="17">
        <v>0</v>
      </c>
      <c r="F62" s="17"/>
      <c r="G62" s="17">
        <v>0</v>
      </c>
      <c r="H62" s="17"/>
      <c r="I62" s="17">
        <f t="array" ref="I62">SUM(IF(Period=I$4,IF(Category=$A$47,IF(Provider=$B62,Score))))</f>
        <v>71.400000000000006</v>
      </c>
      <c r="J62" s="17"/>
      <c r="K62" s="20">
        <f t="array" ref="K62">SUM(IF(Period=I$4,IF(Category=$A$47,IF(Provider=$B62,Responses))))</f>
        <v>7</v>
      </c>
      <c r="L62" s="20"/>
      <c r="M62" s="17">
        <f t="shared" si="27"/>
        <v>2.4742574257425747</v>
      </c>
      <c r="N62" s="17"/>
      <c r="O62" s="17">
        <f t="shared" si="18"/>
        <v>0.41339950372208439</v>
      </c>
      <c r="P62" s="17"/>
      <c r="Q62" s="17">
        <f t="array" ref="Q62">SUM(IF(Period=Q$4,IF(Category=$A$47,IF(Provider=$B62,Score))))</f>
        <v>87.5</v>
      </c>
      <c r="R62" s="17"/>
      <c r="S62" s="20">
        <f t="array" ref="S62">SUM(IF(Period=Q$4,IF(Category=$A$47,IF(Provider=$B62,Responses))))</f>
        <v>4</v>
      </c>
      <c r="T62" s="20"/>
      <c r="U62" s="17">
        <f t="shared" si="28"/>
        <v>1.8617021276595744</v>
      </c>
      <c r="V62" s="17"/>
      <c r="W62" s="17">
        <f t="shared" si="19"/>
        <v>0.31194295900178254</v>
      </c>
      <c r="X62" s="17"/>
      <c r="Y62" s="17">
        <f t="array" ref="Y62">SUM(IF(Period=Y$4,IF(Category=$A$47,IF(Provider=$B62,Score))))</f>
        <v>94.4</v>
      </c>
      <c r="Z62" s="17"/>
      <c r="AA62" s="20">
        <f t="array" ref="AA62">SUM(IF(Period=Y$4,IF(Category=$A$47,IF(Provider=$B62,Responses))))</f>
        <v>9</v>
      </c>
      <c r="AB62" s="20"/>
      <c r="AC62" s="17">
        <f t="shared" si="29"/>
        <v>2.8132450331125831</v>
      </c>
      <c r="AD62" s="17"/>
      <c r="AE62" s="17">
        <f t="shared" si="20"/>
        <v>0.46861555432984003</v>
      </c>
      <c r="AF62" s="17"/>
      <c r="AG62" s="17">
        <f t="array" ref="AG62">SUM(IF(Period=AG$4,IF(Category=$A$47,IF(Provider=$B62,Score))))</f>
        <v>58.3</v>
      </c>
      <c r="AH62" s="17"/>
      <c r="AI62" s="20">
        <f t="array" ref="AI62">SUM(IF(Period=AG$4,IF(Category=$A$47,IF(Provider=$B62,Responses))))</f>
        <v>9</v>
      </c>
      <c r="AJ62" s="20"/>
      <c r="AK62" s="17">
        <f t="shared" si="30"/>
        <v>2.0337209302325578</v>
      </c>
      <c r="AL62" s="17"/>
      <c r="AM62" s="17">
        <f t="shared" si="21"/>
        <v>0.33983160621761654</v>
      </c>
      <c r="AN62" s="17"/>
      <c r="AO62" s="17">
        <f t="array" ref="AO62">SUM(IF(Period=AO$4,IF(Category=$A$47,IF(Provider=$B62,Score))))</f>
        <v>66.7</v>
      </c>
      <c r="AP62" s="17"/>
      <c r="AQ62" s="20">
        <f t="array" ref="AQ62">SUM(IF(Period=AO$4,IF(Category=$A$47,IF(Provider=$B62,Responses))))</f>
        <v>6</v>
      </c>
      <c r="AR62" s="20"/>
      <c r="AS62" s="17">
        <f t="shared" si="31"/>
        <v>2.3403508771929826</v>
      </c>
      <c r="AT62" s="17"/>
      <c r="AU62" s="17">
        <f t="shared" si="22"/>
        <v>0.39005847953216372</v>
      </c>
      <c r="AV62" s="17"/>
      <c r="AW62" s="17">
        <f t="array" ref="AW62">SUM(IF(Period=AW$4,IF(Category=$A$47,IF(Provider=$B62,Score))))</f>
        <v>83.3</v>
      </c>
      <c r="AX62" s="17"/>
      <c r="AY62" s="20">
        <f t="array" ref="AY62">SUM(IF(Period=AW$4,IF(Category=$A$47,IF(Provider=$B62,Responses))))</f>
        <v>3</v>
      </c>
      <c r="AZ62" s="20"/>
      <c r="BA62" s="17">
        <f t="shared" si="32"/>
        <v>1.1516129032258065</v>
      </c>
      <c r="BB62" s="17"/>
      <c r="BC62" s="17">
        <f t="shared" si="23"/>
        <v>0.19193548387096773</v>
      </c>
      <c r="BD62" s="17"/>
      <c r="BE62" s="17">
        <f t="array" ref="BE62">SUM(IF(Period=BE$4,IF(Category=$A$47,IF(Provider=$B62,Score))))</f>
        <v>91.7</v>
      </c>
      <c r="BF62" s="17"/>
      <c r="BG62" s="20">
        <f t="array" ref="BG62">SUM(IF(Period=BE$4,IF(Category=$A$47,IF(Provider=$B62,Responses))))</f>
        <v>12</v>
      </c>
      <c r="BH62" s="20"/>
      <c r="BI62" s="17">
        <f t="shared" si="33"/>
        <v>4.6825531914893617</v>
      </c>
      <c r="BJ62" s="17"/>
      <c r="BK62" s="17">
        <f t="shared" si="24"/>
        <v>0.77766784452296811</v>
      </c>
      <c r="BL62" s="17"/>
      <c r="BM62" s="17">
        <f t="array" ref="BM62">SUM(IF(Period=BM$4,IF(Category=$A$47,IF(Provider=$B62,Score))))</f>
        <v>87.5</v>
      </c>
      <c r="BN62" s="17"/>
      <c r="BO62" s="20">
        <f t="array" ref="BO62">SUM(IF(Period=BM$4,IF(Category=$A$47,IF(Provider=$B62,Responses))))</f>
        <v>2</v>
      </c>
      <c r="BP62" s="20"/>
      <c r="BQ62" s="17">
        <f t="shared" si="34"/>
        <v>0.75757575757575757</v>
      </c>
      <c r="BR62" s="17"/>
      <c r="BS62" s="17">
        <f t="shared" si="25"/>
        <v>0.12626262626262627</v>
      </c>
      <c r="BT62" s="17"/>
      <c r="BU62" s="17">
        <f t="array" ref="BU62">SUM(IF(Period=BU$4,IF(Category=$A$47,IF(Provider=$B62,Score))))</f>
        <v>85.7</v>
      </c>
      <c r="BV62" s="17"/>
      <c r="BW62" s="20">
        <f t="array" ref="BW62">SUM(IF(Period=BU$4,IF(Category=$A$47,IF(Provider=$B62,Responses))))</f>
        <v>14</v>
      </c>
      <c r="BX62" s="20"/>
      <c r="BY62" s="17">
        <f t="shared" si="35"/>
        <v>5.0411764705882351</v>
      </c>
      <c r="BZ62" s="17"/>
      <c r="CA62" s="17">
        <f t="shared" si="26"/>
        <v>0.82916378714581906</v>
      </c>
    </row>
    <row r="63" spans="2:79" outlineLevel="1" x14ac:dyDescent="0.25">
      <c r="B63" t="s">
        <v>23</v>
      </c>
      <c r="C63" s="17">
        <v>0</v>
      </c>
      <c r="D63" s="17"/>
      <c r="E63" s="17">
        <v>0</v>
      </c>
      <c r="F63" s="17"/>
      <c r="G63" s="17">
        <v>0</v>
      </c>
      <c r="H63" s="17"/>
      <c r="I63" s="17">
        <f t="array" ref="I63">SUM(IF(Period=I$4,IF(Category=$A$47,IF(Provider=$B63,Score))))</f>
        <v>86.4</v>
      </c>
      <c r="J63" s="17"/>
      <c r="K63" s="20">
        <f t="array" ref="K63">SUM(IF(Period=I$4,IF(Category=$A$47,IF(Provider=$B63,Responses))))</f>
        <v>11</v>
      </c>
      <c r="L63" s="20"/>
      <c r="M63" s="17">
        <f t="shared" si="27"/>
        <v>4.7049504950495056</v>
      </c>
      <c r="N63" s="17"/>
      <c r="O63" s="17">
        <f t="shared" si="18"/>
        <v>0.78610421836228306</v>
      </c>
      <c r="P63" s="17"/>
      <c r="Q63" s="17">
        <f t="array" ref="Q63">SUM(IF(Period=Q$4,IF(Category=$A$47,IF(Provider=$B63,Score))))</f>
        <v>100</v>
      </c>
      <c r="R63" s="17"/>
      <c r="S63" s="20">
        <f t="array" ref="S63">SUM(IF(Period=Q$4,IF(Category=$A$47,IF(Provider=$B63,Responses))))</f>
        <v>4</v>
      </c>
      <c r="T63" s="20"/>
      <c r="U63" s="17">
        <f t="shared" si="28"/>
        <v>2.1276595744680851</v>
      </c>
      <c r="V63" s="17"/>
      <c r="W63" s="17">
        <f t="shared" si="19"/>
        <v>0.35650623885918004</v>
      </c>
      <c r="X63" s="17"/>
      <c r="Y63" s="17">
        <f t="array" ref="Y63">SUM(IF(Period=Y$4,IF(Category=$A$47,IF(Provider=$B63,Score))))</f>
        <v>67.5</v>
      </c>
      <c r="Z63" s="17"/>
      <c r="AA63" s="20">
        <f t="array" ref="AA63">SUM(IF(Period=Y$4,IF(Category=$A$47,IF(Provider=$B63,Responses))))</f>
        <v>10</v>
      </c>
      <c r="AB63" s="20"/>
      <c r="AC63" s="17">
        <f t="shared" si="29"/>
        <v>2.2350993377483444</v>
      </c>
      <c r="AD63" s="17"/>
      <c r="AE63" s="17">
        <f t="shared" si="20"/>
        <v>0.3723110865968009</v>
      </c>
      <c r="AF63" s="17"/>
      <c r="AG63" s="17">
        <f t="array" ref="AG63">SUM(IF(Period=AG$4,IF(Category=$A$47,IF(Provider=$B63,Score))))</f>
        <v>87.5</v>
      </c>
      <c r="AH63" s="17"/>
      <c r="AI63" s="20">
        <f t="array" ref="AI63">SUM(IF(Period=AG$4,IF(Category=$A$47,IF(Provider=$B63,Responses))))</f>
        <v>6</v>
      </c>
      <c r="AJ63" s="20"/>
      <c r="AK63" s="17">
        <f t="shared" si="30"/>
        <v>2.0348837209302326</v>
      </c>
      <c r="AL63" s="17"/>
      <c r="AM63" s="17">
        <f t="shared" si="21"/>
        <v>0.34002590673575128</v>
      </c>
      <c r="AN63" s="17"/>
      <c r="AO63" s="17">
        <f t="array" ref="AO63">SUM(IF(Period=AO$4,IF(Category=$A$47,IF(Provider=$B63,Score))))</f>
        <v>84.1</v>
      </c>
      <c r="AP63" s="17"/>
      <c r="AQ63" s="20">
        <f t="array" ref="AQ63">SUM(IF(Period=AO$4,IF(Category=$A$47,IF(Provider=$B63,Responses))))</f>
        <v>11</v>
      </c>
      <c r="AR63" s="20"/>
      <c r="AS63" s="17">
        <f t="shared" si="31"/>
        <v>5.4099415204678358</v>
      </c>
      <c r="AT63" s="17"/>
      <c r="AU63" s="17">
        <f t="shared" si="22"/>
        <v>0.9016569200779726</v>
      </c>
      <c r="AV63" s="17"/>
      <c r="AW63" s="17">
        <f t="array" ref="AW63">SUM(IF(Period=AW$4,IF(Category=$A$47,IF(Provider=$B63,Score))))</f>
        <v>95</v>
      </c>
      <c r="AX63" s="17"/>
      <c r="AY63" s="20">
        <f t="array" ref="AY63">SUM(IF(Period=AW$4,IF(Category=$A$47,IF(Provider=$B63,Responses))))</f>
        <v>5</v>
      </c>
      <c r="AZ63" s="20"/>
      <c r="BA63" s="17">
        <f t="shared" si="32"/>
        <v>2.1889400921658986</v>
      </c>
      <c r="BB63" s="17"/>
      <c r="BC63" s="17">
        <f t="shared" si="23"/>
        <v>0.36482334869431643</v>
      </c>
      <c r="BD63" s="17"/>
      <c r="BE63" s="17">
        <f t="array" ref="BE63">SUM(IF(Period=BE$4,IF(Category=$A$47,IF(Provider=$B63,Score))))</f>
        <v>80.599999999999994</v>
      </c>
      <c r="BF63" s="17"/>
      <c r="BG63" s="20">
        <f t="array" ref="BG63">SUM(IF(Period=BE$4,IF(Category=$A$47,IF(Provider=$B63,Responses))))</f>
        <v>9</v>
      </c>
      <c r="BH63" s="20"/>
      <c r="BI63" s="17">
        <f t="shared" si="33"/>
        <v>3.0868085106382974</v>
      </c>
      <c r="BJ63" s="17"/>
      <c r="BK63" s="17">
        <f t="shared" si="24"/>
        <v>0.51265017667844526</v>
      </c>
      <c r="BL63" s="17"/>
      <c r="BM63" s="17">
        <f t="array" ref="BM63">SUM(IF(Period=BM$4,IF(Category=$A$47,IF(Provider=$B63,Score))))</f>
        <v>75</v>
      </c>
      <c r="BN63" s="17"/>
      <c r="BO63" s="20">
        <f t="array" ref="BO63">SUM(IF(Period=BM$4,IF(Category=$A$47,IF(Provider=$B63,Responses))))</f>
        <v>8</v>
      </c>
      <c r="BP63" s="20"/>
      <c r="BQ63" s="17">
        <f t="shared" si="34"/>
        <v>2.5974025974025974</v>
      </c>
      <c r="BR63" s="17"/>
      <c r="BS63" s="17">
        <f t="shared" si="25"/>
        <v>0.4329004329004329</v>
      </c>
      <c r="BT63" s="17"/>
      <c r="BU63" s="17">
        <f t="array" ref="BU63">SUM(IF(Period=BU$4,IF(Category=$A$47,IF(Provider=$B63,Score))))</f>
        <v>80</v>
      </c>
      <c r="BV63" s="17"/>
      <c r="BW63" s="20">
        <f t="array" ref="BW63">SUM(IF(Period=BU$4,IF(Category=$A$47,IF(Provider=$B63,Responses))))</f>
        <v>10</v>
      </c>
      <c r="BX63" s="20"/>
      <c r="BY63" s="17">
        <f t="shared" si="35"/>
        <v>3.3613445378151265</v>
      </c>
      <c r="BZ63" s="17"/>
      <c r="CA63" s="17">
        <f t="shared" si="26"/>
        <v>0.55286800276434001</v>
      </c>
    </row>
    <row r="64" spans="2:79" outlineLevel="1" x14ac:dyDescent="0.25">
      <c r="B64" t="s">
        <v>6</v>
      </c>
      <c r="C64" s="17">
        <v>0</v>
      </c>
      <c r="D64" s="17"/>
      <c r="E64" s="17">
        <v>0</v>
      </c>
      <c r="F64" s="17"/>
      <c r="G64" s="17">
        <v>0</v>
      </c>
      <c r="H64" s="17"/>
      <c r="I64" s="17">
        <f t="array" ref="I64">SUM(IF(Period=I$4,IF(Category=$A$47,IF(Provider=$B64,Score))))</f>
        <v>100</v>
      </c>
      <c r="J64" s="17"/>
      <c r="K64" s="20">
        <f t="array" ref="K64">SUM(IF(Period=I$4,IF(Category=$A$47,IF(Provider=$B64,Responses))))</f>
        <v>1</v>
      </c>
      <c r="L64" s="20"/>
      <c r="M64" s="17">
        <f t="shared" si="27"/>
        <v>0.49504950495049505</v>
      </c>
      <c r="N64" s="17"/>
      <c r="O64" s="17">
        <f t="shared" si="18"/>
        <v>8.2712985938792394E-2</v>
      </c>
      <c r="P64" s="17"/>
      <c r="Q64" s="17">
        <f t="array" ref="Q64">SUM(IF(Period=Q$4,IF(Category=$A$47,IF(Provider=$B64,Score))))</f>
        <v>0</v>
      </c>
      <c r="R64" s="17"/>
      <c r="S64" s="20">
        <f t="array" ref="S64">SUM(IF(Period=Q$4,IF(Category=$A$47,IF(Provider=$B64,Responses))))</f>
        <v>0</v>
      </c>
      <c r="T64" s="20"/>
      <c r="U64" s="17">
        <f t="shared" si="28"/>
        <v>0</v>
      </c>
      <c r="V64" s="17"/>
      <c r="W64" s="17">
        <f t="shared" si="19"/>
        <v>0</v>
      </c>
      <c r="X64" s="17"/>
      <c r="Y64" s="17">
        <f t="array" ref="Y64">SUM(IF(Period=Y$4,IF(Category=$A$47,IF(Provider=$B64,Score))))</f>
        <v>83.3</v>
      </c>
      <c r="Z64" s="17"/>
      <c r="AA64" s="20">
        <f t="array" ref="AA64">SUM(IF(Period=Y$4,IF(Category=$A$47,IF(Provider=$B64,Responses))))</f>
        <v>3</v>
      </c>
      <c r="AB64" s="20"/>
      <c r="AC64" s="17">
        <f t="shared" si="29"/>
        <v>0.82748344370860927</v>
      </c>
      <c r="AD64" s="17"/>
      <c r="AE64" s="17">
        <f t="shared" si="20"/>
        <v>0.13783783783783782</v>
      </c>
      <c r="AF64" s="17"/>
      <c r="AG64" s="17">
        <f t="array" ref="AG64">SUM(IF(Period=AG$4,IF(Category=$A$47,IF(Provider=$B64,Score))))</f>
        <v>80</v>
      </c>
      <c r="AH64" s="17"/>
      <c r="AI64" s="20">
        <f t="array" ref="AI64">SUM(IF(Period=AG$4,IF(Category=$A$47,IF(Provider=$B64,Responses))))</f>
        <v>5</v>
      </c>
      <c r="AJ64" s="20"/>
      <c r="AK64" s="17">
        <f t="shared" si="30"/>
        <v>1.5503875968992249</v>
      </c>
      <c r="AL64" s="17"/>
      <c r="AM64" s="17">
        <f t="shared" si="21"/>
        <v>0.25906735751295334</v>
      </c>
      <c r="AN64" s="17"/>
      <c r="AO64" s="17">
        <f t="array" ref="AO64">SUM(IF(Period=AO$4,IF(Category=$A$47,IF(Provider=$B64,Score))))</f>
        <v>0</v>
      </c>
      <c r="AP64" s="17"/>
      <c r="AQ64" s="20">
        <f t="array" ref="AQ64">SUM(IF(Period=AO$4,IF(Category=$A$47,IF(Provider=$B64,Responses))))</f>
        <v>0</v>
      </c>
      <c r="AR64" s="20"/>
      <c r="AS64" s="17">
        <f t="shared" si="31"/>
        <v>0</v>
      </c>
      <c r="AT64" s="17"/>
      <c r="AU64" s="17">
        <f t="shared" si="22"/>
        <v>0</v>
      </c>
      <c r="AV64" s="17"/>
      <c r="AW64" s="17">
        <f t="array" ref="AW64">SUM(IF(Period=AW$4,IF(Category=$A$47,IF(Provider=$B64,Score))))</f>
        <v>85</v>
      </c>
      <c r="AX64" s="17"/>
      <c r="AY64" s="20">
        <f t="array" ref="AY64">SUM(IF(Period=AW$4,IF(Category=$A$47,IF(Provider=$B64,Responses))))</f>
        <v>5</v>
      </c>
      <c r="AZ64" s="20"/>
      <c r="BA64" s="17">
        <f t="shared" si="32"/>
        <v>1.9585253456221199</v>
      </c>
      <c r="BB64" s="17"/>
      <c r="BC64" s="17">
        <f t="shared" si="23"/>
        <v>0.32642089093701998</v>
      </c>
      <c r="BD64" s="17"/>
      <c r="BE64" s="17">
        <f t="array" ref="BE64">SUM(IF(Period=BE$4,IF(Category=$A$47,IF(Provider=$B64,Score))))</f>
        <v>0</v>
      </c>
      <c r="BF64" s="17"/>
      <c r="BG64" s="20">
        <f t="array" ref="BG64">SUM(IF(Period=BE$4,IF(Category=$A$47,IF(Provider=$B64,Responses))))</f>
        <v>0</v>
      </c>
      <c r="BH64" s="20"/>
      <c r="BI64" s="17">
        <f t="shared" si="33"/>
        <v>0</v>
      </c>
      <c r="BJ64" s="17"/>
      <c r="BK64" s="17">
        <f t="shared" si="24"/>
        <v>0</v>
      </c>
      <c r="BL64" s="17"/>
      <c r="BM64" s="17">
        <f t="array" ref="BM64">SUM(IF(Period=BM$4,IF(Category=$A$47,IF(Provider=$B64,Score))))</f>
        <v>87.5</v>
      </c>
      <c r="BN64" s="17"/>
      <c r="BO64" s="20">
        <f t="array" ref="BO64">SUM(IF(Period=BM$4,IF(Category=$A$47,IF(Provider=$B64,Responses))))</f>
        <v>2</v>
      </c>
      <c r="BP64" s="20"/>
      <c r="BQ64" s="17">
        <f t="shared" si="34"/>
        <v>0.75757575757575757</v>
      </c>
      <c r="BR64" s="17"/>
      <c r="BS64" s="17">
        <f t="shared" si="25"/>
        <v>0.12626262626262627</v>
      </c>
      <c r="BT64" s="17"/>
      <c r="BU64" s="17">
        <f t="array" ref="BU64">SUM(IF(Period=BU$4,IF(Category=$A$47,IF(Provider=$B64,Score))))</f>
        <v>75</v>
      </c>
      <c r="BV64" s="17"/>
      <c r="BW64" s="20">
        <f t="array" ref="BW64">SUM(IF(Period=BU$4,IF(Category=$A$47,IF(Provider=$B64,Responses))))</f>
        <v>2</v>
      </c>
      <c r="BX64" s="20"/>
      <c r="BY64" s="17">
        <f t="shared" si="35"/>
        <v>0.63025210084033612</v>
      </c>
      <c r="BZ64" s="17"/>
      <c r="CA64" s="17">
        <f t="shared" si="26"/>
        <v>0.10366275051831375</v>
      </c>
    </row>
    <row r="65" spans="2:79" outlineLevel="1" x14ac:dyDescent="0.25">
      <c r="B65" t="s">
        <v>39</v>
      </c>
      <c r="C65" s="17">
        <v>0</v>
      </c>
      <c r="D65" s="17"/>
      <c r="E65" s="17">
        <v>0</v>
      </c>
      <c r="F65" s="17"/>
      <c r="G65" s="17">
        <v>0</v>
      </c>
      <c r="H65" s="17"/>
      <c r="I65" s="17">
        <f t="array" ref="I65">SUM(IF(Period=I$4,IF(Category=$A$47,IF(Provider=$B65,Score))))</f>
        <v>59.1</v>
      </c>
      <c r="J65" s="17"/>
      <c r="K65" s="20">
        <f t="array" ref="K65">SUM(IF(Period=I$4,IF(Category=$A$47,IF(Provider=$B65,Responses))))</f>
        <v>11</v>
      </c>
      <c r="L65" s="20"/>
      <c r="M65" s="17">
        <f t="shared" si="27"/>
        <v>3.2183168316831683</v>
      </c>
      <c r="N65" s="17"/>
      <c r="O65" s="17">
        <f t="shared" si="18"/>
        <v>0.53771712158808938</v>
      </c>
      <c r="P65" s="17"/>
      <c r="Q65" s="17">
        <f t="array" ref="Q65">SUM(IF(Period=Q$4,IF(Category=$A$47,IF(Provider=$B65,Score))))</f>
        <v>70</v>
      </c>
      <c r="R65" s="17"/>
      <c r="S65" s="20">
        <f t="array" ref="S65">SUM(IF(Period=Q$4,IF(Category=$A$47,IF(Provider=$B65,Responses))))</f>
        <v>10</v>
      </c>
      <c r="T65" s="20"/>
      <c r="U65" s="17">
        <f t="shared" si="28"/>
        <v>3.7234042553191489</v>
      </c>
      <c r="V65" s="17"/>
      <c r="W65" s="17">
        <f t="shared" si="19"/>
        <v>0.62388591800356508</v>
      </c>
      <c r="X65" s="17"/>
      <c r="Y65" s="17">
        <f t="array" ref="Y65">SUM(IF(Period=Y$4,IF(Category=$A$47,IF(Provider=$B65,Score))))</f>
        <v>62.5</v>
      </c>
      <c r="Z65" s="17"/>
      <c r="AA65" s="20">
        <f t="array" ref="AA65">SUM(IF(Period=Y$4,IF(Category=$A$47,IF(Provider=$B65,Responses))))</f>
        <v>8</v>
      </c>
      <c r="AB65" s="20"/>
      <c r="AC65" s="17">
        <f t="shared" si="29"/>
        <v>1.6556291390728477</v>
      </c>
      <c r="AD65" s="17"/>
      <c r="AE65" s="17">
        <f t="shared" si="20"/>
        <v>0.2757859900717044</v>
      </c>
      <c r="AF65" s="17"/>
      <c r="AG65" s="17">
        <f t="array" ref="AG65">SUM(IF(Period=AG$4,IF(Category=$A$47,IF(Provider=$B65,Score))))</f>
        <v>65.599999999999994</v>
      </c>
      <c r="AH65" s="17"/>
      <c r="AI65" s="20">
        <f t="array" ref="AI65">SUM(IF(Period=AG$4,IF(Category=$A$47,IF(Provider=$B65,Responses))))</f>
        <v>8</v>
      </c>
      <c r="AJ65" s="20"/>
      <c r="AK65" s="17">
        <f t="shared" si="30"/>
        <v>2.0341085271317829</v>
      </c>
      <c r="AL65" s="17"/>
      <c r="AM65" s="17">
        <f t="shared" si="21"/>
        <v>0.33989637305699483</v>
      </c>
      <c r="AN65" s="17"/>
      <c r="AO65" s="17">
        <f t="array" ref="AO65">SUM(IF(Period=AO$4,IF(Category=$A$47,IF(Provider=$B65,Score))))</f>
        <v>84.4</v>
      </c>
      <c r="AP65" s="17"/>
      <c r="AQ65" s="20">
        <f t="array" ref="AQ65">SUM(IF(Period=AO$4,IF(Category=$A$47,IF(Provider=$B65,Responses))))</f>
        <v>8</v>
      </c>
      <c r="AR65" s="20"/>
      <c r="AS65" s="17">
        <f t="shared" si="31"/>
        <v>3.9485380116959066</v>
      </c>
      <c r="AT65" s="17"/>
      <c r="AU65" s="17">
        <f t="shared" si="22"/>
        <v>0.65808966861598439</v>
      </c>
      <c r="AV65" s="17"/>
      <c r="AW65" s="17">
        <f t="array" ref="AW65">SUM(IF(Period=AW$4,IF(Category=$A$47,IF(Provider=$B65,Score))))</f>
        <v>78.599999999999994</v>
      </c>
      <c r="AX65" s="17"/>
      <c r="AY65" s="20">
        <f t="array" ref="AY65">SUM(IF(Period=AW$4,IF(Category=$A$47,IF(Provider=$B65,Responses))))</f>
        <v>7</v>
      </c>
      <c r="AZ65" s="20"/>
      <c r="BA65" s="17">
        <f t="shared" si="32"/>
        <v>2.5354838709677416</v>
      </c>
      <c r="BB65" s="17"/>
      <c r="BC65" s="17">
        <f t="shared" si="23"/>
        <v>0.42258064516129035</v>
      </c>
      <c r="BD65" s="17"/>
      <c r="BE65" s="17">
        <f t="array" ref="BE65">SUM(IF(Period=BE$4,IF(Category=$A$47,IF(Provider=$B65,Score))))</f>
        <v>83.3</v>
      </c>
      <c r="BF65" s="17"/>
      <c r="BG65" s="20">
        <f t="array" ref="BG65">SUM(IF(Period=BE$4,IF(Category=$A$47,IF(Provider=$B65,Responses))))</f>
        <v>6</v>
      </c>
      <c r="BH65" s="20"/>
      <c r="BI65" s="17">
        <f t="shared" si="33"/>
        <v>2.1268085106382979</v>
      </c>
      <c r="BJ65" s="17"/>
      <c r="BK65" s="17">
        <f t="shared" si="24"/>
        <v>0.35321554770318014</v>
      </c>
      <c r="BL65" s="17"/>
      <c r="BM65" s="17">
        <f t="array" ref="BM65">SUM(IF(Period=BM$4,IF(Category=$A$47,IF(Provider=$B65,Score))))</f>
        <v>81.3</v>
      </c>
      <c r="BN65" s="17"/>
      <c r="BO65" s="20">
        <f t="array" ref="BO65">SUM(IF(Period=BM$4,IF(Category=$A$47,IF(Provider=$B65,Responses))))</f>
        <v>8</v>
      </c>
      <c r="BP65" s="20"/>
      <c r="BQ65" s="17">
        <f t="shared" si="34"/>
        <v>2.8155844155844156</v>
      </c>
      <c r="BR65" s="17"/>
      <c r="BS65" s="17">
        <f t="shared" si="25"/>
        <v>0.46926406926406927</v>
      </c>
      <c r="BT65" s="17"/>
      <c r="BU65" s="17">
        <f t="array" ref="BU65">SUM(IF(Period=BU$4,IF(Category=$A$47,IF(Provider=$B65,Score))))</f>
        <v>89.3</v>
      </c>
      <c r="BV65" s="17"/>
      <c r="BW65" s="20">
        <f t="array" ref="BW65">SUM(IF(Period=BU$4,IF(Category=$A$47,IF(Provider=$B65,Responses))))</f>
        <v>7</v>
      </c>
      <c r="BX65" s="20"/>
      <c r="BY65" s="17">
        <f t="shared" si="35"/>
        <v>2.6264705882352941</v>
      </c>
      <c r="BZ65" s="17"/>
      <c r="CA65" s="17">
        <f t="shared" si="26"/>
        <v>0.43199723565998621</v>
      </c>
    </row>
    <row r="66" spans="2:79" outlineLevel="1" x14ac:dyDescent="0.25">
      <c r="B66" t="s">
        <v>28</v>
      </c>
      <c r="C66" s="17">
        <v>0</v>
      </c>
      <c r="D66" s="17"/>
      <c r="E66" s="17">
        <v>0</v>
      </c>
      <c r="F66" s="17"/>
      <c r="G66" s="17">
        <v>0</v>
      </c>
      <c r="H66" s="17"/>
      <c r="I66" s="17">
        <f t="array" ref="I66">SUM(IF(Period=I$4,IF(Category=$A$47,IF(Provider=$B66,Score))))</f>
        <v>75</v>
      </c>
      <c r="J66" s="17"/>
      <c r="K66" s="20">
        <f t="array" ref="K66">SUM(IF(Period=I$4,IF(Category=$A$47,IF(Provider=$B66,Responses))))</f>
        <v>6</v>
      </c>
      <c r="L66" s="20"/>
      <c r="M66" s="17">
        <f t="shared" si="27"/>
        <v>2.2277227722772275</v>
      </c>
      <c r="N66" s="17"/>
      <c r="O66" s="17">
        <f t="shared" si="18"/>
        <v>0.37220843672456577</v>
      </c>
      <c r="P66" s="17"/>
      <c r="Q66" s="17">
        <f t="array" ref="Q66">SUM(IF(Period=Q$4,IF(Category=$A$47,IF(Provider=$B66,Score))))</f>
        <v>35</v>
      </c>
      <c r="R66" s="17"/>
      <c r="S66" s="20">
        <f t="array" ref="S66">SUM(IF(Period=Q$4,IF(Category=$A$47,IF(Provider=$B66,Responses))))</f>
        <v>5</v>
      </c>
      <c r="T66" s="20"/>
      <c r="U66" s="17">
        <f t="shared" si="28"/>
        <v>0.93085106382978722</v>
      </c>
      <c r="V66" s="17"/>
      <c r="W66" s="17">
        <f t="shared" si="19"/>
        <v>0.15597147950089127</v>
      </c>
      <c r="X66" s="17"/>
      <c r="Y66" s="17">
        <f t="array" ref="Y66">SUM(IF(Period=Y$4,IF(Category=$A$47,IF(Provider=$B66,Score))))</f>
        <v>75</v>
      </c>
      <c r="Z66" s="17"/>
      <c r="AA66" s="20">
        <f t="array" ref="AA66">SUM(IF(Period=Y$4,IF(Category=$A$47,IF(Provider=$B66,Responses))))</f>
        <v>10</v>
      </c>
      <c r="AB66" s="20"/>
      <c r="AC66" s="17">
        <f t="shared" si="29"/>
        <v>2.4834437086092715</v>
      </c>
      <c r="AD66" s="17"/>
      <c r="AE66" s="17">
        <f t="shared" si="20"/>
        <v>0.41367898510755652</v>
      </c>
      <c r="AF66" s="17"/>
      <c r="AG66" s="17">
        <f t="array" ref="AG66">SUM(IF(Period=AG$4,IF(Category=$A$47,IF(Provider=$B66,Score))))</f>
        <v>90</v>
      </c>
      <c r="AH66" s="17"/>
      <c r="AI66" s="20">
        <f t="array" ref="AI66">SUM(IF(Period=AG$4,IF(Category=$A$47,IF(Provider=$B66,Responses))))</f>
        <v>10</v>
      </c>
      <c r="AJ66" s="20"/>
      <c r="AK66" s="17">
        <f t="shared" si="30"/>
        <v>3.4883720930232558</v>
      </c>
      <c r="AL66" s="17"/>
      <c r="AM66" s="17">
        <f t="shared" si="21"/>
        <v>0.58290155440414504</v>
      </c>
      <c r="AN66" s="17"/>
      <c r="AO66" s="17">
        <f t="array" ref="AO66">SUM(IF(Period=AO$4,IF(Category=$A$47,IF(Provider=$B66,Score))))</f>
        <v>75</v>
      </c>
      <c r="AP66" s="17"/>
      <c r="AQ66" s="20">
        <f t="array" ref="AQ66">SUM(IF(Period=AO$4,IF(Category=$A$47,IF(Provider=$B66,Responses))))</f>
        <v>6</v>
      </c>
      <c r="AR66" s="20"/>
      <c r="AS66" s="17">
        <f t="shared" si="31"/>
        <v>2.6315789473684208</v>
      </c>
      <c r="AT66" s="17"/>
      <c r="AU66" s="17">
        <f t="shared" si="22"/>
        <v>0.43859649122807015</v>
      </c>
      <c r="AV66" s="17"/>
      <c r="AW66" s="17">
        <f t="array" ref="AW66">SUM(IF(Period=AW$4,IF(Category=$A$47,IF(Provider=$B66,Score))))</f>
        <v>50</v>
      </c>
      <c r="AX66" s="17"/>
      <c r="AY66" s="20">
        <f t="array" ref="AY66">SUM(IF(Period=AW$4,IF(Category=$A$47,IF(Provider=$B66,Responses))))</f>
        <v>5</v>
      </c>
      <c r="AZ66" s="20"/>
      <c r="BA66" s="17">
        <f t="shared" si="32"/>
        <v>1.1520737327188941</v>
      </c>
      <c r="BB66" s="17"/>
      <c r="BC66" s="17">
        <f t="shared" si="23"/>
        <v>0.19201228878648233</v>
      </c>
      <c r="BD66" s="17"/>
      <c r="BE66" s="17">
        <f t="array" ref="BE66">SUM(IF(Period=BE$4,IF(Category=$A$47,IF(Provider=$B66,Score))))</f>
        <v>62.5</v>
      </c>
      <c r="BF66" s="17"/>
      <c r="BG66" s="20">
        <f t="array" ref="BG66">SUM(IF(Period=BE$4,IF(Category=$A$47,IF(Provider=$B66,Responses))))</f>
        <v>6</v>
      </c>
      <c r="BH66" s="20"/>
      <c r="BI66" s="17">
        <f t="shared" si="33"/>
        <v>1.5957446808510638</v>
      </c>
      <c r="BJ66" s="17"/>
      <c r="BK66" s="17">
        <f t="shared" si="24"/>
        <v>0.26501766784452296</v>
      </c>
      <c r="BL66" s="17"/>
      <c r="BM66" s="17">
        <f t="array" ref="BM66">SUM(IF(Period=BM$4,IF(Category=$A$47,IF(Provider=$B66,Score))))</f>
        <v>60.7</v>
      </c>
      <c r="BN66" s="17"/>
      <c r="BO66" s="20">
        <f t="array" ref="BO66">SUM(IF(Period=BM$4,IF(Category=$A$47,IF(Provider=$B66,Responses))))</f>
        <v>7</v>
      </c>
      <c r="BP66" s="20"/>
      <c r="BQ66" s="17">
        <f t="shared" si="34"/>
        <v>1.8393939393939396</v>
      </c>
      <c r="BR66" s="17"/>
      <c r="BS66" s="17">
        <f t="shared" si="25"/>
        <v>0.3065656565656566</v>
      </c>
      <c r="BT66" s="17"/>
      <c r="BU66" s="17">
        <f t="array" ref="BU66">SUM(IF(Period=BU$4,IF(Category=$A$47,IF(Provider=$B66,Score))))</f>
        <v>64.3</v>
      </c>
      <c r="BV66" s="17"/>
      <c r="BW66" s="20">
        <f t="array" ref="BW66">SUM(IF(Period=BU$4,IF(Category=$A$47,IF(Provider=$B66,Responses))))</f>
        <v>7</v>
      </c>
      <c r="BX66" s="20"/>
      <c r="BY66" s="17">
        <f t="shared" si="35"/>
        <v>1.8911764705882352</v>
      </c>
      <c r="BZ66" s="17"/>
      <c r="CA66" s="17">
        <f t="shared" si="26"/>
        <v>0.31105736005528684</v>
      </c>
    </row>
    <row r="67" spans="2:79" outlineLevel="1" x14ac:dyDescent="0.25">
      <c r="B67" t="s">
        <v>40</v>
      </c>
      <c r="C67" s="17">
        <v>0</v>
      </c>
      <c r="D67" s="17"/>
      <c r="E67" s="17">
        <v>0</v>
      </c>
      <c r="F67" s="17"/>
      <c r="G67" s="17">
        <v>0</v>
      </c>
      <c r="H67" s="17"/>
      <c r="I67" s="17">
        <f t="array" ref="I67">SUM(IF(Period=I$4,IF(Category=$A$47,IF(Provider=$B67,Score))))</f>
        <v>50</v>
      </c>
      <c r="J67" s="17"/>
      <c r="K67" s="20">
        <f t="array" ref="K67">SUM(IF(Period=I$4,IF(Category=$A$47,IF(Provider=$B67,Responses))))</f>
        <v>8</v>
      </c>
      <c r="L67" s="20"/>
      <c r="M67" s="17">
        <f t="shared" si="27"/>
        <v>1.9801980198019802</v>
      </c>
      <c r="N67" s="17"/>
      <c r="O67" s="17">
        <f t="shared" si="18"/>
        <v>0.33085194375516958</v>
      </c>
      <c r="P67" s="17"/>
      <c r="Q67" s="17">
        <f t="array" ref="Q67">SUM(IF(Period=Q$4,IF(Category=$A$47,IF(Provider=$B67,Score))))</f>
        <v>62.5</v>
      </c>
      <c r="R67" s="17"/>
      <c r="S67" s="20">
        <f t="array" ref="S67">SUM(IF(Period=Q$4,IF(Category=$A$47,IF(Provider=$B67,Responses))))</f>
        <v>2</v>
      </c>
      <c r="T67" s="20"/>
      <c r="U67" s="17">
        <f t="shared" si="28"/>
        <v>0.66489361702127658</v>
      </c>
      <c r="V67" s="17"/>
      <c r="W67" s="17">
        <f t="shared" si="19"/>
        <v>0.11140819964349376</v>
      </c>
      <c r="X67" s="17"/>
      <c r="Y67" s="17">
        <f t="array" ref="Y67">SUM(IF(Period=Y$4,IF(Category=$A$47,IF(Provider=$B67,Score))))</f>
        <v>85</v>
      </c>
      <c r="Z67" s="17"/>
      <c r="AA67" s="20">
        <f t="array" ref="AA67">SUM(IF(Period=Y$4,IF(Category=$A$47,IF(Provider=$B67,Responses))))</f>
        <v>5</v>
      </c>
      <c r="AB67" s="20"/>
      <c r="AC67" s="17">
        <f t="shared" si="29"/>
        <v>1.4072847682119207</v>
      </c>
      <c r="AD67" s="17"/>
      <c r="AE67" s="17">
        <f t="shared" si="20"/>
        <v>0.2344180915609487</v>
      </c>
      <c r="AF67" s="17"/>
      <c r="AG67" s="17">
        <f t="array" ref="AG67">SUM(IF(Period=AG$4,IF(Category=$A$47,IF(Provider=$B67,Score))))</f>
        <v>58.3</v>
      </c>
      <c r="AH67" s="17"/>
      <c r="AI67" s="20">
        <f t="array" ref="AI67">SUM(IF(Period=AG$4,IF(Category=$A$47,IF(Provider=$B67,Responses))))</f>
        <v>3</v>
      </c>
      <c r="AJ67" s="20"/>
      <c r="AK67" s="17">
        <f t="shared" si="30"/>
        <v>0.67790697674418599</v>
      </c>
      <c r="AL67" s="17"/>
      <c r="AM67" s="17">
        <f t="shared" si="21"/>
        <v>0.11327720207253886</v>
      </c>
      <c r="AN67" s="17"/>
      <c r="AO67" s="17">
        <f t="array" ref="AO67">SUM(IF(Period=AO$4,IF(Category=$A$47,IF(Provider=$B67,Score))))</f>
        <v>81.3</v>
      </c>
      <c r="AP67" s="17"/>
      <c r="AQ67" s="20">
        <f t="array" ref="AQ67">SUM(IF(Period=AO$4,IF(Category=$A$47,IF(Provider=$B67,Responses))))</f>
        <v>4</v>
      </c>
      <c r="AR67" s="20"/>
      <c r="AS67" s="17">
        <f t="shared" si="31"/>
        <v>1.9017543859649122</v>
      </c>
      <c r="AT67" s="17"/>
      <c r="AU67" s="17">
        <f t="shared" si="22"/>
        <v>0.31695906432748533</v>
      </c>
      <c r="AV67" s="17"/>
      <c r="AW67" s="17">
        <f t="array" ref="AW67">SUM(IF(Period=AW$4,IF(Category=$A$47,IF(Provider=$B67,Score))))</f>
        <v>81.3</v>
      </c>
      <c r="AX67" s="17"/>
      <c r="AY67" s="20">
        <f t="array" ref="AY67">SUM(IF(Period=AW$4,IF(Category=$A$47,IF(Provider=$B67,Responses))))</f>
        <v>12</v>
      </c>
      <c r="AZ67" s="20"/>
      <c r="BA67" s="17">
        <f t="shared" si="32"/>
        <v>4.4958525345622125</v>
      </c>
      <c r="BB67" s="17"/>
      <c r="BC67" s="17">
        <f t="shared" si="23"/>
        <v>0.74930875576036859</v>
      </c>
      <c r="BD67" s="17"/>
      <c r="BE67" s="17">
        <f t="array" ref="BE67">SUM(IF(Period=BE$4,IF(Category=$A$47,IF(Provider=$B67,Score))))</f>
        <v>95</v>
      </c>
      <c r="BF67" s="17"/>
      <c r="BG67" s="20">
        <f t="array" ref="BG67">SUM(IF(Period=BE$4,IF(Category=$A$47,IF(Provider=$B67,Responses))))</f>
        <v>10</v>
      </c>
      <c r="BH67" s="20"/>
      <c r="BI67" s="17">
        <f t="shared" si="33"/>
        <v>4.042553191489362</v>
      </c>
      <c r="BJ67" s="17"/>
      <c r="BK67" s="17">
        <f t="shared" si="24"/>
        <v>0.67137809187279152</v>
      </c>
      <c r="BL67" s="17"/>
      <c r="BM67" s="17">
        <f t="array" ref="BM67">SUM(IF(Period=BM$4,IF(Category=$A$47,IF(Provider=$B67,Score))))</f>
        <v>78.099999999999994</v>
      </c>
      <c r="BN67" s="17"/>
      <c r="BO67" s="20">
        <f t="array" ref="BO67">SUM(IF(Period=BM$4,IF(Category=$A$47,IF(Provider=$B67,Responses))))</f>
        <v>8</v>
      </c>
      <c r="BP67" s="20"/>
      <c r="BQ67" s="17">
        <f t="shared" si="34"/>
        <v>2.7047619047619045</v>
      </c>
      <c r="BR67" s="17"/>
      <c r="BS67" s="17">
        <f t="shared" si="25"/>
        <v>0.45079365079365075</v>
      </c>
      <c r="BT67" s="17"/>
      <c r="BU67" s="17">
        <f t="array" ref="BU67">SUM(IF(Period=BU$4,IF(Category=$A$47,IF(Provider=$B67,Score))))</f>
        <v>100</v>
      </c>
      <c r="BV67" s="17"/>
      <c r="BW67" s="20">
        <f t="array" ref="BW67">SUM(IF(Period=BU$4,IF(Category=$A$47,IF(Provider=$B67,Responses))))</f>
        <v>3</v>
      </c>
      <c r="BX67" s="20"/>
      <c r="BY67" s="17">
        <f t="shared" si="35"/>
        <v>1.2605042016806722</v>
      </c>
      <c r="BZ67" s="17"/>
      <c r="CA67" s="17">
        <f t="shared" si="26"/>
        <v>0.2073255010366275</v>
      </c>
    </row>
    <row r="68" spans="2:79" outlineLevel="1" x14ac:dyDescent="0.25">
      <c r="B68" t="s">
        <v>22</v>
      </c>
      <c r="C68" s="17">
        <v>0</v>
      </c>
      <c r="D68" s="17"/>
      <c r="E68" s="17">
        <v>0</v>
      </c>
      <c r="F68" s="17"/>
      <c r="G68" s="17">
        <v>0</v>
      </c>
      <c r="H68" s="17"/>
      <c r="I68" s="17">
        <f t="array" ref="I68">SUM(IF(Period=I$4,IF(Category=$A$47,IF(Provider=$B68,Score))))</f>
        <v>77.8</v>
      </c>
      <c r="J68" s="17"/>
      <c r="K68" s="20">
        <f t="array" ref="K68">SUM(IF(Period=I$4,IF(Category=$A$47,IF(Provider=$B68,Responses))))</f>
        <v>9</v>
      </c>
      <c r="L68" s="20"/>
      <c r="M68" s="17">
        <f t="shared" si="27"/>
        <v>3.4663366336633659</v>
      </c>
      <c r="N68" s="17"/>
      <c r="O68" s="17">
        <f t="shared" si="18"/>
        <v>0.57915632754342428</v>
      </c>
      <c r="P68" s="17"/>
      <c r="Q68" s="17">
        <f t="array" ref="Q68">SUM(IF(Period=Q$4,IF(Category=$A$47,IF(Provider=$B68,Score))))</f>
        <v>91.7</v>
      </c>
      <c r="R68" s="17"/>
      <c r="S68" s="20">
        <f t="array" ref="S68">SUM(IF(Period=Q$4,IF(Category=$A$47,IF(Provider=$B68,Responses))))</f>
        <v>3</v>
      </c>
      <c r="T68" s="20"/>
      <c r="U68" s="17">
        <f t="shared" si="28"/>
        <v>1.4632978723404255</v>
      </c>
      <c r="V68" s="17"/>
      <c r="W68" s="17">
        <f t="shared" si="19"/>
        <v>0.24518716577540106</v>
      </c>
      <c r="X68" s="17"/>
      <c r="Y68" s="17">
        <f t="array" ref="Y68">SUM(IF(Period=Y$4,IF(Category=$A$47,IF(Provider=$B68,Score))))</f>
        <v>87.5</v>
      </c>
      <c r="Z68" s="17"/>
      <c r="AA68" s="20">
        <f t="array" ref="AA68">SUM(IF(Period=Y$4,IF(Category=$A$47,IF(Provider=$B68,Responses))))</f>
        <v>12</v>
      </c>
      <c r="AB68" s="20"/>
      <c r="AC68" s="17">
        <f t="shared" si="29"/>
        <v>3.4768211920529803</v>
      </c>
      <c r="AD68" s="17"/>
      <c r="AE68" s="17">
        <f t="shared" si="20"/>
        <v>0.5791505791505791</v>
      </c>
      <c r="AF68" s="17"/>
      <c r="AG68" s="17">
        <f t="array" ref="AG68">SUM(IF(Period=AG$4,IF(Category=$A$47,IF(Provider=$B68,Score))))</f>
        <v>75</v>
      </c>
      <c r="AH68" s="17"/>
      <c r="AI68" s="20">
        <f t="array" ref="AI68">SUM(IF(Period=AG$4,IF(Category=$A$47,IF(Provider=$B68,Responses))))</f>
        <v>7</v>
      </c>
      <c r="AJ68" s="20"/>
      <c r="AK68" s="17">
        <f t="shared" si="30"/>
        <v>2.0348837209302326</v>
      </c>
      <c r="AL68" s="17"/>
      <c r="AM68" s="17">
        <f t="shared" si="21"/>
        <v>0.34002590673575128</v>
      </c>
      <c r="AN68" s="17"/>
      <c r="AO68" s="17">
        <f t="array" ref="AO68">SUM(IF(Period=AO$4,IF(Category=$A$47,IF(Provider=$B68,Score))))</f>
        <v>87.5</v>
      </c>
      <c r="AP68" s="17"/>
      <c r="AQ68" s="20">
        <f t="array" ref="AQ68">SUM(IF(Period=AO$4,IF(Category=$A$47,IF(Provider=$B68,Responses))))</f>
        <v>2</v>
      </c>
      <c r="AR68" s="20"/>
      <c r="AS68" s="17">
        <f t="shared" si="31"/>
        <v>1.0233918128654971</v>
      </c>
      <c r="AT68" s="17"/>
      <c r="AU68" s="17">
        <f t="shared" si="22"/>
        <v>0.1705653021442495</v>
      </c>
      <c r="AV68" s="17"/>
      <c r="AW68" s="17">
        <f t="array" ref="AW68">SUM(IF(Period=AW$4,IF(Category=$A$47,IF(Provider=$B68,Score))))</f>
        <v>83.3</v>
      </c>
      <c r="AX68" s="17"/>
      <c r="AY68" s="20">
        <f t="array" ref="AY68">SUM(IF(Period=AW$4,IF(Category=$A$47,IF(Provider=$B68,Responses))))</f>
        <v>9</v>
      </c>
      <c r="AZ68" s="20"/>
      <c r="BA68" s="17">
        <f t="shared" si="32"/>
        <v>3.4548387096774191</v>
      </c>
      <c r="BB68" s="17"/>
      <c r="BC68" s="17">
        <f t="shared" si="23"/>
        <v>0.57580645161290323</v>
      </c>
      <c r="BD68" s="17"/>
      <c r="BE68" s="17">
        <f t="array" ref="BE68">SUM(IF(Period=BE$4,IF(Category=$A$47,IF(Provider=$B68,Score))))</f>
        <v>83.3</v>
      </c>
      <c r="BF68" s="17"/>
      <c r="BG68" s="20">
        <f t="array" ref="BG68">SUM(IF(Period=BE$4,IF(Category=$A$47,IF(Provider=$B68,Responses))))</f>
        <v>6</v>
      </c>
      <c r="BH68" s="20"/>
      <c r="BI68" s="17">
        <f t="shared" si="33"/>
        <v>2.1268085106382979</v>
      </c>
      <c r="BJ68" s="17"/>
      <c r="BK68" s="17">
        <f t="shared" si="24"/>
        <v>0.35321554770318014</v>
      </c>
      <c r="BL68" s="17"/>
      <c r="BM68" s="17">
        <f t="array" ref="BM68">SUM(IF(Period=BM$4,IF(Category=$A$47,IF(Provider=$B68,Score))))</f>
        <v>78.900000000000006</v>
      </c>
      <c r="BN68" s="17"/>
      <c r="BO68" s="20">
        <f t="array" ref="BO68">SUM(IF(Period=BM$4,IF(Category=$A$47,IF(Provider=$B68,Responses))))</f>
        <v>13</v>
      </c>
      <c r="BP68" s="20"/>
      <c r="BQ68" s="17">
        <f t="shared" si="34"/>
        <v>4.4402597402597408</v>
      </c>
      <c r="BR68" s="17"/>
      <c r="BS68" s="17">
        <f t="shared" si="25"/>
        <v>0.74004329004329017</v>
      </c>
      <c r="BT68" s="17"/>
      <c r="BU68" s="17">
        <f t="array" ref="BU68">SUM(IF(Period=BU$4,IF(Category=$A$47,IF(Provider=$B68,Score))))</f>
        <v>85.7</v>
      </c>
      <c r="BV68" s="17"/>
      <c r="BW68" s="20">
        <f t="array" ref="BW68">SUM(IF(Period=BU$4,IF(Category=$A$47,IF(Provider=$B68,Responses))))</f>
        <v>7</v>
      </c>
      <c r="BX68" s="20"/>
      <c r="BY68" s="17">
        <f t="shared" si="35"/>
        <v>2.5205882352941176</v>
      </c>
      <c r="BZ68" s="17"/>
      <c r="CA68" s="17">
        <f t="shared" si="26"/>
        <v>0.41458189357290953</v>
      </c>
    </row>
    <row r="69" spans="2:79" outlineLevel="1" x14ac:dyDescent="0.25">
      <c r="B69" t="s">
        <v>31</v>
      </c>
      <c r="C69" s="17">
        <v>0</v>
      </c>
      <c r="D69" s="17"/>
      <c r="E69" s="17">
        <v>0</v>
      </c>
      <c r="F69" s="17"/>
      <c r="G69" s="17">
        <v>0</v>
      </c>
      <c r="H69" s="17"/>
      <c r="I69" s="17">
        <f t="array" ref="I69">SUM(IF(Period=I$4,IF(Category=$A$47,IF(Provider=$B69,Score))))</f>
        <v>75</v>
      </c>
      <c r="J69" s="17"/>
      <c r="K69" s="20">
        <f t="array" ref="K69">SUM(IF(Period=I$4,IF(Category=$A$47,IF(Provider=$B69,Responses))))</f>
        <v>4</v>
      </c>
      <c r="L69" s="20"/>
      <c r="M69" s="17">
        <f t="shared" si="27"/>
        <v>1.4851485148514851</v>
      </c>
      <c r="N69" s="17"/>
      <c r="O69" s="17">
        <f t="shared" si="18"/>
        <v>0.24813895781637718</v>
      </c>
      <c r="P69" s="17"/>
      <c r="Q69" s="17">
        <f t="array" ref="Q69">SUM(IF(Period=Q$4,IF(Category=$A$47,IF(Provider=$B69,Score))))</f>
        <v>70.8</v>
      </c>
      <c r="R69" s="17"/>
      <c r="S69" s="20">
        <f t="array" ref="S69">SUM(IF(Period=Q$4,IF(Category=$A$47,IF(Provider=$B69,Responses))))</f>
        <v>6</v>
      </c>
      <c r="T69" s="20"/>
      <c r="U69" s="17">
        <f t="shared" si="28"/>
        <v>2.259574468085106</v>
      </c>
      <c r="V69" s="17"/>
      <c r="W69" s="17">
        <f t="shared" si="19"/>
        <v>0.37860962566844913</v>
      </c>
      <c r="X69" s="17"/>
      <c r="Y69" s="17">
        <f t="array" ref="Y69">SUM(IF(Period=Y$4,IF(Category=$A$47,IF(Provider=$B69,Score))))</f>
        <v>96.4</v>
      </c>
      <c r="Z69" s="17"/>
      <c r="AA69" s="20">
        <f t="array" ref="AA69">SUM(IF(Period=Y$4,IF(Category=$A$47,IF(Provider=$B69,Responses))))</f>
        <v>7</v>
      </c>
      <c r="AB69" s="20"/>
      <c r="AC69" s="17">
        <f t="shared" si="29"/>
        <v>2.2344370860927154</v>
      </c>
      <c r="AD69" s="17"/>
      <c r="AE69" s="17">
        <f t="shared" si="20"/>
        <v>0.37220077220077225</v>
      </c>
      <c r="AF69" s="17"/>
      <c r="AG69" s="17">
        <f t="array" ref="AG69">SUM(IF(Period=AG$4,IF(Category=$A$47,IF(Provider=$B69,Score))))</f>
        <v>88.5</v>
      </c>
      <c r="AH69" s="17"/>
      <c r="AI69" s="20">
        <f t="array" ref="AI69">SUM(IF(Period=AG$4,IF(Category=$A$47,IF(Provider=$B69,Responses))))</f>
        <v>13</v>
      </c>
      <c r="AJ69" s="20"/>
      <c r="AK69" s="17">
        <f t="shared" si="30"/>
        <v>4.4593023255813957</v>
      </c>
      <c r="AL69" s="17"/>
      <c r="AM69" s="17">
        <f t="shared" si="21"/>
        <v>0.74514248704663211</v>
      </c>
      <c r="AN69" s="17"/>
      <c r="AO69" s="17">
        <f t="array" ref="AO69">SUM(IF(Period=AO$4,IF(Category=$A$47,IF(Provider=$B69,Score))))</f>
        <v>61.1</v>
      </c>
      <c r="AP69" s="17"/>
      <c r="AQ69" s="20">
        <f t="array" ref="AQ69">SUM(IF(Period=AO$4,IF(Category=$A$47,IF(Provider=$B69,Responses))))</f>
        <v>9</v>
      </c>
      <c r="AR69" s="20"/>
      <c r="AS69" s="17">
        <f t="shared" si="31"/>
        <v>3.2157894736842105</v>
      </c>
      <c r="AT69" s="17"/>
      <c r="AU69" s="17">
        <f t="shared" si="22"/>
        <v>0.53596491228070176</v>
      </c>
      <c r="AV69" s="17"/>
      <c r="AW69" s="17">
        <f t="array" ref="AW69">SUM(IF(Period=AW$4,IF(Category=$A$47,IF(Provider=$B69,Score))))</f>
        <v>66.7</v>
      </c>
      <c r="AX69" s="17"/>
      <c r="AY69" s="20">
        <f t="array" ref="AY69">SUM(IF(Period=AW$4,IF(Category=$A$47,IF(Provider=$B69,Responses))))</f>
        <v>9</v>
      </c>
      <c r="AZ69" s="20"/>
      <c r="BA69" s="17">
        <f t="shared" si="32"/>
        <v>2.7663594470046085</v>
      </c>
      <c r="BB69" s="17"/>
      <c r="BC69" s="17">
        <f t="shared" si="23"/>
        <v>0.46105990783410145</v>
      </c>
      <c r="BD69" s="17"/>
      <c r="BE69" s="17">
        <f t="array" ref="BE69">SUM(IF(Period=BE$4,IF(Category=$A$47,IF(Provider=$B69,Score))))</f>
        <v>75</v>
      </c>
      <c r="BF69" s="17"/>
      <c r="BG69" s="20">
        <f t="array" ref="BG69">SUM(IF(Period=BE$4,IF(Category=$A$47,IF(Provider=$B69,Responses))))</f>
        <v>7</v>
      </c>
      <c r="BH69" s="20"/>
      <c r="BI69" s="17">
        <f t="shared" si="33"/>
        <v>2.2340425531914896</v>
      </c>
      <c r="BJ69" s="17"/>
      <c r="BK69" s="17">
        <f t="shared" si="24"/>
        <v>0.37102473498233218</v>
      </c>
      <c r="BL69" s="17"/>
      <c r="BM69" s="17">
        <f t="array" ref="BM69">SUM(IF(Period=BM$4,IF(Category=$A$47,IF(Provider=$B69,Score))))</f>
        <v>85.7</v>
      </c>
      <c r="BN69" s="17"/>
      <c r="BO69" s="20">
        <f t="array" ref="BO69">SUM(IF(Period=BM$4,IF(Category=$A$47,IF(Provider=$B69,Responses))))</f>
        <v>7</v>
      </c>
      <c r="BP69" s="20"/>
      <c r="BQ69" s="17">
        <f t="shared" si="34"/>
        <v>2.5969696969696972</v>
      </c>
      <c r="BR69" s="17"/>
      <c r="BS69" s="17">
        <f t="shared" si="25"/>
        <v>0.4328282828282829</v>
      </c>
      <c r="BT69" s="17"/>
      <c r="BU69" s="17">
        <f t="array" ref="BU69">SUM(IF(Period=BU$4,IF(Category=$A$47,IF(Provider=$B69,Score))))</f>
        <v>79.599999999999994</v>
      </c>
      <c r="BV69" s="17"/>
      <c r="BW69" s="20">
        <f t="array" ref="BW69">SUM(IF(Period=BU$4,IF(Category=$A$47,IF(Provider=$B69,Responses))))</f>
        <v>11</v>
      </c>
      <c r="BX69" s="20"/>
      <c r="BY69" s="17">
        <f t="shared" si="35"/>
        <v>3.6789915966386553</v>
      </c>
      <c r="BZ69" s="17"/>
      <c r="CA69" s="17">
        <f t="shared" si="26"/>
        <v>0.6051140290255701</v>
      </c>
    </row>
    <row r="70" spans="2:79" outlineLevel="1" x14ac:dyDescent="0.25">
      <c r="B70" t="s">
        <v>27</v>
      </c>
      <c r="C70" s="17">
        <v>0</v>
      </c>
      <c r="D70" s="17"/>
      <c r="E70" s="17">
        <v>0</v>
      </c>
      <c r="F70" s="17"/>
      <c r="G70" s="17">
        <v>0</v>
      </c>
      <c r="H70" s="17"/>
      <c r="I70" s="17">
        <f t="array" ref="I70">SUM(IF(Period=I$4,IF(Category=$A$47,IF(Provider=$B70,Score))))</f>
        <v>85</v>
      </c>
      <c r="J70" s="17"/>
      <c r="K70" s="20">
        <f t="array" ref="K70">SUM(IF(Period=I$4,IF(Category=$A$47,IF(Provider=$B70,Responses))))</f>
        <v>5</v>
      </c>
      <c r="L70" s="20"/>
      <c r="M70" s="17">
        <f t="shared" si="27"/>
        <v>2.1039603960396041</v>
      </c>
      <c r="N70" s="17"/>
      <c r="O70" s="17">
        <f t="shared" si="18"/>
        <v>0.35153019023986765</v>
      </c>
      <c r="P70" s="17"/>
      <c r="Q70" s="17">
        <f t="array" ref="Q70">SUM(IF(Period=Q$4,IF(Category=$A$47,IF(Provider=$B70,Score))))</f>
        <v>100</v>
      </c>
      <c r="R70" s="17"/>
      <c r="S70" s="20">
        <f t="array" ref="S70">SUM(IF(Period=Q$4,IF(Category=$A$47,IF(Provider=$B70,Responses))))</f>
        <v>6</v>
      </c>
      <c r="T70" s="20"/>
      <c r="U70" s="17">
        <f t="shared" si="28"/>
        <v>3.1914893617021276</v>
      </c>
      <c r="V70" s="17"/>
      <c r="W70" s="17">
        <f t="shared" si="19"/>
        <v>0.53475935828876997</v>
      </c>
      <c r="X70" s="17"/>
      <c r="Y70" s="17">
        <f t="array" ref="Y70">SUM(IF(Period=Y$4,IF(Category=$A$47,IF(Provider=$B70,Score))))</f>
        <v>75</v>
      </c>
      <c r="Z70" s="17"/>
      <c r="AA70" s="20">
        <f t="array" ref="AA70">SUM(IF(Period=Y$4,IF(Category=$A$47,IF(Provider=$B70,Responses))))</f>
        <v>6</v>
      </c>
      <c r="AB70" s="20"/>
      <c r="AC70" s="17">
        <f t="shared" si="29"/>
        <v>1.490066225165563</v>
      </c>
      <c r="AD70" s="17"/>
      <c r="AE70" s="17">
        <f t="shared" si="20"/>
        <v>0.24820739106453391</v>
      </c>
      <c r="AF70" s="17"/>
      <c r="AG70" s="17">
        <f t="array" ref="AG70">SUM(IF(Period=AG$4,IF(Category=$A$47,IF(Provider=$B70,Score))))</f>
        <v>87.5</v>
      </c>
      <c r="AH70" s="17"/>
      <c r="AI70" s="20">
        <f t="array" ref="AI70">SUM(IF(Period=AG$4,IF(Category=$A$47,IF(Provider=$B70,Responses))))</f>
        <v>10</v>
      </c>
      <c r="AJ70" s="20"/>
      <c r="AK70" s="17">
        <f t="shared" si="30"/>
        <v>3.3914728682170541</v>
      </c>
      <c r="AL70" s="17"/>
      <c r="AM70" s="17">
        <f t="shared" si="21"/>
        <v>0.56670984455958551</v>
      </c>
      <c r="AN70" s="17"/>
      <c r="AO70" s="17">
        <f t="array" ref="AO70">SUM(IF(Period=AO$4,IF(Category=$A$47,IF(Provider=$B70,Score))))</f>
        <v>82.1</v>
      </c>
      <c r="AP70" s="17"/>
      <c r="AQ70" s="20">
        <f t="array" ref="AQ70">SUM(IF(Period=AO$4,IF(Category=$A$47,IF(Provider=$B70,Responses))))</f>
        <v>7</v>
      </c>
      <c r="AR70" s="20"/>
      <c r="AS70" s="17">
        <f t="shared" si="31"/>
        <v>3.3608187134502918</v>
      </c>
      <c r="AT70" s="17"/>
      <c r="AU70" s="17">
        <f t="shared" si="22"/>
        <v>0.56013645224171538</v>
      </c>
      <c r="AV70" s="17"/>
      <c r="AW70" s="17">
        <f t="array" ref="AW70">SUM(IF(Period=AW$4,IF(Category=$A$47,IF(Provider=$B70,Score))))</f>
        <v>75</v>
      </c>
      <c r="AX70" s="17"/>
      <c r="AY70" s="20">
        <f t="array" ref="AY70">SUM(IF(Period=AW$4,IF(Category=$A$47,IF(Provider=$B70,Responses))))</f>
        <v>5</v>
      </c>
      <c r="AZ70" s="20"/>
      <c r="BA70" s="17">
        <f t="shared" si="32"/>
        <v>1.728110599078341</v>
      </c>
      <c r="BB70" s="17"/>
      <c r="BC70" s="17">
        <f t="shared" si="23"/>
        <v>0.28801843317972348</v>
      </c>
      <c r="BD70" s="17"/>
      <c r="BE70" s="17">
        <f t="array" ref="BE70">SUM(IF(Period=BE$4,IF(Category=$A$47,IF(Provider=$B70,Score))))</f>
        <v>90.6</v>
      </c>
      <c r="BF70" s="17"/>
      <c r="BG70" s="20">
        <f t="array" ref="BG70">SUM(IF(Period=BE$4,IF(Category=$A$47,IF(Provider=$B70,Responses))))</f>
        <v>8</v>
      </c>
      <c r="BH70" s="20"/>
      <c r="BI70" s="17">
        <f t="shared" si="33"/>
        <v>3.0842553191489359</v>
      </c>
      <c r="BJ70" s="17"/>
      <c r="BK70" s="17">
        <f t="shared" si="24"/>
        <v>0.51222614840989389</v>
      </c>
      <c r="BL70" s="17"/>
      <c r="BM70" s="17">
        <f t="array" ref="BM70">SUM(IF(Period=BM$4,IF(Category=$A$47,IF(Provider=$B70,Score))))</f>
        <v>86.7</v>
      </c>
      <c r="BN70" s="17"/>
      <c r="BO70" s="20">
        <f t="array" ref="BO70">SUM(IF(Period=BM$4,IF(Category=$A$47,IF(Provider=$B70,Responses))))</f>
        <v>15</v>
      </c>
      <c r="BP70" s="20"/>
      <c r="BQ70" s="17">
        <f t="shared" si="34"/>
        <v>5.6298701298701292</v>
      </c>
      <c r="BR70" s="17"/>
      <c r="BS70" s="17">
        <f t="shared" si="25"/>
        <v>0.93831168831168832</v>
      </c>
      <c r="BT70" s="17"/>
      <c r="BU70" s="17">
        <f t="array" ref="BU70">SUM(IF(Period=BU$4,IF(Category=$A$47,IF(Provider=$B70,Score))))</f>
        <v>85</v>
      </c>
      <c r="BV70" s="17"/>
      <c r="BW70" s="20">
        <f t="array" ref="BW70">SUM(IF(Period=BU$4,IF(Category=$A$47,IF(Provider=$B70,Responses))))</f>
        <v>5</v>
      </c>
      <c r="BX70" s="20"/>
      <c r="BY70" s="17">
        <f t="shared" si="35"/>
        <v>1.7857142857142858</v>
      </c>
      <c r="BZ70" s="17"/>
      <c r="CA70" s="17">
        <f t="shared" si="26"/>
        <v>0.29371112646855563</v>
      </c>
    </row>
    <row r="71" spans="2:79" outlineLevel="1" x14ac:dyDescent="0.25">
      <c r="B71" t="s">
        <v>19</v>
      </c>
      <c r="C71" s="17">
        <v>0</v>
      </c>
      <c r="D71" s="17"/>
      <c r="E71" s="17">
        <v>0</v>
      </c>
      <c r="F71" s="17"/>
      <c r="G71" s="17">
        <v>0</v>
      </c>
      <c r="H71" s="17"/>
      <c r="I71" s="17">
        <f t="array" ref="I71">SUM(IF(Period=I$4,IF(Category=$A$47,IF(Provider=$B71,Score))))</f>
        <v>75</v>
      </c>
      <c r="J71" s="17"/>
      <c r="K71" s="20">
        <f t="array" ref="K71">SUM(IF(Period=I$4,IF(Category=$A$47,IF(Provider=$B71,Responses))))</f>
        <v>4</v>
      </c>
      <c r="L71" s="20"/>
      <c r="M71" s="17">
        <f t="shared" si="27"/>
        <v>1.4851485148514851</v>
      </c>
      <c r="N71" s="17"/>
      <c r="O71" s="17">
        <f t="shared" si="18"/>
        <v>0.24813895781637718</v>
      </c>
      <c r="P71" s="17"/>
      <c r="Q71" s="17">
        <f t="array" ref="Q71">SUM(IF(Period=Q$4,IF(Category=$A$47,IF(Provider=$B71,Score))))</f>
        <v>75</v>
      </c>
      <c r="R71" s="17"/>
      <c r="S71" s="20">
        <f t="array" ref="S71">SUM(IF(Period=Q$4,IF(Category=$A$47,IF(Provider=$B71,Responses))))</f>
        <v>4</v>
      </c>
      <c r="T71" s="20"/>
      <c r="U71" s="17">
        <f t="shared" si="28"/>
        <v>1.5957446808510638</v>
      </c>
      <c r="V71" s="17"/>
      <c r="W71" s="17">
        <f t="shared" si="19"/>
        <v>0.26737967914438499</v>
      </c>
      <c r="X71" s="17"/>
      <c r="Y71" s="17">
        <f t="array" ref="Y71">SUM(IF(Period=Y$4,IF(Category=$A$47,IF(Provider=$B71,Score))))</f>
        <v>100</v>
      </c>
      <c r="Z71" s="17"/>
      <c r="AA71" s="20">
        <f t="array" ref="AA71">SUM(IF(Period=Y$4,IF(Category=$A$47,IF(Provider=$B71,Responses))))</f>
        <v>3</v>
      </c>
      <c r="AB71" s="20"/>
      <c r="AC71" s="17">
        <f t="shared" si="29"/>
        <v>0.99337748344370869</v>
      </c>
      <c r="AD71" s="17"/>
      <c r="AE71" s="17">
        <f t="shared" si="20"/>
        <v>0.16547159404302261</v>
      </c>
      <c r="AF71" s="17"/>
      <c r="AG71" s="17">
        <f t="array" ref="AG71">SUM(IF(Period=AG$4,IF(Category=$A$47,IF(Provider=$B71,Score))))</f>
        <v>90.6</v>
      </c>
      <c r="AH71" s="17"/>
      <c r="AI71" s="20">
        <f t="array" ref="AI71">SUM(IF(Period=AG$4,IF(Category=$A$47,IF(Provider=$B71,Responses))))</f>
        <v>8</v>
      </c>
      <c r="AJ71" s="20"/>
      <c r="AK71" s="17">
        <f t="shared" si="30"/>
        <v>2.8093023255813949</v>
      </c>
      <c r="AL71" s="17"/>
      <c r="AM71" s="17">
        <f t="shared" si="21"/>
        <v>0.46943005181347147</v>
      </c>
      <c r="AN71" s="17"/>
      <c r="AO71" s="17">
        <f t="array" ref="AO71">SUM(IF(Period=AO$4,IF(Category=$A$47,IF(Provider=$B71,Score))))</f>
        <v>25</v>
      </c>
      <c r="AP71" s="17"/>
      <c r="AQ71" s="20">
        <f t="array" ref="AQ71">SUM(IF(Period=AO$4,IF(Category=$A$47,IF(Provider=$B71,Responses))))</f>
        <v>3</v>
      </c>
      <c r="AR71" s="20"/>
      <c r="AS71" s="17">
        <f t="shared" si="31"/>
        <v>0.43859649122807015</v>
      </c>
      <c r="AT71" s="17"/>
      <c r="AU71" s="17">
        <f t="shared" si="22"/>
        <v>7.3099415204678359E-2</v>
      </c>
      <c r="AV71" s="17"/>
      <c r="AW71" s="17">
        <f t="array" ref="AW71">SUM(IF(Period=AW$4,IF(Category=$A$47,IF(Provider=$B71,Score))))</f>
        <v>82.1</v>
      </c>
      <c r="AX71" s="17"/>
      <c r="AY71" s="20">
        <f t="array" ref="AY71">SUM(IF(Period=AW$4,IF(Category=$A$47,IF(Provider=$B71,Responses))))</f>
        <v>7</v>
      </c>
      <c r="AZ71" s="20"/>
      <c r="BA71" s="17">
        <f t="shared" si="32"/>
        <v>2.6483870967741932</v>
      </c>
      <c r="BB71" s="17"/>
      <c r="BC71" s="17">
        <f t="shared" si="23"/>
        <v>0.4413978494623656</v>
      </c>
      <c r="BD71" s="17"/>
      <c r="BE71" s="17">
        <f t="array" ref="BE71">SUM(IF(Period=BE$4,IF(Category=$A$47,IF(Provider=$B71,Score))))</f>
        <v>75</v>
      </c>
      <c r="BF71" s="17"/>
      <c r="BG71" s="20">
        <f t="array" ref="BG71">SUM(IF(Period=BE$4,IF(Category=$A$47,IF(Provider=$B71,Responses))))</f>
        <v>9</v>
      </c>
      <c r="BH71" s="20"/>
      <c r="BI71" s="17">
        <f t="shared" si="33"/>
        <v>2.8723404255319149</v>
      </c>
      <c r="BJ71" s="17"/>
      <c r="BK71" s="17">
        <f t="shared" si="24"/>
        <v>0.47703180212014135</v>
      </c>
      <c r="BL71" s="17"/>
      <c r="BM71" s="17">
        <f t="array" ref="BM71">SUM(IF(Period=BM$4,IF(Category=$A$47,IF(Provider=$B71,Score))))</f>
        <v>79.2</v>
      </c>
      <c r="BN71" s="17"/>
      <c r="BO71" s="20">
        <f t="array" ref="BO71">SUM(IF(Period=BM$4,IF(Category=$A$47,IF(Provider=$B71,Responses))))</f>
        <v>6</v>
      </c>
      <c r="BP71" s="20"/>
      <c r="BQ71" s="17">
        <f t="shared" si="34"/>
        <v>2.0571428571428574</v>
      </c>
      <c r="BR71" s="17"/>
      <c r="BS71" s="17">
        <f t="shared" si="25"/>
        <v>0.34285714285714286</v>
      </c>
      <c r="BT71" s="17"/>
      <c r="BU71" s="17">
        <f t="array" ref="BU71">SUM(IF(Period=BU$4,IF(Category=$A$47,IF(Provider=$B71,Score))))</f>
        <v>84.4</v>
      </c>
      <c r="BV71" s="17"/>
      <c r="BW71" s="20">
        <f t="array" ref="BW71">SUM(IF(Period=BU$4,IF(Category=$A$47,IF(Provider=$B71,Responses))))</f>
        <v>8</v>
      </c>
      <c r="BX71" s="20"/>
      <c r="BY71" s="17">
        <f t="shared" si="35"/>
        <v>2.8369747899159665</v>
      </c>
      <c r="BZ71" s="17"/>
      <c r="CA71" s="17">
        <f t="shared" si="26"/>
        <v>0.46662059433310299</v>
      </c>
    </row>
    <row r="72" spans="2:79" outlineLevel="1" x14ac:dyDescent="0.25">
      <c r="B72" t="s">
        <v>34</v>
      </c>
      <c r="C72" s="17">
        <v>0</v>
      </c>
      <c r="D72" s="17"/>
      <c r="E72" s="17">
        <v>0</v>
      </c>
      <c r="F72" s="17"/>
      <c r="G72" s="17">
        <v>0</v>
      </c>
      <c r="H72" s="17"/>
      <c r="I72" s="17">
        <f t="array" ref="I72">SUM(IF(Period=I$4,IF(Category=$A$47,IF(Provider=$B72,Score))))</f>
        <v>75</v>
      </c>
      <c r="J72" s="17"/>
      <c r="K72" s="20">
        <f t="array" ref="K72">SUM(IF(Period=I$4,IF(Category=$A$47,IF(Provider=$B72,Responses))))</f>
        <v>1</v>
      </c>
      <c r="L72" s="20"/>
      <c r="M72" s="17">
        <f t="shared" si="27"/>
        <v>0.37128712871287128</v>
      </c>
      <c r="N72" s="17"/>
      <c r="O72" s="17">
        <f t="shared" si="18"/>
        <v>6.2034739454094295E-2</v>
      </c>
      <c r="P72" s="17"/>
      <c r="Q72" s="17">
        <f t="array" ref="Q72">SUM(IF(Period=Q$4,IF(Category=$A$47,IF(Provider=$B72,Score))))</f>
        <v>93.8</v>
      </c>
      <c r="R72" s="17"/>
      <c r="S72" s="20">
        <f t="array" ref="S72">SUM(IF(Period=Q$4,IF(Category=$A$47,IF(Provider=$B72,Responses))))</f>
        <v>4</v>
      </c>
      <c r="T72" s="20"/>
      <c r="U72" s="17">
        <f t="shared" si="28"/>
        <v>1.9957446808510637</v>
      </c>
      <c r="V72" s="17"/>
      <c r="W72" s="17">
        <f t="shared" si="19"/>
        <v>0.33440285204991083</v>
      </c>
      <c r="X72" s="17"/>
      <c r="Y72" s="17">
        <f t="array" ref="Y72">SUM(IF(Period=Y$4,IF(Category=$A$47,IF(Provider=$B72,Score))))</f>
        <v>70.8</v>
      </c>
      <c r="Z72" s="17"/>
      <c r="AA72" s="20">
        <f t="array" ref="AA72">SUM(IF(Period=Y$4,IF(Category=$A$47,IF(Provider=$B72,Responses))))</f>
        <v>12</v>
      </c>
      <c r="AB72" s="20"/>
      <c r="AC72" s="17">
        <f t="shared" si="29"/>
        <v>2.8132450331125827</v>
      </c>
      <c r="AD72" s="17"/>
      <c r="AE72" s="17">
        <f t="shared" si="20"/>
        <v>0.46861555432983998</v>
      </c>
      <c r="AF72" s="17"/>
      <c r="AG72" s="17">
        <f t="array" ref="AG72">SUM(IF(Period=AG$4,IF(Category=$A$47,IF(Provider=$B72,Score))))</f>
        <v>93.8</v>
      </c>
      <c r="AH72" s="17"/>
      <c r="AI72" s="20">
        <f t="array" ref="AI72">SUM(IF(Period=AG$4,IF(Category=$A$47,IF(Provider=$B72,Responses))))</f>
        <v>8</v>
      </c>
      <c r="AJ72" s="20"/>
      <c r="AK72" s="17">
        <f t="shared" si="30"/>
        <v>2.9085271317829458</v>
      </c>
      <c r="AL72" s="17"/>
      <c r="AM72" s="17">
        <f t="shared" si="21"/>
        <v>0.48601036269430054</v>
      </c>
      <c r="AN72" s="17"/>
      <c r="AO72" s="17">
        <f t="array" ref="AO72">SUM(IF(Period=AO$4,IF(Category=$A$47,IF(Provider=$B72,Score))))</f>
        <v>87.5</v>
      </c>
      <c r="AP72" s="17"/>
      <c r="AQ72" s="20">
        <f t="array" ref="AQ72">SUM(IF(Period=AO$4,IF(Category=$A$47,IF(Provider=$B72,Responses))))</f>
        <v>2</v>
      </c>
      <c r="AR72" s="20"/>
      <c r="AS72" s="17">
        <f t="shared" si="31"/>
        <v>1.0233918128654971</v>
      </c>
      <c r="AT72" s="17"/>
      <c r="AU72" s="17">
        <f t="shared" si="22"/>
        <v>0.1705653021442495</v>
      </c>
      <c r="AV72" s="17"/>
      <c r="AW72" s="17">
        <f t="array" ref="AW72">SUM(IF(Period=AW$4,IF(Category=$A$47,IF(Provider=$B72,Score))))</f>
        <v>75</v>
      </c>
      <c r="AX72" s="17"/>
      <c r="AY72" s="20">
        <f t="array" ref="AY72">SUM(IF(Period=AW$4,IF(Category=$A$47,IF(Provider=$B72,Responses))))</f>
        <v>5</v>
      </c>
      <c r="AZ72" s="20"/>
      <c r="BA72" s="17">
        <f t="shared" si="32"/>
        <v>1.728110599078341</v>
      </c>
      <c r="BB72" s="17"/>
      <c r="BC72" s="17">
        <f t="shared" si="23"/>
        <v>0.28801843317972348</v>
      </c>
      <c r="BD72" s="17"/>
      <c r="BE72" s="17">
        <f t="array" ref="BE72">SUM(IF(Period=BE$4,IF(Category=$A$47,IF(Provider=$B72,Score))))</f>
        <v>84.4</v>
      </c>
      <c r="BF72" s="17"/>
      <c r="BG72" s="20">
        <f t="array" ref="BG72">SUM(IF(Period=BE$4,IF(Category=$A$47,IF(Provider=$B72,Responses))))</f>
        <v>8</v>
      </c>
      <c r="BH72" s="20"/>
      <c r="BI72" s="17">
        <f t="shared" si="33"/>
        <v>2.8731914893617025</v>
      </c>
      <c r="BJ72" s="17"/>
      <c r="BK72" s="17">
        <f t="shared" si="24"/>
        <v>0.47717314487632512</v>
      </c>
      <c r="BL72" s="17"/>
      <c r="BM72" s="17">
        <f t="array" ref="BM72">SUM(IF(Period=BM$4,IF(Category=$A$47,IF(Provider=$B72,Score))))</f>
        <v>87.5</v>
      </c>
      <c r="BN72" s="17"/>
      <c r="BO72" s="20">
        <f t="array" ref="BO72">SUM(IF(Period=BM$4,IF(Category=$A$47,IF(Provider=$B72,Responses))))</f>
        <v>12</v>
      </c>
      <c r="BP72" s="20"/>
      <c r="BQ72" s="17">
        <f t="shared" si="34"/>
        <v>4.5454545454545459</v>
      </c>
      <c r="BR72" s="17"/>
      <c r="BS72" s="17">
        <f t="shared" si="25"/>
        <v>0.75757575757575757</v>
      </c>
      <c r="BT72" s="17"/>
      <c r="BU72" s="17">
        <f t="array" ref="BU72">SUM(IF(Period=BU$4,IF(Category=$A$47,IF(Provider=$B72,Score))))</f>
        <v>100</v>
      </c>
      <c r="BV72" s="17"/>
      <c r="BW72" s="20">
        <f t="array" ref="BW72">SUM(IF(Period=BU$4,IF(Category=$A$47,IF(Provider=$B72,Responses))))</f>
        <v>3</v>
      </c>
      <c r="BX72" s="20"/>
      <c r="BY72" s="17">
        <f t="shared" si="35"/>
        <v>1.2605042016806722</v>
      </c>
      <c r="BZ72" s="17"/>
      <c r="CA72" s="17">
        <f t="shared" si="26"/>
        <v>0.2073255010366275</v>
      </c>
    </row>
    <row r="73" spans="2:79" outlineLevel="1" x14ac:dyDescent="0.25">
      <c r="B73" t="s">
        <v>41</v>
      </c>
      <c r="C73" s="17">
        <v>0</v>
      </c>
      <c r="D73" s="17"/>
      <c r="E73" s="17">
        <v>0</v>
      </c>
      <c r="F73" s="17"/>
      <c r="G73" s="17">
        <v>0</v>
      </c>
      <c r="H73" s="17"/>
      <c r="I73" s="17">
        <f t="array" ref="I73">SUM(IF(Period=I$4,IF(Category=$A$47,IF(Provider=$B73,Score))))</f>
        <v>58.3</v>
      </c>
      <c r="J73" s="17"/>
      <c r="K73" s="20">
        <f t="array" ref="K73">SUM(IF(Period=I$4,IF(Category=$A$47,IF(Provider=$B73,Responses))))</f>
        <v>3</v>
      </c>
      <c r="L73" s="20"/>
      <c r="M73" s="17">
        <f t="shared" si="27"/>
        <v>0.86584158415841572</v>
      </c>
      <c r="N73" s="17"/>
      <c r="O73" s="17">
        <f t="shared" si="18"/>
        <v>0.14466501240694787</v>
      </c>
      <c r="P73" s="17"/>
      <c r="Q73" s="17">
        <f t="array" ref="Q73">SUM(IF(Period=Q$4,IF(Category=$A$47,IF(Provider=$B73,Score))))</f>
        <v>65</v>
      </c>
      <c r="R73" s="17"/>
      <c r="S73" s="20">
        <f t="array" ref="S73">SUM(IF(Period=Q$4,IF(Category=$A$47,IF(Provider=$B73,Responses))))</f>
        <v>5</v>
      </c>
      <c r="T73" s="20"/>
      <c r="U73" s="17">
        <f t="shared" si="28"/>
        <v>1.7287234042553192</v>
      </c>
      <c r="V73" s="17"/>
      <c r="W73" s="17">
        <f t="shared" si="19"/>
        <v>0.28966131907308379</v>
      </c>
      <c r="X73" s="17"/>
      <c r="Y73" s="17">
        <f t="array" ref="Y73">SUM(IF(Period=Y$4,IF(Category=$A$47,IF(Provider=$B73,Score))))</f>
        <v>84.4</v>
      </c>
      <c r="Z73" s="17"/>
      <c r="AA73" s="20">
        <f t="array" ref="AA73">SUM(IF(Period=Y$4,IF(Category=$A$47,IF(Provider=$B73,Responses))))</f>
        <v>8</v>
      </c>
      <c r="AB73" s="20"/>
      <c r="AC73" s="17">
        <f t="shared" si="29"/>
        <v>2.2357615894039737</v>
      </c>
      <c r="AD73" s="17"/>
      <c r="AE73" s="17">
        <f t="shared" si="20"/>
        <v>0.37242140099282961</v>
      </c>
      <c r="AF73" s="17"/>
      <c r="AG73" s="17">
        <f t="array" ref="AG73">SUM(IF(Period=AG$4,IF(Category=$A$47,IF(Provider=$B73,Score))))</f>
        <v>95.8</v>
      </c>
      <c r="AH73" s="17"/>
      <c r="AI73" s="20">
        <f t="array" ref="AI73">SUM(IF(Period=AG$4,IF(Category=$A$47,IF(Provider=$B73,Responses))))</f>
        <v>6</v>
      </c>
      <c r="AJ73" s="20"/>
      <c r="AK73" s="17">
        <f t="shared" si="30"/>
        <v>2.2279069767441859</v>
      </c>
      <c r="AL73" s="17"/>
      <c r="AM73" s="17">
        <f t="shared" si="21"/>
        <v>0.37227979274611395</v>
      </c>
      <c r="AN73" s="17"/>
      <c r="AO73" s="17">
        <f t="array" ref="AO73">SUM(IF(Period=AO$4,IF(Category=$A$47,IF(Provider=$B73,Score))))</f>
        <v>83.3</v>
      </c>
      <c r="AP73" s="17"/>
      <c r="AQ73" s="20">
        <f t="array" ref="AQ73">SUM(IF(Period=AO$4,IF(Category=$A$47,IF(Provider=$B73,Responses))))</f>
        <v>6</v>
      </c>
      <c r="AR73" s="20"/>
      <c r="AS73" s="17">
        <f t="shared" si="31"/>
        <v>2.9228070175438594</v>
      </c>
      <c r="AT73" s="17"/>
      <c r="AU73" s="17">
        <f t="shared" si="22"/>
        <v>0.48713450292397659</v>
      </c>
      <c r="AV73" s="17"/>
      <c r="AW73" s="17">
        <f t="array" ref="AW73">SUM(IF(Period=AW$4,IF(Category=$A$47,IF(Provider=$B73,Score))))</f>
        <v>100</v>
      </c>
      <c r="AX73" s="17"/>
      <c r="AY73" s="20">
        <f t="array" ref="AY73">SUM(IF(Period=AW$4,IF(Category=$A$47,IF(Provider=$B73,Responses))))</f>
        <v>4</v>
      </c>
      <c r="AZ73" s="20"/>
      <c r="BA73" s="17">
        <f t="shared" si="32"/>
        <v>1.8433179723502304</v>
      </c>
      <c r="BB73" s="17"/>
      <c r="BC73" s="17">
        <f t="shared" si="23"/>
        <v>0.30721966205837176</v>
      </c>
      <c r="BD73" s="17"/>
      <c r="BE73" s="17">
        <f t="array" ref="BE73">SUM(IF(Period=BE$4,IF(Category=$A$47,IF(Provider=$B73,Score))))</f>
        <v>82.1</v>
      </c>
      <c r="BF73" s="17"/>
      <c r="BG73" s="20">
        <f t="array" ref="BG73">SUM(IF(Period=BE$4,IF(Category=$A$47,IF(Provider=$B73,Responses))))</f>
        <v>7</v>
      </c>
      <c r="BH73" s="20"/>
      <c r="BI73" s="17">
        <f t="shared" si="33"/>
        <v>2.4455319148936168</v>
      </c>
      <c r="BJ73" s="17"/>
      <c r="BK73" s="17">
        <f t="shared" si="24"/>
        <v>0.40614840989399292</v>
      </c>
      <c r="BL73" s="17"/>
      <c r="BM73" s="17">
        <f t="array" ref="BM73">SUM(IF(Period=BM$4,IF(Category=$A$47,IF(Provider=$B73,Score))))</f>
        <v>81.3</v>
      </c>
      <c r="BN73" s="17"/>
      <c r="BO73" s="20">
        <f t="array" ref="BO73">SUM(IF(Period=BM$4,IF(Category=$A$47,IF(Provider=$B73,Responses))))</f>
        <v>4</v>
      </c>
      <c r="BP73" s="20"/>
      <c r="BQ73" s="17">
        <f t="shared" si="34"/>
        <v>1.4077922077922078</v>
      </c>
      <c r="BR73" s="17"/>
      <c r="BS73" s="17">
        <f t="shared" si="25"/>
        <v>0.23463203463203464</v>
      </c>
      <c r="BT73" s="17"/>
      <c r="BU73" s="17">
        <f t="array" ref="BU73">SUM(IF(Period=BU$4,IF(Category=$A$47,IF(Provider=$B73,Score))))</f>
        <v>83.3</v>
      </c>
      <c r="BV73" s="17"/>
      <c r="BW73" s="20">
        <f t="array" ref="BW73">SUM(IF(Period=BU$4,IF(Category=$A$47,IF(Provider=$B73,Responses))))</f>
        <v>6</v>
      </c>
      <c r="BX73" s="20"/>
      <c r="BY73" s="17">
        <f t="shared" si="35"/>
        <v>2.1</v>
      </c>
      <c r="BZ73" s="17"/>
      <c r="CA73" s="17">
        <f t="shared" si="26"/>
        <v>0.34540428472702139</v>
      </c>
    </row>
    <row r="74" spans="2:79" outlineLevel="1" x14ac:dyDescent="0.25">
      <c r="B74" t="s">
        <v>13</v>
      </c>
      <c r="C74" s="17">
        <v>0</v>
      </c>
      <c r="D74" s="17"/>
      <c r="E74" s="17">
        <v>0</v>
      </c>
      <c r="F74" s="17"/>
      <c r="G74" s="17">
        <v>0</v>
      </c>
      <c r="H74" s="17"/>
      <c r="I74" s="17">
        <f t="array" ref="I74">SUM(IF(Period=I$4,IF(Category=$A$47,IF(Provider=$B74,Score))))</f>
        <v>91.7</v>
      </c>
      <c r="J74" s="17"/>
      <c r="K74" s="20">
        <f t="array" ref="K74">SUM(IF(Period=I$4,IF(Category=$A$47,IF(Provider=$B74,Responses))))</f>
        <v>6</v>
      </c>
      <c r="L74" s="20"/>
      <c r="M74" s="17">
        <f t="shared" si="27"/>
        <v>2.7237623762376235</v>
      </c>
      <c r="N74" s="17"/>
      <c r="O74" s="17">
        <f t="shared" si="18"/>
        <v>0.45508684863523574</v>
      </c>
      <c r="P74" s="17"/>
      <c r="Q74" s="17">
        <f t="array" ref="Q74">SUM(IF(Period=Q$4,IF(Category=$A$47,IF(Provider=$B74,Score))))</f>
        <v>81.3</v>
      </c>
      <c r="R74" s="17"/>
      <c r="S74" s="20">
        <f t="array" ref="S74">SUM(IF(Period=Q$4,IF(Category=$A$47,IF(Provider=$B74,Responses))))</f>
        <v>16</v>
      </c>
      <c r="T74" s="20"/>
      <c r="U74" s="17">
        <f t="shared" si="28"/>
        <v>6.9191489361702123</v>
      </c>
      <c r="V74" s="17"/>
      <c r="W74" s="17">
        <f t="shared" si="19"/>
        <v>1.1593582887700533</v>
      </c>
      <c r="X74" s="17"/>
      <c r="Y74" s="17">
        <f t="array" ref="Y74">SUM(IF(Period=Y$4,IF(Category=$A$47,IF(Provider=$B74,Score))))</f>
        <v>89.6</v>
      </c>
      <c r="Z74" s="17"/>
      <c r="AA74" s="20">
        <f t="array" ref="AA74">SUM(IF(Period=Y$4,IF(Category=$A$47,IF(Provider=$B74,Responses))))</f>
        <v>12</v>
      </c>
      <c r="AB74" s="20"/>
      <c r="AC74" s="17">
        <f t="shared" si="29"/>
        <v>3.5602649006622515</v>
      </c>
      <c r="AD74" s="17"/>
      <c r="AE74" s="17">
        <f t="shared" si="20"/>
        <v>0.59305019305019302</v>
      </c>
      <c r="AF74" s="17"/>
      <c r="AG74" s="17">
        <f t="array" ref="AG74">SUM(IF(Period=AG$4,IF(Category=$A$47,IF(Provider=$B74,Score))))</f>
        <v>88.2</v>
      </c>
      <c r="AH74" s="17"/>
      <c r="AI74" s="20">
        <f t="array" ref="AI74">SUM(IF(Period=AG$4,IF(Category=$A$47,IF(Provider=$B74,Responses))))</f>
        <v>17</v>
      </c>
      <c r="AJ74" s="20"/>
      <c r="AK74" s="17">
        <f t="shared" si="30"/>
        <v>5.8116279069767449</v>
      </c>
      <c r="AL74" s="17"/>
      <c r="AM74" s="17">
        <f t="shared" si="21"/>
        <v>0.97111398963730566</v>
      </c>
      <c r="AN74" s="17"/>
      <c r="AO74" s="17">
        <f t="array" ref="AO74">SUM(IF(Period=AO$4,IF(Category=$A$47,IF(Provider=$B74,Score))))</f>
        <v>100</v>
      </c>
      <c r="AP74" s="17"/>
      <c r="AQ74" s="20">
        <f t="array" ref="AQ74">SUM(IF(Period=AO$4,IF(Category=$A$47,IF(Provider=$B74,Responses))))</f>
        <v>4</v>
      </c>
      <c r="AR74" s="20"/>
      <c r="AS74" s="17">
        <f t="shared" si="31"/>
        <v>2.3391812865497075</v>
      </c>
      <c r="AT74" s="17"/>
      <c r="AU74" s="17">
        <f t="shared" si="22"/>
        <v>0.38986354775828458</v>
      </c>
      <c r="AV74" s="17"/>
      <c r="AW74" s="17">
        <f t="array" ref="AW74">SUM(IF(Period=AW$4,IF(Category=$A$47,IF(Provider=$B74,Score))))</f>
        <v>70.599999999999994</v>
      </c>
      <c r="AX74" s="17"/>
      <c r="AY74" s="20">
        <f t="array" ref="AY74">SUM(IF(Period=AW$4,IF(Category=$A$47,IF(Provider=$B74,Responses))))</f>
        <v>17</v>
      </c>
      <c r="AZ74" s="20"/>
      <c r="BA74" s="17">
        <f t="shared" si="32"/>
        <v>5.5308755760368653</v>
      </c>
      <c r="BB74" s="17"/>
      <c r="BC74" s="17">
        <f t="shared" si="23"/>
        <v>0.92181259600614429</v>
      </c>
      <c r="BD74" s="17"/>
      <c r="BE74" s="17">
        <f t="array" ref="BE74">SUM(IF(Period=BE$4,IF(Category=$A$47,IF(Provider=$B74,Score))))</f>
        <v>95.5</v>
      </c>
      <c r="BF74" s="17"/>
      <c r="BG74" s="20">
        <f t="array" ref="BG74">SUM(IF(Period=BE$4,IF(Category=$A$47,IF(Provider=$B74,Responses))))</f>
        <v>11</v>
      </c>
      <c r="BH74" s="20"/>
      <c r="BI74" s="17">
        <f t="shared" si="33"/>
        <v>4.4702127659574469</v>
      </c>
      <c r="BJ74" s="17"/>
      <c r="BK74" s="17">
        <f t="shared" si="24"/>
        <v>0.74240282685512371</v>
      </c>
      <c r="BL74" s="17"/>
      <c r="BM74" s="17">
        <f t="array" ref="BM74">SUM(IF(Period=BM$4,IF(Category=$A$47,IF(Provider=$B74,Score))))</f>
        <v>87.5</v>
      </c>
      <c r="BN74" s="17"/>
      <c r="BO74" s="20">
        <f t="array" ref="BO74">SUM(IF(Period=BM$4,IF(Category=$A$47,IF(Provider=$B74,Responses))))</f>
        <v>14</v>
      </c>
      <c r="BP74" s="20"/>
      <c r="BQ74" s="17">
        <f t="shared" si="34"/>
        <v>5.3030303030303028</v>
      </c>
      <c r="BR74" s="17"/>
      <c r="BS74" s="17">
        <f t="shared" si="25"/>
        <v>0.88383838383838387</v>
      </c>
      <c r="BT74" s="17"/>
      <c r="BU74" s="17">
        <f t="array" ref="BU74">SUM(IF(Period=BU$4,IF(Category=$A$47,IF(Provider=$B74,Score))))</f>
        <v>80.900000000000006</v>
      </c>
      <c r="BV74" s="17"/>
      <c r="BW74" s="20">
        <f t="array" ref="BW74">SUM(IF(Period=BU$4,IF(Category=$A$47,IF(Provider=$B74,Responses))))</f>
        <v>17</v>
      </c>
      <c r="BX74" s="20"/>
      <c r="BY74" s="17">
        <f t="shared" si="35"/>
        <v>5.7785714285714285</v>
      </c>
      <c r="BZ74" s="17"/>
      <c r="CA74" s="17">
        <f t="shared" si="26"/>
        <v>0.95044920525224619</v>
      </c>
    </row>
    <row r="75" spans="2:79" outlineLevel="1" x14ac:dyDescent="0.25">
      <c r="B75" t="s">
        <v>25</v>
      </c>
      <c r="C75" s="17">
        <v>0</v>
      </c>
      <c r="D75" s="17"/>
      <c r="E75" s="17">
        <v>0</v>
      </c>
      <c r="F75" s="17"/>
      <c r="G75" s="17">
        <v>0</v>
      </c>
      <c r="H75" s="17"/>
      <c r="I75" s="17">
        <f t="array" ref="I75">SUM(IF(Period=I$4,IF(Category=$A$47,IF(Provider=$B75,Score))))</f>
        <v>83.3</v>
      </c>
      <c r="J75" s="17"/>
      <c r="K75" s="20">
        <f t="array" ref="K75">SUM(IF(Period=I$4,IF(Category=$A$47,IF(Provider=$B75,Responses))))</f>
        <v>6</v>
      </c>
      <c r="L75" s="20"/>
      <c r="M75" s="17">
        <f t="shared" si="27"/>
        <v>2.4742574257425742</v>
      </c>
      <c r="N75" s="17"/>
      <c r="O75" s="17">
        <f t="shared" si="18"/>
        <v>0.41339950372208434</v>
      </c>
      <c r="P75" s="17"/>
      <c r="Q75" s="17">
        <f t="array" ref="Q75">SUM(IF(Period=Q$4,IF(Category=$A$47,IF(Provider=$B75,Score))))</f>
        <v>81.3</v>
      </c>
      <c r="R75" s="17"/>
      <c r="S75" s="20">
        <f t="array" ref="S75">SUM(IF(Period=Q$4,IF(Category=$A$47,IF(Provider=$B75,Responses))))</f>
        <v>8</v>
      </c>
      <c r="T75" s="20"/>
      <c r="U75" s="17">
        <f t="shared" si="28"/>
        <v>3.4595744680851062</v>
      </c>
      <c r="V75" s="17"/>
      <c r="W75" s="17">
        <f t="shared" si="19"/>
        <v>0.57967914438502666</v>
      </c>
      <c r="X75" s="17"/>
      <c r="Y75" s="17">
        <f t="array" ref="Y75">SUM(IF(Period=Y$4,IF(Category=$A$47,IF(Provider=$B75,Score))))</f>
        <v>80</v>
      </c>
      <c r="Z75" s="17"/>
      <c r="AA75" s="20">
        <f t="array" ref="AA75">SUM(IF(Period=Y$4,IF(Category=$A$47,IF(Provider=$B75,Responses))))</f>
        <v>10</v>
      </c>
      <c r="AB75" s="20"/>
      <c r="AC75" s="17">
        <f t="shared" si="29"/>
        <v>2.6490066225165565</v>
      </c>
      <c r="AD75" s="17"/>
      <c r="AE75" s="17">
        <f t="shared" si="20"/>
        <v>0.44125758411472699</v>
      </c>
      <c r="AF75" s="17"/>
      <c r="AG75" s="17">
        <f t="array" ref="AG75">SUM(IF(Period=AG$4,IF(Category=$A$47,IF(Provider=$B75,Score))))</f>
        <v>80</v>
      </c>
      <c r="AH75" s="17"/>
      <c r="AI75" s="20">
        <f t="array" ref="AI75">SUM(IF(Period=AG$4,IF(Category=$A$47,IF(Provider=$B75,Responses))))</f>
        <v>5</v>
      </c>
      <c r="AJ75" s="20"/>
      <c r="AK75" s="17">
        <f t="shared" si="30"/>
        <v>1.5503875968992249</v>
      </c>
      <c r="AL75" s="17"/>
      <c r="AM75" s="17">
        <f t="shared" si="21"/>
        <v>0.25906735751295334</v>
      </c>
      <c r="AN75" s="17"/>
      <c r="AO75" s="17">
        <f t="array" ref="AO75">SUM(IF(Period=AO$4,IF(Category=$A$47,IF(Provider=$B75,Score))))</f>
        <v>71.400000000000006</v>
      </c>
      <c r="AP75" s="17"/>
      <c r="AQ75" s="20">
        <f t="array" ref="AQ75">SUM(IF(Period=AO$4,IF(Category=$A$47,IF(Provider=$B75,Responses))))</f>
        <v>7</v>
      </c>
      <c r="AR75" s="20"/>
      <c r="AS75" s="17">
        <f t="shared" si="31"/>
        <v>2.9228070175438599</v>
      </c>
      <c r="AT75" s="17"/>
      <c r="AU75" s="17">
        <f t="shared" si="22"/>
        <v>0.48713450292397664</v>
      </c>
      <c r="AV75" s="17"/>
      <c r="AW75" s="17">
        <f t="array" ref="AW75">SUM(IF(Period=AW$4,IF(Category=$A$47,IF(Provider=$B75,Score))))</f>
        <v>66.7</v>
      </c>
      <c r="AX75" s="17"/>
      <c r="AY75" s="20">
        <f t="array" ref="AY75">SUM(IF(Period=AW$4,IF(Category=$A$47,IF(Provider=$B75,Responses))))</f>
        <v>3</v>
      </c>
      <c r="AZ75" s="20"/>
      <c r="BA75" s="17">
        <f t="shared" si="32"/>
        <v>0.92211981566820289</v>
      </c>
      <c r="BB75" s="17"/>
      <c r="BC75" s="17">
        <f t="shared" si="23"/>
        <v>0.15368663594470047</v>
      </c>
      <c r="BD75" s="17"/>
      <c r="BE75" s="17">
        <f t="array" ref="BE75">SUM(IF(Period=BE$4,IF(Category=$A$47,IF(Provider=$B75,Score))))</f>
        <v>100</v>
      </c>
      <c r="BF75" s="17"/>
      <c r="BG75" s="20">
        <f t="array" ref="BG75">SUM(IF(Period=BE$4,IF(Category=$A$47,IF(Provider=$B75,Responses))))</f>
        <v>1</v>
      </c>
      <c r="BH75" s="20"/>
      <c r="BI75" s="17">
        <f t="shared" si="33"/>
        <v>0.42553191489361702</v>
      </c>
      <c r="BJ75" s="17"/>
      <c r="BK75" s="17">
        <f t="shared" si="24"/>
        <v>7.0671378091872794E-2</v>
      </c>
      <c r="BL75" s="17"/>
      <c r="BM75" s="17">
        <f t="array" ref="BM75">SUM(IF(Period=BM$4,IF(Category=$A$47,IF(Provider=$B75,Score))))</f>
        <v>83.3</v>
      </c>
      <c r="BN75" s="17"/>
      <c r="BO75" s="20">
        <f t="array" ref="BO75">SUM(IF(Period=BM$4,IF(Category=$A$47,IF(Provider=$B75,Responses))))</f>
        <v>3</v>
      </c>
      <c r="BP75" s="20"/>
      <c r="BQ75" s="17">
        <f t="shared" si="34"/>
        <v>1.0818181818181818</v>
      </c>
      <c r="BR75" s="17"/>
      <c r="BS75" s="17">
        <f t="shared" si="25"/>
        <v>0.1803030303030303</v>
      </c>
      <c r="BT75" s="17"/>
      <c r="BU75" s="17">
        <f t="array" ref="BU75">SUM(IF(Period=BU$4,IF(Category=$A$47,IF(Provider=$B75,Score))))</f>
        <v>64.3</v>
      </c>
      <c r="BV75" s="17"/>
      <c r="BW75" s="20">
        <f t="array" ref="BW75">SUM(IF(Period=BU$4,IF(Category=$A$47,IF(Provider=$B75,Responses))))</f>
        <v>7</v>
      </c>
      <c r="BX75" s="20"/>
      <c r="BY75" s="17">
        <f t="shared" si="35"/>
        <v>1.8911764705882352</v>
      </c>
      <c r="BZ75" s="17"/>
      <c r="CA75" s="17">
        <f t="shared" si="26"/>
        <v>0.31105736005528684</v>
      </c>
    </row>
    <row r="76" spans="2:79" outlineLevel="1" x14ac:dyDescent="0.25">
      <c r="B76" t="s">
        <v>43</v>
      </c>
      <c r="C76" s="17">
        <v>0</v>
      </c>
      <c r="D76" s="17"/>
      <c r="E76" s="17">
        <v>0</v>
      </c>
      <c r="F76" s="17"/>
      <c r="G76" s="17">
        <v>0</v>
      </c>
      <c r="H76" s="17"/>
      <c r="I76" s="17">
        <f t="array" ref="I76">SUM(IF(Period=I$4,IF(Category=$A$47,IF(Provider=$B76,Score))))</f>
        <v>11.1</v>
      </c>
      <c r="J76" s="17"/>
      <c r="K76" s="20">
        <f t="array" ref="K76">SUM(IF(Period=I$4,IF(Category=$A$47,IF(Provider=$B76,Responses))))</f>
        <v>9</v>
      </c>
      <c r="L76" s="20"/>
      <c r="M76" s="17">
        <f t="shared" si="27"/>
        <v>0.49455445544554449</v>
      </c>
      <c r="N76" s="17"/>
      <c r="O76" s="17">
        <f t="shared" si="18"/>
        <v>8.2630272952853592E-2</v>
      </c>
      <c r="P76" s="17"/>
      <c r="Q76" s="17">
        <f t="array" ref="Q76">SUM(IF(Period=Q$4,IF(Category=$A$47,IF(Provider=$B76,Score))))</f>
        <v>69.400000000000006</v>
      </c>
      <c r="R76" s="17"/>
      <c r="S76" s="20">
        <f t="array" ref="S76">SUM(IF(Period=Q$4,IF(Category=$A$47,IF(Provider=$B76,Responses))))</f>
        <v>9</v>
      </c>
      <c r="T76" s="20"/>
      <c r="U76" s="17">
        <f t="shared" si="28"/>
        <v>3.3223404255319151</v>
      </c>
      <c r="V76" s="17"/>
      <c r="W76" s="17">
        <f t="shared" si="19"/>
        <v>0.5566844919786097</v>
      </c>
      <c r="X76" s="17"/>
      <c r="Y76" s="17">
        <f t="array" ref="Y76">SUM(IF(Period=Y$4,IF(Category=$A$47,IF(Provider=$B76,Score))))</f>
        <v>64.5</v>
      </c>
      <c r="Z76" s="17"/>
      <c r="AA76" s="20">
        <f t="array" ref="AA76">SUM(IF(Period=Y$4,IF(Category=$A$47,IF(Provider=$B76,Responses))))</f>
        <v>19</v>
      </c>
      <c r="AB76" s="20"/>
      <c r="AC76" s="17">
        <f t="shared" si="29"/>
        <v>4.0579470198675498</v>
      </c>
      <c r="AD76" s="17"/>
      <c r="AE76" s="17">
        <f t="shared" si="20"/>
        <v>0.67595146166574738</v>
      </c>
      <c r="AF76" s="17"/>
      <c r="AG76" s="17">
        <f t="array" ref="AG76">SUM(IF(Period=AG$4,IF(Category=$A$47,IF(Provider=$B76,Score))))</f>
        <v>55</v>
      </c>
      <c r="AH76" s="17"/>
      <c r="AI76" s="20">
        <f t="array" ref="AI76">SUM(IF(Period=AG$4,IF(Category=$A$47,IF(Provider=$B76,Responses))))</f>
        <v>5</v>
      </c>
      <c r="AJ76" s="20"/>
      <c r="AK76" s="17">
        <f t="shared" si="30"/>
        <v>1.0658914728682169</v>
      </c>
      <c r="AL76" s="17"/>
      <c r="AM76" s="17">
        <f t="shared" si="21"/>
        <v>0.17810880829015543</v>
      </c>
      <c r="AN76" s="17"/>
      <c r="AO76" s="17">
        <f t="array" ref="AO76">SUM(IF(Period=AO$4,IF(Category=$A$47,IF(Provider=$B76,Score))))</f>
        <v>85</v>
      </c>
      <c r="AP76" s="17"/>
      <c r="AQ76" s="20">
        <f t="array" ref="AQ76">SUM(IF(Period=AO$4,IF(Category=$A$47,IF(Provider=$B76,Responses))))</f>
        <v>5</v>
      </c>
      <c r="AR76" s="20"/>
      <c r="AS76" s="17">
        <f t="shared" si="31"/>
        <v>2.4853801169590644</v>
      </c>
      <c r="AT76" s="17"/>
      <c r="AU76" s="17">
        <f t="shared" si="22"/>
        <v>0.41423001949317739</v>
      </c>
      <c r="AV76" s="17"/>
      <c r="AW76" s="17">
        <f t="array" ref="AW76">SUM(IF(Period=AW$4,IF(Category=$A$47,IF(Provider=$B76,Score))))</f>
        <v>68.8</v>
      </c>
      <c r="AX76" s="17"/>
      <c r="AY76" s="20">
        <f t="array" ref="AY76">SUM(IF(Period=AW$4,IF(Category=$A$47,IF(Provider=$B76,Responses))))</f>
        <v>4</v>
      </c>
      <c r="AZ76" s="20"/>
      <c r="BA76" s="17">
        <f t="shared" si="32"/>
        <v>1.2682027649769585</v>
      </c>
      <c r="BB76" s="17"/>
      <c r="BC76" s="17">
        <f t="shared" si="23"/>
        <v>0.21136712749615974</v>
      </c>
      <c r="BD76" s="17"/>
      <c r="BE76" s="17">
        <f t="array" ref="BE76">SUM(IF(Period=BE$4,IF(Category=$A$47,IF(Provider=$B76,Score))))</f>
        <v>93.8</v>
      </c>
      <c r="BF76" s="17"/>
      <c r="BG76" s="20">
        <f t="array" ref="BG76">SUM(IF(Period=BE$4,IF(Category=$A$47,IF(Provider=$B76,Responses))))</f>
        <v>4</v>
      </c>
      <c r="BH76" s="20"/>
      <c r="BI76" s="17">
        <f t="shared" si="33"/>
        <v>1.596595744680851</v>
      </c>
      <c r="BJ76" s="17"/>
      <c r="BK76" s="17">
        <f t="shared" si="24"/>
        <v>0.26515901060070668</v>
      </c>
      <c r="BL76" s="17"/>
      <c r="BM76" s="17">
        <f t="array" ref="BM76">SUM(IF(Period=BM$4,IF(Category=$A$47,IF(Provider=$B76,Score))))</f>
        <v>75</v>
      </c>
      <c r="BN76" s="17"/>
      <c r="BO76" s="20">
        <f t="array" ref="BO76">SUM(IF(Period=BM$4,IF(Category=$A$47,IF(Provider=$B76,Responses))))</f>
        <v>1</v>
      </c>
      <c r="BP76" s="20"/>
      <c r="BQ76" s="17">
        <f t="shared" si="34"/>
        <v>0.32467532467532467</v>
      </c>
      <c r="BR76" s="17"/>
      <c r="BS76" s="17">
        <f t="shared" si="25"/>
        <v>5.4112554112554112E-2</v>
      </c>
      <c r="BT76" s="17"/>
      <c r="BU76" s="17">
        <f t="array" ref="BU76">SUM(IF(Period=BU$4,IF(Category=$A$47,IF(Provider=$B76,Score))))</f>
        <v>65</v>
      </c>
      <c r="BV76" s="17"/>
      <c r="BW76" s="20">
        <f t="array" ref="BW76">SUM(IF(Period=BU$4,IF(Category=$A$47,IF(Provider=$B76,Responses))))</f>
        <v>10</v>
      </c>
      <c r="BX76" s="20"/>
      <c r="BY76" s="17">
        <f t="shared" si="35"/>
        <v>2.73109243697479</v>
      </c>
      <c r="BZ76" s="17"/>
      <c r="CA76" s="17">
        <f t="shared" si="26"/>
        <v>0.44920525224602631</v>
      </c>
    </row>
    <row r="77" spans="2:79" outlineLevel="1" x14ac:dyDescent="0.25">
      <c r="B77" t="s">
        <v>29</v>
      </c>
      <c r="C77" s="17">
        <v>0</v>
      </c>
      <c r="D77" s="17"/>
      <c r="E77" s="17">
        <v>0</v>
      </c>
      <c r="F77" s="17"/>
      <c r="G77" s="17">
        <v>0</v>
      </c>
      <c r="H77" s="17"/>
      <c r="I77" s="17">
        <f t="array" ref="I77">SUM(IF(Period=I$4,IF(Category=$A$47,IF(Provider=$B77,Score))))</f>
        <v>71.400000000000006</v>
      </c>
      <c r="J77" s="17"/>
      <c r="K77" s="20">
        <f t="array" ref="K77">SUM(IF(Period=I$4,IF(Category=$A$47,IF(Provider=$B77,Responses))))</f>
        <v>7</v>
      </c>
      <c r="L77" s="20"/>
      <c r="M77" s="17">
        <f t="shared" si="27"/>
        <v>2.4742574257425747</v>
      </c>
      <c r="N77" s="17"/>
      <c r="O77" s="17">
        <f t="shared" si="18"/>
        <v>0.41339950372208439</v>
      </c>
      <c r="P77" s="17"/>
      <c r="Q77" s="17">
        <f t="array" ref="Q77">SUM(IF(Period=Q$4,IF(Category=$A$47,IF(Provider=$B77,Score))))</f>
        <v>67.900000000000006</v>
      </c>
      <c r="R77" s="17"/>
      <c r="S77" s="20">
        <f t="array" ref="S77">SUM(IF(Period=Q$4,IF(Category=$A$47,IF(Provider=$B77,Responses))))</f>
        <v>7</v>
      </c>
      <c r="T77" s="20"/>
      <c r="U77" s="17">
        <f t="shared" si="28"/>
        <v>2.5281914893617023</v>
      </c>
      <c r="V77" s="17"/>
      <c r="W77" s="17">
        <f t="shared" si="19"/>
        <v>0.4236185383244207</v>
      </c>
      <c r="X77" s="17"/>
      <c r="Y77" s="17">
        <f t="array" ref="Y77">SUM(IF(Period=Y$4,IF(Category=$A$47,IF(Provider=$B77,Score))))</f>
        <v>83.3</v>
      </c>
      <c r="Z77" s="17"/>
      <c r="AA77" s="20">
        <f t="array" ref="AA77">SUM(IF(Period=Y$4,IF(Category=$A$47,IF(Provider=$B77,Responses))))</f>
        <v>6</v>
      </c>
      <c r="AB77" s="20"/>
      <c r="AC77" s="17">
        <f t="shared" si="29"/>
        <v>1.6549668874172185</v>
      </c>
      <c r="AD77" s="17"/>
      <c r="AE77" s="17">
        <f t="shared" si="20"/>
        <v>0.27567567567567564</v>
      </c>
      <c r="AF77" s="17"/>
      <c r="AG77" s="17">
        <f t="array" ref="AG77">SUM(IF(Period=AG$4,IF(Category=$A$47,IF(Provider=$B77,Score))))</f>
        <v>82.1</v>
      </c>
      <c r="AH77" s="17"/>
      <c r="AI77" s="20">
        <f t="array" ref="AI77">SUM(IF(Period=AG$4,IF(Category=$A$47,IF(Provider=$B77,Responses))))</f>
        <v>7</v>
      </c>
      <c r="AJ77" s="20"/>
      <c r="AK77" s="17">
        <f t="shared" si="30"/>
        <v>2.2275193798449608</v>
      </c>
      <c r="AL77" s="17"/>
      <c r="AM77" s="17">
        <f t="shared" si="21"/>
        <v>0.37221502590673572</v>
      </c>
      <c r="AN77" s="17"/>
      <c r="AO77" s="17">
        <f t="array" ref="AO77">SUM(IF(Period=AO$4,IF(Category=$A$47,IF(Provider=$B77,Score))))</f>
        <v>100</v>
      </c>
      <c r="AP77" s="17"/>
      <c r="AQ77" s="20">
        <f t="array" ref="AQ77">SUM(IF(Period=AO$4,IF(Category=$A$47,IF(Provider=$B77,Responses))))</f>
        <v>2</v>
      </c>
      <c r="AR77" s="20"/>
      <c r="AS77" s="17">
        <f t="shared" si="31"/>
        <v>1.1695906432748537</v>
      </c>
      <c r="AT77" s="17"/>
      <c r="AU77" s="17">
        <f t="shared" si="22"/>
        <v>0.19493177387914229</v>
      </c>
      <c r="AV77" s="17"/>
      <c r="AW77" s="17">
        <f t="array" ref="AW77">SUM(IF(Period=AW$4,IF(Category=$A$47,IF(Provider=$B77,Score))))</f>
        <v>75</v>
      </c>
      <c r="AX77" s="17"/>
      <c r="AY77" s="20">
        <f t="array" ref="AY77">SUM(IF(Period=AW$4,IF(Category=$A$47,IF(Provider=$B77,Responses))))</f>
        <v>4</v>
      </c>
      <c r="AZ77" s="20"/>
      <c r="BA77" s="17">
        <f t="shared" si="32"/>
        <v>1.3824884792626728</v>
      </c>
      <c r="BB77" s="17"/>
      <c r="BC77" s="17">
        <f t="shared" si="23"/>
        <v>0.2304147465437788</v>
      </c>
      <c r="BD77" s="17"/>
      <c r="BE77" s="17">
        <f t="array" ref="BE77">SUM(IF(Period=BE$4,IF(Category=$A$47,IF(Provider=$B77,Score))))</f>
        <v>75</v>
      </c>
      <c r="BF77" s="17"/>
      <c r="BG77" s="20">
        <f t="array" ref="BG77">SUM(IF(Period=BE$4,IF(Category=$A$47,IF(Provider=$B77,Responses))))</f>
        <v>1</v>
      </c>
      <c r="BH77" s="20"/>
      <c r="BI77" s="17">
        <f t="shared" si="33"/>
        <v>0.31914893617021278</v>
      </c>
      <c r="BJ77" s="17"/>
      <c r="BK77" s="17">
        <f t="shared" si="24"/>
        <v>5.3003533568904589E-2</v>
      </c>
      <c r="BL77" s="17"/>
      <c r="BM77" s="17">
        <f t="array" ref="BM77">SUM(IF(Period=BM$4,IF(Category=$A$47,IF(Provider=$B77,Score))))</f>
        <v>87.5</v>
      </c>
      <c r="BN77" s="17"/>
      <c r="BO77" s="20">
        <f t="array" ref="BO77">SUM(IF(Period=BM$4,IF(Category=$A$47,IF(Provider=$B77,Responses))))</f>
        <v>6</v>
      </c>
      <c r="BP77" s="20"/>
      <c r="BQ77" s="17">
        <f t="shared" si="34"/>
        <v>2.2727272727272729</v>
      </c>
      <c r="BR77" s="17"/>
      <c r="BS77" s="17">
        <f t="shared" si="25"/>
        <v>0.37878787878787878</v>
      </c>
      <c r="BT77" s="17"/>
      <c r="BU77" s="17">
        <f t="array" ref="BU77">SUM(IF(Period=BU$4,IF(Category=$A$47,IF(Provider=$B77,Score))))</f>
        <v>100</v>
      </c>
      <c r="BV77" s="17"/>
      <c r="BW77" s="20">
        <f t="array" ref="BW77">SUM(IF(Period=BU$4,IF(Category=$A$47,IF(Provider=$B77,Responses))))</f>
        <v>4</v>
      </c>
      <c r="BX77" s="20"/>
      <c r="BY77" s="17">
        <f t="shared" si="35"/>
        <v>1.680672268907563</v>
      </c>
      <c r="BZ77" s="17"/>
      <c r="CA77" s="17">
        <f t="shared" si="26"/>
        <v>0.27643400138217</v>
      </c>
    </row>
    <row r="78" spans="2:79" outlineLevel="1" x14ac:dyDescent="0.25">
      <c r="B78" t="s">
        <v>20</v>
      </c>
      <c r="C78" s="17">
        <v>0</v>
      </c>
      <c r="D78" s="17"/>
      <c r="E78" s="17">
        <v>0</v>
      </c>
      <c r="F78" s="17"/>
      <c r="G78" s="17">
        <v>0</v>
      </c>
      <c r="H78" s="17"/>
      <c r="I78" s="17">
        <f t="array" ref="I78">SUM(IF(Period=I$4,IF(Category=$A$47,IF(Provider=$B78,Score))))</f>
        <v>85</v>
      </c>
      <c r="J78" s="17"/>
      <c r="K78" s="20">
        <f t="array" ref="K78">SUM(IF(Period=I$4,IF(Category=$A$47,IF(Provider=$B78,Responses))))</f>
        <v>5</v>
      </c>
      <c r="L78" s="20"/>
      <c r="M78" s="17">
        <f t="shared" si="27"/>
        <v>2.1039603960396041</v>
      </c>
      <c r="N78" s="17"/>
      <c r="O78" s="17">
        <f t="shared" si="18"/>
        <v>0.35153019023986765</v>
      </c>
      <c r="P78" s="17"/>
      <c r="Q78" s="17">
        <f t="array" ref="Q78">SUM(IF(Period=Q$4,IF(Category=$A$47,IF(Provider=$B78,Score))))</f>
        <v>87.5</v>
      </c>
      <c r="R78" s="17"/>
      <c r="S78" s="20">
        <f t="array" ref="S78">SUM(IF(Period=Q$4,IF(Category=$A$47,IF(Provider=$B78,Responses))))</f>
        <v>6</v>
      </c>
      <c r="T78" s="20"/>
      <c r="U78" s="17">
        <f t="shared" si="28"/>
        <v>2.7925531914893615</v>
      </c>
      <c r="V78" s="17"/>
      <c r="W78" s="17">
        <f t="shared" si="19"/>
        <v>0.46791443850267378</v>
      </c>
      <c r="X78" s="17"/>
      <c r="Y78" s="17">
        <f t="array" ref="Y78">SUM(IF(Period=Y$4,IF(Category=$A$47,IF(Provider=$B78,Score))))</f>
        <v>82.4</v>
      </c>
      <c r="Z78" s="17"/>
      <c r="AA78" s="20">
        <f t="array" ref="AA78">SUM(IF(Period=Y$4,IF(Category=$A$47,IF(Provider=$B78,Responses))))</f>
        <v>17</v>
      </c>
      <c r="AB78" s="20"/>
      <c r="AC78" s="17">
        <f t="shared" si="29"/>
        <v>4.6384105960264908</v>
      </c>
      <c r="AD78" s="17"/>
      <c r="AE78" s="17">
        <f t="shared" si="20"/>
        <v>0.77264202978488694</v>
      </c>
      <c r="AF78" s="17"/>
      <c r="AG78" s="17">
        <f t="array" ref="AG78">SUM(IF(Period=AG$4,IF(Category=$A$47,IF(Provider=$B78,Score))))</f>
        <v>88.2</v>
      </c>
      <c r="AH78" s="17"/>
      <c r="AI78" s="20">
        <f t="array" ref="AI78">SUM(IF(Period=AG$4,IF(Category=$A$47,IF(Provider=$B78,Responses))))</f>
        <v>17</v>
      </c>
      <c r="AJ78" s="20"/>
      <c r="AK78" s="17">
        <f t="shared" si="30"/>
        <v>5.8116279069767449</v>
      </c>
      <c r="AL78" s="17"/>
      <c r="AM78" s="17">
        <f t="shared" si="21"/>
        <v>0.97111398963730566</v>
      </c>
      <c r="AN78" s="17"/>
      <c r="AO78" s="17">
        <f t="array" ref="AO78">SUM(IF(Period=AO$4,IF(Category=$A$47,IF(Provider=$B78,Score))))</f>
        <v>83.3</v>
      </c>
      <c r="AP78" s="17"/>
      <c r="AQ78" s="20">
        <f t="array" ref="AQ78">SUM(IF(Period=AO$4,IF(Category=$A$47,IF(Provider=$B78,Responses))))</f>
        <v>3</v>
      </c>
      <c r="AR78" s="20"/>
      <c r="AS78" s="17">
        <f t="shared" si="31"/>
        <v>1.4614035087719297</v>
      </c>
      <c r="AT78" s="17"/>
      <c r="AU78" s="17">
        <f t="shared" si="22"/>
        <v>0.24356725146198829</v>
      </c>
      <c r="AV78" s="17"/>
      <c r="AW78" s="17">
        <f t="array" ref="AW78">SUM(IF(Period=AW$4,IF(Category=$A$47,IF(Provider=$B78,Score))))</f>
        <v>75</v>
      </c>
      <c r="AX78" s="17"/>
      <c r="AY78" s="20">
        <f t="array" ref="AY78">SUM(IF(Period=AW$4,IF(Category=$A$47,IF(Provider=$B78,Responses))))</f>
        <v>6</v>
      </c>
      <c r="AZ78" s="20"/>
      <c r="BA78" s="17">
        <f t="shared" si="32"/>
        <v>2.0737327188940093</v>
      </c>
      <c r="BB78" s="17"/>
      <c r="BC78" s="17">
        <f t="shared" si="23"/>
        <v>0.34562211981566821</v>
      </c>
      <c r="BD78" s="17"/>
      <c r="BE78" s="17">
        <f t="array" ref="BE78">SUM(IF(Period=BE$4,IF(Category=$A$47,IF(Provider=$B78,Score))))</f>
        <v>87.5</v>
      </c>
      <c r="BF78" s="17"/>
      <c r="BG78" s="20">
        <f t="array" ref="BG78">SUM(IF(Period=BE$4,IF(Category=$A$47,IF(Provider=$B78,Responses))))</f>
        <v>6</v>
      </c>
      <c r="BH78" s="20"/>
      <c r="BI78" s="17">
        <f t="shared" si="33"/>
        <v>2.2340425531914891</v>
      </c>
      <c r="BJ78" s="17"/>
      <c r="BK78" s="17">
        <f t="shared" si="24"/>
        <v>0.37102473498233213</v>
      </c>
      <c r="BL78" s="17"/>
      <c r="BM78" s="17">
        <f t="array" ref="BM78">SUM(IF(Period=BM$4,IF(Category=$A$47,IF(Provider=$B78,Score))))</f>
        <v>91.7</v>
      </c>
      <c r="BN78" s="17"/>
      <c r="BO78" s="20">
        <f t="array" ref="BO78">SUM(IF(Period=BM$4,IF(Category=$A$47,IF(Provider=$B78,Responses))))</f>
        <v>9</v>
      </c>
      <c r="BP78" s="20"/>
      <c r="BQ78" s="17">
        <f t="shared" si="34"/>
        <v>3.5727272727272728</v>
      </c>
      <c r="BR78" s="17"/>
      <c r="BS78" s="17">
        <f t="shared" si="25"/>
        <v>0.59545454545454546</v>
      </c>
      <c r="BT78" s="17"/>
      <c r="BU78" s="17">
        <f t="array" ref="BU78">SUM(IF(Period=BU$4,IF(Category=$A$47,IF(Provider=$B78,Score))))</f>
        <v>82.1</v>
      </c>
      <c r="BV78" s="17"/>
      <c r="BW78" s="20">
        <f t="array" ref="BW78">SUM(IF(Period=BU$4,IF(Category=$A$47,IF(Provider=$B78,Responses))))</f>
        <v>7</v>
      </c>
      <c r="BX78" s="20"/>
      <c r="BY78" s="17">
        <f t="shared" si="35"/>
        <v>2.414705882352941</v>
      </c>
      <c r="BZ78" s="17"/>
      <c r="CA78" s="17">
        <f t="shared" si="26"/>
        <v>0.39716655148583274</v>
      </c>
    </row>
    <row r="79" spans="2:79" outlineLevel="1" x14ac:dyDescent="0.25">
      <c r="B79" t="s">
        <v>37</v>
      </c>
      <c r="C79" s="17">
        <v>0</v>
      </c>
      <c r="D79" s="17"/>
      <c r="E79" s="17">
        <v>0</v>
      </c>
      <c r="F79" s="17"/>
      <c r="G79" s="17">
        <v>0</v>
      </c>
      <c r="H79" s="17"/>
      <c r="I79" s="17">
        <f t="array" ref="I79">SUM(IF(Period=I$4,IF(Category=$A$47,IF(Provider=$B79,Score))))</f>
        <v>71.2</v>
      </c>
      <c r="J79" s="17"/>
      <c r="K79" s="20">
        <f t="array" ref="K79">SUM(IF(Period=I$4,IF(Category=$A$47,IF(Provider=$B79,Responses))))</f>
        <v>13</v>
      </c>
      <c r="L79" s="20"/>
      <c r="M79" s="17">
        <f t="shared" si="27"/>
        <v>4.5821782178217827</v>
      </c>
      <c r="N79" s="17"/>
      <c r="O79" s="17">
        <f t="shared" si="18"/>
        <v>0.76559139784946251</v>
      </c>
      <c r="P79" s="17"/>
      <c r="Q79" s="17">
        <f t="array" ref="Q79">SUM(IF(Period=Q$4,IF(Category=$A$47,IF(Provider=$B79,Score))))</f>
        <v>85</v>
      </c>
      <c r="R79" s="17"/>
      <c r="S79" s="20">
        <f t="array" ref="S79">SUM(IF(Period=Q$4,IF(Category=$A$47,IF(Provider=$B79,Responses))))</f>
        <v>10</v>
      </c>
      <c r="T79" s="20"/>
      <c r="U79" s="17">
        <f t="shared" si="28"/>
        <v>4.5212765957446805</v>
      </c>
      <c r="V79" s="17"/>
      <c r="W79" s="17">
        <f t="shared" si="19"/>
        <v>0.75757575757575757</v>
      </c>
      <c r="X79" s="17"/>
      <c r="Y79" s="17">
        <f t="array" ref="Y79">SUM(IF(Period=Y$4,IF(Category=$A$47,IF(Provider=$B79,Score))))</f>
        <v>75</v>
      </c>
      <c r="Z79" s="17"/>
      <c r="AA79" s="20">
        <f t="array" ref="AA79">SUM(IF(Period=Y$4,IF(Category=$A$47,IF(Provider=$B79,Responses))))</f>
        <v>19</v>
      </c>
      <c r="AB79" s="20"/>
      <c r="AC79" s="17">
        <f t="shared" si="29"/>
        <v>4.7185430463576159</v>
      </c>
      <c r="AD79" s="17"/>
      <c r="AE79" s="17">
        <f t="shared" si="20"/>
        <v>0.78599007170435742</v>
      </c>
      <c r="AF79" s="17"/>
      <c r="AG79" s="17">
        <f t="array" ref="AG79">SUM(IF(Period=AG$4,IF(Category=$A$47,IF(Provider=$B79,Score))))</f>
        <v>76.599999999999994</v>
      </c>
      <c r="AH79" s="17"/>
      <c r="AI79" s="20">
        <f t="array" ref="AI79">SUM(IF(Period=AG$4,IF(Category=$A$47,IF(Provider=$B79,Responses))))</f>
        <v>16</v>
      </c>
      <c r="AJ79" s="20"/>
      <c r="AK79" s="17">
        <f t="shared" si="30"/>
        <v>4.7503875968992242</v>
      </c>
      <c r="AL79" s="17"/>
      <c r="AM79" s="17">
        <f t="shared" si="21"/>
        <v>0.7937823834196891</v>
      </c>
      <c r="AN79" s="17"/>
      <c r="AO79" s="17">
        <f t="array" ref="AO79">SUM(IF(Period=AO$4,IF(Category=$A$47,IF(Provider=$B79,Score))))</f>
        <v>0</v>
      </c>
      <c r="AP79" s="17"/>
      <c r="AQ79" s="20">
        <f t="array" ref="AQ79">SUM(IF(Period=AO$4,IF(Category=$A$47,IF(Provider=$B79,Responses))))</f>
        <v>0</v>
      </c>
      <c r="AR79" s="20"/>
      <c r="AS79" s="17">
        <f t="shared" si="31"/>
        <v>0</v>
      </c>
      <c r="AT79" s="17"/>
      <c r="AU79" s="17">
        <f t="shared" si="22"/>
        <v>0</v>
      </c>
      <c r="AV79" s="17"/>
      <c r="AW79" s="17">
        <f t="array" ref="AW79">SUM(IF(Period=AW$4,IF(Category=$A$47,IF(Provider=$B79,Score))))</f>
        <v>91.7</v>
      </c>
      <c r="AX79" s="17"/>
      <c r="AY79" s="20">
        <f t="array" ref="AY79">SUM(IF(Period=AW$4,IF(Category=$A$47,IF(Provider=$B79,Responses))))</f>
        <v>6</v>
      </c>
      <c r="AZ79" s="20"/>
      <c r="BA79" s="17">
        <f t="shared" si="32"/>
        <v>2.5354838709677421</v>
      </c>
      <c r="BB79" s="17"/>
      <c r="BC79" s="17">
        <f t="shared" si="23"/>
        <v>0.42258064516129035</v>
      </c>
      <c r="BD79" s="17"/>
      <c r="BE79" s="17">
        <f t="array" ref="BE79">SUM(IF(Period=BE$4,IF(Category=$A$47,IF(Provider=$B79,Score))))</f>
        <v>86.7</v>
      </c>
      <c r="BF79" s="17"/>
      <c r="BG79" s="20">
        <f t="array" ref="BG79">SUM(IF(Period=BE$4,IF(Category=$A$47,IF(Provider=$B79,Responses))))</f>
        <v>15</v>
      </c>
      <c r="BH79" s="20"/>
      <c r="BI79" s="17">
        <f t="shared" si="33"/>
        <v>5.5340425531914894</v>
      </c>
      <c r="BJ79" s="17"/>
      <c r="BK79" s="17">
        <f t="shared" si="24"/>
        <v>0.91908127208480572</v>
      </c>
      <c r="BL79" s="17"/>
      <c r="BM79" s="17">
        <f t="array" ref="BM79">SUM(IF(Period=BM$4,IF(Category=$A$47,IF(Provider=$B79,Score))))</f>
        <v>100</v>
      </c>
      <c r="BN79" s="17"/>
      <c r="BO79" s="20">
        <f t="array" ref="BO79">SUM(IF(Period=BM$4,IF(Category=$A$47,IF(Provider=$B79,Responses))))</f>
        <v>1</v>
      </c>
      <c r="BP79" s="20"/>
      <c r="BQ79" s="17">
        <f t="shared" si="34"/>
        <v>0.4329004329004329</v>
      </c>
      <c r="BR79" s="17"/>
      <c r="BS79" s="17">
        <f t="shared" si="25"/>
        <v>7.2150072150072145E-2</v>
      </c>
      <c r="BT79" s="17"/>
      <c r="BU79" s="17">
        <f t="array" ref="BU79">SUM(IF(Period=BU$4,IF(Category=$A$47,IF(Provider=$B79,Score))))</f>
        <v>75</v>
      </c>
      <c r="BV79" s="17"/>
      <c r="BW79" s="20">
        <f t="array" ref="BW79">SUM(IF(Period=BU$4,IF(Category=$A$47,IF(Provider=$B79,Responses))))</f>
        <v>6</v>
      </c>
      <c r="BX79" s="20"/>
      <c r="BY79" s="17">
        <f t="shared" si="35"/>
        <v>1.8907563025210083</v>
      </c>
      <c r="BZ79" s="17"/>
      <c r="CA79" s="17">
        <f t="shared" si="26"/>
        <v>0.31098825155494125</v>
      </c>
    </row>
    <row r="80" spans="2:79" outlineLevel="1" x14ac:dyDescent="0.25">
      <c r="B80" t="s">
        <v>226</v>
      </c>
      <c r="C80" s="17">
        <v>0</v>
      </c>
      <c r="D80" s="17"/>
      <c r="E80" s="17">
        <v>0</v>
      </c>
      <c r="F80" s="17"/>
      <c r="G80" s="17">
        <v>0</v>
      </c>
      <c r="H80" s="17"/>
      <c r="I80" s="17">
        <f t="array" ref="I80">SUM(IF(Period=I$4,IF(Category=$A$47,IF(Provider=$B80,Score))))</f>
        <v>0</v>
      </c>
      <c r="J80" s="17"/>
      <c r="K80" s="20">
        <f t="array" ref="K80">SUM(IF(Period=I$4,IF(Category=$A$47,IF(Provider=$B80,Responses))))</f>
        <v>0</v>
      </c>
      <c r="L80" s="20"/>
      <c r="M80" s="17">
        <f t="shared" si="27"/>
        <v>0</v>
      </c>
      <c r="N80" s="17"/>
      <c r="O80" s="17">
        <f t="shared" si="18"/>
        <v>0</v>
      </c>
      <c r="P80" s="17"/>
      <c r="Q80" s="17">
        <f t="array" ref="Q80">SUM(IF(Period=Q$4,IF(Category=$A$47,IF(Provider=$B80,Score))))</f>
        <v>0</v>
      </c>
      <c r="R80" s="17"/>
      <c r="S80" s="20">
        <f t="array" ref="S80">SUM(IF(Period=Q$4,IF(Category=$A$47,IF(Provider=$B80,Responses))))</f>
        <v>0</v>
      </c>
      <c r="T80" s="20"/>
      <c r="U80" s="17">
        <f t="shared" si="28"/>
        <v>0</v>
      </c>
      <c r="V80" s="17"/>
      <c r="W80" s="17">
        <f t="shared" si="19"/>
        <v>0</v>
      </c>
      <c r="X80" s="17"/>
      <c r="Y80" s="17">
        <f t="array" ref="Y80">SUM(IF(Period=Y$4,IF(Category=$A$47,IF(Provider=$B80,Score))))</f>
        <v>0</v>
      </c>
      <c r="Z80" s="17"/>
      <c r="AA80" s="20">
        <f t="array" ref="AA80">SUM(IF(Period=Y$4,IF(Category=$A$47,IF(Provider=$B80,Responses))))</f>
        <v>0</v>
      </c>
      <c r="AB80" s="20"/>
      <c r="AC80" s="17">
        <f t="shared" si="29"/>
        <v>0</v>
      </c>
      <c r="AD80" s="17"/>
      <c r="AE80" s="17">
        <f t="shared" si="20"/>
        <v>0</v>
      </c>
      <c r="AF80" s="17"/>
      <c r="AG80" s="17">
        <f t="array" ref="AG80">SUM(IF(Period=AG$4,IF(Category=$A$47,IF(Provider=$B80,Score))))</f>
        <v>65</v>
      </c>
      <c r="AH80" s="17"/>
      <c r="AI80" s="20">
        <f t="array" ref="AI80">SUM(IF(Period=AG$4,IF(Category=$A$47,IF(Provider=$B80,Responses))))</f>
        <v>10</v>
      </c>
      <c r="AJ80" s="20"/>
      <c r="AK80" s="17">
        <f t="shared" si="30"/>
        <v>2.5193798449612403</v>
      </c>
      <c r="AL80" s="17"/>
      <c r="AM80" s="17">
        <f t="shared" si="21"/>
        <v>0.42098445595854922</v>
      </c>
      <c r="AN80" s="17"/>
      <c r="AO80" s="17">
        <f t="array" ref="AO80">SUM(IF(Period=AO$4,IF(Category=$A$47,IF(Provider=$B80,Score))))</f>
        <v>88.6</v>
      </c>
      <c r="AP80" s="17"/>
      <c r="AQ80" s="20">
        <f t="array" ref="AQ80">SUM(IF(Period=AO$4,IF(Category=$A$47,IF(Provider=$B80,Responses))))</f>
        <v>11</v>
      </c>
      <c r="AR80" s="20"/>
      <c r="AS80" s="17">
        <f t="shared" si="31"/>
        <v>5.6994152046783615</v>
      </c>
      <c r="AT80" s="17"/>
      <c r="AU80" s="17">
        <f t="shared" si="22"/>
        <v>0.94990253411306036</v>
      </c>
      <c r="AV80" s="17"/>
      <c r="AW80" s="17">
        <f t="array" ref="AW80">SUM(IF(Period=AW$4,IF(Category=$A$47,IF(Provider=$B80,Score))))</f>
        <v>76.900000000000006</v>
      </c>
      <c r="AX80" s="17"/>
      <c r="AY80" s="20">
        <f t="array" ref="AY80">SUM(IF(Period=AW$4,IF(Category=$A$47,IF(Provider=$B80,Responses))))</f>
        <v>13</v>
      </c>
      <c r="AZ80" s="20"/>
      <c r="BA80" s="17">
        <f t="shared" si="32"/>
        <v>4.6069124423963137</v>
      </c>
      <c r="BB80" s="17"/>
      <c r="BC80" s="17">
        <f t="shared" si="23"/>
        <v>0.76781874039938558</v>
      </c>
      <c r="BD80" s="17"/>
      <c r="BE80" s="17">
        <f t="array" ref="BE80">SUM(IF(Period=BE$4,IF(Category=$A$47,IF(Provider=$B80,Score))))</f>
        <v>75</v>
      </c>
      <c r="BF80" s="17"/>
      <c r="BG80" s="20">
        <f t="array" ref="BG80">SUM(IF(Period=BE$4,IF(Category=$A$47,IF(Provider=$B80,Responses))))</f>
        <v>12</v>
      </c>
      <c r="BH80" s="20"/>
      <c r="BI80" s="17">
        <f t="shared" si="33"/>
        <v>3.8297872340425529</v>
      </c>
      <c r="BJ80" s="17"/>
      <c r="BK80" s="17">
        <f t="shared" si="24"/>
        <v>0.63604240282685509</v>
      </c>
      <c r="BL80" s="17"/>
      <c r="BM80" s="17">
        <f t="array" ref="BM80">SUM(IF(Period=BM$4,IF(Category=$A$47,IF(Provider=$B80,Score))))</f>
        <v>83.3</v>
      </c>
      <c r="BN80" s="17"/>
      <c r="BO80" s="20">
        <f t="array" ref="BO80">SUM(IF(Period=BM$4,IF(Category=$A$47,IF(Provider=$B80,Responses))))</f>
        <v>6</v>
      </c>
      <c r="BP80" s="20"/>
      <c r="BQ80" s="17">
        <f t="shared" si="34"/>
        <v>2.1636363636363636</v>
      </c>
      <c r="BR80" s="17"/>
      <c r="BS80" s="17">
        <f t="shared" si="25"/>
        <v>0.3606060606060606</v>
      </c>
      <c r="BT80" s="17"/>
      <c r="BU80" s="17">
        <f t="array" ref="BU80">SUM(IF(Period=BU$4,IF(Category=$A$47,IF(Provider=$B80,Score))))</f>
        <v>96.9</v>
      </c>
      <c r="BV80" s="17"/>
      <c r="BW80" s="20">
        <f t="array" ref="BW80">SUM(IF(Period=BU$4,IF(Category=$A$47,IF(Provider=$B80,Responses))))</f>
        <v>8</v>
      </c>
      <c r="BX80" s="20"/>
      <c r="BY80" s="17">
        <f t="shared" si="35"/>
        <v>3.2571428571428571</v>
      </c>
      <c r="BZ80" s="17"/>
      <c r="CA80" s="17">
        <f t="shared" si="26"/>
        <v>0.53572909467864549</v>
      </c>
    </row>
    <row r="81" spans="1:79" outlineLevel="1" x14ac:dyDescent="0.25">
      <c r="B81" t="s">
        <v>227</v>
      </c>
      <c r="C81" s="22">
        <v>0</v>
      </c>
      <c r="D81" s="17"/>
      <c r="E81" s="22">
        <v>0</v>
      </c>
      <c r="F81" s="17"/>
      <c r="G81" s="22">
        <v>0</v>
      </c>
      <c r="H81" s="17"/>
      <c r="I81" s="22">
        <f t="array" ref="I81">SUM(IF(Period=I$4,IF(Category=$A$47,IF(Provider=$B81,Score))))</f>
        <v>0</v>
      </c>
      <c r="J81" s="17"/>
      <c r="K81" s="23">
        <f t="array" ref="K81">SUM(IF(Period=I$4,IF(Category=$A$47,IF(Provider=$B81,Responses))))</f>
        <v>0</v>
      </c>
      <c r="L81" s="20"/>
      <c r="M81" s="22">
        <f t="shared" si="27"/>
        <v>0</v>
      </c>
      <c r="N81" s="17"/>
      <c r="O81" s="22">
        <f t="shared" si="18"/>
        <v>0</v>
      </c>
      <c r="P81" s="17"/>
      <c r="Q81" s="22">
        <f t="array" ref="Q81">SUM(IF(Period=Q$4,IF(Category=$A$47,IF(Provider=$B81,Score))))</f>
        <v>0</v>
      </c>
      <c r="R81" s="17"/>
      <c r="S81" s="23">
        <f t="array" ref="S81">SUM(IF(Period=Q$4,IF(Category=$A$47,IF(Provider=$B81,Responses))))</f>
        <v>0</v>
      </c>
      <c r="T81" s="20"/>
      <c r="U81" s="22">
        <f t="shared" si="28"/>
        <v>0</v>
      </c>
      <c r="V81" s="17"/>
      <c r="W81" s="22">
        <f t="shared" si="19"/>
        <v>0</v>
      </c>
      <c r="X81" s="17"/>
      <c r="Y81" s="22">
        <f t="array" ref="Y81">SUM(IF(Period=Y$4,IF(Category=$A$47,IF(Provider=$B81,Score))))</f>
        <v>0</v>
      </c>
      <c r="Z81" s="17"/>
      <c r="AA81" s="23">
        <f t="array" ref="AA81">SUM(IF(Period=Y$4,IF(Category=$A$47,IF(Provider=$B81,Responses))))</f>
        <v>0</v>
      </c>
      <c r="AB81" s="20"/>
      <c r="AC81" s="22">
        <f t="shared" si="29"/>
        <v>0</v>
      </c>
      <c r="AD81" s="17"/>
      <c r="AE81" s="22">
        <f t="shared" si="20"/>
        <v>0</v>
      </c>
      <c r="AF81" s="17"/>
      <c r="AG81" s="22">
        <f t="array" ref="AG81">SUM(IF(Period=AG$4,IF(Category=$A$47,IF(Provider=$B81,Score))))</f>
        <v>75</v>
      </c>
      <c r="AH81" s="17"/>
      <c r="AI81" s="23">
        <f t="array" ref="AI81">SUM(IF(Period=AG$4,IF(Category=$A$47,IF(Provider=$B81,Responses))))</f>
        <v>1</v>
      </c>
      <c r="AJ81" s="20"/>
      <c r="AK81" s="22">
        <f t="shared" si="30"/>
        <v>0.29069767441860467</v>
      </c>
      <c r="AL81" s="17"/>
      <c r="AM81" s="22">
        <f t="shared" si="21"/>
        <v>4.8575129533678756E-2</v>
      </c>
      <c r="AN81" s="17"/>
      <c r="AO81" s="22">
        <f t="array" ref="AO81">SUM(IF(Period=AO$4,IF(Category=$A$47,IF(Provider=$B81,Score))))</f>
        <v>0</v>
      </c>
      <c r="AP81" s="17"/>
      <c r="AQ81" s="23">
        <f t="array" ref="AQ81">SUM(IF(Period=AO$4,IF(Category=$A$47,IF(Provider=$B81,Responses))))</f>
        <v>0</v>
      </c>
      <c r="AR81" s="20"/>
      <c r="AS81" s="22">
        <f t="shared" si="31"/>
        <v>0</v>
      </c>
      <c r="AT81" s="17"/>
      <c r="AU81" s="22">
        <f t="shared" si="22"/>
        <v>0</v>
      </c>
      <c r="AV81" s="17"/>
      <c r="AW81" s="22">
        <f t="array" ref="AW81">SUM(IF(Period=AW$4,IF(Category=$A$47,IF(Provider=$B81,Score))))</f>
        <v>0</v>
      </c>
      <c r="AX81" s="17"/>
      <c r="AY81" s="23">
        <f t="array" ref="AY81">SUM(IF(Period=AW$4,IF(Category=$A$47,IF(Provider=$B81,Responses))))</f>
        <v>0</v>
      </c>
      <c r="AZ81" s="20"/>
      <c r="BA81" s="22">
        <f t="shared" si="32"/>
        <v>0</v>
      </c>
      <c r="BB81" s="17"/>
      <c r="BC81" s="22">
        <f t="shared" si="23"/>
        <v>0</v>
      </c>
      <c r="BD81" s="17"/>
      <c r="BE81" s="22">
        <f t="array" ref="BE81">SUM(IF(Period=BE$4,IF(Category=$A$47,IF(Provider=$B81,Score))))</f>
        <v>0</v>
      </c>
      <c r="BF81" s="17"/>
      <c r="BG81" s="23">
        <f t="array" ref="BG81">SUM(IF(Period=BE$4,IF(Category=$A$47,IF(Provider=$B81,Responses))))</f>
        <v>0</v>
      </c>
      <c r="BH81" s="20"/>
      <c r="BI81" s="22">
        <f t="shared" si="33"/>
        <v>0</v>
      </c>
      <c r="BJ81" s="17"/>
      <c r="BK81" s="22">
        <f t="shared" si="24"/>
        <v>0</v>
      </c>
      <c r="BL81" s="17"/>
      <c r="BM81" s="22">
        <f t="array" ref="BM81">SUM(IF(Period=BM$4,IF(Category=$A$47,IF(Provider=$B81,Score))))</f>
        <v>0</v>
      </c>
      <c r="BN81" s="17"/>
      <c r="BO81" s="23">
        <f t="array" ref="BO81">SUM(IF(Period=BM$4,IF(Category=$A$47,IF(Provider=$B81,Responses))))</f>
        <v>0</v>
      </c>
      <c r="BP81" s="20"/>
      <c r="BQ81" s="22">
        <f t="shared" si="34"/>
        <v>0</v>
      </c>
      <c r="BR81" s="17"/>
      <c r="BS81" s="22">
        <f t="shared" si="25"/>
        <v>0</v>
      </c>
      <c r="BT81" s="17"/>
      <c r="BU81" s="22">
        <f t="array" ref="BU81">SUM(IF(Period=BU$4,IF(Category=$A$47,IF(Provider=$B81,Score))))</f>
        <v>0</v>
      </c>
      <c r="BV81" s="17"/>
      <c r="BW81" s="23">
        <f t="array" ref="BW81">SUM(IF(Period=BU$4,IF(Category=$A$47,IF(Provider=$B81,Responses))))</f>
        <v>0</v>
      </c>
      <c r="BX81" s="20"/>
      <c r="BY81" s="22">
        <f t="shared" si="35"/>
        <v>0</v>
      </c>
      <c r="BZ81" s="17"/>
      <c r="CA81" s="22">
        <f t="shared" si="26"/>
        <v>0</v>
      </c>
    </row>
    <row r="82" spans="1:79" x14ac:dyDescent="0.25">
      <c r="B82" s="11" t="s">
        <v>427</v>
      </c>
      <c r="C82" s="24">
        <v>0</v>
      </c>
      <c r="D82" s="24"/>
      <c r="E82" s="24">
        <v>0</v>
      </c>
      <c r="F82" s="24"/>
      <c r="G82" s="24">
        <v>0</v>
      </c>
      <c r="H82" s="24"/>
      <c r="I82" s="24">
        <f>SUM(M48:M81)</f>
        <v>74.631188118811878</v>
      </c>
      <c r="J82" s="24"/>
      <c r="K82" s="29">
        <f>AVERAGEIF(K48:K81,"&lt;&gt;0")</f>
        <v>6.3125</v>
      </c>
      <c r="L82" s="25"/>
      <c r="M82" s="24"/>
      <c r="N82" s="24"/>
      <c r="O82" s="24"/>
      <c r="P82" s="24"/>
      <c r="Q82" s="24">
        <f>SUM(U48:U81)</f>
        <v>78.197872340425519</v>
      </c>
      <c r="R82" s="24"/>
      <c r="S82" s="29">
        <f>AVERAGEIF(S48:S81,"&lt;&gt;0")</f>
        <v>6.2666666666666666</v>
      </c>
      <c r="T82" s="25"/>
      <c r="U82" s="24"/>
      <c r="V82" s="24"/>
      <c r="W82" s="24"/>
      <c r="X82" s="24"/>
      <c r="Y82" s="24">
        <f>SUM(AC48:AC81)</f>
        <v>79.886423841059596</v>
      </c>
      <c r="Z82" s="24"/>
      <c r="AA82" s="29">
        <f>AVERAGEIF(AA48:AA81,"&lt;&gt;0")</f>
        <v>9.741935483870968</v>
      </c>
      <c r="AB82" s="25"/>
      <c r="AC82" s="24"/>
      <c r="AD82" s="24"/>
      <c r="AE82" s="24"/>
      <c r="AF82" s="24"/>
      <c r="AG82" s="24">
        <f>SUM(AK48:AK81)</f>
        <v>83.618604651162798</v>
      </c>
      <c r="AH82" s="24"/>
      <c r="AI82" s="29">
        <f>AVERAGEIF(AI48:AI81,"&lt;&gt;0")</f>
        <v>7.8181818181818183</v>
      </c>
      <c r="AJ82" s="25"/>
      <c r="AK82" s="24"/>
      <c r="AL82" s="24"/>
      <c r="AM82" s="24"/>
      <c r="AN82" s="24"/>
      <c r="AO82" s="24">
        <f>SUM(AS48:AS81)</f>
        <v>79.535087719298232</v>
      </c>
      <c r="AP82" s="24"/>
      <c r="AQ82" s="29">
        <f>AVERAGEIF(AQ48:AQ81,"&lt;&gt;0")</f>
        <v>5.7</v>
      </c>
      <c r="AR82" s="25"/>
      <c r="AS82" s="24"/>
      <c r="AT82" s="24"/>
      <c r="AU82" s="24"/>
      <c r="AV82" s="24"/>
      <c r="AW82" s="24">
        <f>SUM(BA48:BA81)</f>
        <v>81.114285714285714</v>
      </c>
      <c r="AX82" s="24"/>
      <c r="AY82" s="29">
        <f>AVERAGEIF(AY48:AY81,"&lt;&gt;0")</f>
        <v>6.78125</v>
      </c>
      <c r="AZ82" s="25"/>
      <c r="BA82" s="24"/>
      <c r="BB82" s="24"/>
      <c r="BC82" s="24"/>
      <c r="BD82" s="24"/>
      <c r="BE82" s="24">
        <f>SUM(BI48:BI81)</f>
        <v>82.773191489361693</v>
      </c>
      <c r="BF82" s="24"/>
      <c r="BG82" s="29">
        <f>AVERAGEIF(BG48:BG81,"&lt;&gt;0")</f>
        <v>7.580645161290323</v>
      </c>
      <c r="BH82" s="25"/>
      <c r="BI82" s="24"/>
      <c r="BJ82" s="24"/>
      <c r="BK82" s="24"/>
      <c r="BL82" s="24"/>
      <c r="BM82" s="24">
        <f>SUM(BQ48:BQ81)</f>
        <v>85.184415584415575</v>
      </c>
      <c r="BN82" s="24"/>
      <c r="BO82" s="29">
        <f>AVERAGEIF(BO48:BO81,"&lt;&gt;0")</f>
        <v>7.21875</v>
      </c>
      <c r="BP82" s="25"/>
      <c r="BQ82" s="24"/>
      <c r="BR82" s="24"/>
      <c r="BS82" s="24"/>
      <c r="BT82" s="24"/>
      <c r="BU82" s="24">
        <f>SUM(BY48:BY81)</f>
        <v>82.675630252100845</v>
      </c>
      <c r="BV82" s="24"/>
      <c r="BW82" s="29">
        <f>AVERAGEIF(BW48:BW81,"&lt;&gt;0")</f>
        <v>7.4375</v>
      </c>
      <c r="BX82" s="25"/>
      <c r="BY82" s="24"/>
      <c r="BZ82" s="24"/>
      <c r="CA82" s="24"/>
    </row>
    <row r="83" spans="1:79" s="36" customFormat="1" x14ac:dyDescent="0.25">
      <c r="B83" s="32" t="s">
        <v>430</v>
      </c>
      <c r="C83" s="33"/>
      <c r="D83" s="33"/>
      <c r="E83" s="33"/>
      <c r="F83" s="33"/>
      <c r="G83" s="33"/>
      <c r="H83" s="33"/>
      <c r="I83" s="33">
        <f t="array" ref="I83">MEDIAN(IF(I48:I81&lt;&gt;0,I48:I81))</f>
        <v>76.400000000000006</v>
      </c>
      <c r="J83" s="33"/>
      <c r="K83" s="34">
        <f t="array" ref="K83">MEDIAN(IF(K48:K81&lt;&gt;0,K48:K81))</f>
        <v>6.5</v>
      </c>
      <c r="L83" s="35"/>
      <c r="M83" s="33"/>
      <c r="N83" s="33"/>
      <c r="O83" s="33"/>
      <c r="P83" s="33"/>
      <c r="Q83" s="33">
        <f t="array" ref="Q83">MEDIAN(IF(Q48:Q81&lt;&gt;0,Q48:Q81))</f>
        <v>82.3</v>
      </c>
      <c r="R83" s="33"/>
      <c r="S83" s="34">
        <f t="array" ref="S83">MEDIAN(IF(S48:S81&lt;&gt;0,S48:S81))</f>
        <v>6</v>
      </c>
      <c r="T83" s="35"/>
      <c r="U83" s="33"/>
      <c r="V83" s="33"/>
      <c r="W83" s="33"/>
      <c r="X83" s="33"/>
      <c r="Y83" s="33">
        <f t="array" ref="Y83">MEDIAN(IF(Y48:Y81&lt;&gt;0,Y48:Y81))</f>
        <v>82.4</v>
      </c>
      <c r="Z83" s="33"/>
      <c r="AA83" s="34">
        <f t="array" ref="AA83">MEDIAN(IF(AA48:AA81&lt;&gt;0,AA48:AA81))</f>
        <v>9</v>
      </c>
      <c r="AB83" s="35"/>
      <c r="AC83" s="33"/>
      <c r="AD83" s="33"/>
      <c r="AE83" s="33"/>
      <c r="AF83" s="33"/>
      <c r="AG83" s="33">
        <f t="array" ref="AG83">MEDIAN(IF(AG48:AG81&lt;&gt;0,AG48:AG81))</f>
        <v>87.5</v>
      </c>
      <c r="AH83" s="33"/>
      <c r="AI83" s="34">
        <f t="array" ref="AI83">MEDIAN(IF(AI48:AI81&lt;&gt;0,AI48:AI81))</f>
        <v>8</v>
      </c>
      <c r="AJ83" s="35"/>
      <c r="AK83" s="33"/>
      <c r="AL83" s="33"/>
      <c r="AM83" s="33"/>
      <c r="AN83" s="33"/>
      <c r="AO83" s="33">
        <f t="array" ref="AO83">MEDIAN(IF(AO48:AO81&lt;&gt;0,AO48:AO81))</f>
        <v>83.3</v>
      </c>
      <c r="AP83" s="33"/>
      <c r="AQ83" s="34">
        <f t="array" ref="AQ83">MEDIAN(IF(AQ48:AQ81&lt;&gt;0,AQ48:AQ81))</f>
        <v>5.5</v>
      </c>
      <c r="AR83" s="35"/>
      <c r="AS83" s="33"/>
      <c r="AT83" s="33"/>
      <c r="AU83" s="33"/>
      <c r="AV83" s="33"/>
      <c r="AW83" s="33">
        <f t="array" ref="AW83">MEDIAN(IF(AW48:AW81&lt;&gt;0,AW48:AW81))</f>
        <v>82.699999999999989</v>
      </c>
      <c r="AX83" s="33"/>
      <c r="AY83" s="34">
        <f t="array" ref="AY83">MEDIAN(IF(AY48:AY81&lt;&gt;0,AY48:AY81))</f>
        <v>6</v>
      </c>
      <c r="AZ83" s="35"/>
      <c r="BA83" s="33"/>
      <c r="BB83" s="33"/>
      <c r="BC83" s="33"/>
      <c r="BD83" s="33"/>
      <c r="BE83" s="33">
        <f t="array" ref="BE83">MEDIAN(IF(BE48:BE81&lt;&gt;0,BE48:BE81))</f>
        <v>84.4</v>
      </c>
      <c r="BF83" s="33"/>
      <c r="BG83" s="34">
        <f t="array" ref="BG83">MEDIAN(IF(BG48:BG81&lt;&gt;0,BG48:BG81))</f>
        <v>8</v>
      </c>
      <c r="BH83" s="35"/>
      <c r="BI83" s="33"/>
      <c r="BJ83" s="33"/>
      <c r="BK83" s="33"/>
      <c r="BL83" s="33"/>
      <c r="BM83" s="33">
        <f t="array" ref="BM83">MEDIAN(IF(BM48:BM81&lt;&gt;0,BM48:BM81))</f>
        <v>87.1</v>
      </c>
      <c r="BN83" s="33"/>
      <c r="BO83" s="34">
        <f t="array" ref="BO83">MEDIAN(IF(BO48:BO81&lt;&gt;0,BO48:BO81))</f>
        <v>7</v>
      </c>
      <c r="BP83" s="35"/>
      <c r="BQ83" s="33"/>
      <c r="BR83" s="33"/>
      <c r="BS83" s="33"/>
      <c r="BT83" s="33"/>
      <c r="BU83" s="33">
        <f t="array" ref="BU83">MEDIAN(IF(BU48:BU81&lt;&gt;0,BU48:BU81))</f>
        <v>84.25</v>
      </c>
      <c r="BV83" s="33"/>
      <c r="BW83" s="34">
        <f t="array" ref="BW83">MEDIAN(IF(BW48:BW81&lt;&gt;0,BW48:BW81))</f>
        <v>7</v>
      </c>
      <c r="BX83" s="25"/>
      <c r="BY83" s="24"/>
      <c r="BZ83" s="24"/>
      <c r="CA83" s="24"/>
    </row>
    <row r="84" spans="1:79" s="45" customFormat="1" x14ac:dyDescent="0.25">
      <c r="B84" s="46" t="s">
        <v>433</v>
      </c>
      <c r="C84" s="47"/>
      <c r="D84" s="47"/>
      <c r="E84" s="47"/>
      <c r="F84" s="47"/>
      <c r="G84" s="47"/>
      <c r="H84" s="47"/>
      <c r="I84" s="47"/>
      <c r="J84" s="47"/>
      <c r="K84" s="48">
        <f>SUM(K48:K81)</f>
        <v>202</v>
      </c>
      <c r="L84" s="48"/>
      <c r="M84" s="47"/>
      <c r="N84" s="47"/>
      <c r="O84" s="47"/>
      <c r="P84" s="47"/>
      <c r="Q84" s="47"/>
      <c r="R84" s="47"/>
      <c r="S84" s="48">
        <f>SUM(S48:S81)</f>
        <v>188</v>
      </c>
      <c r="T84" s="48"/>
      <c r="U84" s="47"/>
      <c r="V84" s="47"/>
      <c r="W84" s="47"/>
      <c r="X84" s="47"/>
      <c r="Y84" s="47"/>
      <c r="Z84" s="47"/>
      <c r="AA84" s="48">
        <f>SUM(AA48:AA81)</f>
        <v>302</v>
      </c>
      <c r="AB84" s="48"/>
      <c r="AC84" s="47"/>
      <c r="AD84" s="47"/>
      <c r="AE84" s="47"/>
      <c r="AF84" s="47"/>
      <c r="AG84" s="47"/>
      <c r="AH84" s="47"/>
      <c r="AI84" s="48">
        <f>SUM(AI48:AI81)</f>
        <v>258</v>
      </c>
      <c r="AJ84" s="48"/>
      <c r="AK84" s="47"/>
      <c r="AL84" s="47"/>
      <c r="AM84" s="47"/>
      <c r="AN84" s="47"/>
      <c r="AO84" s="47"/>
      <c r="AP84" s="47"/>
      <c r="AQ84" s="48">
        <f>SUM(AQ48:AQ81)</f>
        <v>171</v>
      </c>
      <c r="AR84" s="48"/>
      <c r="AS84" s="47"/>
      <c r="AT84" s="47"/>
      <c r="AU84" s="47"/>
      <c r="AV84" s="47"/>
      <c r="AW84" s="47"/>
      <c r="AX84" s="47"/>
      <c r="AY84" s="48">
        <f>SUM(AY48:AY81)</f>
        <v>217</v>
      </c>
      <c r="AZ84" s="48"/>
      <c r="BA84" s="47"/>
      <c r="BB84" s="47"/>
      <c r="BC84" s="47"/>
      <c r="BD84" s="47"/>
      <c r="BE84" s="47"/>
      <c r="BF84" s="47"/>
      <c r="BG84" s="48">
        <f>SUM(BG48:BG81)</f>
        <v>235</v>
      </c>
      <c r="BH84" s="48"/>
      <c r="BI84" s="47"/>
      <c r="BJ84" s="47"/>
      <c r="BK84" s="47"/>
      <c r="BL84" s="47"/>
      <c r="BM84" s="47"/>
      <c r="BN84" s="47"/>
      <c r="BO84" s="48">
        <f>SUM(BO48:BO81)</f>
        <v>231</v>
      </c>
      <c r="BP84" s="48"/>
      <c r="BQ84" s="47"/>
      <c r="BR84" s="47"/>
      <c r="BS84" s="47"/>
      <c r="BT84" s="47"/>
      <c r="BU84" s="47"/>
      <c r="BV84" s="47"/>
      <c r="BW84" s="48">
        <f>SUM(BW48:BW81)</f>
        <v>238</v>
      </c>
      <c r="BX84" s="49"/>
      <c r="BY84" s="50"/>
      <c r="BZ84" s="50"/>
      <c r="CA84" s="50"/>
    </row>
    <row r="86" spans="1:79" ht="15.75" x14ac:dyDescent="0.25">
      <c r="A86" s="12" t="s">
        <v>10</v>
      </c>
    </row>
    <row r="87" spans="1:79" outlineLevel="1" x14ac:dyDescent="0.25">
      <c r="B87" t="s">
        <v>21</v>
      </c>
      <c r="C87" s="17">
        <v>0</v>
      </c>
      <c r="D87" s="17"/>
      <c r="E87" s="17">
        <v>0</v>
      </c>
      <c r="F87" s="17"/>
      <c r="G87" s="17">
        <v>0</v>
      </c>
      <c r="H87" s="17"/>
      <c r="I87" s="17">
        <f t="array" ref="I87">SUM(IF(Period=I$4,IF(Category=$A$86,IF(Provider=$B87,Score))))</f>
        <v>89.3</v>
      </c>
      <c r="J87" s="17"/>
      <c r="K87" s="20">
        <f t="array" ref="K87">SUM(IF(Period=I$4,IF(Category=$A$86,IF(Provider=$B87,Responses))))</f>
        <v>7</v>
      </c>
      <c r="L87" s="20"/>
      <c r="M87" s="19">
        <f>I87*(K87/SUM(K$87:K$120))</f>
        <v>3.1255000000000002</v>
      </c>
      <c r="N87" s="17"/>
      <c r="O87" s="17">
        <f t="shared" ref="O87:O120" si="36">I87*(K87/(SUM(K$9:K$42)+SUM(K$48:K$81)+SUM(K$87:K$120)+SUM(K$126:K$159)+SUM(K$165:K$198)+SUM(K$204:K$237)))</f>
        <v>0.51703887510339119</v>
      </c>
      <c r="P87" s="17"/>
      <c r="Q87" s="17">
        <f t="array" ref="Q87">SUM(IF(Period=Q$4,IF(Category=$A$86,IF(Provider=$B87,Score))))</f>
        <v>75</v>
      </c>
      <c r="R87" s="17"/>
      <c r="S87" s="20">
        <f t="array" ref="S87">SUM(IF(Period=Q$4,IF(Category=$A$86,IF(Provider=$B87,Responses))))</f>
        <v>4</v>
      </c>
      <c r="T87" s="20"/>
      <c r="U87" s="19">
        <f>Q87*(S87/SUM(S$87:S$120))</f>
        <v>1.639344262295082</v>
      </c>
      <c r="V87" s="17"/>
      <c r="W87" s="17">
        <f t="shared" ref="W87:W120" si="37">Q87*(S87/(SUM(S$9:S$42)+SUM(S$48:S$81)+SUM(S$87:S$120)+SUM(S$126:S$159)+SUM(S$165:S$198)+SUM(S$204:S$237)))</f>
        <v>0.26737967914438499</v>
      </c>
      <c r="X87" s="17"/>
      <c r="Y87" s="17">
        <f t="array" ref="Y87">SUM(IF(Period=Y$4,IF(Category=$A$86,IF(Provider=$B87,Score))))</f>
        <v>87.5</v>
      </c>
      <c r="Z87" s="17"/>
      <c r="AA87" s="20">
        <f t="array" ref="AA87">SUM(IF(Period=Y$4,IF(Category=$A$86,IF(Provider=$B87,Responses))))</f>
        <v>14</v>
      </c>
      <c r="AB87" s="20"/>
      <c r="AC87" s="19">
        <f>Y87*(AA87/SUM(AA$87:AA$120))</f>
        <v>4.0833333333333339</v>
      </c>
      <c r="AD87" s="17"/>
      <c r="AE87" s="17">
        <f t="shared" ref="AE87:AE120" si="38">Y87*(AA87/(SUM(AA$9:AA$42)+SUM(AA$48:AA$81)+SUM(AA$87:AA$120)+SUM(AA$126:AA$159)+SUM(AA$165:AA$198)+SUM(AA$204:AA$237)))</f>
        <v>0.67567567567567566</v>
      </c>
      <c r="AF87" s="17"/>
      <c r="AG87" s="17">
        <f t="array" ref="AG87">SUM(IF(Period=AG$4,IF(Category=$A$86,IF(Provider=$B87,Score))))</f>
        <v>100</v>
      </c>
      <c r="AH87" s="17"/>
      <c r="AI87" s="20">
        <f t="array" ref="AI87">SUM(IF(Period=AG$4,IF(Category=$A$86,IF(Provider=$B87,Responses))))</f>
        <v>3</v>
      </c>
      <c r="AJ87" s="20"/>
      <c r="AK87" s="19">
        <f>AG87*(AI87/SUM(AI$87:AI$120))</f>
        <v>1.1673151750972763</v>
      </c>
      <c r="AL87" s="17"/>
      <c r="AM87" s="17">
        <f t="shared" ref="AM87:AM120" si="39">AG87*(AI87/(SUM(AI$9:AI$42)+SUM(AI$48:AI$81)+SUM(AI$87:AI$120)+SUM(AI$126:AI$159)+SUM(AI$165:AI$198)+SUM(AI$204:AI$237)))</f>
        <v>0.19430051813471502</v>
      </c>
      <c r="AN87" s="17"/>
      <c r="AO87" s="17">
        <f t="array" ref="AO87">SUM(IF(Period=AO$4,IF(Category=$A$86,IF(Provider=$B87,Score))))</f>
        <v>100</v>
      </c>
      <c r="AP87" s="17"/>
      <c r="AQ87" s="20">
        <f t="array" ref="AQ87">SUM(IF(Period=AO$4,IF(Category=$A$86,IF(Provider=$B87,Responses))))</f>
        <v>1</v>
      </c>
      <c r="AR87" s="20"/>
      <c r="AS87" s="19">
        <f>AO87*(AQ87/SUM(AQ$87:AQ$120))</f>
        <v>0.59171597633136097</v>
      </c>
      <c r="AT87" s="17"/>
      <c r="AU87" s="17">
        <f t="shared" ref="AU87:AU120" si="40">AO87*(AQ87/(SUM(AQ$9:AQ$42)+SUM(AQ$48:AQ$81)+SUM(AQ$87:AQ$120)+SUM(AQ$126:AQ$159)+SUM(AQ$165:AQ$198)+SUM(AQ$204:AQ$237)))</f>
        <v>9.7465886939571145E-2</v>
      </c>
      <c r="AV87" s="17"/>
      <c r="AW87" s="17">
        <f t="array" ref="AW87">SUM(IF(Period=AW$4,IF(Category=$A$86,IF(Provider=$B87,Score))))</f>
        <v>90</v>
      </c>
      <c r="AX87" s="17"/>
      <c r="AY87" s="20">
        <f t="array" ref="AY87">SUM(IF(Period=AW$4,IF(Category=$A$86,IF(Provider=$B87,Responses))))</f>
        <v>5</v>
      </c>
      <c r="AZ87" s="20"/>
      <c r="BA87" s="19">
        <f>AW87*(AY87/SUM(AY$87:AY$120))</f>
        <v>2.0930232558139537</v>
      </c>
      <c r="BB87" s="17"/>
      <c r="BC87" s="17">
        <f t="shared" ref="BC87:BC120" si="41">AW87*(AY87/(SUM(AY$9:AY$42)+SUM(AY$48:AY$81)+SUM(AY$87:AY$120)+SUM(AY$126:AY$159)+SUM(AY$165:AY$198)+SUM(AY$204:AY$237)))</f>
        <v>0.34562211981566821</v>
      </c>
      <c r="BD87" s="17"/>
      <c r="BE87" s="17">
        <f t="array" ref="BE87">SUM(IF(Period=BE$4,IF(Category=$A$86,IF(Provider=$B87,Score))))</f>
        <v>83.3</v>
      </c>
      <c r="BF87" s="17"/>
      <c r="BG87" s="20">
        <f t="array" ref="BG87">SUM(IF(Period=BE$4,IF(Category=$A$86,IF(Provider=$B87,Responses))))</f>
        <v>9</v>
      </c>
      <c r="BH87" s="20"/>
      <c r="BI87" s="19">
        <f>BE87*(BG87/SUM(BG$87:BG$120))</f>
        <v>3.1902127659574466</v>
      </c>
      <c r="BJ87" s="17"/>
      <c r="BK87" s="17">
        <f t="shared" ref="BK87:BK120" si="42">BE87*(BG87/(SUM(BG$9:BG$42)+SUM(BG$48:BG$81)+SUM(BG$87:BG$120)+SUM(BG$126:BG$159)+SUM(BG$165:BG$198)+SUM(BG$204:BG$237)))</f>
        <v>0.5298233215547703</v>
      </c>
      <c r="BL87" s="17"/>
      <c r="BM87" s="17">
        <f t="array" ref="BM87">SUM(IF(Period=BM$4,IF(Category=$A$86,IF(Provider=$B87,Score))))</f>
        <v>100</v>
      </c>
      <c r="BN87" s="17"/>
      <c r="BO87" s="20">
        <f t="array" ref="BO87">SUM(IF(Period=BM$4,IF(Category=$A$86,IF(Provider=$B87,Responses))))</f>
        <v>6</v>
      </c>
      <c r="BP87" s="20"/>
      <c r="BQ87" s="19">
        <f>BM87*(BO87/SUM(BO$87:BO$120))</f>
        <v>2.643171806167401</v>
      </c>
      <c r="BR87" s="17"/>
      <c r="BS87" s="17">
        <f t="shared" ref="BS87:BS120" si="43">BM87*(BO87/(SUM(BO$9:BO$42)+SUM(BO$48:BO$81)+SUM(BO$87:BO$120)+SUM(BO$126:BO$159)+SUM(BO$165:BO$198)+SUM(BO$204:BO$237)))</f>
        <v>0.4329004329004329</v>
      </c>
      <c r="BT87" s="17"/>
      <c r="BU87" s="17">
        <f t="array" ref="BU87">SUM(IF(Period=BU$4,IF(Category=$A$86,IF(Provider=$B87,Score))))</f>
        <v>90</v>
      </c>
      <c r="BV87" s="17"/>
      <c r="BW87" s="20">
        <f t="array" ref="BW87">SUM(IF(Period=BU$4,IF(Category=$A$86,IF(Provider=$B87,Responses))))</f>
        <v>5</v>
      </c>
      <c r="BX87" s="20"/>
      <c r="BY87" s="19">
        <f>BU87*(BW87/SUM(BW$87:BW$120))</f>
        <v>1.875</v>
      </c>
      <c r="BZ87" s="17"/>
      <c r="CA87" s="17">
        <f t="shared" ref="CA87:CA120" si="44">BU87*(BW87/(SUM(BW$9:BW$42)+SUM(BW$48:BW$81)+SUM(BW$87:BW$120)+SUM(BW$126:BW$159)+SUM(BW$165:BW$198)+SUM(BW$204:BW$237)))</f>
        <v>0.31098825155494125</v>
      </c>
    </row>
    <row r="88" spans="1:79" outlineLevel="1" x14ac:dyDescent="0.25">
      <c r="B88" t="s">
        <v>30</v>
      </c>
      <c r="C88" s="17">
        <v>0</v>
      </c>
      <c r="D88" s="17"/>
      <c r="E88" s="17">
        <v>0</v>
      </c>
      <c r="F88" s="17"/>
      <c r="G88" s="17">
        <v>0</v>
      </c>
      <c r="H88" s="17"/>
      <c r="I88" s="17">
        <f t="array" ref="I88">SUM(IF(Period=I$4,IF(Category=$A$86,IF(Provider=$B88,Score))))</f>
        <v>78.599999999999994</v>
      </c>
      <c r="J88" s="17"/>
      <c r="K88" s="20">
        <f t="array" ref="K88">SUM(IF(Period=I$4,IF(Category=$A$86,IF(Provider=$B88,Responses))))</f>
        <v>7</v>
      </c>
      <c r="L88" s="20"/>
      <c r="M88" s="17">
        <f t="shared" ref="M88:M120" si="45">I88*(K88/SUM(K$87:K$120))</f>
        <v>2.7509999999999999</v>
      </c>
      <c r="N88" s="17"/>
      <c r="O88" s="17">
        <f t="shared" si="36"/>
        <v>0.45508684863523569</v>
      </c>
      <c r="P88" s="17"/>
      <c r="Q88" s="17">
        <f t="array" ref="Q88">SUM(IF(Period=Q$4,IF(Category=$A$86,IF(Provider=$B88,Score))))</f>
        <v>95</v>
      </c>
      <c r="R88" s="17"/>
      <c r="S88" s="20">
        <f t="array" ref="S88">SUM(IF(Period=Q$4,IF(Category=$A$86,IF(Provider=$B88,Responses))))</f>
        <v>10</v>
      </c>
      <c r="T88" s="20"/>
      <c r="U88" s="17">
        <f t="shared" ref="U88:U120" si="46">Q88*(S88/SUM(S$87:S$120))</f>
        <v>5.1912568306010929</v>
      </c>
      <c r="V88" s="17"/>
      <c r="W88" s="17">
        <f t="shared" si="37"/>
        <v>0.84670231729055256</v>
      </c>
      <c r="X88" s="17"/>
      <c r="Y88" s="17">
        <f t="array" ref="Y88">SUM(IF(Period=Y$4,IF(Category=$A$86,IF(Provider=$B88,Score))))</f>
        <v>83.3</v>
      </c>
      <c r="Z88" s="17"/>
      <c r="AA88" s="20">
        <f t="array" ref="AA88">SUM(IF(Period=Y$4,IF(Category=$A$86,IF(Provider=$B88,Responses))))</f>
        <v>9</v>
      </c>
      <c r="AB88" s="20"/>
      <c r="AC88" s="17">
        <f t="shared" ref="AC88:AC120" si="47">Y88*(AA88/SUM(AA$87:AA$120))</f>
        <v>2.4989999999999997</v>
      </c>
      <c r="AD88" s="17"/>
      <c r="AE88" s="17">
        <f t="shared" si="38"/>
        <v>0.41351351351351345</v>
      </c>
      <c r="AF88" s="17"/>
      <c r="AG88" s="17">
        <f t="array" ref="AG88">SUM(IF(Period=AG$4,IF(Category=$A$86,IF(Provider=$B88,Score))))</f>
        <v>100</v>
      </c>
      <c r="AH88" s="17"/>
      <c r="AI88" s="20">
        <f t="array" ref="AI88">SUM(IF(Period=AG$4,IF(Category=$A$86,IF(Provider=$B88,Responses))))</f>
        <v>6</v>
      </c>
      <c r="AJ88" s="20"/>
      <c r="AK88" s="17">
        <f t="shared" ref="AK88:AK120" si="48">AG88*(AI88/SUM(AI$87:AI$120))</f>
        <v>2.3346303501945527</v>
      </c>
      <c r="AL88" s="17"/>
      <c r="AM88" s="17">
        <f t="shared" si="39"/>
        <v>0.38860103626943004</v>
      </c>
      <c r="AN88" s="17"/>
      <c r="AO88" s="17">
        <f t="array" ref="AO88">SUM(IF(Period=AO$4,IF(Category=$A$86,IF(Provider=$B88,Score))))</f>
        <v>37.5</v>
      </c>
      <c r="AP88" s="17"/>
      <c r="AQ88" s="20">
        <f t="array" ref="AQ88">SUM(IF(Period=AO$4,IF(Category=$A$86,IF(Provider=$B88,Responses))))</f>
        <v>4</v>
      </c>
      <c r="AR88" s="20"/>
      <c r="AS88" s="17">
        <f t="shared" ref="AS88:AS120" si="49">AO88*(AQ88/SUM(AQ$87:AQ$120))</f>
        <v>0.8875739644970414</v>
      </c>
      <c r="AT88" s="17"/>
      <c r="AU88" s="17">
        <f t="shared" si="40"/>
        <v>0.14619883040935672</v>
      </c>
      <c r="AV88" s="17"/>
      <c r="AW88" s="17">
        <f t="array" ref="AW88">SUM(IF(Period=AW$4,IF(Category=$A$86,IF(Provider=$B88,Score))))</f>
        <v>89.3</v>
      </c>
      <c r="AX88" s="17"/>
      <c r="AY88" s="20">
        <f t="array" ref="AY88">SUM(IF(Period=AW$4,IF(Category=$A$86,IF(Provider=$B88,Responses))))</f>
        <v>7</v>
      </c>
      <c r="AZ88" s="20"/>
      <c r="BA88" s="17">
        <f t="shared" ref="BA88:BA120" si="50">AW88*(AY88/SUM(AY$87:AY$120))</f>
        <v>2.907441860465116</v>
      </c>
      <c r="BB88" s="17"/>
      <c r="BC88" s="17">
        <f t="shared" si="41"/>
        <v>0.48010752688172043</v>
      </c>
      <c r="BD88" s="17"/>
      <c r="BE88" s="17">
        <f t="array" ref="BE88">SUM(IF(Period=BE$4,IF(Category=$A$86,IF(Provider=$B88,Score))))</f>
        <v>96.9</v>
      </c>
      <c r="BF88" s="17"/>
      <c r="BG88" s="20">
        <f t="array" ref="BG88">SUM(IF(Period=BE$4,IF(Category=$A$86,IF(Provider=$B88,Responses))))</f>
        <v>8</v>
      </c>
      <c r="BH88" s="20"/>
      <c r="BI88" s="17">
        <f t="shared" ref="BI88:BI120" si="51">BE88*(BG88/SUM(BG$87:BG$120))</f>
        <v>3.2987234042553193</v>
      </c>
      <c r="BJ88" s="17"/>
      <c r="BK88" s="17">
        <f t="shared" si="42"/>
        <v>0.54784452296819786</v>
      </c>
      <c r="BL88" s="17"/>
      <c r="BM88" s="17">
        <f t="array" ref="BM88">SUM(IF(Period=BM$4,IF(Category=$A$86,IF(Provider=$B88,Score))))</f>
        <v>91.7</v>
      </c>
      <c r="BN88" s="17"/>
      <c r="BO88" s="20">
        <f t="array" ref="BO88">SUM(IF(Period=BM$4,IF(Category=$A$86,IF(Provider=$B88,Responses))))</f>
        <v>6</v>
      </c>
      <c r="BP88" s="20"/>
      <c r="BQ88" s="17">
        <f t="shared" ref="BQ88:BQ120" si="52">BM88*(BO88/SUM(BO$87:BO$120))</f>
        <v>2.4237885462555067</v>
      </c>
      <c r="BR88" s="17"/>
      <c r="BS88" s="17">
        <f t="shared" si="43"/>
        <v>0.39696969696969697</v>
      </c>
      <c r="BT88" s="17"/>
      <c r="BU88" s="17">
        <f t="array" ref="BU88">SUM(IF(Period=BU$4,IF(Category=$A$86,IF(Provider=$B88,Score))))</f>
        <v>79.599999999999994</v>
      </c>
      <c r="BV88" s="17"/>
      <c r="BW88" s="20">
        <f t="array" ref="BW88">SUM(IF(Period=BU$4,IF(Category=$A$86,IF(Provider=$B88,Responses))))</f>
        <v>11</v>
      </c>
      <c r="BX88" s="20"/>
      <c r="BY88" s="17">
        <f t="shared" ref="BY88:BY120" si="53">BU88*(BW88/SUM(BW$87:BW$120))</f>
        <v>3.648333333333333</v>
      </c>
      <c r="BZ88" s="17"/>
      <c r="CA88" s="17">
        <f t="shared" si="44"/>
        <v>0.6051140290255701</v>
      </c>
    </row>
    <row r="89" spans="1:79" outlineLevel="1" x14ac:dyDescent="0.25">
      <c r="B89" t="s">
        <v>14</v>
      </c>
      <c r="C89" s="17">
        <v>0</v>
      </c>
      <c r="D89" s="17"/>
      <c r="E89" s="17">
        <v>0</v>
      </c>
      <c r="F89" s="17"/>
      <c r="G89" s="17">
        <v>0</v>
      </c>
      <c r="H89" s="17"/>
      <c r="I89" s="17">
        <f t="array" ref="I89">SUM(IF(Period=I$4,IF(Category=$A$86,IF(Provider=$B89,Score))))</f>
        <v>96.4</v>
      </c>
      <c r="J89" s="17"/>
      <c r="K89" s="20">
        <f t="array" ref="K89">SUM(IF(Period=I$4,IF(Category=$A$86,IF(Provider=$B89,Responses))))</f>
        <v>7</v>
      </c>
      <c r="L89" s="20"/>
      <c r="M89" s="17">
        <f t="shared" si="45"/>
        <v>3.3740000000000006</v>
      </c>
      <c r="N89" s="17"/>
      <c r="O89" s="17">
        <f t="shared" si="36"/>
        <v>0.55814722911497106</v>
      </c>
      <c r="P89" s="17"/>
      <c r="Q89" s="17">
        <f t="array" ref="Q89">SUM(IF(Period=Q$4,IF(Category=$A$86,IF(Provider=$B89,Score))))</f>
        <v>91.7</v>
      </c>
      <c r="R89" s="17"/>
      <c r="S89" s="20">
        <f t="array" ref="S89">SUM(IF(Period=Q$4,IF(Category=$A$86,IF(Provider=$B89,Responses))))</f>
        <v>6</v>
      </c>
      <c r="T89" s="20"/>
      <c r="U89" s="17">
        <f t="shared" si="46"/>
        <v>3.0065573770491807</v>
      </c>
      <c r="V89" s="17"/>
      <c r="W89" s="17">
        <f t="shared" si="37"/>
        <v>0.49037433155080212</v>
      </c>
      <c r="X89" s="17"/>
      <c r="Y89" s="17">
        <f t="array" ref="Y89">SUM(IF(Period=Y$4,IF(Category=$A$86,IF(Provider=$B89,Score))))</f>
        <v>86.1</v>
      </c>
      <c r="Z89" s="17"/>
      <c r="AA89" s="20">
        <f t="array" ref="AA89">SUM(IF(Period=Y$4,IF(Category=$A$86,IF(Provider=$B89,Responses))))</f>
        <v>9</v>
      </c>
      <c r="AB89" s="20"/>
      <c r="AC89" s="17">
        <f t="shared" si="47"/>
        <v>2.5829999999999997</v>
      </c>
      <c r="AD89" s="17"/>
      <c r="AE89" s="17">
        <f t="shared" si="38"/>
        <v>0.42741312741312737</v>
      </c>
      <c r="AF89" s="17"/>
      <c r="AG89" s="17">
        <f t="array" ref="AG89">SUM(IF(Period=AG$4,IF(Category=$A$86,IF(Provider=$B89,Score))))</f>
        <v>100</v>
      </c>
      <c r="AH89" s="17"/>
      <c r="AI89" s="20">
        <f t="array" ref="AI89">SUM(IF(Period=AG$4,IF(Category=$A$86,IF(Provider=$B89,Responses))))</f>
        <v>6</v>
      </c>
      <c r="AJ89" s="20"/>
      <c r="AK89" s="17">
        <f t="shared" si="48"/>
        <v>2.3346303501945527</v>
      </c>
      <c r="AL89" s="17"/>
      <c r="AM89" s="17">
        <f t="shared" si="39"/>
        <v>0.38860103626943004</v>
      </c>
      <c r="AN89" s="17"/>
      <c r="AO89" s="17">
        <f t="array" ref="AO89">SUM(IF(Period=AO$4,IF(Category=$A$86,IF(Provider=$B89,Score))))</f>
        <v>57.1</v>
      </c>
      <c r="AP89" s="17"/>
      <c r="AQ89" s="20">
        <f t="array" ref="AQ89">SUM(IF(Period=AO$4,IF(Category=$A$86,IF(Provider=$B89,Responses))))</f>
        <v>7</v>
      </c>
      <c r="AR89" s="20"/>
      <c r="AS89" s="17">
        <f t="shared" si="49"/>
        <v>2.3650887573964501</v>
      </c>
      <c r="AT89" s="17"/>
      <c r="AU89" s="17">
        <f t="shared" si="40"/>
        <v>0.3895711500974659</v>
      </c>
      <c r="AV89" s="17"/>
      <c r="AW89" s="17">
        <f t="array" ref="AW89">SUM(IF(Period=AW$4,IF(Category=$A$86,IF(Provider=$B89,Score))))</f>
        <v>95.8</v>
      </c>
      <c r="AX89" s="17"/>
      <c r="AY89" s="20">
        <f t="array" ref="AY89">SUM(IF(Period=AW$4,IF(Category=$A$86,IF(Provider=$B89,Responses))))</f>
        <v>6</v>
      </c>
      <c r="AZ89" s="20"/>
      <c r="BA89" s="17">
        <f t="shared" si="50"/>
        <v>2.6734883720930229</v>
      </c>
      <c r="BB89" s="17"/>
      <c r="BC89" s="17">
        <f t="shared" si="41"/>
        <v>0.44147465437788019</v>
      </c>
      <c r="BD89" s="17"/>
      <c r="BE89" s="17">
        <f t="array" ref="BE89">SUM(IF(Period=BE$4,IF(Category=$A$86,IF(Provider=$B89,Score))))</f>
        <v>87.5</v>
      </c>
      <c r="BF89" s="17"/>
      <c r="BG89" s="20">
        <f t="array" ref="BG89">SUM(IF(Period=BE$4,IF(Category=$A$86,IF(Provider=$B89,Responses))))</f>
        <v>8</v>
      </c>
      <c r="BH89" s="20"/>
      <c r="BI89" s="17">
        <f t="shared" si="51"/>
        <v>2.978723404255319</v>
      </c>
      <c r="BJ89" s="17"/>
      <c r="BK89" s="17">
        <f t="shared" si="42"/>
        <v>0.4946996466431095</v>
      </c>
      <c r="BL89" s="17"/>
      <c r="BM89" s="17">
        <f t="array" ref="BM89">SUM(IF(Period=BM$4,IF(Category=$A$86,IF(Provider=$B89,Score))))</f>
        <v>65.599999999999994</v>
      </c>
      <c r="BN89" s="17"/>
      <c r="BO89" s="20">
        <f t="array" ref="BO89">SUM(IF(Period=BM$4,IF(Category=$A$86,IF(Provider=$B89,Responses))))</f>
        <v>8</v>
      </c>
      <c r="BP89" s="20"/>
      <c r="BQ89" s="17">
        <f t="shared" si="52"/>
        <v>2.3118942731277534</v>
      </c>
      <c r="BR89" s="17"/>
      <c r="BS89" s="17">
        <f t="shared" si="43"/>
        <v>0.37864357864357862</v>
      </c>
      <c r="BT89" s="17"/>
      <c r="BU89" s="17">
        <f t="array" ref="BU89">SUM(IF(Period=BU$4,IF(Category=$A$86,IF(Provider=$B89,Score))))</f>
        <v>75</v>
      </c>
      <c r="BV89" s="17"/>
      <c r="BW89" s="20">
        <f t="array" ref="BW89">SUM(IF(Period=BU$4,IF(Category=$A$86,IF(Provider=$B89,Responses))))</f>
        <v>6</v>
      </c>
      <c r="BX89" s="20"/>
      <c r="BY89" s="17">
        <f t="shared" si="53"/>
        <v>1.875</v>
      </c>
      <c r="BZ89" s="17"/>
      <c r="CA89" s="17">
        <f t="shared" si="44"/>
        <v>0.31098825155494125</v>
      </c>
    </row>
    <row r="90" spans="1:79" outlineLevel="1" x14ac:dyDescent="0.25">
      <c r="B90" t="s">
        <v>38</v>
      </c>
      <c r="C90" s="17">
        <v>0</v>
      </c>
      <c r="D90" s="17"/>
      <c r="E90" s="17">
        <v>0</v>
      </c>
      <c r="F90" s="17"/>
      <c r="G90" s="17">
        <v>0</v>
      </c>
      <c r="H90" s="17"/>
      <c r="I90" s="17">
        <f t="array" ref="I90">SUM(IF(Period=I$4,IF(Category=$A$86,IF(Provider=$B90,Score))))</f>
        <v>62.5</v>
      </c>
      <c r="J90" s="17"/>
      <c r="K90" s="20">
        <f t="array" ref="K90">SUM(IF(Period=I$4,IF(Category=$A$86,IF(Provider=$B90,Responses))))</f>
        <v>4</v>
      </c>
      <c r="L90" s="20"/>
      <c r="M90" s="17">
        <f t="shared" si="45"/>
        <v>1.25</v>
      </c>
      <c r="N90" s="17"/>
      <c r="O90" s="17">
        <f t="shared" si="36"/>
        <v>0.20678246484698098</v>
      </c>
      <c r="P90" s="17"/>
      <c r="Q90" s="17">
        <f t="array" ref="Q90">SUM(IF(Period=Q$4,IF(Category=$A$86,IF(Provider=$B90,Score))))</f>
        <v>85</v>
      </c>
      <c r="R90" s="17"/>
      <c r="S90" s="20">
        <f t="array" ref="S90">SUM(IF(Period=Q$4,IF(Category=$A$86,IF(Provider=$B90,Responses))))</f>
        <v>5</v>
      </c>
      <c r="T90" s="20"/>
      <c r="U90" s="17">
        <f t="shared" si="46"/>
        <v>2.3224043715846996</v>
      </c>
      <c r="V90" s="17"/>
      <c r="W90" s="17">
        <f t="shared" si="37"/>
        <v>0.37878787878787878</v>
      </c>
      <c r="X90" s="17"/>
      <c r="Y90" s="17">
        <f t="array" ref="Y90">SUM(IF(Period=Y$4,IF(Category=$A$86,IF(Provider=$B90,Score))))</f>
        <v>75</v>
      </c>
      <c r="Z90" s="17"/>
      <c r="AA90" s="20">
        <f t="array" ref="AA90">SUM(IF(Period=Y$4,IF(Category=$A$86,IF(Provider=$B90,Responses))))</f>
        <v>11</v>
      </c>
      <c r="AB90" s="20"/>
      <c r="AC90" s="17">
        <f t="shared" si="47"/>
        <v>2.75</v>
      </c>
      <c r="AD90" s="17"/>
      <c r="AE90" s="17">
        <f t="shared" si="38"/>
        <v>0.45504688361831219</v>
      </c>
      <c r="AF90" s="17"/>
      <c r="AG90" s="17">
        <f t="array" ref="AG90">SUM(IF(Period=AG$4,IF(Category=$A$86,IF(Provider=$B90,Score))))</f>
        <v>85</v>
      </c>
      <c r="AH90" s="17"/>
      <c r="AI90" s="20">
        <f t="array" ref="AI90">SUM(IF(Period=AG$4,IF(Category=$A$86,IF(Provider=$B90,Responses))))</f>
        <v>5</v>
      </c>
      <c r="AJ90" s="20"/>
      <c r="AK90" s="17">
        <f t="shared" si="48"/>
        <v>1.6536964980544748</v>
      </c>
      <c r="AL90" s="17"/>
      <c r="AM90" s="17">
        <f t="shared" si="39"/>
        <v>0.27525906735751293</v>
      </c>
      <c r="AN90" s="17"/>
      <c r="AO90" s="17">
        <f t="array" ref="AO90">SUM(IF(Period=AO$4,IF(Category=$A$86,IF(Provider=$B90,Score))))</f>
        <v>86.1</v>
      </c>
      <c r="AP90" s="17"/>
      <c r="AQ90" s="20">
        <f t="array" ref="AQ90">SUM(IF(Period=AO$4,IF(Category=$A$86,IF(Provider=$B90,Responses))))</f>
        <v>9</v>
      </c>
      <c r="AR90" s="20"/>
      <c r="AS90" s="17">
        <f t="shared" si="49"/>
        <v>4.5852071005917159</v>
      </c>
      <c r="AT90" s="17"/>
      <c r="AU90" s="17">
        <f t="shared" si="40"/>
        <v>0.75526315789473675</v>
      </c>
      <c r="AV90" s="17"/>
      <c r="AW90" s="17">
        <f t="array" ref="AW90">SUM(IF(Period=AW$4,IF(Category=$A$86,IF(Provider=$B90,Score))))</f>
        <v>62.5</v>
      </c>
      <c r="AX90" s="17"/>
      <c r="AY90" s="20">
        <f t="array" ref="AY90">SUM(IF(Period=AW$4,IF(Category=$A$86,IF(Provider=$B90,Responses))))</f>
        <v>2</v>
      </c>
      <c r="AZ90" s="20"/>
      <c r="BA90" s="17">
        <f t="shared" si="50"/>
        <v>0.58139534883720934</v>
      </c>
      <c r="BB90" s="17"/>
      <c r="BC90" s="17">
        <f t="shared" si="41"/>
        <v>9.6006144393241163E-2</v>
      </c>
      <c r="BD90" s="17"/>
      <c r="BE90" s="17">
        <f t="array" ref="BE90">SUM(IF(Period=BE$4,IF(Category=$A$86,IF(Provider=$B90,Score))))</f>
        <v>75</v>
      </c>
      <c r="BF90" s="17"/>
      <c r="BG90" s="20">
        <f t="array" ref="BG90">SUM(IF(Period=BE$4,IF(Category=$A$86,IF(Provider=$B90,Responses))))</f>
        <v>2</v>
      </c>
      <c r="BH90" s="20"/>
      <c r="BI90" s="17">
        <f t="shared" si="51"/>
        <v>0.63829787234042556</v>
      </c>
      <c r="BJ90" s="17"/>
      <c r="BK90" s="17">
        <f t="shared" si="42"/>
        <v>0.10600706713780918</v>
      </c>
      <c r="BL90" s="17"/>
      <c r="BM90" s="17">
        <f t="array" ref="BM90">SUM(IF(Period=BM$4,IF(Category=$A$86,IF(Provider=$B90,Score))))</f>
        <v>87.5</v>
      </c>
      <c r="BN90" s="17"/>
      <c r="BO90" s="20">
        <f t="array" ref="BO90">SUM(IF(Period=BM$4,IF(Category=$A$86,IF(Provider=$B90,Responses))))</f>
        <v>6</v>
      </c>
      <c r="BP90" s="20"/>
      <c r="BQ90" s="17">
        <f t="shared" si="52"/>
        <v>2.3127753303964758</v>
      </c>
      <c r="BR90" s="17"/>
      <c r="BS90" s="17">
        <f t="shared" si="43"/>
        <v>0.37878787878787878</v>
      </c>
      <c r="BT90" s="17"/>
      <c r="BU90" s="17">
        <f t="array" ref="BU90">SUM(IF(Period=BU$4,IF(Category=$A$86,IF(Provider=$B90,Score))))</f>
        <v>96.9</v>
      </c>
      <c r="BV90" s="17"/>
      <c r="BW90" s="20">
        <f t="array" ref="BW90">SUM(IF(Period=BU$4,IF(Category=$A$86,IF(Provider=$B90,Responses))))</f>
        <v>8</v>
      </c>
      <c r="BX90" s="20"/>
      <c r="BY90" s="17">
        <f t="shared" si="53"/>
        <v>3.23</v>
      </c>
      <c r="BZ90" s="17"/>
      <c r="CA90" s="17">
        <f t="shared" si="44"/>
        <v>0.53572909467864549</v>
      </c>
    </row>
    <row r="91" spans="1:79" outlineLevel="1" x14ac:dyDescent="0.25">
      <c r="B91" t="s">
        <v>26</v>
      </c>
      <c r="C91" s="17">
        <v>0</v>
      </c>
      <c r="D91" s="17"/>
      <c r="E91" s="17">
        <v>0</v>
      </c>
      <c r="F91" s="17"/>
      <c r="G91" s="17">
        <v>0</v>
      </c>
      <c r="H91" s="17"/>
      <c r="I91" s="17">
        <f t="array" ref="I91">SUM(IF(Period=I$4,IF(Category=$A$86,IF(Provider=$B91,Score))))</f>
        <v>78.599999999999994</v>
      </c>
      <c r="J91" s="17"/>
      <c r="K91" s="20">
        <f t="array" ref="K91">SUM(IF(Period=I$4,IF(Category=$A$86,IF(Provider=$B91,Responses))))</f>
        <v>7</v>
      </c>
      <c r="L91" s="20"/>
      <c r="M91" s="17">
        <f t="shared" si="45"/>
        <v>2.7509999999999999</v>
      </c>
      <c r="N91" s="17"/>
      <c r="O91" s="17">
        <f t="shared" si="36"/>
        <v>0.45508684863523569</v>
      </c>
      <c r="P91" s="17"/>
      <c r="Q91" s="17">
        <f t="array" ref="Q91">SUM(IF(Period=Q$4,IF(Category=$A$86,IF(Provider=$B91,Score))))</f>
        <v>75</v>
      </c>
      <c r="R91" s="17"/>
      <c r="S91" s="20">
        <f t="array" ref="S91">SUM(IF(Period=Q$4,IF(Category=$A$86,IF(Provider=$B91,Responses))))</f>
        <v>6</v>
      </c>
      <c r="T91" s="20"/>
      <c r="U91" s="17">
        <f t="shared" si="46"/>
        <v>2.459016393442623</v>
      </c>
      <c r="V91" s="17"/>
      <c r="W91" s="17">
        <f t="shared" si="37"/>
        <v>0.40106951871657753</v>
      </c>
      <c r="X91" s="17"/>
      <c r="Y91" s="17">
        <f t="array" ref="Y91">SUM(IF(Period=Y$4,IF(Category=$A$86,IF(Provider=$B91,Score))))</f>
        <v>68.8</v>
      </c>
      <c r="Z91" s="17"/>
      <c r="AA91" s="20">
        <f t="array" ref="AA91">SUM(IF(Period=Y$4,IF(Category=$A$86,IF(Provider=$B91,Responses))))</f>
        <v>12</v>
      </c>
      <c r="AB91" s="20"/>
      <c r="AC91" s="17">
        <f t="shared" si="47"/>
        <v>2.7519999999999998</v>
      </c>
      <c r="AD91" s="17"/>
      <c r="AE91" s="17">
        <f t="shared" si="38"/>
        <v>0.45537782680639821</v>
      </c>
      <c r="AF91" s="17"/>
      <c r="AG91" s="17">
        <f t="array" ref="AG91">SUM(IF(Period=AG$4,IF(Category=$A$86,IF(Provider=$B91,Score))))</f>
        <v>86.1</v>
      </c>
      <c r="AH91" s="17"/>
      <c r="AI91" s="20">
        <f t="array" ref="AI91">SUM(IF(Period=AG$4,IF(Category=$A$86,IF(Provider=$B91,Responses))))</f>
        <v>9</v>
      </c>
      <c r="AJ91" s="20"/>
      <c r="AK91" s="17">
        <f t="shared" si="48"/>
        <v>3.0151750972762645</v>
      </c>
      <c r="AL91" s="17"/>
      <c r="AM91" s="17">
        <f t="shared" si="39"/>
        <v>0.50187823834196887</v>
      </c>
      <c r="AN91" s="17"/>
      <c r="AO91" s="17">
        <f t="array" ref="AO91">SUM(IF(Period=AO$4,IF(Category=$A$86,IF(Provider=$B91,Score))))</f>
        <v>100</v>
      </c>
      <c r="AP91" s="17"/>
      <c r="AQ91" s="20">
        <f t="array" ref="AQ91">SUM(IF(Period=AO$4,IF(Category=$A$86,IF(Provider=$B91,Responses))))</f>
        <v>4</v>
      </c>
      <c r="AR91" s="20"/>
      <c r="AS91" s="17">
        <f t="shared" si="49"/>
        <v>2.3668639053254439</v>
      </c>
      <c r="AT91" s="17"/>
      <c r="AU91" s="17">
        <f t="shared" si="40"/>
        <v>0.38986354775828458</v>
      </c>
      <c r="AV91" s="17"/>
      <c r="AW91" s="17">
        <f t="array" ref="AW91">SUM(IF(Period=AW$4,IF(Category=$A$86,IF(Provider=$B91,Score))))</f>
        <v>79.2</v>
      </c>
      <c r="AX91" s="17"/>
      <c r="AY91" s="20">
        <f t="array" ref="AY91">SUM(IF(Period=AW$4,IF(Category=$A$86,IF(Provider=$B91,Responses))))</f>
        <v>6</v>
      </c>
      <c r="AZ91" s="20"/>
      <c r="BA91" s="17">
        <f t="shared" si="50"/>
        <v>2.210232558139535</v>
      </c>
      <c r="BB91" s="17"/>
      <c r="BC91" s="17">
        <f t="shared" si="41"/>
        <v>0.36497695852534562</v>
      </c>
      <c r="BD91" s="17"/>
      <c r="BE91" s="17">
        <f t="array" ref="BE91">SUM(IF(Period=BE$4,IF(Category=$A$86,IF(Provider=$B91,Score))))</f>
        <v>54.2</v>
      </c>
      <c r="BF91" s="17"/>
      <c r="BG91" s="20">
        <f t="array" ref="BG91">SUM(IF(Period=BE$4,IF(Category=$A$86,IF(Provider=$B91,Responses))))</f>
        <v>6</v>
      </c>
      <c r="BH91" s="20"/>
      <c r="BI91" s="17">
        <f t="shared" si="51"/>
        <v>1.3838297872340426</v>
      </c>
      <c r="BJ91" s="17"/>
      <c r="BK91" s="17">
        <f t="shared" si="42"/>
        <v>0.22982332155477031</v>
      </c>
      <c r="BL91" s="17"/>
      <c r="BM91" s="17">
        <f t="array" ref="BM91">SUM(IF(Period=BM$4,IF(Category=$A$86,IF(Provider=$B91,Score))))</f>
        <v>67.900000000000006</v>
      </c>
      <c r="BN91" s="17"/>
      <c r="BO91" s="20">
        <f t="array" ref="BO91">SUM(IF(Period=BM$4,IF(Category=$A$86,IF(Provider=$B91,Responses))))</f>
        <v>7</v>
      </c>
      <c r="BP91" s="20"/>
      <c r="BQ91" s="17">
        <f t="shared" si="52"/>
        <v>2.0938325991189428</v>
      </c>
      <c r="BR91" s="17"/>
      <c r="BS91" s="17">
        <f t="shared" si="43"/>
        <v>0.34292929292929297</v>
      </c>
      <c r="BT91" s="17"/>
      <c r="BU91" s="17">
        <f t="array" ref="BU91">SUM(IF(Period=BU$4,IF(Category=$A$86,IF(Provider=$B91,Score))))</f>
        <v>82.1</v>
      </c>
      <c r="BV91" s="17"/>
      <c r="BW91" s="20">
        <f t="array" ref="BW91">SUM(IF(Period=BU$4,IF(Category=$A$86,IF(Provider=$B91,Responses))))</f>
        <v>7</v>
      </c>
      <c r="BX91" s="20"/>
      <c r="BY91" s="17">
        <f t="shared" si="53"/>
        <v>2.3945833333333333</v>
      </c>
      <c r="BZ91" s="17"/>
      <c r="CA91" s="17">
        <f t="shared" si="44"/>
        <v>0.39716655148583274</v>
      </c>
    </row>
    <row r="92" spans="1:79" outlineLevel="1" x14ac:dyDescent="0.25">
      <c r="B92" t="s">
        <v>42</v>
      </c>
      <c r="C92" s="17">
        <v>0</v>
      </c>
      <c r="D92" s="17"/>
      <c r="E92" s="17">
        <v>0</v>
      </c>
      <c r="F92" s="17"/>
      <c r="G92" s="17">
        <v>0</v>
      </c>
      <c r="H92" s="17"/>
      <c r="I92" s="17">
        <f t="array" ref="I92">SUM(IF(Period=I$4,IF(Category=$A$86,IF(Provider=$B92,Score))))</f>
        <v>50</v>
      </c>
      <c r="J92" s="17"/>
      <c r="K92" s="20">
        <f t="array" ref="K92">SUM(IF(Period=I$4,IF(Category=$A$86,IF(Provider=$B92,Responses))))</f>
        <v>4</v>
      </c>
      <c r="L92" s="20"/>
      <c r="M92" s="17">
        <f t="shared" si="45"/>
        <v>1</v>
      </c>
      <c r="N92" s="17"/>
      <c r="O92" s="17">
        <f t="shared" si="36"/>
        <v>0.16542597187758479</v>
      </c>
      <c r="P92" s="17"/>
      <c r="Q92" s="17">
        <f t="array" ref="Q92">SUM(IF(Period=Q$4,IF(Category=$A$86,IF(Provider=$B92,Score))))</f>
        <v>35</v>
      </c>
      <c r="R92" s="17"/>
      <c r="S92" s="20">
        <f t="array" ref="S92">SUM(IF(Period=Q$4,IF(Category=$A$86,IF(Provider=$B92,Responses))))</f>
        <v>10</v>
      </c>
      <c r="T92" s="20"/>
      <c r="U92" s="17">
        <f t="shared" si="46"/>
        <v>1.9125683060109289</v>
      </c>
      <c r="V92" s="17"/>
      <c r="W92" s="17">
        <f t="shared" si="37"/>
        <v>0.31194295900178254</v>
      </c>
      <c r="X92" s="17"/>
      <c r="Y92" s="17">
        <f t="array" ref="Y92">SUM(IF(Period=Y$4,IF(Category=$A$86,IF(Provider=$B92,Score))))</f>
        <v>65</v>
      </c>
      <c r="Z92" s="17"/>
      <c r="AA92" s="20">
        <f t="array" ref="AA92">SUM(IF(Period=Y$4,IF(Category=$A$86,IF(Provider=$B92,Responses))))</f>
        <v>5</v>
      </c>
      <c r="AB92" s="20"/>
      <c r="AC92" s="17">
        <f t="shared" si="47"/>
        <v>1.0833333333333333</v>
      </c>
      <c r="AD92" s="17"/>
      <c r="AE92" s="17">
        <f t="shared" si="38"/>
        <v>0.17926089354660782</v>
      </c>
      <c r="AF92" s="17"/>
      <c r="AG92" s="17">
        <f t="array" ref="AG92">SUM(IF(Period=AG$4,IF(Category=$A$86,IF(Provider=$B92,Score))))</f>
        <v>75</v>
      </c>
      <c r="AH92" s="17"/>
      <c r="AI92" s="20">
        <f t="array" ref="AI92">SUM(IF(Period=AG$4,IF(Category=$A$86,IF(Provider=$B92,Responses))))</f>
        <v>1</v>
      </c>
      <c r="AJ92" s="20"/>
      <c r="AK92" s="17">
        <f t="shared" si="48"/>
        <v>0.29182879377431908</v>
      </c>
      <c r="AL92" s="17"/>
      <c r="AM92" s="17">
        <f t="shared" si="39"/>
        <v>4.8575129533678756E-2</v>
      </c>
      <c r="AN92" s="17"/>
      <c r="AO92" s="17">
        <f t="array" ref="AO92">SUM(IF(Period=AO$4,IF(Category=$A$86,IF(Provider=$B92,Score))))</f>
        <v>87.5</v>
      </c>
      <c r="AP92" s="17"/>
      <c r="AQ92" s="20">
        <f t="array" ref="AQ92">SUM(IF(Period=AO$4,IF(Category=$A$86,IF(Provider=$B92,Responses))))</f>
        <v>6</v>
      </c>
      <c r="AR92" s="20"/>
      <c r="AS92" s="17">
        <f t="shared" si="49"/>
        <v>3.1065088757396451</v>
      </c>
      <c r="AT92" s="17"/>
      <c r="AU92" s="17">
        <f t="shared" si="40"/>
        <v>0.51169590643274854</v>
      </c>
      <c r="AV92" s="17"/>
      <c r="AW92" s="17">
        <f t="array" ref="AW92">SUM(IF(Period=AW$4,IF(Category=$A$86,IF(Provider=$B92,Score))))</f>
        <v>62.5</v>
      </c>
      <c r="AX92" s="17"/>
      <c r="AY92" s="20">
        <f t="array" ref="AY92">SUM(IF(Period=AW$4,IF(Category=$A$86,IF(Provider=$B92,Responses))))</f>
        <v>8</v>
      </c>
      <c r="AZ92" s="20"/>
      <c r="BA92" s="17">
        <f t="shared" si="50"/>
        <v>2.3255813953488373</v>
      </c>
      <c r="BB92" s="17"/>
      <c r="BC92" s="17">
        <f t="shared" si="41"/>
        <v>0.38402457757296465</v>
      </c>
      <c r="BD92" s="17"/>
      <c r="BE92" s="17">
        <f t="array" ref="BE92">SUM(IF(Period=BE$4,IF(Category=$A$86,IF(Provider=$B92,Score))))</f>
        <v>56.7</v>
      </c>
      <c r="BF92" s="17"/>
      <c r="BG92" s="20">
        <f t="array" ref="BG92">SUM(IF(Period=BE$4,IF(Category=$A$86,IF(Provider=$B92,Responses))))</f>
        <v>15</v>
      </c>
      <c r="BH92" s="20"/>
      <c r="BI92" s="17">
        <f t="shared" si="51"/>
        <v>3.6191489361702125</v>
      </c>
      <c r="BJ92" s="17"/>
      <c r="BK92" s="17">
        <f t="shared" si="42"/>
        <v>0.60106007067137812</v>
      </c>
      <c r="BL92" s="17"/>
      <c r="BM92" s="17">
        <f t="array" ref="BM92">SUM(IF(Period=BM$4,IF(Category=$A$86,IF(Provider=$B92,Score))))</f>
        <v>80</v>
      </c>
      <c r="BN92" s="17"/>
      <c r="BO92" s="20">
        <f t="array" ref="BO92">SUM(IF(Period=BM$4,IF(Category=$A$86,IF(Provider=$B92,Responses))))</f>
        <v>10</v>
      </c>
      <c r="BP92" s="20"/>
      <c r="BQ92" s="17">
        <f t="shared" si="52"/>
        <v>3.5242290748898681</v>
      </c>
      <c r="BR92" s="17"/>
      <c r="BS92" s="17">
        <f t="shared" si="43"/>
        <v>0.57720057720057716</v>
      </c>
      <c r="BT92" s="17"/>
      <c r="BU92" s="17">
        <f t="array" ref="BU92">SUM(IF(Period=BU$4,IF(Category=$A$86,IF(Provider=$B92,Score))))</f>
        <v>65.599999999999994</v>
      </c>
      <c r="BV92" s="17"/>
      <c r="BW92" s="20">
        <f t="array" ref="BW92">SUM(IF(Period=BU$4,IF(Category=$A$86,IF(Provider=$B92,Responses))))</f>
        <v>8</v>
      </c>
      <c r="BX92" s="20"/>
      <c r="BY92" s="17">
        <f t="shared" si="53"/>
        <v>2.1866666666666665</v>
      </c>
      <c r="BZ92" s="17"/>
      <c r="CA92" s="17">
        <f t="shared" si="44"/>
        <v>0.36268140981340702</v>
      </c>
    </row>
    <row r="93" spans="1:79" outlineLevel="1" x14ac:dyDescent="0.25">
      <c r="B93" t="s">
        <v>17</v>
      </c>
      <c r="C93" s="17">
        <v>0</v>
      </c>
      <c r="D93" s="17"/>
      <c r="E93" s="17">
        <v>0</v>
      </c>
      <c r="F93" s="17"/>
      <c r="G93" s="17">
        <v>0</v>
      </c>
      <c r="H93" s="17"/>
      <c r="I93" s="17">
        <f t="array" ref="I93">SUM(IF(Period=I$4,IF(Category=$A$86,IF(Provider=$B93,Score))))</f>
        <v>87.5</v>
      </c>
      <c r="J93" s="17"/>
      <c r="K93" s="20">
        <f t="array" ref="K93">SUM(IF(Period=I$4,IF(Category=$A$86,IF(Provider=$B93,Responses))))</f>
        <v>4</v>
      </c>
      <c r="L93" s="20"/>
      <c r="M93" s="17">
        <f t="shared" si="45"/>
        <v>1.75</v>
      </c>
      <c r="N93" s="17"/>
      <c r="O93" s="17">
        <f t="shared" si="36"/>
        <v>0.28949545078577338</v>
      </c>
      <c r="P93" s="17"/>
      <c r="Q93" s="17">
        <f t="array" ref="Q93">SUM(IF(Period=Q$4,IF(Category=$A$86,IF(Provider=$B93,Score))))</f>
        <v>91.7</v>
      </c>
      <c r="R93" s="17"/>
      <c r="S93" s="20">
        <f t="array" ref="S93">SUM(IF(Period=Q$4,IF(Category=$A$86,IF(Provider=$B93,Responses))))</f>
        <v>3</v>
      </c>
      <c r="T93" s="20"/>
      <c r="U93" s="17">
        <f t="shared" si="46"/>
        <v>1.5032786885245903</v>
      </c>
      <c r="V93" s="17"/>
      <c r="W93" s="17">
        <f t="shared" si="37"/>
        <v>0.24518716577540106</v>
      </c>
      <c r="X93" s="17"/>
      <c r="Y93" s="17">
        <f t="array" ref="Y93">SUM(IF(Period=Y$4,IF(Category=$A$86,IF(Provider=$B93,Score))))</f>
        <v>90.6</v>
      </c>
      <c r="Z93" s="17"/>
      <c r="AA93" s="20">
        <f t="array" ref="AA93">SUM(IF(Period=Y$4,IF(Category=$A$86,IF(Provider=$B93,Responses))))</f>
        <v>8</v>
      </c>
      <c r="AB93" s="20"/>
      <c r="AC93" s="17">
        <f t="shared" si="47"/>
        <v>2.4159999999999999</v>
      </c>
      <c r="AD93" s="17"/>
      <c r="AE93" s="17">
        <f t="shared" si="38"/>
        <v>0.39977937120794266</v>
      </c>
      <c r="AF93" s="17"/>
      <c r="AG93" s="17">
        <f t="array" ref="AG93">SUM(IF(Period=AG$4,IF(Category=$A$86,IF(Provider=$B93,Score))))</f>
        <v>90.6</v>
      </c>
      <c r="AH93" s="17"/>
      <c r="AI93" s="20">
        <f t="array" ref="AI93">SUM(IF(Period=AG$4,IF(Category=$A$86,IF(Provider=$B93,Responses))))</f>
        <v>8</v>
      </c>
      <c r="AJ93" s="20"/>
      <c r="AK93" s="17">
        <f t="shared" si="48"/>
        <v>2.8202334630350192</v>
      </c>
      <c r="AL93" s="17"/>
      <c r="AM93" s="17">
        <f t="shared" si="39"/>
        <v>0.46943005181347147</v>
      </c>
      <c r="AN93" s="17"/>
      <c r="AO93" s="17">
        <f t="array" ref="AO93">SUM(IF(Period=AO$4,IF(Category=$A$86,IF(Provider=$B93,Score))))</f>
        <v>83.3</v>
      </c>
      <c r="AP93" s="17"/>
      <c r="AQ93" s="20">
        <f t="array" ref="AQ93">SUM(IF(Period=AO$4,IF(Category=$A$86,IF(Provider=$B93,Responses))))</f>
        <v>3</v>
      </c>
      <c r="AR93" s="20"/>
      <c r="AS93" s="17">
        <f t="shared" si="49"/>
        <v>1.478698224852071</v>
      </c>
      <c r="AT93" s="17"/>
      <c r="AU93" s="17">
        <f t="shared" si="40"/>
        <v>0.24356725146198829</v>
      </c>
      <c r="AV93" s="17"/>
      <c r="AW93" s="17">
        <f t="array" ref="AW93">SUM(IF(Period=AW$4,IF(Category=$A$86,IF(Provider=$B93,Score))))</f>
        <v>91.7</v>
      </c>
      <c r="AX93" s="17"/>
      <c r="AY93" s="20">
        <f t="array" ref="AY93">SUM(IF(Period=AW$4,IF(Category=$A$86,IF(Provider=$B93,Responses))))</f>
        <v>3</v>
      </c>
      <c r="AZ93" s="20"/>
      <c r="BA93" s="17">
        <f t="shared" si="50"/>
        <v>1.2795348837209302</v>
      </c>
      <c r="BB93" s="17"/>
      <c r="BC93" s="17">
        <f t="shared" si="41"/>
        <v>0.21129032258064517</v>
      </c>
      <c r="BD93" s="17"/>
      <c r="BE93" s="17">
        <f t="array" ref="BE93">SUM(IF(Period=BE$4,IF(Category=$A$86,IF(Provider=$B93,Score))))</f>
        <v>67.3</v>
      </c>
      <c r="BF93" s="17"/>
      <c r="BG93" s="20">
        <f t="array" ref="BG93">SUM(IF(Period=BE$4,IF(Category=$A$86,IF(Provider=$B93,Responses))))</f>
        <v>13</v>
      </c>
      <c r="BH93" s="20"/>
      <c r="BI93" s="17">
        <f t="shared" si="51"/>
        <v>3.7229787234042551</v>
      </c>
      <c r="BJ93" s="17"/>
      <c r="BK93" s="17">
        <f t="shared" si="42"/>
        <v>0.61830388692579497</v>
      </c>
      <c r="BL93" s="17"/>
      <c r="BM93" s="17">
        <f t="array" ref="BM93">SUM(IF(Period=BM$4,IF(Category=$A$86,IF(Provider=$B93,Score))))</f>
        <v>93.8</v>
      </c>
      <c r="BN93" s="17"/>
      <c r="BO93" s="20">
        <f t="array" ref="BO93">SUM(IF(Period=BM$4,IF(Category=$A$86,IF(Provider=$B93,Responses))))</f>
        <v>12</v>
      </c>
      <c r="BP93" s="20"/>
      <c r="BQ93" s="17">
        <f t="shared" si="52"/>
        <v>4.9585903083700442</v>
      </c>
      <c r="BR93" s="17"/>
      <c r="BS93" s="17">
        <f t="shared" si="43"/>
        <v>0.81212121212121213</v>
      </c>
      <c r="BT93" s="17"/>
      <c r="BU93" s="17">
        <f t="array" ref="BU93">SUM(IF(Period=BU$4,IF(Category=$A$86,IF(Provider=$B93,Score))))</f>
        <v>100</v>
      </c>
      <c r="BV93" s="17"/>
      <c r="BW93" s="20">
        <f t="array" ref="BW93">SUM(IF(Period=BU$4,IF(Category=$A$86,IF(Provider=$B93,Responses))))</f>
        <v>5</v>
      </c>
      <c r="BX93" s="20"/>
      <c r="BY93" s="17">
        <f t="shared" si="53"/>
        <v>2.083333333333333</v>
      </c>
      <c r="BZ93" s="17"/>
      <c r="CA93" s="17">
        <f t="shared" si="44"/>
        <v>0.3455425017277125</v>
      </c>
    </row>
    <row r="94" spans="1:79" outlineLevel="1" x14ac:dyDescent="0.25">
      <c r="B94" t="s">
        <v>15</v>
      </c>
      <c r="C94" s="17">
        <v>0</v>
      </c>
      <c r="D94" s="17"/>
      <c r="E94" s="17">
        <v>0</v>
      </c>
      <c r="F94" s="17"/>
      <c r="G94" s="17">
        <v>0</v>
      </c>
      <c r="H94" s="17"/>
      <c r="I94" s="17">
        <f t="array" ref="I94">SUM(IF(Period=I$4,IF(Category=$A$86,IF(Provider=$B94,Score))))</f>
        <v>80</v>
      </c>
      <c r="J94" s="17"/>
      <c r="K94" s="20">
        <f t="array" ref="K94">SUM(IF(Period=I$4,IF(Category=$A$86,IF(Provider=$B94,Responses))))</f>
        <v>5</v>
      </c>
      <c r="L94" s="20"/>
      <c r="M94" s="17">
        <f t="shared" si="45"/>
        <v>2</v>
      </c>
      <c r="N94" s="17"/>
      <c r="O94" s="17">
        <f t="shared" si="36"/>
        <v>0.33085194375516958</v>
      </c>
      <c r="P94" s="17"/>
      <c r="Q94" s="17">
        <f t="array" ref="Q94">SUM(IF(Period=Q$4,IF(Category=$A$86,IF(Provider=$B94,Score))))</f>
        <v>75</v>
      </c>
      <c r="R94" s="17"/>
      <c r="S94" s="20">
        <f t="array" ref="S94">SUM(IF(Period=Q$4,IF(Category=$A$86,IF(Provider=$B94,Responses))))</f>
        <v>3</v>
      </c>
      <c r="T94" s="20"/>
      <c r="U94" s="17">
        <f t="shared" si="46"/>
        <v>1.2295081967213115</v>
      </c>
      <c r="V94" s="17"/>
      <c r="W94" s="17">
        <f t="shared" si="37"/>
        <v>0.20053475935828877</v>
      </c>
      <c r="X94" s="17"/>
      <c r="Y94" s="17">
        <f t="array" ref="Y94">SUM(IF(Period=Y$4,IF(Category=$A$86,IF(Provider=$B94,Score))))</f>
        <v>0</v>
      </c>
      <c r="Z94" s="17"/>
      <c r="AA94" s="20">
        <f t="array" ref="AA94">SUM(IF(Period=Y$4,IF(Category=$A$86,IF(Provider=$B94,Responses))))</f>
        <v>0</v>
      </c>
      <c r="AB94" s="20"/>
      <c r="AC94" s="17">
        <f t="shared" si="47"/>
        <v>0</v>
      </c>
      <c r="AD94" s="17"/>
      <c r="AE94" s="17">
        <f t="shared" si="38"/>
        <v>0</v>
      </c>
      <c r="AF94" s="17"/>
      <c r="AG94" s="17">
        <f t="array" ref="AG94">SUM(IF(Period=AG$4,IF(Category=$A$86,IF(Provider=$B94,Score))))</f>
        <v>0</v>
      </c>
      <c r="AH94" s="17"/>
      <c r="AI94" s="20">
        <f t="array" ref="AI94">SUM(IF(Period=AG$4,IF(Category=$A$86,IF(Provider=$B94,Responses))))</f>
        <v>0</v>
      </c>
      <c r="AJ94" s="20"/>
      <c r="AK94" s="17">
        <f t="shared" si="48"/>
        <v>0</v>
      </c>
      <c r="AL94" s="17"/>
      <c r="AM94" s="17">
        <f t="shared" si="39"/>
        <v>0</v>
      </c>
      <c r="AN94" s="17"/>
      <c r="AO94" s="17">
        <f t="array" ref="AO94">SUM(IF(Period=AO$4,IF(Category=$A$86,IF(Provider=$B94,Score))))</f>
        <v>0</v>
      </c>
      <c r="AP94" s="17"/>
      <c r="AQ94" s="20">
        <f t="array" ref="AQ94">SUM(IF(Period=AO$4,IF(Category=$A$86,IF(Provider=$B94,Responses))))</f>
        <v>0</v>
      </c>
      <c r="AR94" s="20"/>
      <c r="AS94" s="17">
        <f t="shared" si="49"/>
        <v>0</v>
      </c>
      <c r="AT94" s="17"/>
      <c r="AU94" s="17">
        <f t="shared" si="40"/>
        <v>0</v>
      </c>
      <c r="AV94" s="17"/>
      <c r="AW94" s="17">
        <f t="array" ref="AW94">SUM(IF(Period=AW$4,IF(Category=$A$86,IF(Provider=$B94,Score))))</f>
        <v>0</v>
      </c>
      <c r="AX94" s="17"/>
      <c r="AY94" s="20">
        <f t="array" ref="AY94">SUM(IF(Period=AW$4,IF(Category=$A$86,IF(Provider=$B94,Responses))))</f>
        <v>0</v>
      </c>
      <c r="AZ94" s="20"/>
      <c r="BA94" s="17">
        <f t="shared" si="50"/>
        <v>0</v>
      </c>
      <c r="BB94" s="17"/>
      <c r="BC94" s="17">
        <f t="shared" si="41"/>
        <v>0</v>
      </c>
      <c r="BD94" s="17"/>
      <c r="BE94" s="17">
        <f t="array" ref="BE94">SUM(IF(Period=BE$4,IF(Category=$A$86,IF(Provider=$B94,Score))))</f>
        <v>0</v>
      </c>
      <c r="BF94" s="17"/>
      <c r="BG94" s="20">
        <f t="array" ref="BG94">SUM(IF(Period=BE$4,IF(Category=$A$86,IF(Provider=$B94,Responses))))</f>
        <v>0</v>
      </c>
      <c r="BH94" s="20"/>
      <c r="BI94" s="17">
        <f t="shared" si="51"/>
        <v>0</v>
      </c>
      <c r="BJ94" s="17"/>
      <c r="BK94" s="17">
        <f t="shared" si="42"/>
        <v>0</v>
      </c>
      <c r="BL94" s="17"/>
      <c r="BM94" s="17">
        <f t="array" ref="BM94">SUM(IF(Period=BM$4,IF(Category=$A$86,IF(Provider=$B94,Score))))</f>
        <v>0</v>
      </c>
      <c r="BN94" s="17"/>
      <c r="BO94" s="20">
        <f t="array" ref="BO94">SUM(IF(Period=BM$4,IF(Category=$A$86,IF(Provider=$B94,Responses))))</f>
        <v>0</v>
      </c>
      <c r="BP94" s="20"/>
      <c r="BQ94" s="17">
        <f t="shared" si="52"/>
        <v>0</v>
      </c>
      <c r="BR94" s="17"/>
      <c r="BS94" s="17">
        <f t="shared" si="43"/>
        <v>0</v>
      </c>
      <c r="BT94" s="17"/>
      <c r="BU94" s="17">
        <f t="array" ref="BU94">SUM(IF(Period=BU$4,IF(Category=$A$86,IF(Provider=$B94,Score))))</f>
        <v>0</v>
      </c>
      <c r="BV94" s="17"/>
      <c r="BW94" s="20">
        <f t="array" ref="BW94">SUM(IF(Period=BU$4,IF(Category=$A$86,IF(Provider=$B94,Responses))))</f>
        <v>0</v>
      </c>
      <c r="BX94" s="20"/>
      <c r="BY94" s="17">
        <f t="shared" si="53"/>
        <v>0</v>
      </c>
      <c r="BZ94" s="17"/>
      <c r="CA94" s="17">
        <f t="shared" si="44"/>
        <v>0</v>
      </c>
    </row>
    <row r="95" spans="1:79" outlineLevel="1" x14ac:dyDescent="0.25">
      <c r="B95" t="s">
        <v>33</v>
      </c>
      <c r="C95" s="17">
        <v>0</v>
      </c>
      <c r="D95" s="17"/>
      <c r="E95" s="17">
        <v>0</v>
      </c>
      <c r="F95" s="17"/>
      <c r="G95" s="17">
        <v>0</v>
      </c>
      <c r="H95" s="17"/>
      <c r="I95" s="17">
        <f t="array" ref="I95">SUM(IF(Period=I$4,IF(Category=$A$86,IF(Provider=$B95,Score))))</f>
        <v>71.900000000000006</v>
      </c>
      <c r="J95" s="17"/>
      <c r="K95" s="20">
        <f t="array" ref="K95">SUM(IF(Period=I$4,IF(Category=$A$86,IF(Provider=$B95,Responses))))</f>
        <v>8</v>
      </c>
      <c r="L95" s="20"/>
      <c r="M95" s="17">
        <f t="shared" si="45"/>
        <v>2.8760000000000003</v>
      </c>
      <c r="N95" s="17"/>
      <c r="O95" s="17">
        <f t="shared" si="36"/>
        <v>0.47576509511993387</v>
      </c>
      <c r="P95" s="17"/>
      <c r="Q95" s="17">
        <f t="array" ref="Q95">SUM(IF(Period=Q$4,IF(Category=$A$86,IF(Provider=$B95,Score))))</f>
        <v>65</v>
      </c>
      <c r="R95" s="17"/>
      <c r="S95" s="20">
        <f t="array" ref="S95">SUM(IF(Period=Q$4,IF(Category=$A$86,IF(Provider=$B95,Responses))))</f>
        <v>5</v>
      </c>
      <c r="T95" s="20"/>
      <c r="U95" s="17">
        <f t="shared" si="46"/>
        <v>1.7759562841530054</v>
      </c>
      <c r="V95" s="17"/>
      <c r="W95" s="17">
        <f t="shared" si="37"/>
        <v>0.28966131907308379</v>
      </c>
      <c r="X95" s="17"/>
      <c r="Y95" s="17">
        <f t="array" ref="Y95">SUM(IF(Period=Y$4,IF(Category=$A$86,IF(Provider=$B95,Score))))</f>
        <v>75</v>
      </c>
      <c r="Z95" s="17"/>
      <c r="AA95" s="20">
        <f t="array" ref="AA95">SUM(IF(Period=Y$4,IF(Category=$A$86,IF(Provider=$B95,Responses))))</f>
        <v>11</v>
      </c>
      <c r="AB95" s="20"/>
      <c r="AC95" s="17">
        <f t="shared" si="47"/>
        <v>2.75</v>
      </c>
      <c r="AD95" s="17"/>
      <c r="AE95" s="17">
        <f t="shared" si="38"/>
        <v>0.45504688361831219</v>
      </c>
      <c r="AF95" s="17"/>
      <c r="AG95" s="17">
        <f t="array" ref="AG95">SUM(IF(Period=AG$4,IF(Category=$A$86,IF(Provider=$B95,Score))))</f>
        <v>94.4</v>
      </c>
      <c r="AH95" s="17"/>
      <c r="AI95" s="20">
        <f t="array" ref="AI95">SUM(IF(Period=AG$4,IF(Category=$A$86,IF(Provider=$B95,Responses))))</f>
        <v>9</v>
      </c>
      <c r="AJ95" s="20"/>
      <c r="AK95" s="17">
        <f t="shared" si="48"/>
        <v>3.3058365758754866</v>
      </c>
      <c r="AL95" s="17"/>
      <c r="AM95" s="17">
        <f t="shared" si="39"/>
        <v>0.55025906735751295</v>
      </c>
      <c r="AN95" s="17"/>
      <c r="AO95" s="17">
        <f t="array" ref="AO95">SUM(IF(Period=AO$4,IF(Category=$A$86,IF(Provider=$B95,Score))))</f>
        <v>83.3</v>
      </c>
      <c r="AP95" s="17"/>
      <c r="AQ95" s="20">
        <f t="array" ref="AQ95">SUM(IF(Period=AO$4,IF(Category=$A$86,IF(Provider=$B95,Responses))))</f>
        <v>12</v>
      </c>
      <c r="AR95" s="20"/>
      <c r="AS95" s="17">
        <f t="shared" si="49"/>
        <v>5.9147928994082841</v>
      </c>
      <c r="AT95" s="17"/>
      <c r="AU95" s="17">
        <f t="shared" si="40"/>
        <v>0.97426900584795317</v>
      </c>
      <c r="AV95" s="17"/>
      <c r="AW95" s="17">
        <f t="array" ref="AW95">SUM(IF(Period=AW$4,IF(Category=$A$86,IF(Provider=$B95,Score))))</f>
        <v>84.4</v>
      </c>
      <c r="AX95" s="17"/>
      <c r="AY95" s="20">
        <f t="array" ref="AY95">SUM(IF(Period=AW$4,IF(Category=$A$86,IF(Provider=$B95,Responses))))</f>
        <v>8</v>
      </c>
      <c r="AZ95" s="20"/>
      <c r="BA95" s="17">
        <f t="shared" si="50"/>
        <v>3.1404651162790698</v>
      </c>
      <c r="BB95" s="17"/>
      <c r="BC95" s="17">
        <f t="shared" si="41"/>
        <v>0.51858678955453152</v>
      </c>
      <c r="BD95" s="17"/>
      <c r="BE95" s="17">
        <f t="array" ref="BE95">SUM(IF(Period=BE$4,IF(Category=$A$86,IF(Provider=$B95,Score))))</f>
        <v>68.8</v>
      </c>
      <c r="BF95" s="17"/>
      <c r="BG95" s="20">
        <f t="array" ref="BG95">SUM(IF(Period=BE$4,IF(Category=$A$86,IF(Provider=$B95,Responses))))</f>
        <v>4</v>
      </c>
      <c r="BH95" s="20"/>
      <c r="BI95" s="17">
        <f t="shared" si="51"/>
        <v>1.171063829787234</v>
      </c>
      <c r="BJ95" s="17"/>
      <c r="BK95" s="17">
        <f t="shared" si="42"/>
        <v>0.19448763250883391</v>
      </c>
      <c r="BL95" s="17"/>
      <c r="BM95" s="17">
        <f t="array" ref="BM95">SUM(IF(Period=BM$4,IF(Category=$A$86,IF(Provider=$B95,Score))))</f>
        <v>71.2</v>
      </c>
      <c r="BN95" s="17"/>
      <c r="BO95" s="20">
        <f t="array" ref="BO95">SUM(IF(Period=BM$4,IF(Category=$A$86,IF(Provider=$B95,Responses))))</f>
        <v>13</v>
      </c>
      <c r="BP95" s="20"/>
      <c r="BQ95" s="17">
        <f t="shared" si="52"/>
        <v>4.0775330396475775</v>
      </c>
      <c r="BR95" s="17"/>
      <c r="BS95" s="17">
        <f t="shared" si="43"/>
        <v>0.66782106782106787</v>
      </c>
      <c r="BT95" s="17"/>
      <c r="BU95" s="17">
        <f t="array" ref="BU95">SUM(IF(Period=BU$4,IF(Category=$A$86,IF(Provider=$B95,Score))))</f>
        <v>69.400000000000006</v>
      </c>
      <c r="BV95" s="17"/>
      <c r="BW95" s="20">
        <f t="array" ref="BW95">SUM(IF(Period=BU$4,IF(Category=$A$86,IF(Provider=$B95,Responses))))</f>
        <v>9</v>
      </c>
      <c r="BX95" s="20"/>
      <c r="BY95" s="17">
        <f t="shared" si="53"/>
        <v>2.6025</v>
      </c>
      <c r="BZ95" s="17"/>
      <c r="CA95" s="17">
        <f t="shared" si="44"/>
        <v>0.43165169315825852</v>
      </c>
    </row>
    <row r="96" spans="1:79" outlineLevel="1" x14ac:dyDescent="0.25">
      <c r="B96" t="s">
        <v>18</v>
      </c>
      <c r="C96" s="17">
        <v>0</v>
      </c>
      <c r="D96" s="17"/>
      <c r="E96" s="17">
        <v>0</v>
      </c>
      <c r="F96" s="17"/>
      <c r="G96" s="17">
        <v>0</v>
      </c>
      <c r="H96" s="17"/>
      <c r="I96" s="17">
        <f t="array" ref="I96">SUM(IF(Period=I$4,IF(Category=$A$86,IF(Provider=$B96,Score))))</f>
        <v>93.8</v>
      </c>
      <c r="J96" s="17"/>
      <c r="K96" s="20">
        <f t="array" ref="K96">SUM(IF(Period=I$4,IF(Category=$A$86,IF(Provider=$B96,Responses))))</f>
        <v>8</v>
      </c>
      <c r="L96" s="20"/>
      <c r="M96" s="17">
        <f t="shared" si="45"/>
        <v>3.7519999999999998</v>
      </c>
      <c r="N96" s="17"/>
      <c r="O96" s="17">
        <f t="shared" si="36"/>
        <v>0.62067824648469805</v>
      </c>
      <c r="P96" s="17"/>
      <c r="Q96" s="17">
        <f t="array" ref="Q96">SUM(IF(Period=Q$4,IF(Category=$A$86,IF(Provider=$B96,Score))))</f>
        <v>62.5</v>
      </c>
      <c r="R96" s="17"/>
      <c r="S96" s="20">
        <f t="array" ref="S96">SUM(IF(Period=Q$4,IF(Category=$A$86,IF(Provider=$B96,Responses))))</f>
        <v>8</v>
      </c>
      <c r="T96" s="20"/>
      <c r="U96" s="17">
        <f t="shared" si="46"/>
        <v>2.7322404371584699</v>
      </c>
      <c r="V96" s="17"/>
      <c r="W96" s="17">
        <f t="shared" si="37"/>
        <v>0.44563279857397503</v>
      </c>
      <c r="X96" s="17"/>
      <c r="Y96" s="17">
        <f t="array" ref="Y96">SUM(IF(Period=Y$4,IF(Category=$A$86,IF(Provider=$B96,Score))))</f>
        <v>76.900000000000006</v>
      </c>
      <c r="Z96" s="17"/>
      <c r="AA96" s="20">
        <f t="array" ref="AA96">SUM(IF(Period=Y$4,IF(Category=$A$86,IF(Provider=$B96,Responses))))</f>
        <v>13</v>
      </c>
      <c r="AB96" s="20"/>
      <c r="AC96" s="17">
        <f t="shared" si="47"/>
        <v>3.3323333333333336</v>
      </c>
      <c r="AD96" s="17"/>
      <c r="AE96" s="17">
        <f t="shared" si="38"/>
        <v>0.55140650854936568</v>
      </c>
      <c r="AF96" s="17"/>
      <c r="AG96" s="17">
        <f t="array" ref="AG96">SUM(IF(Period=AG$4,IF(Category=$A$86,IF(Provider=$B96,Score))))</f>
        <v>87.5</v>
      </c>
      <c r="AH96" s="17"/>
      <c r="AI96" s="20">
        <f t="array" ref="AI96">SUM(IF(Period=AG$4,IF(Category=$A$86,IF(Provider=$B96,Responses))))</f>
        <v>10</v>
      </c>
      <c r="AJ96" s="20"/>
      <c r="AK96" s="17">
        <f t="shared" si="48"/>
        <v>3.404669260700389</v>
      </c>
      <c r="AL96" s="17"/>
      <c r="AM96" s="17">
        <f t="shared" si="39"/>
        <v>0.56670984455958551</v>
      </c>
      <c r="AN96" s="17"/>
      <c r="AO96" s="17">
        <f t="array" ref="AO96">SUM(IF(Period=AO$4,IF(Category=$A$86,IF(Provider=$B96,Score))))</f>
        <v>100</v>
      </c>
      <c r="AP96" s="17"/>
      <c r="AQ96" s="20">
        <f t="array" ref="AQ96">SUM(IF(Period=AO$4,IF(Category=$A$86,IF(Provider=$B96,Responses))))</f>
        <v>8</v>
      </c>
      <c r="AR96" s="20"/>
      <c r="AS96" s="17">
        <f t="shared" si="49"/>
        <v>4.7337278106508878</v>
      </c>
      <c r="AT96" s="17"/>
      <c r="AU96" s="17">
        <f t="shared" si="40"/>
        <v>0.77972709551656916</v>
      </c>
      <c r="AV96" s="17"/>
      <c r="AW96" s="17">
        <f t="array" ref="AW96">SUM(IF(Period=AW$4,IF(Category=$A$86,IF(Provider=$B96,Score))))</f>
        <v>89.3</v>
      </c>
      <c r="AX96" s="17"/>
      <c r="AY96" s="20">
        <f t="array" ref="AY96">SUM(IF(Period=AW$4,IF(Category=$A$86,IF(Provider=$B96,Responses))))</f>
        <v>14</v>
      </c>
      <c r="AZ96" s="20"/>
      <c r="BA96" s="17">
        <f t="shared" si="50"/>
        <v>5.814883720930232</v>
      </c>
      <c r="BB96" s="17"/>
      <c r="BC96" s="17">
        <f t="shared" si="41"/>
        <v>0.96021505376344085</v>
      </c>
      <c r="BD96" s="17"/>
      <c r="BE96" s="17">
        <f t="array" ref="BE96">SUM(IF(Period=BE$4,IF(Category=$A$86,IF(Provider=$B96,Score))))</f>
        <v>95.5</v>
      </c>
      <c r="BF96" s="17"/>
      <c r="BG96" s="20">
        <f t="array" ref="BG96">SUM(IF(Period=BE$4,IF(Category=$A$86,IF(Provider=$B96,Responses))))</f>
        <v>11</v>
      </c>
      <c r="BH96" s="20"/>
      <c r="BI96" s="17">
        <f t="shared" si="51"/>
        <v>4.4702127659574469</v>
      </c>
      <c r="BJ96" s="17"/>
      <c r="BK96" s="17">
        <f t="shared" si="42"/>
        <v>0.74240282685512371</v>
      </c>
      <c r="BL96" s="17"/>
      <c r="BM96" s="17">
        <f t="array" ref="BM96">SUM(IF(Period=BM$4,IF(Category=$A$86,IF(Provider=$B96,Score))))</f>
        <v>92.9</v>
      </c>
      <c r="BN96" s="17"/>
      <c r="BO96" s="20">
        <f t="array" ref="BO96">SUM(IF(Period=BM$4,IF(Category=$A$86,IF(Provider=$B96,Responses))))</f>
        <v>7</v>
      </c>
      <c r="BP96" s="20"/>
      <c r="BQ96" s="17">
        <f t="shared" si="52"/>
        <v>2.8647577092511014</v>
      </c>
      <c r="BR96" s="17"/>
      <c r="BS96" s="17">
        <f t="shared" si="43"/>
        <v>0.46919191919191927</v>
      </c>
      <c r="BT96" s="17"/>
      <c r="BU96" s="17">
        <f t="array" ref="BU96">SUM(IF(Period=BU$4,IF(Category=$A$86,IF(Provider=$B96,Score))))</f>
        <v>87.5</v>
      </c>
      <c r="BV96" s="17"/>
      <c r="BW96" s="20">
        <f t="array" ref="BW96">SUM(IF(Period=BU$4,IF(Category=$A$86,IF(Provider=$B96,Responses))))</f>
        <v>14</v>
      </c>
      <c r="BX96" s="20"/>
      <c r="BY96" s="17">
        <f t="shared" si="53"/>
        <v>5.104166666666667</v>
      </c>
      <c r="BZ96" s="17"/>
      <c r="CA96" s="17">
        <f t="shared" si="44"/>
        <v>0.84657912923289569</v>
      </c>
    </row>
    <row r="97" spans="2:79" outlineLevel="1" x14ac:dyDescent="0.25">
      <c r="B97" t="s">
        <v>16</v>
      </c>
      <c r="C97" s="17">
        <v>0</v>
      </c>
      <c r="D97" s="17"/>
      <c r="E97" s="17">
        <v>0</v>
      </c>
      <c r="F97" s="17"/>
      <c r="G97" s="17">
        <v>0</v>
      </c>
      <c r="H97" s="17"/>
      <c r="I97" s="17">
        <f t="array" ref="I97">SUM(IF(Period=I$4,IF(Category=$A$86,IF(Provider=$B97,Score))))</f>
        <v>93.8</v>
      </c>
      <c r="J97" s="17"/>
      <c r="K97" s="20">
        <f t="array" ref="K97">SUM(IF(Period=I$4,IF(Category=$A$86,IF(Provider=$B97,Responses))))</f>
        <v>4</v>
      </c>
      <c r="L97" s="20"/>
      <c r="M97" s="17">
        <f t="shared" si="45"/>
        <v>1.8759999999999999</v>
      </c>
      <c r="N97" s="17"/>
      <c r="O97" s="17">
        <f t="shared" si="36"/>
        <v>0.31033912324234902</v>
      </c>
      <c r="P97" s="17"/>
      <c r="Q97" s="17">
        <f t="array" ref="Q97">SUM(IF(Period=Q$4,IF(Category=$A$86,IF(Provider=$B97,Score))))</f>
        <v>81.3</v>
      </c>
      <c r="R97" s="17"/>
      <c r="S97" s="20">
        <f t="array" ref="S97">SUM(IF(Period=Q$4,IF(Category=$A$86,IF(Provider=$B97,Responses))))</f>
        <v>4</v>
      </c>
      <c r="T97" s="20"/>
      <c r="U97" s="17">
        <f t="shared" si="46"/>
        <v>1.7770491803278687</v>
      </c>
      <c r="V97" s="17"/>
      <c r="W97" s="17">
        <f t="shared" si="37"/>
        <v>0.28983957219251333</v>
      </c>
      <c r="X97" s="17"/>
      <c r="Y97" s="17">
        <f t="array" ref="Y97">SUM(IF(Period=Y$4,IF(Category=$A$86,IF(Provider=$B97,Score))))</f>
        <v>80</v>
      </c>
      <c r="Z97" s="17"/>
      <c r="AA97" s="20">
        <f t="array" ref="AA97">SUM(IF(Period=Y$4,IF(Category=$A$86,IF(Provider=$B97,Responses))))</f>
        <v>5</v>
      </c>
      <c r="AB97" s="20"/>
      <c r="AC97" s="17">
        <f t="shared" si="47"/>
        <v>1.3333333333333333</v>
      </c>
      <c r="AD97" s="17"/>
      <c r="AE97" s="17">
        <f t="shared" si="38"/>
        <v>0.22062879205736349</v>
      </c>
      <c r="AF97" s="17"/>
      <c r="AG97" s="17">
        <f t="array" ref="AG97">SUM(IF(Period=AG$4,IF(Category=$A$86,IF(Provider=$B97,Score))))</f>
        <v>93.8</v>
      </c>
      <c r="AH97" s="17"/>
      <c r="AI97" s="20">
        <f t="array" ref="AI97">SUM(IF(Period=AG$4,IF(Category=$A$86,IF(Provider=$B97,Responses))))</f>
        <v>4</v>
      </c>
      <c r="AJ97" s="20"/>
      <c r="AK97" s="17">
        <f t="shared" si="48"/>
        <v>1.4599221789883268</v>
      </c>
      <c r="AL97" s="17"/>
      <c r="AM97" s="17">
        <f t="shared" si="39"/>
        <v>0.24300518134715027</v>
      </c>
      <c r="AN97" s="17"/>
      <c r="AO97" s="17">
        <f t="array" ref="AO97">SUM(IF(Period=AO$4,IF(Category=$A$86,IF(Provider=$B97,Score))))</f>
        <v>75</v>
      </c>
      <c r="AP97" s="17"/>
      <c r="AQ97" s="20">
        <f t="array" ref="AQ97">SUM(IF(Period=AO$4,IF(Category=$A$86,IF(Provider=$B97,Responses))))</f>
        <v>2</v>
      </c>
      <c r="AR97" s="20"/>
      <c r="AS97" s="17">
        <f t="shared" si="49"/>
        <v>0.8875739644970414</v>
      </c>
      <c r="AT97" s="17"/>
      <c r="AU97" s="17">
        <f t="shared" si="40"/>
        <v>0.14619883040935672</v>
      </c>
      <c r="AV97" s="17"/>
      <c r="AW97" s="17">
        <f t="array" ref="AW97">SUM(IF(Period=AW$4,IF(Category=$A$86,IF(Provider=$B97,Score))))</f>
        <v>80</v>
      </c>
      <c r="AX97" s="17"/>
      <c r="AY97" s="20">
        <f t="array" ref="AY97">SUM(IF(Period=AW$4,IF(Category=$A$86,IF(Provider=$B97,Responses))))</f>
        <v>5</v>
      </c>
      <c r="AZ97" s="20"/>
      <c r="BA97" s="17">
        <f t="shared" si="50"/>
        <v>1.8604651162790697</v>
      </c>
      <c r="BB97" s="17"/>
      <c r="BC97" s="17">
        <f t="shared" si="41"/>
        <v>0.30721966205837176</v>
      </c>
      <c r="BD97" s="17"/>
      <c r="BE97" s="17">
        <f t="array" ref="BE97">SUM(IF(Period=BE$4,IF(Category=$A$86,IF(Provider=$B97,Score))))</f>
        <v>100</v>
      </c>
      <c r="BF97" s="17"/>
      <c r="BG97" s="20">
        <f t="array" ref="BG97">SUM(IF(Period=BE$4,IF(Category=$A$86,IF(Provider=$B97,Responses))))</f>
        <v>2</v>
      </c>
      <c r="BH97" s="20"/>
      <c r="BI97" s="17">
        <f t="shared" si="51"/>
        <v>0.85106382978723405</v>
      </c>
      <c r="BJ97" s="17"/>
      <c r="BK97" s="17">
        <f t="shared" si="42"/>
        <v>0.14134275618374559</v>
      </c>
      <c r="BL97" s="17"/>
      <c r="BM97" s="17">
        <f t="array" ref="BM97">SUM(IF(Period=BM$4,IF(Category=$A$86,IF(Provider=$B97,Score))))</f>
        <v>91.7</v>
      </c>
      <c r="BN97" s="17"/>
      <c r="BO97" s="20">
        <f t="array" ref="BO97">SUM(IF(Period=BM$4,IF(Category=$A$86,IF(Provider=$B97,Responses))))</f>
        <v>3</v>
      </c>
      <c r="BP97" s="20"/>
      <c r="BQ97" s="17">
        <f t="shared" si="52"/>
        <v>1.2118942731277533</v>
      </c>
      <c r="BR97" s="17"/>
      <c r="BS97" s="17">
        <f t="shared" si="43"/>
        <v>0.19848484848484849</v>
      </c>
      <c r="BT97" s="17"/>
      <c r="BU97" s="17">
        <f t="array" ref="BU97">SUM(IF(Period=BU$4,IF(Category=$A$86,IF(Provider=$B97,Score))))</f>
        <v>75</v>
      </c>
      <c r="BV97" s="17"/>
      <c r="BW97" s="20">
        <f t="array" ref="BW97">SUM(IF(Period=BU$4,IF(Category=$A$86,IF(Provider=$B97,Responses))))</f>
        <v>7</v>
      </c>
      <c r="BX97" s="20"/>
      <c r="BY97" s="17">
        <f t="shared" si="53"/>
        <v>2.1875</v>
      </c>
      <c r="BZ97" s="17"/>
      <c r="CA97" s="17">
        <f t="shared" si="44"/>
        <v>0.36281962681409818</v>
      </c>
    </row>
    <row r="98" spans="2:79" outlineLevel="1" x14ac:dyDescent="0.25">
      <c r="B98" t="s">
        <v>24</v>
      </c>
      <c r="C98" s="17">
        <v>0</v>
      </c>
      <c r="D98" s="17"/>
      <c r="E98" s="17">
        <v>0</v>
      </c>
      <c r="F98" s="17"/>
      <c r="G98" s="17">
        <v>0</v>
      </c>
      <c r="H98" s="17"/>
      <c r="I98" s="17">
        <f t="array" ref="I98">SUM(IF(Period=I$4,IF(Category=$A$86,IF(Provider=$B98,Score))))</f>
        <v>75</v>
      </c>
      <c r="J98" s="17"/>
      <c r="K98" s="20">
        <f t="array" ref="K98">SUM(IF(Period=I$4,IF(Category=$A$86,IF(Provider=$B98,Responses))))</f>
        <v>11</v>
      </c>
      <c r="L98" s="20"/>
      <c r="M98" s="17">
        <f t="shared" si="45"/>
        <v>4.125</v>
      </c>
      <c r="N98" s="17"/>
      <c r="O98" s="17">
        <f t="shared" si="36"/>
        <v>0.68238213399503733</v>
      </c>
      <c r="P98" s="17"/>
      <c r="Q98" s="17">
        <f t="array" ref="Q98">SUM(IF(Period=Q$4,IF(Category=$A$86,IF(Provider=$B98,Score))))</f>
        <v>86.1</v>
      </c>
      <c r="R98" s="17"/>
      <c r="S98" s="20">
        <f t="array" ref="S98">SUM(IF(Period=Q$4,IF(Category=$A$86,IF(Provider=$B98,Responses))))</f>
        <v>9</v>
      </c>
      <c r="T98" s="20"/>
      <c r="U98" s="17">
        <f t="shared" si="46"/>
        <v>4.2344262295081965</v>
      </c>
      <c r="V98" s="17"/>
      <c r="W98" s="17">
        <f t="shared" si="37"/>
        <v>0.69064171122994655</v>
      </c>
      <c r="X98" s="17"/>
      <c r="Y98" s="17">
        <f t="array" ref="Y98">SUM(IF(Period=Y$4,IF(Category=$A$86,IF(Provider=$B98,Score))))</f>
        <v>77.8</v>
      </c>
      <c r="Z98" s="17"/>
      <c r="AA98" s="20">
        <f t="array" ref="AA98">SUM(IF(Period=Y$4,IF(Category=$A$86,IF(Provider=$B98,Responses))))</f>
        <v>18</v>
      </c>
      <c r="AB98" s="20"/>
      <c r="AC98" s="17">
        <f t="shared" si="47"/>
        <v>4.6679999999999993</v>
      </c>
      <c r="AD98" s="17"/>
      <c r="AE98" s="17">
        <f t="shared" si="38"/>
        <v>0.77242140099282952</v>
      </c>
      <c r="AF98" s="17"/>
      <c r="AG98" s="17">
        <f t="array" ref="AG98">SUM(IF(Period=AG$4,IF(Category=$A$86,IF(Provider=$B98,Score))))</f>
        <v>84.4</v>
      </c>
      <c r="AH98" s="17"/>
      <c r="AI98" s="20">
        <f t="array" ref="AI98">SUM(IF(Period=AG$4,IF(Category=$A$86,IF(Provider=$B98,Responses))))</f>
        <v>16</v>
      </c>
      <c r="AJ98" s="20"/>
      <c r="AK98" s="17">
        <f t="shared" si="48"/>
        <v>5.2544747081712062</v>
      </c>
      <c r="AL98" s="17"/>
      <c r="AM98" s="17">
        <f t="shared" si="39"/>
        <v>0.87461139896373064</v>
      </c>
      <c r="AN98" s="17"/>
      <c r="AO98" s="17">
        <f t="array" ref="AO98">SUM(IF(Period=AO$4,IF(Category=$A$86,IF(Provider=$B98,Score))))</f>
        <v>81.3</v>
      </c>
      <c r="AP98" s="17"/>
      <c r="AQ98" s="20">
        <f t="array" ref="AQ98">SUM(IF(Period=AO$4,IF(Category=$A$86,IF(Provider=$B98,Responses))))</f>
        <v>12</v>
      </c>
      <c r="AR98" s="20"/>
      <c r="AS98" s="17">
        <f t="shared" si="49"/>
        <v>5.7727810650887577</v>
      </c>
      <c r="AT98" s="17"/>
      <c r="AU98" s="17">
        <f t="shared" si="40"/>
        <v>0.9508771929824561</v>
      </c>
      <c r="AV98" s="17"/>
      <c r="AW98" s="17">
        <f t="array" ref="AW98">SUM(IF(Period=AW$4,IF(Category=$A$86,IF(Provider=$B98,Score))))</f>
        <v>92.5</v>
      </c>
      <c r="AX98" s="17"/>
      <c r="AY98" s="20">
        <f t="array" ref="AY98">SUM(IF(Period=AW$4,IF(Category=$A$86,IF(Provider=$B98,Responses))))</f>
        <v>10</v>
      </c>
      <c r="AZ98" s="20"/>
      <c r="BA98" s="17">
        <f t="shared" si="50"/>
        <v>4.3023255813953485</v>
      </c>
      <c r="BB98" s="17"/>
      <c r="BC98" s="17">
        <f t="shared" si="41"/>
        <v>0.71044546850998469</v>
      </c>
      <c r="BD98" s="17"/>
      <c r="BE98" s="17">
        <f t="array" ref="BE98">SUM(IF(Period=BE$4,IF(Category=$A$86,IF(Provider=$B98,Score))))</f>
        <v>93.8</v>
      </c>
      <c r="BF98" s="17"/>
      <c r="BG98" s="20">
        <f t="array" ref="BG98">SUM(IF(Period=BE$4,IF(Category=$A$86,IF(Provider=$B98,Responses))))</f>
        <v>8</v>
      </c>
      <c r="BH98" s="20"/>
      <c r="BI98" s="17">
        <f t="shared" si="51"/>
        <v>3.1931914893617019</v>
      </c>
      <c r="BJ98" s="17"/>
      <c r="BK98" s="17">
        <f t="shared" si="42"/>
        <v>0.53031802120141336</v>
      </c>
      <c r="BL98" s="17"/>
      <c r="BM98" s="17">
        <f t="array" ref="BM98">SUM(IF(Period=BM$4,IF(Category=$A$86,IF(Provider=$B98,Score))))</f>
        <v>97.2</v>
      </c>
      <c r="BN98" s="17"/>
      <c r="BO98" s="20">
        <f t="array" ref="BO98">SUM(IF(Period=BM$4,IF(Category=$A$86,IF(Provider=$B98,Responses))))</f>
        <v>9</v>
      </c>
      <c r="BP98" s="20"/>
      <c r="BQ98" s="17">
        <f t="shared" si="52"/>
        <v>3.853744493392071</v>
      </c>
      <c r="BR98" s="17"/>
      <c r="BS98" s="17">
        <f t="shared" si="43"/>
        <v>0.63116883116883127</v>
      </c>
      <c r="BT98" s="17"/>
      <c r="BU98" s="17">
        <f t="array" ref="BU98">SUM(IF(Period=BU$4,IF(Category=$A$86,IF(Provider=$B98,Score))))</f>
        <v>82.1</v>
      </c>
      <c r="BV98" s="17"/>
      <c r="BW98" s="20">
        <f t="array" ref="BW98">SUM(IF(Period=BU$4,IF(Category=$A$86,IF(Provider=$B98,Responses))))</f>
        <v>7</v>
      </c>
      <c r="BX98" s="20"/>
      <c r="BY98" s="17">
        <f t="shared" si="53"/>
        <v>2.3945833333333333</v>
      </c>
      <c r="BZ98" s="17"/>
      <c r="CA98" s="17">
        <f t="shared" si="44"/>
        <v>0.39716655148583274</v>
      </c>
    </row>
    <row r="99" spans="2:79" outlineLevel="1" x14ac:dyDescent="0.25">
      <c r="B99" t="s">
        <v>32</v>
      </c>
      <c r="C99" s="17">
        <v>0</v>
      </c>
      <c r="D99" s="17"/>
      <c r="E99" s="17">
        <v>0</v>
      </c>
      <c r="F99" s="17"/>
      <c r="G99" s="17">
        <v>0</v>
      </c>
      <c r="H99" s="17"/>
      <c r="I99" s="17">
        <f t="array" ref="I99">SUM(IF(Period=I$4,IF(Category=$A$86,IF(Provider=$B99,Score))))</f>
        <v>65.599999999999994</v>
      </c>
      <c r="J99" s="17"/>
      <c r="K99" s="20">
        <f t="array" ref="K99">SUM(IF(Period=I$4,IF(Category=$A$86,IF(Provider=$B99,Responses))))</f>
        <v>8</v>
      </c>
      <c r="L99" s="20"/>
      <c r="M99" s="17">
        <f t="shared" si="45"/>
        <v>2.6239999999999997</v>
      </c>
      <c r="N99" s="17"/>
      <c r="O99" s="17">
        <f t="shared" si="36"/>
        <v>0.43407775020678241</v>
      </c>
      <c r="P99" s="17"/>
      <c r="Q99" s="17">
        <f t="array" ref="Q99">SUM(IF(Period=Q$4,IF(Category=$A$86,IF(Provider=$B99,Score))))</f>
        <v>100</v>
      </c>
      <c r="R99" s="17"/>
      <c r="S99" s="20">
        <f t="array" ref="S99">SUM(IF(Period=Q$4,IF(Category=$A$86,IF(Provider=$B99,Responses))))</f>
        <v>3</v>
      </c>
      <c r="T99" s="20"/>
      <c r="U99" s="17">
        <f t="shared" si="46"/>
        <v>1.639344262295082</v>
      </c>
      <c r="V99" s="17"/>
      <c r="W99" s="17">
        <f t="shared" si="37"/>
        <v>0.26737967914438499</v>
      </c>
      <c r="X99" s="17"/>
      <c r="Y99" s="17">
        <f t="array" ref="Y99">SUM(IF(Period=Y$4,IF(Category=$A$86,IF(Provider=$B99,Score))))</f>
        <v>56.3</v>
      </c>
      <c r="Z99" s="17"/>
      <c r="AA99" s="20">
        <f t="array" ref="AA99">SUM(IF(Period=Y$4,IF(Category=$A$86,IF(Provider=$B99,Responses))))</f>
        <v>8</v>
      </c>
      <c r="AB99" s="20"/>
      <c r="AC99" s="17">
        <f t="shared" si="47"/>
        <v>1.5013333333333334</v>
      </c>
      <c r="AD99" s="17"/>
      <c r="AE99" s="17">
        <f t="shared" si="38"/>
        <v>0.2484280198565913</v>
      </c>
      <c r="AF99" s="17"/>
      <c r="AG99" s="17">
        <f t="array" ref="AG99">SUM(IF(Period=AG$4,IF(Category=$A$86,IF(Provider=$B99,Score))))</f>
        <v>71.900000000000006</v>
      </c>
      <c r="AH99" s="17"/>
      <c r="AI99" s="20">
        <f t="array" ref="AI99">SUM(IF(Period=AG$4,IF(Category=$A$86,IF(Provider=$B99,Responses))))</f>
        <v>8</v>
      </c>
      <c r="AJ99" s="20"/>
      <c r="AK99" s="17">
        <f t="shared" si="48"/>
        <v>2.2381322957198444</v>
      </c>
      <c r="AL99" s="17"/>
      <c r="AM99" s="17">
        <f t="shared" si="39"/>
        <v>0.37253886010362697</v>
      </c>
      <c r="AN99" s="17"/>
      <c r="AO99" s="17">
        <f t="array" ref="AO99">SUM(IF(Period=AO$4,IF(Category=$A$86,IF(Provider=$B99,Score))))</f>
        <v>75</v>
      </c>
      <c r="AP99" s="17"/>
      <c r="AQ99" s="20">
        <f t="array" ref="AQ99">SUM(IF(Period=AO$4,IF(Category=$A$86,IF(Provider=$B99,Responses))))</f>
        <v>3</v>
      </c>
      <c r="AR99" s="20"/>
      <c r="AS99" s="17">
        <f t="shared" si="49"/>
        <v>1.3313609467455623</v>
      </c>
      <c r="AT99" s="17"/>
      <c r="AU99" s="17">
        <f t="shared" si="40"/>
        <v>0.21929824561403508</v>
      </c>
      <c r="AV99" s="17"/>
      <c r="AW99" s="17">
        <f t="array" ref="AW99">SUM(IF(Period=AW$4,IF(Category=$A$86,IF(Provider=$B99,Score))))</f>
        <v>85.7</v>
      </c>
      <c r="AX99" s="17"/>
      <c r="AY99" s="20">
        <f t="array" ref="AY99">SUM(IF(Period=AW$4,IF(Category=$A$86,IF(Provider=$B99,Responses))))</f>
        <v>7</v>
      </c>
      <c r="AZ99" s="20"/>
      <c r="BA99" s="17">
        <f t="shared" si="50"/>
        <v>2.7902325581395351</v>
      </c>
      <c r="BB99" s="17"/>
      <c r="BC99" s="17">
        <f t="shared" si="41"/>
        <v>0.46075268817204307</v>
      </c>
      <c r="BD99" s="17"/>
      <c r="BE99" s="17">
        <f t="array" ref="BE99">SUM(IF(Period=BE$4,IF(Category=$A$86,IF(Provider=$B99,Score))))</f>
        <v>87.5</v>
      </c>
      <c r="BF99" s="17"/>
      <c r="BG99" s="20">
        <f t="array" ref="BG99">SUM(IF(Period=BE$4,IF(Category=$A$86,IF(Provider=$B99,Responses))))</f>
        <v>6</v>
      </c>
      <c r="BH99" s="20"/>
      <c r="BI99" s="17">
        <f t="shared" si="51"/>
        <v>2.2340425531914891</v>
      </c>
      <c r="BJ99" s="17"/>
      <c r="BK99" s="17">
        <f t="shared" si="42"/>
        <v>0.37102473498233213</v>
      </c>
      <c r="BL99" s="17"/>
      <c r="BM99" s="17">
        <f t="array" ref="BM99">SUM(IF(Period=BM$4,IF(Category=$A$86,IF(Provider=$B99,Score))))</f>
        <v>100</v>
      </c>
      <c r="BN99" s="17"/>
      <c r="BO99" s="20">
        <f t="array" ref="BO99">SUM(IF(Period=BM$4,IF(Category=$A$86,IF(Provider=$B99,Responses))))</f>
        <v>6</v>
      </c>
      <c r="BP99" s="20"/>
      <c r="BQ99" s="17">
        <f t="shared" si="52"/>
        <v>2.643171806167401</v>
      </c>
      <c r="BR99" s="17"/>
      <c r="BS99" s="17">
        <f t="shared" si="43"/>
        <v>0.4329004329004329</v>
      </c>
      <c r="BT99" s="17"/>
      <c r="BU99" s="17">
        <f t="array" ref="BU99">SUM(IF(Period=BU$4,IF(Category=$A$86,IF(Provider=$B99,Score))))</f>
        <v>68.8</v>
      </c>
      <c r="BV99" s="17"/>
      <c r="BW99" s="20">
        <f t="array" ref="BW99">SUM(IF(Period=BU$4,IF(Category=$A$86,IF(Provider=$B99,Responses))))</f>
        <v>8</v>
      </c>
      <c r="BX99" s="20"/>
      <c r="BY99" s="17">
        <f t="shared" si="53"/>
        <v>2.293333333333333</v>
      </c>
      <c r="BZ99" s="17"/>
      <c r="CA99" s="17">
        <f t="shared" si="44"/>
        <v>0.38037318590186592</v>
      </c>
    </row>
    <row r="100" spans="2:79" outlineLevel="1" x14ac:dyDescent="0.25">
      <c r="B100" t="s">
        <v>35</v>
      </c>
      <c r="C100" s="17">
        <v>0</v>
      </c>
      <c r="D100" s="17"/>
      <c r="E100" s="17">
        <v>0</v>
      </c>
      <c r="F100" s="17"/>
      <c r="G100" s="17">
        <v>0</v>
      </c>
      <c r="H100" s="17"/>
      <c r="I100" s="17">
        <f t="array" ref="I100">SUM(IF(Period=I$4,IF(Category=$A$86,IF(Provider=$B100,Score))))</f>
        <v>75</v>
      </c>
      <c r="J100" s="17"/>
      <c r="K100" s="20">
        <f t="array" ref="K100">SUM(IF(Period=I$4,IF(Category=$A$86,IF(Provider=$B100,Responses))))</f>
        <v>1</v>
      </c>
      <c r="L100" s="20"/>
      <c r="M100" s="17">
        <f t="shared" si="45"/>
        <v>0.375</v>
      </c>
      <c r="N100" s="17"/>
      <c r="O100" s="17">
        <f t="shared" si="36"/>
        <v>6.2034739454094295E-2</v>
      </c>
      <c r="P100" s="17"/>
      <c r="Q100" s="17">
        <f t="array" ref="Q100">SUM(IF(Period=Q$4,IF(Category=$A$86,IF(Provider=$B100,Score))))</f>
        <v>0</v>
      </c>
      <c r="R100" s="17"/>
      <c r="S100" s="20">
        <f t="array" ref="S100">SUM(IF(Period=Q$4,IF(Category=$A$86,IF(Provider=$B100,Responses))))</f>
        <v>0</v>
      </c>
      <c r="T100" s="20"/>
      <c r="U100" s="17">
        <f t="shared" si="46"/>
        <v>0</v>
      </c>
      <c r="V100" s="17"/>
      <c r="W100" s="17">
        <f t="shared" si="37"/>
        <v>0</v>
      </c>
      <c r="X100" s="17"/>
      <c r="Y100" s="17">
        <f t="array" ref="Y100">SUM(IF(Period=Y$4,IF(Category=$A$86,IF(Provider=$B100,Score))))</f>
        <v>68.8</v>
      </c>
      <c r="Z100" s="17"/>
      <c r="AA100" s="20">
        <f t="array" ref="AA100">SUM(IF(Period=Y$4,IF(Category=$A$86,IF(Provider=$B100,Responses))))</f>
        <v>4</v>
      </c>
      <c r="AB100" s="20"/>
      <c r="AC100" s="17">
        <f t="shared" si="47"/>
        <v>0.91733333333333333</v>
      </c>
      <c r="AD100" s="17"/>
      <c r="AE100" s="17">
        <f t="shared" si="38"/>
        <v>0.15179260893546609</v>
      </c>
      <c r="AF100" s="17"/>
      <c r="AG100" s="17">
        <f t="array" ref="AG100">SUM(IF(Period=AG$4,IF(Category=$A$86,IF(Provider=$B100,Score))))</f>
        <v>50</v>
      </c>
      <c r="AH100" s="17"/>
      <c r="AI100" s="20">
        <f t="array" ref="AI100">SUM(IF(Period=AG$4,IF(Category=$A$86,IF(Provider=$B100,Responses))))</f>
        <v>1</v>
      </c>
      <c r="AJ100" s="20"/>
      <c r="AK100" s="17">
        <f t="shared" si="48"/>
        <v>0.19455252918287938</v>
      </c>
      <c r="AL100" s="17"/>
      <c r="AM100" s="17">
        <f t="shared" si="39"/>
        <v>3.2383419689119175E-2</v>
      </c>
      <c r="AN100" s="17"/>
      <c r="AO100" s="17">
        <f t="array" ref="AO100">SUM(IF(Period=AO$4,IF(Category=$A$86,IF(Provider=$B100,Score))))</f>
        <v>25</v>
      </c>
      <c r="AP100" s="17"/>
      <c r="AQ100" s="20">
        <f t="array" ref="AQ100">SUM(IF(Period=AO$4,IF(Category=$A$86,IF(Provider=$B100,Responses))))</f>
        <v>1</v>
      </c>
      <c r="AR100" s="20"/>
      <c r="AS100" s="17">
        <f t="shared" si="49"/>
        <v>0.14792899408284024</v>
      </c>
      <c r="AT100" s="17"/>
      <c r="AU100" s="17">
        <f t="shared" si="40"/>
        <v>2.4366471734892786E-2</v>
      </c>
      <c r="AV100" s="17"/>
      <c r="AW100" s="17">
        <f t="array" ref="AW100">SUM(IF(Period=AW$4,IF(Category=$A$86,IF(Provider=$B100,Score))))</f>
        <v>85.7</v>
      </c>
      <c r="AX100" s="17"/>
      <c r="AY100" s="20">
        <f t="array" ref="AY100">SUM(IF(Period=AW$4,IF(Category=$A$86,IF(Provider=$B100,Responses))))</f>
        <v>7</v>
      </c>
      <c r="AZ100" s="20"/>
      <c r="BA100" s="17">
        <f t="shared" si="50"/>
        <v>2.7902325581395351</v>
      </c>
      <c r="BB100" s="17"/>
      <c r="BC100" s="17">
        <f t="shared" si="41"/>
        <v>0.46075268817204307</v>
      </c>
      <c r="BD100" s="17"/>
      <c r="BE100" s="17">
        <f t="array" ref="BE100">SUM(IF(Period=BE$4,IF(Category=$A$86,IF(Provider=$B100,Score))))</f>
        <v>71.400000000000006</v>
      </c>
      <c r="BF100" s="17"/>
      <c r="BG100" s="20">
        <f t="array" ref="BG100">SUM(IF(Period=BE$4,IF(Category=$A$86,IF(Provider=$B100,Responses))))</f>
        <v>7</v>
      </c>
      <c r="BH100" s="20"/>
      <c r="BI100" s="17">
        <f t="shared" si="51"/>
        <v>2.1268085106382983</v>
      </c>
      <c r="BJ100" s="17"/>
      <c r="BK100" s="17">
        <f t="shared" si="42"/>
        <v>0.35321554770318025</v>
      </c>
      <c r="BL100" s="17"/>
      <c r="BM100" s="17">
        <f t="array" ref="BM100">SUM(IF(Period=BM$4,IF(Category=$A$86,IF(Provider=$B100,Score))))</f>
        <v>100</v>
      </c>
      <c r="BN100" s="17"/>
      <c r="BO100" s="20">
        <f t="array" ref="BO100">SUM(IF(Period=BM$4,IF(Category=$A$86,IF(Provider=$B100,Responses))))</f>
        <v>3</v>
      </c>
      <c r="BP100" s="20"/>
      <c r="BQ100" s="17">
        <f t="shared" si="52"/>
        <v>1.3215859030837005</v>
      </c>
      <c r="BR100" s="17"/>
      <c r="BS100" s="17">
        <f t="shared" si="43"/>
        <v>0.21645021645021645</v>
      </c>
      <c r="BT100" s="17"/>
      <c r="BU100" s="17">
        <f t="array" ref="BU100">SUM(IF(Period=BU$4,IF(Category=$A$86,IF(Provider=$B100,Score))))</f>
        <v>75</v>
      </c>
      <c r="BV100" s="17"/>
      <c r="BW100" s="20">
        <f t="array" ref="BW100">SUM(IF(Period=BU$4,IF(Category=$A$86,IF(Provider=$B100,Responses))))</f>
        <v>1</v>
      </c>
      <c r="BX100" s="20"/>
      <c r="BY100" s="17">
        <f t="shared" si="53"/>
        <v>0.3125</v>
      </c>
      <c r="BZ100" s="17"/>
      <c r="CA100" s="17">
        <f t="shared" si="44"/>
        <v>5.1831375259156875E-2</v>
      </c>
    </row>
    <row r="101" spans="2:79" outlineLevel="1" x14ac:dyDescent="0.25">
      <c r="B101" t="s">
        <v>36</v>
      </c>
      <c r="C101" s="17">
        <v>0</v>
      </c>
      <c r="D101" s="17"/>
      <c r="E101" s="17">
        <v>0</v>
      </c>
      <c r="F101" s="17"/>
      <c r="G101" s="17">
        <v>0</v>
      </c>
      <c r="H101" s="17"/>
      <c r="I101" s="17">
        <f t="array" ref="I101">SUM(IF(Period=I$4,IF(Category=$A$86,IF(Provider=$B101,Score))))</f>
        <v>60.7</v>
      </c>
      <c r="J101" s="17"/>
      <c r="K101" s="20">
        <f t="array" ref="K101">SUM(IF(Period=I$4,IF(Category=$A$86,IF(Provider=$B101,Responses))))</f>
        <v>7</v>
      </c>
      <c r="L101" s="20"/>
      <c r="M101" s="17">
        <f t="shared" si="45"/>
        <v>2.1245000000000003</v>
      </c>
      <c r="N101" s="17"/>
      <c r="O101" s="17">
        <f t="shared" si="36"/>
        <v>0.35144747725392889</v>
      </c>
      <c r="P101" s="17"/>
      <c r="Q101" s="17">
        <f t="array" ref="Q101">SUM(IF(Period=Q$4,IF(Category=$A$86,IF(Provider=$B101,Score))))</f>
        <v>87.5</v>
      </c>
      <c r="R101" s="17"/>
      <c r="S101" s="20">
        <f t="array" ref="S101">SUM(IF(Period=Q$4,IF(Category=$A$86,IF(Provider=$B101,Responses))))</f>
        <v>4</v>
      </c>
      <c r="T101" s="20"/>
      <c r="U101" s="17">
        <f t="shared" si="46"/>
        <v>1.9125683060109289</v>
      </c>
      <c r="V101" s="17"/>
      <c r="W101" s="17">
        <f t="shared" si="37"/>
        <v>0.31194295900178254</v>
      </c>
      <c r="X101" s="17"/>
      <c r="Y101" s="17">
        <f t="array" ref="Y101">SUM(IF(Period=Y$4,IF(Category=$A$86,IF(Provider=$B101,Score))))</f>
        <v>86.1</v>
      </c>
      <c r="Z101" s="17"/>
      <c r="AA101" s="20">
        <f t="array" ref="AA101">SUM(IF(Period=Y$4,IF(Category=$A$86,IF(Provider=$B101,Responses))))</f>
        <v>9</v>
      </c>
      <c r="AB101" s="20"/>
      <c r="AC101" s="17">
        <f t="shared" si="47"/>
        <v>2.5829999999999997</v>
      </c>
      <c r="AD101" s="17"/>
      <c r="AE101" s="17">
        <f t="shared" si="38"/>
        <v>0.42741312741312737</v>
      </c>
      <c r="AF101" s="17"/>
      <c r="AG101" s="17">
        <f t="array" ref="AG101">SUM(IF(Period=AG$4,IF(Category=$A$86,IF(Provider=$B101,Score))))</f>
        <v>44.4</v>
      </c>
      <c r="AH101" s="17"/>
      <c r="AI101" s="20">
        <f t="array" ref="AI101">SUM(IF(Period=AG$4,IF(Category=$A$86,IF(Provider=$B101,Responses))))</f>
        <v>9</v>
      </c>
      <c r="AJ101" s="20"/>
      <c r="AK101" s="17">
        <f t="shared" si="48"/>
        <v>1.554863813229572</v>
      </c>
      <c r="AL101" s="17"/>
      <c r="AM101" s="17">
        <f t="shared" si="39"/>
        <v>0.25880829015544038</v>
      </c>
      <c r="AN101" s="17"/>
      <c r="AO101" s="17">
        <f t="array" ref="AO101">SUM(IF(Period=AO$4,IF(Category=$A$86,IF(Provider=$B101,Score))))</f>
        <v>58.3</v>
      </c>
      <c r="AP101" s="17"/>
      <c r="AQ101" s="20">
        <f t="array" ref="AQ101">SUM(IF(Period=AO$4,IF(Category=$A$86,IF(Provider=$B101,Responses))))</f>
        <v>6</v>
      </c>
      <c r="AR101" s="20"/>
      <c r="AS101" s="17">
        <f t="shared" si="49"/>
        <v>2.0698224852071005</v>
      </c>
      <c r="AT101" s="17"/>
      <c r="AU101" s="17">
        <f t="shared" si="40"/>
        <v>0.34093567251461987</v>
      </c>
      <c r="AV101" s="17"/>
      <c r="AW101" s="17">
        <f t="array" ref="AW101">SUM(IF(Period=AW$4,IF(Category=$A$86,IF(Provider=$B101,Score))))</f>
        <v>83.3</v>
      </c>
      <c r="AX101" s="17"/>
      <c r="AY101" s="20">
        <f t="array" ref="AY101">SUM(IF(Period=AW$4,IF(Category=$A$86,IF(Provider=$B101,Responses))))</f>
        <v>3</v>
      </c>
      <c r="AZ101" s="20"/>
      <c r="BA101" s="17">
        <f t="shared" si="50"/>
        <v>1.1623255813953488</v>
      </c>
      <c r="BB101" s="17"/>
      <c r="BC101" s="17">
        <f t="shared" si="41"/>
        <v>0.19193548387096773</v>
      </c>
      <c r="BD101" s="17"/>
      <c r="BE101" s="17">
        <f t="array" ref="BE101">SUM(IF(Period=BE$4,IF(Category=$A$86,IF(Provider=$B101,Score))))</f>
        <v>89.6</v>
      </c>
      <c r="BF101" s="17"/>
      <c r="BG101" s="20">
        <f t="array" ref="BG101">SUM(IF(Period=BE$4,IF(Category=$A$86,IF(Provider=$B101,Responses))))</f>
        <v>12</v>
      </c>
      <c r="BH101" s="20"/>
      <c r="BI101" s="17">
        <f t="shared" si="51"/>
        <v>4.5753191489361695</v>
      </c>
      <c r="BJ101" s="17"/>
      <c r="BK101" s="17">
        <f t="shared" si="42"/>
        <v>0.75985865724381618</v>
      </c>
      <c r="BL101" s="17"/>
      <c r="BM101" s="17">
        <f t="array" ref="BM101">SUM(IF(Period=BM$4,IF(Category=$A$86,IF(Provider=$B101,Score))))</f>
        <v>87.5</v>
      </c>
      <c r="BN101" s="17"/>
      <c r="BO101" s="20">
        <f t="array" ref="BO101">SUM(IF(Period=BM$4,IF(Category=$A$86,IF(Provider=$B101,Responses))))</f>
        <v>2</v>
      </c>
      <c r="BP101" s="20"/>
      <c r="BQ101" s="17">
        <f t="shared" si="52"/>
        <v>0.7709251101321587</v>
      </c>
      <c r="BR101" s="17"/>
      <c r="BS101" s="17">
        <f t="shared" si="43"/>
        <v>0.12626262626262627</v>
      </c>
      <c r="BT101" s="17"/>
      <c r="BU101" s="17">
        <f t="array" ref="BU101">SUM(IF(Period=BU$4,IF(Category=$A$86,IF(Provider=$B101,Score))))</f>
        <v>80.400000000000006</v>
      </c>
      <c r="BV101" s="17"/>
      <c r="BW101" s="20">
        <f t="array" ref="BW101">SUM(IF(Period=BU$4,IF(Category=$A$86,IF(Provider=$B101,Responses))))</f>
        <v>14</v>
      </c>
      <c r="BX101" s="20"/>
      <c r="BY101" s="17">
        <f t="shared" si="53"/>
        <v>4.6900000000000004</v>
      </c>
      <c r="BZ101" s="17"/>
      <c r="CA101" s="17">
        <f t="shared" si="44"/>
        <v>0.77788527988942646</v>
      </c>
    </row>
    <row r="102" spans="2:79" outlineLevel="1" x14ac:dyDescent="0.25">
      <c r="B102" t="s">
        <v>23</v>
      </c>
      <c r="C102" s="17">
        <v>0</v>
      </c>
      <c r="D102" s="17"/>
      <c r="E102" s="17">
        <v>0</v>
      </c>
      <c r="F102" s="17"/>
      <c r="G102" s="17">
        <v>0</v>
      </c>
      <c r="H102" s="17"/>
      <c r="I102" s="17">
        <f t="array" ref="I102">SUM(IF(Period=I$4,IF(Category=$A$86,IF(Provider=$B102,Score))))</f>
        <v>88.6</v>
      </c>
      <c r="J102" s="17"/>
      <c r="K102" s="20">
        <f t="array" ref="K102">SUM(IF(Period=I$4,IF(Category=$A$86,IF(Provider=$B102,Responses))))</f>
        <v>11</v>
      </c>
      <c r="L102" s="20"/>
      <c r="M102" s="17">
        <f t="shared" si="45"/>
        <v>4.8729999999999993</v>
      </c>
      <c r="N102" s="17"/>
      <c r="O102" s="17">
        <f t="shared" si="36"/>
        <v>0.80612076095947072</v>
      </c>
      <c r="P102" s="17"/>
      <c r="Q102" s="17">
        <f t="array" ref="Q102">SUM(IF(Period=Q$4,IF(Category=$A$86,IF(Provider=$B102,Score))))</f>
        <v>100</v>
      </c>
      <c r="R102" s="17"/>
      <c r="S102" s="20">
        <f t="array" ref="S102">SUM(IF(Period=Q$4,IF(Category=$A$86,IF(Provider=$B102,Responses))))</f>
        <v>4</v>
      </c>
      <c r="T102" s="20"/>
      <c r="U102" s="17">
        <f t="shared" si="46"/>
        <v>2.1857923497267762</v>
      </c>
      <c r="V102" s="17"/>
      <c r="W102" s="17">
        <f t="shared" si="37"/>
        <v>0.35650623885918004</v>
      </c>
      <c r="X102" s="17"/>
      <c r="Y102" s="17">
        <f t="array" ref="Y102">SUM(IF(Period=Y$4,IF(Category=$A$86,IF(Provider=$B102,Score))))</f>
        <v>60</v>
      </c>
      <c r="Z102" s="17"/>
      <c r="AA102" s="20">
        <f t="array" ref="AA102">SUM(IF(Period=Y$4,IF(Category=$A$86,IF(Provider=$B102,Responses))))</f>
        <v>10</v>
      </c>
      <c r="AB102" s="20"/>
      <c r="AC102" s="17">
        <f t="shared" si="47"/>
        <v>2</v>
      </c>
      <c r="AD102" s="17"/>
      <c r="AE102" s="17">
        <f t="shared" si="38"/>
        <v>0.33094318808604523</v>
      </c>
      <c r="AF102" s="17"/>
      <c r="AG102" s="17">
        <f t="array" ref="AG102">SUM(IF(Period=AG$4,IF(Category=$A$86,IF(Provider=$B102,Score))))</f>
        <v>75</v>
      </c>
      <c r="AH102" s="17"/>
      <c r="AI102" s="20">
        <f t="array" ref="AI102">SUM(IF(Period=AG$4,IF(Category=$A$86,IF(Provider=$B102,Responses))))</f>
        <v>6</v>
      </c>
      <c r="AJ102" s="20"/>
      <c r="AK102" s="17">
        <f t="shared" si="48"/>
        <v>1.7509727626459144</v>
      </c>
      <c r="AL102" s="17"/>
      <c r="AM102" s="17">
        <f t="shared" si="39"/>
        <v>0.29145077720207252</v>
      </c>
      <c r="AN102" s="17"/>
      <c r="AO102" s="17">
        <f t="array" ref="AO102">SUM(IF(Period=AO$4,IF(Category=$A$86,IF(Provider=$B102,Score))))</f>
        <v>81.8</v>
      </c>
      <c r="AP102" s="17"/>
      <c r="AQ102" s="20">
        <f t="array" ref="AQ102">SUM(IF(Period=AO$4,IF(Category=$A$86,IF(Provider=$B102,Responses))))</f>
        <v>11</v>
      </c>
      <c r="AR102" s="20"/>
      <c r="AS102" s="17">
        <f t="shared" si="49"/>
        <v>5.3242603550295859</v>
      </c>
      <c r="AT102" s="17"/>
      <c r="AU102" s="17">
        <f t="shared" si="40"/>
        <v>0.87699805068226111</v>
      </c>
      <c r="AV102" s="17"/>
      <c r="AW102" s="17">
        <f t="array" ref="AW102">SUM(IF(Period=AW$4,IF(Category=$A$86,IF(Provider=$B102,Score))))</f>
        <v>85</v>
      </c>
      <c r="AX102" s="17"/>
      <c r="AY102" s="20">
        <f t="array" ref="AY102">SUM(IF(Period=AW$4,IF(Category=$A$86,IF(Provider=$B102,Responses))))</f>
        <v>5</v>
      </c>
      <c r="AZ102" s="20"/>
      <c r="BA102" s="17">
        <f t="shared" si="50"/>
        <v>1.9767441860465116</v>
      </c>
      <c r="BB102" s="17"/>
      <c r="BC102" s="17">
        <f t="shared" si="41"/>
        <v>0.32642089093701998</v>
      </c>
      <c r="BD102" s="17"/>
      <c r="BE102" s="17">
        <f t="array" ref="BE102">SUM(IF(Period=BE$4,IF(Category=$A$86,IF(Provider=$B102,Score))))</f>
        <v>80.599999999999994</v>
      </c>
      <c r="BF102" s="17"/>
      <c r="BG102" s="20">
        <f t="array" ref="BG102">SUM(IF(Period=BE$4,IF(Category=$A$86,IF(Provider=$B102,Responses))))</f>
        <v>9</v>
      </c>
      <c r="BH102" s="20"/>
      <c r="BI102" s="17">
        <f t="shared" si="51"/>
        <v>3.0868085106382974</v>
      </c>
      <c r="BJ102" s="17"/>
      <c r="BK102" s="17">
        <f t="shared" si="42"/>
        <v>0.51265017667844526</v>
      </c>
      <c r="BL102" s="17"/>
      <c r="BM102" s="17">
        <f t="array" ref="BM102">SUM(IF(Period=BM$4,IF(Category=$A$86,IF(Provider=$B102,Score))))</f>
        <v>71.900000000000006</v>
      </c>
      <c r="BN102" s="17"/>
      <c r="BO102" s="20">
        <f t="array" ref="BO102">SUM(IF(Period=BM$4,IF(Category=$A$86,IF(Provider=$B102,Responses))))</f>
        <v>8</v>
      </c>
      <c r="BP102" s="20"/>
      <c r="BQ102" s="17">
        <f t="shared" si="52"/>
        <v>2.5339207048458152</v>
      </c>
      <c r="BR102" s="17"/>
      <c r="BS102" s="17">
        <f t="shared" si="43"/>
        <v>0.41500721500721505</v>
      </c>
      <c r="BT102" s="17"/>
      <c r="BU102" s="17">
        <f t="array" ref="BU102">SUM(IF(Period=BU$4,IF(Category=$A$86,IF(Provider=$B102,Score))))</f>
        <v>80</v>
      </c>
      <c r="BV102" s="17"/>
      <c r="BW102" s="20">
        <f t="array" ref="BW102">SUM(IF(Period=BU$4,IF(Category=$A$86,IF(Provider=$B102,Responses))))</f>
        <v>10</v>
      </c>
      <c r="BX102" s="20"/>
      <c r="BY102" s="17">
        <f t="shared" si="53"/>
        <v>3.333333333333333</v>
      </c>
      <c r="BZ102" s="17"/>
      <c r="CA102" s="17">
        <f t="shared" si="44"/>
        <v>0.55286800276434001</v>
      </c>
    </row>
    <row r="103" spans="2:79" outlineLevel="1" x14ac:dyDescent="0.25">
      <c r="B103" t="s">
        <v>6</v>
      </c>
      <c r="C103" s="17">
        <v>0</v>
      </c>
      <c r="D103" s="17"/>
      <c r="E103" s="17">
        <v>0</v>
      </c>
      <c r="F103" s="17"/>
      <c r="G103" s="17">
        <v>0</v>
      </c>
      <c r="H103" s="17"/>
      <c r="I103" s="17">
        <f t="array" ref="I103">SUM(IF(Period=I$4,IF(Category=$A$86,IF(Provider=$B103,Score))))</f>
        <v>100</v>
      </c>
      <c r="J103" s="17"/>
      <c r="K103" s="20">
        <f t="array" ref="K103">SUM(IF(Period=I$4,IF(Category=$A$86,IF(Provider=$B103,Responses))))</f>
        <v>1</v>
      </c>
      <c r="L103" s="20"/>
      <c r="M103" s="17">
        <f t="shared" si="45"/>
        <v>0.5</v>
      </c>
      <c r="N103" s="17"/>
      <c r="O103" s="17">
        <f t="shared" si="36"/>
        <v>8.2712985938792394E-2</v>
      </c>
      <c r="P103" s="17"/>
      <c r="Q103" s="17">
        <f t="array" ref="Q103">SUM(IF(Period=Q$4,IF(Category=$A$86,IF(Provider=$B103,Score))))</f>
        <v>0</v>
      </c>
      <c r="R103" s="17"/>
      <c r="S103" s="20">
        <f t="array" ref="S103">SUM(IF(Period=Q$4,IF(Category=$A$86,IF(Provider=$B103,Responses))))</f>
        <v>0</v>
      </c>
      <c r="T103" s="20"/>
      <c r="U103" s="17">
        <f t="shared" si="46"/>
        <v>0</v>
      </c>
      <c r="V103" s="17"/>
      <c r="W103" s="17">
        <f t="shared" si="37"/>
        <v>0</v>
      </c>
      <c r="X103" s="17"/>
      <c r="Y103" s="17">
        <f t="array" ref="Y103">SUM(IF(Period=Y$4,IF(Category=$A$86,IF(Provider=$B103,Score))))</f>
        <v>91.7</v>
      </c>
      <c r="Z103" s="17"/>
      <c r="AA103" s="20">
        <f t="array" ref="AA103">SUM(IF(Period=Y$4,IF(Category=$A$86,IF(Provider=$B103,Responses))))</f>
        <v>3</v>
      </c>
      <c r="AB103" s="20"/>
      <c r="AC103" s="17">
        <f t="shared" si="47"/>
        <v>0.91700000000000004</v>
      </c>
      <c r="AD103" s="17"/>
      <c r="AE103" s="17">
        <f t="shared" si="38"/>
        <v>0.15173745173745173</v>
      </c>
      <c r="AF103" s="17"/>
      <c r="AG103" s="17">
        <f t="array" ref="AG103">SUM(IF(Period=AG$4,IF(Category=$A$86,IF(Provider=$B103,Score))))</f>
        <v>90</v>
      </c>
      <c r="AH103" s="17"/>
      <c r="AI103" s="20">
        <f t="array" ref="AI103">SUM(IF(Period=AG$4,IF(Category=$A$86,IF(Provider=$B103,Responses))))</f>
        <v>5</v>
      </c>
      <c r="AJ103" s="20"/>
      <c r="AK103" s="17">
        <f t="shared" si="48"/>
        <v>1.7509727626459144</v>
      </c>
      <c r="AL103" s="17"/>
      <c r="AM103" s="17">
        <f t="shared" si="39"/>
        <v>0.29145077720207252</v>
      </c>
      <c r="AN103" s="17"/>
      <c r="AO103" s="17">
        <f t="array" ref="AO103">SUM(IF(Period=AO$4,IF(Category=$A$86,IF(Provider=$B103,Score))))</f>
        <v>0</v>
      </c>
      <c r="AP103" s="17"/>
      <c r="AQ103" s="20">
        <f t="array" ref="AQ103">SUM(IF(Period=AO$4,IF(Category=$A$86,IF(Provider=$B103,Responses))))</f>
        <v>0</v>
      </c>
      <c r="AR103" s="20"/>
      <c r="AS103" s="17">
        <f t="shared" si="49"/>
        <v>0</v>
      </c>
      <c r="AT103" s="17"/>
      <c r="AU103" s="17">
        <f t="shared" si="40"/>
        <v>0</v>
      </c>
      <c r="AV103" s="17"/>
      <c r="AW103" s="17">
        <f t="array" ref="AW103">SUM(IF(Period=AW$4,IF(Category=$A$86,IF(Provider=$B103,Score))))</f>
        <v>85</v>
      </c>
      <c r="AX103" s="17"/>
      <c r="AY103" s="20">
        <f t="array" ref="AY103">SUM(IF(Period=AW$4,IF(Category=$A$86,IF(Provider=$B103,Responses))))</f>
        <v>5</v>
      </c>
      <c r="AZ103" s="20"/>
      <c r="BA103" s="17">
        <f t="shared" si="50"/>
        <v>1.9767441860465116</v>
      </c>
      <c r="BB103" s="17"/>
      <c r="BC103" s="17">
        <f t="shared" si="41"/>
        <v>0.32642089093701998</v>
      </c>
      <c r="BD103" s="17"/>
      <c r="BE103" s="17">
        <f t="array" ref="BE103">SUM(IF(Period=BE$4,IF(Category=$A$86,IF(Provider=$B103,Score))))</f>
        <v>0</v>
      </c>
      <c r="BF103" s="17"/>
      <c r="BG103" s="20">
        <f t="array" ref="BG103">SUM(IF(Period=BE$4,IF(Category=$A$86,IF(Provider=$B103,Responses))))</f>
        <v>0</v>
      </c>
      <c r="BH103" s="20"/>
      <c r="BI103" s="17">
        <f t="shared" si="51"/>
        <v>0</v>
      </c>
      <c r="BJ103" s="17"/>
      <c r="BK103" s="17">
        <f t="shared" si="42"/>
        <v>0</v>
      </c>
      <c r="BL103" s="17"/>
      <c r="BM103" s="17">
        <f t="array" ref="BM103">SUM(IF(Period=BM$4,IF(Category=$A$86,IF(Provider=$B103,Score))))</f>
        <v>91.7</v>
      </c>
      <c r="BN103" s="17"/>
      <c r="BO103" s="20">
        <f t="array" ref="BO103">SUM(IF(Period=BM$4,IF(Category=$A$86,IF(Provider=$B103,Responses))))</f>
        <v>3</v>
      </c>
      <c r="BP103" s="20"/>
      <c r="BQ103" s="17">
        <f t="shared" si="52"/>
        <v>1.2118942731277533</v>
      </c>
      <c r="BR103" s="17"/>
      <c r="BS103" s="17">
        <f t="shared" si="43"/>
        <v>0.19848484848484849</v>
      </c>
      <c r="BT103" s="17"/>
      <c r="BU103" s="17">
        <f t="array" ref="BU103">SUM(IF(Period=BU$4,IF(Category=$A$86,IF(Provider=$B103,Score))))</f>
        <v>62.5</v>
      </c>
      <c r="BV103" s="17"/>
      <c r="BW103" s="20">
        <f t="array" ref="BW103">SUM(IF(Period=BU$4,IF(Category=$A$86,IF(Provider=$B103,Responses))))</f>
        <v>2</v>
      </c>
      <c r="BX103" s="20"/>
      <c r="BY103" s="17">
        <f t="shared" si="53"/>
        <v>0.52083333333333337</v>
      </c>
      <c r="BZ103" s="17"/>
      <c r="CA103" s="17">
        <f t="shared" si="44"/>
        <v>8.6385625431928126E-2</v>
      </c>
    </row>
    <row r="104" spans="2:79" outlineLevel="1" x14ac:dyDescent="0.25">
      <c r="B104" t="s">
        <v>39</v>
      </c>
      <c r="C104" s="17">
        <v>0</v>
      </c>
      <c r="D104" s="17"/>
      <c r="E104" s="17">
        <v>0</v>
      </c>
      <c r="F104" s="17"/>
      <c r="G104" s="17">
        <v>0</v>
      </c>
      <c r="H104" s="17"/>
      <c r="I104" s="17">
        <f t="array" ref="I104">SUM(IF(Period=I$4,IF(Category=$A$86,IF(Provider=$B104,Score))))</f>
        <v>50</v>
      </c>
      <c r="J104" s="17"/>
      <c r="K104" s="20">
        <f t="array" ref="K104">SUM(IF(Period=I$4,IF(Category=$A$86,IF(Provider=$B104,Responses))))</f>
        <v>11</v>
      </c>
      <c r="L104" s="20"/>
      <c r="M104" s="17">
        <f t="shared" si="45"/>
        <v>2.75</v>
      </c>
      <c r="N104" s="17"/>
      <c r="O104" s="17">
        <f t="shared" si="36"/>
        <v>0.45492142266335817</v>
      </c>
      <c r="P104" s="17"/>
      <c r="Q104" s="17">
        <f t="array" ref="Q104">SUM(IF(Period=Q$4,IF(Category=$A$86,IF(Provider=$B104,Score))))</f>
        <v>67.5</v>
      </c>
      <c r="R104" s="17"/>
      <c r="S104" s="20">
        <f t="array" ref="S104">SUM(IF(Period=Q$4,IF(Category=$A$86,IF(Provider=$B104,Responses))))</f>
        <v>10</v>
      </c>
      <c r="T104" s="20"/>
      <c r="U104" s="17">
        <f t="shared" si="46"/>
        <v>3.6885245901639343</v>
      </c>
      <c r="V104" s="17"/>
      <c r="W104" s="17">
        <f t="shared" si="37"/>
        <v>0.60160427807486638</v>
      </c>
      <c r="X104" s="17"/>
      <c r="Y104" s="17">
        <f t="array" ref="Y104">SUM(IF(Period=Y$4,IF(Category=$A$86,IF(Provider=$B104,Score))))</f>
        <v>59.4</v>
      </c>
      <c r="Z104" s="17"/>
      <c r="AA104" s="20">
        <f t="array" ref="AA104">SUM(IF(Period=Y$4,IF(Category=$A$86,IF(Provider=$B104,Responses))))</f>
        <v>8</v>
      </c>
      <c r="AB104" s="20"/>
      <c r="AC104" s="17">
        <f t="shared" si="47"/>
        <v>1.5840000000000001</v>
      </c>
      <c r="AD104" s="17"/>
      <c r="AE104" s="17">
        <f t="shared" si="38"/>
        <v>0.26210700496414785</v>
      </c>
      <c r="AF104" s="17"/>
      <c r="AG104" s="17">
        <f t="array" ref="AG104">SUM(IF(Period=AG$4,IF(Category=$A$86,IF(Provider=$B104,Score))))</f>
        <v>65.599999999999994</v>
      </c>
      <c r="AH104" s="17"/>
      <c r="AI104" s="20">
        <f t="array" ref="AI104">SUM(IF(Period=AG$4,IF(Category=$A$86,IF(Provider=$B104,Responses))))</f>
        <v>8</v>
      </c>
      <c r="AJ104" s="20"/>
      <c r="AK104" s="17">
        <f t="shared" si="48"/>
        <v>2.0420233463035018</v>
      </c>
      <c r="AL104" s="17"/>
      <c r="AM104" s="17">
        <f t="shared" si="39"/>
        <v>0.33989637305699483</v>
      </c>
      <c r="AN104" s="17"/>
      <c r="AO104" s="17">
        <f t="array" ref="AO104">SUM(IF(Period=AO$4,IF(Category=$A$86,IF(Provider=$B104,Score))))</f>
        <v>78.099999999999994</v>
      </c>
      <c r="AP104" s="17"/>
      <c r="AQ104" s="20">
        <f t="array" ref="AQ104">SUM(IF(Period=AO$4,IF(Category=$A$86,IF(Provider=$B104,Responses))))</f>
        <v>8</v>
      </c>
      <c r="AR104" s="20"/>
      <c r="AS104" s="17">
        <f t="shared" si="49"/>
        <v>3.6970414201183428</v>
      </c>
      <c r="AT104" s="17"/>
      <c r="AU104" s="17">
        <f t="shared" si="40"/>
        <v>0.60896686159844049</v>
      </c>
      <c r="AV104" s="17"/>
      <c r="AW104" s="17">
        <f t="array" ref="AW104">SUM(IF(Period=AW$4,IF(Category=$A$86,IF(Provider=$B104,Score))))</f>
        <v>75</v>
      </c>
      <c r="AX104" s="17"/>
      <c r="AY104" s="20">
        <f t="array" ref="AY104">SUM(IF(Period=AW$4,IF(Category=$A$86,IF(Provider=$B104,Responses))))</f>
        <v>7</v>
      </c>
      <c r="AZ104" s="20"/>
      <c r="BA104" s="17">
        <f t="shared" si="50"/>
        <v>2.441860465116279</v>
      </c>
      <c r="BB104" s="17"/>
      <c r="BC104" s="17">
        <f t="shared" si="41"/>
        <v>0.40322580645161293</v>
      </c>
      <c r="BD104" s="17"/>
      <c r="BE104" s="17">
        <f t="array" ref="BE104">SUM(IF(Period=BE$4,IF(Category=$A$86,IF(Provider=$B104,Score))))</f>
        <v>79.2</v>
      </c>
      <c r="BF104" s="17"/>
      <c r="BG104" s="20">
        <f t="array" ref="BG104">SUM(IF(Period=BE$4,IF(Category=$A$86,IF(Provider=$B104,Responses))))</f>
        <v>6</v>
      </c>
      <c r="BH104" s="20"/>
      <c r="BI104" s="17">
        <f t="shared" si="51"/>
        <v>2.0221276595744682</v>
      </c>
      <c r="BJ104" s="17"/>
      <c r="BK104" s="17">
        <f t="shared" si="42"/>
        <v>0.33583038869257947</v>
      </c>
      <c r="BL104" s="17"/>
      <c r="BM104" s="17">
        <f t="array" ref="BM104">SUM(IF(Period=BM$4,IF(Category=$A$86,IF(Provider=$B104,Score))))</f>
        <v>78.099999999999994</v>
      </c>
      <c r="BN104" s="17"/>
      <c r="BO104" s="20">
        <f t="array" ref="BO104">SUM(IF(Period=BM$4,IF(Category=$A$86,IF(Provider=$B104,Responses))))</f>
        <v>8</v>
      </c>
      <c r="BP104" s="20"/>
      <c r="BQ104" s="17">
        <f t="shared" si="52"/>
        <v>2.7524229074889868</v>
      </c>
      <c r="BR104" s="17"/>
      <c r="BS104" s="17">
        <f t="shared" si="43"/>
        <v>0.45079365079365075</v>
      </c>
      <c r="BT104" s="17"/>
      <c r="BU104" s="17">
        <f t="array" ref="BU104">SUM(IF(Period=BU$4,IF(Category=$A$86,IF(Provider=$B104,Score))))</f>
        <v>82.1</v>
      </c>
      <c r="BV104" s="17"/>
      <c r="BW104" s="20">
        <f t="array" ref="BW104">SUM(IF(Period=BU$4,IF(Category=$A$86,IF(Provider=$B104,Responses))))</f>
        <v>7</v>
      </c>
      <c r="BX104" s="20"/>
      <c r="BY104" s="17">
        <f t="shared" si="53"/>
        <v>2.3945833333333333</v>
      </c>
      <c r="BZ104" s="17"/>
      <c r="CA104" s="17">
        <f t="shared" si="44"/>
        <v>0.39716655148583274</v>
      </c>
    </row>
    <row r="105" spans="2:79" outlineLevel="1" x14ac:dyDescent="0.25">
      <c r="B105" t="s">
        <v>28</v>
      </c>
      <c r="C105" s="17">
        <v>0</v>
      </c>
      <c r="D105" s="17"/>
      <c r="E105" s="17">
        <v>0</v>
      </c>
      <c r="F105" s="17"/>
      <c r="G105" s="17">
        <v>0</v>
      </c>
      <c r="H105" s="17"/>
      <c r="I105" s="17">
        <f t="array" ref="I105">SUM(IF(Period=I$4,IF(Category=$A$86,IF(Provider=$B105,Score))))</f>
        <v>66.7</v>
      </c>
      <c r="J105" s="17"/>
      <c r="K105" s="20">
        <f t="array" ref="K105">SUM(IF(Period=I$4,IF(Category=$A$86,IF(Provider=$B105,Responses))))</f>
        <v>6</v>
      </c>
      <c r="L105" s="20"/>
      <c r="M105" s="17">
        <f t="shared" si="45"/>
        <v>2.0009999999999999</v>
      </c>
      <c r="N105" s="17"/>
      <c r="O105" s="17">
        <f t="shared" si="36"/>
        <v>0.33101736972704715</v>
      </c>
      <c r="P105" s="17"/>
      <c r="Q105" s="17">
        <f t="array" ref="Q105">SUM(IF(Period=Q$4,IF(Category=$A$86,IF(Provider=$B105,Score))))</f>
        <v>30</v>
      </c>
      <c r="R105" s="17"/>
      <c r="S105" s="20">
        <f t="array" ref="S105">SUM(IF(Period=Q$4,IF(Category=$A$86,IF(Provider=$B105,Responses))))</f>
        <v>5</v>
      </c>
      <c r="T105" s="20"/>
      <c r="U105" s="17">
        <f t="shared" si="46"/>
        <v>0.81967213114754101</v>
      </c>
      <c r="V105" s="17"/>
      <c r="W105" s="17">
        <f t="shared" si="37"/>
        <v>0.13368983957219252</v>
      </c>
      <c r="X105" s="17"/>
      <c r="Y105" s="17">
        <f t="array" ref="Y105">SUM(IF(Period=Y$4,IF(Category=$A$86,IF(Provider=$B105,Score))))</f>
        <v>72.5</v>
      </c>
      <c r="Z105" s="17"/>
      <c r="AA105" s="20">
        <f t="array" ref="AA105">SUM(IF(Period=Y$4,IF(Category=$A$86,IF(Provider=$B105,Responses))))</f>
        <v>10</v>
      </c>
      <c r="AB105" s="20"/>
      <c r="AC105" s="17">
        <f t="shared" si="47"/>
        <v>2.4166666666666665</v>
      </c>
      <c r="AD105" s="17"/>
      <c r="AE105" s="17">
        <f t="shared" si="38"/>
        <v>0.39988968560397131</v>
      </c>
      <c r="AF105" s="17"/>
      <c r="AG105" s="17">
        <f t="array" ref="AG105">SUM(IF(Period=AG$4,IF(Category=$A$86,IF(Provider=$B105,Score))))</f>
        <v>82.5</v>
      </c>
      <c r="AH105" s="17"/>
      <c r="AI105" s="20">
        <f t="array" ref="AI105">SUM(IF(Period=AG$4,IF(Category=$A$86,IF(Provider=$B105,Responses))))</f>
        <v>10</v>
      </c>
      <c r="AJ105" s="20"/>
      <c r="AK105" s="17">
        <f t="shared" si="48"/>
        <v>3.2101167315175099</v>
      </c>
      <c r="AL105" s="17"/>
      <c r="AM105" s="17">
        <f t="shared" si="39"/>
        <v>0.53432642487046633</v>
      </c>
      <c r="AN105" s="17"/>
      <c r="AO105" s="17">
        <f t="array" ref="AO105">SUM(IF(Period=AO$4,IF(Category=$A$86,IF(Provider=$B105,Score))))</f>
        <v>66.7</v>
      </c>
      <c r="AP105" s="17"/>
      <c r="AQ105" s="20">
        <f t="array" ref="AQ105">SUM(IF(Period=AO$4,IF(Category=$A$86,IF(Provider=$B105,Responses))))</f>
        <v>6</v>
      </c>
      <c r="AR105" s="20"/>
      <c r="AS105" s="17">
        <f t="shared" si="49"/>
        <v>2.3680473372781066</v>
      </c>
      <c r="AT105" s="17"/>
      <c r="AU105" s="17">
        <f t="shared" si="40"/>
        <v>0.39005847953216372</v>
      </c>
      <c r="AV105" s="17"/>
      <c r="AW105" s="17">
        <f t="array" ref="AW105">SUM(IF(Period=AW$4,IF(Category=$A$86,IF(Provider=$B105,Score))))</f>
        <v>55</v>
      </c>
      <c r="AX105" s="17"/>
      <c r="AY105" s="20">
        <f t="array" ref="AY105">SUM(IF(Period=AW$4,IF(Category=$A$86,IF(Provider=$B105,Responses))))</f>
        <v>5</v>
      </c>
      <c r="AZ105" s="20"/>
      <c r="BA105" s="17">
        <f t="shared" si="50"/>
        <v>1.2790697674418605</v>
      </c>
      <c r="BB105" s="17"/>
      <c r="BC105" s="17">
        <f t="shared" si="41"/>
        <v>0.21121351766513058</v>
      </c>
      <c r="BD105" s="17"/>
      <c r="BE105" s="17">
        <f t="array" ref="BE105">SUM(IF(Period=BE$4,IF(Category=$A$86,IF(Provider=$B105,Score))))</f>
        <v>58.3</v>
      </c>
      <c r="BF105" s="17"/>
      <c r="BG105" s="20">
        <f t="array" ref="BG105">SUM(IF(Period=BE$4,IF(Category=$A$86,IF(Provider=$B105,Responses))))</f>
        <v>6</v>
      </c>
      <c r="BH105" s="20"/>
      <c r="BI105" s="17">
        <f t="shared" si="51"/>
        <v>1.4885106382978721</v>
      </c>
      <c r="BJ105" s="17"/>
      <c r="BK105" s="17">
        <f t="shared" si="42"/>
        <v>0.24720848056537098</v>
      </c>
      <c r="BL105" s="17"/>
      <c r="BM105" s="17">
        <f t="array" ref="BM105">SUM(IF(Period=BM$4,IF(Category=$A$86,IF(Provider=$B105,Score))))</f>
        <v>57.1</v>
      </c>
      <c r="BN105" s="17"/>
      <c r="BO105" s="20">
        <f t="array" ref="BO105">SUM(IF(Period=BM$4,IF(Category=$A$86,IF(Provider=$B105,Responses))))</f>
        <v>7</v>
      </c>
      <c r="BP105" s="20"/>
      <c r="BQ105" s="17">
        <f t="shared" si="52"/>
        <v>1.7607929515418503</v>
      </c>
      <c r="BR105" s="17"/>
      <c r="BS105" s="17">
        <f t="shared" si="43"/>
        <v>0.28838383838383841</v>
      </c>
      <c r="BT105" s="17"/>
      <c r="BU105" s="17">
        <f t="array" ref="BU105">SUM(IF(Period=BU$4,IF(Category=$A$86,IF(Provider=$B105,Score))))</f>
        <v>75</v>
      </c>
      <c r="BV105" s="17"/>
      <c r="BW105" s="20">
        <f t="array" ref="BW105">SUM(IF(Period=BU$4,IF(Category=$A$86,IF(Provider=$B105,Responses))))</f>
        <v>6</v>
      </c>
      <c r="BX105" s="20"/>
      <c r="BY105" s="17">
        <f t="shared" si="53"/>
        <v>1.875</v>
      </c>
      <c r="BZ105" s="17"/>
      <c r="CA105" s="17">
        <f t="shared" si="44"/>
        <v>0.31098825155494125</v>
      </c>
    </row>
    <row r="106" spans="2:79" outlineLevel="1" x14ac:dyDescent="0.25">
      <c r="B106" t="s">
        <v>40</v>
      </c>
      <c r="C106" s="17">
        <v>0</v>
      </c>
      <c r="D106" s="17"/>
      <c r="E106" s="17">
        <v>0</v>
      </c>
      <c r="F106" s="17"/>
      <c r="G106" s="17">
        <v>0</v>
      </c>
      <c r="H106" s="17"/>
      <c r="I106" s="17">
        <f t="array" ref="I106">SUM(IF(Period=I$4,IF(Category=$A$86,IF(Provider=$B106,Score))))</f>
        <v>50</v>
      </c>
      <c r="J106" s="17"/>
      <c r="K106" s="20">
        <f t="array" ref="K106">SUM(IF(Period=I$4,IF(Category=$A$86,IF(Provider=$B106,Responses))))</f>
        <v>8</v>
      </c>
      <c r="L106" s="20"/>
      <c r="M106" s="17">
        <f t="shared" si="45"/>
        <v>2</v>
      </c>
      <c r="N106" s="17"/>
      <c r="O106" s="17">
        <f t="shared" si="36"/>
        <v>0.33085194375516958</v>
      </c>
      <c r="P106" s="17"/>
      <c r="Q106" s="17">
        <f t="array" ref="Q106">SUM(IF(Period=Q$4,IF(Category=$A$86,IF(Provider=$B106,Score))))</f>
        <v>100</v>
      </c>
      <c r="R106" s="17"/>
      <c r="S106" s="20">
        <f t="array" ref="S106">SUM(IF(Period=Q$4,IF(Category=$A$86,IF(Provider=$B106,Responses))))</f>
        <v>2</v>
      </c>
      <c r="T106" s="20"/>
      <c r="U106" s="17">
        <f t="shared" si="46"/>
        <v>1.0928961748633881</v>
      </c>
      <c r="V106" s="17"/>
      <c r="W106" s="17">
        <f t="shared" si="37"/>
        <v>0.17825311942959002</v>
      </c>
      <c r="X106" s="17"/>
      <c r="Y106" s="17">
        <f t="array" ref="Y106">SUM(IF(Period=Y$4,IF(Category=$A$86,IF(Provider=$B106,Score))))</f>
        <v>85</v>
      </c>
      <c r="Z106" s="17"/>
      <c r="AA106" s="20">
        <f t="array" ref="AA106">SUM(IF(Period=Y$4,IF(Category=$A$86,IF(Provider=$B106,Responses))))</f>
        <v>5</v>
      </c>
      <c r="AB106" s="20"/>
      <c r="AC106" s="17">
        <f t="shared" si="47"/>
        <v>1.4166666666666667</v>
      </c>
      <c r="AD106" s="17"/>
      <c r="AE106" s="17">
        <f t="shared" si="38"/>
        <v>0.2344180915609487</v>
      </c>
      <c r="AF106" s="17"/>
      <c r="AG106" s="17">
        <f t="array" ref="AG106">SUM(IF(Period=AG$4,IF(Category=$A$86,IF(Provider=$B106,Score))))</f>
        <v>58.3</v>
      </c>
      <c r="AH106" s="17"/>
      <c r="AI106" s="20">
        <f t="array" ref="AI106">SUM(IF(Period=AG$4,IF(Category=$A$86,IF(Provider=$B106,Responses))))</f>
        <v>3</v>
      </c>
      <c r="AJ106" s="20"/>
      <c r="AK106" s="17">
        <f t="shared" si="48"/>
        <v>0.68054474708171209</v>
      </c>
      <c r="AL106" s="17"/>
      <c r="AM106" s="17">
        <f t="shared" si="39"/>
        <v>0.11327720207253886</v>
      </c>
      <c r="AN106" s="17"/>
      <c r="AO106" s="17">
        <f t="array" ref="AO106">SUM(IF(Period=AO$4,IF(Category=$A$86,IF(Provider=$B106,Score))))</f>
        <v>87.5</v>
      </c>
      <c r="AP106" s="17"/>
      <c r="AQ106" s="20">
        <f t="array" ref="AQ106">SUM(IF(Period=AO$4,IF(Category=$A$86,IF(Provider=$B106,Responses))))</f>
        <v>4</v>
      </c>
      <c r="AR106" s="20"/>
      <c r="AS106" s="17">
        <f t="shared" si="49"/>
        <v>2.0710059171597632</v>
      </c>
      <c r="AT106" s="17"/>
      <c r="AU106" s="17">
        <f t="shared" si="40"/>
        <v>0.34113060428849901</v>
      </c>
      <c r="AV106" s="17"/>
      <c r="AW106" s="17">
        <f t="array" ref="AW106">SUM(IF(Period=AW$4,IF(Category=$A$86,IF(Provider=$B106,Score))))</f>
        <v>81.3</v>
      </c>
      <c r="AX106" s="17"/>
      <c r="AY106" s="20">
        <f t="array" ref="AY106">SUM(IF(Period=AW$4,IF(Category=$A$86,IF(Provider=$B106,Responses))))</f>
        <v>12</v>
      </c>
      <c r="AZ106" s="20"/>
      <c r="BA106" s="17">
        <f t="shared" si="50"/>
        <v>4.5376744186046514</v>
      </c>
      <c r="BB106" s="17"/>
      <c r="BC106" s="17">
        <f t="shared" si="41"/>
        <v>0.74930875576036859</v>
      </c>
      <c r="BD106" s="17"/>
      <c r="BE106" s="17">
        <f t="array" ref="BE106">SUM(IF(Period=BE$4,IF(Category=$A$86,IF(Provider=$B106,Score))))</f>
        <v>90</v>
      </c>
      <c r="BF106" s="17"/>
      <c r="BG106" s="20">
        <f t="array" ref="BG106">SUM(IF(Period=BE$4,IF(Category=$A$86,IF(Provider=$B106,Responses))))</f>
        <v>10</v>
      </c>
      <c r="BH106" s="20"/>
      <c r="BI106" s="17">
        <f t="shared" si="51"/>
        <v>3.8297872340425529</v>
      </c>
      <c r="BJ106" s="17"/>
      <c r="BK106" s="17">
        <f t="shared" si="42"/>
        <v>0.63604240282685509</v>
      </c>
      <c r="BL106" s="17"/>
      <c r="BM106" s="17">
        <f t="array" ref="BM106">SUM(IF(Period=BM$4,IF(Category=$A$86,IF(Provider=$B106,Score))))</f>
        <v>75</v>
      </c>
      <c r="BN106" s="17"/>
      <c r="BO106" s="20">
        <f t="array" ref="BO106">SUM(IF(Period=BM$4,IF(Category=$A$86,IF(Provider=$B106,Responses))))</f>
        <v>7</v>
      </c>
      <c r="BP106" s="20"/>
      <c r="BQ106" s="17">
        <f t="shared" si="52"/>
        <v>2.3127753303964758</v>
      </c>
      <c r="BR106" s="17"/>
      <c r="BS106" s="17">
        <f t="shared" si="43"/>
        <v>0.37878787878787884</v>
      </c>
      <c r="BT106" s="17"/>
      <c r="BU106" s="17">
        <f t="array" ref="BU106">SUM(IF(Period=BU$4,IF(Category=$A$86,IF(Provider=$B106,Score))))</f>
        <v>100</v>
      </c>
      <c r="BV106" s="17"/>
      <c r="BW106" s="20">
        <f t="array" ref="BW106">SUM(IF(Period=BU$4,IF(Category=$A$86,IF(Provider=$B106,Responses))))</f>
        <v>3</v>
      </c>
      <c r="BX106" s="20"/>
      <c r="BY106" s="17">
        <f t="shared" si="53"/>
        <v>1.25</v>
      </c>
      <c r="BZ106" s="17"/>
      <c r="CA106" s="17">
        <f t="shared" si="44"/>
        <v>0.2073255010366275</v>
      </c>
    </row>
    <row r="107" spans="2:79" outlineLevel="1" x14ac:dyDescent="0.25">
      <c r="B107" t="s">
        <v>22</v>
      </c>
      <c r="C107" s="17">
        <v>0</v>
      </c>
      <c r="D107" s="17"/>
      <c r="E107" s="17">
        <v>0</v>
      </c>
      <c r="F107" s="17"/>
      <c r="G107" s="17">
        <v>0</v>
      </c>
      <c r="H107" s="17"/>
      <c r="I107" s="17">
        <f t="array" ref="I107">SUM(IF(Period=I$4,IF(Category=$A$86,IF(Provider=$B107,Score))))</f>
        <v>80.599999999999994</v>
      </c>
      <c r="J107" s="17"/>
      <c r="K107" s="20">
        <f t="array" ref="K107">SUM(IF(Period=I$4,IF(Category=$A$86,IF(Provider=$B107,Responses))))</f>
        <v>9</v>
      </c>
      <c r="L107" s="20"/>
      <c r="M107" s="17">
        <f t="shared" si="45"/>
        <v>3.6269999999999998</v>
      </c>
      <c r="N107" s="17"/>
      <c r="O107" s="17">
        <f t="shared" si="36"/>
        <v>0.6</v>
      </c>
      <c r="P107" s="17"/>
      <c r="Q107" s="17">
        <f t="array" ref="Q107">SUM(IF(Period=Q$4,IF(Category=$A$86,IF(Provider=$B107,Score))))</f>
        <v>91.7</v>
      </c>
      <c r="R107" s="17"/>
      <c r="S107" s="20">
        <f t="array" ref="S107">SUM(IF(Period=Q$4,IF(Category=$A$86,IF(Provider=$B107,Responses))))</f>
        <v>3</v>
      </c>
      <c r="T107" s="20"/>
      <c r="U107" s="17">
        <f t="shared" si="46"/>
        <v>1.5032786885245903</v>
      </c>
      <c r="V107" s="17"/>
      <c r="W107" s="17">
        <f t="shared" si="37"/>
        <v>0.24518716577540106</v>
      </c>
      <c r="X107" s="17"/>
      <c r="Y107" s="17">
        <f t="array" ref="Y107">SUM(IF(Period=Y$4,IF(Category=$A$86,IF(Provider=$B107,Score))))</f>
        <v>85.4</v>
      </c>
      <c r="Z107" s="17"/>
      <c r="AA107" s="20">
        <f t="array" ref="AA107">SUM(IF(Period=Y$4,IF(Category=$A$86,IF(Provider=$B107,Responses))))</f>
        <v>12</v>
      </c>
      <c r="AB107" s="20"/>
      <c r="AC107" s="17">
        <f t="shared" si="47"/>
        <v>3.4160000000000004</v>
      </c>
      <c r="AD107" s="17"/>
      <c r="AE107" s="17">
        <f t="shared" si="38"/>
        <v>0.5652509652509653</v>
      </c>
      <c r="AF107" s="17"/>
      <c r="AG107" s="17">
        <f t="array" ref="AG107">SUM(IF(Period=AG$4,IF(Category=$A$86,IF(Provider=$B107,Score))))</f>
        <v>71.400000000000006</v>
      </c>
      <c r="AH107" s="17"/>
      <c r="AI107" s="20">
        <f t="array" ref="AI107">SUM(IF(Period=AG$4,IF(Category=$A$86,IF(Provider=$B107,Responses))))</f>
        <v>7</v>
      </c>
      <c r="AJ107" s="20"/>
      <c r="AK107" s="17">
        <f t="shared" si="48"/>
        <v>1.9447470817120625</v>
      </c>
      <c r="AL107" s="17"/>
      <c r="AM107" s="17">
        <f t="shared" si="39"/>
        <v>0.32370466321243524</v>
      </c>
      <c r="AN107" s="17"/>
      <c r="AO107" s="17">
        <f t="array" ref="AO107">SUM(IF(Period=AO$4,IF(Category=$A$86,IF(Provider=$B107,Score))))</f>
        <v>87.5</v>
      </c>
      <c r="AP107" s="17"/>
      <c r="AQ107" s="20">
        <f t="array" ref="AQ107">SUM(IF(Period=AO$4,IF(Category=$A$86,IF(Provider=$B107,Responses))))</f>
        <v>2</v>
      </c>
      <c r="AR107" s="20"/>
      <c r="AS107" s="17">
        <f t="shared" si="49"/>
        <v>1.0355029585798816</v>
      </c>
      <c r="AT107" s="17"/>
      <c r="AU107" s="17">
        <f t="shared" si="40"/>
        <v>0.1705653021442495</v>
      </c>
      <c r="AV107" s="17"/>
      <c r="AW107" s="17">
        <f t="array" ref="AW107">SUM(IF(Period=AW$4,IF(Category=$A$86,IF(Provider=$B107,Score))))</f>
        <v>75</v>
      </c>
      <c r="AX107" s="17"/>
      <c r="AY107" s="20">
        <f t="array" ref="AY107">SUM(IF(Period=AW$4,IF(Category=$A$86,IF(Provider=$B107,Responses))))</f>
        <v>9</v>
      </c>
      <c r="AZ107" s="20"/>
      <c r="BA107" s="17">
        <f t="shared" si="50"/>
        <v>3.13953488372093</v>
      </c>
      <c r="BB107" s="17"/>
      <c r="BC107" s="17">
        <f t="shared" si="41"/>
        <v>0.51843317972350234</v>
      </c>
      <c r="BD107" s="17"/>
      <c r="BE107" s="17">
        <f t="array" ref="BE107">SUM(IF(Period=BE$4,IF(Category=$A$86,IF(Provider=$B107,Score))))</f>
        <v>83.3</v>
      </c>
      <c r="BF107" s="17"/>
      <c r="BG107" s="20">
        <f t="array" ref="BG107">SUM(IF(Period=BE$4,IF(Category=$A$86,IF(Provider=$B107,Responses))))</f>
        <v>6</v>
      </c>
      <c r="BH107" s="20"/>
      <c r="BI107" s="17">
        <f t="shared" si="51"/>
        <v>2.1268085106382979</v>
      </c>
      <c r="BJ107" s="17"/>
      <c r="BK107" s="17">
        <f t="shared" si="42"/>
        <v>0.35321554770318014</v>
      </c>
      <c r="BL107" s="17"/>
      <c r="BM107" s="17">
        <f t="array" ref="BM107">SUM(IF(Period=BM$4,IF(Category=$A$86,IF(Provider=$B107,Score))))</f>
        <v>81.3</v>
      </c>
      <c r="BN107" s="17"/>
      <c r="BO107" s="20">
        <f t="array" ref="BO107">SUM(IF(Period=BM$4,IF(Category=$A$86,IF(Provider=$B107,Responses))))</f>
        <v>12</v>
      </c>
      <c r="BP107" s="20"/>
      <c r="BQ107" s="17">
        <f t="shared" si="52"/>
        <v>4.2977973568281937</v>
      </c>
      <c r="BR107" s="17"/>
      <c r="BS107" s="17">
        <f t="shared" si="43"/>
        <v>0.70389610389610391</v>
      </c>
      <c r="BT107" s="17"/>
      <c r="BU107" s="17">
        <f t="array" ref="BU107">SUM(IF(Period=BU$4,IF(Category=$A$86,IF(Provider=$B107,Score))))</f>
        <v>78.599999999999994</v>
      </c>
      <c r="BV107" s="17"/>
      <c r="BW107" s="20">
        <f t="array" ref="BW107">SUM(IF(Period=BU$4,IF(Category=$A$86,IF(Provider=$B107,Responses))))</f>
        <v>7</v>
      </c>
      <c r="BX107" s="20"/>
      <c r="BY107" s="17">
        <f t="shared" si="53"/>
        <v>2.2925</v>
      </c>
      <c r="BZ107" s="17"/>
      <c r="CA107" s="17">
        <f t="shared" si="44"/>
        <v>0.38023496890117486</v>
      </c>
    </row>
    <row r="108" spans="2:79" outlineLevel="1" x14ac:dyDescent="0.25">
      <c r="B108" t="s">
        <v>31</v>
      </c>
      <c r="C108" s="17">
        <v>0</v>
      </c>
      <c r="D108" s="17"/>
      <c r="E108" s="17">
        <v>0</v>
      </c>
      <c r="F108" s="17"/>
      <c r="G108" s="17">
        <v>0</v>
      </c>
      <c r="H108" s="17"/>
      <c r="I108" s="17">
        <f t="array" ref="I108">SUM(IF(Period=I$4,IF(Category=$A$86,IF(Provider=$B108,Score))))</f>
        <v>75</v>
      </c>
      <c r="J108" s="17"/>
      <c r="K108" s="20">
        <f t="array" ref="K108">SUM(IF(Period=I$4,IF(Category=$A$86,IF(Provider=$B108,Responses))))</f>
        <v>3</v>
      </c>
      <c r="L108" s="20"/>
      <c r="M108" s="17">
        <f t="shared" si="45"/>
        <v>1.125</v>
      </c>
      <c r="N108" s="17"/>
      <c r="O108" s="17">
        <f t="shared" si="36"/>
        <v>0.18610421836228289</v>
      </c>
      <c r="P108" s="17"/>
      <c r="Q108" s="17">
        <f t="array" ref="Q108">SUM(IF(Period=Q$4,IF(Category=$A$86,IF(Provider=$B108,Score))))</f>
        <v>54.2</v>
      </c>
      <c r="R108" s="17"/>
      <c r="S108" s="20">
        <f t="array" ref="S108">SUM(IF(Period=Q$4,IF(Category=$A$86,IF(Provider=$B108,Responses))))</f>
        <v>6</v>
      </c>
      <c r="T108" s="20"/>
      <c r="U108" s="17">
        <f t="shared" si="46"/>
        <v>1.777049180327869</v>
      </c>
      <c r="V108" s="17"/>
      <c r="W108" s="17">
        <f t="shared" si="37"/>
        <v>0.28983957219251338</v>
      </c>
      <c r="X108" s="17"/>
      <c r="Y108" s="17">
        <f t="array" ref="Y108">SUM(IF(Period=Y$4,IF(Category=$A$86,IF(Provider=$B108,Score))))</f>
        <v>100</v>
      </c>
      <c r="Z108" s="17"/>
      <c r="AA108" s="20">
        <f t="array" ref="AA108">SUM(IF(Period=Y$4,IF(Category=$A$86,IF(Provider=$B108,Responses))))</f>
        <v>6</v>
      </c>
      <c r="AB108" s="20"/>
      <c r="AC108" s="17">
        <f t="shared" si="47"/>
        <v>2</v>
      </c>
      <c r="AD108" s="17"/>
      <c r="AE108" s="17">
        <f t="shared" si="38"/>
        <v>0.33094318808604523</v>
      </c>
      <c r="AF108" s="17"/>
      <c r="AG108" s="17">
        <f t="array" ref="AG108">SUM(IF(Period=AG$4,IF(Category=$A$86,IF(Provider=$B108,Score))))</f>
        <v>86.5</v>
      </c>
      <c r="AH108" s="17"/>
      <c r="AI108" s="20">
        <f t="array" ref="AI108">SUM(IF(Period=AG$4,IF(Category=$A$86,IF(Provider=$B108,Responses))))</f>
        <v>13</v>
      </c>
      <c r="AJ108" s="20"/>
      <c r="AK108" s="17">
        <f t="shared" si="48"/>
        <v>4.3754863813229576</v>
      </c>
      <c r="AL108" s="17"/>
      <c r="AM108" s="17">
        <f t="shared" si="39"/>
        <v>0.72830310880829019</v>
      </c>
      <c r="AN108" s="17"/>
      <c r="AO108" s="17">
        <f t="array" ref="AO108">SUM(IF(Period=AO$4,IF(Category=$A$86,IF(Provider=$B108,Score))))</f>
        <v>66.7</v>
      </c>
      <c r="AP108" s="17"/>
      <c r="AQ108" s="20">
        <f t="array" ref="AQ108">SUM(IF(Period=AO$4,IF(Category=$A$86,IF(Provider=$B108,Responses))))</f>
        <v>9</v>
      </c>
      <c r="AR108" s="20"/>
      <c r="AS108" s="17">
        <f t="shared" si="49"/>
        <v>3.5520710059171599</v>
      </c>
      <c r="AT108" s="17"/>
      <c r="AU108" s="17">
        <f t="shared" si="40"/>
        <v>0.58508771929824566</v>
      </c>
      <c r="AV108" s="17"/>
      <c r="AW108" s="17">
        <f t="array" ref="AW108">SUM(IF(Period=AW$4,IF(Category=$A$86,IF(Provider=$B108,Score))))</f>
        <v>69.400000000000006</v>
      </c>
      <c r="AX108" s="17"/>
      <c r="AY108" s="20">
        <f t="array" ref="AY108">SUM(IF(Period=AW$4,IF(Category=$A$86,IF(Provider=$B108,Responses))))</f>
        <v>9</v>
      </c>
      <c r="AZ108" s="20"/>
      <c r="BA108" s="17">
        <f t="shared" si="50"/>
        <v>2.9051162790697678</v>
      </c>
      <c r="BB108" s="17"/>
      <c r="BC108" s="17">
        <f t="shared" si="41"/>
        <v>0.47972350230414751</v>
      </c>
      <c r="BD108" s="17"/>
      <c r="BE108" s="17">
        <f t="array" ref="BE108">SUM(IF(Period=BE$4,IF(Category=$A$86,IF(Provider=$B108,Score))))</f>
        <v>67.900000000000006</v>
      </c>
      <c r="BF108" s="17"/>
      <c r="BG108" s="20">
        <f t="array" ref="BG108">SUM(IF(Period=BE$4,IF(Category=$A$86,IF(Provider=$B108,Responses))))</f>
        <v>7</v>
      </c>
      <c r="BH108" s="20"/>
      <c r="BI108" s="17">
        <f t="shared" si="51"/>
        <v>2.022553191489362</v>
      </c>
      <c r="BJ108" s="17"/>
      <c r="BK108" s="17">
        <f t="shared" si="42"/>
        <v>0.33590106007067139</v>
      </c>
      <c r="BL108" s="17"/>
      <c r="BM108" s="17">
        <f t="array" ref="BM108">SUM(IF(Period=BM$4,IF(Category=$A$86,IF(Provider=$B108,Score))))</f>
        <v>84.4</v>
      </c>
      <c r="BN108" s="17"/>
      <c r="BO108" s="20">
        <f t="array" ref="BO108">SUM(IF(Period=BM$4,IF(Category=$A$86,IF(Provider=$B108,Responses))))</f>
        <v>8</v>
      </c>
      <c r="BP108" s="20"/>
      <c r="BQ108" s="17">
        <f t="shared" si="52"/>
        <v>2.974449339207049</v>
      </c>
      <c r="BR108" s="17"/>
      <c r="BS108" s="17">
        <f t="shared" si="43"/>
        <v>0.48715728715728718</v>
      </c>
      <c r="BT108" s="17"/>
      <c r="BU108" s="17">
        <f t="array" ref="BU108">SUM(IF(Period=BU$4,IF(Category=$A$86,IF(Provider=$B108,Score))))</f>
        <v>73.099999999999994</v>
      </c>
      <c r="BV108" s="17"/>
      <c r="BW108" s="20">
        <f t="array" ref="BW108">SUM(IF(Period=BU$4,IF(Category=$A$86,IF(Provider=$B108,Responses))))</f>
        <v>13</v>
      </c>
      <c r="BX108" s="20"/>
      <c r="BY108" s="17">
        <f t="shared" si="53"/>
        <v>3.9595833333333332</v>
      </c>
      <c r="BZ108" s="17"/>
      <c r="CA108" s="17">
        <f t="shared" si="44"/>
        <v>0.65673807878369028</v>
      </c>
    </row>
    <row r="109" spans="2:79" outlineLevel="1" x14ac:dyDescent="0.25">
      <c r="B109" t="s">
        <v>27</v>
      </c>
      <c r="C109" s="17">
        <v>0</v>
      </c>
      <c r="D109" s="17"/>
      <c r="E109" s="17">
        <v>0</v>
      </c>
      <c r="F109" s="17"/>
      <c r="G109" s="17">
        <v>0</v>
      </c>
      <c r="H109" s="17"/>
      <c r="I109" s="17">
        <f t="array" ref="I109">SUM(IF(Period=I$4,IF(Category=$A$86,IF(Provider=$B109,Score))))</f>
        <v>80</v>
      </c>
      <c r="J109" s="17"/>
      <c r="K109" s="20">
        <f t="array" ref="K109">SUM(IF(Period=I$4,IF(Category=$A$86,IF(Provider=$B109,Responses))))</f>
        <v>5</v>
      </c>
      <c r="L109" s="20"/>
      <c r="M109" s="17">
        <f t="shared" si="45"/>
        <v>2</v>
      </c>
      <c r="N109" s="17"/>
      <c r="O109" s="17">
        <f t="shared" si="36"/>
        <v>0.33085194375516958</v>
      </c>
      <c r="P109" s="17"/>
      <c r="Q109" s="17">
        <f t="array" ref="Q109">SUM(IF(Period=Q$4,IF(Category=$A$86,IF(Provider=$B109,Score))))</f>
        <v>100</v>
      </c>
      <c r="R109" s="17"/>
      <c r="S109" s="20">
        <f t="array" ref="S109">SUM(IF(Period=Q$4,IF(Category=$A$86,IF(Provider=$B109,Responses))))</f>
        <v>6</v>
      </c>
      <c r="T109" s="20"/>
      <c r="U109" s="17">
        <f t="shared" si="46"/>
        <v>3.278688524590164</v>
      </c>
      <c r="V109" s="17"/>
      <c r="W109" s="17">
        <f t="shared" si="37"/>
        <v>0.53475935828876997</v>
      </c>
      <c r="X109" s="17"/>
      <c r="Y109" s="17">
        <f t="array" ref="Y109">SUM(IF(Period=Y$4,IF(Category=$A$86,IF(Provider=$B109,Score))))</f>
        <v>70.8</v>
      </c>
      <c r="Z109" s="17"/>
      <c r="AA109" s="20">
        <f t="array" ref="AA109">SUM(IF(Period=Y$4,IF(Category=$A$86,IF(Provider=$B109,Responses))))</f>
        <v>6</v>
      </c>
      <c r="AB109" s="20"/>
      <c r="AC109" s="17">
        <f t="shared" si="47"/>
        <v>1.4159999999999999</v>
      </c>
      <c r="AD109" s="17"/>
      <c r="AE109" s="17">
        <f t="shared" si="38"/>
        <v>0.23430777716491999</v>
      </c>
      <c r="AF109" s="17"/>
      <c r="AG109" s="17">
        <f t="array" ref="AG109">SUM(IF(Period=AG$4,IF(Category=$A$86,IF(Provider=$B109,Score))))</f>
        <v>87.5</v>
      </c>
      <c r="AH109" s="17"/>
      <c r="AI109" s="20">
        <f t="array" ref="AI109">SUM(IF(Period=AG$4,IF(Category=$A$86,IF(Provider=$B109,Responses))))</f>
        <v>10</v>
      </c>
      <c r="AJ109" s="20"/>
      <c r="AK109" s="17">
        <f t="shared" si="48"/>
        <v>3.404669260700389</v>
      </c>
      <c r="AL109" s="17"/>
      <c r="AM109" s="17">
        <f t="shared" si="39"/>
        <v>0.56670984455958551</v>
      </c>
      <c r="AN109" s="17"/>
      <c r="AO109" s="17">
        <f t="array" ref="AO109">SUM(IF(Period=AO$4,IF(Category=$A$86,IF(Provider=$B109,Score))))</f>
        <v>87.5</v>
      </c>
      <c r="AP109" s="17"/>
      <c r="AQ109" s="20">
        <f t="array" ref="AQ109">SUM(IF(Period=AO$4,IF(Category=$A$86,IF(Provider=$B109,Responses))))</f>
        <v>8</v>
      </c>
      <c r="AR109" s="20"/>
      <c r="AS109" s="17">
        <f t="shared" si="49"/>
        <v>4.1420118343195265</v>
      </c>
      <c r="AT109" s="17"/>
      <c r="AU109" s="17">
        <f t="shared" si="40"/>
        <v>0.68226120857699801</v>
      </c>
      <c r="AV109" s="17"/>
      <c r="AW109" s="17">
        <f t="array" ref="AW109">SUM(IF(Period=AW$4,IF(Category=$A$86,IF(Provider=$B109,Score))))</f>
        <v>65</v>
      </c>
      <c r="AX109" s="17"/>
      <c r="AY109" s="20">
        <f t="array" ref="AY109">SUM(IF(Period=AW$4,IF(Category=$A$86,IF(Provider=$B109,Responses))))</f>
        <v>5</v>
      </c>
      <c r="AZ109" s="20"/>
      <c r="BA109" s="17">
        <f t="shared" si="50"/>
        <v>1.5116279069767442</v>
      </c>
      <c r="BB109" s="17"/>
      <c r="BC109" s="17">
        <f t="shared" si="41"/>
        <v>0.24961597542242703</v>
      </c>
      <c r="BD109" s="17"/>
      <c r="BE109" s="17">
        <f t="array" ref="BE109">SUM(IF(Period=BE$4,IF(Category=$A$86,IF(Provider=$B109,Score))))</f>
        <v>84.4</v>
      </c>
      <c r="BF109" s="17"/>
      <c r="BG109" s="20">
        <f t="array" ref="BG109">SUM(IF(Period=BE$4,IF(Category=$A$86,IF(Provider=$B109,Responses))))</f>
        <v>8</v>
      </c>
      <c r="BH109" s="20"/>
      <c r="BI109" s="17">
        <f t="shared" si="51"/>
        <v>2.8731914893617025</v>
      </c>
      <c r="BJ109" s="17"/>
      <c r="BK109" s="17">
        <f t="shared" si="42"/>
        <v>0.47717314487632512</v>
      </c>
      <c r="BL109" s="17"/>
      <c r="BM109" s="17">
        <f t="array" ref="BM109">SUM(IF(Period=BM$4,IF(Category=$A$86,IF(Provider=$B109,Score))))</f>
        <v>78.3</v>
      </c>
      <c r="BN109" s="17"/>
      <c r="BO109" s="20">
        <f t="array" ref="BO109">SUM(IF(Period=BM$4,IF(Category=$A$86,IF(Provider=$B109,Responses))))</f>
        <v>15</v>
      </c>
      <c r="BP109" s="20"/>
      <c r="BQ109" s="17">
        <f t="shared" si="52"/>
        <v>5.1740088105726869</v>
      </c>
      <c r="BR109" s="17"/>
      <c r="BS109" s="17">
        <f t="shared" si="43"/>
        <v>0.84740259740259738</v>
      </c>
      <c r="BT109" s="17"/>
      <c r="BU109" s="17">
        <f t="array" ref="BU109">SUM(IF(Period=BU$4,IF(Category=$A$86,IF(Provider=$B109,Score))))</f>
        <v>70</v>
      </c>
      <c r="BV109" s="17"/>
      <c r="BW109" s="20">
        <f t="array" ref="BW109">SUM(IF(Period=BU$4,IF(Category=$A$86,IF(Provider=$B109,Responses))))</f>
        <v>5</v>
      </c>
      <c r="BX109" s="20"/>
      <c r="BY109" s="17">
        <f t="shared" si="53"/>
        <v>1.4583333333333333</v>
      </c>
      <c r="BZ109" s="17"/>
      <c r="CA109" s="17">
        <f t="shared" si="44"/>
        <v>0.24187975120939878</v>
      </c>
    </row>
    <row r="110" spans="2:79" outlineLevel="1" x14ac:dyDescent="0.25">
      <c r="B110" t="s">
        <v>19</v>
      </c>
      <c r="C110" s="17">
        <v>0</v>
      </c>
      <c r="D110" s="17"/>
      <c r="E110" s="17">
        <v>0</v>
      </c>
      <c r="F110" s="17"/>
      <c r="G110" s="17">
        <v>0</v>
      </c>
      <c r="H110" s="17"/>
      <c r="I110" s="17">
        <f t="array" ref="I110">SUM(IF(Period=I$4,IF(Category=$A$86,IF(Provider=$B110,Score))))</f>
        <v>81.3</v>
      </c>
      <c r="J110" s="17"/>
      <c r="K110" s="20">
        <f t="array" ref="K110">SUM(IF(Period=I$4,IF(Category=$A$86,IF(Provider=$B110,Responses))))</f>
        <v>4</v>
      </c>
      <c r="L110" s="20"/>
      <c r="M110" s="17">
        <f t="shared" si="45"/>
        <v>1.6259999999999999</v>
      </c>
      <c r="N110" s="17"/>
      <c r="O110" s="17">
        <f t="shared" si="36"/>
        <v>0.26898263027295283</v>
      </c>
      <c r="P110" s="17"/>
      <c r="Q110" s="17">
        <f t="array" ref="Q110">SUM(IF(Period=Q$4,IF(Category=$A$86,IF(Provider=$B110,Score))))</f>
        <v>81.3</v>
      </c>
      <c r="R110" s="17"/>
      <c r="S110" s="20">
        <f t="array" ref="S110">SUM(IF(Period=Q$4,IF(Category=$A$86,IF(Provider=$B110,Responses))))</f>
        <v>4</v>
      </c>
      <c r="T110" s="20"/>
      <c r="U110" s="17">
        <f t="shared" si="46"/>
        <v>1.7770491803278687</v>
      </c>
      <c r="V110" s="17"/>
      <c r="W110" s="17">
        <f t="shared" si="37"/>
        <v>0.28983957219251333</v>
      </c>
      <c r="X110" s="17"/>
      <c r="Y110" s="17">
        <f t="array" ref="Y110">SUM(IF(Period=Y$4,IF(Category=$A$86,IF(Provider=$B110,Score))))</f>
        <v>100</v>
      </c>
      <c r="Z110" s="17"/>
      <c r="AA110" s="20">
        <f t="array" ref="AA110">SUM(IF(Period=Y$4,IF(Category=$A$86,IF(Provider=$B110,Responses))))</f>
        <v>3</v>
      </c>
      <c r="AB110" s="20"/>
      <c r="AC110" s="17">
        <f t="shared" si="47"/>
        <v>1</v>
      </c>
      <c r="AD110" s="17"/>
      <c r="AE110" s="17">
        <f t="shared" si="38"/>
        <v>0.16547159404302261</v>
      </c>
      <c r="AF110" s="17"/>
      <c r="AG110" s="17">
        <f t="array" ref="AG110">SUM(IF(Period=AG$4,IF(Category=$A$86,IF(Provider=$B110,Score))))</f>
        <v>81.3</v>
      </c>
      <c r="AH110" s="17"/>
      <c r="AI110" s="20">
        <f t="array" ref="AI110">SUM(IF(Period=AG$4,IF(Category=$A$86,IF(Provider=$B110,Responses))))</f>
        <v>8</v>
      </c>
      <c r="AJ110" s="20"/>
      <c r="AK110" s="17">
        <f t="shared" si="48"/>
        <v>2.5307392996108948</v>
      </c>
      <c r="AL110" s="17"/>
      <c r="AM110" s="17">
        <f t="shared" si="39"/>
        <v>0.42124352331606219</v>
      </c>
      <c r="AN110" s="17"/>
      <c r="AO110" s="17">
        <f t="array" ref="AO110">SUM(IF(Period=AO$4,IF(Category=$A$86,IF(Provider=$B110,Score))))</f>
        <v>33.299999999999997</v>
      </c>
      <c r="AP110" s="17"/>
      <c r="AQ110" s="20">
        <f t="array" ref="AQ110">SUM(IF(Period=AO$4,IF(Category=$A$86,IF(Provider=$B110,Responses))))</f>
        <v>3</v>
      </c>
      <c r="AR110" s="20"/>
      <c r="AS110" s="17">
        <f t="shared" si="49"/>
        <v>0.59112426035502952</v>
      </c>
      <c r="AT110" s="17"/>
      <c r="AU110" s="17">
        <f t="shared" si="40"/>
        <v>9.7368421052631562E-2</v>
      </c>
      <c r="AV110" s="17"/>
      <c r="AW110" s="17">
        <f t="array" ref="AW110">SUM(IF(Period=AW$4,IF(Category=$A$86,IF(Provider=$B110,Score))))</f>
        <v>85.7</v>
      </c>
      <c r="AX110" s="17"/>
      <c r="AY110" s="20">
        <f t="array" ref="AY110">SUM(IF(Period=AW$4,IF(Category=$A$86,IF(Provider=$B110,Responses))))</f>
        <v>7</v>
      </c>
      <c r="AZ110" s="20"/>
      <c r="BA110" s="17">
        <f t="shared" si="50"/>
        <v>2.7902325581395351</v>
      </c>
      <c r="BB110" s="17"/>
      <c r="BC110" s="17">
        <f t="shared" si="41"/>
        <v>0.46075268817204307</v>
      </c>
      <c r="BD110" s="17"/>
      <c r="BE110" s="17">
        <f t="array" ref="BE110">SUM(IF(Period=BE$4,IF(Category=$A$86,IF(Provider=$B110,Score))))</f>
        <v>61.1</v>
      </c>
      <c r="BF110" s="17"/>
      <c r="BG110" s="20">
        <f t="array" ref="BG110">SUM(IF(Period=BE$4,IF(Category=$A$86,IF(Provider=$B110,Responses))))</f>
        <v>9</v>
      </c>
      <c r="BH110" s="20"/>
      <c r="BI110" s="17">
        <f t="shared" si="51"/>
        <v>2.34</v>
      </c>
      <c r="BJ110" s="17"/>
      <c r="BK110" s="17">
        <f t="shared" si="42"/>
        <v>0.38862190812720848</v>
      </c>
      <c r="BL110" s="17"/>
      <c r="BM110" s="17">
        <f t="array" ref="BM110">SUM(IF(Period=BM$4,IF(Category=$A$86,IF(Provider=$B110,Score))))</f>
        <v>79.2</v>
      </c>
      <c r="BN110" s="17"/>
      <c r="BO110" s="20">
        <f t="array" ref="BO110">SUM(IF(Period=BM$4,IF(Category=$A$86,IF(Provider=$B110,Responses))))</f>
        <v>6</v>
      </c>
      <c r="BP110" s="20"/>
      <c r="BQ110" s="17">
        <f t="shared" si="52"/>
        <v>2.0933920704845814</v>
      </c>
      <c r="BR110" s="17"/>
      <c r="BS110" s="17">
        <f t="shared" si="43"/>
        <v>0.34285714285714286</v>
      </c>
      <c r="BT110" s="17"/>
      <c r="BU110" s="17">
        <f t="array" ref="BU110">SUM(IF(Period=BU$4,IF(Category=$A$86,IF(Provider=$B110,Score))))</f>
        <v>84.4</v>
      </c>
      <c r="BV110" s="17"/>
      <c r="BW110" s="20">
        <f t="array" ref="BW110">SUM(IF(Period=BU$4,IF(Category=$A$86,IF(Provider=$B110,Responses))))</f>
        <v>8</v>
      </c>
      <c r="BX110" s="20"/>
      <c r="BY110" s="17">
        <f t="shared" si="53"/>
        <v>2.8133333333333335</v>
      </c>
      <c r="BZ110" s="17"/>
      <c r="CA110" s="17">
        <f t="shared" si="44"/>
        <v>0.46662059433310299</v>
      </c>
    </row>
    <row r="111" spans="2:79" outlineLevel="1" x14ac:dyDescent="0.25">
      <c r="B111" t="s">
        <v>34</v>
      </c>
      <c r="C111" s="17">
        <v>0</v>
      </c>
      <c r="D111" s="17"/>
      <c r="E111" s="17">
        <v>0</v>
      </c>
      <c r="F111" s="17"/>
      <c r="G111" s="17">
        <v>0</v>
      </c>
      <c r="H111" s="17"/>
      <c r="I111" s="17">
        <f t="array" ref="I111">SUM(IF(Period=I$4,IF(Category=$A$86,IF(Provider=$B111,Score))))</f>
        <v>75</v>
      </c>
      <c r="J111" s="17"/>
      <c r="K111" s="20">
        <f t="array" ref="K111">SUM(IF(Period=I$4,IF(Category=$A$86,IF(Provider=$B111,Responses))))</f>
        <v>1</v>
      </c>
      <c r="L111" s="20"/>
      <c r="M111" s="17">
        <f t="shared" si="45"/>
        <v>0.375</v>
      </c>
      <c r="N111" s="17"/>
      <c r="O111" s="17">
        <f t="shared" si="36"/>
        <v>6.2034739454094295E-2</v>
      </c>
      <c r="P111" s="17"/>
      <c r="Q111" s="17">
        <f t="array" ref="Q111">SUM(IF(Period=Q$4,IF(Category=$A$86,IF(Provider=$B111,Score))))</f>
        <v>87.5</v>
      </c>
      <c r="R111" s="17"/>
      <c r="S111" s="20">
        <f t="array" ref="S111">SUM(IF(Period=Q$4,IF(Category=$A$86,IF(Provider=$B111,Responses))))</f>
        <v>4</v>
      </c>
      <c r="T111" s="20"/>
      <c r="U111" s="17">
        <f t="shared" si="46"/>
        <v>1.9125683060109289</v>
      </c>
      <c r="V111" s="17"/>
      <c r="W111" s="17">
        <f t="shared" si="37"/>
        <v>0.31194295900178254</v>
      </c>
      <c r="X111" s="17"/>
      <c r="Y111" s="17">
        <f t="array" ref="Y111">SUM(IF(Period=Y$4,IF(Category=$A$86,IF(Provider=$B111,Score))))</f>
        <v>72.7</v>
      </c>
      <c r="Z111" s="17"/>
      <c r="AA111" s="20">
        <f t="array" ref="AA111">SUM(IF(Period=Y$4,IF(Category=$A$86,IF(Provider=$B111,Responses))))</f>
        <v>11</v>
      </c>
      <c r="AB111" s="20"/>
      <c r="AC111" s="17">
        <f t="shared" si="47"/>
        <v>2.6656666666666666</v>
      </c>
      <c r="AD111" s="17"/>
      <c r="AE111" s="17">
        <f t="shared" si="38"/>
        <v>0.44109211252068398</v>
      </c>
      <c r="AF111" s="17"/>
      <c r="AG111" s="17">
        <f t="array" ref="AG111">SUM(IF(Period=AG$4,IF(Category=$A$86,IF(Provider=$B111,Score))))</f>
        <v>90.6</v>
      </c>
      <c r="AH111" s="17"/>
      <c r="AI111" s="20">
        <f t="array" ref="AI111">SUM(IF(Period=AG$4,IF(Category=$A$86,IF(Provider=$B111,Responses))))</f>
        <v>8</v>
      </c>
      <c r="AJ111" s="20"/>
      <c r="AK111" s="17">
        <f t="shared" si="48"/>
        <v>2.8202334630350192</v>
      </c>
      <c r="AL111" s="17"/>
      <c r="AM111" s="17">
        <f t="shared" si="39"/>
        <v>0.46943005181347147</v>
      </c>
      <c r="AN111" s="17"/>
      <c r="AO111" s="17">
        <f t="array" ref="AO111">SUM(IF(Period=AO$4,IF(Category=$A$86,IF(Provider=$B111,Score))))</f>
        <v>87.5</v>
      </c>
      <c r="AP111" s="17"/>
      <c r="AQ111" s="20">
        <f t="array" ref="AQ111">SUM(IF(Period=AO$4,IF(Category=$A$86,IF(Provider=$B111,Responses))))</f>
        <v>2</v>
      </c>
      <c r="AR111" s="20"/>
      <c r="AS111" s="17">
        <f t="shared" si="49"/>
        <v>1.0355029585798816</v>
      </c>
      <c r="AT111" s="17"/>
      <c r="AU111" s="17">
        <f t="shared" si="40"/>
        <v>0.1705653021442495</v>
      </c>
      <c r="AV111" s="17"/>
      <c r="AW111" s="17">
        <f t="array" ref="AW111">SUM(IF(Period=AW$4,IF(Category=$A$86,IF(Provider=$B111,Score))))</f>
        <v>75</v>
      </c>
      <c r="AX111" s="17"/>
      <c r="AY111" s="20">
        <f t="array" ref="AY111">SUM(IF(Period=AW$4,IF(Category=$A$86,IF(Provider=$B111,Responses))))</f>
        <v>5</v>
      </c>
      <c r="AZ111" s="20"/>
      <c r="BA111" s="17">
        <f t="shared" si="50"/>
        <v>1.7441860465116279</v>
      </c>
      <c r="BB111" s="17"/>
      <c r="BC111" s="17">
        <f t="shared" si="41"/>
        <v>0.28801843317972348</v>
      </c>
      <c r="BD111" s="17"/>
      <c r="BE111" s="17">
        <f t="array" ref="BE111">SUM(IF(Period=BE$4,IF(Category=$A$86,IF(Provider=$B111,Score))))</f>
        <v>91.7</v>
      </c>
      <c r="BF111" s="17"/>
      <c r="BG111" s="20">
        <f t="array" ref="BG111">SUM(IF(Period=BE$4,IF(Category=$A$86,IF(Provider=$B111,Responses))))</f>
        <v>6</v>
      </c>
      <c r="BH111" s="20"/>
      <c r="BI111" s="17">
        <f t="shared" si="51"/>
        <v>2.3412765957446808</v>
      </c>
      <c r="BJ111" s="17"/>
      <c r="BK111" s="17">
        <f t="shared" si="42"/>
        <v>0.38883392226148406</v>
      </c>
      <c r="BL111" s="17"/>
      <c r="BM111" s="17">
        <f t="array" ref="BM111">SUM(IF(Period=BM$4,IF(Category=$A$86,IF(Provider=$B111,Score))))</f>
        <v>85.4</v>
      </c>
      <c r="BN111" s="17"/>
      <c r="BO111" s="20">
        <f t="array" ref="BO111">SUM(IF(Period=BM$4,IF(Category=$A$86,IF(Provider=$B111,Responses))))</f>
        <v>12</v>
      </c>
      <c r="BP111" s="20"/>
      <c r="BQ111" s="17">
        <f t="shared" si="52"/>
        <v>4.5145374449339215</v>
      </c>
      <c r="BR111" s="17"/>
      <c r="BS111" s="17">
        <f t="shared" si="43"/>
        <v>0.73939393939393949</v>
      </c>
      <c r="BT111" s="17"/>
      <c r="BU111" s="17">
        <f t="array" ref="BU111">SUM(IF(Period=BU$4,IF(Category=$A$86,IF(Provider=$B111,Score))))</f>
        <v>91.7</v>
      </c>
      <c r="BV111" s="17"/>
      <c r="BW111" s="20">
        <f t="array" ref="BW111">SUM(IF(Period=BU$4,IF(Category=$A$86,IF(Provider=$B111,Responses))))</f>
        <v>3</v>
      </c>
      <c r="BX111" s="20"/>
      <c r="BY111" s="17">
        <f t="shared" si="53"/>
        <v>1.14625</v>
      </c>
      <c r="BZ111" s="17"/>
      <c r="CA111" s="17">
        <f t="shared" si="44"/>
        <v>0.19011748445058743</v>
      </c>
    </row>
    <row r="112" spans="2:79" outlineLevel="1" x14ac:dyDescent="0.25">
      <c r="B112" t="s">
        <v>41</v>
      </c>
      <c r="C112" s="17">
        <v>0</v>
      </c>
      <c r="D112" s="17"/>
      <c r="E112" s="17">
        <v>0</v>
      </c>
      <c r="F112" s="17"/>
      <c r="G112" s="17">
        <v>0</v>
      </c>
      <c r="H112" s="17"/>
      <c r="I112" s="17">
        <f t="array" ref="I112">SUM(IF(Period=I$4,IF(Category=$A$86,IF(Provider=$B112,Score))))</f>
        <v>58.3</v>
      </c>
      <c r="J112" s="17"/>
      <c r="K112" s="20">
        <f t="array" ref="K112">SUM(IF(Period=I$4,IF(Category=$A$86,IF(Provider=$B112,Responses))))</f>
        <v>3</v>
      </c>
      <c r="L112" s="20"/>
      <c r="M112" s="17">
        <f t="shared" si="45"/>
        <v>0.87449999999999994</v>
      </c>
      <c r="N112" s="17"/>
      <c r="O112" s="17">
        <f t="shared" si="36"/>
        <v>0.14466501240694787</v>
      </c>
      <c r="P112" s="17"/>
      <c r="Q112" s="17">
        <f t="array" ref="Q112">SUM(IF(Period=Q$4,IF(Category=$A$86,IF(Provider=$B112,Score))))</f>
        <v>60</v>
      </c>
      <c r="R112" s="17"/>
      <c r="S112" s="20">
        <f t="array" ref="S112">SUM(IF(Period=Q$4,IF(Category=$A$86,IF(Provider=$B112,Responses))))</f>
        <v>5</v>
      </c>
      <c r="T112" s="20"/>
      <c r="U112" s="17">
        <f t="shared" si="46"/>
        <v>1.639344262295082</v>
      </c>
      <c r="V112" s="17"/>
      <c r="W112" s="17">
        <f t="shared" si="37"/>
        <v>0.26737967914438504</v>
      </c>
      <c r="X112" s="17"/>
      <c r="Y112" s="17">
        <f t="array" ref="Y112">SUM(IF(Period=Y$4,IF(Category=$A$86,IF(Provider=$B112,Score))))</f>
        <v>92.9</v>
      </c>
      <c r="Z112" s="17"/>
      <c r="AA112" s="20">
        <f t="array" ref="AA112">SUM(IF(Period=Y$4,IF(Category=$A$86,IF(Provider=$B112,Responses))))</f>
        <v>7</v>
      </c>
      <c r="AB112" s="20"/>
      <c r="AC112" s="17">
        <f t="shared" si="47"/>
        <v>2.1676666666666669</v>
      </c>
      <c r="AD112" s="17"/>
      <c r="AE112" s="17">
        <f t="shared" si="38"/>
        <v>0.3586872586872587</v>
      </c>
      <c r="AF112" s="17"/>
      <c r="AG112" s="17">
        <f t="array" ref="AG112">SUM(IF(Period=AG$4,IF(Category=$A$86,IF(Provider=$B112,Score))))</f>
        <v>95.8</v>
      </c>
      <c r="AH112" s="17"/>
      <c r="AI112" s="20">
        <f t="array" ref="AI112">SUM(IF(Period=AG$4,IF(Category=$A$86,IF(Provider=$B112,Responses))))</f>
        <v>6</v>
      </c>
      <c r="AJ112" s="20"/>
      <c r="AK112" s="17">
        <f t="shared" si="48"/>
        <v>2.2365758754863814</v>
      </c>
      <c r="AL112" s="17"/>
      <c r="AM112" s="17">
        <f t="shared" si="39"/>
        <v>0.37227979274611395</v>
      </c>
      <c r="AN112" s="17"/>
      <c r="AO112" s="17">
        <f t="array" ref="AO112">SUM(IF(Period=AO$4,IF(Category=$A$86,IF(Provider=$B112,Score))))</f>
        <v>66.7</v>
      </c>
      <c r="AP112" s="17"/>
      <c r="AQ112" s="20">
        <f t="array" ref="AQ112">SUM(IF(Period=AO$4,IF(Category=$A$86,IF(Provider=$B112,Responses))))</f>
        <v>6</v>
      </c>
      <c r="AR112" s="20"/>
      <c r="AS112" s="17">
        <f t="shared" si="49"/>
        <v>2.3680473372781066</v>
      </c>
      <c r="AT112" s="17"/>
      <c r="AU112" s="17">
        <f t="shared" si="40"/>
        <v>0.39005847953216372</v>
      </c>
      <c r="AV112" s="17"/>
      <c r="AW112" s="17">
        <f t="array" ref="AW112">SUM(IF(Period=AW$4,IF(Category=$A$86,IF(Provider=$B112,Score))))</f>
        <v>93.8</v>
      </c>
      <c r="AX112" s="17"/>
      <c r="AY112" s="20">
        <f t="array" ref="AY112">SUM(IF(Period=AW$4,IF(Category=$A$86,IF(Provider=$B112,Responses))))</f>
        <v>4</v>
      </c>
      <c r="AZ112" s="20"/>
      <c r="BA112" s="17">
        <f t="shared" si="50"/>
        <v>1.7451162790697674</v>
      </c>
      <c r="BB112" s="17"/>
      <c r="BC112" s="17">
        <f t="shared" si="41"/>
        <v>0.28817204301075267</v>
      </c>
      <c r="BD112" s="17"/>
      <c r="BE112" s="17">
        <f t="array" ref="BE112">SUM(IF(Period=BE$4,IF(Category=$A$86,IF(Provider=$B112,Score))))</f>
        <v>82.1</v>
      </c>
      <c r="BF112" s="17"/>
      <c r="BG112" s="20">
        <f t="array" ref="BG112">SUM(IF(Period=BE$4,IF(Category=$A$86,IF(Provider=$B112,Responses))))</f>
        <v>7</v>
      </c>
      <c r="BH112" s="20"/>
      <c r="BI112" s="17">
        <f t="shared" si="51"/>
        <v>2.4455319148936168</v>
      </c>
      <c r="BJ112" s="17"/>
      <c r="BK112" s="17">
        <f t="shared" si="42"/>
        <v>0.40614840989399292</v>
      </c>
      <c r="BL112" s="17"/>
      <c r="BM112" s="17">
        <f t="array" ref="BM112">SUM(IF(Period=BM$4,IF(Category=$A$86,IF(Provider=$B112,Score))))</f>
        <v>75</v>
      </c>
      <c r="BN112" s="17"/>
      <c r="BO112" s="20">
        <f t="array" ref="BO112">SUM(IF(Period=BM$4,IF(Category=$A$86,IF(Provider=$B112,Responses))))</f>
        <v>3</v>
      </c>
      <c r="BP112" s="20"/>
      <c r="BQ112" s="17">
        <f t="shared" si="52"/>
        <v>0.99118942731277537</v>
      </c>
      <c r="BR112" s="17"/>
      <c r="BS112" s="17">
        <f t="shared" si="43"/>
        <v>0.16233766233766234</v>
      </c>
      <c r="BT112" s="17"/>
      <c r="BU112" s="17">
        <f t="array" ref="BU112">SUM(IF(Period=BU$4,IF(Category=$A$86,IF(Provider=$B112,Score))))</f>
        <v>83.3</v>
      </c>
      <c r="BV112" s="17"/>
      <c r="BW112" s="20">
        <f t="array" ref="BW112">SUM(IF(Period=BU$4,IF(Category=$A$86,IF(Provider=$B112,Responses))))</f>
        <v>6</v>
      </c>
      <c r="BX112" s="20"/>
      <c r="BY112" s="17">
        <f t="shared" si="53"/>
        <v>2.0825</v>
      </c>
      <c r="BZ112" s="17"/>
      <c r="CA112" s="17">
        <f t="shared" si="44"/>
        <v>0.34540428472702139</v>
      </c>
    </row>
    <row r="113" spans="1:79" outlineLevel="1" x14ac:dyDescent="0.25">
      <c r="B113" t="s">
        <v>13</v>
      </c>
      <c r="C113" s="17">
        <v>0</v>
      </c>
      <c r="D113" s="17"/>
      <c r="E113" s="17">
        <v>0</v>
      </c>
      <c r="F113" s="17"/>
      <c r="G113" s="17">
        <v>0</v>
      </c>
      <c r="H113" s="17"/>
      <c r="I113" s="17">
        <f t="array" ref="I113">SUM(IF(Period=I$4,IF(Category=$A$86,IF(Provider=$B113,Score))))</f>
        <v>100</v>
      </c>
      <c r="J113" s="17"/>
      <c r="K113" s="20">
        <f t="array" ref="K113">SUM(IF(Period=I$4,IF(Category=$A$86,IF(Provider=$B113,Responses))))</f>
        <v>6</v>
      </c>
      <c r="L113" s="20"/>
      <c r="M113" s="17">
        <f t="shared" si="45"/>
        <v>3</v>
      </c>
      <c r="N113" s="17"/>
      <c r="O113" s="17">
        <f t="shared" si="36"/>
        <v>0.49627791563275436</v>
      </c>
      <c r="P113" s="17"/>
      <c r="Q113" s="17">
        <f t="array" ref="Q113">SUM(IF(Period=Q$4,IF(Category=$A$86,IF(Provider=$B113,Score))))</f>
        <v>78.3</v>
      </c>
      <c r="R113" s="17"/>
      <c r="S113" s="20">
        <f t="array" ref="S113">SUM(IF(Period=Q$4,IF(Category=$A$86,IF(Provider=$B113,Responses))))</f>
        <v>15</v>
      </c>
      <c r="T113" s="20"/>
      <c r="U113" s="17">
        <f t="shared" si="46"/>
        <v>6.4180327868852451</v>
      </c>
      <c r="V113" s="17"/>
      <c r="W113" s="17">
        <f t="shared" si="37"/>
        <v>1.0467914438502672</v>
      </c>
      <c r="X113" s="17"/>
      <c r="Y113" s="17">
        <f t="array" ref="Y113">SUM(IF(Period=Y$4,IF(Category=$A$86,IF(Provider=$B113,Score))))</f>
        <v>89.6</v>
      </c>
      <c r="Z113" s="17"/>
      <c r="AA113" s="20">
        <f t="array" ref="AA113">SUM(IF(Period=Y$4,IF(Category=$A$86,IF(Provider=$B113,Responses))))</f>
        <v>12</v>
      </c>
      <c r="AB113" s="20"/>
      <c r="AC113" s="17">
        <f t="shared" si="47"/>
        <v>3.5839999999999996</v>
      </c>
      <c r="AD113" s="17"/>
      <c r="AE113" s="17">
        <f t="shared" si="38"/>
        <v>0.59305019305019302</v>
      </c>
      <c r="AF113" s="17"/>
      <c r="AG113" s="17">
        <f t="array" ref="AG113">SUM(IF(Period=AG$4,IF(Category=$A$86,IF(Provider=$B113,Score))))</f>
        <v>85.3</v>
      </c>
      <c r="AH113" s="17"/>
      <c r="AI113" s="20">
        <f t="array" ref="AI113">SUM(IF(Period=AG$4,IF(Category=$A$86,IF(Provider=$B113,Responses))))</f>
        <v>17</v>
      </c>
      <c r="AJ113" s="20"/>
      <c r="AK113" s="17">
        <f t="shared" si="48"/>
        <v>5.6424124513618672</v>
      </c>
      <c r="AL113" s="17"/>
      <c r="AM113" s="17">
        <f t="shared" si="39"/>
        <v>0.93918393782383414</v>
      </c>
      <c r="AN113" s="17"/>
      <c r="AO113" s="17">
        <f t="array" ref="AO113">SUM(IF(Period=AO$4,IF(Category=$A$86,IF(Provider=$B113,Score))))</f>
        <v>100</v>
      </c>
      <c r="AP113" s="17"/>
      <c r="AQ113" s="20">
        <f t="array" ref="AQ113">SUM(IF(Period=AO$4,IF(Category=$A$86,IF(Provider=$B113,Responses))))</f>
        <v>4</v>
      </c>
      <c r="AR113" s="20"/>
      <c r="AS113" s="17">
        <f t="shared" si="49"/>
        <v>2.3668639053254439</v>
      </c>
      <c r="AT113" s="17"/>
      <c r="AU113" s="17">
        <f t="shared" si="40"/>
        <v>0.38986354775828458</v>
      </c>
      <c r="AV113" s="17"/>
      <c r="AW113" s="17">
        <f t="array" ref="AW113">SUM(IF(Period=AW$4,IF(Category=$A$86,IF(Provider=$B113,Score))))</f>
        <v>67.7</v>
      </c>
      <c r="AX113" s="17"/>
      <c r="AY113" s="20">
        <f t="array" ref="AY113">SUM(IF(Period=AW$4,IF(Category=$A$86,IF(Provider=$B113,Responses))))</f>
        <v>17</v>
      </c>
      <c r="AZ113" s="20"/>
      <c r="BA113" s="17">
        <f t="shared" si="50"/>
        <v>5.3530232558139534</v>
      </c>
      <c r="BB113" s="17"/>
      <c r="BC113" s="17">
        <f t="shared" si="41"/>
        <v>0.88394777265745006</v>
      </c>
      <c r="BD113" s="17"/>
      <c r="BE113" s="17">
        <f t="array" ref="BE113">SUM(IF(Period=BE$4,IF(Category=$A$86,IF(Provider=$B113,Score))))</f>
        <v>95.5</v>
      </c>
      <c r="BF113" s="17"/>
      <c r="BG113" s="20">
        <f t="array" ref="BG113">SUM(IF(Period=BE$4,IF(Category=$A$86,IF(Provider=$B113,Responses))))</f>
        <v>11</v>
      </c>
      <c r="BH113" s="20"/>
      <c r="BI113" s="17">
        <f t="shared" si="51"/>
        <v>4.4702127659574469</v>
      </c>
      <c r="BJ113" s="17"/>
      <c r="BK113" s="17">
        <f t="shared" si="42"/>
        <v>0.74240282685512371</v>
      </c>
      <c r="BL113" s="17"/>
      <c r="BM113" s="17">
        <f t="array" ref="BM113">SUM(IF(Period=BM$4,IF(Category=$A$86,IF(Provider=$B113,Score))))</f>
        <v>85.7</v>
      </c>
      <c r="BN113" s="17"/>
      <c r="BO113" s="20">
        <f t="array" ref="BO113">SUM(IF(Period=BM$4,IF(Category=$A$86,IF(Provider=$B113,Responses))))</f>
        <v>14</v>
      </c>
      <c r="BP113" s="20"/>
      <c r="BQ113" s="17">
        <f t="shared" si="52"/>
        <v>5.2854625550660792</v>
      </c>
      <c r="BR113" s="17"/>
      <c r="BS113" s="17">
        <f t="shared" si="43"/>
        <v>0.86565656565656579</v>
      </c>
      <c r="BT113" s="17"/>
      <c r="BU113" s="17">
        <f t="array" ref="BU113">SUM(IF(Period=BU$4,IF(Category=$A$86,IF(Provider=$B113,Score))))</f>
        <v>72.099999999999994</v>
      </c>
      <c r="BV113" s="17"/>
      <c r="BW113" s="20">
        <f t="array" ref="BW113">SUM(IF(Period=BU$4,IF(Category=$A$86,IF(Provider=$B113,Responses))))</f>
        <v>17</v>
      </c>
      <c r="BX113" s="20"/>
      <c r="BY113" s="17">
        <f t="shared" si="53"/>
        <v>5.1070833333333328</v>
      </c>
      <c r="BZ113" s="17"/>
      <c r="CA113" s="17">
        <f t="shared" si="44"/>
        <v>0.84706288873531443</v>
      </c>
    </row>
    <row r="114" spans="1:79" outlineLevel="1" x14ac:dyDescent="0.25">
      <c r="B114" t="s">
        <v>25</v>
      </c>
      <c r="C114" s="17">
        <v>0</v>
      </c>
      <c r="D114" s="17"/>
      <c r="E114" s="17">
        <v>0</v>
      </c>
      <c r="F114" s="17"/>
      <c r="G114" s="17">
        <v>0</v>
      </c>
      <c r="H114" s="17"/>
      <c r="I114" s="17">
        <f t="array" ref="I114">SUM(IF(Period=I$4,IF(Category=$A$86,IF(Provider=$B114,Score))))</f>
        <v>79.2</v>
      </c>
      <c r="J114" s="17"/>
      <c r="K114" s="20">
        <f t="array" ref="K114">SUM(IF(Period=I$4,IF(Category=$A$86,IF(Provider=$B114,Responses))))</f>
        <v>6</v>
      </c>
      <c r="L114" s="20"/>
      <c r="M114" s="17">
        <f t="shared" si="45"/>
        <v>2.3759999999999999</v>
      </c>
      <c r="N114" s="17"/>
      <c r="O114" s="17">
        <f t="shared" si="36"/>
        <v>0.39305210918114147</v>
      </c>
      <c r="P114" s="17"/>
      <c r="Q114" s="17">
        <f t="array" ref="Q114">SUM(IF(Period=Q$4,IF(Category=$A$86,IF(Provider=$B114,Score))))</f>
        <v>81.3</v>
      </c>
      <c r="R114" s="17"/>
      <c r="S114" s="20">
        <f t="array" ref="S114">SUM(IF(Period=Q$4,IF(Category=$A$86,IF(Provider=$B114,Responses))))</f>
        <v>8</v>
      </c>
      <c r="T114" s="20"/>
      <c r="U114" s="17">
        <f t="shared" si="46"/>
        <v>3.5540983606557375</v>
      </c>
      <c r="V114" s="17"/>
      <c r="W114" s="17">
        <f t="shared" si="37"/>
        <v>0.57967914438502666</v>
      </c>
      <c r="X114" s="17"/>
      <c r="Y114" s="17">
        <f t="array" ref="Y114">SUM(IF(Period=Y$4,IF(Category=$A$86,IF(Provider=$B114,Score))))</f>
        <v>75</v>
      </c>
      <c r="Z114" s="17"/>
      <c r="AA114" s="20">
        <f t="array" ref="AA114">SUM(IF(Period=Y$4,IF(Category=$A$86,IF(Provider=$B114,Responses))))</f>
        <v>10</v>
      </c>
      <c r="AB114" s="20"/>
      <c r="AC114" s="17">
        <f t="shared" si="47"/>
        <v>2.5</v>
      </c>
      <c r="AD114" s="17"/>
      <c r="AE114" s="17">
        <f t="shared" si="38"/>
        <v>0.41367898510755652</v>
      </c>
      <c r="AF114" s="17"/>
      <c r="AG114" s="17">
        <f t="array" ref="AG114">SUM(IF(Period=AG$4,IF(Category=$A$86,IF(Provider=$B114,Score))))</f>
        <v>80</v>
      </c>
      <c r="AH114" s="17"/>
      <c r="AI114" s="20">
        <f t="array" ref="AI114">SUM(IF(Period=AG$4,IF(Category=$A$86,IF(Provider=$B114,Responses))))</f>
        <v>5</v>
      </c>
      <c r="AJ114" s="20"/>
      <c r="AK114" s="17">
        <f t="shared" si="48"/>
        <v>1.556420233463035</v>
      </c>
      <c r="AL114" s="17"/>
      <c r="AM114" s="17">
        <f t="shared" si="39"/>
        <v>0.25906735751295334</v>
      </c>
      <c r="AN114" s="17"/>
      <c r="AO114" s="17">
        <f t="array" ref="AO114">SUM(IF(Period=AO$4,IF(Category=$A$86,IF(Provider=$B114,Score))))</f>
        <v>67.900000000000006</v>
      </c>
      <c r="AP114" s="17"/>
      <c r="AQ114" s="20">
        <f t="array" ref="AQ114">SUM(IF(Period=AO$4,IF(Category=$A$86,IF(Provider=$B114,Responses))))</f>
        <v>7</v>
      </c>
      <c r="AR114" s="20"/>
      <c r="AS114" s="17">
        <f t="shared" si="49"/>
        <v>2.8124260355029591</v>
      </c>
      <c r="AT114" s="17"/>
      <c r="AU114" s="17">
        <f t="shared" si="40"/>
        <v>0.4632553606237817</v>
      </c>
      <c r="AV114" s="17"/>
      <c r="AW114" s="17">
        <f t="array" ref="AW114">SUM(IF(Period=AW$4,IF(Category=$A$86,IF(Provider=$B114,Score))))</f>
        <v>66.7</v>
      </c>
      <c r="AX114" s="17"/>
      <c r="AY114" s="20">
        <f t="array" ref="AY114">SUM(IF(Period=AW$4,IF(Category=$A$86,IF(Provider=$B114,Responses))))</f>
        <v>3</v>
      </c>
      <c r="AZ114" s="20"/>
      <c r="BA114" s="17">
        <f t="shared" si="50"/>
        <v>0.93069767441860463</v>
      </c>
      <c r="BB114" s="17"/>
      <c r="BC114" s="17">
        <f t="shared" si="41"/>
        <v>0.15368663594470047</v>
      </c>
      <c r="BD114" s="17"/>
      <c r="BE114" s="17">
        <f t="array" ref="BE114">SUM(IF(Period=BE$4,IF(Category=$A$86,IF(Provider=$B114,Score))))</f>
        <v>100</v>
      </c>
      <c r="BF114" s="17"/>
      <c r="BG114" s="20">
        <f t="array" ref="BG114">SUM(IF(Period=BE$4,IF(Category=$A$86,IF(Provider=$B114,Responses))))</f>
        <v>1</v>
      </c>
      <c r="BH114" s="20"/>
      <c r="BI114" s="17">
        <f t="shared" si="51"/>
        <v>0.42553191489361702</v>
      </c>
      <c r="BJ114" s="17"/>
      <c r="BK114" s="17">
        <f t="shared" si="42"/>
        <v>7.0671378091872794E-2</v>
      </c>
      <c r="BL114" s="17"/>
      <c r="BM114" s="17">
        <f t="array" ref="BM114">SUM(IF(Period=BM$4,IF(Category=$A$86,IF(Provider=$B114,Score))))</f>
        <v>75</v>
      </c>
      <c r="BN114" s="17"/>
      <c r="BO114" s="20">
        <f t="array" ref="BO114">SUM(IF(Period=BM$4,IF(Category=$A$86,IF(Provider=$B114,Responses))))</f>
        <v>3</v>
      </c>
      <c r="BP114" s="20"/>
      <c r="BQ114" s="17">
        <f t="shared" si="52"/>
        <v>0.99118942731277537</v>
      </c>
      <c r="BR114" s="17"/>
      <c r="BS114" s="17">
        <f t="shared" si="43"/>
        <v>0.16233766233766234</v>
      </c>
      <c r="BT114" s="17"/>
      <c r="BU114" s="17">
        <f t="array" ref="BU114">SUM(IF(Period=BU$4,IF(Category=$A$86,IF(Provider=$B114,Score))))</f>
        <v>67.900000000000006</v>
      </c>
      <c r="BV114" s="17"/>
      <c r="BW114" s="20">
        <f t="array" ref="BW114">SUM(IF(Period=BU$4,IF(Category=$A$86,IF(Provider=$B114,Responses))))</f>
        <v>7</v>
      </c>
      <c r="BX114" s="20"/>
      <c r="BY114" s="17">
        <f t="shared" si="53"/>
        <v>1.9804166666666669</v>
      </c>
      <c r="BZ114" s="17"/>
      <c r="CA114" s="17">
        <f t="shared" si="44"/>
        <v>0.32847270214236357</v>
      </c>
    </row>
    <row r="115" spans="1:79" outlineLevel="1" x14ac:dyDescent="0.25">
      <c r="B115" t="s">
        <v>43</v>
      </c>
      <c r="C115" s="17">
        <v>0</v>
      </c>
      <c r="D115" s="17"/>
      <c r="E115" s="17">
        <v>0</v>
      </c>
      <c r="F115" s="17"/>
      <c r="G115" s="17">
        <v>0</v>
      </c>
      <c r="H115" s="17"/>
      <c r="I115" s="17">
        <f t="array" ref="I115">SUM(IF(Period=I$4,IF(Category=$A$86,IF(Provider=$B115,Score))))</f>
        <v>11.1</v>
      </c>
      <c r="J115" s="17"/>
      <c r="K115" s="20">
        <f t="array" ref="K115">SUM(IF(Period=I$4,IF(Category=$A$86,IF(Provider=$B115,Responses))))</f>
        <v>9</v>
      </c>
      <c r="L115" s="20"/>
      <c r="M115" s="17">
        <f t="shared" si="45"/>
        <v>0.49949999999999994</v>
      </c>
      <c r="N115" s="17"/>
      <c r="O115" s="17">
        <f t="shared" si="36"/>
        <v>8.2630272952853592E-2</v>
      </c>
      <c r="P115" s="17"/>
      <c r="Q115" s="17">
        <f t="array" ref="Q115">SUM(IF(Period=Q$4,IF(Category=$A$86,IF(Provider=$B115,Score))))</f>
        <v>69.400000000000006</v>
      </c>
      <c r="R115" s="17"/>
      <c r="S115" s="20">
        <f t="array" ref="S115">SUM(IF(Period=Q$4,IF(Category=$A$86,IF(Provider=$B115,Responses))))</f>
        <v>9</v>
      </c>
      <c r="T115" s="20"/>
      <c r="U115" s="17">
        <f t="shared" si="46"/>
        <v>3.4131147540983608</v>
      </c>
      <c r="V115" s="17"/>
      <c r="W115" s="17">
        <f t="shared" si="37"/>
        <v>0.5566844919786097</v>
      </c>
      <c r="X115" s="17"/>
      <c r="Y115" s="17">
        <f t="array" ref="Y115">SUM(IF(Period=Y$4,IF(Category=$A$86,IF(Provider=$B115,Score))))</f>
        <v>59.2</v>
      </c>
      <c r="Z115" s="17"/>
      <c r="AA115" s="20">
        <f t="array" ref="AA115">SUM(IF(Period=Y$4,IF(Category=$A$86,IF(Provider=$B115,Responses))))</f>
        <v>19</v>
      </c>
      <c r="AB115" s="20"/>
      <c r="AC115" s="17">
        <f t="shared" si="47"/>
        <v>3.7493333333333339</v>
      </c>
      <c r="AD115" s="17"/>
      <c r="AE115" s="17">
        <f t="shared" si="38"/>
        <v>0.62040816326530623</v>
      </c>
      <c r="AF115" s="17"/>
      <c r="AG115" s="17">
        <f t="array" ref="AG115">SUM(IF(Period=AG$4,IF(Category=$A$86,IF(Provider=$B115,Score))))</f>
        <v>65</v>
      </c>
      <c r="AH115" s="17"/>
      <c r="AI115" s="20">
        <f t="array" ref="AI115">SUM(IF(Period=AG$4,IF(Category=$A$86,IF(Provider=$B115,Responses))))</f>
        <v>5</v>
      </c>
      <c r="AJ115" s="20"/>
      <c r="AK115" s="17">
        <f t="shared" si="48"/>
        <v>1.2645914396887159</v>
      </c>
      <c r="AL115" s="17"/>
      <c r="AM115" s="17">
        <f t="shared" si="39"/>
        <v>0.21049222797927461</v>
      </c>
      <c r="AN115" s="17"/>
      <c r="AO115" s="17">
        <f t="array" ref="AO115">SUM(IF(Period=AO$4,IF(Category=$A$86,IF(Provider=$B115,Score))))</f>
        <v>85</v>
      </c>
      <c r="AP115" s="17"/>
      <c r="AQ115" s="20">
        <f t="array" ref="AQ115">SUM(IF(Period=AO$4,IF(Category=$A$86,IF(Provider=$B115,Responses))))</f>
        <v>5</v>
      </c>
      <c r="AR115" s="20"/>
      <c r="AS115" s="17">
        <f t="shared" si="49"/>
        <v>2.5147928994082838</v>
      </c>
      <c r="AT115" s="17"/>
      <c r="AU115" s="17">
        <f t="shared" si="40"/>
        <v>0.41423001949317739</v>
      </c>
      <c r="AV115" s="17"/>
      <c r="AW115" s="17">
        <f t="array" ref="AW115">SUM(IF(Period=AW$4,IF(Category=$A$86,IF(Provider=$B115,Score))))</f>
        <v>62.5</v>
      </c>
      <c r="AX115" s="17"/>
      <c r="AY115" s="20">
        <f t="array" ref="AY115">SUM(IF(Period=AW$4,IF(Category=$A$86,IF(Provider=$B115,Responses))))</f>
        <v>4</v>
      </c>
      <c r="AZ115" s="20"/>
      <c r="BA115" s="17">
        <f t="shared" si="50"/>
        <v>1.1627906976744187</v>
      </c>
      <c r="BB115" s="17"/>
      <c r="BC115" s="17">
        <f t="shared" si="41"/>
        <v>0.19201228878648233</v>
      </c>
      <c r="BD115" s="17"/>
      <c r="BE115" s="17">
        <f t="array" ref="BE115">SUM(IF(Period=BE$4,IF(Category=$A$86,IF(Provider=$B115,Score))))</f>
        <v>100</v>
      </c>
      <c r="BF115" s="17"/>
      <c r="BG115" s="20">
        <f t="array" ref="BG115">SUM(IF(Period=BE$4,IF(Category=$A$86,IF(Provider=$B115,Responses))))</f>
        <v>4</v>
      </c>
      <c r="BH115" s="20"/>
      <c r="BI115" s="17">
        <f t="shared" si="51"/>
        <v>1.7021276595744681</v>
      </c>
      <c r="BJ115" s="17"/>
      <c r="BK115" s="17">
        <f t="shared" si="42"/>
        <v>0.28268551236749118</v>
      </c>
      <c r="BL115" s="17"/>
      <c r="BM115" s="17">
        <f t="array" ref="BM115">SUM(IF(Period=BM$4,IF(Category=$A$86,IF(Provider=$B115,Score))))</f>
        <v>75</v>
      </c>
      <c r="BN115" s="17"/>
      <c r="BO115" s="20">
        <f t="array" ref="BO115">SUM(IF(Period=BM$4,IF(Category=$A$86,IF(Provider=$B115,Responses))))</f>
        <v>1</v>
      </c>
      <c r="BP115" s="20"/>
      <c r="BQ115" s="17">
        <f t="shared" si="52"/>
        <v>0.33039647577092512</v>
      </c>
      <c r="BR115" s="17"/>
      <c r="BS115" s="17">
        <f t="shared" si="43"/>
        <v>5.4112554112554112E-2</v>
      </c>
      <c r="BT115" s="17"/>
      <c r="BU115" s="17">
        <f t="array" ref="BU115">SUM(IF(Period=BU$4,IF(Category=$A$86,IF(Provider=$B115,Score))))</f>
        <v>56.8</v>
      </c>
      <c r="BV115" s="17"/>
      <c r="BW115" s="20">
        <f t="array" ref="BW115">SUM(IF(Period=BU$4,IF(Category=$A$86,IF(Provider=$B115,Responses))))</f>
        <v>11</v>
      </c>
      <c r="BX115" s="20"/>
      <c r="BY115" s="17">
        <f t="shared" si="53"/>
        <v>2.6033333333333331</v>
      </c>
      <c r="BZ115" s="17"/>
      <c r="CA115" s="17">
        <f t="shared" si="44"/>
        <v>0.43178991015894952</v>
      </c>
    </row>
    <row r="116" spans="1:79" outlineLevel="1" x14ac:dyDescent="0.25">
      <c r="B116" t="s">
        <v>29</v>
      </c>
      <c r="C116" s="17">
        <v>0</v>
      </c>
      <c r="D116" s="17"/>
      <c r="E116" s="17">
        <v>0</v>
      </c>
      <c r="F116" s="17"/>
      <c r="G116" s="17">
        <v>0</v>
      </c>
      <c r="H116" s="17"/>
      <c r="I116" s="17">
        <f t="array" ref="I116">SUM(IF(Period=I$4,IF(Category=$A$86,IF(Provider=$B116,Score))))</f>
        <v>75</v>
      </c>
      <c r="J116" s="17"/>
      <c r="K116" s="20">
        <f t="array" ref="K116">SUM(IF(Period=I$4,IF(Category=$A$86,IF(Provider=$B116,Responses))))</f>
        <v>7</v>
      </c>
      <c r="L116" s="20"/>
      <c r="M116" s="17">
        <f t="shared" si="45"/>
        <v>2.6250000000000004</v>
      </c>
      <c r="N116" s="17"/>
      <c r="O116" s="17">
        <f t="shared" si="36"/>
        <v>0.43424317617866004</v>
      </c>
      <c r="P116" s="17"/>
      <c r="Q116" s="17">
        <f t="array" ref="Q116">SUM(IF(Period=Q$4,IF(Category=$A$86,IF(Provider=$B116,Score))))</f>
        <v>66.7</v>
      </c>
      <c r="R116" s="17"/>
      <c r="S116" s="20">
        <f t="array" ref="S116">SUM(IF(Period=Q$4,IF(Category=$A$86,IF(Provider=$B116,Responses))))</f>
        <v>6</v>
      </c>
      <c r="T116" s="20"/>
      <c r="U116" s="17">
        <f t="shared" si="46"/>
        <v>2.1868852459016397</v>
      </c>
      <c r="V116" s="17"/>
      <c r="W116" s="17">
        <f t="shared" si="37"/>
        <v>0.35668449197860963</v>
      </c>
      <c r="X116" s="17"/>
      <c r="Y116" s="17">
        <f t="array" ref="Y116">SUM(IF(Period=Y$4,IF(Category=$A$86,IF(Provider=$B116,Score))))</f>
        <v>70.8</v>
      </c>
      <c r="Z116" s="17"/>
      <c r="AA116" s="20">
        <f t="array" ref="AA116">SUM(IF(Period=Y$4,IF(Category=$A$86,IF(Provider=$B116,Responses))))</f>
        <v>6</v>
      </c>
      <c r="AB116" s="20"/>
      <c r="AC116" s="17">
        <f t="shared" si="47"/>
        <v>1.4159999999999999</v>
      </c>
      <c r="AD116" s="17"/>
      <c r="AE116" s="17">
        <f t="shared" si="38"/>
        <v>0.23430777716491999</v>
      </c>
      <c r="AF116" s="17"/>
      <c r="AG116" s="17">
        <f t="array" ref="AG116">SUM(IF(Period=AG$4,IF(Category=$A$86,IF(Provider=$B116,Score))))</f>
        <v>78.599999999999994</v>
      </c>
      <c r="AH116" s="17"/>
      <c r="AI116" s="20">
        <f t="array" ref="AI116">SUM(IF(Period=AG$4,IF(Category=$A$86,IF(Provider=$B116,Responses))))</f>
        <v>7</v>
      </c>
      <c r="AJ116" s="20"/>
      <c r="AK116" s="17">
        <f t="shared" si="48"/>
        <v>2.1408560311284046</v>
      </c>
      <c r="AL116" s="17"/>
      <c r="AM116" s="17">
        <f t="shared" si="39"/>
        <v>0.35634715025906732</v>
      </c>
      <c r="AN116" s="17"/>
      <c r="AO116" s="17">
        <f t="array" ref="AO116">SUM(IF(Period=AO$4,IF(Category=$A$86,IF(Provider=$B116,Score))))</f>
        <v>100</v>
      </c>
      <c r="AP116" s="17"/>
      <c r="AQ116" s="20">
        <f t="array" ref="AQ116">SUM(IF(Period=AO$4,IF(Category=$A$86,IF(Provider=$B116,Responses))))</f>
        <v>2</v>
      </c>
      <c r="AR116" s="20"/>
      <c r="AS116" s="17">
        <f t="shared" si="49"/>
        <v>1.1834319526627219</v>
      </c>
      <c r="AT116" s="17"/>
      <c r="AU116" s="17">
        <f t="shared" si="40"/>
        <v>0.19493177387914229</v>
      </c>
      <c r="AV116" s="17"/>
      <c r="AW116" s="17">
        <f t="array" ref="AW116">SUM(IF(Period=AW$4,IF(Category=$A$86,IF(Provider=$B116,Score))))</f>
        <v>75</v>
      </c>
      <c r="AX116" s="17"/>
      <c r="AY116" s="20">
        <f t="array" ref="AY116">SUM(IF(Period=AW$4,IF(Category=$A$86,IF(Provider=$B116,Responses))))</f>
        <v>4</v>
      </c>
      <c r="AZ116" s="20"/>
      <c r="BA116" s="17">
        <f t="shared" si="50"/>
        <v>1.3953488372093024</v>
      </c>
      <c r="BB116" s="17"/>
      <c r="BC116" s="17">
        <f t="shared" si="41"/>
        <v>0.2304147465437788</v>
      </c>
      <c r="BD116" s="17"/>
      <c r="BE116" s="17">
        <f t="array" ref="BE116">SUM(IF(Period=BE$4,IF(Category=$A$86,IF(Provider=$B116,Score))))</f>
        <v>75</v>
      </c>
      <c r="BF116" s="17"/>
      <c r="BG116" s="20">
        <f t="array" ref="BG116">SUM(IF(Period=BE$4,IF(Category=$A$86,IF(Provider=$B116,Responses))))</f>
        <v>1</v>
      </c>
      <c r="BH116" s="20"/>
      <c r="BI116" s="17">
        <f t="shared" si="51"/>
        <v>0.31914893617021278</v>
      </c>
      <c r="BJ116" s="17"/>
      <c r="BK116" s="17">
        <f t="shared" si="42"/>
        <v>5.3003533568904589E-2</v>
      </c>
      <c r="BL116" s="17"/>
      <c r="BM116" s="17">
        <f t="array" ref="BM116">SUM(IF(Period=BM$4,IF(Category=$A$86,IF(Provider=$B116,Score))))</f>
        <v>91.7</v>
      </c>
      <c r="BN116" s="17"/>
      <c r="BO116" s="20">
        <f t="array" ref="BO116">SUM(IF(Period=BM$4,IF(Category=$A$86,IF(Provider=$B116,Responses))))</f>
        <v>6</v>
      </c>
      <c r="BP116" s="20"/>
      <c r="BQ116" s="17">
        <f t="shared" si="52"/>
        <v>2.4237885462555067</v>
      </c>
      <c r="BR116" s="17"/>
      <c r="BS116" s="17">
        <f t="shared" si="43"/>
        <v>0.39696969696969697</v>
      </c>
      <c r="BT116" s="17"/>
      <c r="BU116" s="17">
        <f t="array" ref="BU116">SUM(IF(Period=BU$4,IF(Category=$A$86,IF(Provider=$B116,Score))))</f>
        <v>81.3</v>
      </c>
      <c r="BV116" s="17"/>
      <c r="BW116" s="20">
        <f t="array" ref="BW116">SUM(IF(Period=BU$4,IF(Category=$A$86,IF(Provider=$B116,Responses))))</f>
        <v>4</v>
      </c>
      <c r="BX116" s="20"/>
      <c r="BY116" s="17">
        <f t="shared" si="53"/>
        <v>1.355</v>
      </c>
      <c r="BZ116" s="17"/>
      <c r="CA116" s="17">
        <f t="shared" si="44"/>
        <v>0.22474084312370421</v>
      </c>
    </row>
    <row r="117" spans="1:79" outlineLevel="1" x14ac:dyDescent="0.25">
      <c r="B117" t="s">
        <v>20</v>
      </c>
      <c r="C117" s="17">
        <v>0</v>
      </c>
      <c r="D117" s="17"/>
      <c r="E117" s="17">
        <v>0</v>
      </c>
      <c r="F117" s="17"/>
      <c r="G117" s="17">
        <v>0</v>
      </c>
      <c r="H117" s="17"/>
      <c r="I117" s="17">
        <f t="array" ref="I117">SUM(IF(Period=I$4,IF(Category=$A$86,IF(Provider=$B117,Score))))</f>
        <v>85</v>
      </c>
      <c r="J117" s="17"/>
      <c r="K117" s="20">
        <f t="array" ref="K117">SUM(IF(Period=I$4,IF(Category=$A$86,IF(Provider=$B117,Responses))))</f>
        <v>5</v>
      </c>
      <c r="L117" s="20"/>
      <c r="M117" s="17">
        <f t="shared" si="45"/>
        <v>2.125</v>
      </c>
      <c r="N117" s="17"/>
      <c r="O117" s="17">
        <f t="shared" si="36"/>
        <v>0.35153019023986765</v>
      </c>
      <c r="P117" s="17"/>
      <c r="Q117" s="17">
        <f t="array" ref="Q117">SUM(IF(Period=Q$4,IF(Category=$A$86,IF(Provider=$B117,Score))))</f>
        <v>75</v>
      </c>
      <c r="R117" s="17"/>
      <c r="S117" s="20">
        <f t="array" ref="S117">SUM(IF(Period=Q$4,IF(Category=$A$86,IF(Provider=$B117,Responses))))</f>
        <v>6</v>
      </c>
      <c r="T117" s="20"/>
      <c r="U117" s="17">
        <f t="shared" si="46"/>
        <v>2.459016393442623</v>
      </c>
      <c r="V117" s="17"/>
      <c r="W117" s="17">
        <f t="shared" si="37"/>
        <v>0.40106951871657753</v>
      </c>
      <c r="X117" s="17"/>
      <c r="Y117" s="17">
        <f t="array" ref="Y117">SUM(IF(Period=Y$4,IF(Category=$A$86,IF(Provider=$B117,Score))))</f>
        <v>75</v>
      </c>
      <c r="Z117" s="17"/>
      <c r="AA117" s="20">
        <f t="array" ref="AA117">SUM(IF(Period=Y$4,IF(Category=$A$86,IF(Provider=$B117,Responses))))</f>
        <v>17</v>
      </c>
      <c r="AB117" s="20"/>
      <c r="AC117" s="17">
        <f t="shared" si="47"/>
        <v>4.25</v>
      </c>
      <c r="AD117" s="17"/>
      <c r="AE117" s="17">
        <f t="shared" si="38"/>
        <v>0.70325427468284607</v>
      </c>
      <c r="AF117" s="17"/>
      <c r="AG117" s="17">
        <f t="array" ref="AG117">SUM(IF(Period=AG$4,IF(Category=$A$86,IF(Provider=$B117,Score))))</f>
        <v>80.900000000000006</v>
      </c>
      <c r="AH117" s="17"/>
      <c r="AI117" s="20">
        <f t="array" ref="AI117">SUM(IF(Period=AG$4,IF(Category=$A$86,IF(Provider=$B117,Responses))))</f>
        <v>17</v>
      </c>
      <c r="AJ117" s="20"/>
      <c r="AK117" s="17">
        <f t="shared" si="48"/>
        <v>5.3513618677042807</v>
      </c>
      <c r="AL117" s="17"/>
      <c r="AM117" s="17">
        <f t="shared" si="39"/>
        <v>0.89073834196891188</v>
      </c>
      <c r="AN117" s="17"/>
      <c r="AO117" s="17">
        <f t="array" ref="AO117">SUM(IF(Period=AO$4,IF(Category=$A$86,IF(Provider=$B117,Score))))</f>
        <v>75</v>
      </c>
      <c r="AP117" s="17"/>
      <c r="AQ117" s="20">
        <f t="array" ref="AQ117">SUM(IF(Period=AO$4,IF(Category=$A$86,IF(Provider=$B117,Responses))))</f>
        <v>3</v>
      </c>
      <c r="AR117" s="20"/>
      <c r="AS117" s="17">
        <f t="shared" si="49"/>
        <v>1.3313609467455623</v>
      </c>
      <c r="AT117" s="17"/>
      <c r="AU117" s="17">
        <f t="shared" si="40"/>
        <v>0.21929824561403508</v>
      </c>
      <c r="AV117" s="17"/>
      <c r="AW117" s="17">
        <f t="array" ref="AW117">SUM(IF(Period=AW$4,IF(Category=$A$86,IF(Provider=$B117,Score))))</f>
        <v>80</v>
      </c>
      <c r="AX117" s="17"/>
      <c r="AY117" s="20">
        <f t="array" ref="AY117">SUM(IF(Period=AW$4,IF(Category=$A$86,IF(Provider=$B117,Responses))))</f>
        <v>5</v>
      </c>
      <c r="AZ117" s="20"/>
      <c r="BA117" s="17">
        <f t="shared" si="50"/>
        <v>1.8604651162790697</v>
      </c>
      <c r="BB117" s="17"/>
      <c r="BC117" s="17">
        <f t="shared" si="41"/>
        <v>0.30721966205837176</v>
      </c>
      <c r="BD117" s="17"/>
      <c r="BE117" s="17">
        <f t="array" ref="BE117">SUM(IF(Period=BE$4,IF(Category=$A$86,IF(Provider=$B117,Score))))</f>
        <v>91.7</v>
      </c>
      <c r="BF117" s="17"/>
      <c r="BG117" s="20">
        <f t="array" ref="BG117">SUM(IF(Period=BE$4,IF(Category=$A$86,IF(Provider=$B117,Responses))))</f>
        <v>6</v>
      </c>
      <c r="BH117" s="20"/>
      <c r="BI117" s="17">
        <f t="shared" si="51"/>
        <v>2.3412765957446808</v>
      </c>
      <c r="BJ117" s="17"/>
      <c r="BK117" s="17">
        <f t="shared" si="42"/>
        <v>0.38883392226148406</v>
      </c>
      <c r="BL117" s="17"/>
      <c r="BM117" s="17">
        <f t="array" ref="BM117">SUM(IF(Period=BM$4,IF(Category=$A$86,IF(Provider=$B117,Score))))</f>
        <v>94.4</v>
      </c>
      <c r="BN117" s="17"/>
      <c r="BO117" s="20">
        <f t="array" ref="BO117">SUM(IF(Period=BM$4,IF(Category=$A$86,IF(Provider=$B117,Responses))))</f>
        <v>9</v>
      </c>
      <c r="BP117" s="20"/>
      <c r="BQ117" s="17">
        <f t="shared" si="52"/>
        <v>3.7427312775330401</v>
      </c>
      <c r="BR117" s="17"/>
      <c r="BS117" s="17">
        <f t="shared" si="43"/>
        <v>0.61298701298701308</v>
      </c>
      <c r="BT117" s="17"/>
      <c r="BU117" s="17">
        <f t="array" ref="BU117">SUM(IF(Period=BU$4,IF(Category=$A$86,IF(Provider=$B117,Score))))</f>
        <v>85.7</v>
      </c>
      <c r="BV117" s="17"/>
      <c r="BW117" s="20">
        <f t="array" ref="BW117">SUM(IF(Period=BU$4,IF(Category=$A$86,IF(Provider=$B117,Responses))))</f>
        <v>7</v>
      </c>
      <c r="BX117" s="20"/>
      <c r="BY117" s="17">
        <f t="shared" si="53"/>
        <v>2.4995833333333333</v>
      </c>
      <c r="BZ117" s="17"/>
      <c r="CA117" s="17">
        <f t="shared" si="44"/>
        <v>0.41458189357290953</v>
      </c>
    </row>
    <row r="118" spans="1:79" outlineLevel="1" x14ac:dyDescent="0.25">
      <c r="B118" t="s">
        <v>37</v>
      </c>
      <c r="C118" s="17">
        <v>0</v>
      </c>
      <c r="D118" s="17"/>
      <c r="E118" s="17">
        <v>0</v>
      </c>
      <c r="F118" s="17"/>
      <c r="G118" s="17">
        <v>0</v>
      </c>
      <c r="H118" s="17"/>
      <c r="I118" s="17">
        <f t="array" ref="I118">SUM(IF(Period=I$4,IF(Category=$A$86,IF(Provider=$B118,Score))))</f>
        <v>67.3</v>
      </c>
      <c r="J118" s="17"/>
      <c r="K118" s="20">
        <f t="array" ref="K118">SUM(IF(Period=I$4,IF(Category=$A$86,IF(Provider=$B118,Responses))))</f>
        <v>13</v>
      </c>
      <c r="L118" s="20"/>
      <c r="M118" s="17">
        <f t="shared" si="45"/>
        <v>4.3745000000000003</v>
      </c>
      <c r="N118" s="17"/>
      <c r="O118" s="17">
        <f t="shared" si="36"/>
        <v>0.7236559139784946</v>
      </c>
      <c r="P118" s="17"/>
      <c r="Q118" s="17">
        <f t="array" ref="Q118">SUM(IF(Period=Q$4,IF(Category=$A$86,IF(Provider=$B118,Score))))</f>
        <v>80</v>
      </c>
      <c r="R118" s="17"/>
      <c r="S118" s="20">
        <f t="array" ref="S118">SUM(IF(Period=Q$4,IF(Category=$A$86,IF(Provider=$B118,Responses))))</f>
        <v>10</v>
      </c>
      <c r="T118" s="20"/>
      <c r="U118" s="17">
        <f t="shared" si="46"/>
        <v>4.3715846994535514</v>
      </c>
      <c r="V118" s="17"/>
      <c r="W118" s="17">
        <f t="shared" si="37"/>
        <v>0.71301247771836007</v>
      </c>
      <c r="X118" s="17"/>
      <c r="Y118" s="17">
        <f t="array" ref="Y118">SUM(IF(Period=Y$4,IF(Category=$A$86,IF(Provider=$B118,Score))))</f>
        <v>67.099999999999994</v>
      </c>
      <c r="Z118" s="17"/>
      <c r="AA118" s="20">
        <f t="array" ref="AA118">SUM(IF(Period=Y$4,IF(Category=$A$86,IF(Provider=$B118,Responses))))</f>
        <v>19</v>
      </c>
      <c r="AB118" s="20"/>
      <c r="AC118" s="17">
        <f t="shared" si="47"/>
        <v>4.2496666666666663</v>
      </c>
      <c r="AD118" s="17"/>
      <c r="AE118" s="17">
        <f t="shared" si="38"/>
        <v>0.70319911748483177</v>
      </c>
      <c r="AF118" s="17"/>
      <c r="AG118" s="17">
        <f t="array" ref="AG118">SUM(IF(Period=AG$4,IF(Category=$A$86,IF(Provider=$B118,Score))))</f>
        <v>73.400000000000006</v>
      </c>
      <c r="AH118" s="17"/>
      <c r="AI118" s="20">
        <f t="array" ref="AI118">SUM(IF(Period=AG$4,IF(Category=$A$86,IF(Provider=$B118,Responses))))</f>
        <v>16</v>
      </c>
      <c r="AJ118" s="20"/>
      <c r="AK118" s="17">
        <f t="shared" si="48"/>
        <v>4.5696498054474715</v>
      </c>
      <c r="AL118" s="17"/>
      <c r="AM118" s="17">
        <f t="shared" si="39"/>
        <v>0.76062176165803119</v>
      </c>
      <c r="AN118" s="17"/>
      <c r="AO118" s="17">
        <f t="array" ref="AO118">SUM(IF(Period=AO$4,IF(Category=$A$86,IF(Provider=$B118,Score))))</f>
        <v>0</v>
      </c>
      <c r="AP118" s="17"/>
      <c r="AQ118" s="20">
        <f t="array" ref="AQ118">SUM(IF(Period=AO$4,IF(Category=$A$86,IF(Provider=$B118,Responses))))</f>
        <v>0</v>
      </c>
      <c r="AR118" s="20"/>
      <c r="AS118" s="17">
        <f t="shared" si="49"/>
        <v>0</v>
      </c>
      <c r="AT118" s="17"/>
      <c r="AU118" s="17">
        <f t="shared" si="40"/>
        <v>0</v>
      </c>
      <c r="AV118" s="17"/>
      <c r="AW118" s="17">
        <f t="array" ref="AW118">SUM(IF(Period=AW$4,IF(Category=$A$86,IF(Provider=$B118,Score))))</f>
        <v>91.7</v>
      </c>
      <c r="AX118" s="17"/>
      <c r="AY118" s="20">
        <f t="array" ref="AY118">SUM(IF(Period=AW$4,IF(Category=$A$86,IF(Provider=$B118,Responses))))</f>
        <v>6</v>
      </c>
      <c r="AZ118" s="20"/>
      <c r="BA118" s="17">
        <f t="shared" si="50"/>
        <v>2.5590697674418603</v>
      </c>
      <c r="BB118" s="17"/>
      <c r="BC118" s="17">
        <f t="shared" si="41"/>
        <v>0.42258064516129035</v>
      </c>
      <c r="BD118" s="17"/>
      <c r="BE118" s="17">
        <f t="array" ref="BE118">SUM(IF(Period=BE$4,IF(Category=$A$86,IF(Provider=$B118,Score))))</f>
        <v>81.7</v>
      </c>
      <c r="BF118" s="17"/>
      <c r="BG118" s="20">
        <f t="array" ref="BG118">SUM(IF(Period=BE$4,IF(Category=$A$86,IF(Provider=$B118,Responses))))</f>
        <v>15</v>
      </c>
      <c r="BH118" s="20"/>
      <c r="BI118" s="17">
        <f t="shared" si="51"/>
        <v>5.2148936170212767</v>
      </c>
      <c r="BJ118" s="17"/>
      <c r="BK118" s="17">
        <f t="shared" si="42"/>
        <v>0.8660777385159012</v>
      </c>
      <c r="BL118" s="17"/>
      <c r="BM118" s="17">
        <f t="array" ref="BM118">SUM(IF(Period=BM$4,IF(Category=$A$86,IF(Provider=$B118,Score))))</f>
        <v>100</v>
      </c>
      <c r="BN118" s="17"/>
      <c r="BO118" s="20">
        <f t="array" ref="BO118">SUM(IF(Period=BM$4,IF(Category=$A$86,IF(Provider=$B118,Responses))))</f>
        <v>1</v>
      </c>
      <c r="BP118" s="20"/>
      <c r="BQ118" s="17">
        <f t="shared" si="52"/>
        <v>0.44052863436123352</v>
      </c>
      <c r="BR118" s="17"/>
      <c r="BS118" s="17">
        <f t="shared" si="43"/>
        <v>7.2150072150072145E-2</v>
      </c>
      <c r="BT118" s="17"/>
      <c r="BU118" s="17">
        <f t="array" ref="BU118">SUM(IF(Period=BU$4,IF(Category=$A$86,IF(Provider=$B118,Score))))</f>
        <v>75</v>
      </c>
      <c r="BV118" s="17"/>
      <c r="BW118" s="20">
        <f t="array" ref="BW118">SUM(IF(Period=BU$4,IF(Category=$A$86,IF(Provider=$B118,Responses))))</f>
        <v>6</v>
      </c>
      <c r="BX118" s="20"/>
      <c r="BY118" s="17">
        <f t="shared" si="53"/>
        <v>1.875</v>
      </c>
      <c r="BZ118" s="17"/>
      <c r="CA118" s="17">
        <f t="shared" si="44"/>
        <v>0.31098825155494125</v>
      </c>
    </row>
    <row r="119" spans="1:79" outlineLevel="1" x14ac:dyDescent="0.25">
      <c r="B119" t="s">
        <v>226</v>
      </c>
      <c r="C119" s="17">
        <v>0</v>
      </c>
      <c r="D119" s="17"/>
      <c r="E119" s="17">
        <v>0</v>
      </c>
      <c r="F119" s="17"/>
      <c r="G119" s="17">
        <v>0</v>
      </c>
      <c r="H119" s="17"/>
      <c r="I119" s="17">
        <f t="array" ref="I119">SUM(IF(Period=I$4,IF(Category=$A$86,IF(Provider=$B119,Score))))</f>
        <v>0</v>
      </c>
      <c r="J119" s="17"/>
      <c r="K119" s="20">
        <f t="array" ref="K119">SUM(IF(Period=I$4,IF(Category=$A$86,IF(Provider=$B119,Responses))))</f>
        <v>0</v>
      </c>
      <c r="L119" s="20"/>
      <c r="M119" s="17">
        <f t="shared" si="45"/>
        <v>0</v>
      </c>
      <c r="N119" s="17"/>
      <c r="O119" s="17">
        <f t="shared" si="36"/>
        <v>0</v>
      </c>
      <c r="P119" s="17"/>
      <c r="Q119" s="17">
        <f t="array" ref="Q119">SUM(IF(Period=Q$4,IF(Category=$A$86,IF(Provider=$B119,Score))))</f>
        <v>0</v>
      </c>
      <c r="R119" s="17"/>
      <c r="S119" s="20">
        <f t="array" ref="S119">SUM(IF(Period=Q$4,IF(Category=$A$86,IF(Provider=$B119,Responses))))</f>
        <v>0</v>
      </c>
      <c r="T119" s="20"/>
      <c r="U119" s="17">
        <f t="shared" si="46"/>
        <v>0</v>
      </c>
      <c r="V119" s="17"/>
      <c r="W119" s="17">
        <f t="shared" si="37"/>
        <v>0</v>
      </c>
      <c r="X119" s="17"/>
      <c r="Y119" s="17">
        <f t="array" ref="Y119">SUM(IF(Period=Y$4,IF(Category=$A$86,IF(Provider=$B119,Score))))</f>
        <v>0</v>
      </c>
      <c r="Z119" s="17"/>
      <c r="AA119" s="20">
        <f t="array" ref="AA119">SUM(IF(Period=Y$4,IF(Category=$A$86,IF(Provider=$B119,Responses))))</f>
        <v>0</v>
      </c>
      <c r="AB119" s="20"/>
      <c r="AC119" s="17">
        <f t="shared" si="47"/>
        <v>0</v>
      </c>
      <c r="AD119" s="17"/>
      <c r="AE119" s="17">
        <f t="shared" si="38"/>
        <v>0</v>
      </c>
      <c r="AF119" s="17"/>
      <c r="AG119" s="17">
        <f t="array" ref="AG119">SUM(IF(Period=AG$4,IF(Category=$A$86,IF(Provider=$B119,Score))))</f>
        <v>65</v>
      </c>
      <c r="AH119" s="17"/>
      <c r="AI119" s="20">
        <f t="array" ref="AI119">SUM(IF(Period=AG$4,IF(Category=$A$86,IF(Provider=$B119,Responses))))</f>
        <v>10</v>
      </c>
      <c r="AJ119" s="20"/>
      <c r="AK119" s="17">
        <f t="shared" si="48"/>
        <v>2.5291828793774318</v>
      </c>
      <c r="AL119" s="17"/>
      <c r="AM119" s="17">
        <f t="shared" si="39"/>
        <v>0.42098445595854922</v>
      </c>
      <c r="AN119" s="17"/>
      <c r="AO119" s="17">
        <f t="array" ref="AO119">SUM(IF(Period=AO$4,IF(Category=$A$86,IF(Provider=$B119,Score))))</f>
        <v>84.1</v>
      </c>
      <c r="AP119" s="17"/>
      <c r="AQ119" s="20">
        <f t="array" ref="AQ119">SUM(IF(Period=AO$4,IF(Category=$A$86,IF(Provider=$B119,Responses))))</f>
        <v>11</v>
      </c>
      <c r="AR119" s="20"/>
      <c r="AS119" s="17">
        <f t="shared" si="49"/>
        <v>5.4739644970414201</v>
      </c>
      <c r="AT119" s="17"/>
      <c r="AU119" s="17">
        <f t="shared" si="40"/>
        <v>0.9016569200779726</v>
      </c>
      <c r="AV119" s="17"/>
      <c r="AW119" s="17">
        <f t="array" ref="AW119">SUM(IF(Period=AW$4,IF(Category=$A$86,IF(Provider=$B119,Score))))</f>
        <v>81.3</v>
      </c>
      <c r="AX119" s="17"/>
      <c r="AY119" s="20">
        <f t="array" ref="AY119">SUM(IF(Period=AW$4,IF(Category=$A$86,IF(Provider=$B119,Responses))))</f>
        <v>12</v>
      </c>
      <c r="AZ119" s="20"/>
      <c r="BA119" s="17">
        <f t="shared" si="50"/>
        <v>4.5376744186046514</v>
      </c>
      <c r="BB119" s="17"/>
      <c r="BC119" s="17">
        <f t="shared" si="41"/>
        <v>0.74930875576036859</v>
      </c>
      <c r="BD119" s="17"/>
      <c r="BE119" s="17">
        <f t="array" ref="BE119">SUM(IF(Period=BE$4,IF(Category=$A$86,IF(Provider=$B119,Score))))</f>
        <v>75</v>
      </c>
      <c r="BF119" s="17"/>
      <c r="BG119" s="20">
        <f t="array" ref="BG119">SUM(IF(Period=BE$4,IF(Category=$A$86,IF(Provider=$B119,Responses))))</f>
        <v>12</v>
      </c>
      <c r="BH119" s="20"/>
      <c r="BI119" s="17">
        <f t="shared" si="51"/>
        <v>3.8297872340425529</v>
      </c>
      <c r="BJ119" s="17"/>
      <c r="BK119" s="17">
        <f t="shared" si="42"/>
        <v>0.63604240282685509</v>
      </c>
      <c r="BL119" s="17"/>
      <c r="BM119" s="17">
        <f t="array" ref="BM119">SUM(IF(Period=BM$4,IF(Category=$A$86,IF(Provider=$B119,Score))))</f>
        <v>83.3</v>
      </c>
      <c r="BN119" s="17"/>
      <c r="BO119" s="20">
        <f t="array" ref="BO119">SUM(IF(Period=BM$4,IF(Category=$A$86,IF(Provider=$B119,Responses))))</f>
        <v>6</v>
      </c>
      <c r="BP119" s="20"/>
      <c r="BQ119" s="17">
        <f t="shared" si="52"/>
        <v>2.2017621145374449</v>
      </c>
      <c r="BR119" s="17"/>
      <c r="BS119" s="17">
        <f t="shared" si="43"/>
        <v>0.3606060606060606</v>
      </c>
      <c r="BT119" s="17"/>
      <c r="BU119" s="17">
        <f t="array" ref="BU119">SUM(IF(Period=BU$4,IF(Category=$A$86,IF(Provider=$B119,Score))))</f>
        <v>96.9</v>
      </c>
      <c r="BV119" s="17"/>
      <c r="BW119" s="20">
        <f t="array" ref="BW119">SUM(IF(Period=BU$4,IF(Category=$A$86,IF(Provider=$B119,Responses))))</f>
        <v>8</v>
      </c>
      <c r="BX119" s="20"/>
      <c r="BY119" s="17">
        <f t="shared" si="53"/>
        <v>3.23</v>
      </c>
      <c r="BZ119" s="17"/>
      <c r="CA119" s="17">
        <f t="shared" si="44"/>
        <v>0.53572909467864549</v>
      </c>
    </row>
    <row r="120" spans="1:79" outlineLevel="1" x14ac:dyDescent="0.25">
      <c r="B120" t="s">
        <v>227</v>
      </c>
      <c r="C120" s="22">
        <v>0</v>
      </c>
      <c r="D120" s="17"/>
      <c r="E120" s="22">
        <v>0</v>
      </c>
      <c r="F120" s="17"/>
      <c r="G120" s="22">
        <v>0</v>
      </c>
      <c r="H120" s="17"/>
      <c r="I120" s="22">
        <f t="array" ref="I120">SUM(IF(Period=I$4,IF(Category=$A$86,IF(Provider=$B120,Score))))</f>
        <v>0</v>
      </c>
      <c r="J120" s="17"/>
      <c r="K120" s="23">
        <f t="array" ref="K120">SUM(IF(Period=I$4,IF(Category=$A$86,IF(Provider=$B120,Responses))))</f>
        <v>0</v>
      </c>
      <c r="L120" s="20"/>
      <c r="M120" s="22">
        <f t="shared" si="45"/>
        <v>0</v>
      </c>
      <c r="N120" s="17"/>
      <c r="O120" s="22">
        <f t="shared" si="36"/>
        <v>0</v>
      </c>
      <c r="P120" s="17"/>
      <c r="Q120" s="22">
        <f t="array" ref="Q120">SUM(IF(Period=Q$4,IF(Category=$A$86,IF(Provider=$B120,Score))))</f>
        <v>0</v>
      </c>
      <c r="R120" s="17"/>
      <c r="S120" s="23">
        <f t="array" ref="S120">SUM(IF(Period=Q$4,IF(Category=$A$86,IF(Provider=$B120,Responses))))</f>
        <v>0</v>
      </c>
      <c r="T120" s="20"/>
      <c r="U120" s="22">
        <f t="shared" si="46"/>
        <v>0</v>
      </c>
      <c r="V120" s="17"/>
      <c r="W120" s="22">
        <f t="shared" si="37"/>
        <v>0</v>
      </c>
      <c r="X120" s="17"/>
      <c r="Y120" s="22">
        <f t="array" ref="Y120">SUM(IF(Period=Y$4,IF(Category=$A$86,IF(Provider=$B120,Score))))</f>
        <v>0</v>
      </c>
      <c r="Z120" s="17"/>
      <c r="AA120" s="23">
        <f t="array" ref="AA120">SUM(IF(Period=Y$4,IF(Category=$A$86,IF(Provider=$B120,Responses))))</f>
        <v>0</v>
      </c>
      <c r="AB120" s="20"/>
      <c r="AC120" s="22">
        <f t="shared" si="47"/>
        <v>0</v>
      </c>
      <c r="AD120" s="17"/>
      <c r="AE120" s="22">
        <f t="shared" si="38"/>
        <v>0</v>
      </c>
      <c r="AF120" s="17"/>
      <c r="AG120" s="22">
        <f t="array" ref="AG120">SUM(IF(Period=AG$4,IF(Category=$A$86,IF(Provider=$B120,Score))))</f>
        <v>75</v>
      </c>
      <c r="AH120" s="17"/>
      <c r="AI120" s="23">
        <f t="array" ref="AI120">SUM(IF(Period=AG$4,IF(Category=$A$86,IF(Provider=$B120,Responses))))</f>
        <v>1</v>
      </c>
      <c r="AJ120" s="20"/>
      <c r="AK120" s="22">
        <f t="shared" si="48"/>
        <v>0.29182879377431908</v>
      </c>
      <c r="AL120" s="17"/>
      <c r="AM120" s="22">
        <f t="shared" si="39"/>
        <v>4.8575129533678756E-2</v>
      </c>
      <c r="AN120" s="17"/>
      <c r="AO120" s="22">
        <f t="array" ref="AO120">SUM(IF(Period=AO$4,IF(Category=$A$86,IF(Provider=$B120,Score))))</f>
        <v>0</v>
      </c>
      <c r="AP120" s="17"/>
      <c r="AQ120" s="23">
        <f t="array" ref="AQ120">SUM(IF(Period=AO$4,IF(Category=$A$86,IF(Provider=$B120,Responses))))</f>
        <v>0</v>
      </c>
      <c r="AR120" s="20"/>
      <c r="AS120" s="22">
        <f t="shared" si="49"/>
        <v>0</v>
      </c>
      <c r="AT120" s="17"/>
      <c r="AU120" s="22">
        <f t="shared" si="40"/>
        <v>0</v>
      </c>
      <c r="AV120" s="17"/>
      <c r="AW120" s="22">
        <f t="array" ref="AW120">SUM(IF(Period=AW$4,IF(Category=$A$86,IF(Provider=$B120,Score))))</f>
        <v>0</v>
      </c>
      <c r="AX120" s="17"/>
      <c r="AY120" s="23">
        <f t="array" ref="AY120">SUM(IF(Period=AW$4,IF(Category=$A$86,IF(Provider=$B120,Responses))))</f>
        <v>0</v>
      </c>
      <c r="AZ120" s="20"/>
      <c r="BA120" s="22">
        <f t="shared" si="50"/>
        <v>0</v>
      </c>
      <c r="BB120" s="17"/>
      <c r="BC120" s="22">
        <f t="shared" si="41"/>
        <v>0</v>
      </c>
      <c r="BD120" s="17"/>
      <c r="BE120" s="22">
        <f t="array" ref="BE120">SUM(IF(Period=BE$4,IF(Category=$A$86,IF(Provider=$B120,Score))))</f>
        <v>0</v>
      </c>
      <c r="BF120" s="17"/>
      <c r="BG120" s="23">
        <f t="array" ref="BG120">SUM(IF(Period=BE$4,IF(Category=$A$86,IF(Provider=$B120,Responses))))</f>
        <v>0</v>
      </c>
      <c r="BH120" s="20"/>
      <c r="BI120" s="22">
        <f t="shared" si="51"/>
        <v>0</v>
      </c>
      <c r="BJ120" s="17"/>
      <c r="BK120" s="22">
        <f t="shared" si="42"/>
        <v>0</v>
      </c>
      <c r="BL120" s="17"/>
      <c r="BM120" s="22">
        <f t="array" ref="BM120">SUM(IF(Period=BM$4,IF(Category=$A$86,IF(Provider=$B120,Score))))</f>
        <v>0</v>
      </c>
      <c r="BN120" s="17"/>
      <c r="BO120" s="23">
        <f t="array" ref="BO120">SUM(IF(Period=BM$4,IF(Category=$A$86,IF(Provider=$B120,Responses))))</f>
        <v>0</v>
      </c>
      <c r="BP120" s="20"/>
      <c r="BQ120" s="22">
        <f t="shared" si="52"/>
        <v>0</v>
      </c>
      <c r="BR120" s="17"/>
      <c r="BS120" s="22">
        <f t="shared" si="43"/>
        <v>0</v>
      </c>
      <c r="BT120" s="17"/>
      <c r="BU120" s="22">
        <f t="array" ref="BU120">SUM(IF(Period=BU$4,IF(Category=$A$86,IF(Provider=$B120,Score))))</f>
        <v>0</v>
      </c>
      <c r="BV120" s="17"/>
      <c r="BW120" s="23">
        <f t="array" ref="BW120">SUM(IF(Period=BU$4,IF(Category=$A$86,IF(Provider=$B120,Responses))))</f>
        <v>0</v>
      </c>
      <c r="BX120" s="20"/>
      <c r="BY120" s="22">
        <f t="shared" si="53"/>
        <v>0</v>
      </c>
      <c r="BZ120" s="17"/>
      <c r="CA120" s="22">
        <f t="shared" si="44"/>
        <v>0</v>
      </c>
    </row>
    <row r="121" spans="1:79" x14ac:dyDescent="0.25">
      <c r="B121" s="11" t="s">
        <v>427</v>
      </c>
      <c r="C121" s="24">
        <v>0</v>
      </c>
      <c r="D121" s="24"/>
      <c r="E121" s="24">
        <v>0</v>
      </c>
      <c r="F121" s="24"/>
      <c r="G121" s="24">
        <v>0</v>
      </c>
      <c r="H121" s="24"/>
      <c r="I121" s="24">
        <f>SUM(M87:M120)</f>
        <v>72.505499999999984</v>
      </c>
      <c r="J121" s="24"/>
      <c r="K121" s="29">
        <f>AVERAGEIF(K87:K120,"&lt;&gt;0")</f>
        <v>6.25</v>
      </c>
      <c r="L121" s="25"/>
      <c r="M121" s="24"/>
      <c r="N121" s="24"/>
      <c r="O121" s="24"/>
      <c r="P121" s="24"/>
      <c r="Q121" s="24">
        <f>SUM(U87:U120)</f>
        <v>75.413114754098373</v>
      </c>
      <c r="R121" s="24"/>
      <c r="S121" s="29">
        <f>AVERAGEIF(S87:S120,"&lt;&gt;0")</f>
        <v>6.1</v>
      </c>
      <c r="T121" s="25"/>
      <c r="U121" s="24"/>
      <c r="V121" s="24"/>
      <c r="W121" s="24"/>
      <c r="X121" s="24"/>
      <c r="Y121" s="24">
        <f>SUM(AC87:AC120)</f>
        <v>76.00066666666666</v>
      </c>
      <c r="Z121" s="24"/>
      <c r="AA121" s="29">
        <f>AVERAGEIF(AA87:AA120,"&lt;&gt;0")</f>
        <v>9.67741935483871</v>
      </c>
      <c r="AB121" s="25"/>
      <c r="AC121" s="24"/>
      <c r="AD121" s="24"/>
      <c r="AE121" s="24"/>
      <c r="AF121" s="24"/>
      <c r="AG121" s="24">
        <f>SUM(AK87:AK120)</f>
        <v>81.123346303501918</v>
      </c>
      <c r="AH121" s="24"/>
      <c r="AI121" s="29">
        <f>AVERAGEIF(AI87:AI120,"&lt;&gt;0")</f>
        <v>7.7878787878787881</v>
      </c>
      <c r="AJ121" s="25"/>
      <c r="AK121" s="24"/>
      <c r="AL121" s="24"/>
      <c r="AM121" s="24"/>
      <c r="AN121" s="24"/>
      <c r="AO121" s="24">
        <f>SUM(AS87:AS120)</f>
        <v>78.107100591715962</v>
      </c>
      <c r="AP121" s="24"/>
      <c r="AQ121" s="29">
        <f>AVERAGEIF(AQ87:AQ120,"&lt;&gt;0")</f>
        <v>5.6333333333333337</v>
      </c>
      <c r="AR121" s="25"/>
      <c r="AS121" s="24"/>
      <c r="AT121" s="24"/>
      <c r="AU121" s="24"/>
      <c r="AV121" s="24"/>
      <c r="AW121" s="24">
        <f>SUM(BA87:BA120)</f>
        <v>79.778604651162794</v>
      </c>
      <c r="AX121" s="24"/>
      <c r="AY121" s="29">
        <f>AVERAGEIF(AY87:AY120,"&lt;&gt;0")</f>
        <v>6.71875</v>
      </c>
      <c r="AZ121" s="25"/>
      <c r="BA121" s="24"/>
      <c r="BB121" s="24"/>
      <c r="BC121" s="24"/>
      <c r="BD121" s="24"/>
      <c r="BE121" s="24">
        <f>SUM(BI87:BI120)</f>
        <v>80.333191489361681</v>
      </c>
      <c r="BF121" s="24"/>
      <c r="BG121" s="29">
        <f>AVERAGEIF(BG87:BG120,"&lt;&gt;0")</f>
        <v>7.580645161290323</v>
      </c>
      <c r="BH121" s="25"/>
      <c r="BI121" s="24"/>
      <c r="BJ121" s="24"/>
      <c r="BK121" s="24"/>
      <c r="BL121" s="24"/>
      <c r="BM121" s="24">
        <f>SUM(BQ87:BQ120)</f>
        <v>83.044933920704835</v>
      </c>
      <c r="BN121" s="24"/>
      <c r="BO121" s="29">
        <f>AVERAGEIF(BO87:BO120,"&lt;&gt;0")</f>
        <v>7.09375</v>
      </c>
      <c r="BP121" s="25"/>
      <c r="BQ121" s="24"/>
      <c r="BR121" s="24"/>
      <c r="BS121" s="24"/>
      <c r="BT121" s="24"/>
      <c r="BU121" s="24">
        <f>SUM(BY87:BY120)</f>
        <v>78.654166666666683</v>
      </c>
      <c r="BV121" s="24"/>
      <c r="BW121" s="29">
        <f>AVERAGEIF(BW87:BW120,"&lt;&gt;0")</f>
        <v>7.5</v>
      </c>
      <c r="BX121" s="25"/>
      <c r="BY121" s="24"/>
      <c r="BZ121" s="24"/>
      <c r="CA121" s="24"/>
    </row>
    <row r="122" spans="1:79" s="36" customFormat="1" x14ac:dyDescent="0.25">
      <c r="B122" s="32" t="s">
        <v>430</v>
      </c>
      <c r="C122" s="33"/>
      <c r="D122" s="33"/>
      <c r="E122" s="33"/>
      <c r="F122" s="33"/>
      <c r="G122" s="33"/>
      <c r="H122" s="33"/>
      <c r="I122" s="33">
        <f t="array" ref="I122">MEDIAN(IF(I87:I120&lt;&gt;0,I87:I120))</f>
        <v>76.8</v>
      </c>
      <c r="J122" s="33"/>
      <c r="K122" s="34">
        <f t="array" ref="K122">MEDIAN(IF(K87:K120&lt;&gt;0,K87:K120))</f>
        <v>6.5</v>
      </c>
      <c r="L122" s="35"/>
      <c r="M122" s="33"/>
      <c r="N122" s="33"/>
      <c r="O122" s="33"/>
      <c r="P122" s="33"/>
      <c r="Q122" s="33">
        <f t="array" ref="Q122">MEDIAN(IF(Q87:Q120&lt;&gt;0,Q87:Q120))</f>
        <v>80.650000000000006</v>
      </c>
      <c r="R122" s="33"/>
      <c r="S122" s="34">
        <f t="array" ref="S122">MEDIAN(IF(S87:S120&lt;&gt;0,S87:S120))</f>
        <v>5.5</v>
      </c>
      <c r="T122" s="35"/>
      <c r="U122" s="33"/>
      <c r="V122" s="33"/>
      <c r="W122" s="33"/>
      <c r="X122" s="33"/>
      <c r="Y122" s="33">
        <f t="array" ref="Y122">MEDIAN(IF(Y87:Y120&lt;&gt;0,Y87:Y120))</f>
        <v>75</v>
      </c>
      <c r="Z122" s="33"/>
      <c r="AA122" s="34">
        <f t="array" ref="AA122">MEDIAN(IF(AA87:AA120&lt;&gt;0,AA87:AA120))</f>
        <v>9</v>
      </c>
      <c r="AB122" s="35"/>
      <c r="AC122" s="33"/>
      <c r="AD122" s="33"/>
      <c r="AE122" s="33"/>
      <c r="AF122" s="33"/>
      <c r="AG122" s="33">
        <f t="array" ref="AG122">MEDIAN(IF(AG87:AG120&lt;&gt;0,AG87:AG120))</f>
        <v>82.5</v>
      </c>
      <c r="AH122" s="33"/>
      <c r="AI122" s="34">
        <f t="array" ref="AI122">MEDIAN(IF(AI87:AI120&lt;&gt;0,AI87:AI120))</f>
        <v>8</v>
      </c>
      <c r="AJ122" s="35"/>
      <c r="AK122" s="33"/>
      <c r="AL122" s="33"/>
      <c r="AM122" s="33"/>
      <c r="AN122" s="33"/>
      <c r="AO122" s="33">
        <f t="array" ref="AO122">MEDIAN(IF(AO87:AO120&lt;&gt;0,AO87:AO120))</f>
        <v>82.55</v>
      </c>
      <c r="AP122" s="33"/>
      <c r="AQ122" s="34">
        <f t="array" ref="AQ122">MEDIAN(IF(AQ87:AQ120&lt;&gt;0,AQ87:AQ120))</f>
        <v>5.5</v>
      </c>
      <c r="AR122" s="35"/>
      <c r="AS122" s="33"/>
      <c r="AT122" s="33"/>
      <c r="AU122" s="33"/>
      <c r="AV122" s="33"/>
      <c r="AW122" s="33">
        <f t="array" ref="AW122">MEDIAN(IF(AW87:AW120&lt;&gt;0,AW87:AW120))</f>
        <v>81.3</v>
      </c>
      <c r="AX122" s="33"/>
      <c r="AY122" s="34">
        <f t="array" ref="AY122">MEDIAN(IF(AY87:AY120&lt;&gt;0,AY87:AY120))</f>
        <v>6</v>
      </c>
      <c r="AZ122" s="35"/>
      <c r="BA122" s="33"/>
      <c r="BB122" s="33"/>
      <c r="BC122" s="33"/>
      <c r="BD122" s="33"/>
      <c r="BE122" s="33">
        <f t="array" ref="BE122">MEDIAN(IF(BE87:BE120&lt;&gt;0,BE87:BE120))</f>
        <v>83.3</v>
      </c>
      <c r="BF122" s="33"/>
      <c r="BG122" s="34">
        <f t="array" ref="BG122">MEDIAN(IF(BG87:BG120&lt;&gt;0,BG87:BG120))</f>
        <v>7</v>
      </c>
      <c r="BH122" s="35"/>
      <c r="BI122" s="33"/>
      <c r="BJ122" s="33"/>
      <c r="BK122" s="33"/>
      <c r="BL122" s="33"/>
      <c r="BM122" s="33">
        <f t="array" ref="BM122">MEDIAN(IF(BM87:BM120&lt;&gt;0,BM87:BM120))</f>
        <v>84.9</v>
      </c>
      <c r="BN122" s="33"/>
      <c r="BO122" s="34">
        <f t="array" ref="BO122">MEDIAN(IF(BO87:BO120&lt;&gt;0,BO87:BO120))</f>
        <v>7</v>
      </c>
      <c r="BP122" s="35"/>
      <c r="BQ122" s="33"/>
      <c r="BR122" s="33"/>
      <c r="BS122" s="33"/>
      <c r="BT122" s="33"/>
      <c r="BU122" s="33">
        <f t="array" ref="BU122">MEDIAN(IF(BU87:BU120&lt;&gt;0,BU87:BU120))</f>
        <v>79.8</v>
      </c>
      <c r="BV122" s="33"/>
      <c r="BW122" s="34">
        <f t="array" ref="BW122">MEDIAN(IF(BW87:BW120&lt;&gt;0,BW87:BW120))</f>
        <v>7</v>
      </c>
      <c r="BX122" s="25"/>
      <c r="BY122" s="24"/>
      <c r="BZ122" s="24"/>
      <c r="CA122" s="24"/>
    </row>
    <row r="123" spans="1:79" s="45" customFormat="1" x14ac:dyDescent="0.25">
      <c r="B123" s="46" t="s">
        <v>433</v>
      </c>
      <c r="C123" s="47"/>
      <c r="D123" s="47"/>
      <c r="E123" s="47"/>
      <c r="F123" s="47"/>
      <c r="G123" s="47"/>
      <c r="H123" s="47"/>
      <c r="I123" s="47"/>
      <c r="J123" s="47"/>
      <c r="K123" s="48">
        <f>SUM(K87:K120)</f>
        <v>200</v>
      </c>
      <c r="L123" s="48"/>
      <c r="M123" s="47"/>
      <c r="N123" s="47"/>
      <c r="O123" s="47"/>
      <c r="P123" s="47"/>
      <c r="Q123" s="47"/>
      <c r="R123" s="47"/>
      <c r="S123" s="48">
        <f>SUM(S87:S120)</f>
        <v>183</v>
      </c>
      <c r="T123" s="48"/>
      <c r="U123" s="47"/>
      <c r="V123" s="47"/>
      <c r="W123" s="47"/>
      <c r="X123" s="47"/>
      <c r="Y123" s="47"/>
      <c r="Z123" s="47"/>
      <c r="AA123" s="48">
        <f>SUM(AA87:AA120)</f>
        <v>300</v>
      </c>
      <c r="AB123" s="48"/>
      <c r="AC123" s="47"/>
      <c r="AD123" s="47"/>
      <c r="AE123" s="47"/>
      <c r="AF123" s="47"/>
      <c r="AG123" s="47"/>
      <c r="AH123" s="47"/>
      <c r="AI123" s="48">
        <f>SUM(AI87:AI120)</f>
        <v>257</v>
      </c>
      <c r="AJ123" s="48"/>
      <c r="AK123" s="47"/>
      <c r="AL123" s="47"/>
      <c r="AM123" s="47"/>
      <c r="AN123" s="47"/>
      <c r="AO123" s="47"/>
      <c r="AP123" s="47"/>
      <c r="AQ123" s="48">
        <f>SUM(AQ87:AQ120)</f>
        <v>169</v>
      </c>
      <c r="AR123" s="48"/>
      <c r="AS123" s="47"/>
      <c r="AT123" s="47"/>
      <c r="AU123" s="47"/>
      <c r="AV123" s="47"/>
      <c r="AW123" s="47"/>
      <c r="AX123" s="47"/>
      <c r="AY123" s="48">
        <f>SUM(AY87:AY120)</f>
        <v>215</v>
      </c>
      <c r="AZ123" s="48"/>
      <c r="BA123" s="47"/>
      <c r="BB123" s="47"/>
      <c r="BC123" s="47"/>
      <c r="BD123" s="47"/>
      <c r="BE123" s="47"/>
      <c r="BF123" s="47"/>
      <c r="BG123" s="48">
        <f>SUM(BG87:BG120)</f>
        <v>235</v>
      </c>
      <c r="BH123" s="48"/>
      <c r="BI123" s="47"/>
      <c r="BJ123" s="47"/>
      <c r="BK123" s="47"/>
      <c r="BL123" s="47"/>
      <c r="BM123" s="47"/>
      <c r="BN123" s="47"/>
      <c r="BO123" s="48">
        <f>SUM(BO87:BO120)</f>
        <v>227</v>
      </c>
      <c r="BP123" s="48"/>
      <c r="BQ123" s="47"/>
      <c r="BR123" s="47"/>
      <c r="BS123" s="47"/>
      <c r="BT123" s="47"/>
      <c r="BU123" s="47"/>
      <c r="BV123" s="47"/>
      <c r="BW123" s="48">
        <f>SUM(BW87:BW120)</f>
        <v>240</v>
      </c>
      <c r="BX123" s="49"/>
      <c r="BY123" s="50"/>
      <c r="BZ123" s="50"/>
      <c r="CA123" s="50"/>
    </row>
    <row r="125" spans="1:79" ht="15.75" x14ac:dyDescent="0.25">
      <c r="A125" s="12" t="s">
        <v>11</v>
      </c>
    </row>
    <row r="126" spans="1:79" outlineLevel="1" x14ac:dyDescent="0.25">
      <c r="B126" t="s">
        <v>21</v>
      </c>
      <c r="C126" s="17">
        <v>0</v>
      </c>
      <c r="D126" s="17"/>
      <c r="E126" s="17">
        <v>0</v>
      </c>
      <c r="F126" s="17"/>
      <c r="G126" s="17">
        <v>0</v>
      </c>
      <c r="H126" s="17"/>
      <c r="I126" s="17">
        <f t="array" ref="I126">SUM(IF(Period=I$4,IF(Category=$A$125,IF(Provider=$B126,Score))))</f>
        <v>85.7</v>
      </c>
      <c r="J126" s="17"/>
      <c r="K126" s="20">
        <f t="array" ref="K126">SUM(IF(Period=I$4,IF(Category=$A$125,IF(Provider=$B126,Responses))))</f>
        <v>7</v>
      </c>
      <c r="L126" s="20"/>
      <c r="M126" s="19">
        <f>I126*(K126/SUM(K$126:K$159))</f>
        <v>2.96980198019802</v>
      </c>
      <c r="N126" s="17"/>
      <c r="O126" s="17">
        <f t="shared" ref="O126:O159" si="54">I126*(K126/(SUM(K$9:K$42)+SUM(K$48:K$81)+SUM(K$87:K$120)+SUM(K$126:K$159)+SUM(K$165:K$198)+SUM(K$204:K$237)))</f>
        <v>0.49619520264681555</v>
      </c>
      <c r="P126" s="17"/>
      <c r="Q126" s="17">
        <f t="array" ref="Q126">SUM(IF(Period=Q$4,IF(Category=$A$125,IF(Provider=$B126,Score))))</f>
        <v>87.5</v>
      </c>
      <c r="R126" s="17"/>
      <c r="S126" s="20">
        <f t="array" ref="S126">SUM(IF(Period=Q$4,IF(Category=$A$125,IF(Provider=$B126,Responses))))</f>
        <v>4</v>
      </c>
      <c r="T126" s="20"/>
      <c r="U126" s="19">
        <f>Q126*(S126/SUM(S$126:S$159))</f>
        <v>1.8716577540106951</v>
      </c>
      <c r="V126" s="17"/>
      <c r="W126" s="17">
        <f t="shared" ref="W126:W159" si="55">Q126*(S126/(SUM(S$9:S$42)+SUM(S$48:S$81)+SUM(S$87:S$120)+SUM(S$126:S$159)+SUM(S$165:S$198)+SUM(S$204:S$237)))</f>
        <v>0.31194295900178254</v>
      </c>
      <c r="X126" s="17"/>
      <c r="Y126" s="17">
        <f t="array" ref="Y126">SUM(IF(Period=Y$4,IF(Category=$A$125,IF(Provider=$B126,Score))))</f>
        <v>91.1</v>
      </c>
      <c r="Z126" s="17"/>
      <c r="AA126" s="20">
        <f t="array" ref="AA126">SUM(IF(Period=Y$4,IF(Category=$A$125,IF(Provider=$B126,Responses))))</f>
        <v>14</v>
      </c>
      <c r="AB126" s="20"/>
      <c r="AC126" s="19">
        <f>Y126*(AA126/SUM(AA$126:AA$159))</f>
        <v>4.2092409240924091</v>
      </c>
      <c r="AD126" s="17"/>
      <c r="AE126" s="17">
        <f t="shared" ref="AE126:AE159" si="56">Y126*(AA126/(SUM(AA$9:AA$42)+SUM(AA$48:AA$81)+SUM(AA$87:AA$120)+SUM(AA$126:AA$159)+SUM(AA$165:AA$198)+SUM(AA$204:AA$237)))</f>
        <v>0.70347490347490349</v>
      </c>
      <c r="AF126" s="17"/>
      <c r="AG126" s="17">
        <f t="array" ref="AG126">SUM(IF(Period=AG$4,IF(Category=$A$125,IF(Provider=$B126,Score))))</f>
        <v>100</v>
      </c>
      <c r="AH126" s="17"/>
      <c r="AI126" s="20">
        <f t="array" ref="AI126">SUM(IF(Period=AG$4,IF(Category=$A$125,IF(Provider=$B126,Responses))))</f>
        <v>3</v>
      </c>
      <c r="AJ126" s="20"/>
      <c r="AK126" s="19">
        <f>AG126*(AI126/SUM(AI$126:AI$159))</f>
        <v>1.1673151750972763</v>
      </c>
      <c r="AL126" s="17"/>
      <c r="AM126" s="17">
        <f t="shared" ref="AM126:AM159" si="57">AG126*(AI126/(SUM(AI$9:AI$42)+SUM(AI$48:AI$81)+SUM(AI$87:AI$120)+SUM(AI$126:AI$159)+SUM(AI$165:AI$198)+SUM(AI$204:AI$237)))</f>
        <v>0.19430051813471502</v>
      </c>
      <c r="AN126" s="17"/>
      <c r="AO126" s="17">
        <f t="array" ref="AO126">SUM(IF(Period=AO$4,IF(Category=$A$125,IF(Provider=$B126,Score))))</f>
        <v>100</v>
      </c>
      <c r="AP126" s="17"/>
      <c r="AQ126" s="20">
        <f t="array" ref="AQ126">SUM(IF(Period=AO$4,IF(Category=$A$125,IF(Provider=$B126,Responses))))</f>
        <v>2</v>
      </c>
      <c r="AR126" s="20"/>
      <c r="AS126" s="19">
        <f>AO126*(AQ126/SUM(AQ$126:AQ$159))</f>
        <v>1.1695906432748537</v>
      </c>
      <c r="AT126" s="17"/>
      <c r="AU126" s="17">
        <f t="shared" ref="AU126:AU159" si="58">AO126*(AQ126/(SUM(AQ$9:AQ$42)+SUM(AQ$48:AQ$81)+SUM(AQ$87:AQ$120)+SUM(AQ$126:AQ$159)+SUM(AQ$165:AQ$198)+SUM(AQ$204:AQ$237)))</f>
        <v>0.19493177387914229</v>
      </c>
      <c r="AV126" s="17"/>
      <c r="AW126" s="17">
        <f t="array" ref="AW126">SUM(IF(Period=AW$4,IF(Category=$A$125,IF(Provider=$B126,Score))))</f>
        <v>95</v>
      </c>
      <c r="AX126" s="17"/>
      <c r="AY126" s="20">
        <f t="array" ref="AY126">SUM(IF(Period=AW$4,IF(Category=$A$125,IF(Provider=$B126,Responses))))</f>
        <v>5</v>
      </c>
      <c r="AZ126" s="20"/>
      <c r="BA126" s="19">
        <f>AW126*(AY126/SUM(AY$126:AY$159))</f>
        <v>2.1889400921658986</v>
      </c>
      <c r="BB126" s="17"/>
      <c r="BC126" s="17">
        <f t="shared" ref="BC126:BC159" si="59">AW126*(AY126/(SUM(AY$9:AY$42)+SUM(AY$48:AY$81)+SUM(AY$87:AY$120)+SUM(AY$126:AY$159)+SUM(AY$165:AY$198)+SUM(AY$204:AY$237)))</f>
        <v>0.36482334869431643</v>
      </c>
      <c r="BD126" s="17"/>
      <c r="BE126" s="17">
        <f t="array" ref="BE126">SUM(IF(Period=BE$4,IF(Category=$A$125,IF(Provider=$B126,Score))))</f>
        <v>91.7</v>
      </c>
      <c r="BF126" s="17"/>
      <c r="BG126" s="20">
        <f t="array" ref="BG126">SUM(IF(Period=BE$4,IF(Category=$A$125,IF(Provider=$B126,Responses))))</f>
        <v>9</v>
      </c>
      <c r="BH126" s="20"/>
      <c r="BI126" s="19">
        <f>BE126*(BG126/SUM(BG$126:BG$159))</f>
        <v>3.497033898305085</v>
      </c>
      <c r="BJ126" s="17"/>
      <c r="BK126" s="17">
        <f t="shared" ref="BK126:BK159" si="60">BE126*(BG126/(SUM(BG$9:BG$42)+SUM(BG$48:BG$81)+SUM(BG$87:BG$120)+SUM(BG$126:BG$159)+SUM(BG$165:BG$198)+SUM(BG$204:BG$237)))</f>
        <v>0.58325088339222619</v>
      </c>
      <c r="BL126" s="17"/>
      <c r="BM126" s="17">
        <f t="array" ref="BM126">SUM(IF(Period=BM$4,IF(Category=$A$125,IF(Provider=$B126,Score))))</f>
        <v>100</v>
      </c>
      <c r="BN126" s="17"/>
      <c r="BO126" s="20">
        <f t="array" ref="BO126">SUM(IF(Period=BM$4,IF(Category=$A$125,IF(Provider=$B126,Responses))))</f>
        <v>6</v>
      </c>
      <c r="BP126" s="20"/>
      <c r="BQ126" s="19">
        <f>BM126*(BO126/SUM(BO$126:BO$159))</f>
        <v>2.5862068965517242</v>
      </c>
      <c r="BR126" s="17"/>
      <c r="BS126" s="17">
        <f t="shared" ref="BS126:BS159" si="61">BM126*(BO126/(SUM(BO$9:BO$42)+SUM(BO$48:BO$81)+SUM(BO$87:BO$120)+SUM(BO$126:BO$159)+SUM(BO$165:BO$198)+SUM(BO$204:BO$237)))</f>
        <v>0.4329004329004329</v>
      </c>
      <c r="BT126" s="17"/>
      <c r="BU126" s="17">
        <f t="array" ref="BU126">SUM(IF(Period=BU$4,IF(Category=$A$125,IF(Provider=$B126,Score))))</f>
        <v>85</v>
      </c>
      <c r="BV126" s="17"/>
      <c r="BW126" s="20">
        <f t="array" ref="BW126">SUM(IF(Period=BU$4,IF(Category=$A$125,IF(Provider=$B126,Responses))))</f>
        <v>5</v>
      </c>
      <c r="BX126" s="20"/>
      <c r="BY126" s="19">
        <f>BU126*(BW126/SUM(BW$126:BW$159))</f>
        <v>1.7634854771784232</v>
      </c>
      <c r="BZ126" s="17"/>
      <c r="CA126" s="17">
        <f t="shared" ref="CA126:CA159" si="62">BU126*(BW126/(SUM(BW$9:BW$42)+SUM(BW$48:BW$81)+SUM(BW$87:BW$120)+SUM(BW$126:BW$159)+SUM(BW$165:BW$198)+SUM(BW$204:BW$237)))</f>
        <v>0.29371112646855563</v>
      </c>
    </row>
    <row r="127" spans="1:79" outlineLevel="1" x14ac:dyDescent="0.25">
      <c r="B127" t="s">
        <v>30</v>
      </c>
      <c r="C127" s="17">
        <v>0</v>
      </c>
      <c r="D127" s="17"/>
      <c r="E127" s="17">
        <v>0</v>
      </c>
      <c r="F127" s="17"/>
      <c r="G127" s="17">
        <v>0</v>
      </c>
      <c r="H127" s="17"/>
      <c r="I127" s="17">
        <f t="array" ref="I127">SUM(IF(Period=I$4,IF(Category=$A$125,IF(Provider=$B127,Score))))</f>
        <v>82.1</v>
      </c>
      <c r="J127" s="17"/>
      <c r="K127" s="20">
        <f t="array" ref="K127">SUM(IF(Period=I$4,IF(Category=$A$125,IF(Provider=$B127,Responses))))</f>
        <v>7</v>
      </c>
      <c r="L127" s="20"/>
      <c r="M127" s="17">
        <f t="shared" ref="M127:M159" si="63">I127*(K127/SUM(K$126:K$159))</f>
        <v>2.8450495049504951</v>
      </c>
      <c r="N127" s="17"/>
      <c r="O127" s="17">
        <f t="shared" si="54"/>
        <v>0.47535153019023985</v>
      </c>
      <c r="P127" s="17"/>
      <c r="Q127" s="17">
        <f t="array" ref="Q127">SUM(IF(Period=Q$4,IF(Category=$A$125,IF(Provider=$B127,Score))))</f>
        <v>92.5</v>
      </c>
      <c r="R127" s="17"/>
      <c r="S127" s="20">
        <f t="array" ref="S127">SUM(IF(Period=Q$4,IF(Category=$A$125,IF(Provider=$B127,Responses))))</f>
        <v>10</v>
      </c>
      <c r="T127" s="20"/>
      <c r="U127" s="17">
        <f t="shared" ref="U127:U159" si="64">Q127*(S127/SUM(S$126:S$159))</f>
        <v>4.9465240641711228</v>
      </c>
      <c r="V127" s="17"/>
      <c r="W127" s="17">
        <f t="shared" si="55"/>
        <v>0.82442067736185387</v>
      </c>
      <c r="X127" s="17"/>
      <c r="Y127" s="17">
        <f t="array" ref="Y127">SUM(IF(Period=Y$4,IF(Category=$A$125,IF(Provider=$B127,Score))))</f>
        <v>83.3</v>
      </c>
      <c r="Z127" s="17"/>
      <c r="AA127" s="20">
        <f t="array" ref="AA127">SUM(IF(Period=Y$4,IF(Category=$A$125,IF(Provider=$B127,Responses))))</f>
        <v>9</v>
      </c>
      <c r="AB127" s="20"/>
      <c r="AC127" s="17">
        <f t="shared" ref="AC127:AC159" si="65">Y127*(AA127/SUM(AA$126:AA$159))</f>
        <v>2.4742574257425742</v>
      </c>
      <c r="AD127" s="17"/>
      <c r="AE127" s="17">
        <f t="shared" si="56"/>
        <v>0.41351351351351345</v>
      </c>
      <c r="AF127" s="17"/>
      <c r="AG127" s="17">
        <f t="array" ref="AG127">SUM(IF(Period=AG$4,IF(Category=$A$125,IF(Provider=$B127,Score))))</f>
        <v>100</v>
      </c>
      <c r="AH127" s="17"/>
      <c r="AI127" s="20">
        <f t="array" ref="AI127">SUM(IF(Period=AG$4,IF(Category=$A$125,IF(Provider=$B127,Responses))))</f>
        <v>6</v>
      </c>
      <c r="AJ127" s="20"/>
      <c r="AK127" s="17">
        <f t="shared" ref="AK127:AK159" si="66">AG127*(AI127/SUM(AI$126:AI$159))</f>
        <v>2.3346303501945527</v>
      </c>
      <c r="AL127" s="17"/>
      <c r="AM127" s="17">
        <f t="shared" si="57"/>
        <v>0.38860103626943004</v>
      </c>
      <c r="AN127" s="17"/>
      <c r="AO127" s="17">
        <f t="array" ref="AO127">SUM(IF(Period=AO$4,IF(Category=$A$125,IF(Provider=$B127,Score))))</f>
        <v>43.8</v>
      </c>
      <c r="AP127" s="17"/>
      <c r="AQ127" s="20">
        <f t="array" ref="AQ127">SUM(IF(Period=AO$4,IF(Category=$A$125,IF(Provider=$B127,Responses))))</f>
        <v>4</v>
      </c>
      <c r="AR127" s="20"/>
      <c r="AS127" s="17">
        <f t="shared" ref="AS127:AS159" si="67">AO127*(AQ127/SUM(AQ$126:AQ$159))</f>
        <v>1.0245614035087718</v>
      </c>
      <c r="AT127" s="17"/>
      <c r="AU127" s="17">
        <f t="shared" si="58"/>
        <v>0.17076023391812864</v>
      </c>
      <c r="AV127" s="17"/>
      <c r="AW127" s="17">
        <f t="array" ref="AW127">SUM(IF(Period=AW$4,IF(Category=$A$125,IF(Provider=$B127,Score))))</f>
        <v>89.3</v>
      </c>
      <c r="AX127" s="17"/>
      <c r="AY127" s="20">
        <f t="array" ref="AY127">SUM(IF(Period=AW$4,IF(Category=$A$125,IF(Provider=$B127,Responses))))</f>
        <v>7</v>
      </c>
      <c r="AZ127" s="20"/>
      <c r="BA127" s="17">
        <f t="shared" ref="BA127:BA159" si="68">AW127*(AY127/SUM(AY$126:AY$159))</f>
        <v>2.8806451612903223</v>
      </c>
      <c r="BB127" s="17"/>
      <c r="BC127" s="17">
        <f t="shared" si="59"/>
        <v>0.48010752688172043</v>
      </c>
      <c r="BD127" s="17"/>
      <c r="BE127" s="17">
        <f t="array" ref="BE127">SUM(IF(Period=BE$4,IF(Category=$A$125,IF(Provider=$B127,Score))))</f>
        <v>100</v>
      </c>
      <c r="BF127" s="17"/>
      <c r="BG127" s="20">
        <f t="array" ref="BG127">SUM(IF(Period=BE$4,IF(Category=$A$125,IF(Provider=$B127,Responses))))</f>
        <v>8</v>
      </c>
      <c r="BH127" s="20"/>
      <c r="BI127" s="17">
        <f t="shared" ref="BI127:BI159" si="69">BE127*(BG127/SUM(BG$126:BG$159))</f>
        <v>3.3898305084745761</v>
      </c>
      <c r="BJ127" s="17"/>
      <c r="BK127" s="17">
        <f t="shared" si="60"/>
        <v>0.56537102473498235</v>
      </c>
      <c r="BL127" s="17"/>
      <c r="BM127" s="17">
        <f t="array" ref="BM127">SUM(IF(Period=BM$4,IF(Category=$A$125,IF(Provider=$B127,Score))))</f>
        <v>91.7</v>
      </c>
      <c r="BN127" s="17"/>
      <c r="BO127" s="20">
        <f t="array" ref="BO127">SUM(IF(Period=BM$4,IF(Category=$A$125,IF(Provider=$B127,Responses))))</f>
        <v>6</v>
      </c>
      <c r="BP127" s="20"/>
      <c r="BQ127" s="17">
        <f t="shared" ref="BQ127:BQ159" si="70">BM127*(BO127/SUM(BO$126:BO$159))</f>
        <v>2.3715517241379311</v>
      </c>
      <c r="BR127" s="17"/>
      <c r="BS127" s="17">
        <f t="shared" si="61"/>
        <v>0.39696969696969697</v>
      </c>
      <c r="BT127" s="17"/>
      <c r="BU127" s="17">
        <f t="array" ref="BU127">SUM(IF(Period=BU$4,IF(Category=$A$125,IF(Provider=$B127,Score))))</f>
        <v>86.4</v>
      </c>
      <c r="BV127" s="17"/>
      <c r="BW127" s="20">
        <f t="array" ref="BW127">SUM(IF(Period=BU$4,IF(Category=$A$125,IF(Provider=$B127,Responses))))</f>
        <v>11</v>
      </c>
      <c r="BX127" s="20"/>
      <c r="BY127" s="17">
        <f t="shared" ref="BY127:BY159" si="71">BU127*(BW127/SUM(BW$126:BW$159))</f>
        <v>3.9435684647302907</v>
      </c>
      <c r="BZ127" s="17"/>
      <c r="CA127" s="17">
        <f t="shared" si="62"/>
        <v>0.65680718728403598</v>
      </c>
    </row>
    <row r="128" spans="1:79" outlineLevel="1" x14ac:dyDescent="0.25">
      <c r="B128" t="s">
        <v>14</v>
      </c>
      <c r="C128" s="17">
        <v>0</v>
      </c>
      <c r="D128" s="17"/>
      <c r="E128" s="17">
        <v>0</v>
      </c>
      <c r="F128" s="17"/>
      <c r="G128" s="17">
        <v>0</v>
      </c>
      <c r="H128" s="17"/>
      <c r="I128" s="17">
        <f t="array" ref="I128">SUM(IF(Period=I$4,IF(Category=$A$125,IF(Provider=$B128,Score))))</f>
        <v>92.9</v>
      </c>
      <c r="J128" s="17"/>
      <c r="K128" s="20">
        <f t="array" ref="K128">SUM(IF(Period=I$4,IF(Category=$A$125,IF(Provider=$B128,Responses))))</f>
        <v>7</v>
      </c>
      <c r="L128" s="20"/>
      <c r="M128" s="17">
        <f t="shared" si="63"/>
        <v>3.2193069306930697</v>
      </c>
      <c r="N128" s="17"/>
      <c r="O128" s="17">
        <f t="shared" si="54"/>
        <v>0.53788254755996689</v>
      </c>
      <c r="P128" s="17"/>
      <c r="Q128" s="17">
        <f t="array" ref="Q128">SUM(IF(Period=Q$4,IF(Category=$A$125,IF(Provider=$B128,Score))))</f>
        <v>91.7</v>
      </c>
      <c r="R128" s="17"/>
      <c r="S128" s="20">
        <f t="array" ref="S128">SUM(IF(Period=Q$4,IF(Category=$A$125,IF(Provider=$B128,Responses))))</f>
        <v>6</v>
      </c>
      <c r="T128" s="20"/>
      <c r="U128" s="17">
        <f t="shared" si="64"/>
        <v>2.9422459893048134</v>
      </c>
      <c r="V128" s="17"/>
      <c r="W128" s="17">
        <f t="shared" si="55"/>
        <v>0.49037433155080212</v>
      </c>
      <c r="X128" s="17"/>
      <c r="Y128" s="17">
        <f t="array" ref="Y128">SUM(IF(Period=Y$4,IF(Category=$A$125,IF(Provider=$B128,Score))))</f>
        <v>86.1</v>
      </c>
      <c r="Z128" s="17"/>
      <c r="AA128" s="20">
        <f t="array" ref="AA128">SUM(IF(Period=Y$4,IF(Category=$A$125,IF(Provider=$B128,Responses))))</f>
        <v>9</v>
      </c>
      <c r="AB128" s="20"/>
      <c r="AC128" s="17">
        <f t="shared" si="65"/>
        <v>2.557425742574257</v>
      </c>
      <c r="AD128" s="17"/>
      <c r="AE128" s="17">
        <f t="shared" si="56"/>
        <v>0.42741312741312737</v>
      </c>
      <c r="AF128" s="17"/>
      <c r="AG128" s="17">
        <f t="array" ref="AG128">SUM(IF(Period=AG$4,IF(Category=$A$125,IF(Provider=$B128,Score))))</f>
        <v>100</v>
      </c>
      <c r="AH128" s="17"/>
      <c r="AI128" s="20">
        <f t="array" ref="AI128">SUM(IF(Period=AG$4,IF(Category=$A$125,IF(Provider=$B128,Responses))))</f>
        <v>7</v>
      </c>
      <c r="AJ128" s="20"/>
      <c r="AK128" s="17">
        <f t="shared" si="66"/>
        <v>2.7237354085603114</v>
      </c>
      <c r="AL128" s="17"/>
      <c r="AM128" s="17">
        <f t="shared" si="57"/>
        <v>0.45336787564766834</v>
      </c>
      <c r="AN128" s="17"/>
      <c r="AO128" s="17">
        <f t="array" ref="AO128">SUM(IF(Period=AO$4,IF(Category=$A$125,IF(Provider=$B128,Score))))</f>
        <v>71.900000000000006</v>
      </c>
      <c r="AP128" s="17"/>
      <c r="AQ128" s="20">
        <f t="array" ref="AQ128">SUM(IF(Period=AO$4,IF(Category=$A$125,IF(Provider=$B128,Responses))))</f>
        <v>8</v>
      </c>
      <c r="AR128" s="20"/>
      <c r="AS128" s="17">
        <f t="shared" si="67"/>
        <v>3.3637426900584795</v>
      </c>
      <c r="AT128" s="17"/>
      <c r="AU128" s="17">
        <f t="shared" si="58"/>
        <v>0.56062378167641325</v>
      </c>
      <c r="AV128" s="17"/>
      <c r="AW128" s="17">
        <f t="array" ref="AW128">SUM(IF(Period=AW$4,IF(Category=$A$125,IF(Provider=$B128,Score))))</f>
        <v>100</v>
      </c>
      <c r="AX128" s="17"/>
      <c r="AY128" s="20">
        <f t="array" ref="AY128">SUM(IF(Period=AW$4,IF(Category=$A$125,IF(Provider=$B128,Responses))))</f>
        <v>6</v>
      </c>
      <c r="AZ128" s="20"/>
      <c r="BA128" s="17">
        <f t="shared" si="68"/>
        <v>2.7649769585253456</v>
      </c>
      <c r="BB128" s="17"/>
      <c r="BC128" s="17">
        <f t="shared" si="59"/>
        <v>0.46082949308755761</v>
      </c>
      <c r="BD128" s="17"/>
      <c r="BE128" s="17">
        <f t="array" ref="BE128">SUM(IF(Period=BE$4,IF(Category=$A$125,IF(Provider=$B128,Score))))</f>
        <v>87.5</v>
      </c>
      <c r="BF128" s="17"/>
      <c r="BG128" s="20">
        <f t="array" ref="BG128">SUM(IF(Period=BE$4,IF(Category=$A$125,IF(Provider=$B128,Responses))))</f>
        <v>8</v>
      </c>
      <c r="BH128" s="20"/>
      <c r="BI128" s="17">
        <f t="shared" si="69"/>
        <v>2.9661016949152543</v>
      </c>
      <c r="BJ128" s="17"/>
      <c r="BK128" s="17">
        <f t="shared" si="60"/>
        <v>0.4946996466431095</v>
      </c>
      <c r="BL128" s="17"/>
      <c r="BM128" s="17">
        <f t="array" ref="BM128">SUM(IF(Period=BM$4,IF(Category=$A$125,IF(Provider=$B128,Score))))</f>
        <v>78.099999999999994</v>
      </c>
      <c r="BN128" s="17"/>
      <c r="BO128" s="20">
        <f t="array" ref="BO128">SUM(IF(Period=BM$4,IF(Category=$A$125,IF(Provider=$B128,Responses))))</f>
        <v>8</v>
      </c>
      <c r="BP128" s="20"/>
      <c r="BQ128" s="17">
        <f t="shared" si="70"/>
        <v>2.693103448275862</v>
      </c>
      <c r="BR128" s="17"/>
      <c r="BS128" s="17">
        <f t="shared" si="61"/>
        <v>0.45079365079365075</v>
      </c>
      <c r="BT128" s="17"/>
      <c r="BU128" s="17">
        <f t="array" ref="BU128">SUM(IF(Period=BU$4,IF(Category=$A$125,IF(Provider=$B128,Score))))</f>
        <v>79.2</v>
      </c>
      <c r="BV128" s="17"/>
      <c r="BW128" s="20">
        <f t="array" ref="BW128">SUM(IF(Period=BU$4,IF(Category=$A$125,IF(Provider=$B128,Responses))))</f>
        <v>6</v>
      </c>
      <c r="BX128" s="20"/>
      <c r="BY128" s="17">
        <f t="shared" si="71"/>
        <v>1.9717842323651451</v>
      </c>
      <c r="BZ128" s="17"/>
      <c r="CA128" s="17">
        <f t="shared" si="62"/>
        <v>0.32840359364201799</v>
      </c>
    </row>
    <row r="129" spans="2:79" outlineLevel="1" x14ac:dyDescent="0.25">
      <c r="B129" t="s">
        <v>38</v>
      </c>
      <c r="C129" s="17">
        <v>0</v>
      </c>
      <c r="D129" s="17"/>
      <c r="E129" s="17">
        <v>0</v>
      </c>
      <c r="F129" s="17"/>
      <c r="G129" s="17">
        <v>0</v>
      </c>
      <c r="H129" s="17"/>
      <c r="I129" s="17">
        <f t="array" ref="I129">SUM(IF(Period=I$4,IF(Category=$A$125,IF(Provider=$B129,Score))))</f>
        <v>68.8</v>
      </c>
      <c r="J129" s="17"/>
      <c r="K129" s="20">
        <f t="array" ref="K129">SUM(IF(Period=I$4,IF(Category=$A$125,IF(Provider=$B129,Responses))))</f>
        <v>4</v>
      </c>
      <c r="L129" s="20"/>
      <c r="M129" s="17">
        <f t="shared" si="63"/>
        <v>1.3623762376237623</v>
      </c>
      <c r="N129" s="17"/>
      <c r="O129" s="17">
        <f t="shared" si="54"/>
        <v>0.22762613730355666</v>
      </c>
      <c r="P129" s="17"/>
      <c r="Q129" s="17">
        <f t="array" ref="Q129">SUM(IF(Period=Q$4,IF(Category=$A$125,IF(Provider=$B129,Score))))</f>
        <v>92.9</v>
      </c>
      <c r="R129" s="17"/>
      <c r="S129" s="20">
        <f t="array" ref="S129">SUM(IF(Period=Q$4,IF(Category=$A$125,IF(Provider=$B129,Responses))))</f>
        <v>7</v>
      </c>
      <c r="T129" s="20"/>
      <c r="U129" s="17">
        <f t="shared" si="64"/>
        <v>3.4775401069518717</v>
      </c>
      <c r="V129" s="17"/>
      <c r="W129" s="17">
        <f t="shared" si="55"/>
        <v>0.57959001782531194</v>
      </c>
      <c r="X129" s="17"/>
      <c r="Y129" s="17">
        <f t="array" ref="Y129">SUM(IF(Period=Y$4,IF(Category=$A$125,IF(Provider=$B129,Score))))</f>
        <v>86.4</v>
      </c>
      <c r="Z129" s="17"/>
      <c r="AA129" s="20">
        <f t="array" ref="AA129">SUM(IF(Period=Y$4,IF(Category=$A$125,IF(Provider=$B129,Responses))))</f>
        <v>11</v>
      </c>
      <c r="AB129" s="20"/>
      <c r="AC129" s="17">
        <f t="shared" si="65"/>
        <v>3.1366336633663372</v>
      </c>
      <c r="AD129" s="17"/>
      <c r="AE129" s="17">
        <f t="shared" si="56"/>
        <v>0.5242140099282957</v>
      </c>
      <c r="AF129" s="17"/>
      <c r="AG129" s="17">
        <f t="array" ref="AG129">SUM(IF(Period=AG$4,IF(Category=$A$125,IF(Provider=$B129,Score))))</f>
        <v>75</v>
      </c>
      <c r="AH129" s="17"/>
      <c r="AI129" s="20">
        <f t="array" ref="AI129">SUM(IF(Period=AG$4,IF(Category=$A$125,IF(Provider=$B129,Responses))))</f>
        <v>5</v>
      </c>
      <c r="AJ129" s="20"/>
      <c r="AK129" s="17">
        <f t="shared" si="66"/>
        <v>1.4591439688715953</v>
      </c>
      <c r="AL129" s="17"/>
      <c r="AM129" s="17">
        <f t="shared" si="57"/>
        <v>0.24287564766839376</v>
      </c>
      <c r="AN129" s="17"/>
      <c r="AO129" s="17">
        <f t="array" ref="AO129">SUM(IF(Period=AO$4,IF(Category=$A$125,IF(Provider=$B129,Score))))</f>
        <v>91.7</v>
      </c>
      <c r="AP129" s="17"/>
      <c r="AQ129" s="20">
        <f t="array" ref="AQ129">SUM(IF(Period=AO$4,IF(Category=$A$125,IF(Provider=$B129,Responses))))</f>
        <v>9</v>
      </c>
      <c r="AR129" s="20"/>
      <c r="AS129" s="17">
        <f t="shared" si="67"/>
        <v>4.8263157894736839</v>
      </c>
      <c r="AT129" s="17"/>
      <c r="AU129" s="17">
        <f t="shared" si="58"/>
        <v>0.80438596491228065</v>
      </c>
      <c r="AV129" s="17"/>
      <c r="AW129" s="17">
        <f t="array" ref="AW129">SUM(IF(Period=AW$4,IF(Category=$A$125,IF(Provider=$B129,Score))))</f>
        <v>75</v>
      </c>
      <c r="AX129" s="17"/>
      <c r="AY129" s="20">
        <f t="array" ref="AY129">SUM(IF(Period=AW$4,IF(Category=$A$125,IF(Provider=$B129,Responses))))</f>
        <v>2</v>
      </c>
      <c r="AZ129" s="20"/>
      <c r="BA129" s="17">
        <f t="shared" si="68"/>
        <v>0.69124423963133641</v>
      </c>
      <c r="BB129" s="17"/>
      <c r="BC129" s="17">
        <f t="shared" si="59"/>
        <v>0.1152073732718894</v>
      </c>
      <c r="BD129" s="17"/>
      <c r="BE129" s="17">
        <f t="array" ref="BE129">SUM(IF(Period=BE$4,IF(Category=$A$125,IF(Provider=$B129,Score))))</f>
        <v>87.5</v>
      </c>
      <c r="BF129" s="17"/>
      <c r="BG129" s="20">
        <f t="array" ref="BG129">SUM(IF(Period=BE$4,IF(Category=$A$125,IF(Provider=$B129,Responses))))</f>
        <v>2</v>
      </c>
      <c r="BH129" s="20"/>
      <c r="BI129" s="17">
        <f t="shared" si="69"/>
        <v>0.74152542372881358</v>
      </c>
      <c r="BJ129" s="17"/>
      <c r="BK129" s="17">
        <f t="shared" si="60"/>
        <v>0.12367491166077738</v>
      </c>
      <c r="BL129" s="17"/>
      <c r="BM129" s="17">
        <f t="array" ref="BM129">SUM(IF(Period=BM$4,IF(Category=$A$125,IF(Provider=$B129,Score))))</f>
        <v>89.3</v>
      </c>
      <c r="BN129" s="17"/>
      <c r="BO129" s="20">
        <f t="array" ref="BO129">SUM(IF(Period=BM$4,IF(Category=$A$125,IF(Provider=$B129,Responses))))</f>
        <v>7</v>
      </c>
      <c r="BP129" s="20"/>
      <c r="BQ129" s="17">
        <f t="shared" si="70"/>
        <v>2.6943965517241382</v>
      </c>
      <c r="BR129" s="17"/>
      <c r="BS129" s="17">
        <f t="shared" si="61"/>
        <v>0.45101010101010103</v>
      </c>
      <c r="BT129" s="17"/>
      <c r="BU129" s="17">
        <f t="array" ref="BU129">SUM(IF(Period=BU$4,IF(Category=$A$125,IF(Provider=$B129,Score))))</f>
        <v>96.9</v>
      </c>
      <c r="BV129" s="17"/>
      <c r="BW129" s="20">
        <f t="array" ref="BW129">SUM(IF(Period=BU$4,IF(Category=$A$125,IF(Provider=$B129,Responses))))</f>
        <v>8</v>
      </c>
      <c r="BX129" s="20"/>
      <c r="BY129" s="17">
        <f t="shared" si="71"/>
        <v>3.2165975103734441</v>
      </c>
      <c r="BZ129" s="17"/>
      <c r="CA129" s="17">
        <f t="shared" si="62"/>
        <v>0.53572909467864549</v>
      </c>
    </row>
    <row r="130" spans="2:79" outlineLevel="1" x14ac:dyDescent="0.25">
      <c r="B130" t="s">
        <v>26</v>
      </c>
      <c r="C130" s="17">
        <v>0</v>
      </c>
      <c r="D130" s="17"/>
      <c r="E130" s="17">
        <v>0</v>
      </c>
      <c r="F130" s="17"/>
      <c r="G130" s="17">
        <v>0</v>
      </c>
      <c r="H130" s="17"/>
      <c r="I130" s="17">
        <f t="array" ref="I130">SUM(IF(Period=I$4,IF(Category=$A$125,IF(Provider=$B130,Score))))</f>
        <v>85.7</v>
      </c>
      <c r="J130" s="17"/>
      <c r="K130" s="20">
        <f t="array" ref="K130">SUM(IF(Period=I$4,IF(Category=$A$125,IF(Provider=$B130,Responses))))</f>
        <v>7</v>
      </c>
      <c r="L130" s="20"/>
      <c r="M130" s="17">
        <f t="shared" si="63"/>
        <v>2.96980198019802</v>
      </c>
      <c r="N130" s="17"/>
      <c r="O130" s="17">
        <f t="shared" si="54"/>
        <v>0.49619520264681555</v>
      </c>
      <c r="P130" s="17"/>
      <c r="Q130" s="17">
        <f t="array" ref="Q130">SUM(IF(Period=Q$4,IF(Category=$A$125,IF(Provider=$B130,Score))))</f>
        <v>79.2</v>
      </c>
      <c r="R130" s="17"/>
      <c r="S130" s="20">
        <f t="array" ref="S130">SUM(IF(Period=Q$4,IF(Category=$A$125,IF(Provider=$B130,Responses))))</f>
        <v>6</v>
      </c>
      <c r="T130" s="20"/>
      <c r="U130" s="17">
        <f t="shared" si="64"/>
        <v>2.5411764705882356</v>
      </c>
      <c r="V130" s="17"/>
      <c r="W130" s="17">
        <f t="shared" si="55"/>
        <v>0.42352941176470588</v>
      </c>
      <c r="X130" s="17"/>
      <c r="Y130" s="17">
        <f t="array" ref="Y130">SUM(IF(Period=Y$4,IF(Category=$A$125,IF(Provider=$B130,Score))))</f>
        <v>89.6</v>
      </c>
      <c r="Z130" s="17"/>
      <c r="AA130" s="20">
        <f t="array" ref="AA130">SUM(IF(Period=Y$4,IF(Category=$A$125,IF(Provider=$B130,Responses))))</f>
        <v>12</v>
      </c>
      <c r="AB130" s="20"/>
      <c r="AC130" s="17">
        <f t="shared" si="65"/>
        <v>3.5485148514851481</v>
      </c>
      <c r="AD130" s="17"/>
      <c r="AE130" s="17">
        <f t="shared" si="56"/>
        <v>0.59305019305019302</v>
      </c>
      <c r="AF130" s="17"/>
      <c r="AG130" s="17">
        <f t="array" ref="AG130">SUM(IF(Period=AG$4,IF(Category=$A$125,IF(Provider=$B130,Score))))</f>
        <v>94.4</v>
      </c>
      <c r="AH130" s="17"/>
      <c r="AI130" s="20">
        <f t="array" ref="AI130">SUM(IF(Period=AG$4,IF(Category=$A$125,IF(Provider=$B130,Responses))))</f>
        <v>9</v>
      </c>
      <c r="AJ130" s="20"/>
      <c r="AK130" s="17">
        <f t="shared" si="66"/>
        <v>3.3058365758754866</v>
      </c>
      <c r="AL130" s="17"/>
      <c r="AM130" s="17">
        <f t="shared" si="57"/>
        <v>0.55025906735751295</v>
      </c>
      <c r="AN130" s="17"/>
      <c r="AO130" s="17">
        <f t="array" ref="AO130">SUM(IF(Period=AO$4,IF(Category=$A$125,IF(Provider=$B130,Score))))</f>
        <v>100</v>
      </c>
      <c r="AP130" s="17"/>
      <c r="AQ130" s="20">
        <f t="array" ref="AQ130">SUM(IF(Period=AO$4,IF(Category=$A$125,IF(Provider=$B130,Responses))))</f>
        <v>4</v>
      </c>
      <c r="AR130" s="20"/>
      <c r="AS130" s="17">
        <f t="shared" si="67"/>
        <v>2.3391812865497075</v>
      </c>
      <c r="AT130" s="17"/>
      <c r="AU130" s="17">
        <f t="shared" si="58"/>
        <v>0.38986354775828458</v>
      </c>
      <c r="AV130" s="17"/>
      <c r="AW130" s="17">
        <f t="array" ref="AW130">SUM(IF(Period=AW$4,IF(Category=$A$125,IF(Provider=$B130,Score))))</f>
        <v>83.3</v>
      </c>
      <c r="AX130" s="17"/>
      <c r="AY130" s="20">
        <f t="array" ref="AY130">SUM(IF(Period=AW$4,IF(Category=$A$125,IF(Provider=$B130,Responses))))</f>
        <v>6</v>
      </c>
      <c r="AZ130" s="20"/>
      <c r="BA130" s="17">
        <f t="shared" si="68"/>
        <v>2.3032258064516129</v>
      </c>
      <c r="BB130" s="17"/>
      <c r="BC130" s="17">
        <f t="shared" si="59"/>
        <v>0.38387096774193546</v>
      </c>
      <c r="BD130" s="17"/>
      <c r="BE130" s="17">
        <f t="array" ref="BE130">SUM(IF(Period=BE$4,IF(Category=$A$125,IF(Provider=$B130,Score))))</f>
        <v>75</v>
      </c>
      <c r="BF130" s="17"/>
      <c r="BG130" s="20">
        <f t="array" ref="BG130">SUM(IF(Period=BE$4,IF(Category=$A$125,IF(Provider=$B130,Responses))))</f>
        <v>6</v>
      </c>
      <c r="BH130" s="20"/>
      <c r="BI130" s="17">
        <f t="shared" si="69"/>
        <v>1.9067796610169492</v>
      </c>
      <c r="BJ130" s="17"/>
      <c r="BK130" s="17">
        <f t="shared" si="60"/>
        <v>0.31802120141342755</v>
      </c>
      <c r="BL130" s="17"/>
      <c r="BM130" s="17">
        <f t="array" ref="BM130">SUM(IF(Period=BM$4,IF(Category=$A$125,IF(Provider=$B130,Score))))</f>
        <v>75</v>
      </c>
      <c r="BN130" s="17"/>
      <c r="BO130" s="20">
        <f t="array" ref="BO130">SUM(IF(Period=BM$4,IF(Category=$A$125,IF(Provider=$B130,Responses))))</f>
        <v>7</v>
      </c>
      <c r="BP130" s="20"/>
      <c r="BQ130" s="17">
        <f t="shared" si="70"/>
        <v>2.2629310344827589</v>
      </c>
      <c r="BR130" s="17"/>
      <c r="BS130" s="17">
        <f t="shared" si="61"/>
        <v>0.37878787878787884</v>
      </c>
      <c r="BT130" s="17"/>
      <c r="BU130" s="17">
        <f t="array" ref="BU130">SUM(IF(Period=BU$4,IF(Category=$A$125,IF(Provider=$B130,Score))))</f>
        <v>100</v>
      </c>
      <c r="BV130" s="17"/>
      <c r="BW130" s="20">
        <f t="array" ref="BW130">SUM(IF(Period=BU$4,IF(Category=$A$125,IF(Provider=$B130,Responses))))</f>
        <v>7</v>
      </c>
      <c r="BX130" s="20"/>
      <c r="BY130" s="17">
        <f t="shared" si="71"/>
        <v>2.904564315352697</v>
      </c>
      <c r="BZ130" s="17"/>
      <c r="CA130" s="17">
        <f t="shared" si="62"/>
        <v>0.48375950241879756</v>
      </c>
    </row>
    <row r="131" spans="2:79" outlineLevel="1" x14ac:dyDescent="0.25">
      <c r="B131" t="s">
        <v>42</v>
      </c>
      <c r="C131" s="17">
        <v>0</v>
      </c>
      <c r="D131" s="17"/>
      <c r="E131" s="17">
        <v>0</v>
      </c>
      <c r="F131" s="17"/>
      <c r="G131" s="17">
        <v>0</v>
      </c>
      <c r="H131" s="17"/>
      <c r="I131" s="17">
        <f t="array" ref="I131">SUM(IF(Period=I$4,IF(Category=$A$125,IF(Provider=$B131,Score))))</f>
        <v>50</v>
      </c>
      <c r="J131" s="17"/>
      <c r="K131" s="20">
        <f t="array" ref="K131">SUM(IF(Period=I$4,IF(Category=$A$125,IF(Provider=$B131,Responses))))</f>
        <v>4</v>
      </c>
      <c r="L131" s="20"/>
      <c r="M131" s="17">
        <f t="shared" si="63"/>
        <v>0.99009900990099009</v>
      </c>
      <c r="N131" s="17"/>
      <c r="O131" s="17">
        <f t="shared" si="54"/>
        <v>0.16542597187758479</v>
      </c>
      <c r="P131" s="17"/>
      <c r="Q131" s="17">
        <f t="array" ref="Q131">SUM(IF(Period=Q$4,IF(Category=$A$125,IF(Provider=$B131,Score))))</f>
        <v>55</v>
      </c>
      <c r="R131" s="17"/>
      <c r="S131" s="20">
        <f t="array" ref="S131">SUM(IF(Period=Q$4,IF(Category=$A$125,IF(Provider=$B131,Responses))))</f>
        <v>10</v>
      </c>
      <c r="T131" s="20"/>
      <c r="U131" s="17">
        <f t="shared" si="64"/>
        <v>2.9411764705882351</v>
      </c>
      <c r="V131" s="17"/>
      <c r="W131" s="17">
        <f t="shared" si="55"/>
        <v>0.49019607843137258</v>
      </c>
      <c r="X131" s="17"/>
      <c r="Y131" s="17">
        <f t="array" ref="Y131">SUM(IF(Period=Y$4,IF(Category=$A$125,IF(Provider=$B131,Score))))</f>
        <v>75</v>
      </c>
      <c r="Z131" s="17"/>
      <c r="AA131" s="20">
        <f t="array" ref="AA131">SUM(IF(Period=Y$4,IF(Category=$A$125,IF(Provider=$B131,Responses))))</f>
        <v>5</v>
      </c>
      <c r="AB131" s="20"/>
      <c r="AC131" s="17">
        <f t="shared" si="65"/>
        <v>1.2376237623762376</v>
      </c>
      <c r="AD131" s="17"/>
      <c r="AE131" s="17">
        <f t="shared" si="56"/>
        <v>0.20683949255377826</v>
      </c>
      <c r="AF131" s="17"/>
      <c r="AG131" s="17">
        <f t="array" ref="AG131">SUM(IF(Period=AG$4,IF(Category=$A$125,IF(Provider=$B131,Score))))</f>
        <v>75</v>
      </c>
      <c r="AH131" s="17"/>
      <c r="AI131" s="20">
        <f t="array" ref="AI131">SUM(IF(Period=AG$4,IF(Category=$A$125,IF(Provider=$B131,Responses))))</f>
        <v>1</v>
      </c>
      <c r="AJ131" s="20"/>
      <c r="AK131" s="17">
        <f t="shared" si="66"/>
        <v>0.29182879377431908</v>
      </c>
      <c r="AL131" s="17"/>
      <c r="AM131" s="17">
        <f t="shared" si="57"/>
        <v>4.8575129533678756E-2</v>
      </c>
      <c r="AN131" s="17"/>
      <c r="AO131" s="17">
        <f t="array" ref="AO131">SUM(IF(Period=AO$4,IF(Category=$A$125,IF(Provider=$B131,Score))))</f>
        <v>87.5</v>
      </c>
      <c r="AP131" s="17"/>
      <c r="AQ131" s="20">
        <f t="array" ref="AQ131">SUM(IF(Period=AO$4,IF(Category=$A$125,IF(Provider=$B131,Responses))))</f>
        <v>6</v>
      </c>
      <c r="AR131" s="20"/>
      <c r="AS131" s="17">
        <f t="shared" si="67"/>
        <v>3.070175438596491</v>
      </c>
      <c r="AT131" s="17"/>
      <c r="AU131" s="17">
        <f t="shared" si="58"/>
        <v>0.51169590643274854</v>
      </c>
      <c r="AV131" s="17"/>
      <c r="AW131" s="17">
        <f t="array" ref="AW131">SUM(IF(Period=AW$4,IF(Category=$A$125,IF(Provider=$B131,Score))))</f>
        <v>71.900000000000006</v>
      </c>
      <c r="AX131" s="17"/>
      <c r="AY131" s="20">
        <f t="array" ref="AY131">SUM(IF(Period=AW$4,IF(Category=$A$125,IF(Provider=$B131,Responses))))</f>
        <v>8</v>
      </c>
      <c r="AZ131" s="20"/>
      <c r="BA131" s="17">
        <f t="shared" si="68"/>
        <v>2.6506912442396318</v>
      </c>
      <c r="BB131" s="17"/>
      <c r="BC131" s="17">
        <f t="shared" si="59"/>
        <v>0.44178187403993857</v>
      </c>
      <c r="BD131" s="17"/>
      <c r="BE131" s="17">
        <f t="array" ref="BE131">SUM(IF(Period=BE$4,IF(Category=$A$125,IF(Provider=$B131,Score))))</f>
        <v>58.3</v>
      </c>
      <c r="BF131" s="17"/>
      <c r="BG131" s="20">
        <f t="array" ref="BG131">SUM(IF(Period=BE$4,IF(Category=$A$125,IF(Provider=$B131,Responses))))</f>
        <v>15</v>
      </c>
      <c r="BH131" s="20"/>
      <c r="BI131" s="17">
        <f t="shared" si="69"/>
        <v>3.7055084745762707</v>
      </c>
      <c r="BJ131" s="17"/>
      <c r="BK131" s="17">
        <f t="shared" si="60"/>
        <v>0.61802120141342753</v>
      </c>
      <c r="BL131" s="17"/>
      <c r="BM131" s="17">
        <f t="array" ref="BM131">SUM(IF(Period=BM$4,IF(Category=$A$125,IF(Provider=$B131,Score))))</f>
        <v>86.4</v>
      </c>
      <c r="BN131" s="17"/>
      <c r="BO131" s="20">
        <f t="array" ref="BO131">SUM(IF(Period=BM$4,IF(Category=$A$125,IF(Provider=$B131,Responses))))</f>
        <v>11</v>
      </c>
      <c r="BP131" s="20"/>
      <c r="BQ131" s="17">
        <f t="shared" si="70"/>
        <v>4.0965517241379308</v>
      </c>
      <c r="BR131" s="17"/>
      <c r="BS131" s="17">
        <f t="shared" si="61"/>
        <v>0.68571428571428572</v>
      </c>
      <c r="BT131" s="17"/>
      <c r="BU131" s="17">
        <f t="array" ref="BU131">SUM(IF(Period=BU$4,IF(Category=$A$125,IF(Provider=$B131,Score))))</f>
        <v>68.8</v>
      </c>
      <c r="BV131" s="17"/>
      <c r="BW131" s="20">
        <f t="array" ref="BW131">SUM(IF(Period=BU$4,IF(Category=$A$125,IF(Provider=$B131,Responses))))</f>
        <v>8</v>
      </c>
      <c r="BX131" s="20"/>
      <c r="BY131" s="17">
        <f t="shared" si="71"/>
        <v>2.283817427385892</v>
      </c>
      <c r="BZ131" s="17"/>
      <c r="CA131" s="17">
        <f t="shared" si="62"/>
        <v>0.38037318590186592</v>
      </c>
    </row>
    <row r="132" spans="2:79" outlineLevel="1" x14ac:dyDescent="0.25">
      <c r="B132" t="s">
        <v>17</v>
      </c>
      <c r="C132" s="17">
        <v>0</v>
      </c>
      <c r="D132" s="17"/>
      <c r="E132" s="17">
        <v>0</v>
      </c>
      <c r="F132" s="17"/>
      <c r="G132" s="17">
        <v>0</v>
      </c>
      <c r="H132" s="17"/>
      <c r="I132" s="17">
        <f t="array" ref="I132">SUM(IF(Period=I$4,IF(Category=$A$125,IF(Provider=$B132,Score))))</f>
        <v>93.8</v>
      </c>
      <c r="J132" s="17"/>
      <c r="K132" s="20">
        <f t="array" ref="K132">SUM(IF(Period=I$4,IF(Category=$A$125,IF(Provider=$B132,Responses))))</f>
        <v>4</v>
      </c>
      <c r="L132" s="20"/>
      <c r="M132" s="17">
        <f t="shared" si="63"/>
        <v>1.8574257425742573</v>
      </c>
      <c r="N132" s="17"/>
      <c r="O132" s="17">
        <f t="shared" si="54"/>
        <v>0.31033912324234902</v>
      </c>
      <c r="P132" s="17"/>
      <c r="Q132" s="17">
        <f t="array" ref="Q132">SUM(IF(Period=Q$4,IF(Category=$A$125,IF(Provider=$B132,Score))))</f>
        <v>91.7</v>
      </c>
      <c r="R132" s="17"/>
      <c r="S132" s="20">
        <f t="array" ref="S132">SUM(IF(Period=Q$4,IF(Category=$A$125,IF(Provider=$B132,Responses))))</f>
        <v>3</v>
      </c>
      <c r="T132" s="20"/>
      <c r="U132" s="17">
        <f t="shared" si="64"/>
        <v>1.4711229946524067</v>
      </c>
      <c r="V132" s="17"/>
      <c r="W132" s="17">
        <f t="shared" si="55"/>
        <v>0.24518716577540106</v>
      </c>
      <c r="X132" s="17"/>
      <c r="Y132" s="17">
        <f t="array" ref="Y132">SUM(IF(Period=Y$4,IF(Category=$A$125,IF(Provider=$B132,Score))))</f>
        <v>96.9</v>
      </c>
      <c r="Z132" s="17"/>
      <c r="AA132" s="20">
        <f t="array" ref="AA132">SUM(IF(Period=Y$4,IF(Category=$A$125,IF(Provider=$B132,Responses))))</f>
        <v>8</v>
      </c>
      <c r="AB132" s="20"/>
      <c r="AC132" s="17">
        <f t="shared" si="65"/>
        <v>2.5584158415841585</v>
      </c>
      <c r="AD132" s="17"/>
      <c r="AE132" s="17">
        <f t="shared" si="56"/>
        <v>0.42757859900717049</v>
      </c>
      <c r="AF132" s="17"/>
      <c r="AG132" s="17">
        <f t="array" ref="AG132">SUM(IF(Period=AG$4,IF(Category=$A$125,IF(Provider=$B132,Score))))</f>
        <v>90.6</v>
      </c>
      <c r="AH132" s="17"/>
      <c r="AI132" s="20">
        <f t="array" ref="AI132">SUM(IF(Period=AG$4,IF(Category=$A$125,IF(Provider=$B132,Responses))))</f>
        <v>8</v>
      </c>
      <c r="AJ132" s="20"/>
      <c r="AK132" s="17">
        <f t="shared" si="66"/>
        <v>2.8202334630350192</v>
      </c>
      <c r="AL132" s="17"/>
      <c r="AM132" s="17">
        <f t="shared" si="57"/>
        <v>0.46943005181347147</v>
      </c>
      <c r="AN132" s="17"/>
      <c r="AO132" s="17">
        <f t="array" ref="AO132">SUM(IF(Period=AO$4,IF(Category=$A$125,IF(Provider=$B132,Score))))</f>
        <v>83.3</v>
      </c>
      <c r="AP132" s="17"/>
      <c r="AQ132" s="20">
        <f t="array" ref="AQ132">SUM(IF(Period=AO$4,IF(Category=$A$125,IF(Provider=$B132,Responses))))</f>
        <v>3</v>
      </c>
      <c r="AR132" s="20"/>
      <c r="AS132" s="17">
        <f t="shared" si="67"/>
        <v>1.4614035087719297</v>
      </c>
      <c r="AT132" s="17"/>
      <c r="AU132" s="17">
        <f t="shared" si="58"/>
        <v>0.24356725146198829</v>
      </c>
      <c r="AV132" s="17"/>
      <c r="AW132" s="17">
        <f t="array" ref="AW132">SUM(IF(Period=AW$4,IF(Category=$A$125,IF(Provider=$B132,Score))))</f>
        <v>100</v>
      </c>
      <c r="AX132" s="17"/>
      <c r="AY132" s="20">
        <f t="array" ref="AY132">SUM(IF(Period=AW$4,IF(Category=$A$125,IF(Provider=$B132,Responses))))</f>
        <v>3</v>
      </c>
      <c r="AZ132" s="20"/>
      <c r="BA132" s="17">
        <f t="shared" si="68"/>
        <v>1.3824884792626728</v>
      </c>
      <c r="BB132" s="17"/>
      <c r="BC132" s="17">
        <f t="shared" si="59"/>
        <v>0.2304147465437788</v>
      </c>
      <c r="BD132" s="17"/>
      <c r="BE132" s="17">
        <f t="array" ref="BE132">SUM(IF(Period=BE$4,IF(Category=$A$125,IF(Provider=$B132,Score))))</f>
        <v>78.900000000000006</v>
      </c>
      <c r="BF132" s="17"/>
      <c r="BG132" s="20">
        <f t="array" ref="BG132">SUM(IF(Period=BE$4,IF(Category=$A$125,IF(Provider=$B132,Responses))))</f>
        <v>13</v>
      </c>
      <c r="BH132" s="20"/>
      <c r="BI132" s="17">
        <f t="shared" si="69"/>
        <v>4.3461864406779664</v>
      </c>
      <c r="BJ132" s="17"/>
      <c r="BK132" s="17">
        <f t="shared" si="60"/>
        <v>0.72487632508833921</v>
      </c>
      <c r="BL132" s="17"/>
      <c r="BM132" s="17">
        <f t="array" ref="BM132">SUM(IF(Period=BM$4,IF(Category=$A$125,IF(Provider=$B132,Score))))</f>
        <v>100</v>
      </c>
      <c r="BN132" s="17"/>
      <c r="BO132" s="20">
        <f t="array" ref="BO132">SUM(IF(Period=BM$4,IF(Category=$A$125,IF(Provider=$B132,Responses))))</f>
        <v>12</v>
      </c>
      <c r="BP132" s="20"/>
      <c r="BQ132" s="17">
        <f t="shared" si="70"/>
        <v>5.1724137931034484</v>
      </c>
      <c r="BR132" s="17"/>
      <c r="BS132" s="17">
        <f t="shared" si="61"/>
        <v>0.86580086580086579</v>
      </c>
      <c r="BT132" s="17"/>
      <c r="BU132" s="17">
        <f t="array" ref="BU132">SUM(IF(Period=BU$4,IF(Category=$A$125,IF(Provider=$B132,Score))))</f>
        <v>95.8</v>
      </c>
      <c r="BV132" s="17"/>
      <c r="BW132" s="20">
        <f t="array" ref="BW132">SUM(IF(Period=BU$4,IF(Category=$A$125,IF(Provider=$B132,Responses))))</f>
        <v>6</v>
      </c>
      <c r="BX132" s="20"/>
      <c r="BY132" s="17">
        <f t="shared" si="71"/>
        <v>2.3850622406639004</v>
      </c>
      <c r="BZ132" s="17"/>
      <c r="CA132" s="17">
        <f t="shared" si="62"/>
        <v>0.39723565998617827</v>
      </c>
    </row>
    <row r="133" spans="2:79" outlineLevel="1" x14ac:dyDescent="0.25">
      <c r="B133" t="s">
        <v>15</v>
      </c>
      <c r="C133" s="17">
        <v>0</v>
      </c>
      <c r="D133" s="17"/>
      <c r="E133" s="17">
        <v>0</v>
      </c>
      <c r="F133" s="17"/>
      <c r="G133" s="17">
        <v>0</v>
      </c>
      <c r="H133" s="17"/>
      <c r="I133" s="17">
        <f t="array" ref="I133">SUM(IF(Period=I$4,IF(Category=$A$125,IF(Provider=$B133,Score))))</f>
        <v>90</v>
      </c>
      <c r="J133" s="17"/>
      <c r="K133" s="20">
        <f t="array" ref="K133">SUM(IF(Period=I$4,IF(Category=$A$125,IF(Provider=$B133,Responses))))</f>
        <v>5</v>
      </c>
      <c r="L133" s="20"/>
      <c r="M133" s="17">
        <f t="shared" si="63"/>
        <v>2.2277227722772279</v>
      </c>
      <c r="N133" s="17"/>
      <c r="O133" s="17">
        <f t="shared" si="54"/>
        <v>0.37220843672456577</v>
      </c>
      <c r="P133" s="17"/>
      <c r="Q133" s="17">
        <f t="array" ref="Q133">SUM(IF(Period=Q$4,IF(Category=$A$125,IF(Provider=$B133,Score))))</f>
        <v>83.3</v>
      </c>
      <c r="R133" s="17"/>
      <c r="S133" s="20">
        <f t="array" ref="S133">SUM(IF(Period=Q$4,IF(Category=$A$125,IF(Provider=$B133,Responses))))</f>
        <v>3</v>
      </c>
      <c r="T133" s="20"/>
      <c r="U133" s="17">
        <f t="shared" si="64"/>
        <v>1.3363636363636364</v>
      </c>
      <c r="V133" s="17"/>
      <c r="W133" s="17">
        <f t="shared" si="55"/>
        <v>0.22272727272727272</v>
      </c>
      <c r="X133" s="17"/>
      <c r="Y133" s="17">
        <f t="array" ref="Y133">SUM(IF(Period=Y$4,IF(Category=$A$125,IF(Provider=$B133,Score))))</f>
        <v>0</v>
      </c>
      <c r="Z133" s="17"/>
      <c r="AA133" s="20">
        <f t="array" ref="AA133">SUM(IF(Period=Y$4,IF(Category=$A$125,IF(Provider=$B133,Responses))))</f>
        <v>0</v>
      </c>
      <c r="AB133" s="20"/>
      <c r="AC133" s="17">
        <f t="shared" si="65"/>
        <v>0</v>
      </c>
      <c r="AD133" s="17"/>
      <c r="AE133" s="17">
        <f t="shared" si="56"/>
        <v>0</v>
      </c>
      <c r="AF133" s="17"/>
      <c r="AG133" s="17">
        <f t="array" ref="AG133">SUM(IF(Period=AG$4,IF(Category=$A$125,IF(Provider=$B133,Score))))</f>
        <v>0</v>
      </c>
      <c r="AH133" s="17"/>
      <c r="AI133" s="20">
        <f t="array" ref="AI133">SUM(IF(Period=AG$4,IF(Category=$A$125,IF(Provider=$B133,Responses))))</f>
        <v>0</v>
      </c>
      <c r="AJ133" s="20"/>
      <c r="AK133" s="17">
        <f t="shared" si="66"/>
        <v>0</v>
      </c>
      <c r="AL133" s="17"/>
      <c r="AM133" s="17">
        <f t="shared" si="57"/>
        <v>0</v>
      </c>
      <c r="AN133" s="17"/>
      <c r="AO133" s="17">
        <f t="array" ref="AO133">SUM(IF(Period=AO$4,IF(Category=$A$125,IF(Provider=$B133,Score))))</f>
        <v>0</v>
      </c>
      <c r="AP133" s="17"/>
      <c r="AQ133" s="20">
        <f t="array" ref="AQ133">SUM(IF(Period=AO$4,IF(Category=$A$125,IF(Provider=$B133,Responses))))</f>
        <v>0</v>
      </c>
      <c r="AR133" s="20"/>
      <c r="AS133" s="17">
        <f t="shared" si="67"/>
        <v>0</v>
      </c>
      <c r="AT133" s="17"/>
      <c r="AU133" s="17">
        <f t="shared" si="58"/>
        <v>0</v>
      </c>
      <c r="AV133" s="17"/>
      <c r="AW133" s="17">
        <f t="array" ref="AW133">SUM(IF(Period=AW$4,IF(Category=$A$125,IF(Provider=$B133,Score))))</f>
        <v>0</v>
      </c>
      <c r="AX133" s="17"/>
      <c r="AY133" s="20">
        <f t="array" ref="AY133">SUM(IF(Period=AW$4,IF(Category=$A$125,IF(Provider=$B133,Responses))))</f>
        <v>0</v>
      </c>
      <c r="AZ133" s="20"/>
      <c r="BA133" s="17">
        <f t="shared" si="68"/>
        <v>0</v>
      </c>
      <c r="BB133" s="17"/>
      <c r="BC133" s="17">
        <f t="shared" si="59"/>
        <v>0</v>
      </c>
      <c r="BD133" s="17"/>
      <c r="BE133" s="17">
        <f t="array" ref="BE133">SUM(IF(Period=BE$4,IF(Category=$A$125,IF(Provider=$B133,Score))))</f>
        <v>0</v>
      </c>
      <c r="BF133" s="17"/>
      <c r="BG133" s="20">
        <f t="array" ref="BG133">SUM(IF(Period=BE$4,IF(Category=$A$125,IF(Provider=$B133,Responses))))</f>
        <v>0</v>
      </c>
      <c r="BH133" s="20"/>
      <c r="BI133" s="17">
        <f t="shared" si="69"/>
        <v>0</v>
      </c>
      <c r="BJ133" s="17"/>
      <c r="BK133" s="17">
        <f t="shared" si="60"/>
        <v>0</v>
      </c>
      <c r="BL133" s="17"/>
      <c r="BM133" s="17">
        <f t="array" ref="BM133">SUM(IF(Period=BM$4,IF(Category=$A$125,IF(Provider=$B133,Score))))</f>
        <v>0</v>
      </c>
      <c r="BN133" s="17"/>
      <c r="BO133" s="20">
        <f t="array" ref="BO133">SUM(IF(Period=BM$4,IF(Category=$A$125,IF(Provider=$B133,Responses))))</f>
        <v>0</v>
      </c>
      <c r="BP133" s="20"/>
      <c r="BQ133" s="17">
        <f t="shared" si="70"/>
        <v>0</v>
      </c>
      <c r="BR133" s="17"/>
      <c r="BS133" s="17">
        <f t="shared" si="61"/>
        <v>0</v>
      </c>
      <c r="BT133" s="17"/>
      <c r="BU133" s="17">
        <f t="array" ref="BU133">SUM(IF(Period=BU$4,IF(Category=$A$125,IF(Provider=$B133,Score))))</f>
        <v>0</v>
      </c>
      <c r="BV133" s="17"/>
      <c r="BW133" s="20">
        <f t="array" ref="BW133">SUM(IF(Period=BU$4,IF(Category=$A$125,IF(Provider=$B133,Responses))))</f>
        <v>0</v>
      </c>
      <c r="BX133" s="20"/>
      <c r="BY133" s="17">
        <f t="shared" si="71"/>
        <v>0</v>
      </c>
      <c r="BZ133" s="17"/>
      <c r="CA133" s="17">
        <f t="shared" si="62"/>
        <v>0</v>
      </c>
    </row>
    <row r="134" spans="2:79" outlineLevel="1" x14ac:dyDescent="0.25">
      <c r="B134" t="s">
        <v>33</v>
      </c>
      <c r="C134" s="17">
        <v>0</v>
      </c>
      <c r="D134" s="17"/>
      <c r="E134" s="17">
        <v>0</v>
      </c>
      <c r="F134" s="17"/>
      <c r="G134" s="17">
        <v>0</v>
      </c>
      <c r="H134" s="17"/>
      <c r="I134" s="17">
        <f t="array" ref="I134">SUM(IF(Period=I$4,IF(Category=$A$125,IF(Provider=$B134,Score))))</f>
        <v>78.099999999999994</v>
      </c>
      <c r="J134" s="17"/>
      <c r="K134" s="20">
        <f t="array" ref="K134">SUM(IF(Period=I$4,IF(Category=$A$125,IF(Provider=$B134,Responses))))</f>
        <v>8</v>
      </c>
      <c r="L134" s="20"/>
      <c r="M134" s="17">
        <f t="shared" si="63"/>
        <v>3.0930693069306927</v>
      </c>
      <c r="N134" s="17"/>
      <c r="O134" s="17">
        <f t="shared" si="54"/>
        <v>0.5167907361455748</v>
      </c>
      <c r="P134" s="17"/>
      <c r="Q134" s="17">
        <f t="array" ref="Q134">SUM(IF(Period=Q$4,IF(Category=$A$125,IF(Provider=$B134,Score))))</f>
        <v>68.8</v>
      </c>
      <c r="R134" s="17"/>
      <c r="S134" s="20">
        <f t="array" ref="S134">SUM(IF(Period=Q$4,IF(Category=$A$125,IF(Provider=$B134,Responses))))</f>
        <v>4</v>
      </c>
      <c r="T134" s="20"/>
      <c r="U134" s="17">
        <f t="shared" si="64"/>
        <v>1.471657754010695</v>
      </c>
      <c r="V134" s="17"/>
      <c r="W134" s="17">
        <f t="shared" si="55"/>
        <v>0.24527629233511583</v>
      </c>
      <c r="X134" s="17"/>
      <c r="Y134" s="17">
        <f t="array" ref="Y134">SUM(IF(Period=Y$4,IF(Category=$A$125,IF(Provider=$B134,Score))))</f>
        <v>85.4</v>
      </c>
      <c r="Z134" s="17"/>
      <c r="AA134" s="20">
        <f t="array" ref="AA134">SUM(IF(Period=Y$4,IF(Category=$A$125,IF(Provider=$B134,Responses))))</f>
        <v>12</v>
      </c>
      <c r="AB134" s="20"/>
      <c r="AC134" s="17">
        <f t="shared" si="65"/>
        <v>3.3821782178217825</v>
      </c>
      <c r="AD134" s="17"/>
      <c r="AE134" s="17">
        <f t="shared" si="56"/>
        <v>0.5652509652509653</v>
      </c>
      <c r="AF134" s="17"/>
      <c r="AG134" s="17">
        <f t="array" ref="AG134">SUM(IF(Period=AG$4,IF(Category=$A$125,IF(Provider=$B134,Score))))</f>
        <v>91.7</v>
      </c>
      <c r="AH134" s="17"/>
      <c r="AI134" s="20">
        <f t="array" ref="AI134">SUM(IF(Period=AG$4,IF(Category=$A$125,IF(Provider=$B134,Responses))))</f>
        <v>9</v>
      </c>
      <c r="AJ134" s="20"/>
      <c r="AK134" s="17">
        <f t="shared" si="66"/>
        <v>3.2112840466926071</v>
      </c>
      <c r="AL134" s="17"/>
      <c r="AM134" s="17">
        <f t="shared" si="57"/>
        <v>0.53452072538860107</v>
      </c>
      <c r="AN134" s="17"/>
      <c r="AO134" s="17">
        <f t="array" ref="AO134">SUM(IF(Period=AO$4,IF(Category=$A$125,IF(Provider=$B134,Score))))</f>
        <v>89.6</v>
      </c>
      <c r="AP134" s="17"/>
      <c r="AQ134" s="20">
        <f t="array" ref="AQ134">SUM(IF(Period=AO$4,IF(Category=$A$125,IF(Provider=$B134,Responses))))</f>
        <v>12</v>
      </c>
      <c r="AR134" s="20"/>
      <c r="AS134" s="17">
        <f t="shared" si="67"/>
        <v>6.2877192982456132</v>
      </c>
      <c r="AT134" s="17"/>
      <c r="AU134" s="17">
        <f t="shared" si="58"/>
        <v>1.0479532163742689</v>
      </c>
      <c r="AV134" s="17"/>
      <c r="AW134" s="17">
        <f t="array" ref="AW134">SUM(IF(Period=AW$4,IF(Category=$A$125,IF(Provider=$B134,Score))))</f>
        <v>90.6</v>
      </c>
      <c r="AX134" s="17"/>
      <c r="AY134" s="20">
        <f t="array" ref="AY134">SUM(IF(Period=AW$4,IF(Category=$A$125,IF(Provider=$B134,Responses))))</f>
        <v>8</v>
      </c>
      <c r="AZ134" s="20"/>
      <c r="BA134" s="17">
        <f t="shared" si="68"/>
        <v>3.3400921658986173</v>
      </c>
      <c r="BB134" s="17"/>
      <c r="BC134" s="17">
        <f t="shared" si="59"/>
        <v>0.5566820276497696</v>
      </c>
      <c r="BD134" s="17"/>
      <c r="BE134" s="17">
        <f t="array" ref="BE134">SUM(IF(Period=BE$4,IF(Category=$A$125,IF(Provider=$B134,Score))))</f>
        <v>75</v>
      </c>
      <c r="BF134" s="17"/>
      <c r="BG134" s="20">
        <f t="array" ref="BG134">SUM(IF(Period=BE$4,IF(Category=$A$125,IF(Provider=$B134,Responses))))</f>
        <v>4</v>
      </c>
      <c r="BH134" s="20"/>
      <c r="BI134" s="17">
        <f t="shared" si="69"/>
        <v>1.271186440677966</v>
      </c>
      <c r="BJ134" s="17"/>
      <c r="BK134" s="17">
        <f t="shared" si="60"/>
        <v>0.21201413427561835</v>
      </c>
      <c r="BL134" s="17"/>
      <c r="BM134" s="17">
        <f t="array" ref="BM134">SUM(IF(Period=BM$4,IF(Category=$A$125,IF(Provider=$B134,Score))))</f>
        <v>76.900000000000006</v>
      </c>
      <c r="BN134" s="17"/>
      <c r="BO134" s="20">
        <f t="array" ref="BO134">SUM(IF(Period=BM$4,IF(Category=$A$125,IF(Provider=$B134,Responses))))</f>
        <v>13</v>
      </c>
      <c r="BP134" s="20"/>
      <c r="BQ134" s="17">
        <f t="shared" si="70"/>
        <v>4.3090517241379311</v>
      </c>
      <c r="BR134" s="17"/>
      <c r="BS134" s="17">
        <f t="shared" si="61"/>
        <v>0.72128427128427142</v>
      </c>
      <c r="BT134" s="17"/>
      <c r="BU134" s="17">
        <f t="array" ref="BU134">SUM(IF(Period=BU$4,IF(Category=$A$125,IF(Provider=$B134,Score))))</f>
        <v>77.8</v>
      </c>
      <c r="BV134" s="17"/>
      <c r="BW134" s="20">
        <f t="array" ref="BW134">SUM(IF(Period=BU$4,IF(Category=$A$125,IF(Provider=$B134,Responses))))</f>
        <v>9</v>
      </c>
      <c r="BX134" s="20"/>
      <c r="BY134" s="17">
        <f t="shared" si="71"/>
        <v>2.9053941908713692</v>
      </c>
      <c r="BZ134" s="17"/>
      <c r="CA134" s="17">
        <f t="shared" si="62"/>
        <v>0.48389771941948861</v>
      </c>
    </row>
    <row r="135" spans="2:79" outlineLevel="1" x14ac:dyDescent="0.25">
      <c r="B135" t="s">
        <v>18</v>
      </c>
      <c r="C135" s="17">
        <v>0</v>
      </c>
      <c r="D135" s="17"/>
      <c r="E135" s="17">
        <v>0</v>
      </c>
      <c r="F135" s="17"/>
      <c r="G135" s="17">
        <v>0</v>
      </c>
      <c r="H135" s="17"/>
      <c r="I135" s="17">
        <f t="array" ref="I135">SUM(IF(Period=I$4,IF(Category=$A$125,IF(Provider=$B135,Score))))</f>
        <v>93.8</v>
      </c>
      <c r="J135" s="17"/>
      <c r="K135" s="20">
        <f t="array" ref="K135">SUM(IF(Period=I$4,IF(Category=$A$125,IF(Provider=$B135,Responses))))</f>
        <v>8</v>
      </c>
      <c r="L135" s="20"/>
      <c r="M135" s="17">
        <f t="shared" si="63"/>
        <v>3.7148514851485146</v>
      </c>
      <c r="N135" s="17"/>
      <c r="O135" s="17">
        <f t="shared" si="54"/>
        <v>0.62067824648469805</v>
      </c>
      <c r="P135" s="17"/>
      <c r="Q135" s="17">
        <f t="array" ref="Q135">SUM(IF(Period=Q$4,IF(Category=$A$125,IF(Provider=$B135,Score))))</f>
        <v>75</v>
      </c>
      <c r="R135" s="17"/>
      <c r="S135" s="20">
        <f t="array" ref="S135">SUM(IF(Period=Q$4,IF(Category=$A$125,IF(Provider=$B135,Responses))))</f>
        <v>9</v>
      </c>
      <c r="T135" s="20"/>
      <c r="U135" s="17">
        <f t="shared" si="64"/>
        <v>3.6096256684491976</v>
      </c>
      <c r="V135" s="17"/>
      <c r="W135" s="17">
        <f t="shared" si="55"/>
        <v>0.60160427807486638</v>
      </c>
      <c r="X135" s="17"/>
      <c r="Y135" s="17">
        <f t="array" ref="Y135">SUM(IF(Period=Y$4,IF(Category=$A$125,IF(Provider=$B135,Score))))</f>
        <v>80.8</v>
      </c>
      <c r="Z135" s="17"/>
      <c r="AA135" s="20">
        <f t="array" ref="AA135">SUM(IF(Period=Y$4,IF(Category=$A$125,IF(Provider=$B135,Responses))))</f>
        <v>13</v>
      </c>
      <c r="AB135" s="20"/>
      <c r="AC135" s="17">
        <f t="shared" si="65"/>
        <v>3.4666666666666663</v>
      </c>
      <c r="AD135" s="17"/>
      <c r="AE135" s="17">
        <f t="shared" si="56"/>
        <v>0.57937120794263652</v>
      </c>
      <c r="AF135" s="17"/>
      <c r="AG135" s="17">
        <f t="array" ref="AG135">SUM(IF(Period=AG$4,IF(Category=$A$125,IF(Provider=$B135,Score))))</f>
        <v>100</v>
      </c>
      <c r="AH135" s="17"/>
      <c r="AI135" s="20">
        <f t="array" ref="AI135">SUM(IF(Period=AG$4,IF(Category=$A$125,IF(Provider=$B135,Responses))))</f>
        <v>10</v>
      </c>
      <c r="AJ135" s="20"/>
      <c r="AK135" s="17">
        <f t="shared" si="66"/>
        <v>3.8910505836575875</v>
      </c>
      <c r="AL135" s="17"/>
      <c r="AM135" s="17">
        <f t="shared" si="57"/>
        <v>0.64766839378238339</v>
      </c>
      <c r="AN135" s="17"/>
      <c r="AO135" s="17">
        <f t="array" ref="AO135">SUM(IF(Period=AO$4,IF(Category=$A$125,IF(Provider=$B135,Score))))</f>
        <v>100</v>
      </c>
      <c r="AP135" s="17"/>
      <c r="AQ135" s="20">
        <f t="array" ref="AQ135">SUM(IF(Period=AO$4,IF(Category=$A$125,IF(Provider=$B135,Responses))))</f>
        <v>8</v>
      </c>
      <c r="AR135" s="20"/>
      <c r="AS135" s="17">
        <f t="shared" si="67"/>
        <v>4.6783625730994149</v>
      </c>
      <c r="AT135" s="17"/>
      <c r="AU135" s="17">
        <f t="shared" si="58"/>
        <v>0.77972709551656916</v>
      </c>
      <c r="AV135" s="17"/>
      <c r="AW135" s="17">
        <f t="array" ref="AW135">SUM(IF(Period=AW$4,IF(Category=$A$125,IF(Provider=$B135,Score))))</f>
        <v>96.4</v>
      </c>
      <c r="AX135" s="17"/>
      <c r="AY135" s="20">
        <f t="array" ref="AY135">SUM(IF(Period=AW$4,IF(Category=$A$125,IF(Provider=$B135,Responses))))</f>
        <v>14</v>
      </c>
      <c r="AZ135" s="20"/>
      <c r="BA135" s="17">
        <f t="shared" si="68"/>
        <v>6.2193548387096778</v>
      </c>
      <c r="BB135" s="17"/>
      <c r="BC135" s="17">
        <f t="shared" si="59"/>
        <v>1.0365591397849463</v>
      </c>
      <c r="BD135" s="17"/>
      <c r="BE135" s="17">
        <f t="array" ref="BE135">SUM(IF(Period=BE$4,IF(Category=$A$125,IF(Provider=$B135,Score))))</f>
        <v>100</v>
      </c>
      <c r="BF135" s="17"/>
      <c r="BG135" s="20">
        <f t="array" ref="BG135">SUM(IF(Period=BE$4,IF(Category=$A$125,IF(Provider=$B135,Responses))))</f>
        <v>11</v>
      </c>
      <c r="BH135" s="20"/>
      <c r="BI135" s="17">
        <f t="shared" si="69"/>
        <v>4.6610169491525424</v>
      </c>
      <c r="BJ135" s="17"/>
      <c r="BK135" s="17">
        <f t="shared" si="60"/>
        <v>0.77738515901060079</v>
      </c>
      <c r="BL135" s="17"/>
      <c r="BM135" s="17">
        <f t="array" ref="BM135">SUM(IF(Period=BM$4,IF(Category=$A$125,IF(Provider=$B135,Score))))</f>
        <v>92.9</v>
      </c>
      <c r="BN135" s="17"/>
      <c r="BO135" s="20">
        <f t="array" ref="BO135">SUM(IF(Period=BM$4,IF(Category=$A$125,IF(Provider=$B135,Responses))))</f>
        <v>7</v>
      </c>
      <c r="BP135" s="20"/>
      <c r="BQ135" s="17">
        <f t="shared" si="70"/>
        <v>2.8030172413793109</v>
      </c>
      <c r="BR135" s="17"/>
      <c r="BS135" s="17">
        <f t="shared" si="61"/>
        <v>0.46919191919191927</v>
      </c>
      <c r="BT135" s="17"/>
      <c r="BU135" s="17">
        <f t="array" ref="BU135">SUM(IF(Period=BU$4,IF(Category=$A$125,IF(Provider=$B135,Score))))</f>
        <v>94.6</v>
      </c>
      <c r="BV135" s="17"/>
      <c r="BW135" s="20">
        <f t="array" ref="BW135">SUM(IF(Period=BU$4,IF(Category=$A$125,IF(Provider=$B135,Responses))))</f>
        <v>14</v>
      </c>
      <c r="BX135" s="20"/>
      <c r="BY135" s="17">
        <f t="shared" si="71"/>
        <v>5.4954356846473029</v>
      </c>
      <c r="BZ135" s="17"/>
      <c r="CA135" s="17">
        <f t="shared" si="62"/>
        <v>0.91527297857636492</v>
      </c>
    </row>
    <row r="136" spans="2:79" outlineLevel="1" x14ac:dyDescent="0.25">
      <c r="B136" t="s">
        <v>16</v>
      </c>
      <c r="C136" s="17">
        <v>0</v>
      </c>
      <c r="D136" s="17"/>
      <c r="E136" s="17">
        <v>0</v>
      </c>
      <c r="F136" s="17"/>
      <c r="G136" s="17">
        <v>0</v>
      </c>
      <c r="H136" s="17"/>
      <c r="I136" s="17">
        <f t="array" ref="I136">SUM(IF(Period=I$4,IF(Category=$A$125,IF(Provider=$B136,Score))))</f>
        <v>93.8</v>
      </c>
      <c r="J136" s="17"/>
      <c r="K136" s="20">
        <f t="array" ref="K136">SUM(IF(Period=I$4,IF(Category=$A$125,IF(Provider=$B136,Responses))))</f>
        <v>4</v>
      </c>
      <c r="L136" s="20"/>
      <c r="M136" s="17">
        <f t="shared" si="63"/>
        <v>1.8574257425742573</v>
      </c>
      <c r="N136" s="17"/>
      <c r="O136" s="17">
        <f t="shared" si="54"/>
        <v>0.31033912324234902</v>
      </c>
      <c r="P136" s="17"/>
      <c r="Q136" s="17">
        <f t="array" ref="Q136">SUM(IF(Period=Q$4,IF(Category=$A$125,IF(Provider=$B136,Score))))</f>
        <v>100</v>
      </c>
      <c r="R136" s="17"/>
      <c r="S136" s="20">
        <f t="array" ref="S136">SUM(IF(Period=Q$4,IF(Category=$A$125,IF(Provider=$B136,Responses))))</f>
        <v>4</v>
      </c>
      <c r="T136" s="20"/>
      <c r="U136" s="17">
        <f t="shared" si="64"/>
        <v>2.1390374331550799</v>
      </c>
      <c r="V136" s="17"/>
      <c r="W136" s="17">
        <f t="shared" si="55"/>
        <v>0.35650623885918004</v>
      </c>
      <c r="X136" s="17"/>
      <c r="Y136" s="17">
        <f t="array" ref="Y136">SUM(IF(Period=Y$4,IF(Category=$A$125,IF(Provider=$B136,Score))))</f>
        <v>95</v>
      </c>
      <c r="Z136" s="17"/>
      <c r="AA136" s="20">
        <f t="array" ref="AA136">SUM(IF(Period=Y$4,IF(Category=$A$125,IF(Provider=$B136,Responses))))</f>
        <v>5</v>
      </c>
      <c r="AB136" s="20"/>
      <c r="AC136" s="17">
        <f t="shared" si="65"/>
        <v>1.5676567656765674</v>
      </c>
      <c r="AD136" s="17"/>
      <c r="AE136" s="17">
        <f t="shared" si="56"/>
        <v>0.26199669056811914</v>
      </c>
      <c r="AF136" s="17"/>
      <c r="AG136" s="17">
        <f t="array" ref="AG136">SUM(IF(Period=AG$4,IF(Category=$A$125,IF(Provider=$B136,Score))))</f>
        <v>93.8</v>
      </c>
      <c r="AH136" s="17"/>
      <c r="AI136" s="20">
        <f t="array" ref="AI136">SUM(IF(Period=AG$4,IF(Category=$A$125,IF(Provider=$B136,Responses))))</f>
        <v>4</v>
      </c>
      <c r="AJ136" s="20"/>
      <c r="AK136" s="17">
        <f t="shared" si="66"/>
        <v>1.4599221789883268</v>
      </c>
      <c r="AL136" s="17"/>
      <c r="AM136" s="17">
        <f t="shared" si="57"/>
        <v>0.24300518134715027</v>
      </c>
      <c r="AN136" s="17"/>
      <c r="AO136" s="17">
        <f t="array" ref="AO136">SUM(IF(Period=AO$4,IF(Category=$A$125,IF(Provider=$B136,Score))))</f>
        <v>75</v>
      </c>
      <c r="AP136" s="17"/>
      <c r="AQ136" s="20">
        <f t="array" ref="AQ136">SUM(IF(Period=AO$4,IF(Category=$A$125,IF(Provider=$B136,Responses))))</f>
        <v>2</v>
      </c>
      <c r="AR136" s="20"/>
      <c r="AS136" s="17">
        <f t="shared" si="67"/>
        <v>0.8771929824561403</v>
      </c>
      <c r="AT136" s="17"/>
      <c r="AU136" s="17">
        <f t="shared" si="58"/>
        <v>0.14619883040935672</v>
      </c>
      <c r="AV136" s="17"/>
      <c r="AW136" s="17">
        <f t="array" ref="AW136">SUM(IF(Period=AW$4,IF(Category=$A$125,IF(Provider=$B136,Score))))</f>
        <v>80</v>
      </c>
      <c r="AX136" s="17"/>
      <c r="AY136" s="20">
        <f t="array" ref="AY136">SUM(IF(Period=AW$4,IF(Category=$A$125,IF(Provider=$B136,Responses))))</f>
        <v>5</v>
      </c>
      <c r="AZ136" s="20"/>
      <c r="BA136" s="17">
        <f t="shared" si="68"/>
        <v>1.8433179723502304</v>
      </c>
      <c r="BB136" s="17"/>
      <c r="BC136" s="17">
        <f t="shared" si="59"/>
        <v>0.30721966205837176</v>
      </c>
      <c r="BD136" s="17"/>
      <c r="BE136" s="17">
        <f t="array" ref="BE136">SUM(IF(Period=BE$4,IF(Category=$A$125,IF(Provider=$B136,Score))))</f>
        <v>87.5</v>
      </c>
      <c r="BF136" s="17"/>
      <c r="BG136" s="20">
        <f t="array" ref="BG136">SUM(IF(Period=BE$4,IF(Category=$A$125,IF(Provider=$B136,Responses))))</f>
        <v>2</v>
      </c>
      <c r="BH136" s="20"/>
      <c r="BI136" s="17">
        <f t="shared" si="69"/>
        <v>0.74152542372881358</v>
      </c>
      <c r="BJ136" s="17"/>
      <c r="BK136" s="17">
        <f t="shared" si="60"/>
        <v>0.12367491166077738</v>
      </c>
      <c r="BL136" s="17"/>
      <c r="BM136" s="17">
        <f t="array" ref="BM136">SUM(IF(Period=BM$4,IF(Category=$A$125,IF(Provider=$B136,Score))))</f>
        <v>100</v>
      </c>
      <c r="BN136" s="17"/>
      <c r="BO136" s="20">
        <f t="array" ref="BO136">SUM(IF(Period=BM$4,IF(Category=$A$125,IF(Provider=$B136,Responses))))</f>
        <v>3</v>
      </c>
      <c r="BP136" s="20"/>
      <c r="BQ136" s="17">
        <f t="shared" si="70"/>
        <v>1.2931034482758621</v>
      </c>
      <c r="BR136" s="17"/>
      <c r="BS136" s="17">
        <f t="shared" si="61"/>
        <v>0.21645021645021645</v>
      </c>
      <c r="BT136" s="17"/>
      <c r="BU136" s="17">
        <f t="array" ref="BU136">SUM(IF(Period=BU$4,IF(Category=$A$125,IF(Provider=$B136,Score))))</f>
        <v>78.599999999999994</v>
      </c>
      <c r="BV136" s="17"/>
      <c r="BW136" s="20">
        <f t="array" ref="BW136">SUM(IF(Period=BU$4,IF(Category=$A$125,IF(Provider=$B136,Responses))))</f>
        <v>7</v>
      </c>
      <c r="BX136" s="20"/>
      <c r="BY136" s="17">
        <f t="shared" si="71"/>
        <v>2.2829875518672198</v>
      </c>
      <c r="BZ136" s="17"/>
      <c r="CA136" s="17">
        <f t="shared" si="62"/>
        <v>0.38023496890117486</v>
      </c>
    </row>
    <row r="137" spans="2:79" outlineLevel="1" x14ac:dyDescent="0.25">
      <c r="B137" t="s">
        <v>24</v>
      </c>
      <c r="C137" s="17">
        <v>0</v>
      </c>
      <c r="D137" s="17"/>
      <c r="E137" s="17">
        <v>0</v>
      </c>
      <c r="F137" s="17"/>
      <c r="G137" s="17">
        <v>0</v>
      </c>
      <c r="H137" s="17"/>
      <c r="I137" s="17">
        <f t="array" ref="I137">SUM(IF(Period=I$4,IF(Category=$A$125,IF(Provider=$B137,Score))))</f>
        <v>88.6</v>
      </c>
      <c r="J137" s="17"/>
      <c r="K137" s="20">
        <f t="array" ref="K137">SUM(IF(Period=I$4,IF(Category=$A$125,IF(Provider=$B137,Responses))))</f>
        <v>11</v>
      </c>
      <c r="L137" s="20"/>
      <c r="M137" s="17">
        <f t="shared" si="63"/>
        <v>4.8247524752475242</v>
      </c>
      <c r="N137" s="17"/>
      <c r="O137" s="17">
        <f t="shared" si="54"/>
        <v>0.80612076095947072</v>
      </c>
      <c r="P137" s="17"/>
      <c r="Q137" s="17">
        <f t="array" ref="Q137">SUM(IF(Period=Q$4,IF(Category=$A$125,IF(Provider=$B137,Score))))</f>
        <v>86.1</v>
      </c>
      <c r="R137" s="17"/>
      <c r="S137" s="20">
        <f t="array" ref="S137">SUM(IF(Period=Q$4,IF(Category=$A$125,IF(Provider=$B137,Responses))))</f>
        <v>9</v>
      </c>
      <c r="T137" s="20"/>
      <c r="U137" s="17">
        <f t="shared" si="64"/>
        <v>4.1438502673796789</v>
      </c>
      <c r="V137" s="17"/>
      <c r="W137" s="17">
        <f t="shared" si="55"/>
        <v>0.69064171122994655</v>
      </c>
      <c r="X137" s="17"/>
      <c r="Y137" s="17">
        <f t="array" ref="Y137">SUM(IF(Period=Y$4,IF(Category=$A$125,IF(Provider=$B137,Score))))</f>
        <v>84.7</v>
      </c>
      <c r="Z137" s="17"/>
      <c r="AA137" s="20">
        <f t="array" ref="AA137">SUM(IF(Period=Y$4,IF(Category=$A$125,IF(Provider=$B137,Responses))))</f>
        <v>18</v>
      </c>
      <c r="AB137" s="20"/>
      <c r="AC137" s="17">
        <f t="shared" si="65"/>
        <v>5.0316831683168317</v>
      </c>
      <c r="AD137" s="17"/>
      <c r="AE137" s="17">
        <f t="shared" si="56"/>
        <v>0.84092664092664093</v>
      </c>
      <c r="AF137" s="17"/>
      <c r="AG137" s="17">
        <f t="array" ref="AG137">SUM(IF(Period=AG$4,IF(Category=$A$125,IF(Provider=$B137,Score))))</f>
        <v>89.1</v>
      </c>
      <c r="AH137" s="17"/>
      <c r="AI137" s="20">
        <f t="array" ref="AI137">SUM(IF(Period=AG$4,IF(Category=$A$125,IF(Provider=$B137,Responses))))</f>
        <v>16</v>
      </c>
      <c r="AJ137" s="20"/>
      <c r="AK137" s="17">
        <f t="shared" si="66"/>
        <v>5.5470817120622566</v>
      </c>
      <c r="AL137" s="17"/>
      <c r="AM137" s="17">
        <f t="shared" si="57"/>
        <v>0.9233160621761658</v>
      </c>
      <c r="AN137" s="17"/>
      <c r="AO137" s="17">
        <f t="array" ref="AO137">SUM(IF(Period=AO$4,IF(Category=$A$125,IF(Provider=$B137,Score))))</f>
        <v>89.6</v>
      </c>
      <c r="AP137" s="17"/>
      <c r="AQ137" s="20">
        <f t="array" ref="AQ137">SUM(IF(Period=AO$4,IF(Category=$A$125,IF(Provider=$B137,Responses))))</f>
        <v>12</v>
      </c>
      <c r="AR137" s="20"/>
      <c r="AS137" s="17">
        <f t="shared" si="67"/>
        <v>6.2877192982456132</v>
      </c>
      <c r="AT137" s="17"/>
      <c r="AU137" s="17">
        <f t="shared" si="58"/>
        <v>1.0479532163742689</v>
      </c>
      <c r="AV137" s="17"/>
      <c r="AW137" s="17">
        <f t="array" ref="AW137">SUM(IF(Period=AW$4,IF(Category=$A$125,IF(Provider=$B137,Score))))</f>
        <v>95</v>
      </c>
      <c r="AX137" s="17"/>
      <c r="AY137" s="20">
        <f t="array" ref="AY137">SUM(IF(Period=AW$4,IF(Category=$A$125,IF(Provider=$B137,Responses))))</f>
        <v>10</v>
      </c>
      <c r="AZ137" s="20"/>
      <c r="BA137" s="17">
        <f t="shared" si="68"/>
        <v>4.3778801843317972</v>
      </c>
      <c r="BB137" s="17"/>
      <c r="BC137" s="17">
        <f t="shared" si="59"/>
        <v>0.72964669738863286</v>
      </c>
      <c r="BD137" s="17"/>
      <c r="BE137" s="17">
        <f t="array" ref="BE137">SUM(IF(Period=BE$4,IF(Category=$A$125,IF(Provider=$B137,Score))))</f>
        <v>96.9</v>
      </c>
      <c r="BF137" s="17"/>
      <c r="BG137" s="20">
        <f t="array" ref="BG137">SUM(IF(Period=BE$4,IF(Category=$A$125,IF(Provider=$B137,Responses))))</f>
        <v>8</v>
      </c>
      <c r="BH137" s="20"/>
      <c r="BI137" s="17">
        <f t="shared" si="69"/>
        <v>3.2847457627118648</v>
      </c>
      <c r="BJ137" s="17"/>
      <c r="BK137" s="17">
        <f t="shared" si="60"/>
        <v>0.54784452296819786</v>
      </c>
      <c r="BL137" s="17"/>
      <c r="BM137" s="17">
        <f t="array" ref="BM137">SUM(IF(Period=BM$4,IF(Category=$A$125,IF(Provider=$B137,Score))))</f>
        <v>100</v>
      </c>
      <c r="BN137" s="17"/>
      <c r="BO137" s="20">
        <f t="array" ref="BO137">SUM(IF(Period=BM$4,IF(Category=$A$125,IF(Provider=$B137,Responses))))</f>
        <v>9</v>
      </c>
      <c r="BP137" s="20"/>
      <c r="BQ137" s="17">
        <f t="shared" si="70"/>
        <v>3.8793103448275863</v>
      </c>
      <c r="BR137" s="17"/>
      <c r="BS137" s="17">
        <f t="shared" si="61"/>
        <v>0.64935064935064934</v>
      </c>
      <c r="BT137" s="17"/>
      <c r="BU137" s="17">
        <f t="array" ref="BU137">SUM(IF(Period=BU$4,IF(Category=$A$125,IF(Provider=$B137,Score))))</f>
        <v>100</v>
      </c>
      <c r="BV137" s="17"/>
      <c r="BW137" s="20">
        <f t="array" ref="BW137">SUM(IF(Period=BU$4,IF(Category=$A$125,IF(Provider=$B137,Responses))))</f>
        <v>7</v>
      </c>
      <c r="BX137" s="20"/>
      <c r="BY137" s="17">
        <f t="shared" si="71"/>
        <v>2.904564315352697</v>
      </c>
      <c r="BZ137" s="17"/>
      <c r="CA137" s="17">
        <f t="shared" si="62"/>
        <v>0.48375950241879756</v>
      </c>
    </row>
    <row r="138" spans="2:79" outlineLevel="1" x14ac:dyDescent="0.25">
      <c r="B138" t="s">
        <v>32</v>
      </c>
      <c r="C138" s="17">
        <v>0</v>
      </c>
      <c r="D138" s="17"/>
      <c r="E138" s="17">
        <v>0</v>
      </c>
      <c r="F138" s="17"/>
      <c r="G138" s="17">
        <v>0</v>
      </c>
      <c r="H138" s="17"/>
      <c r="I138" s="17">
        <f t="array" ref="I138">SUM(IF(Period=I$4,IF(Category=$A$125,IF(Provider=$B138,Score))))</f>
        <v>80.599999999999994</v>
      </c>
      <c r="J138" s="17"/>
      <c r="K138" s="20">
        <f t="array" ref="K138">SUM(IF(Period=I$4,IF(Category=$A$125,IF(Provider=$B138,Responses))))</f>
        <v>9</v>
      </c>
      <c r="L138" s="20"/>
      <c r="M138" s="17">
        <f t="shared" si="63"/>
        <v>3.5910891089108907</v>
      </c>
      <c r="N138" s="17"/>
      <c r="O138" s="17">
        <f t="shared" si="54"/>
        <v>0.6</v>
      </c>
      <c r="P138" s="17"/>
      <c r="Q138" s="17">
        <f t="array" ref="Q138">SUM(IF(Period=Q$4,IF(Category=$A$125,IF(Provider=$B138,Score))))</f>
        <v>100</v>
      </c>
      <c r="R138" s="17"/>
      <c r="S138" s="20">
        <f t="array" ref="S138">SUM(IF(Period=Q$4,IF(Category=$A$125,IF(Provider=$B138,Responses))))</f>
        <v>3</v>
      </c>
      <c r="T138" s="20"/>
      <c r="U138" s="17">
        <f t="shared" si="64"/>
        <v>1.6042780748663104</v>
      </c>
      <c r="V138" s="17"/>
      <c r="W138" s="17">
        <f t="shared" si="55"/>
        <v>0.26737967914438499</v>
      </c>
      <c r="X138" s="17"/>
      <c r="Y138" s="17">
        <f t="array" ref="Y138">SUM(IF(Period=Y$4,IF(Category=$A$125,IF(Provider=$B138,Score))))</f>
        <v>59.4</v>
      </c>
      <c r="Z138" s="17"/>
      <c r="AA138" s="20">
        <f t="array" ref="AA138">SUM(IF(Period=Y$4,IF(Category=$A$125,IF(Provider=$B138,Responses))))</f>
        <v>8</v>
      </c>
      <c r="AB138" s="20"/>
      <c r="AC138" s="17">
        <f t="shared" si="65"/>
        <v>1.5683168316831684</v>
      </c>
      <c r="AD138" s="17"/>
      <c r="AE138" s="17">
        <f t="shared" si="56"/>
        <v>0.26210700496414785</v>
      </c>
      <c r="AF138" s="17"/>
      <c r="AG138" s="17">
        <f t="array" ref="AG138">SUM(IF(Period=AG$4,IF(Category=$A$125,IF(Provider=$B138,Score))))</f>
        <v>78.099999999999994</v>
      </c>
      <c r="AH138" s="17"/>
      <c r="AI138" s="20">
        <f t="array" ref="AI138">SUM(IF(Period=AG$4,IF(Category=$A$125,IF(Provider=$B138,Responses))))</f>
        <v>8</v>
      </c>
      <c r="AJ138" s="20"/>
      <c r="AK138" s="17">
        <f t="shared" si="66"/>
        <v>2.4311284046692605</v>
      </c>
      <c r="AL138" s="17"/>
      <c r="AM138" s="17">
        <f t="shared" si="57"/>
        <v>0.40466321243523312</v>
      </c>
      <c r="AN138" s="17"/>
      <c r="AO138" s="17">
        <f t="array" ref="AO138">SUM(IF(Period=AO$4,IF(Category=$A$125,IF(Provider=$B138,Score))))</f>
        <v>83.3</v>
      </c>
      <c r="AP138" s="17"/>
      <c r="AQ138" s="20">
        <f t="array" ref="AQ138">SUM(IF(Period=AO$4,IF(Category=$A$125,IF(Provider=$B138,Responses))))</f>
        <v>3</v>
      </c>
      <c r="AR138" s="20"/>
      <c r="AS138" s="17">
        <f t="shared" si="67"/>
        <v>1.4614035087719297</v>
      </c>
      <c r="AT138" s="17"/>
      <c r="AU138" s="17">
        <f t="shared" si="58"/>
        <v>0.24356725146198829</v>
      </c>
      <c r="AV138" s="17"/>
      <c r="AW138" s="17">
        <f t="array" ref="AW138">SUM(IF(Period=AW$4,IF(Category=$A$125,IF(Provider=$B138,Score))))</f>
        <v>92.9</v>
      </c>
      <c r="AX138" s="17"/>
      <c r="AY138" s="20">
        <f t="array" ref="AY138">SUM(IF(Period=AW$4,IF(Category=$A$125,IF(Provider=$B138,Responses))))</f>
        <v>7</v>
      </c>
      <c r="AZ138" s="20"/>
      <c r="BA138" s="17">
        <f t="shared" si="68"/>
        <v>2.9967741935483874</v>
      </c>
      <c r="BB138" s="17"/>
      <c r="BC138" s="17">
        <f t="shared" si="59"/>
        <v>0.49946236559139789</v>
      </c>
      <c r="BD138" s="17"/>
      <c r="BE138" s="17">
        <f t="array" ref="BE138">SUM(IF(Period=BE$4,IF(Category=$A$125,IF(Provider=$B138,Score))))</f>
        <v>87.5</v>
      </c>
      <c r="BF138" s="17"/>
      <c r="BG138" s="20">
        <f t="array" ref="BG138">SUM(IF(Period=BE$4,IF(Category=$A$125,IF(Provider=$B138,Responses))))</f>
        <v>6</v>
      </c>
      <c r="BH138" s="20"/>
      <c r="BI138" s="17">
        <f t="shared" si="69"/>
        <v>2.2245762711864407</v>
      </c>
      <c r="BJ138" s="17"/>
      <c r="BK138" s="17">
        <f t="shared" si="60"/>
        <v>0.37102473498233213</v>
      </c>
      <c r="BL138" s="17"/>
      <c r="BM138" s="17">
        <f t="array" ref="BM138">SUM(IF(Period=BM$4,IF(Category=$A$125,IF(Provider=$B138,Score))))</f>
        <v>100</v>
      </c>
      <c r="BN138" s="17"/>
      <c r="BO138" s="20">
        <f t="array" ref="BO138">SUM(IF(Period=BM$4,IF(Category=$A$125,IF(Provider=$B138,Responses))))</f>
        <v>7</v>
      </c>
      <c r="BP138" s="20"/>
      <c r="BQ138" s="17">
        <f t="shared" si="70"/>
        <v>3.0172413793103448</v>
      </c>
      <c r="BR138" s="17"/>
      <c r="BS138" s="17">
        <f t="shared" si="61"/>
        <v>0.50505050505050508</v>
      </c>
      <c r="BT138" s="17"/>
      <c r="BU138" s="17">
        <f t="array" ref="BU138">SUM(IF(Period=BU$4,IF(Category=$A$125,IF(Provider=$B138,Score))))</f>
        <v>75</v>
      </c>
      <c r="BV138" s="17"/>
      <c r="BW138" s="20">
        <f t="array" ref="BW138">SUM(IF(Period=BU$4,IF(Category=$A$125,IF(Provider=$B138,Responses))))</f>
        <v>8</v>
      </c>
      <c r="BX138" s="20"/>
      <c r="BY138" s="17">
        <f t="shared" si="71"/>
        <v>2.4896265560165975</v>
      </c>
      <c r="BZ138" s="17"/>
      <c r="CA138" s="17">
        <f t="shared" si="62"/>
        <v>0.414651002073255</v>
      </c>
    </row>
    <row r="139" spans="2:79" outlineLevel="1" x14ac:dyDescent="0.25">
      <c r="B139" t="s">
        <v>35</v>
      </c>
      <c r="C139" s="17">
        <v>0</v>
      </c>
      <c r="D139" s="17"/>
      <c r="E139" s="17">
        <v>0</v>
      </c>
      <c r="F139" s="17"/>
      <c r="G139" s="17">
        <v>0</v>
      </c>
      <c r="H139" s="17"/>
      <c r="I139" s="17">
        <f t="array" ref="I139">SUM(IF(Period=I$4,IF(Category=$A$125,IF(Provider=$B139,Score))))</f>
        <v>75</v>
      </c>
      <c r="J139" s="17"/>
      <c r="K139" s="20">
        <f t="array" ref="K139">SUM(IF(Period=I$4,IF(Category=$A$125,IF(Provider=$B139,Responses))))</f>
        <v>1</v>
      </c>
      <c r="L139" s="20"/>
      <c r="M139" s="17">
        <f t="shared" si="63"/>
        <v>0.37128712871287128</v>
      </c>
      <c r="N139" s="17"/>
      <c r="O139" s="17">
        <f t="shared" si="54"/>
        <v>6.2034739454094295E-2</v>
      </c>
      <c r="P139" s="17"/>
      <c r="Q139" s="17">
        <f t="array" ref="Q139">SUM(IF(Period=Q$4,IF(Category=$A$125,IF(Provider=$B139,Score))))</f>
        <v>0</v>
      </c>
      <c r="R139" s="17"/>
      <c r="S139" s="20">
        <f t="array" ref="S139">SUM(IF(Period=Q$4,IF(Category=$A$125,IF(Provider=$B139,Responses))))</f>
        <v>0</v>
      </c>
      <c r="T139" s="20"/>
      <c r="U139" s="17">
        <f t="shared" si="64"/>
        <v>0</v>
      </c>
      <c r="V139" s="17"/>
      <c r="W139" s="17">
        <f t="shared" si="55"/>
        <v>0</v>
      </c>
      <c r="X139" s="17"/>
      <c r="Y139" s="17">
        <f t="array" ref="Y139">SUM(IF(Period=Y$4,IF(Category=$A$125,IF(Provider=$B139,Score))))</f>
        <v>81.3</v>
      </c>
      <c r="Z139" s="17"/>
      <c r="AA139" s="20">
        <f t="array" ref="AA139">SUM(IF(Period=Y$4,IF(Category=$A$125,IF(Provider=$B139,Responses))))</f>
        <v>4</v>
      </c>
      <c r="AB139" s="20"/>
      <c r="AC139" s="17">
        <f t="shared" si="65"/>
        <v>1.0732673267326733</v>
      </c>
      <c r="AD139" s="17"/>
      <c r="AE139" s="17">
        <f t="shared" si="56"/>
        <v>0.17937120794263653</v>
      </c>
      <c r="AF139" s="17"/>
      <c r="AG139" s="17">
        <f t="array" ref="AG139">SUM(IF(Period=AG$4,IF(Category=$A$125,IF(Provider=$B139,Score))))</f>
        <v>100</v>
      </c>
      <c r="AH139" s="17"/>
      <c r="AI139" s="20">
        <f t="array" ref="AI139">SUM(IF(Period=AG$4,IF(Category=$A$125,IF(Provider=$B139,Responses))))</f>
        <v>1</v>
      </c>
      <c r="AJ139" s="20"/>
      <c r="AK139" s="17">
        <f t="shared" si="66"/>
        <v>0.38910505836575876</v>
      </c>
      <c r="AL139" s="17"/>
      <c r="AM139" s="17">
        <f t="shared" si="57"/>
        <v>6.476683937823835E-2</v>
      </c>
      <c r="AN139" s="17"/>
      <c r="AO139" s="17">
        <f t="array" ref="AO139">SUM(IF(Period=AO$4,IF(Category=$A$125,IF(Provider=$B139,Score))))</f>
        <v>62.5</v>
      </c>
      <c r="AP139" s="17"/>
      <c r="AQ139" s="20">
        <f t="array" ref="AQ139">SUM(IF(Period=AO$4,IF(Category=$A$125,IF(Provider=$B139,Responses))))</f>
        <v>2</v>
      </c>
      <c r="AR139" s="20"/>
      <c r="AS139" s="17">
        <f t="shared" si="67"/>
        <v>0.73099415204678353</v>
      </c>
      <c r="AT139" s="17"/>
      <c r="AU139" s="17">
        <f t="shared" si="58"/>
        <v>0.12183235867446393</v>
      </c>
      <c r="AV139" s="17"/>
      <c r="AW139" s="17">
        <f t="array" ref="AW139">SUM(IF(Period=AW$4,IF(Category=$A$125,IF(Provider=$B139,Score))))</f>
        <v>92.9</v>
      </c>
      <c r="AX139" s="17"/>
      <c r="AY139" s="20">
        <f t="array" ref="AY139">SUM(IF(Period=AW$4,IF(Category=$A$125,IF(Provider=$B139,Responses))))</f>
        <v>7</v>
      </c>
      <c r="AZ139" s="20"/>
      <c r="BA139" s="17">
        <f t="shared" si="68"/>
        <v>2.9967741935483874</v>
      </c>
      <c r="BB139" s="17"/>
      <c r="BC139" s="17">
        <f t="shared" si="59"/>
        <v>0.49946236559139789</v>
      </c>
      <c r="BD139" s="17"/>
      <c r="BE139" s="17">
        <f t="array" ref="BE139">SUM(IF(Period=BE$4,IF(Category=$A$125,IF(Provider=$B139,Score))))</f>
        <v>71.400000000000006</v>
      </c>
      <c r="BF139" s="17"/>
      <c r="BG139" s="20">
        <f t="array" ref="BG139">SUM(IF(Period=BE$4,IF(Category=$A$125,IF(Provider=$B139,Responses))))</f>
        <v>7</v>
      </c>
      <c r="BH139" s="20"/>
      <c r="BI139" s="17">
        <f t="shared" si="69"/>
        <v>2.1177966101694916</v>
      </c>
      <c r="BJ139" s="17"/>
      <c r="BK139" s="17">
        <f t="shared" si="60"/>
        <v>0.35321554770318025</v>
      </c>
      <c r="BL139" s="17"/>
      <c r="BM139" s="17">
        <f t="array" ref="BM139">SUM(IF(Period=BM$4,IF(Category=$A$125,IF(Provider=$B139,Score))))</f>
        <v>100</v>
      </c>
      <c r="BN139" s="17"/>
      <c r="BO139" s="20">
        <f t="array" ref="BO139">SUM(IF(Period=BM$4,IF(Category=$A$125,IF(Provider=$B139,Responses))))</f>
        <v>3</v>
      </c>
      <c r="BP139" s="20"/>
      <c r="BQ139" s="17">
        <f t="shared" si="70"/>
        <v>1.2931034482758621</v>
      </c>
      <c r="BR139" s="17"/>
      <c r="BS139" s="17">
        <f t="shared" si="61"/>
        <v>0.21645021645021645</v>
      </c>
      <c r="BT139" s="17"/>
      <c r="BU139" s="17">
        <f t="array" ref="BU139">SUM(IF(Period=BU$4,IF(Category=$A$125,IF(Provider=$B139,Score))))</f>
        <v>100</v>
      </c>
      <c r="BV139" s="17"/>
      <c r="BW139" s="20">
        <f t="array" ref="BW139">SUM(IF(Period=BU$4,IF(Category=$A$125,IF(Provider=$B139,Responses))))</f>
        <v>1</v>
      </c>
      <c r="BX139" s="20"/>
      <c r="BY139" s="17">
        <f t="shared" si="71"/>
        <v>0.41493775933609961</v>
      </c>
      <c r="BZ139" s="17"/>
      <c r="CA139" s="17">
        <f t="shared" si="62"/>
        <v>6.9108500345542501E-2</v>
      </c>
    </row>
    <row r="140" spans="2:79" outlineLevel="1" x14ac:dyDescent="0.25">
      <c r="B140" t="s">
        <v>36</v>
      </c>
      <c r="C140" s="17">
        <v>0</v>
      </c>
      <c r="D140" s="17"/>
      <c r="E140" s="17">
        <v>0</v>
      </c>
      <c r="F140" s="17"/>
      <c r="G140" s="17">
        <v>0</v>
      </c>
      <c r="H140" s="17"/>
      <c r="I140" s="17">
        <f t="array" ref="I140">SUM(IF(Period=I$4,IF(Category=$A$125,IF(Provider=$B140,Score))))</f>
        <v>71.400000000000006</v>
      </c>
      <c r="J140" s="17"/>
      <c r="K140" s="20">
        <f t="array" ref="K140">SUM(IF(Period=I$4,IF(Category=$A$125,IF(Provider=$B140,Responses))))</f>
        <v>7</v>
      </c>
      <c r="L140" s="20"/>
      <c r="M140" s="17">
        <f t="shared" si="63"/>
        <v>2.4742574257425747</v>
      </c>
      <c r="N140" s="17"/>
      <c r="O140" s="17">
        <f t="shared" si="54"/>
        <v>0.41339950372208439</v>
      </c>
      <c r="P140" s="17"/>
      <c r="Q140" s="17">
        <f t="array" ref="Q140">SUM(IF(Period=Q$4,IF(Category=$A$125,IF(Provider=$B140,Score))))</f>
        <v>93.8</v>
      </c>
      <c r="R140" s="17"/>
      <c r="S140" s="20">
        <f t="array" ref="S140">SUM(IF(Period=Q$4,IF(Category=$A$125,IF(Provider=$B140,Responses))))</f>
        <v>4</v>
      </c>
      <c r="T140" s="20"/>
      <c r="U140" s="17">
        <f t="shared" si="64"/>
        <v>2.0064171122994652</v>
      </c>
      <c r="V140" s="17"/>
      <c r="W140" s="17">
        <f t="shared" si="55"/>
        <v>0.33440285204991083</v>
      </c>
      <c r="X140" s="17"/>
      <c r="Y140" s="17">
        <f t="array" ref="Y140">SUM(IF(Period=Y$4,IF(Category=$A$125,IF(Provider=$B140,Score))))</f>
        <v>94.4</v>
      </c>
      <c r="Z140" s="17"/>
      <c r="AA140" s="20">
        <f t="array" ref="AA140">SUM(IF(Period=Y$4,IF(Category=$A$125,IF(Provider=$B140,Responses))))</f>
        <v>9</v>
      </c>
      <c r="AB140" s="20"/>
      <c r="AC140" s="17">
        <f t="shared" si="65"/>
        <v>2.8039603960396038</v>
      </c>
      <c r="AD140" s="17"/>
      <c r="AE140" s="17">
        <f t="shared" si="56"/>
        <v>0.46861555432984003</v>
      </c>
      <c r="AF140" s="17"/>
      <c r="AG140" s="17">
        <f t="array" ref="AG140">SUM(IF(Period=AG$4,IF(Category=$A$125,IF(Provider=$B140,Score))))</f>
        <v>66.7</v>
      </c>
      <c r="AH140" s="17"/>
      <c r="AI140" s="20">
        <f t="array" ref="AI140">SUM(IF(Period=AG$4,IF(Category=$A$125,IF(Provider=$B140,Responses))))</f>
        <v>9</v>
      </c>
      <c r="AJ140" s="20"/>
      <c r="AK140" s="17">
        <f t="shared" si="66"/>
        <v>2.3357976653696499</v>
      </c>
      <c r="AL140" s="17"/>
      <c r="AM140" s="17">
        <f t="shared" si="57"/>
        <v>0.38879533678756478</v>
      </c>
      <c r="AN140" s="17"/>
      <c r="AO140" s="17">
        <f t="array" ref="AO140">SUM(IF(Period=AO$4,IF(Category=$A$125,IF(Provider=$B140,Score))))</f>
        <v>62.5</v>
      </c>
      <c r="AP140" s="17"/>
      <c r="AQ140" s="20">
        <f t="array" ref="AQ140">SUM(IF(Period=AO$4,IF(Category=$A$125,IF(Provider=$B140,Responses))))</f>
        <v>6</v>
      </c>
      <c r="AR140" s="20"/>
      <c r="AS140" s="17">
        <f t="shared" si="67"/>
        <v>2.1929824561403506</v>
      </c>
      <c r="AT140" s="17"/>
      <c r="AU140" s="17">
        <f t="shared" si="58"/>
        <v>0.36549707602339176</v>
      </c>
      <c r="AV140" s="17"/>
      <c r="AW140" s="17">
        <f t="array" ref="AW140">SUM(IF(Period=AW$4,IF(Category=$A$125,IF(Provider=$B140,Score))))</f>
        <v>83.3</v>
      </c>
      <c r="AX140" s="17"/>
      <c r="AY140" s="20">
        <f t="array" ref="AY140">SUM(IF(Period=AW$4,IF(Category=$A$125,IF(Provider=$B140,Responses))))</f>
        <v>3</v>
      </c>
      <c r="AZ140" s="20"/>
      <c r="BA140" s="17">
        <f t="shared" si="68"/>
        <v>1.1516129032258065</v>
      </c>
      <c r="BB140" s="17"/>
      <c r="BC140" s="17">
        <f t="shared" si="59"/>
        <v>0.19193548387096773</v>
      </c>
      <c r="BD140" s="17"/>
      <c r="BE140" s="17">
        <f t="array" ref="BE140">SUM(IF(Period=BE$4,IF(Category=$A$125,IF(Provider=$B140,Score))))</f>
        <v>91.7</v>
      </c>
      <c r="BF140" s="17"/>
      <c r="BG140" s="20">
        <f t="array" ref="BG140">SUM(IF(Period=BE$4,IF(Category=$A$125,IF(Provider=$B140,Responses))))</f>
        <v>12</v>
      </c>
      <c r="BH140" s="20"/>
      <c r="BI140" s="17">
        <f t="shared" si="69"/>
        <v>4.6627118644067798</v>
      </c>
      <c r="BJ140" s="17"/>
      <c r="BK140" s="17">
        <f t="shared" si="60"/>
        <v>0.77766784452296811</v>
      </c>
      <c r="BL140" s="17"/>
      <c r="BM140" s="17">
        <f t="array" ref="BM140">SUM(IF(Period=BM$4,IF(Category=$A$125,IF(Provider=$B140,Score))))</f>
        <v>87.5</v>
      </c>
      <c r="BN140" s="17"/>
      <c r="BO140" s="20">
        <f t="array" ref="BO140">SUM(IF(Period=BM$4,IF(Category=$A$125,IF(Provider=$B140,Responses))))</f>
        <v>2</v>
      </c>
      <c r="BP140" s="20"/>
      <c r="BQ140" s="17">
        <f t="shared" si="70"/>
        <v>0.75431034482758619</v>
      </c>
      <c r="BR140" s="17"/>
      <c r="BS140" s="17">
        <f t="shared" si="61"/>
        <v>0.12626262626262627</v>
      </c>
      <c r="BT140" s="17"/>
      <c r="BU140" s="17">
        <f t="array" ref="BU140">SUM(IF(Period=BU$4,IF(Category=$A$125,IF(Provider=$B140,Score))))</f>
        <v>87.5</v>
      </c>
      <c r="BV140" s="17"/>
      <c r="BW140" s="20">
        <f t="array" ref="BW140">SUM(IF(Period=BU$4,IF(Category=$A$125,IF(Provider=$B140,Responses))))</f>
        <v>14</v>
      </c>
      <c r="BX140" s="20"/>
      <c r="BY140" s="17">
        <f t="shared" si="71"/>
        <v>5.0829875518672205</v>
      </c>
      <c r="BZ140" s="17"/>
      <c r="CA140" s="17">
        <f t="shared" si="62"/>
        <v>0.84657912923289569</v>
      </c>
    </row>
    <row r="141" spans="2:79" outlineLevel="1" x14ac:dyDescent="0.25">
      <c r="B141" t="s">
        <v>23</v>
      </c>
      <c r="C141" s="17">
        <v>0</v>
      </c>
      <c r="D141" s="17"/>
      <c r="E141" s="17">
        <v>0</v>
      </c>
      <c r="F141" s="17"/>
      <c r="G141" s="17">
        <v>0</v>
      </c>
      <c r="H141" s="17"/>
      <c r="I141" s="17">
        <f t="array" ref="I141">SUM(IF(Period=I$4,IF(Category=$A$125,IF(Provider=$B141,Score))))</f>
        <v>86.4</v>
      </c>
      <c r="J141" s="17"/>
      <c r="K141" s="20">
        <f t="array" ref="K141">SUM(IF(Period=I$4,IF(Category=$A$125,IF(Provider=$B141,Responses))))</f>
        <v>11</v>
      </c>
      <c r="L141" s="20"/>
      <c r="M141" s="17">
        <f t="shared" si="63"/>
        <v>4.7049504950495056</v>
      </c>
      <c r="N141" s="17"/>
      <c r="O141" s="17">
        <f t="shared" si="54"/>
        <v>0.78610421836228306</v>
      </c>
      <c r="P141" s="17"/>
      <c r="Q141" s="17">
        <f t="array" ref="Q141">SUM(IF(Period=Q$4,IF(Category=$A$125,IF(Provider=$B141,Score))))</f>
        <v>100</v>
      </c>
      <c r="R141" s="17"/>
      <c r="S141" s="20">
        <f t="array" ref="S141">SUM(IF(Period=Q$4,IF(Category=$A$125,IF(Provider=$B141,Responses))))</f>
        <v>4</v>
      </c>
      <c r="T141" s="20"/>
      <c r="U141" s="17">
        <f t="shared" si="64"/>
        <v>2.1390374331550799</v>
      </c>
      <c r="V141" s="17"/>
      <c r="W141" s="17">
        <f t="shared" si="55"/>
        <v>0.35650623885918004</v>
      </c>
      <c r="X141" s="17"/>
      <c r="Y141" s="17">
        <f t="array" ref="Y141">SUM(IF(Period=Y$4,IF(Category=$A$125,IF(Provider=$B141,Score))))</f>
        <v>67.5</v>
      </c>
      <c r="Z141" s="17"/>
      <c r="AA141" s="20">
        <f t="array" ref="AA141">SUM(IF(Period=Y$4,IF(Category=$A$125,IF(Provider=$B141,Responses))))</f>
        <v>10</v>
      </c>
      <c r="AB141" s="20"/>
      <c r="AC141" s="17">
        <f t="shared" si="65"/>
        <v>2.2277227722772275</v>
      </c>
      <c r="AD141" s="17"/>
      <c r="AE141" s="17">
        <f t="shared" si="56"/>
        <v>0.3723110865968009</v>
      </c>
      <c r="AF141" s="17"/>
      <c r="AG141" s="17">
        <f t="array" ref="AG141">SUM(IF(Period=AG$4,IF(Category=$A$125,IF(Provider=$B141,Score))))</f>
        <v>87.5</v>
      </c>
      <c r="AH141" s="17"/>
      <c r="AI141" s="20">
        <f t="array" ref="AI141">SUM(IF(Period=AG$4,IF(Category=$A$125,IF(Provider=$B141,Responses))))</f>
        <v>6</v>
      </c>
      <c r="AJ141" s="20"/>
      <c r="AK141" s="17">
        <f t="shared" si="66"/>
        <v>2.0428015564202333</v>
      </c>
      <c r="AL141" s="17"/>
      <c r="AM141" s="17">
        <f t="shared" si="57"/>
        <v>0.34002590673575128</v>
      </c>
      <c r="AN141" s="17"/>
      <c r="AO141" s="17">
        <f t="array" ref="AO141">SUM(IF(Period=AO$4,IF(Category=$A$125,IF(Provider=$B141,Score))))</f>
        <v>88.6</v>
      </c>
      <c r="AP141" s="17"/>
      <c r="AQ141" s="20">
        <f t="array" ref="AQ141">SUM(IF(Period=AO$4,IF(Category=$A$125,IF(Provider=$B141,Responses))))</f>
        <v>11</v>
      </c>
      <c r="AR141" s="20"/>
      <c r="AS141" s="17">
        <f t="shared" si="67"/>
        <v>5.6994152046783615</v>
      </c>
      <c r="AT141" s="17"/>
      <c r="AU141" s="17">
        <f t="shared" si="58"/>
        <v>0.94990253411306036</v>
      </c>
      <c r="AV141" s="17"/>
      <c r="AW141" s="17">
        <f t="array" ref="AW141">SUM(IF(Period=AW$4,IF(Category=$A$125,IF(Provider=$B141,Score))))</f>
        <v>100</v>
      </c>
      <c r="AX141" s="17"/>
      <c r="AY141" s="20">
        <f t="array" ref="AY141">SUM(IF(Period=AW$4,IF(Category=$A$125,IF(Provider=$B141,Responses))))</f>
        <v>5</v>
      </c>
      <c r="AZ141" s="20"/>
      <c r="BA141" s="17">
        <f t="shared" si="68"/>
        <v>2.3041474654377883</v>
      </c>
      <c r="BB141" s="17"/>
      <c r="BC141" s="17">
        <f t="shared" si="59"/>
        <v>0.38402457757296465</v>
      </c>
      <c r="BD141" s="17"/>
      <c r="BE141" s="17">
        <f t="array" ref="BE141">SUM(IF(Period=BE$4,IF(Category=$A$125,IF(Provider=$B141,Score))))</f>
        <v>86.1</v>
      </c>
      <c r="BF141" s="17"/>
      <c r="BG141" s="20">
        <f t="array" ref="BG141">SUM(IF(Period=BE$4,IF(Category=$A$125,IF(Provider=$B141,Responses))))</f>
        <v>9</v>
      </c>
      <c r="BH141" s="20"/>
      <c r="BI141" s="17">
        <f t="shared" si="69"/>
        <v>3.2834745762711863</v>
      </c>
      <c r="BJ141" s="17"/>
      <c r="BK141" s="17">
        <f t="shared" si="60"/>
        <v>0.54763250883392223</v>
      </c>
      <c r="BL141" s="17"/>
      <c r="BM141" s="17">
        <f t="array" ref="BM141">SUM(IF(Period=BM$4,IF(Category=$A$125,IF(Provider=$B141,Score))))</f>
        <v>84.4</v>
      </c>
      <c r="BN141" s="17"/>
      <c r="BO141" s="20">
        <f t="array" ref="BO141">SUM(IF(Period=BM$4,IF(Category=$A$125,IF(Provider=$B141,Responses))))</f>
        <v>8</v>
      </c>
      <c r="BP141" s="20"/>
      <c r="BQ141" s="17">
        <f t="shared" si="70"/>
        <v>2.9103448275862069</v>
      </c>
      <c r="BR141" s="17"/>
      <c r="BS141" s="17">
        <f t="shared" si="61"/>
        <v>0.48715728715728718</v>
      </c>
      <c r="BT141" s="17"/>
      <c r="BU141" s="17">
        <f t="array" ref="BU141">SUM(IF(Period=BU$4,IF(Category=$A$125,IF(Provider=$B141,Score))))</f>
        <v>82.5</v>
      </c>
      <c r="BV141" s="17"/>
      <c r="BW141" s="20">
        <f t="array" ref="BW141">SUM(IF(Period=BU$4,IF(Category=$A$125,IF(Provider=$B141,Responses))))</f>
        <v>10</v>
      </c>
      <c r="BX141" s="20"/>
      <c r="BY141" s="17">
        <f t="shared" si="71"/>
        <v>3.4232365145228214</v>
      </c>
      <c r="BZ141" s="17"/>
      <c r="CA141" s="17">
        <f t="shared" si="62"/>
        <v>0.57014512785072569</v>
      </c>
    </row>
    <row r="142" spans="2:79" outlineLevel="1" x14ac:dyDescent="0.25">
      <c r="B142" t="s">
        <v>6</v>
      </c>
      <c r="C142" s="17">
        <v>0</v>
      </c>
      <c r="D142" s="17"/>
      <c r="E142" s="17">
        <v>0</v>
      </c>
      <c r="F142" s="17"/>
      <c r="G142" s="17">
        <v>0</v>
      </c>
      <c r="H142" s="17"/>
      <c r="I142" s="17">
        <f t="array" ref="I142">SUM(IF(Period=I$4,IF(Category=$A$125,IF(Provider=$B142,Score))))</f>
        <v>100</v>
      </c>
      <c r="J142" s="17"/>
      <c r="K142" s="20">
        <f t="array" ref="K142">SUM(IF(Period=I$4,IF(Category=$A$125,IF(Provider=$B142,Responses))))</f>
        <v>1</v>
      </c>
      <c r="L142" s="20"/>
      <c r="M142" s="17">
        <f t="shared" si="63"/>
        <v>0.49504950495049505</v>
      </c>
      <c r="N142" s="17"/>
      <c r="O142" s="17">
        <f t="shared" si="54"/>
        <v>8.2712985938792394E-2</v>
      </c>
      <c r="P142" s="17"/>
      <c r="Q142" s="17">
        <f t="array" ref="Q142">SUM(IF(Period=Q$4,IF(Category=$A$125,IF(Provider=$B142,Score))))</f>
        <v>0</v>
      </c>
      <c r="R142" s="17"/>
      <c r="S142" s="20">
        <f t="array" ref="S142">SUM(IF(Period=Q$4,IF(Category=$A$125,IF(Provider=$B142,Responses))))</f>
        <v>0</v>
      </c>
      <c r="T142" s="20"/>
      <c r="U142" s="17">
        <f t="shared" si="64"/>
        <v>0</v>
      </c>
      <c r="V142" s="17"/>
      <c r="W142" s="17">
        <f t="shared" si="55"/>
        <v>0</v>
      </c>
      <c r="X142" s="17"/>
      <c r="Y142" s="17">
        <f t="array" ref="Y142">SUM(IF(Period=Y$4,IF(Category=$A$125,IF(Provider=$B142,Score))))</f>
        <v>91.7</v>
      </c>
      <c r="Z142" s="17"/>
      <c r="AA142" s="20">
        <f t="array" ref="AA142">SUM(IF(Period=Y$4,IF(Category=$A$125,IF(Provider=$B142,Responses))))</f>
        <v>3</v>
      </c>
      <c r="AB142" s="20"/>
      <c r="AC142" s="17">
        <f t="shared" si="65"/>
        <v>0.90792079207920795</v>
      </c>
      <c r="AD142" s="17"/>
      <c r="AE142" s="17">
        <f t="shared" si="56"/>
        <v>0.15173745173745173</v>
      </c>
      <c r="AF142" s="17"/>
      <c r="AG142" s="17">
        <f t="array" ref="AG142">SUM(IF(Period=AG$4,IF(Category=$A$125,IF(Provider=$B142,Score))))</f>
        <v>90</v>
      </c>
      <c r="AH142" s="17"/>
      <c r="AI142" s="20">
        <f t="array" ref="AI142">SUM(IF(Period=AG$4,IF(Category=$A$125,IF(Provider=$B142,Responses))))</f>
        <v>5</v>
      </c>
      <c r="AJ142" s="20"/>
      <c r="AK142" s="17">
        <f t="shared" si="66"/>
        <v>1.7509727626459144</v>
      </c>
      <c r="AL142" s="17"/>
      <c r="AM142" s="17">
        <f t="shared" si="57"/>
        <v>0.29145077720207252</v>
      </c>
      <c r="AN142" s="17"/>
      <c r="AO142" s="17">
        <f t="array" ref="AO142">SUM(IF(Period=AO$4,IF(Category=$A$125,IF(Provider=$B142,Score))))</f>
        <v>0</v>
      </c>
      <c r="AP142" s="17"/>
      <c r="AQ142" s="20">
        <f t="array" ref="AQ142">SUM(IF(Period=AO$4,IF(Category=$A$125,IF(Provider=$B142,Responses))))</f>
        <v>0</v>
      </c>
      <c r="AR142" s="20"/>
      <c r="AS142" s="17">
        <f t="shared" si="67"/>
        <v>0</v>
      </c>
      <c r="AT142" s="17"/>
      <c r="AU142" s="17">
        <f t="shared" si="58"/>
        <v>0</v>
      </c>
      <c r="AV142" s="17"/>
      <c r="AW142" s="17">
        <f t="array" ref="AW142">SUM(IF(Period=AW$4,IF(Category=$A$125,IF(Provider=$B142,Score))))</f>
        <v>100</v>
      </c>
      <c r="AX142" s="17"/>
      <c r="AY142" s="20">
        <f t="array" ref="AY142">SUM(IF(Period=AW$4,IF(Category=$A$125,IF(Provider=$B142,Responses))))</f>
        <v>5</v>
      </c>
      <c r="AZ142" s="20"/>
      <c r="BA142" s="17">
        <f t="shared" si="68"/>
        <v>2.3041474654377883</v>
      </c>
      <c r="BB142" s="17"/>
      <c r="BC142" s="17">
        <f t="shared" si="59"/>
        <v>0.38402457757296465</v>
      </c>
      <c r="BD142" s="17"/>
      <c r="BE142" s="17">
        <f t="array" ref="BE142">SUM(IF(Period=BE$4,IF(Category=$A$125,IF(Provider=$B142,Score))))</f>
        <v>0</v>
      </c>
      <c r="BF142" s="17"/>
      <c r="BG142" s="20">
        <f t="array" ref="BG142">SUM(IF(Period=BE$4,IF(Category=$A$125,IF(Provider=$B142,Responses))))</f>
        <v>0</v>
      </c>
      <c r="BH142" s="20"/>
      <c r="BI142" s="17">
        <f t="shared" si="69"/>
        <v>0</v>
      </c>
      <c r="BJ142" s="17"/>
      <c r="BK142" s="17">
        <f t="shared" si="60"/>
        <v>0</v>
      </c>
      <c r="BL142" s="17"/>
      <c r="BM142" s="17">
        <f t="array" ref="BM142">SUM(IF(Period=BM$4,IF(Category=$A$125,IF(Provider=$B142,Score))))</f>
        <v>91.7</v>
      </c>
      <c r="BN142" s="17"/>
      <c r="BO142" s="20">
        <f t="array" ref="BO142">SUM(IF(Period=BM$4,IF(Category=$A$125,IF(Provider=$B142,Responses))))</f>
        <v>3</v>
      </c>
      <c r="BP142" s="20"/>
      <c r="BQ142" s="17">
        <f t="shared" si="70"/>
        <v>1.1857758620689656</v>
      </c>
      <c r="BR142" s="17"/>
      <c r="BS142" s="17">
        <f t="shared" si="61"/>
        <v>0.19848484848484849</v>
      </c>
      <c r="BT142" s="17"/>
      <c r="BU142" s="17">
        <f t="array" ref="BU142">SUM(IF(Period=BU$4,IF(Category=$A$125,IF(Provider=$B142,Score))))</f>
        <v>87.5</v>
      </c>
      <c r="BV142" s="17"/>
      <c r="BW142" s="20">
        <f t="array" ref="BW142">SUM(IF(Period=BU$4,IF(Category=$A$125,IF(Provider=$B142,Responses))))</f>
        <v>2</v>
      </c>
      <c r="BX142" s="20"/>
      <c r="BY142" s="17">
        <f t="shared" si="71"/>
        <v>0.72614107883817425</v>
      </c>
      <c r="BZ142" s="17"/>
      <c r="CA142" s="17">
        <f t="shared" si="62"/>
        <v>0.12093987560469938</v>
      </c>
    </row>
    <row r="143" spans="2:79" outlineLevel="1" x14ac:dyDescent="0.25">
      <c r="B143" t="s">
        <v>39</v>
      </c>
      <c r="C143" s="17">
        <v>0</v>
      </c>
      <c r="D143" s="17"/>
      <c r="E143" s="17">
        <v>0</v>
      </c>
      <c r="F143" s="17"/>
      <c r="G143" s="17">
        <v>0</v>
      </c>
      <c r="H143" s="17"/>
      <c r="I143" s="17">
        <f t="array" ref="I143">SUM(IF(Period=I$4,IF(Category=$A$125,IF(Provider=$B143,Score))))</f>
        <v>61.4</v>
      </c>
      <c r="J143" s="17"/>
      <c r="K143" s="20">
        <f t="array" ref="K143">SUM(IF(Period=I$4,IF(Category=$A$125,IF(Provider=$B143,Responses))))</f>
        <v>11</v>
      </c>
      <c r="L143" s="20"/>
      <c r="M143" s="17">
        <f t="shared" si="63"/>
        <v>3.3435643564356434</v>
      </c>
      <c r="N143" s="17"/>
      <c r="O143" s="17">
        <f t="shared" si="54"/>
        <v>0.55864350703060384</v>
      </c>
      <c r="P143" s="17"/>
      <c r="Q143" s="17">
        <f t="array" ref="Q143">SUM(IF(Period=Q$4,IF(Category=$A$125,IF(Provider=$B143,Score))))</f>
        <v>77.5</v>
      </c>
      <c r="R143" s="17"/>
      <c r="S143" s="20">
        <f t="array" ref="S143">SUM(IF(Period=Q$4,IF(Category=$A$125,IF(Provider=$B143,Responses))))</f>
        <v>10</v>
      </c>
      <c r="T143" s="20"/>
      <c r="U143" s="17">
        <f t="shared" si="64"/>
        <v>4.144385026737968</v>
      </c>
      <c r="V143" s="17"/>
      <c r="W143" s="17">
        <f t="shared" si="55"/>
        <v>0.69073083778966138</v>
      </c>
      <c r="X143" s="17"/>
      <c r="Y143" s="17">
        <f t="array" ref="Y143">SUM(IF(Period=Y$4,IF(Category=$A$125,IF(Provider=$B143,Score))))</f>
        <v>65.599999999999994</v>
      </c>
      <c r="Z143" s="17"/>
      <c r="AA143" s="20">
        <f t="array" ref="AA143">SUM(IF(Period=Y$4,IF(Category=$A$125,IF(Provider=$B143,Responses))))</f>
        <v>8</v>
      </c>
      <c r="AB143" s="20"/>
      <c r="AC143" s="17">
        <f t="shared" si="65"/>
        <v>1.7320132013201319</v>
      </c>
      <c r="AD143" s="17"/>
      <c r="AE143" s="17">
        <f t="shared" si="56"/>
        <v>0.2894649751792609</v>
      </c>
      <c r="AF143" s="17"/>
      <c r="AG143" s="17">
        <f t="array" ref="AG143">SUM(IF(Period=AG$4,IF(Category=$A$125,IF(Provider=$B143,Score))))</f>
        <v>68.8</v>
      </c>
      <c r="AH143" s="17"/>
      <c r="AI143" s="20">
        <f t="array" ref="AI143">SUM(IF(Period=AG$4,IF(Category=$A$125,IF(Provider=$B143,Responses))))</f>
        <v>8</v>
      </c>
      <c r="AJ143" s="20"/>
      <c r="AK143" s="17">
        <f t="shared" si="66"/>
        <v>2.1416342412451361</v>
      </c>
      <c r="AL143" s="17"/>
      <c r="AM143" s="17">
        <f t="shared" si="57"/>
        <v>0.35647668393782384</v>
      </c>
      <c r="AN143" s="17"/>
      <c r="AO143" s="17">
        <f t="array" ref="AO143">SUM(IF(Period=AO$4,IF(Category=$A$125,IF(Provider=$B143,Score))))</f>
        <v>87.5</v>
      </c>
      <c r="AP143" s="17"/>
      <c r="AQ143" s="20">
        <f t="array" ref="AQ143">SUM(IF(Period=AO$4,IF(Category=$A$125,IF(Provider=$B143,Responses))))</f>
        <v>8</v>
      </c>
      <c r="AR143" s="20"/>
      <c r="AS143" s="17">
        <f t="shared" si="67"/>
        <v>4.0935672514619883</v>
      </c>
      <c r="AT143" s="17"/>
      <c r="AU143" s="17">
        <f t="shared" si="58"/>
        <v>0.68226120857699801</v>
      </c>
      <c r="AV143" s="17"/>
      <c r="AW143" s="17">
        <f t="array" ref="AW143">SUM(IF(Period=AW$4,IF(Category=$A$125,IF(Provider=$B143,Score))))</f>
        <v>85.7</v>
      </c>
      <c r="AX143" s="17"/>
      <c r="AY143" s="20">
        <f t="array" ref="AY143">SUM(IF(Period=AW$4,IF(Category=$A$125,IF(Provider=$B143,Responses))))</f>
        <v>7</v>
      </c>
      <c r="AZ143" s="20"/>
      <c r="BA143" s="17">
        <f t="shared" si="68"/>
        <v>2.7645161290322582</v>
      </c>
      <c r="BB143" s="17"/>
      <c r="BC143" s="17">
        <f t="shared" si="59"/>
        <v>0.46075268817204307</v>
      </c>
      <c r="BD143" s="17"/>
      <c r="BE143" s="17">
        <f t="array" ref="BE143">SUM(IF(Period=BE$4,IF(Category=$A$125,IF(Provider=$B143,Score))))</f>
        <v>83.3</v>
      </c>
      <c r="BF143" s="17"/>
      <c r="BG143" s="20">
        <f t="array" ref="BG143">SUM(IF(Period=BE$4,IF(Category=$A$125,IF(Provider=$B143,Responses))))</f>
        <v>6</v>
      </c>
      <c r="BH143" s="20"/>
      <c r="BI143" s="17">
        <f t="shared" si="69"/>
        <v>2.1177966101694916</v>
      </c>
      <c r="BJ143" s="17"/>
      <c r="BK143" s="17">
        <f t="shared" si="60"/>
        <v>0.35321554770318014</v>
      </c>
      <c r="BL143" s="17"/>
      <c r="BM143" s="17">
        <f t="array" ref="BM143">SUM(IF(Period=BM$4,IF(Category=$A$125,IF(Provider=$B143,Score))))</f>
        <v>87.5</v>
      </c>
      <c r="BN143" s="17"/>
      <c r="BO143" s="20">
        <f t="array" ref="BO143">SUM(IF(Period=BM$4,IF(Category=$A$125,IF(Provider=$B143,Responses))))</f>
        <v>8</v>
      </c>
      <c r="BP143" s="20"/>
      <c r="BQ143" s="17">
        <f t="shared" si="70"/>
        <v>3.0172413793103448</v>
      </c>
      <c r="BR143" s="17"/>
      <c r="BS143" s="17">
        <f t="shared" si="61"/>
        <v>0.50505050505050508</v>
      </c>
      <c r="BT143" s="17"/>
      <c r="BU143" s="17">
        <f t="array" ref="BU143">SUM(IF(Period=BU$4,IF(Category=$A$125,IF(Provider=$B143,Score))))</f>
        <v>85.7</v>
      </c>
      <c r="BV143" s="17"/>
      <c r="BW143" s="20">
        <f t="array" ref="BW143">SUM(IF(Period=BU$4,IF(Category=$A$125,IF(Provider=$B143,Responses))))</f>
        <v>7</v>
      </c>
      <c r="BX143" s="20"/>
      <c r="BY143" s="17">
        <f t="shared" si="71"/>
        <v>2.4892116182572614</v>
      </c>
      <c r="BZ143" s="17"/>
      <c r="CA143" s="17">
        <f t="shared" si="62"/>
        <v>0.41458189357290953</v>
      </c>
    </row>
    <row r="144" spans="2:79" outlineLevel="1" x14ac:dyDescent="0.25">
      <c r="B144" t="s">
        <v>28</v>
      </c>
      <c r="C144" s="17">
        <v>0</v>
      </c>
      <c r="D144" s="17"/>
      <c r="E144" s="17">
        <v>0</v>
      </c>
      <c r="F144" s="17"/>
      <c r="G144" s="17">
        <v>0</v>
      </c>
      <c r="H144" s="17"/>
      <c r="I144" s="17">
        <f t="array" ref="I144">SUM(IF(Period=I$4,IF(Category=$A$125,IF(Provider=$B144,Score))))</f>
        <v>83.3</v>
      </c>
      <c r="J144" s="17"/>
      <c r="K144" s="20">
        <f t="array" ref="K144">SUM(IF(Period=I$4,IF(Category=$A$125,IF(Provider=$B144,Responses))))</f>
        <v>6</v>
      </c>
      <c r="L144" s="20"/>
      <c r="M144" s="17">
        <f t="shared" si="63"/>
        <v>2.4742574257425742</v>
      </c>
      <c r="N144" s="17"/>
      <c r="O144" s="17">
        <f t="shared" si="54"/>
        <v>0.41339950372208434</v>
      </c>
      <c r="P144" s="17"/>
      <c r="Q144" s="17">
        <f t="array" ref="Q144">SUM(IF(Period=Q$4,IF(Category=$A$125,IF(Provider=$B144,Score))))</f>
        <v>50</v>
      </c>
      <c r="R144" s="17"/>
      <c r="S144" s="20">
        <f t="array" ref="S144">SUM(IF(Period=Q$4,IF(Category=$A$125,IF(Provider=$B144,Responses))))</f>
        <v>5</v>
      </c>
      <c r="T144" s="20"/>
      <c r="U144" s="17">
        <f t="shared" si="64"/>
        <v>1.3368983957219251</v>
      </c>
      <c r="V144" s="17"/>
      <c r="W144" s="17">
        <f t="shared" si="55"/>
        <v>0.22281639928698754</v>
      </c>
      <c r="X144" s="17"/>
      <c r="Y144" s="17">
        <f t="array" ref="Y144">SUM(IF(Period=Y$4,IF(Category=$A$125,IF(Provider=$B144,Score))))</f>
        <v>80</v>
      </c>
      <c r="Z144" s="17"/>
      <c r="AA144" s="20">
        <f t="array" ref="AA144">SUM(IF(Period=Y$4,IF(Category=$A$125,IF(Provider=$B144,Responses))))</f>
        <v>10</v>
      </c>
      <c r="AB144" s="20"/>
      <c r="AC144" s="17">
        <f t="shared" si="65"/>
        <v>2.6402640264026402</v>
      </c>
      <c r="AD144" s="17"/>
      <c r="AE144" s="17">
        <f t="shared" si="56"/>
        <v>0.44125758411472699</v>
      </c>
      <c r="AF144" s="17"/>
      <c r="AG144" s="17">
        <f t="array" ref="AG144">SUM(IF(Period=AG$4,IF(Category=$A$125,IF(Provider=$B144,Score))))</f>
        <v>92.5</v>
      </c>
      <c r="AH144" s="17"/>
      <c r="AI144" s="20">
        <f t="array" ref="AI144">SUM(IF(Period=AG$4,IF(Category=$A$125,IF(Provider=$B144,Responses))))</f>
        <v>10</v>
      </c>
      <c r="AJ144" s="20"/>
      <c r="AK144" s="17">
        <f t="shared" si="66"/>
        <v>3.5992217898832686</v>
      </c>
      <c r="AL144" s="17"/>
      <c r="AM144" s="17">
        <f t="shared" si="57"/>
        <v>0.59909326424870457</v>
      </c>
      <c r="AN144" s="17"/>
      <c r="AO144" s="17">
        <f t="array" ref="AO144">SUM(IF(Period=AO$4,IF(Category=$A$125,IF(Provider=$B144,Score))))</f>
        <v>80</v>
      </c>
      <c r="AP144" s="17"/>
      <c r="AQ144" s="20">
        <f t="array" ref="AQ144">SUM(IF(Period=AO$4,IF(Category=$A$125,IF(Provider=$B144,Responses))))</f>
        <v>5</v>
      </c>
      <c r="AR144" s="20"/>
      <c r="AS144" s="17">
        <f t="shared" si="67"/>
        <v>2.3391812865497075</v>
      </c>
      <c r="AT144" s="17"/>
      <c r="AU144" s="17">
        <f t="shared" si="58"/>
        <v>0.38986354775828458</v>
      </c>
      <c r="AV144" s="17"/>
      <c r="AW144" s="17">
        <f t="array" ref="AW144">SUM(IF(Period=AW$4,IF(Category=$A$125,IF(Provider=$B144,Score))))</f>
        <v>50</v>
      </c>
      <c r="AX144" s="17"/>
      <c r="AY144" s="20">
        <f t="array" ref="AY144">SUM(IF(Period=AW$4,IF(Category=$A$125,IF(Provider=$B144,Responses))))</f>
        <v>5</v>
      </c>
      <c r="AZ144" s="20"/>
      <c r="BA144" s="17">
        <f t="shared" si="68"/>
        <v>1.1520737327188941</v>
      </c>
      <c r="BB144" s="17"/>
      <c r="BC144" s="17">
        <f t="shared" si="59"/>
        <v>0.19201228878648233</v>
      </c>
      <c r="BD144" s="17"/>
      <c r="BE144" s="17">
        <f t="array" ref="BE144">SUM(IF(Period=BE$4,IF(Category=$A$125,IF(Provider=$B144,Score))))</f>
        <v>70.8</v>
      </c>
      <c r="BF144" s="17"/>
      <c r="BG144" s="20">
        <f t="array" ref="BG144">SUM(IF(Period=BE$4,IF(Category=$A$125,IF(Provider=$B144,Responses))))</f>
        <v>6</v>
      </c>
      <c r="BH144" s="20"/>
      <c r="BI144" s="17">
        <f t="shared" si="69"/>
        <v>1.8</v>
      </c>
      <c r="BJ144" s="17"/>
      <c r="BK144" s="17">
        <f t="shared" si="60"/>
        <v>0.30021201413427556</v>
      </c>
      <c r="BL144" s="17"/>
      <c r="BM144" s="17">
        <f t="array" ref="BM144">SUM(IF(Period=BM$4,IF(Category=$A$125,IF(Provider=$B144,Score))))</f>
        <v>66.7</v>
      </c>
      <c r="BN144" s="17"/>
      <c r="BO144" s="20">
        <f t="array" ref="BO144">SUM(IF(Period=BM$4,IF(Category=$A$125,IF(Provider=$B144,Responses))))</f>
        <v>6</v>
      </c>
      <c r="BP144" s="20"/>
      <c r="BQ144" s="17">
        <f t="shared" si="70"/>
        <v>1.7250000000000001</v>
      </c>
      <c r="BR144" s="17"/>
      <c r="BS144" s="17">
        <f t="shared" si="61"/>
        <v>0.28874458874458875</v>
      </c>
      <c r="BT144" s="17"/>
      <c r="BU144" s="17">
        <f t="array" ref="BU144">SUM(IF(Period=BU$4,IF(Category=$A$125,IF(Provider=$B144,Score))))</f>
        <v>71.400000000000006</v>
      </c>
      <c r="BV144" s="17"/>
      <c r="BW144" s="20">
        <f t="array" ref="BW144">SUM(IF(Period=BU$4,IF(Category=$A$125,IF(Provider=$B144,Responses))))</f>
        <v>7</v>
      </c>
      <c r="BX144" s="20"/>
      <c r="BY144" s="17">
        <f t="shared" si="71"/>
        <v>2.0738589211618259</v>
      </c>
      <c r="BZ144" s="17"/>
      <c r="CA144" s="17">
        <f t="shared" si="62"/>
        <v>0.3454042847270215</v>
      </c>
    </row>
    <row r="145" spans="2:79" outlineLevel="1" x14ac:dyDescent="0.25">
      <c r="B145" t="s">
        <v>40</v>
      </c>
      <c r="C145" s="17">
        <v>0</v>
      </c>
      <c r="D145" s="17"/>
      <c r="E145" s="17">
        <v>0</v>
      </c>
      <c r="F145" s="17"/>
      <c r="G145" s="17">
        <v>0</v>
      </c>
      <c r="H145" s="17"/>
      <c r="I145" s="17">
        <f t="array" ref="I145">SUM(IF(Period=I$4,IF(Category=$A$125,IF(Provider=$B145,Score))))</f>
        <v>59.4</v>
      </c>
      <c r="J145" s="17"/>
      <c r="K145" s="20">
        <f t="array" ref="K145">SUM(IF(Period=I$4,IF(Category=$A$125,IF(Provider=$B145,Responses))))</f>
        <v>8</v>
      </c>
      <c r="L145" s="20"/>
      <c r="M145" s="17">
        <f t="shared" si="63"/>
        <v>2.3524752475247523</v>
      </c>
      <c r="N145" s="17"/>
      <c r="O145" s="17">
        <f t="shared" si="54"/>
        <v>0.39305210918114142</v>
      </c>
      <c r="P145" s="17"/>
      <c r="Q145" s="17">
        <f t="array" ref="Q145">SUM(IF(Period=Q$4,IF(Category=$A$125,IF(Provider=$B145,Score))))</f>
        <v>87.5</v>
      </c>
      <c r="R145" s="17"/>
      <c r="S145" s="20">
        <f t="array" ref="S145">SUM(IF(Period=Q$4,IF(Category=$A$125,IF(Provider=$B145,Responses))))</f>
        <v>2</v>
      </c>
      <c r="T145" s="20"/>
      <c r="U145" s="17">
        <f t="shared" si="64"/>
        <v>0.93582887700534756</v>
      </c>
      <c r="V145" s="17"/>
      <c r="W145" s="17">
        <f t="shared" si="55"/>
        <v>0.15597147950089127</v>
      </c>
      <c r="X145" s="17"/>
      <c r="Y145" s="17">
        <f t="array" ref="Y145">SUM(IF(Period=Y$4,IF(Category=$A$125,IF(Provider=$B145,Score))))</f>
        <v>90</v>
      </c>
      <c r="Z145" s="17"/>
      <c r="AA145" s="20">
        <f t="array" ref="AA145">SUM(IF(Period=Y$4,IF(Category=$A$125,IF(Provider=$B145,Responses))))</f>
        <v>5</v>
      </c>
      <c r="AB145" s="20"/>
      <c r="AC145" s="17">
        <f t="shared" si="65"/>
        <v>1.4851485148514849</v>
      </c>
      <c r="AD145" s="17"/>
      <c r="AE145" s="17">
        <f t="shared" si="56"/>
        <v>0.24820739106453393</v>
      </c>
      <c r="AF145" s="17"/>
      <c r="AG145" s="17">
        <f t="array" ref="AG145">SUM(IF(Period=AG$4,IF(Category=$A$125,IF(Provider=$B145,Score))))</f>
        <v>75</v>
      </c>
      <c r="AH145" s="17"/>
      <c r="AI145" s="20">
        <f t="array" ref="AI145">SUM(IF(Period=AG$4,IF(Category=$A$125,IF(Provider=$B145,Responses))))</f>
        <v>3</v>
      </c>
      <c r="AJ145" s="20"/>
      <c r="AK145" s="17">
        <f t="shared" si="66"/>
        <v>0.8754863813229572</v>
      </c>
      <c r="AL145" s="17"/>
      <c r="AM145" s="17">
        <f t="shared" si="57"/>
        <v>0.14572538860103626</v>
      </c>
      <c r="AN145" s="17"/>
      <c r="AO145" s="17">
        <f t="array" ref="AO145">SUM(IF(Period=AO$4,IF(Category=$A$125,IF(Provider=$B145,Score))))</f>
        <v>81.3</v>
      </c>
      <c r="AP145" s="17"/>
      <c r="AQ145" s="20">
        <f t="array" ref="AQ145">SUM(IF(Period=AO$4,IF(Category=$A$125,IF(Provider=$B145,Responses))))</f>
        <v>4</v>
      </c>
      <c r="AR145" s="20"/>
      <c r="AS145" s="17">
        <f t="shared" si="67"/>
        <v>1.9017543859649122</v>
      </c>
      <c r="AT145" s="17"/>
      <c r="AU145" s="17">
        <f t="shared" si="58"/>
        <v>0.31695906432748533</v>
      </c>
      <c r="AV145" s="17"/>
      <c r="AW145" s="17">
        <f t="array" ref="AW145">SUM(IF(Period=AW$4,IF(Category=$A$125,IF(Provider=$B145,Score))))</f>
        <v>83.3</v>
      </c>
      <c r="AX145" s="17"/>
      <c r="AY145" s="20">
        <f t="array" ref="AY145">SUM(IF(Period=AW$4,IF(Category=$A$125,IF(Provider=$B145,Responses))))</f>
        <v>12</v>
      </c>
      <c r="AZ145" s="20"/>
      <c r="BA145" s="17">
        <f t="shared" si="68"/>
        <v>4.6064516129032258</v>
      </c>
      <c r="BB145" s="17"/>
      <c r="BC145" s="17">
        <f t="shared" si="59"/>
        <v>0.76774193548387093</v>
      </c>
      <c r="BD145" s="17"/>
      <c r="BE145" s="17">
        <f t="array" ref="BE145">SUM(IF(Period=BE$4,IF(Category=$A$125,IF(Provider=$B145,Score))))</f>
        <v>97.2</v>
      </c>
      <c r="BF145" s="17"/>
      <c r="BG145" s="20">
        <f t="array" ref="BG145">SUM(IF(Period=BE$4,IF(Category=$A$125,IF(Provider=$B145,Responses))))</f>
        <v>9</v>
      </c>
      <c r="BH145" s="20"/>
      <c r="BI145" s="17">
        <f t="shared" si="69"/>
        <v>3.7067796610169497</v>
      </c>
      <c r="BJ145" s="17"/>
      <c r="BK145" s="17">
        <f t="shared" si="60"/>
        <v>0.61823321554770327</v>
      </c>
      <c r="BL145" s="17"/>
      <c r="BM145" s="17">
        <f t="array" ref="BM145">SUM(IF(Period=BM$4,IF(Category=$A$125,IF(Provider=$B145,Score))))</f>
        <v>81.3</v>
      </c>
      <c r="BN145" s="17"/>
      <c r="BO145" s="20">
        <f t="array" ref="BO145">SUM(IF(Period=BM$4,IF(Category=$A$125,IF(Provider=$B145,Responses))))</f>
        <v>8</v>
      </c>
      <c r="BP145" s="20"/>
      <c r="BQ145" s="17">
        <f t="shared" si="70"/>
        <v>2.8034482758620687</v>
      </c>
      <c r="BR145" s="17"/>
      <c r="BS145" s="17">
        <f t="shared" si="61"/>
        <v>0.46926406926406927</v>
      </c>
      <c r="BT145" s="17"/>
      <c r="BU145" s="17">
        <f t="array" ref="BU145">SUM(IF(Period=BU$4,IF(Category=$A$125,IF(Provider=$B145,Score))))</f>
        <v>100</v>
      </c>
      <c r="BV145" s="17"/>
      <c r="BW145" s="20">
        <f t="array" ref="BW145">SUM(IF(Period=BU$4,IF(Category=$A$125,IF(Provider=$B145,Responses))))</f>
        <v>3</v>
      </c>
      <c r="BX145" s="20"/>
      <c r="BY145" s="17">
        <f t="shared" si="71"/>
        <v>1.2448132780082988</v>
      </c>
      <c r="BZ145" s="17"/>
      <c r="CA145" s="17">
        <f t="shared" si="62"/>
        <v>0.2073255010366275</v>
      </c>
    </row>
    <row r="146" spans="2:79" outlineLevel="1" x14ac:dyDescent="0.25">
      <c r="B146" t="s">
        <v>22</v>
      </c>
      <c r="C146" s="17">
        <v>0</v>
      </c>
      <c r="D146" s="17"/>
      <c r="E146" s="17">
        <v>0</v>
      </c>
      <c r="F146" s="17"/>
      <c r="G146" s="17">
        <v>0</v>
      </c>
      <c r="H146" s="17"/>
      <c r="I146" s="17">
        <f t="array" ref="I146">SUM(IF(Period=I$4,IF(Category=$A$125,IF(Provider=$B146,Score))))</f>
        <v>88.9</v>
      </c>
      <c r="J146" s="17"/>
      <c r="K146" s="20">
        <f t="array" ref="K146">SUM(IF(Period=I$4,IF(Category=$A$125,IF(Provider=$B146,Responses))))</f>
        <v>9</v>
      </c>
      <c r="L146" s="20"/>
      <c r="M146" s="17">
        <f t="shared" si="63"/>
        <v>3.9608910891089111</v>
      </c>
      <c r="N146" s="17"/>
      <c r="O146" s="17">
        <f t="shared" si="54"/>
        <v>0.66178660049627791</v>
      </c>
      <c r="P146" s="17"/>
      <c r="Q146" s="17">
        <f t="array" ref="Q146">SUM(IF(Period=Q$4,IF(Category=$A$125,IF(Provider=$B146,Score))))</f>
        <v>100</v>
      </c>
      <c r="R146" s="17"/>
      <c r="S146" s="20">
        <f t="array" ref="S146">SUM(IF(Period=Q$4,IF(Category=$A$125,IF(Provider=$B146,Responses))))</f>
        <v>3</v>
      </c>
      <c r="T146" s="20"/>
      <c r="U146" s="17">
        <f t="shared" si="64"/>
        <v>1.6042780748663104</v>
      </c>
      <c r="V146" s="17"/>
      <c r="W146" s="17">
        <f t="shared" si="55"/>
        <v>0.26737967914438499</v>
      </c>
      <c r="X146" s="17"/>
      <c r="Y146" s="17">
        <f t="array" ref="Y146">SUM(IF(Period=Y$4,IF(Category=$A$125,IF(Provider=$B146,Score))))</f>
        <v>91.7</v>
      </c>
      <c r="Z146" s="17"/>
      <c r="AA146" s="20">
        <f t="array" ref="AA146">SUM(IF(Period=Y$4,IF(Category=$A$125,IF(Provider=$B146,Responses))))</f>
        <v>12</v>
      </c>
      <c r="AB146" s="20"/>
      <c r="AC146" s="17">
        <f t="shared" si="65"/>
        <v>3.6316831683168318</v>
      </c>
      <c r="AD146" s="17"/>
      <c r="AE146" s="17">
        <f t="shared" si="56"/>
        <v>0.60694980694980694</v>
      </c>
      <c r="AF146" s="17"/>
      <c r="AG146" s="17">
        <f t="array" ref="AG146">SUM(IF(Period=AG$4,IF(Category=$A$125,IF(Provider=$B146,Score))))</f>
        <v>78.599999999999994</v>
      </c>
      <c r="AH146" s="17"/>
      <c r="AI146" s="20">
        <f t="array" ref="AI146">SUM(IF(Period=AG$4,IF(Category=$A$125,IF(Provider=$B146,Responses))))</f>
        <v>7</v>
      </c>
      <c r="AJ146" s="20"/>
      <c r="AK146" s="17">
        <f t="shared" si="66"/>
        <v>2.1408560311284046</v>
      </c>
      <c r="AL146" s="17"/>
      <c r="AM146" s="17">
        <f t="shared" si="57"/>
        <v>0.35634715025906732</v>
      </c>
      <c r="AN146" s="17"/>
      <c r="AO146" s="17">
        <f t="array" ref="AO146">SUM(IF(Period=AO$4,IF(Category=$A$125,IF(Provider=$B146,Score))))</f>
        <v>87.5</v>
      </c>
      <c r="AP146" s="17"/>
      <c r="AQ146" s="20">
        <f t="array" ref="AQ146">SUM(IF(Period=AO$4,IF(Category=$A$125,IF(Provider=$B146,Responses))))</f>
        <v>2</v>
      </c>
      <c r="AR146" s="20"/>
      <c r="AS146" s="17">
        <f t="shared" si="67"/>
        <v>1.0233918128654971</v>
      </c>
      <c r="AT146" s="17"/>
      <c r="AU146" s="17">
        <f t="shared" si="58"/>
        <v>0.1705653021442495</v>
      </c>
      <c r="AV146" s="17"/>
      <c r="AW146" s="17">
        <f t="array" ref="AW146">SUM(IF(Period=AW$4,IF(Category=$A$125,IF(Provider=$B146,Score))))</f>
        <v>91.7</v>
      </c>
      <c r="AX146" s="17"/>
      <c r="AY146" s="20">
        <f t="array" ref="AY146">SUM(IF(Period=AW$4,IF(Category=$A$125,IF(Provider=$B146,Responses))))</f>
        <v>9</v>
      </c>
      <c r="AZ146" s="20"/>
      <c r="BA146" s="17">
        <f t="shared" si="68"/>
        <v>3.8032258064516129</v>
      </c>
      <c r="BB146" s="17"/>
      <c r="BC146" s="17">
        <f t="shared" si="59"/>
        <v>0.63387096774193552</v>
      </c>
      <c r="BD146" s="17"/>
      <c r="BE146" s="17">
        <f t="array" ref="BE146">SUM(IF(Period=BE$4,IF(Category=$A$125,IF(Provider=$B146,Score))))</f>
        <v>83.3</v>
      </c>
      <c r="BF146" s="17"/>
      <c r="BG146" s="20">
        <f t="array" ref="BG146">SUM(IF(Period=BE$4,IF(Category=$A$125,IF(Provider=$B146,Responses))))</f>
        <v>6</v>
      </c>
      <c r="BH146" s="20"/>
      <c r="BI146" s="17">
        <f t="shared" si="69"/>
        <v>2.1177966101694916</v>
      </c>
      <c r="BJ146" s="17"/>
      <c r="BK146" s="17">
        <f t="shared" si="60"/>
        <v>0.35321554770318014</v>
      </c>
      <c r="BL146" s="17"/>
      <c r="BM146" s="17">
        <f t="array" ref="BM146">SUM(IF(Period=BM$4,IF(Category=$A$125,IF(Provider=$B146,Score))))</f>
        <v>84.6</v>
      </c>
      <c r="BN146" s="17"/>
      <c r="BO146" s="20">
        <f t="array" ref="BO146">SUM(IF(Period=BM$4,IF(Category=$A$125,IF(Provider=$B146,Responses))))</f>
        <v>13</v>
      </c>
      <c r="BP146" s="20"/>
      <c r="BQ146" s="17">
        <f t="shared" si="70"/>
        <v>4.74051724137931</v>
      </c>
      <c r="BR146" s="17"/>
      <c r="BS146" s="17">
        <f t="shared" si="61"/>
        <v>0.79350649350649349</v>
      </c>
      <c r="BT146" s="17"/>
      <c r="BU146" s="17">
        <f t="array" ref="BU146">SUM(IF(Period=BU$4,IF(Category=$A$125,IF(Provider=$B146,Score))))</f>
        <v>89.3</v>
      </c>
      <c r="BV146" s="17"/>
      <c r="BW146" s="20">
        <f t="array" ref="BW146">SUM(IF(Period=BU$4,IF(Category=$A$125,IF(Provider=$B146,Responses))))</f>
        <v>7</v>
      </c>
      <c r="BX146" s="20"/>
      <c r="BY146" s="17">
        <f t="shared" si="71"/>
        <v>2.5937759336099586</v>
      </c>
      <c r="BZ146" s="17"/>
      <c r="CA146" s="17">
        <f t="shared" si="62"/>
        <v>0.43199723565998621</v>
      </c>
    </row>
    <row r="147" spans="2:79" outlineLevel="1" x14ac:dyDescent="0.25">
      <c r="B147" t="s">
        <v>31</v>
      </c>
      <c r="C147" s="17">
        <v>0</v>
      </c>
      <c r="D147" s="17"/>
      <c r="E147" s="17">
        <v>0</v>
      </c>
      <c r="F147" s="17"/>
      <c r="G147" s="17">
        <v>0</v>
      </c>
      <c r="H147" s="17"/>
      <c r="I147" s="17">
        <f t="array" ref="I147">SUM(IF(Period=I$4,IF(Category=$A$125,IF(Provider=$B147,Score))))</f>
        <v>81.3</v>
      </c>
      <c r="J147" s="17"/>
      <c r="K147" s="20">
        <f t="array" ref="K147">SUM(IF(Period=I$4,IF(Category=$A$125,IF(Provider=$B147,Responses))))</f>
        <v>4</v>
      </c>
      <c r="L147" s="20"/>
      <c r="M147" s="17">
        <f t="shared" si="63"/>
        <v>1.6099009900990098</v>
      </c>
      <c r="N147" s="17"/>
      <c r="O147" s="17">
        <f t="shared" si="54"/>
        <v>0.26898263027295283</v>
      </c>
      <c r="P147" s="17"/>
      <c r="Q147" s="17">
        <f t="array" ref="Q147">SUM(IF(Period=Q$4,IF(Category=$A$125,IF(Provider=$B147,Score))))</f>
        <v>75</v>
      </c>
      <c r="R147" s="17"/>
      <c r="S147" s="20">
        <f t="array" ref="S147">SUM(IF(Period=Q$4,IF(Category=$A$125,IF(Provider=$B147,Responses))))</f>
        <v>6</v>
      </c>
      <c r="T147" s="20"/>
      <c r="U147" s="17">
        <f t="shared" si="64"/>
        <v>2.4064171122994655</v>
      </c>
      <c r="V147" s="17"/>
      <c r="W147" s="17">
        <f t="shared" si="55"/>
        <v>0.40106951871657753</v>
      </c>
      <c r="X147" s="17"/>
      <c r="Y147" s="17">
        <f t="array" ref="Y147">SUM(IF(Period=Y$4,IF(Category=$A$125,IF(Provider=$B147,Score))))</f>
        <v>100</v>
      </c>
      <c r="Z147" s="17"/>
      <c r="AA147" s="20">
        <f t="array" ref="AA147">SUM(IF(Period=Y$4,IF(Category=$A$125,IF(Provider=$B147,Responses))))</f>
        <v>7</v>
      </c>
      <c r="AB147" s="20"/>
      <c r="AC147" s="17">
        <f t="shared" si="65"/>
        <v>2.3102310231023102</v>
      </c>
      <c r="AD147" s="17"/>
      <c r="AE147" s="17">
        <f t="shared" si="56"/>
        <v>0.38610038610038611</v>
      </c>
      <c r="AF147" s="17"/>
      <c r="AG147" s="17">
        <f t="array" ref="AG147">SUM(IF(Period=AG$4,IF(Category=$A$125,IF(Provider=$B147,Score))))</f>
        <v>89.6</v>
      </c>
      <c r="AH147" s="17"/>
      <c r="AI147" s="20">
        <f t="array" ref="AI147">SUM(IF(Period=AG$4,IF(Category=$A$125,IF(Provider=$B147,Responses))))</f>
        <v>12</v>
      </c>
      <c r="AJ147" s="20"/>
      <c r="AK147" s="17">
        <f t="shared" si="66"/>
        <v>4.1836575875486384</v>
      </c>
      <c r="AL147" s="17"/>
      <c r="AM147" s="17">
        <f t="shared" si="57"/>
        <v>0.69637305699481855</v>
      </c>
      <c r="AN147" s="17"/>
      <c r="AO147" s="17">
        <f t="array" ref="AO147">SUM(IF(Period=AO$4,IF(Category=$A$125,IF(Provider=$B147,Score))))</f>
        <v>66.7</v>
      </c>
      <c r="AP147" s="17"/>
      <c r="AQ147" s="20">
        <f t="array" ref="AQ147">SUM(IF(Period=AO$4,IF(Category=$A$125,IF(Provider=$B147,Responses))))</f>
        <v>9</v>
      </c>
      <c r="AR147" s="20"/>
      <c r="AS147" s="17">
        <f t="shared" si="67"/>
        <v>3.5105263157894737</v>
      </c>
      <c r="AT147" s="17"/>
      <c r="AU147" s="17">
        <f t="shared" si="58"/>
        <v>0.58508771929824566</v>
      </c>
      <c r="AV147" s="17"/>
      <c r="AW147" s="17">
        <f t="array" ref="AW147">SUM(IF(Period=AW$4,IF(Category=$A$125,IF(Provider=$B147,Score))))</f>
        <v>83.3</v>
      </c>
      <c r="AX147" s="17"/>
      <c r="AY147" s="20">
        <f t="array" ref="AY147">SUM(IF(Period=AW$4,IF(Category=$A$125,IF(Provider=$B147,Responses))))</f>
        <v>9</v>
      </c>
      <c r="AZ147" s="20"/>
      <c r="BA147" s="17">
        <f t="shared" si="68"/>
        <v>3.4548387096774191</v>
      </c>
      <c r="BB147" s="17"/>
      <c r="BC147" s="17">
        <f t="shared" si="59"/>
        <v>0.57580645161290323</v>
      </c>
      <c r="BD147" s="17"/>
      <c r="BE147" s="17">
        <f t="array" ref="BE147">SUM(IF(Period=BE$4,IF(Category=$A$125,IF(Provider=$B147,Score))))</f>
        <v>71.400000000000006</v>
      </c>
      <c r="BF147" s="17"/>
      <c r="BG147" s="20">
        <f t="array" ref="BG147">SUM(IF(Period=BE$4,IF(Category=$A$125,IF(Provider=$B147,Responses))))</f>
        <v>7</v>
      </c>
      <c r="BH147" s="20"/>
      <c r="BI147" s="17">
        <f t="shared" si="69"/>
        <v>2.1177966101694916</v>
      </c>
      <c r="BJ147" s="17"/>
      <c r="BK147" s="17">
        <f t="shared" si="60"/>
        <v>0.35321554770318025</v>
      </c>
      <c r="BL147" s="17"/>
      <c r="BM147" s="17">
        <f t="array" ref="BM147">SUM(IF(Period=BM$4,IF(Category=$A$125,IF(Provider=$B147,Score))))</f>
        <v>87.5</v>
      </c>
      <c r="BN147" s="17"/>
      <c r="BO147" s="20">
        <f t="array" ref="BO147">SUM(IF(Period=BM$4,IF(Category=$A$125,IF(Provider=$B147,Responses))))</f>
        <v>8</v>
      </c>
      <c r="BP147" s="20"/>
      <c r="BQ147" s="17">
        <f t="shared" si="70"/>
        <v>3.0172413793103448</v>
      </c>
      <c r="BR147" s="17"/>
      <c r="BS147" s="17">
        <f t="shared" si="61"/>
        <v>0.50505050505050508</v>
      </c>
      <c r="BT147" s="17"/>
      <c r="BU147" s="17">
        <f t="array" ref="BU147">SUM(IF(Period=BU$4,IF(Category=$A$125,IF(Provider=$B147,Score))))</f>
        <v>79.2</v>
      </c>
      <c r="BV147" s="17"/>
      <c r="BW147" s="20">
        <f t="array" ref="BW147">SUM(IF(Period=BU$4,IF(Category=$A$125,IF(Provider=$B147,Responses))))</f>
        <v>12</v>
      </c>
      <c r="BX147" s="20"/>
      <c r="BY147" s="17">
        <f t="shared" si="71"/>
        <v>3.9435684647302902</v>
      </c>
      <c r="BZ147" s="17"/>
      <c r="CA147" s="17">
        <f t="shared" si="62"/>
        <v>0.65680718728403598</v>
      </c>
    </row>
    <row r="148" spans="2:79" outlineLevel="1" x14ac:dyDescent="0.25">
      <c r="B148" t="s">
        <v>27</v>
      </c>
      <c r="C148" s="17">
        <v>0</v>
      </c>
      <c r="D148" s="17"/>
      <c r="E148" s="17">
        <v>0</v>
      </c>
      <c r="F148" s="17"/>
      <c r="G148" s="17">
        <v>0</v>
      </c>
      <c r="H148" s="17"/>
      <c r="I148" s="17">
        <f t="array" ref="I148">SUM(IF(Period=I$4,IF(Category=$A$125,IF(Provider=$B148,Score))))</f>
        <v>85</v>
      </c>
      <c r="J148" s="17"/>
      <c r="K148" s="20">
        <f t="array" ref="K148">SUM(IF(Period=I$4,IF(Category=$A$125,IF(Provider=$B148,Responses))))</f>
        <v>5</v>
      </c>
      <c r="L148" s="20"/>
      <c r="M148" s="17">
        <f t="shared" si="63"/>
        <v>2.1039603960396041</v>
      </c>
      <c r="N148" s="17"/>
      <c r="O148" s="17">
        <f t="shared" si="54"/>
        <v>0.35153019023986765</v>
      </c>
      <c r="P148" s="17"/>
      <c r="Q148" s="17">
        <f t="array" ref="Q148">SUM(IF(Period=Q$4,IF(Category=$A$125,IF(Provider=$B148,Score))))</f>
        <v>100</v>
      </c>
      <c r="R148" s="17"/>
      <c r="S148" s="20">
        <f t="array" ref="S148">SUM(IF(Period=Q$4,IF(Category=$A$125,IF(Provider=$B148,Responses))))</f>
        <v>6</v>
      </c>
      <c r="T148" s="20"/>
      <c r="U148" s="17">
        <f t="shared" si="64"/>
        <v>3.2085561497326207</v>
      </c>
      <c r="V148" s="17"/>
      <c r="W148" s="17">
        <f t="shared" si="55"/>
        <v>0.53475935828876997</v>
      </c>
      <c r="X148" s="17"/>
      <c r="Y148" s="17">
        <f t="array" ref="Y148">SUM(IF(Period=Y$4,IF(Category=$A$125,IF(Provider=$B148,Score))))</f>
        <v>75</v>
      </c>
      <c r="Z148" s="17"/>
      <c r="AA148" s="20">
        <f t="array" ref="AA148">SUM(IF(Period=Y$4,IF(Category=$A$125,IF(Provider=$B148,Responses))))</f>
        <v>6</v>
      </c>
      <c r="AB148" s="20"/>
      <c r="AC148" s="17">
        <f t="shared" si="65"/>
        <v>1.4851485148514851</v>
      </c>
      <c r="AD148" s="17"/>
      <c r="AE148" s="17">
        <f t="shared" si="56"/>
        <v>0.24820739106453391</v>
      </c>
      <c r="AF148" s="17"/>
      <c r="AG148" s="17">
        <f t="array" ref="AG148">SUM(IF(Period=AG$4,IF(Category=$A$125,IF(Provider=$B148,Score))))</f>
        <v>92.5</v>
      </c>
      <c r="AH148" s="17"/>
      <c r="AI148" s="20">
        <f t="array" ref="AI148">SUM(IF(Period=AG$4,IF(Category=$A$125,IF(Provider=$B148,Responses))))</f>
        <v>10</v>
      </c>
      <c r="AJ148" s="20"/>
      <c r="AK148" s="17">
        <f t="shared" si="66"/>
        <v>3.5992217898832686</v>
      </c>
      <c r="AL148" s="17"/>
      <c r="AM148" s="17">
        <f t="shared" si="57"/>
        <v>0.59909326424870457</v>
      </c>
      <c r="AN148" s="17"/>
      <c r="AO148" s="17">
        <f t="array" ref="AO148">SUM(IF(Period=AO$4,IF(Category=$A$125,IF(Provider=$B148,Score))))</f>
        <v>87.5</v>
      </c>
      <c r="AP148" s="17"/>
      <c r="AQ148" s="20">
        <f t="array" ref="AQ148">SUM(IF(Period=AO$4,IF(Category=$A$125,IF(Provider=$B148,Responses))))</f>
        <v>8</v>
      </c>
      <c r="AR148" s="20"/>
      <c r="AS148" s="17">
        <f t="shared" si="67"/>
        <v>4.0935672514619883</v>
      </c>
      <c r="AT148" s="17"/>
      <c r="AU148" s="17">
        <f t="shared" si="58"/>
        <v>0.68226120857699801</v>
      </c>
      <c r="AV148" s="17"/>
      <c r="AW148" s="17">
        <f t="array" ref="AW148">SUM(IF(Period=AW$4,IF(Category=$A$125,IF(Provider=$B148,Score))))</f>
        <v>85</v>
      </c>
      <c r="AX148" s="17"/>
      <c r="AY148" s="20">
        <f t="array" ref="AY148">SUM(IF(Period=AW$4,IF(Category=$A$125,IF(Provider=$B148,Responses))))</f>
        <v>5</v>
      </c>
      <c r="AZ148" s="20"/>
      <c r="BA148" s="17">
        <f t="shared" si="68"/>
        <v>1.9585253456221199</v>
      </c>
      <c r="BB148" s="17"/>
      <c r="BC148" s="17">
        <f t="shared" si="59"/>
        <v>0.32642089093701998</v>
      </c>
      <c r="BD148" s="17"/>
      <c r="BE148" s="17">
        <f t="array" ref="BE148">SUM(IF(Period=BE$4,IF(Category=$A$125,IF(Provider=$B148,Score))))</f>
        <v>90.6</v>
      </c>
      <c r="BF148" s="17"/>
      <c r="BG148" s="20">
        <f t="array" ref="BG148">SUM(IF(Period=BE$4,IF(Category=$A$125,IF(Provider=$B148,Responses))))</f>
        <v>8</v>
      </c>
      <c r="BH148" s="20"/>
      <c r="BI148" s="17">
        <f t="shared" si="69"/>
        <v>3.0711864406779661</v>
      </c>
      <c r="BJ148" s="17"/>
      <c r="BK148" s="17">
        <f t="shared" si="60"/>
        <v>0.51222614840989389</v>
      </c>
      <c r="BL148" s="17"/>
      <c r="BM148" s="17">
        <f t="array" ref="BM148">SUM(IF(Period=BM$4,IF(Category=$A$125,IF(Provider=$B148,Score))))</f>
        <v>86.7</v>
      </c>
      <c r="BN148" s="17"/>
      <c r="BO148" s="20">
        <f t="array" ref="BO148">SUM(IF(Period=BM$4,IF(Category=$A$125,IF(Provider=$B148,Responses))))</f>
        <v>15</v>
      </c>
      <c r="BP148" s="20"/>
      <c r="BQ148" s="17">
        <f t="shared" si="70"/>
        <v>5.605603448275863</v>
      </c>
      <c r="BR148" s="17"/>
      <c r="BS148" s="17">
        <f t="shared" si="61"/>
        <v>0.93831168831168832</v>
      </c>
      <c r="BT148" s="17"/>
      <c r="BU148" s="17">
        <f t="array" ref="BU148">SUM(IF(Period=BU$4,IF(Category=$A$125,IF(Provider=$B148,Score))))</f>
        <v>90</v>
      </c>
      <c r="BV148" s="17"/>
      <c r="BW148" s="20">
        <f t="array" ref="BW148">SUM(IF(Period=BU$4,IF(Category=$A$125,IF(Provider=$B148,Responses))))</f>
        <v>5</v>
      </c>
      <c r="BX148" s="20"/>
      <c r="BY148" s="17">
        <f t="shared" si="71"/>
        <v>1.8672199170124482</v>
      </c>
      <c r="BZ148" s="17"/>
      <c r="CA148" s="17">
        <f t="shared" si="62"/>
        <v>0.31098825155494125</v>
      </c>
    </row>
    <row r="149" spans="2:79" outlineLevel="1" x14ac:dyDescent="0.25">
      <c r="B149" t="s">
        <v>19</v>
      </c>
      <c r="C149" s="17">
        <v>0</v>
      </c>
      <c r="D149" s="17"/>
      <c r="E149" s="17">
        <v>0</v>
      </c>
      <c r="F149" s="17"/>
      <c r="G149" s="17">
        <v>0</v>
      </c>
      <c r="H149" s="17"/>
      <c r="I149" s="17">
        <f t="array" ref="I149">SUM(IF(Period=I$4,IF(Category=$A$125,IF(Provider=$B149,Score))))</f>
        <v>93.8</v>
      </c>
      <c r="J149" s="17"/>
      <c r="K149" s="20">
        <f t="array" ref="K149">SUM(IF(Period=I$4,IF(Category=$A$125,IF(Provider=$B149,Responses))))</f>
        <v>4</v>
      </c>
      <c r="L149" s="20"/>
      <c r="M149" s="17">
        <f t="shared" si="63"/>
        <v>1.8574257425742573</v>
      </c>
      <c r="N149" s="17"/>
      <c r="O149" s="17">
        <f t="shared" si="54"/>
        <v>0.31033912324234902</v>
      </c>
      <c r="P149" s="17"/>
      <c r="Q149" s="17">
        <f t="array" ref="Q149">SUM(IF(Period=Q$4,IF(Category=$A$125,IF(Provider=$B149,Score))))</f>
        <v>75</v>
      </c>
      <c r="R149" s="17"/>
      <c r="S149" s="20">
        <f t="array" ref="S149">SUM(IF(Period=Q$4,IF(Category=$A$125,IF(Provider=$B149,Responses))))</f>
        <v>4</v>
      </c>
      <c r="T149" s="20"/>
      <c r="U149" s="17">
        <f t="shared" si="64"/>
        <v>1.6042780748663101</v>
      </c>
      <c r="V149" s="17"/>
      <c r="W149" s="17">
        <f t="shared" si="55"/>
        <v>0.26737967914438499</v>
      </c>
      <c r="X149" s="17"/>
      <c r="Y149" s="17">
        <f t="array" ref="Y149">SUM(IF(Period=Y$4,IF(Category=$A$125,IF(Provider=$B149,Score))))</f>
        <v>100</v>
      </c>
      <c r="Z149" s="17"/>
      <c r="AA149" s="20">
        <f t="array" ref="AA149">SUM(IF(Period=Y$4,IF(Category=$A$125,IF(Provider=$B149,Responses))))</f>
        <v>3</v>
      </c>
      <c r="AB149" s="20"/>
      <c r="AC149" s="17">
        <f t="shared" si="65"/>
        <v>0.99009900990099009</v>
      </c>
      <c r="AD149" s="17"/>
      <c r="AE149" s="17">
        <f t="shared" si="56"/>
        <v>0.16547159404302261</v>
      </c>
      <c r="AF149" s="17"/>
      <c r="AG149" s="17">
        <f t="array" ref="AG149">SUM(IF(Period=AG$4,IF(Category=$A$125,IF(Provider=$B149,Score))))</f>
        <v>90.6</v>
      </c>
      <c r="AH149" s="17"/>
      <c r="AI149" s="20">
        <f t="array" ref="AI149">SUM(IF(Period=AG$4,IF(Category=$A$125,IF(Provider=$B149,Responses))))</f>
        <v>8</v>
      </c>
      <c r="AJ149" s="20"/>
      <c r="AK149" s="17">
        <f t="shared" si="66"/>
        <v>2.8202334630350192</v>
      </c>
      <c r="AL149" s="17"/>
      <c r="AM149" s="17">
        <f t="shared" si="57"/>
        <v>0.46943005181347147</v>
      </c>
      <c r="AN149" s="17"/>
      <c r="AO149" s="17">
        <f t="array" ref="AO149">SUM(IF(Period=AO$4,IF(Category=$A$125,IF(Provider=$B149,Score))))</f>
        <v>33.299999999999997</v>
      </c>
      <c r="AP149" s="17"/>
      <c r="AQ149" s="20">
        <f t="array" ref="AQ149">SUM(IF(Period=AO$4,IF(Category=$A$125,IF(Provider=$B149,Responses))))</f>
        <v>3</v>
      </c>
      <c r="AR149" s="20"/>
      <c r="AS149" s="17">
        <f t="shared" si="67"/>
        <v>0.5842105263157894</v>
      </c>
      <c r="AT149" s="17"/>
      <c r="AU149" s="17">
        <f t="shared" si="58"/>
        <v>9.7368421052631562E-2</v>
      </c>
      <c r="AV149" s="17"/>
      <c r="AW149" s="17">
        <f t="array" ref="AW149">SUM(IF(Period=AW$4,IF(Category=$A$125,IF(Provider=$B149,Score))))</f>
        <v>96.4</v>
      </c>
      <c r="AX149" s="17"/>
      <c r="AY149" s="20">
        <f t="array" ref="AY149">SUM(IF(Period=AW$4,IF(Category=$A$125,IF(Provider=$B149,Responses))))</f>
        <v>7</v>
      </c>
      <c r="AZ149" s="20"/>
      <c r="BA149" s="17">
        <f t="shared" si="68"/>
        <v>3.1096774193548389</v>
      </c>
      <c r="BB149" s="17"/>
      <c r="BC149" s="17">
        <f t="shared" si="59"/>
        <v>0.51827956989247315</v>
      </c>
      <c r="BD149" s="17"/>
      <c r="BE149" s="17">
        <f t="array" ref="BE149">SUM(IF(Period=BE$4,IF(Category=$A$125,IF(Provider=$B149,Score))))</f>
        <v>69.400000000000006</v>
      </c>
      <c r="BF149" s="17"/>
      <c r="BG149" s="20">
        <f t="array" ref="BG149">SUM(IF(Period=BE$4,IF(Category=$A$125,IF(Provider=$B149,Responses))))</f>
        <v>9</v>
      </c>
      <c r="BH149" s="20"/>
      <c r="BI149" s="17">
        <f t="shared" si="69"/>
        <v>2.6466101694915256</v>
      </c>
      <c r="BJ149" s="17"/>
      <c r="BK149" s="17">
        <f t="shared" si="60"/>
        <v>0.44141342756183749</v>
      </c>
      <c r="BL149" s="17"/>
      <c r="BM149" s="17">
        <f t="array" ref="BM149">SUM(IF(Period=BM$4,IF(Category=$A$125,IF(Provider=$B149,Score))))</f>
        <v>87.5</v>
      </c>
      <c r="BN149" s="17"/>
      <c r="BO149" s="20">
        <f t="array" ref="BO149">SUM(IF(Period=BM$4,IF(Category=$A$125,IF(Provider=$B149,Responses))))</f>
        <v>6</v>
      </c>
      <c r="BP149" s="20"/>
      <c r="BQ149" s="17">
        <f t="shared" si="70"/>
        <v>2.2629310344827585</v>
      </c>
      <c r="BR149" s="17"/>
      <c r="BS149" s="17">
        <f t="shared" si="61"/>
        <v>0.37878787878787878</v>
      </c>
      <c r="BT149" s="17"/>
      <c r="BU149" s="17">
        <f t="array" ref="BU149">SUM(IF(Period=BU$4,IF(Category=$A$125,IF(Provider=$B149,Score))))</f>
        <v>84.4</v>
      </c>
      <c r="BV149" s="17"/>
      <c r="BW149" s="20">
        <f t="array" ref="BW149">SUM(IF(Period=BU$4,IF(Category=$A$125,IF(Provider=$B149,Responses))))</f>
        <v>8</v>
      </c>
      <c r="BX149" s="20"/>
      <c r="BY149" s="17">
        <f t="shared" si="71"/>
        <v>2.8016597510373447</v>
      </c>
      <c r="BZ149" s="17"/>
      <c r="CA149" s="17">
        <f t="shared" si="62"/>
        <v>0.46662059433310299</v>
      </c>
    </row>
    <row r="150" spans="2:79" outlineLevel="1" x14ac:dyDescent="0.25">
      <c r="B150" t="s">
        <v>34</v>
      </c>
      <c r="C150" s="17">
        <v>0</v>
      </c>
      <c r="D150" s="17"/>
      <c r="E150" s="17">
        <v>0</v>
      </c>
      <c r="F150" s="17"/>
      <c r="G150" s="17">
        <v>0</v>
      </c>
      <c r="H150" s="17"/>
      <c r="I150" s="17">
        <f t="array" ref="I150">SUM(IF(Period=I$4,IF(Category=$A$125,IF(Provider=$B150,Score))))</f>
        <v>75</v>
      </c>
      <c r="J150" s="17"/>
      <c r="K150" s="20">
        <f t="array" ref="K150">SUM(IF(Period=I$4,IF(Category=$A$125,IF(Provider=$B150,Responses))))</f>
        <v>1</v>
      </c>
      <c r="L150" s="20"/>
      <c r="M150" s="17">
        <f t="shared" si="63"/>
        <v>0.37128712871287128</v>
      </c>
      <c r="N150" s="17"/>
      <c r="O150" s="17">
        <f t="shared" si="54"/>
        <v>6.2034739454094295E-2</v>
      </c>
      <c r="P150" s="17"/>
      <c r="Q150" s="17">
        <f t="array" ref="Q150">SUM(IF(Period=Q$4,IF(Category=$A$125,IF(Provider=$B150,Score))))</f>
        <v>93.8</v>
      </c>
      <c r="R150" s="17"/>
      <c r="S150" s="20">
        <f t="array" ref="S150">SUM(IF(Period=Q$4,IF(Category=$A$125,IF(Provider=$B150,Responses))))</f>
        <v>4</v>
      </c>
      <c r="T150" s="20"/>
      <c r="U150" s="17">
        <f t="shared" si="64"/>
        <v>2.0064171122994652</v>
      </c>
      <c r="V150" s="17"/>
      <c r="W150" s="17">
        <f t="shared" si="55"/>
        <v>0.33440285204991083</v>
      </c>
      <c r="X150" s="17"/>
      <c r="Y150" s="17">
        <f t="array" ref="Y150">SUM(IF(Period=Y$4,IF(Category=$A$125,IF(Provider=$B150,Score))))</f>
        <v>79.2</v>
      </c>
      <c r="Z150" s="17"/>
      <c r="AA150" s="20">
        <f t="array" ref="AA150">SUM(IF(Period=Y$4,IF(Category=$A$125,IF(Provider=$B150,Responses))))</f>
        <v>12</v>
      </c>
      <c r="AB150" s="20"/>
      <c r="AC150" s="17">
        <f t="shared" si="65"/>
        <v>3.1366336633663368</v>
      </c>
      <c r="AD150" s="17"/>
      <c r="AE150" s="17">
        <f t="shared" si="56"/>
        <v>0.52421400992829559</v>
      </c>
      <c r="AF150" s="17"/>
      <c r="AG150" s="17">
        <f t="array" ref="AG150">SUM(IF(Period=AG$4,IF(Category=$A$125,IF(Provider=$B150,Score))))</f>
        <v>93.8</v>
      </c>
      <c r="AH150" s="17"/>
      <c r="AI150" s="20">
        <f t="array" ref="AI150">SUM(IF(Period=AG$4,IF(Category=$A$125,IF(Provider=$B150,Responses))))</f>
        <v>8</v>
      </c>
      <c r="AJ150" s="20"/>
      <c r="AK150" s="17">
        <f t="shared" si="66"/>
        <v>2.9198443579766535</v>
      </c>
      <c r="AL150" s="17"/>
      <c r="AM150" s="17">
        <f t="shared" si="57"/>
        <v>0.48601036269430054</v>
      </c>
      <c r="AN150" s="17"/>
      <c r="AO150" s="17">
        <f t="array" ref="AO150">SUM(IF(Period=AO$4,IF(Category=$A$125,IF(Provider=$B150,Score))))</f>
        <v>87.5</v>
      </c>
      <c r="AP150" s="17"/>
      <c r="AQ150" s="20">
        <f t="array" ref="AQ150">SUM(IF(Period=AO$4,IF(Category=$A$125,IF(Provider=$B150,Responses))))</f>
        <v>2</v>
      </c>
      <c r="AR150" s="20"/>
      <c r="AS150" s="17">
        <f t="shared" si="67"/>
        <v>1.0233918128654971</v>
      </c>
      <c r="AT150" s="17"/>
      <c r="AU150" s="17">
        <f t="shared" si="58"/>
        <v>0.1705653021442495</v>
      </c>
      <c r="AV150" s="17"/>
      <c r="AW150" s="17">
        <f t="array" ref="AW150">SUM(IF(Period=AW$4,IF(Category=$A$125,IF(Provider=$B150,Score))))</f>
        <v>85</v>
      </c>
      <c r="AX150" s="17"/>
      <c r="AY150" s="20">
        <f t="array" ref="AY150">SUM(IF(Period=AW$4,IF(Category=$A$125,IF(Provider=$B150,Responses))))</f>
        <v>5</v>
      </c>
      <c r="AZ150" s="20"/>
      <c r="BA150" s="17">
        <f t="shared" si="68"/>
        <v>1.9585253456221199</v>
      </c>
      <c r="BB150" s="17"/>
      <c r="BC150" s="17">
        <f t="shared" si="59"/>
        <v>0.32642089093701998</v>
      </c>
      <c r="BD150" s="17"/>
      <c r="BE150" s="17">
        <f t="array" ref="BE150">SUM(IF(Period=BE$4,IF(Category=$A$125,IF(Provider=$B150,Score))))</f>
        <v>96.9</v>
      </c>
      <c r="BF150" s="17"/>
      <c r="BG150" s="20">
        <f t="array" ref="BG150">SUM(IF(Period=BE$4,IF(Category=$A$125,IF(Provider=$B150,Responses))))</f>
        <v>8</v>
      </c>
      <c r="BH150" s="20"/>
      <c r="BI150" s="17">
        <f t="shared" si="69"/>
        <v>3.2847457627118648</v>
      </c>
      <c r="BJ150" s="17"/>
      <c r="BK150" s="17">
        <f t="shared" si="60"/>
        <v>0.54784452296819786</v>
      </c>
      <c r="BL150" s="17"/>
      <c r="BM150" s="17">
        <f t="array" ref="BM150">SUM(IF(Period=BM$4,IF(Category=$A$125,IF(Provider=$B150,Score))))</f>
        <v>89.6</v>
      </c>
      <c r="BN150" s="17"/>
      <c r="BO150" s="20">
        <f t="array" ref="BO150">SUM(IF(Period=BM$4,IF(Category=$A$125,IF(Provider=$B150,Responses))))</f>
        <v>12</v>
      </c>
      <c r="BP150" s="20"/>
      <c r="BQ150" s="17">
        <f t="shared" si="70"/>
        <v>4.6344827586206891</v>
      </c>
      <c r="BR150" s="17"/>
      <c r="BS150" s="17">
        <f t="shared" si="61"/>
        <v>0.77575757575757576</v>
      </c>
      <c r="BT150" s="17"/>
      <c r="BU150" s="17">
        <f t="array" ref="BU150">SUM(IF(Period=BU$4,IF(Category=$A$125,IF(Provider=$B150,Score))))</f>
        <v>100</v>
      </c>
      <c r="BV150" s="17"/>
      <c r="BW150" s="20">
        <f t="array" ref="BW150">SUM(IF(Period=BU$4,IF(Category=$A$125,IF(Provider=$B150,Responses))))</f>
        <v>3</v>
      </c>
      <c r="BX150" s="20"/>
      <c r="BY150" s="17">
        <f t="shared" si="71"/>
        <v>1.2448132780082988</v>
      </c>
      <c r="BZ150" s="17"/>
      <c r="CA150" s="17">
        <f t="shared" si="62"/>
        <v>0.2073255010366275</v>
      </c>
    </row>
    <row r="151" spans="2:79" outlineLevel="1" x14ac:dyDescent="0.25">
      <c r="B151" t="s">
        <v>41</v>
      </c>
      <c r="C151" s="17">
        <v>0</v>
      </c>
      <c r="D151" s="17"/>
      <c r="E151" s="17">
        <v>0</v>
      </c>
      <c r="F151" s="17"/>
      <c r="G151" s="17">
        <v>0</v>
      </c>
      <c r="H151" s="17"/>
      <c r="I151" s="17">
        <f t="array" ref="I151">SUM(IF(Period=I$4,IF(Category=$A$125,IF(Provider=$B151,Score))))</f>
        <v>58.3</v>
      </c>
      <c r="J151" s="17"/>
      <c r="K151" s="20">
        <f t="array" ref="K151">SUM(IF(Period=I$4,IF(Category=$A$125,IF(Provider=$B151,Responses))))</f>
        <v>3</v>
      </c>
      <c r="L151" s="20"/>
      <c r="M151" s="17">
        <f t="shared" si="63"/>
        <v>0.86584158415841572</v>
      </c>
      <c r="N151" s="17"/>
      <c r="O151" s="17">
        <f t="shared" si="54"/>
        <v>0.14466501240694787</v>
      </c>
      <c r="P151" s="17"/>
      <c r="Q151" s="17">
        <f t="array" ref="Q151">SUM(IF(Period=Q$4,IF(Category=$A$125,IF(Provider=$B151,Score))))</f>
        <v>65</v>
      </c>
      <c r="R151" s="17"/>
      <c r="S151" s="20">
        <f t="array" ref="S151">SUM(IF(Period=Q$4,IF(Category=$A$125,IF(Provider=$B151,Responses))))</f>
        <v>5</v>
      </c>
      <c r="T151" s="20"/>
      <c r="U151" s="17">
        <f t="shared" si="64"/>
        <v>1.7379679144385027</v>
      </c>
      <c r="V151" s="17"/>
      <c r="W151" s="17">
        <f t="shared" si="55"/>
        <v>0.28966131907308379</v>
      </c>
      <c r="X151" s="17"/>
      <c r="Y151" s="17">
        <f t="array" ref="Y151">SUM(IF(Period=Y$4,IF(Category=$A$125,IF(Provider=$B151,Score))))</f>
        <v>84.4</v>
      </c>
      <c r="Z151" s="17"/>
      <c r="AA151" s="20">
        <f t="array" ref="AA151">SUM(IF(Period=Y$4,IF(Category=$A$125,IF(Provider=$B151,Responses))))</f>
        <v>8</v>
      </c>
      <c r="AB151" s="20"/>
      <c r="AC151" s="17">
        <f t="shared" si="65"/>
        <v>2.2283828382838284</v>
      </c>
      <c r="AD151" s="17"/>
      <c r="AE151" s="17">
        <f t="shared" si="56"/>
        <v>0.37242140099282961</v>
      </c>
      <c r="AF151" s="17"/>
      <c r="AG151" s="17">
        <f t="array" ref="AG151">SUM(IF(Period=AG$4,IF(Category=$A$125,IF(Provider=$B151,Score))))</f>
        <v>95.8</v>
      </c>
      <c r="AH151" s="17"/>
      <c r="AI151" s="20">
        <f t="array" ref="AI151">SUM(IF(Period=AG$4,IF(Category=$A$125,IF(Provider=$B151,Responses))))</f>
        <v>6</v>
      </c>
      <c r="AJ151" s="20"/>
      <c r="AK151" s="17">
        <f t="shared" si="66"/>
        <v>2.2365758754863814</v>
      </c>
      <c r="AL151" s="17"/>
      <c r="AM151" s="17">
        <f t="shared" si="57"/>
        <v>0.37227979274611395</v>
      </c>
      <c r="AN151" s="17"/>
      <c r="AO151" s="17">
        <f t="array" ref="AO151">SUM(IF(Period=AO$4,IF(Category=$A$125,IF(Provider=$B151,Score))))</f>
        <v>83.3</v>
      </c>
      <c r="AP151" s="17"/>
      <c r="AQ151" s="20">
        <f t="array" ref="AQ151">SUM(IF(Period=AO$4,IF(Category=$A$125,IF(Provider=$B151,Responses))))</f>
        <v>6</v>
      </c>
      <c r="AR151" s="20"/>
      <c r="AS151" s="17">
        <f t="shared" si="67"/>
        <v>2.9228070175438594</v>
      </c>
      <c r="AT151" s="17"/>
      <c r="AU151" s="17">
        <f t="shared" si="58"/>
        <v>0.48713450292397659</v>
      </c>
      <c r="AV151" s="17"/>
      <c r="AW151" s="17">
        <f t="array" ref="AW151">SUM(IF(Period=AW$4,IF(Category=$A$125,IF(Provider=$B151,Score))))</f>
        <v>100</v>
      </c>
      <c r="AX151" s="17"/>
      <c r="AY151" s="20">
        <f t="array" ref="AY151">SUM(IF(Period=AW$4,IF(Category=$A$125,IF(Provider=$B151,Responses))))</f>
        <v>4</v>
      </c>
      <c r="AZ151" s="20"/>
      <c r="BA151" s="17">
        <f t="shared" si="68"/>
        <v>1.8433179723502304</v>
      </c>
      <c r="BB151" s="17"/>
      <c r="BC151" s="17">
        <f t="shared" si="59"/>
        <v>0.30721966205837176</v>
      </c>
      <c r="BD151" s="17"/>
      <c r="BE151" s="17">
        <f t="array" ref="BE151">SUM(IF(Period=BE$4,IF(Category=$A$125,IF(Provider=$B151,Score))))</f>
        <v>85.7</v>
      </c>
      <c r="BF151" s="17"/>
      <c r="BG151" s="20">
        <f t="array" ref="BG151">SUM(IF(Period=BE$4,IF(Category=$A$125,IF(Provider=$B151,Responses))))</f>
        <v>7</v>
      </c>
      <c r="BH151" s="20"/>
      <c r="BI151" s="17">
        <f t="shared" si="69"/>
        <v>2.5419491525423732</v>
      </c>
      <c r="BJ151" s="17"/>
      <c r="BK151" s="17">
        <f t="shared" si="60"/>
        <v>0.42395759717314491</v>
      </c>
      <c r="BL151" s="17"/>
      <c r="BM151" s="17">
        <f t="array" ref="BM151">SUM(IF(Period=BM$4,IF(Category=$A$125,IF(Provider=$B151,Score))))</f>
        <v>87.5</v>
      </c>
      <c r="BN151" s="17"/>
      <c r="BO151" s="20">
        <f t="array" ref="BO151">SUM(IF(Period=BM$4,IF(Category=$A$125,IF(Provider=$B151,Responses))))</f>
        <v>4</v>
      </c>
      <c r="BP151" s="20"/>
      <c r="BQ151" s="17">
        <f t="shared" si="70"/>
        <v>1.5086206896551724</v>
      </c>
      <c r="BR151" s="17"/>
      <c r="BS151" s="17">
        <f t="shared" si="61"/>
        <v>0.25252525252525254</v>
      </c>
      <c r="BT151" s="17"/>
      <c r="BU151" s="17">
        <f t="array" ref="BU151">SUM(IF(Period=BU$4,IF(Category=$A$125,IF(Provider=$B151,Score))))</f>
        <v>83.3</v>
      </c>
      <c r="BV151" s="17"/>
      <c r="BW151" s="20">
        <f t="array" ref="BW151">SUM(IF(Period=BU$4,IF(Category=$A$125,IF(Provider=$B151,Responses))))</f>
        <v>6</v>
      </c>
      <c r="BX151" s="20"/>
      <c r="BY151" s="17">
        <f t="shared" si="71"/>
        <v>2.0738589211618255</v>
      </c>
      <c r="BZ151" s="17"/>
      <c r="CA151" s="17">
        <f t="shared" si="62"/>
        <v>0.34540428472702139</v>
      </c>
    </row>
    <row r="152" spans="2:79" outlineLevel="1" x14ac:dyDescent="0.25">
      <c r="B152" t="s">
        <v>13</v>
      </c>
      <c r="C152" s="17">
        <v>0</v>
      </c>
      <c r="D152" s="17"/>
      <c r="E152" s="17">
        <v>0</v>
      </c>
      <c r="F152" s="17"/>
      <c r="G152" s="17">
        <v>0</v>
      </c>
      <c r="H152" s="17"/>
      <c r="I152" s="17">
        <f t="array" ref="I152">SUM(IF(Period=I$4,IF(Category=$A$125,IF(Provider=$B152,Score))))</f>
        <v>100</v>
      </c>
      <c r="J152" s="17"/>
      <c r="K152" s="20">
        <f t="array" ref="K152">SUM(IF(Period=I$4,IF(Category=$A$125,IF(Provider=$B152,Responses))))</f>
        <v>6</v>
      </c>
      <c r="L152" s="20"/>
      <c r="M152" s="17">
        <f t="shared" si="63"/>
        <v>2.9702970297029703</v>
      </c>
      <c r="N152" s="17"/>
      <c r="O152" s="17">
        <f t="shared" si="54"/>
        <v>0.49627791563275436</v>
      </c>
      <c r="P152" s="17"/>
      <c r="Q152" s="17">
        <f t="array" ref="Q152">SUM(IF(Period=Q$4,IF(Category=$A$125,IF(Provider=$B152,Score))))</f>
        <v>79.7</v>
      </c>
      <c r="R152" s="17"/>
      <c r="S152" s="20">
        <f t="array" ref="S152">SUM(IF(Period=Q$4,IF(Category=$A$125,IF(Provider=$B152,Responses))))</f>
        <v>16</v>
      </c>
      <c r="T152" s="20"/>
      <c r="U152" s="17">
        <f t="shared" si="64"/>
        <v>6.8192513368983958</v>
      </c>
      <c r="V152" s="17"/>
      <c r="W152" s="17">
        <f t="shared" si="55"/>
        <v>1.1365418894830659</v>
      </c>
      <c r="X152" s="17"/>
      <c r="Y152" s="17">
        <f t="array" ref="Y152">SUM(IF(Period=Y$4,IF(Category=$A$125,IF(Provider=$B152,Score))))</f>
        <v>91.7</v>
      </c>
      <c r="Z152" s="17"/>
      <c r="AA152" s="20">
        <f t="array" ref="AA152">SUM(IF(Period=Y$4,IF(Category=$A$125,IF(Provider=$B152,Responses))))</f>
        <v>12</v>
      </c>
      <c r="AB152" s="20"/>
      <c r="AC152" s="17">
        <f t="shared" si="65"/>
        <v>3.6316831683168318</v>
      </c>
      <c r="AD152" s="17"/>
      <c r="AE152" s="17">
        <f t="shared" si="56"/>
        <v>0.60694980694980694</v>
      </c>
      <c r="AF152" s="17"/>
      <c r="AG152" s="17">
        <f t="array" ref="AG152">SUM(IF(Period=AG$4,IF(Category=$A$125,IF(Provider=$B152,Score))))</f>
        <v>88.2</v>
      </c>
      <c r="AH152" s="17"/>
      <c r="AI152" s="20">
        <f t="array" ref="AI152">SUM(IF(Period=AG$4,IF(Category=$A$125,IF(Provider=$B152,Responses))))</f>
        <v>17</v>
      </c>
      <c r="AJ152" s="20"/>
      <c r="AK152" s="17">
        <f t="shared" si="66"/>
        <v>5.8342412451361874</v>
      </c>
      <c r="AL152" s="17"/>
      <c r="AM152" s="17">
        <f t="shared" si="57"/>
        <v>0.97111398963730566</v>
      </c>
      <c r="AN152" s="17"/>
      <c r="AO152" s="17">
        <f t="array" ref="AO152">SUM(IF(Period=AO$4,IF(Category=$A$125,IF(Provider=$B152,Score))))</f>
        <v>100</v>
      </c>
      <c r="AP152" s="17"/>
      <c r="AQ152" s="20">
        <f t="array" ref="AQ152">SUM(IF(Period=AO$4,IF(Category=$A$125,IF(Provider=$B152,Responses))))</f>
        <v>4</v>
      </c>
      <c r="AR152" s="20"/>
      <c r="AS152" s="17">
        <f t="shared" si="67"/>
        <v>2.3391812865497075</v>
      </c>
      <c r="AT152" s="17"/>
      <c r="AU152" s="17">
        <f t="shared" si="58"/>
        <v>0.38986354775828458</v>
      </c>
      <c r="AV152" s="17"/>
      <c r="AW152" s="17">
        <f t="array" ref="AW152">SUM(IF(Period=AW$4,IF(Category=$A$125,IF(Provider=$B152,Score))))</f>
        <v>73.5</v>
      </c>
      <c r="AX152" s="17"/>
      <c r="AY152" s="20">
        <f t="array" ref="AY152">SUM(IF(Period=AW$4,IF(Category=$A$125,IF(Provider=$B152,Responses))))</f>
        <v>17</v>
      </c>
      <c r="AZ152" s="20"/>
      <c r="BA152" s="17">
        <f t="shared" si="68"/>
        <v>5.758064516129032</v>
      </c>
      <c r="BB152" s="17"/>
      <c r="BC152" s="17">
        <f t="shared" si="59"/>
        <v>0.95967741935483863</v>
      </c>
      <c r="BD152" s="17"/>
      <c r="BE152" s="17">
        <f t="array" ref="BE152">SUM(IF(Period=BE$4,IF(Category=$A$125,IF(Provider=$B152,Score))))</f>
        <v>97.7</v>
      </c>
      <c r="BF152" s="17"/>
      <c r="BG152" s="20">
        <f t="array" ref="BG152">SUM(IF(Period=BE$4,IF(Category=$A$125,IF(Provider=$B152,Responses))))</f>
        <v>11</v>
      </c>
      <c r="BH152" s="20"/>
      <c r="BI152" s="17">
        <f t="shared" si="69"/>
        <v>4.5538135593220339</v>
      </c>
      <c r="BJ152" s="17"/>
      <c r="BK152" s="17">
        <f t="shared" si="60"/>
        <v>0.75950530035335695</v>
      </c>
      <c r="BL152" s="17"/>
      <c r="BM152" s="17">
        <f t="array" ref="BM152">SUM(IF(Period=BM$4,IF(Category=$A$125,IF(Provider=$B152,Score))))</f>
        <v>89.3</v>
      </c>
      <c r="BN152" s="17"/>
      <c r="BO152" s="20">
        <f t="array" ref="BO152">SUM(IF(Period=BM$4,IF(Category=$A$125,IF(Provider=$B152,Responses))))</f>
        <v>14</v>
      </c>
      <c r="BP152" s="20"/>
      <c r="BQ152" s="17">
        <f t="shared" si="70"/>
        <v>5.3887931034482763</v>
      </c>
      <c r="BR152" s="17"/>
      <c r="BS152" s="17">
        <f t="shared" si="61"/>
        <v>0.90202020202020206</v>
      </c>
      <c r="BT152" s="17"/>
      <c r="BU152" s="17">
        <f t="array" ref="BU152">SUM(IF(Period=BU$4,IF(Category=$A$125,IF(Provider=$B152,Score))))</f>
        <v>82.4</v>
      </c>
      <c r="BV152" s="17"/>
      <c r="BW152" s="20">
        <f t="array" ref="BW152">SUM(IF(Period=BU$4,IF(Category=$A$125,IF(Provider=$B152,Responses))))</f>
        <v>17</v>
      </c>
      <c r="BX152" s="20"/>
      <c r="BY152" s="17">
        <f t="shared" si="71"/>
        <v>5.8124481327800837</v>
      </c>
      <c r="BZ152" s="17"/>
      <c r="CA152" s="17">
        <f t="shared" si="62"/>
        <v>0.96807187284035945</v>
      </c>
    </row>
    <row r="153" spans="2:79" outlineLevel="1" x14ac:dyDescent="0.25">
      <c r="B153" t="s">
        <v>25</v>
      </c>
      <c r="C153" s="17">
        <v>0</v>
      </c>
      <c r="D153" s="17"/>
      <c r="E153" s="17">
        <v>0</v>
      </c>
      <c r="F153" s="17"/>
      <c r="G153" s="17">
        <v>0</v>
      </c>
      <c r="H153" s="17"/>
      <c r="I153" s="17">
        <f t="array" ref="I153">SUM(IF(Period=I$4,IF(Category=$A$125,IF(Provider=$B153,Score))))</f>
        <v>87.5</v>
      </c>
      <c r="J153" s="17"/>
      <c r="K153" s="20">
        <f t="array" ref="K153">SUM(IF(Period=I$4,IF(Category=$A$125,IF(Provider=$B153,Responses))))</f>
        <v>6</v>
      </c>
      <c r="L153" s="20"/>
      <c r="M153" s="17">
        <f t="shared" si="63"/>
        <v>2.5990099009900991</v>
      </c>
      <c r="N153" s="17"/>
      <c r="O153" s="17">
        <f t="shared" si="54"/>
        <v>0.43424317617866004</v>
      </c>
      <c r="P153" s="17"/>
      <c r="Q153" s="17">
        <f t="array" ref="Q153">SUM(IF(Period=Q$4,IF(Category=$A$125,IF(Provider=$B153,Score))))</f>
        <v>87.5</v>
      </c>
      <c r="R153" s="17"/>
      <c r="S153" s="20">
        <f t="array" ref="S153">SUM(IF(Period=Q$4,IF(Category=$A$125,IF(Provider=$B153,Responses))))</f>
        <v>8</v>
      </c>
      <c r="T153" s="20"/>
      <c r="U153" s="17">
        <f t="shared" si="64"/>
        <v>3.7433155080213902</v>
      </c>
      <c r="V153" s="17"/>
      <c r="W153" s="17">
        <f t="shared" si="55"/>
        <v>0.62388591800356508</v>
      </c>
      <c r="X153" s="17"/>
      <c r="Y153" s="17">
        <f t="array" ref="Y153">SUM(IF(Period=Y$4,IF(Category=$A$125,IF(Provider=$B153,Score))))</f>
        <v>82.5</v>
      </c>
      <c r="Z153" s="17"/>
      <c r="AA153" s="20">
        <f t="array" ref="AA153">SUM(IF(Period=Y$4,IF(Category=$A$125,IF(Provider=$B153,Responses))))</f>
        <v>10</v>
      </c>
      <c r="AB153" s="20"/>
      <c r="AC153" s="17">
        <f t="shared" si="65"/>
        <v>2.7227722772277225</v>
      </c>
      <c r="AD153" s="17"/>
      <c r="AE153" s="17">
        <f t="shared" si="56"/>
        <v>0.45504688361831219</v>
      </c>
      <c r="AF153" s="17"/>
      <c r="AG153" s="17">
        <f t="array" ref="AG153">SUM(IF(Period=AG$4,IF(Category=$A$125,IF(Provider=$B153,Score))))</f>
        <v>85</v>
      </c>
      <c r="AH153" s="17"/>
      <c r="AI153" s="20">
        <f t="array" ref="AI153">SUM(IF(Period=AG$4,IF(Category=$A$125,IF(Provider=$B153,Responses))))</f>
        <v>5</v>
      </c>
      <c r="AJ153" s="20"/>
      <c r="AK153" s="17">
        <f t="shared" si="66"/>
        <v>1.6536964980544748</v>
      </c>
      <c r="AL153" s="17"/>
      <c r="AM153" s="17">
        <f t="shared" si="57"/>
        <v>0.27525906735751293</v>
      </c>
      <c r="AN153" s="17"/>
      <c r="AO153" s="17">
        <f t="array" ref="AO153">SUM(IF(Period=AO$4,IF(Category=$A$125,IF(Provider=$B153,Score))))</f>
        <v>67.900000000000006</v>
      </c>
      <c r="AP153" s="17"/>
      <c r="AQ153" s="20">
        <f t="array" ref="AQ153">SUM(IF(Period=AO$4,IF(Category=$A$125,IF(Provider=$B153,Responses))))</f>
        <v>7</v>
      </c>
      <c r="AR153" s="20"/>
      <c r="AS153" s="17">
        <f t="shared" si="67"/>
        <v>2.7795321637426902</v>
      </c>
      <c r="AT153" s="17"/>
      <c r="AU153" s="17">
        <f t="shared" si="58"/>
        <v>0.4632553606237817</v>
      </c>
      <c r="AV153" s="17"/>
      <c r="AW153" s="17">
        <f t="array" ref="AW153">SUM(IF(Period=AW$4,IF(Category=$A$125,IF(Provider=$B153,Score))))</f>
        <v>75</v>
      </c>
      <c r="AX153" s="17"/>
      <c r="AY153" s="20">
        <f t="array" ref="AY153">SUM(IF(Period=AW$4,IF(Category=$A$125,IF(Provider=$B153,Responses))))</f>
        <v>3</v>
      </c>
      <c r="AZ153" s="20"/>
      <c r="BA153" s="17">
        <f t="shared" si="68"/>
        <v>1.0368663594470047</v>
      </c>
      <c r="BB153" s="17"/>
      <c r="BC153" s="17">
        <f t="shared" si="59"/>
        <v>0.1728110599078341</v>
      </c>
      <c r="BD153" s="17"/>
      <c r="BE153" s="17">
        <f t="array" ref="BE153">SUM(IF(Period=BE$4,IF(Category=$A$125,IF(Provider=$B153,Score))))</f>
        <v>100</v>
      </c>
      <c r="BF153" s="17"/>
      <c r="BG153" s="20">
        <f t="array" ref="BG153">SUM(IF(Period=BE$4,IF(Category=$A$125,IF(Provider=$B153,Responses))))</f>
        <v>1</v>
      </c>
      <c r="BH153" s="20"/>
      <c r="BI153" s="17">
        <f t="shared" si="69"/>
        <v>0.42372881355932202</v>
      </c>
      <c r="BJ153" s="17"/>
      <c r="BK153" s="17">
        <f t="shared" si="60"/>
        <v>7.0671378091872794E-2</v>
      </c>
      <c r="BL153" s="17"/>
      <c r="BM153" s="17">
        <f t="array" ref="BM153">SUM(IF(Period=BM$4,IF(Category=$A$125,IF(Provider=$B153,Score))))</f>
        <v>91.7</v>
      </c>
      <c r="BN153" s="17"/>
      <c r="BO153" s="20">
        <f t="array" ref="BO153">SUM(IF(Period=BM$4,IF(Category=$A$125,IF(Provider=$B153,Responses))))</f>
        <v>3</v>
      </c>
      <c r="BP153" s="20"/>
      <c r="BQ153" s="17">
        <f t="shared" si="70"/>
        <v>1.1857758620689656</v>
      </c>
      <c r="BR153" s="17"/>
      <c r="BS153" s="17">
        <f t="shared" si="61"/>
        <v>0.19848484848484849</v>
      </c>
      <c r="BT153" s="17"/>
      <c r="BU153" s="17">
        <f t="array" ref="BU153">SUM(IF(Period=BU$4,IF(Category=$A$125,IF(Provider=$B153,Score))))</f>
        <v>71.400000000000006</v>
      </c>
      <c r="BV153" s="17"/>
      <c r="BW153" s="20">
        <f t="array" ref="BW153">SUM(IF(Period=BU$4,IF(Category=$A$125,IF(Provider=$B153,Responses))))</f>
        <v>7</v>
      </c>
      <c r="BX153" s="20"/>
      <c r="BY153" s="17">
        <f t="shared" si="71"/>
        <v>2.0738589211618259</v>
      </c>
      <c r="BZ153" s="17"/>
      <c r="CA153" s="17">
        <f t="shared" si="62"/>
        <v>0.3454042847270215</v>
      </c>
    </row>
    <row r="154" spans="2:79" outlineLevel="1" x14ac:dyDescent="0.25">
      <c r="B154" t="s">
        <v>43</v>
      </c>
      <c r="C154" s="17">
        <v>0</v>
      </c>
      <c r="D154" s="17"/>
      <c r="E154" s="17">
        <v>0</v>
      </c>
      <c r="F154" s="17"/>
      <c r="G154" s="17">
        <v>0</v>
      </c>
      <c r="H154" s="17"/>
      <c r="I154" s="17">
        <f t="array" ref="I154">SUM(IF(Period=I$4,IF(Category=$A$125,IF(Provider=$B154,Score))))</f>
        <v>16.7</v>
      </c>
      <c r="J154" s="17"/>
      <c r="K154" s="20">
        <f t="array" ref="K154">SUM(IF(Period=I$4,IF(Category=$A$125,IF(Provider=$B154,Responses))))</f>
        <v>9</v>
      </c>
      <c r="L154" s="20"/>
      <c r="M154" s="17">
        <f t="shared" si="63"/>
        <v>0.74405940594059394</v>
      </c>
      <c r="N154" s="17"/>
      <c r="O154" s="17">
        <f t="shared" si="54"/>
        <v>0.12431761786600495</v>
      </c>
      <c r="P154" s="17"/>
      <c r="Q154" s="17">
        <f t="array" ref="Q154">SUM(IF(Period=Q$4,IF(Category=$A$125,IF(Provider=$B154,Score))))</f>
        <v>69.400000000000006</v>
      </c>
      <c r="R154" s="17"/>
      <c r="S154" s="20">
        <f t="array" ref="S154">SUM(IF(Period=Q$4,IF(Category=$A$125,IF(Provider=$B154,Responses))))</f>
        <v>9</v>
      </c>
      <c r="T154" s="20"/>
      <c r="U154" s="17">
        <f t="shared" si="64"/>
        <v>3.340106951871658</v>
      </c>
      <c r="V154" s="17"/>
      <c r="W154" s="17">
        <f t="shared" si="55"/>
        <v>0.5566844919786097</v>
      </c>
      <c r="X154" s="17"/>
      <c r="Y154" s="17">
        <f t="array" ref="Y154">SUM(IF(Period=Y$4,IF(Category=$A$125,IF(Provider=$B154,Score))))</f>
        <v>63.2</v>
      </c>
      <c r="Z154" s="17"/>
      <c r="AA154" s="20">
        <f t="array" ref="AA154">SUM(IF(Period=Y$4,IF(Category=$A$125,IF(Provider=$B154,Responses))))</f>
        <v>19</v>
      </c>
      <c r="AB154" s="20"/>
      <c r="AC154" s="17">
        <f t="shared" si="65"/>
        <v>3.9630363036303629</v>
      </c>
      <c r="AD154" s="17"/>
      <c r="AE154" s="17">
        <f t="shared" si="56"/>
        <v>0.66232763375620529</v>
      </c>
      <c r="AF154" s="17"/>
      <c r="AG154" s="17">
        <f t="array" ref="AG154">SUM(IF(Period=AG$4,IF(Category=$A$125,IF(Provider=$B154,Score))))</f>
        <v>70</v>
      </c>
      <c r="AH154" s="17"/>
      <c r="AI154" s="20">
        <f t="array" ref="AI154">SUM(IF(Period=AG$4,IF(Category=$A$125,IF(Provider=$B154,Responses))))</f>
        <v>5</v>
      </c>
      <c r="AJ154" s="20"/>
      <c r="AK154" s="17">
        <f t="shared" si="66"/>
        <v>1.3618677042801557</v>
      </c>
      <c r="AL154" s="17"/>
      <c r="AM154" s="17">
        <f t="shared" si="57"/>
        <v>0.22668393782383417</v>
      </c>
      <c r="AN154" s="17"/>
      <c r="AO154" s="17">
        <f t="array" ref="AO154">SUM(IF(Period=AO$4,IF(Category=$A$125,IF(Provider=$B154,Score))))</f>
        <v>85</v>
      </c>
      <c r="AP154" s="17"/>
      <c r="AQ154" s="20">
        <f t="array" ref="AQ154">SUM(IF(Period=AO$4,IF(Category=$A$125,IF(Provider=$B154,Responses))))</f>
        <v>5</v>
      </c>
      <c r="AR154" s="20"/>
      <c r="AS154" s="17">
        <f t="shared" si="67"/>
        <v>2.4853801169590644</v>
      </c>
      <c r="AT154" s="17"/>
      <c r="AU154" s="17">
        <f t="shared" si="58"/>
        <v>0.41423001949317739</v>
      </c>
      <c r="AV154" s="17"/>
      <c r="AW154" s="17">
        <f t="array" ref="AW154">SUM(IF(Period=AW$4,IF(Category=$A$125,IF(Provider=$B154,Score))))</f>
        <v>68.8</v>
      </c>
      <c r="AX154" s="17"/>
      <c r="AY154" s="20">
        <f t="array" ref="AY154">SUM(IF(Period=AW$4,IF(Category=$A$125,IF(Provider=$B154,Responses))))</f>
        <v>4</v>
      </c>
      <c r="AZ154" s="20"/>
      <c r="BA154" s="17">
        <f t="shared" si="68"/>
        <v>1.2682027649769585</v>
      </c>
      <c r="BB154" s="17"/>
      <c r="BC154" s="17">
        <f t="shared" si="59"/>
        <v>0.21136712749615974</v>
      </c>
      <c r="BD154" s="17"/>
      <c r="BE154" s="17">
        <f t="array" ref="BE154">SUM(IF(Period=BE$4,IF(Category=$A$125,IF(Provider=$B154,Score))))</f>
        <v>100</v>
      </c>
      <c r="BF154" s="17"/>
      <c r="BG154" s="20">
        <f t="array" ref="BG154">SUM(IF(Period=BE$4,IF(Category=$A$125,IF(Provider=$B154,Responses))))</f>
        <v>4</v>
      </c>
      <c r="BH154" s="20"/>
      <c r="BI154" s="17">
        <f t="shared" si="69"/>
        <v>1.6949152542372881</v>
      </c>
      <c r="BJ154" s="17"/>
      <c r="BK154" s="17">
        <f t="shared" si="60"/>
        <v>0.28268551236749118</v>
      </c>
      <c r="BL154" s="17"/>
      <c r="BM154" s="17">
        <f t="array" ref="BM154">SUM(IF(Period=BM$4,IF(Category=$A$125,IF(Provider=$B154,Score))))</f>
        <v>75</v>
      </c>
      <c r="BN154" s="17"/>
      <c r="BO154" s="20">
        <f t="array" ref="BO154">SUM(IF(Period=BM$4,IF(Category=$A$125,IF(Provider=$B154,Responses))))</f>
        <v>1</v>
      </c>
      <c r="BP154" s="20"/>
      <c r="BQ154" s="17">
        <f t="shared" si="70"/>
        <v>0.32327586206896552</v>
      </c>
      <c r="BR154" s="17"/>
      <c r="BS154" s="17">
        <f t="shared" si="61"/>
        <v>5.4112554112554112E-2</v>
      </c>
      <c r="BT154" s="17"/>
      <c r="BU154" s="17">
        <f t="array" ref="BU154">SUM(IF(Period=BU$4,IF(Category=$A$125,IF(Provider=$B154,Score))))</f>
        <v>77.3</v>
      </c>
      <c r="BV154" s="17"/>
      <c r="BW154" s="20">
        <f t="array" ref="BW154">SUM(IF(Period=BU$4,IF(Category=$A$125,IF(Provider=$B154,Responses))))</f>
        <v>11</v>
      </c>
      <c r="BX154" s="20"/>
      <c r="BY154" s="17">
        <f t="shared" si="71"/>
        <v>3.5282157676348542</v>
      </c>
      <c r="BZ154" s="17"/>
      <c r="CA154" s="17">
        <f t="shared" si="62"/>
        <v>0.58762957843814789</v>
      </c>
    </row>
    <row r="155" spans="2:79" outlineLevel="1" x14ac:dyDescent="0.25">
      <c r="B155" t="s">
        <v>29</v>
      </c>
      <c r="C155" s="17">
        <v>0</v>
      </c>
      <c r="D155" s="17"/>
      <c r="E155" s="17">
        <v>0</v>
      </c>
      <c r="F155" s="17"/>
      <c r="G155" s="17">
        <v>0</v>
      </c>
      <c r="H155" s="17"/>
      <c r="I155" s="17">
        <f t="array" ref="I155">SUM(IF(Period=I$4,IF(Category=$A$125,IF(Provider=$B155,Score))))</f>
        <v>82.1</v>
      </c>
      <c r="J155" s="17"/>
      <c r="K155" s="20">
        <f t="array" ref="K155">SUM(IF(Period=I$4,IF(Category=$A$125,IF(Provider=$B155,Responses))))</f>
        <v>7</v>
      </c>
      <c r="L155" s="20"/>
      <c r="M155" s="17">
        <f t="shared" si="63"/>
        <v>2.8450495049504951</v>
      </c>
      <c r="N155" s="17"/>
      <c r="O155" s="17">
        <f t="shared" si="54"/>
        <v>0.47535153019023985</v>
      </c>
      <c r="P155" s="17"/>
      <c r="Q155" s="17">
        <f t="array" ref="Q155">SUM(IF(Period=Q$4,IF(Category=$A$125,IF(Provider=$B155,Score))))</f>
        <v>71.400000000000006</v>
      </c>
      <c r="R155" s="17"/>
      <c r="S155" s="20">
        <f t="array" ref="S155">SUM(IF(Period=Q$4,IF(Category=$A$125,IF(Provider=$B155,Responses))))</f>
        <v>7</v>
      </c>
      <c r="T155" s="20"/>
      <c r="U155" s="17">
        <f t="shared" si="64"/>
        <v>2.6727272727272728</v>
      </c>
      <c r="V155" s="17"/>
      <c r="W155" s="17">
        <f t="shared" si="55"/>
        <v>0.44545454545454549</v>
      </c>
      <c r="X155" s="17"/>
      <c r="Y155" s="17">
        <f t="array" ref="Y155">SUM(IF(Period=Y$4,IF(Category=$A$125,IF(Provider=$B155,Score))))</f>
        <v>85</v>
      </c>
      <c r="Z155" s="17"/>
      <c r="AA155" s="20">
        <f t="array" ref="AA155">SUM(IF(Period=Y$4,IF(Category=$A$125,IF(Provider=$B155,Responses))))</f>
        <v>5</v>
      </c>
      <c r="AB155" s="20"/>
      <c r="AC155" s="17">
        <f t="shared" si="65"/>
        <v>1.4026402640264024</v>
      </c>
      <c r="AD155" s="17"/>
      <c r="AE155" s="17">
        <f t="shared" si="56"/>
        <v>0.2344180915609487</v>
      </c>
      <c r="AF155" s="17"/>
      <c r="AG155" s="17">
        <f t="array" ref="AG155">SUM(IF(Period=AG$4,IF(Category=$A$125,IF(Provider=$B155,Score))))</f>
        <v>89.3</v>
      </c>
      <c r="AH155" s="17"/>
      <c r="AI155" s="20">
        <f t="array" ref="AI155">SUM(IF(Period=AG$4,IF(Category=$A$125,IF(Provider=$B155,Responses))))</f>
        <v>7</v>
      </c>
      <c r="AJ155" s="20"/>
      <c r="AK155" s="17">
        <f t="shared" si="66"/>
        <v>2.4322957198443578</v>
      </c>
      <c r="AL155" s="17"/>
      <c r="AM155" s="17">
        <f t="shared" si="57"/>
        <v>0.4048575129533678</v>
      </c>
      <c r="AN155" s="17"/>
      <c r="AO155" s="17">
        <f t="array" ref="AO155">SUM(IF(Period=AO$4,IF(Category=$A$125,IF(Provider=$B155,Score))))</f>
        <v>100</v>
      </c>
      <c r="AP155" s="17"/>
      <c r="AQ155" s="20">
        <f t="array" ref="AQ155">SUM(IF(Period=AO$4,IF(Category=$A$125,IF(Provider=$B155,Responses))))</f>
        <v>2</v>
      </c>
      <c r="AR155" s="20"/>
      <c r="AS155" s="17">
        <f t="shared" si="67"/>
        <v>1.1695906432748537</v>
      </c>
      <c r="AT155" s="17"/>
      <c r="AU155" s="17">
        <f t="shared" si="58"/>
        <v>0.19493177387914229</v>
      </c>
      <c r="AV155" s="17"/>
      <c r="AW155" s="17">
        <f t="array" ref="AW155">SUM(IF(Period=AW$4,IF(Category=$A$125,IF(Provider=$B155,Score))))</f>
        <v>81.3</v>
      </c>
      <c r="AX155" s="17"/>
      <c r="AY155" s="20">
        <f t="array" ref="AY155">SUM(IF(Period=AW$4,IF(Category=$A$125,IF(Provider=$B155,Responses))))</f>
        <v>4</v>
      </c>
      <c r="AZ155" s="20"/>
      <c r="BA155" s="17">
        <f t="shared" si="68"/>
        <v>1.4986175115207372</v>
      </c>
      <c r="BB155" s="17"/>
      <c r="BC155" s="17">
        <f t="shared" si="59"/>
        <v>0.24976958525345622</v>
      </c>
      <c r="BD155" s="17"/>
      <c r="BE155" s="17">
        <f t="array" ref="BE155">SUM(IF(Period=BE$4,IF(Category=$A$125,IF(Provider=$B155,Score))))</f>
        <v>75</v>
      </c>
      <c r="BF155" s="17"/>
      <c r="BG155" s="20">
        <f t="array" ref="BG155">SUM(IF(Period=BE$4,IF(Category=$A$125,IF(Provider=$B155,Responses))))</f>
        <v>1</v>
      </c>
      <c r="BH155" s="20"/>
      <c r="BI155" s="17">
        <f t="shared" si="69"/>
        <v>0.31779661016949151</v>
      </c>
      <c r="BJ155" s="17"/>
      <c r="BK155" s="17">
        <f t="shared" si="60"/>
        <v>5.3003533568904589E-2</v>
      </c>
      <c r="BL155" s="17"/>
      <c r="BM155" s="17">
        <f t="array" ref="BM155">SUM(IF(Period=BM$4,IF(Category=$A$125,IF(Provider=$B155,Score))))</f>
        <v>91.7</v>
      </c>
      <c r="BN155" s="17"/>
      <c r="BO155" s="20">
        <f t="array" ref="BO155">SUM(IF(Period=BM$4,IF(Category=$A$125,IF(Provider=$B155,Responses))))</f>
        <v>6</v>
      </c>
      <c r="BP155" s="20"/>
      <c r="BQ155" s="17">
        <f t="shared" si="70"/>
        <v>2.3715517241379311</v>
      </c>
      <c r="BR155" s="17"/>
      <c r="BS155" s="17">
        <f t="shared" si="61"/>
        <v>0.39696969696969697</v>
      </c>
      <c r="BT155" s="17"/>
      <c r="BU155" s="17">
        <f t="array" ref="BU155">SUM(IF(Period=BU$4,IF(Category=$A$125,IF(Provider=$B155,Score))))</f>
        <v>100</v>
      </c>
      <c r="BV155" s="17"/>
      <c r="BW155" s="20">
        <f t="array" ref="BW155">SUM(IF(Period=BU$4,IF(Category=$A$125,IF(Provider=$B155,Responses))))</f>
        <v>4</v>
      </c>
      <c r="BX155" s="20"/>
      <c r="BY155" s="17">
        <f t="shared" si="71"/>
        <v>1.6597510373443984</v>
      </c>
      <c r="BZ155" s="17"/>
      <c r="CA155" s="17">
        <f t="shared" si="62"/>
        <v>0.27643400138217</v>
      </c>
    </row>
    <row r="156" spans="2:79" outlineLevel="1" x14ac:dyDescent="0.25">
      <c r="B156" t="s">
        <v>20</v>
      </c>
      <c r="C156" s="17">
        <v>0</v>
      </c>
      <c r="D156" s="17"/>
      <c r="E156" s="17">
        <v>0</v>
      </c>
      <c r="F156" s="17"/>
      <c r="G156" s="17">
        <v>0</v>
      </c>
      <c r="H156" s="17"/>
      <c r="I156" s="17">
        <f t="array" ref="I156">SUM(IF(Period=I$4,IF(Category=$A$125,IF(Provider=$B156,Score))))</f>
        <v>90</v>
      </c>
      <c r="J156" s="17"/>
      <c r="K156" s="20">
        <f t="array" ref="K156">SUM(IF(Period=I$4,IF(Category=$A$125,IF(Provider=$B156,Responses))))</f>
        <v>5</v>
      </c>
      <c r="L156" s="20"/>
      <c r="M156" s="17">
        <f t="shared" si="63"/>
        <v>2.2277227722772279</v>
      </c>
      <c r="N156" s="17"/>
      <c r="O156" s="17">
        <f t="shared" si="54"/>
        <v>0.37220843672456577</v>
      </c>
      <c r="P156" s="17"/>
      <c r="Q156" s="17">
        <f t="array" ref="Q156">SUM(IF(Period=Q$4,IF(Category=$A$125,IF(Provider=$B156,Score))))</f>
        <v>87.5</v>
      </c>
      <c r="R156" s="17"/>
      <c r="S156" s="20">
        <f t="array" ref="S156">SUM(IF(Period=Q$4,IF(Category=$A$125,IF(Provider=$B156,Responses))))</f>
        <v>6</v>
      </c>
      <c r="T156" s="20"/>
      <c r="U156" s="17">
        <f t="shared" si="64"/>
        <v>2.8074866310160429</v>
      </c>
      <c r="V156" s="17"/>
      <c r="W156" s="17">
        <f t="shared" si="55"/>
        <v>0.46791443850267378</v>
      </c>
      <c r="X156" s="17"/>
      <c r="Y156" s="17">
        <f t="array" ref="Y156">SUM(IF(Period=Y$4,IF(Category=$A$125,IF(Provider=$B156,Score))))</f>
        <v>83.8</v>
      </c>
      <c r="Z156" s="17"/>
      <c r="AA156" s="20">
        <f t="array" ref="AA156">SUM(IF(Period=Y$4,IF(Category=$A$125,IF(Provider=$B156,Responses))))</f>
        <v>17</v>
      </c>
      <c r="AB156" s="20"/>
      <c r="AC156" s="17">
        <f t="shared" si="65"/>
        <v>4.7016501650165017</v>
      </c>
      <c r="AD156" s="17"/>
      <c r="AE156" s="17">
        <f t="shared" si="56"/>
        <v>0.7857694429123</v>
      </c>
      <c r="AF156" s="17"/>
      <c r="AG156" s="17">
        <f t="array" ref="AG156">SUM(IF(Period=AG$4,IF(Category=$A$125,IF(Provider=$B156,Score))))</f>
        <v>89.7</v>
      </c>
      <c r="AH156" s="17"/>
      <c r="AI156" s="20">
        <f t="array" ref="AI156">SUM(IF(Period=AG$4,IF(Category=$A$125,IF(Provider=$B156,Responses))))</f>
        <v>17</v>
      </c>
      <c r="AJ156" s="20"/>
      <c r="AK156" s="17">
        <f t="shared" si="66"/>
        <v>5.9334630350194555</v>
      </c>
      <c r="AL156" s="17"/>
      <c r="AM156" s="17">
        <f t="shared" si="57"/>
        <v>0.98762953367875639</v>
      </c>
      <c r="AN156" s="17"/>
      <c r="AO156" s="17">
        <f t="array" ref="AO156">SUM(IF(Period=AO$4,IF(Category=$A$125,IF(Provider=$B156,Score))))</f>
        <v>91.7</v>
      </c>
      <c r="AP156" s="17"/>
      <c r="AQ156" s="20">
        <f t="array" ref="AQ156">SUM(IF(Period=AO$4,IF(Category=$A$125,IF(Provider=$B156,Responses))))</f>
        <v>3</v>
      </c>
      <c r="AR156" s="20"/>
      <c r="AS156" s="17">
        <f t="shared" si="67"/>
        <v>1.6087719298245613</v>
      </c>
      <c r="AT156" s="17"/>
      <c r="AU156" s="17">
        <f t="shared" si="58"/>
        <v>0.26812865497076022</v>
      </c>
      <c r="AV156" s="17"/>
      <c r="AW156" s="17">
        <f t="array" ref="AW156">SUM(IF(Period=AW$4,IF(Category=$A$125,IF(Provider=$B156,Score))))</f>
        <v>75</v>
      </c>
      <c r="AX156" s="17"/>
      <c r="AY156" s="20">
        <f t="array" ref="AY156">SUM(IF(Period=AW$4,IF(Category=$A$125,IF(Provider=$B156,Responses))))</f>
        <v>6</v>
      </c>
      <c r="AZ156" s="20"/>
      <c r="BA156" s="17">
        <f t="shared" si="68"/>
        <v>2.0737327188940093</v>
      </c>
      <c r="BB156" s="17"/>
      <c r="BC156" s="17">
        <f t="shared" si="59"/>
        <v>0.34562211981566821</v>
      </c>
      <c r="BD156" s="17"/>
      <c r="BE156" s="17">
        <f t="array" ref="BE156">SUM(IF(Period=BE$4,IF(Category=$A$125,IF(Provider=$B156,Score))))</f>
        <v>91.7</v>
      </c>
      <c r="BF156" s="17"/>
      <c r="BG156" s="20">
        <f t="array" ref="BG156">SUM(IF(Period=BE$4,IF(Category=$A$125,IF(Provider=$B156,Responses))))</f>
        <v>6</v>
      </c>
      <c r="BH156" s="20"/>
      <c r="BI156" s="17">
        <f t="shared" si="69"/>
        <v>2.3313559322033899</v>
      </c>
      <c r="BJ156" s="17"/>
      <c r="BK156" s="17">
        <f t="shared" si="60"/>
        <v>0.38883392226148406</v>
      </c>
      <c r="BL156" s="17"/>
      <c r="BM156" s="17">
        <f t="array" ref="BM156">SUM(IF(Period=BM$4,IF(Category=$A$125,IF(Provider=$B156,Score))))</f>
        <v>97.2</v>
      </c>
      <c r="BN156" s="17"/>
      <c r="BO156" s="20">
        <f t="array" ref="BO156">SUM(IF(Period=BM$4,IF(Category=$A$125,IF(Provider=$B156,Responses))))</f>
        <v>9</v>
      </c>
      <c r="BP156" s="20"/>
      <c r="BQ156" s="17">
        <f t="shared" si="70"/>
        <v>3.7706896551724141</v>
      </c>
      <c r="BR156" s="17"/>
      <c r="BS156" s="17">
        <f t="shared" si="61"/>
        <v>0.63116883116883127</v>
      </c>
      <c r="BT156" s="17"/>
      <c r="BU156" s="17">
        <f t="array" ref="BU156">SUM(IF(Period=BU$4,IF(Category=$A$125,IF(Provider=$B156,Score))))</f>
        <v>92.9</v>
      </c>
      <c r="BV156" s="17"/>
      <c r="BW156" s="20">
        <f t="array" ref="BW156">SUM(IF(Period=BU$4,IF(Category=$A$125,IF(Provider=$B156,Responses))))</f>
        <v>7</v>
      </c>
      <c r="BX156" s="20"/>
      <c r="BY156" s="17">
        <f t="shared" si="71"/>
        <v>2.6983402489626558</v>
      </c>
      <c r="BZ156" s="17"/>
      <c r="CA156" s="17">
        <f t="shared" si="62"/>
        <v>0.44941257774706295</v>
      </c>
    </row>
    <row r="157" spans="2:79" outlineLevel="1" x14ac:dyDescent="0.25">
      <c r="B157" t="s">
        <v>37</v>
      </c>
      <c r="C157" s="17">
        <v>0</v>
      </c>
      <c r="D157" s="17"/>
      <c r="E157" s="17">
        <v>0</v>
      </c>
      <c r="F157" s="17"/>
      <c r="G157" s="17">
        <v>0</v>
      </c>
      <c r="H157" s="17"/>
      <c r="I157" s="17">
        <f t="array" ref="I157">SUM(IF(Period=I$4,IF(Category=$A$125,IF(Provider=$B157,Score))))</f>
        <v>71.2</v>
      </c>
      <c r="J157" s="17"/>
      <c r="K157" s="20">
        <f t="array" ref="K157">SUM(IF(Period=I$4,IF(Category=$A$125,IF(Provider=$B157,Responses))))</f>
        <v>13</v>
      </c>
      <c r="L157" s="20"/>
      <c r="M157" s="17">
        <f t="shared" si="63"/>
        <v>4.5821782178217827</v>
      </c>
      <c r="N157" s="17"/>
      <c r="O157" s="17">
        <f t="shared" si="54"/>
        <v>0.76559139784946251</v>
      </c>
      <c r="P157" s="17"/>
      <c r="Q157" s="17">
        <f t="array" ref="Q157">SUM(IF(Period=Q$4,IF(Category=$A$125,IF(Provider=$B157,Score))))</f>
        <v>85</v>
      </c>
      <c r="R157" s="17"/>
      <c r="S157" s="20">
        <f t="array" ref="S157">SUM(IF(Period=Q$4,IF(Category=$A$125,IF(Provider=$B157,Responses))))</f>
        <v>10</v>
      </c>
      <c r="T157" s="20"/>
      <c r="U157" s="17">
        <f t="shared" si="64"/>
        <v>4.545454545454545</v>
      </c>
      <c r="V157" s="17"/>
      <c r="W157" s="17">
        <f t="shared" si="55"/>
        <v>0.75757575757575757</v>
      </c>
      <c r="X157" s="17"/>
      <c r="Y157" s="17">
        <f t="array" ref="Y157">SUM(IF(Period=Y$4,IF(Category=$A$125,IF(Provider=$B157,Score))))</f>
        <v>75</v>
      </c>
      <c r="Z157" s="17"/>
      <c r="AA157" s="20">
        <f t="array" ref="AA157">SUM(IF(Period=Y$4,IF(Category=$A$125,IF(Provider=$B157,Responses))))</f>
        <v>19</v>
      </c>
      <c r="AB157" s="20"/>
      <c r="AC157" s="17">
        <f t="shared" si="65"/>
        <v>4.7029702970297027</v>
      </c>
      <c r="AD157" s="17"/>
      <c r="AE157" s="17">
        <f t="shared" si="56"/>
        <v>0.78599007170435742</v>
      </c>
      <c r="AF157" s="17"/>
      <c r="AG157" s="17">
        <f t="array" ref="AG157">SUM(IF(Period=AG$4,IF(Category=$A$125,IF(Provider=$B157,Score))))</f>
        <v>78.099999999999994</v>
      </c>
      <c r="AH157" s="17"/>
      <c r="AI157" s="20">
        <f t="array" ref="AI157">SUM(IF(Period=AG$4,IF(Category=$A$125,IF(Provider=$B157,Responses))))</f>
        <v>16</v>
      </c>
      <c r="AJ157" s="20"/>
      <c r="AK157" s="17">
        <f t="shared" si="66"/>
        <v>4.862256809338521</v>
      </c>
      <c r="AL157" s="17"/>
      <c r="AM157" s="17">
        <f t="shared" si="57"/>
        <v>0.80932642487046624</v>
      </c>
      <c r="AN157" s="17"/>
      <c r="AO157" s="17">
        <f t="array" ref="AO157">SUM(IF(Period=AO$4,IF(Category=$A$125,IF(Provider=$B157,Score))))</f>
        <v>0</v>
      </c>
      <c r="AP157" s="17"/>
      <c r="AQ157" s="20">
        <f t="array" ref="AQ157">SUM(IF(Period=AO$4,IF(Category=$A$125,IF(Provider=$B157,Responses))))</f>
        <v>0</v>
      </c>
      <c r="AR157" s="20"/>
      <c r="AS157" s="17">
        <f t="shared" si="67"/>
        <v>0</v>
      </c>
      <c r="AT157" s="17"/>
      <c r="AU157" s="17">
        <f t="shared" si="58"/>
        <v>0</v>
      </c>
      <c r="AV157" s="17"/>
      <c r="AW157" s="17">
        <f t="array" ref="AW157">SUM(IF(Period=AW$4,IF(Category=$A$125,IF(Provider=$B157,Score))))</f>
        <v>91.7</v>
      </c>
      <c r="AX157" s="17"/>
      <c r="AY157" s="20">
        <f t="array" ref="AY157">SUM(IF(Period=AW$4,IF(Category=$A$125,IF(Provider=$B157,Responses))))</f>
        <v>6</v>
      </c>
      <c r="AZ157" s="20"/>
      <c r="BA157" s="17">
        <f t="shared" si="68"/>
        <v>2.5354838709677421</v>
      </c>
      <c r="BB157" s="17"/>
      <c r="BC157" s="17">
        <f t="shared" si="59"/>
        <v>0.42258064516129035</v>
      </c>
      <c r="BD157" s="17"/>
      <c r="BE157" s="17">
        <f t="array" ref="BE157">SUM(IF(Period=BE$4,IF(Category=$A$125,IF(Provider=$B157,Score))))</f>
        <v>85</v>
      </c>
      <c r="BF157" s="17"/>
      <c r="BG157" s="20">
        <f t="array" ref="BG157">SUM(IF(Period=BE$4,IF(Category=$A$125,IF(Provider=$B157,Responses))))</f>
        <v>15</v>
      </c>
      <c r="BH157" s="20"/>
      <c r="BI157" s="17">
        <f t="shared" si="69"/>
        <v>5.4025423728813555</v>
      </c>
      <c r="BJ157" s="17"/>
      <c r="BK157" s="17">
        <f t="shared" si="60"/>
        <v>0.90106007067137817</v>
      </c>
      <c r="BL157" s="17"/>
      <c r="BM157" s="17">
        <f t="array" ref="BM157">SUM(IF(Period=BM$4,IF(Category=$A$125,IF(Provider=$B157,Score))))</f>
        <v>100</v>
      </c>
      <c r="BN157" s="17"/>
      <c r="BO157" s="20">
        <f t="array" ref="BO157">SUM(IF(Period=BM$4,IF(Category=$A$125,IF(Provider=$B157,Responses))))</f>
        <v>1</v>
      </c>
      <c r="BP157" s="20"/>
      <c r="BQ157" s="17">
        <f t="shared" si="70"/>
        <v>0.43103448275862066</v>
      </c>
      <c r="BR157" s="17"/>
      <c r="BS157" s="17">
        <f t="shared" si="61"/>
        <v>7.2150072150072145E-2</v>
      </c>
      <c r="BT157" s="17"/>
      <c r="BU157" s="17">
        <f t="array" ref="BU157">SUM(IF(Period=BU$4,IF(Category=$A$125,IF(Provider=$B157,Score))))</f>
        <v>79.2</v>
      </c>
      <c r="BV157" s="17"/>
      <c r="BW157" s="20">
        <f t="array" ref="BW157">SUM(IF(Period=BU$4,IF(Category=$A$125,IF(Provider=$B157,Responses))))</f>
        <v>6</v>
      </c>
      <c r="BX157" s="20"/>
      <c r="BY157" s="17">
        <f t="shared" si="71"/>
        <v>1.9717842323651451</v>
      </c>
      <c r="BZ157" s="17"/>
      <c r="CA157" s="17">
        <f t="shared" si="62"/>
        <v>0.32840359364201799</v>
      </c>
    </row>
    <row r="158" spans="2:79" outlineLevel="1" x14ac:dyDescent="0.25">
      <c r="B158" t="s">
        <v>226</v>
      </c>
      <c r="C158" s="17">
        <v>0</v>
      </c>
      <c r="D158" s="17"/>
      <c r="E158" s="17">
        <v>0</v>
      </c>
      <c r="F158" s="17"/>
      <c r="G158" s="17">
        <v>0</v>
      </c>
      <c r="H158" s="17"/>
      <c r="I158" s="17">
        <f t="array" ref="I158">SUM(IF(Period=I$4,IF(Category=$A$125,IF(Provider=$B158,Score))))</f>
        <v>0</v>
      </c>
      <c r="J158" s="17"/>
      <c r="K158" s="20">
        <f t="array" ref="K158">SUM(IF(Period=I$4,IF(Category=$A$125,IF(Provider=$B158,Responses))))</f>
        <v>0</v>
      </c>
      <c r="L158" s="20"/>
      <c r="M158" s="17">
        <f t="shared" si="63"/>
        <v>0</v>
      </c>
      <c r="N158" s="17"/>
      <c r="O158" s="17">
        <f t="shared" si="54"/>
        <v>0</v>
      </c>
      <c r="P158" s="17"/>
      <c r="Q158" s="17">
        <f t="array" ref="Q158">SUM(IF(Period=Q$4,IF(Category=$A$125,IF(Provider=$B158,Score))))</f>
        <v>0</v>
      </c>
      <c r="R158" s="17"/>
      <c r="S158" s="20">
        <f t="array" ref="S158">SUM(IF(Period=Q$4,IF(Category=$A$125,IF(Provider=$B158,Responses))))</f>
        <v>0</v>
      </c>
      <c r="T158" s="20"/>
      <c r="U158" s="17">
        <f t="shared" si="64"/>
        <v>0</v>
      </c>
      <c r="V158" s="17"/>
      <c r="W158" s="17">
        <f t="shared" si="55"/>
        <v>0</v>
      </c>
      <c r="X158" s="17"/>
      <c r="Y158" s="17">
        <f t="array" ref="Y158">SUM(IF(Period=Y$4,IF(Category=$A$125,IF(Provider=$B158,Score))))</f>
        <v>0</v>
      </c>
      <c r="Z158" s="17"/>
      <c r="AA158" s="20">
        <f t="array" ref="AA158">SUM(IF(Period=Y$4,IF(Category=$A$125,IF(Provider=$B158,Responses))))</f>
        <v>0</v>
      </c>
      <c r="AB158" s="20"/>
      <c r="AC158" s="17">
        <f t="shared" si="65"/>
        <v>0</v>
      </c>
      <c r="AD158" s="17"/>
      <c r="AE158" s="17">
        <f t="shared" si="56"/>
        <v>0</v>
      </c>
      <c r="AF158" s="17"/>
      <c r="AG158" s="17">
        <f t="array" ref="AG158">SUM(IF(Period=AG$4,IF(Category=$A$125,IF(Provider=$B158,Score))))</f>
        <v>62.5</v>
      </c>
      <c r="AH158" s="17"/>
      <c r="AI158" s="20">
        <f t="array" ref="AI158">SUM(IF(Period=AG$4,IF(Category=$A$125,IF(Provider=$B158,Responses))))</f>
        <v>10</v>
      </c>
      <c r="AJ158" s="20"/>
      <c r="AK158" s="17">
        <f t="shared" si="66"/>
        <v>2.4319066147859925</v>
      </c>
      <c r="AL158" s="17"/>
      <c r="AM158" s="17">
        <f t="shared" si="57"/>
        <v>0.40479274611398963</v>
      </c>
      <c r="AN158" s="17"/>
      <c r="AO158" s="17">
        <f t="array" ref="AO158">SUM(IF(Period=AO$4,IF(Category=$A$125,IF(Provider=$B158,Score))))</f>
        <v>88.6</v>
      </c>
      <c r="AP158" s="17"/>
      <c r="AQ158" s="20">
        <f t="array" ref="AQ158">SUM(IF(Period=AO$4,IF(Category=$A$125,IF(Provider=$B158,Responses))))</f>
        <v>11</v>
      </c>
      <c r="AR158" s="20"/>
      <c r="AS158" s="17">
        <f t="shared" si="67"/>
        <v>5.6994152046783615</v>
      </c>
      <c r="AT158" s="17"/>
      <c r="AU158" s="17">
        <f t="shared" si="58"/>
        <v>0.94990253411306036</v>
      </c>
      <c r="AV158" s="17"/>
      <c r="AW158" s="17">
        <f t="array" ref="AW158">SUM(IF(Period=AW$4,IF(Category=$A$125,IF(Provider=$B158,Score))))</f>
        <v>78.900000000000006</v>
      </c>
      <c r="AX158" s="17"/>
      <c r="AY158" s="20">
        <f t="array" ref="AY158">SUM(IF(Period=AW$4,IF(Category=$A$125,IF(Provider=$B158,Responses))))</f>
        <v>13</v>
      </c>
      <c r="AZ158" s="20"/>
      <c r="BA158" s="17">
        <f t="shared" si="68"/>
        <v>4.7267281105990788</v>
      </c>
      <c r="BB158" s="17"/>
      <c r="BC158" s="17">
        <f t="shared" si="59"/>
        <v>0.78778801843317969</v>
      </c>
      <c r="BD158" s="17"/>
      <c r="BE158" s="17">
        <f t="array" ref="BE158">SUM(IF(Period=BE$4,IF(Category=$A$125,IF(Provider=$B158,Score))))</f>
        <v>87.5</v>
      </c>
      <c r="BF158" s="17"/>
      <c r="BG158" s="20">
        <f t="array" ref="BG158">SUM(IF(Period=BE$4,IF(Category=$A$125,IF(Provider=$B158,Responses))))</f>
        <v>12</v>
      </c>
      <c r="BH158" s="20"/>
      <c r="BI158" s="17">
        <f t="shared" si="69"/>
        <v>4.4491525423728815</v>
      </c>
      <c r="BJ158" s="17"/>
      <c r="BK158" s="17">
        <f t="shared" si="60"/>
        <v>0.74204946996466425</v>
      </c>
      <c r="BL158" s="17"/>
      <c r="BM158" s="17">
        <f t="array" ref="BM158">SUM(IF(Period=BM$4,IF(Category=$A$125,IF(Provider=$B158,Score))))</f>
        <v>83.3</v>
      </c>
      <c r="BN158" s="17"/>
      <c r="BO158" s="20">
        <f t="array" ref="BO158">SUM(IF(Period=BM$4,IF(Category=$A$125,IF(Provider=$B158,Responses))))</f>
        <v>6</v>
      </c>
      <c r="BP158" s="20"/>
      <c r="BQ158" s="17">
        <f t="shared" si="70"/>
        <v>2.1543103448275862</v>
      </c>
      <c r="BR158" s="17"/>
      <c r="BS158" s="17">
        <f t="shared" si="61"/>
        <v>0.3606060606060606</v>
      </c>
      <c r="BT158" s="17"/>
      <c r="BU158" s="17">
        <f t="array" ref="BU158">SUM(IF(Period=BU$4,IF(Category=$A$125,IF(Provider=$B158,Score))))</f>
        <v>100</v>
      </c>
      <c r="BV158" s="17"/>
      <c r="BW158" s="20">
        <f t="array" ref="BW158">SUM(IF(Period=BU$4,IF(Category=$A$125,IF(Provider=$B158,Responses))))</f>
        <v>8</v>
      </c>
      <c r="BX158" s="20"/>
      <c r="BY158" s="17">
        <f t="shared" si="71"/>
        <v>3.3195020746887969</v>
      </c>
      <c r="BZ158" s="17"/>
      <c r="CA158" s="17">
        <f t="shared" si="62"/>
        <v>0.55286800276434001</v>
      </c>
    </row>
    <row r="159" spans="2:79" outlineLevel="1" x14ac:dyDescent="0.25">
      <c r="B159" t="s">
        <v>227</v>
      </c>
      <c r="C159" s="22">
        <v>0</v>
      </c>
      <c r="D159" s="17"/>
      <c r="E159" s="22">
        <v>0</v>
      </c>
      <c r="F159" s="17"/>
      <c r="G159" s="22">
        <v>0</v>
      </c>
      <c r="H159" s="17"/>
      <c r="I159" s="22">
        <f t="array" ref="I159">SUM(IF(Period=I$4,IF(Category=$A$125,IF(Provider=$B159,Score))))</f>
        <v>0</v>
      </c>
      <c r="J159" s="17"/>
      <c r="K159" s="23">
        <f t="array" ref="K159">SUM(IF(Period=I$4,IF(Category=$A$125,IF(Provider=$B159,Responses))))</f>
        <v>0</v>
      </c>
      <c r="L159" s="20"/>
      <c r="M159" s="22">
        <f t="shared" si="63"/>
        <v>0</v>
      </c>
      <c r="N159" s="17"/>
      <c r="O159" s="22">
        <f t="shared" si="54"/>
        <v>0</v>
      </c>
      <c r="P159" s="17"/>
      <c r="Q159" s="22">
        <f t="array" ref="Q159">SUM(IF(Period=Q$4,IF(Category=$A$125,IF(Provider=$B159,Score))))</f>
        <v>0</v>
      </c>
      <c r="R159" s="17"/>
      <c r="S159" s="23">
        <f t="array" ref="S159">SUM(IF(Period=Q$4,IF(Category=$A$125,IF(Provider=$B159,Responses))))</f>
        <v>0</v>
      </c>
      <c r="T159" s="20"/>
      <c r="U159" s="22">
        <f t="shared" si="64"/>
        <v>0</v>
      </c>
      <c r="V159" s="17"/>
      <c r="W159" s="22">
        <f t="shared" si="55"/>
        <v>0</v>
      </c>
      <c r="X159" s="17"/>
      <c r="Y159" s="22">
        <f t="array" ref="Y159">SUM(IF(Period=Y$4,IF(Category=$A$125,IF(Provider=$B159,Score))))</f>
        <v>0</v>
      </c>
      <c r="Z159" s="17"/>
      <c r="AA159" s="23">
        <f t="array" ref="AA159">SUM(IF(Period=Y$4,IF(Category=$A$125,IF(Provider=$B159,Responses))))</f>
        <v>0</v>
      </c>
      <c r="AB159" s="20"/>
      <c r="AC159" s="22">
        <f t="shared" si="65"/>
        <v>0</v>
      </c>
      <c r="AD159" s="17"/>
      <c r="AE159" s="22">
        <f t="shared" si="56"/>
        <v>0</v>
      </c>
      <c r="AF159" s="17"/>
      <c r="AG159" s="22">
        <f t="array" ref="AG159">SUM(IF(Period=AG$4,IF(Category=$A$125,IF(Provider=$B159,Score))))</f>
        <v>100</v>
      </c>
      <c r="AH159" s="17"/>
      <c r="AI159" s="23">
        <f t="array" ref="AI159">SUM(IF(Period=AG$4,IF(Category=$A$125,IF(Provider=$B159,Responses))))</f>
        <v>1</v>
      </c>
      <c r="AJ159" s="20"/>
      <c r="AK159" s="22">
        <f t="shared" si="66"/>
        <v>0.38910505836575876</v>
      </c>
      <c r="AL159" s="17"/>
      <c r="AM159" s="22">
        <f t="shared" si="57"/>
        <v>6.476683937823835E-2</v>
      </c>
      <c r="AN159" s="17"/>
      <c r="AO159" s="22">
        <f t="array" ref="AO159">SUM(IF(Period=AO$4,IF(Category=$A$125,IF(Provider=$B159,Score))))</f>
        <v>0</v>
      </c>
      <c r="AP159" s="17"/>
      <c r="AQ159" s="23">
        <f t="array" ref="AQ159">SUM(IF(Period=AO$4,IF(Category=$A$125,IF(Provider=$B159,Responses))))</f>
        <v>0</v>
      </c>
      <c r="AR159" s="20"/>
      <c r="AS159" s="22">
        <f t="shared" si="67"/>
        <v>0</v>
      </c>
      <c r="AT159" s="17"/>
      <c r="AU159" s="22">
        <f t="shared" si="58"/>
        <v>0</v>
      </c>
      <c r="AV159" s="17"/>
      <c r="AW159" s="22">
        <f t="array" ref="AW159">SUM(IF(Period=AW$4,IF(Category=$A$125,IF(Provider=$B159,Score))))</f>
        <v>0</v>
      </c>
      <c r="AX159" s="17"/>
      <c r="AY159" s="23">
        <f t="array" ref="AY159">SUM(IF(Period=AW$4,IF(Category=$A$125,IF(Provider=$B159,Responses))))</f>
        <v>0</v>
      </c>
      <c r="AZ159" s="20"/>
      <c r="BA159" s="22">
        <f t="shared" si="68"/>
        <v>0</v>
      </c>
      <c r="BB159" s="17"/>
      <c r="BC159" s="22">
        <f t="shared" si="59"/>
        <v>0</v>
      </c>
      <c r="BD159" s="17"/>
      <c r="BE159" s="22">
        <f t="array" ref="BE159">SUM(IF(Period=BE$4,IF(Category=$A$125,IF(Provider=$B159,Score))))</f>
        <v>0</v>
      </c>
      <c r="BF159" s="17"/>
      <c r="BG159" s="23">
        <f t="array" ref="BG159">SUM(IF(Period=BE$4,IF(Category=$A$125,IF(Provider=$B159,Responses))))</f>
        <v>0</v>
      </c>
      <c r="BH159" s="20"/>
      <c r="BI159" s="22">
        <f t="shared" si="69"/>
        <v>0</v>
      </c>
      <c r="BJ159" s="17"/>
      <c r="BK159" s="22">
        <f t="shared" si="60"/>
        <v>0</v>
      </c>
      <c r="BL159" s="17"/>
      <c r="BM159" s="22">
        <f t="array" ref="BM159">SUM(IF(Period=BM$4,IF(Category=$A$125,IF(Provider=$B159,Score))))</f>
        <v>0</v>
      </c>
      <c r="BN159" s="17"/>
      <c r="BO159" s="23">
        <f t="array" ref="BO159">SUM(IF(Period=BM$4,IF(Category=$A$125,IF(Provider=$B159,Responses))))</f>
        <v>0</v>
      </c>
      <c r="BP159" s="20"/>
      <c r="BQ159" s="22">
        <f t="shared" si="70"/>
        <v>0</v>
      </c>
      <c r="BR159" s="17"/>
      <c r="BS159" s="22">
        <f t="shared" si="61"/>
        <v>0</v>
      </c>
      <c r="BT159" s="17"/>
      <c r="BU159" s="22">
        <f t="array" ref="BU159">SUM(IF(Period=BU$4,IF(Category=$A$125,IF(Provider=$B159,Score))))</f>
        <v>0</v>
      </c>
      <c r="BV159" s="17"/>
      <c r="BW159" s="23">
        <f t="array" ref="BW159">SUM(IF(Period=BU$4,IF(Category=$A$125,IF(Provider=$B159,Responses))))</f>
        <v>0</v>
      </c>
      <c r="BX159" s="20"/>
      <c r="BY159" s="22">
        <f t="shared" si="71"/>
        <v>0</v>
      </c>
      <c r="BZ159" s="17"/>
      <c r="CA159" s="22">
        <f t="shared" si="62"/>
        <v>0</v>
      </c>
    </row>
    <row r="160" spans="2:79" x14ac:dyDescent="0.25">
      <c r="B160" s="11" t="s">
        <v>427</v>
      </c>
      <c r="C160" s="24">
        <v>0</v>
      </c>
      <c r="D160" s="24"/>
      <c r="E160" s="24">
        <v>0</v>
      </c>
      <c r="F160" s="24"/>
      <c r="G160" s="24">
        <v>0</v>
      </c>
      <c r="H160" s="24"/>
      <c r="I160" s="24">
        <f>SUM(M126:M159)</f>
        <v>78.476237623762373</v>
      </c>
      <c r="J160" s="24"/>
      <c r="K160" s="29">
        <f>AVERAGEIF(K126:K159,"&lt;&gt;0")</f>
        <v>6.3125</v>
      </c>
      <c r="L160" s="25"/>
      <c r="M160" s="24"/>
      <c r="N160" s="24"/>
      <c r="O160" s="24"/>
      <c r="P160" s="24"/>
      <c r="Q160" s="24">
        <f>SUM(U126:U159)</f>
        <v>81.55508021390375</v>
      </c>
      <c r="R160" s="24"/>
      <c r="S160" s="29">
        <f>AVERAGEIF(S126:S159,"&lt;&gt;0")</f>
        <v>6.2333333333333334</v>
      </c>
      <c r="T160" s="25"/>
      <c r="U160" s="24"/>
      <c r="V160" s="24"/>
      <c r="W160" s="24"/>
      <c r="X160" s="24"/>
      <c r="Y160" s="24">
        <f>SUM(AC126:AC159)</f>
        <v>82.515841584158423</v>
      </c>
      <c r="Z160" s="24"/>
      <c r="AA160" s="29">
        <f>AVERAGEIF(AA126:AA159,"&lt;&gt;0")</f>
        <v>9.7741935483870961</v>
      </c>
      <c r="AB160" s="25"/>
      <c r="AC160" s="24"/>
      <c r="AD160" s="24"/>
      <c r="AE160" s="24"/>
      <c r="AF160" s="24"/>
      <c r="AG160" s="24">
        <f>SUM(AK126:AK159)</f>
        <v>86.577431906614777</v>
      </c>
      <c r="AH160" s="24"/>
      <c r="AI160" s="29">
        <f>AVERAGEIF(AI126:AI159,"&lt;&gt;0")</f>
        <v>7.7878787878787881</v>
      </c>
      <c r="AJ160" s="25"/>
      <c r="AK160" s="24"/>
      <c r="AL160" s="24"/>
      <c r="AM160" s="24"/>
      <c r="AN160" s="24"/>
      <c r="AO160" s="24">
        <f>SUM(AS126:AS159)</f>
        <v>83.045029239766066</v>
      </c>
      <c r="AP160" s="24"/>
      <c r="AQ160" s="29">
        <f>AVERAGEIF(AQ126:AQ159,"&lt;&gt;0")</f>
        <v>5.7</v>
      </c>
      <c r="AR160" s="25"/>
      <c r="AS160" s="24"/>
      <c r="AT160" s="24"/>
      <c r="AU160" s="24"/>
      <c r="AV160" s="24"/>
      <c r="AW160" s="24">
        <f>SUM(BA126:BA159)</f>
        <v>85.945161290322574</v>
      </c>
      <c r="AX160" s="24"/>
      <c r="AY160" s="29">
        <f>AVERAGEIF(AY126:AY159,"&lt;&gt;0")</f>
        <v>6.78125</v>
      </c>
      <c r="AZ160" s="25"/>
      <c r="BA160" s="24"/>
      <c r="BB160" s="24"/>
      <c r="BC160" s="24"/>
      <c r="BD160" s="24"/>
      <c r="BE160" s="24">
        <f>SUM(BI126:BI159)</f>
        <v>85.377966101694938</v>
      </c>
      <c r="BF160" s="24"/>
      <c r="BG160" s="29">
        <f>AVERAGEIF(BG126:BG159,"&lt;&gt;0")</f>
        <v>7.612903225806452</v>
      </c>
      <c r="BH160" s="25"/>
      <c r="BI160" s="24"/>
      <c r="BJ160" s="24"/>
      <c r="BK160" s="24"/>
      <c r="BL160" s="24"/>
      <c r="BM160" s="24">
        <f>SUM(BQ126:BQ159)</f>
        <v>88.262931034482776</v>
      </c>
      <c r="BN160" s="24"/>
      <c r="BO160" s="29">
        <f>AVERAGEIF(BO126:BO159,"&lt;&gt;0")</f>
        <v>7.25</v>
      </c>
      <c r="BP160" s="25"/>
      <c r="BQ160" s="24"/>
      <c r="BR160" s="24"/>
      <c r="BS160" s="24"/>
      <c r="BT160" s="24"/>
      <c r="BU160" s="24">
        <f>SUM(BY126:BY159)</f>
        <v>85.590871369294575</v>
      </c>
      <c r="BV160" s="24"/>
      <c r="BW160" s="29">
        <f>AVERAGEIF(BW126:BW159,"&lt;&gt;0")</f>
        <v>7.53125</v>
      </c>
      <c r="BX160" s="25"/>
      <c r="BY160" s="24"/>
      <c r="BZ160" s="24"/>
      <c r="CA160" s="24"/>
    </row>
    <row r="161" spans="1:79" s="36" customFormat="1" x14ac:dyDescent="0.25">
      <c r="B161" s="32" t="s">
        <v>430</v>
      </c>
      <c r="C161" s="33"/>
      <c r="D161" s="33"/>
      <c r="E161" s="33"/>
      <c r="F161" s="33"/>
      <c r="G161" s="33"/>
      <c r="H161" s="33"/>
      <c r="I161" s="33">
        <f t="array" ref="I161">MEDIAN(IF(I126:I159&lt;&gt;0,I126:I159))</f>
        <v>84.15</v>
      </c>
      <c r="J161" s="33"/>
      <c r="K161" s="34">
        <f t="array" ref="K161">MEDIAN(IF(K126:K159&lt;&gt;0,K126:K159))</f>
        <v>6.5</v>
      </c>
      <c r="L161" s="35"/>
      <c r="M161" s="33"/>
      <c r="N161" s="33"/>
      <c r="O161" s="33"/>
      <c r="P161" s="33"/>
      <c r="Q161" s="33">
        <f t="array" ref="Q161">MEDIAN(IF(Q126:Q159&lt;&gt;0,Q126:Q159))</f>
        <v>86.8</v>
      </c>
      <c r="R161" s="33"/>
      <c r="S161" s="34">
        <f t="array" ref="S161">MEDIAN(IF(S126:S159&lt;&gt;0,S126:S159))</f>
        <v>6</v>
      </c>
      <c r="T161" s="35"/>
      <c r="U161" s="33"/>
      <c r="V161" s="33"/>
      <c r="W161" s="33"/>
      <c r="X161" s="33"/>
      <c r="Y161" s="33">
        <f t="array" ref="Y161">MEDIAN(IF(Y126:Y159&lt;&gt;0,Y126:Y159))</f>
        <v>84.7</v>
      </c>
      <c r="Z161" s="33"/>
      <c r="AA161" s="34">
        <f t="array" ref="AA161">MEDIAN(IF(AA126:AA159&lt;&gt;0,AA126:AA159))</f>
        <v>9</v>
      </c>
      <c r="AB161" s="35"/>
      <c r="AC161" s="33"/>
      <c r="AD161" s="33"/>
      <c r="AE161" s="33"/>
      <c r="AF161" s="33"/>
      <c r="AG161" s="33">
        <f t="array" ref="AG161">MEDIAN(IF(AG126:AG159&lt;&gt;0,AG126:AG159))</f>
        <v>89.7</v>
      </c>
      <c r="AH161" s="33"/>
      <c r="AI161" s="34">
        <f t="array" ref="AI161">MEDIAN(IF(AI126:AI159&lt;&gt;0,AI126:AI159))</f>
        <v>8</v>
      </c>
      <c r="AJ161" s="35"/>
      <c r="AK161" s="33"/>
      <c r="AL161" s="33"/>
      <c r="AM161" s="33"/>
      <c r="AN161" s="33"/>
      <c r="AO161" s="33">
        <f t="array" ref="AO161">MEDIAN(IF(AO126:AO159&lt;&gt;0,AO126:AO159))</f>
        <v>87.5</v>
      </c>
      <c r="AP161" s="33"/>
      <c r="AQ161" s="34">
        <f t="array" ref="AQ161">MEDIAN(IF(AQ126:AQ159&lt;&gt;0,AQ126:AQ159))</f>
        <v>5</v>
      </c>
      <c r="AR161" s="35"/>
      <c r="AS161" s="33"/>
      <c r="AT161" s="33"/>
      <c r="AU161" s="33"/>
      <c r="AV161" s="33"/>
      <c r="AW161" s="33">
        <f t="array" ref="AW161">MEDIAN(IF(AW126:AW159&lt;&gt;0,AW126:AW159))</f>
        <v>85.35</v>
      </c>
      <c r="AX161" s="33"/>
      <c r="AY161" s="34">
        <f t="array" ref="AY161">MEDIAN(IF(AY126:AY159&lt;&gt;0,AY126:AY159))</f>
        <v>6</v>
      </c>
      <c r="AZ161" s="35"/>
      <c r="BA161" s="33"/>
      <c r="BB161" s="33"/>
      <c r="BC161" s="33"/>
      <c r="BD161" s="33"/>
      <c r="BE161" s="33">
        <f t="array" ref="BE161">MEDIAN(IF(BE126:BE159&lt;&gt;0,BE126:BE159))</f>
        <v>87.5</v>
      </c>
      <c r="BF161" s="33"/>
      <c r="BG161" s="34">
        <f t="array" ref="BG161">MEDIAN(IF(BG126:BG159&lt;&gt;0,BG126:BG159))</f>
        <v>8</v>
      </c>
      <c r="BH161" s="35"/>
      <c r="BI161" s="33"/>
      <c r="BJ161" s="33"/>
      <c r="BK161" s="33"/>
      <c r="BL161" s="33"/>
      <c r="BM161" s="33">
        <f t="array" ref="BM161">MEDIAN(IF(BM126:BM159&lt;&gt;0,BM126:BM159))</f>
        <v>88.4</v>
      </c>
      <c r="BN161" s="33"/>
      <c r="BO161" s="34">
        <f t="array" ref="BO161">MEDIAN(IF(BO126:BO159&lt;&gt;0,BO126:BO159))</f>
        <v>7</v>
      </c>
      <c r="BP161" s="35"/>
      <c r="BQ161" s="33"/>
      <c r="BR161" s="33"/>
      <c r="BS161" s="33"/>
      <c r="BT161" s="33"/>
      <c r="BU161" s="33">
        <f t="array" ref="BU161">MEDIAN(IF(BU126:BU159&lt;&gt;0,BU126:BU159))</f>
        <v>86.050000000000011</v>
      </c>
      <c r="BV161" s="33"/>
      <c r="BW161" s="34">
        <f t="array" ref="BW161">MEDIAN(IF(BW126:BW159&lt;&gt;0,BW126:BW159))</f>
        <v>7</v>
      </c>
      <c r="BX161" s="25"/>
      <c r="BY161" s="24"/>
      <c r="BZ161" s="24"/>
      <c r="CA161" s="24"/>
    </row>
    <row r="162" spans="1:79" s="45" customFormat="1" x14ac:dyDescent="0.25">
      <c r="B162" s="46" t="s">
        <v>433</v>
      </c>
      <c r="C162" s="47"/>
      <c r="D162" s="47"/>
      <c r="E162" s="47"/>
      <c r="F162" s="47"/>
      <c r="G162" s="47"/>
      <c r="H162" s="47"/>
      <c r="I162" s="47"/>
      <c r="J162" s="47"/>
      <c r="K162" s="48">
        <f>SUM(K126:K159)</f>
        <v>202</v>
      </c>
      <c r="L162" s="48"/>
      <c r="M162" s="47"/>
      <c r="N162" s="47"/>
      <c r="O162" s="47"/>
      <c r="P162" s="47"/>
      <c r="Q162" s="47"/>
      <c r="R162" s="47"/>
      <c r="S162" s="48">
        <f>SUM(S126:S159)</f>
        <v>187</v>
      </c>
      <c r="T162" s="48"/>
      <c r="U162" s="47"/>
      <c r="V162" s="47"/>
      <c r="W162" s="47"/>
      <c r="X162" s="47"/>
      <c r="Y162" s="47"/>
      <c r="Z162" s="47"/>
      <c r="AA162" s="48">
        <f>SUM(AA126:AA159)</f>
        <v>303</v>
      </c>
      <c r="AB162" s="48"/>
      <c r="AC162" s="47"/>
      <c r="AD162" s="47"/>
      <c r="AE162" s="47"/>
      <c r="AF162" s="47"/>
      <c r="AG162" s="47"/>
      <c r="AH162" s="47"/>
      <c r="AI162" s="48">
        <f>SUM(AI126:AI159)</f>
        <v>257</v>
      </c>
      <c r="AJ162" s="48"/>
      <c r="AK162" s="47"/>
      <c r="AL162" s="47"/>
      <c r="AM162" s="47"/>
      <c r="AN162" s="47"/>
      <c r="AO162" s="47"/>
      <c r="AP162" s="47"/>
      <c r="AQ162" s="48">
        <f>SUM(AQ126:AQ159)</f>
        <v>171</v>
      </c>
      <c r="AR162" s="48"/>
      <c r="AS162" s="47"/>
      <c r="AT162" s="47"/>
      <c r="AU162" s="47"/>
      <c r="AV162" s="47"/>
      <c r="AW162" s="47"/>
      <c r="AX162" s="47"/>
      <c r="AY162" s="48">
        <f>SUM(AY126:AY159)</f>
        <v>217</v>
      </c>
      <c r="AZ162" s="48"/>
      <c r="BA162" s="47"/>
      <c r="BB162" s="47"/>
      <c r="BC162" s="47"/>
      <c r="BD162" s="47"/>
      <c r="BE162" s="47"/>
      <c r="BF162" s="47"/>
      <c r="BG162" s="48">
        <f>SUM(BG126:BG159)</f>
        <v>236</v>
      </c>
      <c r="BH162" s="48"/>
      <c r="BI162" s="47"/>
      <c r="BJ162" s="47"/>
      <c r="BK162" s="47"/>
      <c r="BL162" s="47"/>
      <c r="BM162" s="47"/>
      <c r="BN162" s="47"/>
      <c r="BO162" s="48">
        <f>SUM(BO126:BO159)</f>
        <v>232</v>
      </c>
      <c r="BP162" s="48"/>
      <c r="BQ162" s="47"/>
      <c r="BR162" s="47"/>
      <c r="BS162" s="47"/>
      <c r="BT162" s="47"/>
      <c r="BU162" s="47"/>
      <c r="BV162" s="47"/>
      <c r="BW162" s="48">
        <f>SUM(BW126:BW159)</f>
        <v>241</v>
      </c>
      <c r="BX162" s="49"/>
      <c r="BY162" s="50"/>
      <c r="BZ162" s="50"/>
      <c r="CA162" s="50"/>
    </row>
    <row r="164" spans="1:79" ht="15.75" x14ac:dyDescent="0.25">
      <c r="A164" s="12" t="s">
        <v>7</v>
      </c>
    </row>
    <row r="165" spans="1:79" outlineLevel="1" x14ac:dyDescent="0.25">
      <c r="B165" t="s">
        <v>21</v>
      </c>
      <c r="C165" s="17">
        <v>0</v>
      </c>
      <c r="D165" s="17"/>
      <c r="E165" s="17">
        <v>0</v>
      </c>
      <c r="F165" s="17"/>
      <c r="G165" s="17">
        <v>0</v>
      </c>
      <c r="H165" s="17"/>
      <c r="I165" s="17">
        <f t="array" ref="I165">SUM(IF(Period=I$4,IF(Category=$A$164,IF(Provider=$B165,Score))))</f>
        <v>87.5</v>
      </c>
      <c r="J165" s="17"/>
      <c r="K165" s="20">
        <f t="array" ref="K165">SUM(IF(Period=I$4,IF(Category=$A$164,IF(Provider=$B165,Responses))))</f>
        <v>7</v>
      </c>
      <c r="L165" s="20"/>
      <c r="M165" s="19">
        <f>I165*(K165/SUM(K$165:K$198))</f>
        <v>3.0321782178217824</v>
      </c>
      <c r="N165" s="17"/>
      <c r="O165" s="17">
        <f t="shared" ref="O165:O198" si="72">I165*(K165/(SUM(K$9:K$42)+SUM(K$48:K$81)+SUM(K$87:K$120)+SUM(K$126:K$159)+SUM(K$165:K$198)+SUM(K$204:K$237)))</f>
        <v>0.50661703887510334</v>
      </c>
      <c r="P165" s="17"/>
      <c r="Q165" s="17">
        <f t="array" ref="Q165">SUM(IF(Period=Q$4,IF(Category=$A$164,IF(Provider=$B165,Score))))</f>
        <v>81.3</v>
      </c>
      <c r="R165" s="17"/>
      <c r="S165" s="20">
        <f t="array" ref="S165">SUM(IF(Period=Q$4,IF(Category=$A$164,IF(Provider=$B165,Responses))))</f>
        <v>4</v>
      </c>
      <c r="T165" s="20"/>
      <c r="U165" s="19">
        <f>Q165*(S165/SUM(S$165:S$198))</f>
        <v>1.7297872340425531</v>
      </c>
      <c r="V165" s="17"/>
      <c r="W165" s="17">
        <f t="shared" ref="W165:W198" si="73">Q165*(S165/(SUM(S$9:S$42)+SUM(S$48:S$81)+SUM(S$87:S$120)+SUM(S$126:S$159)+SUM(S$165:S$198)+SUM(S$204:S$237)))</f>
        <v>0.28983957219251333</v>
      </c>
      <c r="X165" s="17"/>
      <c r="Y165" s="17">
        <f t="array" ref="Y165">SUM(IF(Period=Y$4,IF(Category=$A$164,IF(Provider=$B165,Score))))</f>
        <v>88.4</v>
      </c>
      <c r="Z165" s="17"/>
      <c r="AA165" s="20">
        <f t="array" ref="AA165">SUM(IF(Period=Y$4,IF(Category=$A$164,IF(Provider=$B165,Responses))))</f>
        <v>14</v>
      </c>
      <c r="AB165" s="20"/>
      <c r="AC165" s="19">
        <f>Y165*(AA165/SUM(AA$165:AA$198))</f>
        <v>4.0710526315789473</v>
      </c>
      <c r="AD165" s="17"/>
      <c r="AE165" s="17">
        <f t="shared" ref="AE165:AE198" si="74">Y165*(AA165/(SUM(AA$9:AA$42)+SUM(AA$48:AA$81)+SUM(AA$87:AA$120)+SUM(AA$126:AA$159)+SUM(AA$165:AA$198)+SUM(AA$204:AA$237)))</f>
        <v>0.68262548262548273</v>
      </c>
      <c r="AF165" s="17"/>
      <c r="AG165" s="17">
        <f t="array" ref="AG165">SUM(IF(Period=AG$4,IF(Category=$A$164,IF(Provider=$B165,Score))))</f>
        <v>100</v>
      </c>
      <c r="AH165" s="17"/>
      <c r="AI165" s="20">
        <f t="array" ref="AI165">SUM(IF(Period=AG$4,IF(Category=$A$164,IF(Provider=$B165,Responses))))</f>
        <v>3</v>
      </c>
      <c r="AJ165" s="20"/>
      <c r="AK165" s="19">
        <f>AG165*(AI165/SUM(AI$165:AI$198))</f>
        <v>1.1627906976744187</v>
      </c>
      <c r="AL165" s="17"/>
      <c r="AM165" s="17">
        <f t="shared" ref="AM165:AM198" si="75">AG165*(AI165/(SUM(AI$9:AI$42)+SUM(AI$48:AI$81)+SUM(AI$87:AI$120)+SUM(AI$126:AI$159)+SUM(AI$165:AI$198)+SUM(AI$204:AI$237)))</f>
        <v>0.19430051813471502</v>
      </c>
      <c r="AN165" s="17"/>
      <c r="AO165" s="17">
        <f t="array" ref="AO165">SUM(IF(Period=AO$4,IF(Category=$A$164,IF(Provider=$B165,Score))))</f>
        <v>96.9</v>
      </c>
      <c r="AP165" s="17"/>
      <c r="AQ165" s="20">
        <f t="array" ref="AQ165">SUM(IF(Period=AO$4,IF(Category=$A$164,IF(Provider=$B165,Responses))))</f>
        <v>2</v>
      </c>
      <c r="AR165" s="20"/>
      <c r="AS165" s="19">
        <f>AO165*(AQ165/SUM(AQ$165:AQ$198))</f>
        <v>1.1267441860465117</v>
      </c>
      <c r="AT165" s="17"/>
      <c r="AU165" s="17">
        <f t="shared" ref="AU165:AU198" si="76">AO165*(AQ165/(SUM(AQ$9:AQ$42)+SUM(AQ$48:AQ$81)+SUM(AQ$87:AQ$120)+SUM(AQ$126:AQ$159)+SUM(AQ$165:AQ$198)+SUM(AQ$204:AQ$237)))</f>
        <v>0.18888888888888888</v>
      </c>
      <c r="AV165" s="17"/>
      <c r="AW165" s="17">
        <f t="array" ref="AW165">SUM(IF(Period=AW$4,IF(Category=$A$164,IF(Provider=$B165,Score))))</f>
        <v>91.3</v>
      </c>
      <c r="AX165" s="17"/>
      <c r="AY165" s="20">
        <f t="array" ref="AY165">SUM(IF(Period=AW$4,IF(Category=$A$164,IF(Provider=$B165,Responses))))</f>
        <v>5</v>
      </c>
      <c r="AZ165" s="20"/>
      <c r="BA165" s="19">
        <f>AW165*(AY165/SUM(AY$165:AY$198))</f>
        <v>2.1036866359447006</v>
      </c>
      <c r="BB165" s="17"/>
      <c r="BC165" s="17">
        <f t="shared" ref="BC165:BC198" si="77">AW165*(AY165/(SUM(AY$9:AY$42)+SUM(AY$48:AY$81)+SUM(AY$87:AY$120)+SUM(AY$126:AY$159)+SUM(AY$165:AY$198)+SUM(AY$204:AY$237)))</f>
        <v>0.35061443932411673</v>
      </c>
      <c r="BD165" s="17"/>
      <c r="BE165" s="17">
        <f t="array" ref="BE165">SUM(IF(Period=BE$4,IF(Category=$A$164,IF(Provider=$B165,Score))))</f>
        <v>88.2</v>
      </c>
      <c r="BF165" s="17"/>
      <c r="BG165" s="20">
        <f t="array" ref="BG165">SUM(IF(Period=BE$4,IF(Category=$A$164,IF(Provider=$B165,Responses))))</f>
        <v>9</v>
      </c>
      <c r="BH165" s="20"/>
      <c r="BI165" s="19">
        <f>BE165*(BG165/SUM(BG$165:BG$198))</f>
        <v>3.349367088607595</v>
      </c>
      <c r="BJ165" s="17"/>
      <c r="BK165" s="17">
        <f t="shared" ref="BK165:BK198" si="78">BE165*(BG165/(SUM(BG$9:BG$42)+SUM(BG$48:BG$81)+SUM(BG$87:BG$120)+SUM(BG$126:BG$159)+SUM(BG$165:BG$198)+SUM(BG$204:BG$237)))</f>
        <v>0.56098939929328628</v>
      </c>
      <c r="BL165" s="17"/>
      <c r="BM165" s="17">
        <f t="array" ref="BM165">SUM(IF(Period=BM$4,IF(Category=$A$164,IF(Provider=$B165,Score))))</f>
        <v>100</v>
      </c>
      <c r="BN165" s="17"/>
      <c r="BO165" s="20">
        <f t="array" ref="BO165">SUM(IF(Period=BM$4,IF(Category=$A$164,IF(Provider=$B165,Responses))))</f>
        <v>6</v>
      </c>
      <c r="BP165" s="20"/>
      <c r="BQ165" s="19">
        <f>BM165*(BO165/SUM(BO$165:BO$198))</f>
        <v>2.5751072961373391</v>
      </c>
      <c r="BR165" s="17"/>
      <c r="BS165" s="17">
        <f t="shared" ref="BS165:BS198" si="79">BM165*(BO165/(SUM(BO$9:BO$42)+SUM(BO$48:BO$81)+SUM(BO$87:BO$120)+SUM(BO$126:BO$159)+SUM(BO$165:BO$198)+SUM(BO$204:BO$237)))</f>
        <v>0.4329004329004329</v>
      </c>
      <c r="BT165" s="17"/>
      <c r="BU165" s="17">
        <f t="array" ref="BU165">SUM(IF(Period=BU$4,IF(Category=$A$164,IF(Provider=$B165,Score))))</f>
        <v>88.8</v>
      </c>
      <c r="BV165" s="17"/>
      <c r="BW165" s="20">
        <f t="array" ref="BW165">SUM(IF(Period=BU$4,IF(Category=$A$164,IF(Provider=$B165,Responses))))</f>
        <v>5</v>
      </c>
      <c r="BX165" s="20"/>
      <c r="BY165" s="19">
        <f>BU165*(BW165/SUM(BW$165:BW$198))</f>
        <v>1.8347107438016528</v>
      </c>
      <c r="BZ165" s="17"/>
      <c r="CA165" s="17">
        <f t="shared" ref="CA165:CA198" si="80">BU165*(BW165/(SUM(BW$9:BW$42)+SUM(BW$48:BW$81)+SUM(BW$87:BW$120)+SUM(BW$126:BW$159)+SUM(BW$165:BW$198)+SUM(BW$204:BW$237)))</f>
        <v>0.30684174153420873</v>
      </c>
    </row>
    <row r="166" spans="1:79" outlineLevel="1" x14ac:dyDescent="0.25">
      <c r="B166" t="s">
        <v>30</v>
      </c>
      <c r="C166" s="17">
        <v>0</v>
      </c>
      <c r="D166" s="17"/>
      <c r="E166" s="17">
        <v>0</v>
      </c>
      <c r="F166" s="17"/>
      <c r="G166" s="17">
        <v>0</v>
      </c>
      <c r="H166" s="17"/>
      <c r="I166" s="17">
        <f t="array" ref="I166">SUM(IF(Period=I$4,IF(Category=$A$164,IF(Provider=$B166,Score))))</f>
        <v>78.599999999999994</v>
      </c>
      <c r="J166" s="17"/>
      <c r="K166" s="20">
        <f t="array" ref="K166">SUM(IF(Period=I$4,IF(Category=$A$164,IF(Provider=$B166,Responses))))</f>
        <v>7</v>
      </c>
      <c r="L166" s="20"/>
      <c r="M166" s="17">
        <f t="shared" ref="M166:M198" si="81">I166*(K166/SUM(K$165:K$198))</f>
        <v>2.723762376237624</v>
      </c>
      <c r="N166" s="17"/>
      <c r="O166" s="17">
        <f t="shared" si="72"/>
        <v>0.45508684863523569</v>
      </c>
      <c r="P166" s="17"/>
      <c r="Q166" s="17">
        <f t="array" ref="Q166">SUM(IF(Period=Q$4,IF(Category=$A$164,IF(Provider=$B166,Score))))</f>
        <v>93.8</v>
      </c>
      <c r="R166" s="17"/>
      <c r="S166" s="20">
        <f t="array" ref="S166">SUM(IF(Period=Q$4,IF(Category=$A$164,IF(Provider=$B166,Responses))))</f>
        <v>10</v>
      </c>
      <c r="T166" s="20"/>
      <c r="U166" s="17">
        <f t="shared" ref="U166:U198" si="82">Q166*(S166/SUM(S$165:S$198))</f>
        <v>4.9893617021276597</v>
      </c>
      <c r="V166" s="17"/>
      <c r="W166" s="17">
        <f t="shared" si="73"/>
        <v>0.83600713012477723</v>
      </c>
      <c r="X166" s="17"/>
      <c r="Y166" s="17">
        <f t="array" ref="Y166">SUM(IF(Period=Y$4,IF(Category=$A$164,IF(Provider=$B166,Score))))</f>
        <v>83.3</v>
      </c>
      <c r="Z166" s="17"/>
      <c r="AA166" s="20">
        <f t="array" ref="AA166">SUM(IF(Period=Y$4,IF(Category=$A$164,IF(Provider=$B166,Responses))))</f>
        <v>9</v>
      </c>
      <c r="AB166" s="20"/>
      <c r="AC166" s="17">
        <f t="shared" ref="AC166:AC198" si="83">Y166*(AA166/SUM(AA$165:AA$198))</f>
        <v>2.4661184210526312</v>
      </c>
      <c r="AD166" s="17"/>
      <c r="AE166" s="17">
        <f t="shared" si="74"/>
        <v>0.41351351351351345</v>
      </c>
      <c r="AF166" s="17"/>
      <c r="AG166" s="17">
        <f t="array" ref="AG166">SUM(IF(Period=AG$4,IF(Category=$A$164,IF(Provider=$B166,Score))))</f>
        <v>100</v>
      </c>
      <c r="AH166" s="17"/>
      <c r="AI166" s="20">
        <f t="array" ref="AI166">SUM(IF(Period=AG$4,IF(Category=$A$164,IF(Provider=$B166,Responses))))</f>
        <v>6</v>
      </c>
      <c r="AJ166" s="20"/>
      <c r="AK166" s="17">
        <f t="shared" ref="AK166:AK198" si="84">AG166*(AI166/SUM(AI$165:AI$198))</f>
        <v>2.3255813953488373</v>
      </c>
      <c r="AL166" s="17"/>
      <c r="AM166" s="17">
        <f t="shared" si="75"/>
        <v>0.38860103626943004</v>
      </c>
      <c r="AN166" s="17"/>
      <c r="AO166" s="17">
        <f t="array" ref="AO166">SUM(IF(Period=AO$4,IF(Category=$A$164,IF(Provider=$B166,Score))))</f>
        <v>37.5</v>
      </c>
      <c r="AP166" s="17"/>
      <c r="AQ166" s="20">
        <f t="array" ref="AQ166">SUM(IF(Period=AO$4,IF(Category=$A$164,IF(Provider=$B166,Responses))))</f>
        <v>4</v>
      </c>
      <c r="AR166" s="20"/>
      <c r="AS166" s="17">
        <f t="shared" ref="AS166:AS198" si="85">AO166*(AQ166/SUM(AQ$165:AQ$198))</f>
        <v>0.87209302325581395</v>
      </c>
      <c r="AT166" s="17"/>
      <c r="AU166" s="17">
        <f t="shared" si="76"/>
        <v>0.14619883040935672</v>
      </c>
      <c r="AV166" s="17"/>
      <c r="AW166" s="17">
        <f t="array" ref="AW166">SUM(IF(Period=AW$4,IF(Category=$A$164,IF(Provider=$B166,Score))))</f>
        <v>87.5</v>
      </c>
      <c r="AX166" s="17"/>
      <c r="AY166" s="20">
        <f t="array" ref="AY166">SUM(IF(Period=AW$4,IF(Category=$A$164,IF(Provider=$B166,Responses))))</f>
        <v>7</v>
      </c>
      <c r="AZ166" s="20"/>
      <c r="BA166" s="17">
        <f t="shared" ref="BA166:BA198" si="86">AW166*(AY166/SUM(AY$165:AY$198))</f>
        <v>2.82258064516129</v>
      </c>
      <c r="BB166" s="17"/>
      <c r="BC166" s="17">
        <f t="shared" si="77"/>
        <v>0.47043010752688175</v>
      </c>
      <c r="BD166" s="17"/>
      <c r="BE166" s="17">
        <f t="array" ref="BE166">SUM(IF(Period=BE$4,IF(Category=$A$164,IF(Provider=$B166,Score))))</f>
        <v>99.2</v>
      </c>
      <c r="BF166" s="17"/>
      <c r="BG166" s="20">
        <f t="array" ref="BG166">SUM(IF(Period=BE$4,IF(Category=$A$164,IF(Provider=$B166,Responses))))</f>
        <v>8</v>
      </c>
      <c r="BH166" s="20"/>
      <c r="BI166" s="17">
        <f t="shared" ref="BI166:BI198" si="87">BE166*(BG166/SUM(BG$165:BG$198))</f>
        <v>3.3485232067510546</v>
      </c>
      <c r="BJ166" s="17"/>
      <c r="BK166" s="17">
        <f t="shared" si="78"/>
        <v>0.56084805653710246</v>
      </c>
      <c r="BL166" s="17"/>
      <c r="BM166" s="17">
        <f t="array" ref="BM166">SUM(IF(Period=BM$4,IF(Category=$A$164,IF(Provider=$B166,Score))))</f>
        <v>89.6</v>
      </c>
      <c r="BN166" s="17"/>
      <c r="BO166" s="20">
        <f t="array" ref="BO166">SUM(IF(Period=BM$4,IF(Category=$A$164,IF(Provider=$B166,Responses))))</f>
        <v>6</v>
      </c>
      <c r="BP166" s="20"/>
      <c r="BQ166" s="17">
        <f t="shared" ref="BQ166:BQ198" si="88">BM166*(BO166/SUM(BO$165:BO$198))</f>
        <v>2.3072961373390557</v>
      </c>
      <c r="BR166" s="17"/>
      <c r="BS166" s="17">
        <f t="shared" si="79"/>
        <v>0.38787878787878788</v>
      </c>
      <c r="BT166" s="17"/>
      <c r="BU166" s="17">
        <f t="array" ref="BU166">SUM(IF(Period=BU$4,IF(Category=$A$164,IF(Provider=$B166,Score))))</f>
        <v>81.8</v>
      </c>
      <c r="BV166" s="17"/>
      <c r="BW166" s="20">
        <f t="array" ref="BW166">SUM(IF(Period=BU$4,IF(Category=$A$164,IF(Provider=$B166,Responses))))</f>
        <v>11</v>
      </c>
      <c r="BX166" s="20"/>
      <c r="BY166" s="17">
        <f t="shared" ref="BY166:BY198" si="89">BU166*(BW166/SUM(BW$165:BW$198))</f>
        <v>3.7181818181818183</v>
      </c>
      <c r="BZ166" s="17"/>
      <c r="CA166" s="17">
        <f t="shared" si="80"/>
        <v>0.62183828610919145</v>
      </c>
    </row>
    <row r="167" spans="1:79" outlineLevel="1" x14ac:dyDescent="0.25">
      <c r="B167" t="s">
        <v>14</v>
      </c>
      <c r="C167" s="17">
        <v>0</v>
      </c>
      <c r="D167" s="17"/>
      <c r="E167" s="17">
        <v>0</v>
      </c>
      <c r="F167" s="17"/>
      <c r="G167" s="17">
        <v>0</v>
      </c>
      <c r="H167" s="17"/>
      <c r="I167" s="17">
        <f t="array" ref="I167">SUM(IF(Period=I$4,IF(Category=$A$164,IF(Provider=$B167,Score))))</f>
        <v>93.8</v>
      </c>
      <c r="J167" s="17"/>
      <c r="K167" s="20">
        <f t="array" ref="K167">SUM(IF(Period=I$4,IF(Category=$A$164,IF(Provider=$B167,Responses))))</f>
        <v>7</v>
      </c>
      <c r="L167" s="20"/>
      <c r="M167" s="17">
        <f t="shared" si="81"/>
        <v>3.2504950495049507</v>
      </c>
      <c r="N167" s="17"/>
      <c r="O167" s="17">
        <f t="shared" si="72"/>
        <v>0.54309346567411076</v>
      </c>
      <c r="P167" s="17"/>
      <c r="Q167" s="17">
        <f t="array" ref="Q167">SUM(IF(Period=Q$4,IF(Category=$A$164,IF(Provider=$B167,Score))))</f>
        <v>91.7</v>
      </c>
      <c r="R167" s="17"/>
      <c r="S167" s="20">
        <f t="array" ref="S167">SUM(IF(Period=Q$4,IF(Category=$A$164,IF(Provider=$B167,Responses))))</f>
        <v>6</v>
      </c>
      <c r="T167" s="20"/>
      <c r="U167" s="17">
        <f t="shared" si="82"/>
        <v>2.926595744680851</v>
      </c>
      <c r="V167" s="17"/>
      <c r="W167" s="17">
        <f t="shared" si="73"/>
        <v>0.49037433155080212</v>
      </c>
      <c r="X167" s="17"/>
      <c r="Y167" s="17">
        <f t="array" ref="Y167">SUM(IF(Period=Y$4,IF(Category=$A$164,IF(Provider=$B167,Score))))</f>
        <v>85.4</v>
      </c>
      <c r="Z167" s="17"/>
      <c r="AA167" s="20">
        <f t="array" ref="AA167">SUM(IF(Period=Y$4,IF(Category=$A$164,IF(Provider=$B167,Responses))))</f>
        <v>9</v>
      </c>
      <c r="AB167" s="20"/>
      <c r="AC167" s="17">
        <f t="shared" si="83"/>
        <v>2.5282894736842105</v>
      </c>
      <c r="AD167" s="17"/>
      <c r="AE167" s="17">
        <f t="shared" si="74"/>
        <v>0.42393822393822395</v>
      </c>
      <c r="AF167" s="17"/>
      <c r="AG167" s="17">
        <f t="array" ref="AG167">SUM(IF(Period=AG$4,IF(Category=$A$164,IF(Provider=$B167,Score))))</f>
        <v>97.6</v>
      </c>
      <c r="AH167" s="17"/>
      <c r="AI167" s="20">
        <f t="array" ref="AI167">SUM(IF(Period=AG$4,IF(Category=$A$164,IF(Provider=$B167,Responses))))</f>
        <v>7</v>
      </c>
      <c r="AJ167" s="20"/>
      <c r="AK167" s="17">
        <f t="shared" si="84"/>
        <v>2.6480620155038759</v>
      </c>
      <c r="AL167" s="17"/>
      <c r="AM167" s="17">
        <f t="shared" si="75"/>
        <v>0.44248704663212429</v>
      </c>
      <c r="AN167" s="17"/>
      <c r="AO167" s="17">
        <f t="array" ref="AO167">SUM(IF(Period=AO$4,IF(Category=$A$164,IF(Provider=$B167,Score))))</f>
        <v>68.8</v>
      </c>
      <c r="AP167" s="17"/>
      <c r="AQ167" s="20">
        <f t="array" ref="AQ167">SUM(IF(Period=AO$4,IF(Category=$A$164,IF(Provider=$B167,Responses))))</f>
        <v>8</v>
      </c>
      <c r="AR167" s="20"/>
      <c r="AS167" s="17">
        <f t="shared" si="85"/>
        <v>3.1999999999999997</v>
      </c>
      <c r="AT167" s="17"/>
      <c r="AU167" s="17">
        <f t="shared" si="76"/>
        <v>0.53645224171539951</v>
      </c>
      <c r="AV167" s="17"/>
      <c r="AW167" s="17">
        <f t="array" ref="AW167">SUM(IF(Period=AW$4,IF(Category=$A$164,IF(Provider=$B167,Score))))</f>
        <v>97.9</v>
      </c>
      <c r="AX167" s="17"/>
      <c r="AY167" s="20">
        <f t="array" ref="AY167">SUM(IF(Period=AW$4,IF(Category=$A$164,IF(Provider=$B167,Responses))))</f>
        <v>6</v>
      </c>
      <c r="AZ167" s="20"/>
      <c r="BA167" s="17">
        <f t="shared" si="86"/>
        <v>2.7069124423963138</v>
      </c>
      <c r="BB167" s="17"/>
      <c r="BC167" s="17">
        <f t="shared" si="77"/>
        <v>0.45115207373271893</v>
      </c>
      <c r="BD167" s="17"/>
      <c r="BE167" s="17">
        <f t="array" ref="BE167">SUM(IF(Period=BE$4,IF(Category=$A$164,IF(Provider=$B167,Score))))</f>
        <v>87.5</v>
      </c>
      <c r="BF167" s="17"/>
      <c r="BG167" s="20">
        <f t="array" ref="BG167">SUM(IF(Period=BE$4,IF(Category=$A$164,IF(Provider=$B167,Responses))))</f>
        <v>8</v>
      </c>
      <c r="BH167" s="20"/>
      <c r="BI167" s="17">
        <f t="shared" si="87"/>
        <v>2.9535864978902953</v>
      </c>
      <c r="BJ167" s="17"/>
      <c r="BK167" s="17">
        <f t="shared" si="78"/>
        <v>0.4946996466431095</v>
      </c>
      <c r="BL167" s="17"/>
      <c r="BM167" s="17">
        <f t="array" ref="BM167">SUM(IF(Period=BM$4,IF(Category=$A$164,IF(Provider=$B167,Score))))</f>
        <v>67.2</v>
      </c>
      <c r="BN167" s="17"/>
      <c r="BO167" s="20">
        <f t="array" ref="BO167">SUM(IF(Period=BM$4,IF(Category=$A$164,IF(Provider=$B167,Responses))))</f>
        <v>8</v>
      </c>
      <c r="BP167" s="20"/>
      <c r="BQ167" s="17">
        <f t="shared" si="88"/>
        <v>2.3072961373390557</v>
      </c>
      <c r="BR167" s="17"/>
      <c r="BS167" s="17">
        <f t="shared" si="79"/>
        <v>0.38787878787878788</v>
      </c>
      <c r="BT167" s="17"/>
      <c r="BU167" s="17">
        <f t="array" ref="BU167">SUM(IF(Period=BU$4,IF(Category=$A$164,IF(Provider=$B167,Score))))</f>
        <v>77.099999999999994</v>
      </c>
      <c r="BV167" s="17"/>
      <c r="BW167" s="20">
        <f t="array" ref="BW167">SUM(IF(Period=BU$4,IF(Category=$A$164,IF(Provider=$B167,Responses))))</f>
        <v>6</v>
      </c>
      <c r="BX167" s="20"/>
      <c r="BY167" s="17">
        <f t="shared" si="89"/>
        <v>1.9115702479338843</v>
      </c>
      <c r="BZ167" s="17"/>
      <c r="CA167" s="17">
        <f t="shared" si="80"/>
        <v>0.31969592259847962</v>
      </c>
    </row>
    <row r="168" spans="1:79" outlineLevel="1" x14ac:dyDescent="0.25">
      <c r="B168" t="s">
        <v>38</v>
      </c>
      <c r="C168" s="17">
        <v>0</v>
      </c>
      <c r="D168" s="17"/>
      <c r="E168" s="17">
        <v>0</v>
      </c>
      <c r="F168" s="17"/>
      <c r="G168" s="17">
        <v>0</v>
      </c>
      <c r="H168" s="17"/>
      <c r="I168" s="17">
        <f t="array" ref="I168">SUM(IF(Period=I$4,IF(Category=$A$164,IF(Provider=$B168,Score))))</f>
        <v>65.599999999999994</v>
      </c>
      <c r="J168" s="17"/>
      <c r="K168" s="20">
        <f t="array" ref="K168">SUM(IF(Period=I$4,IF(Category=$A$164,IF(Provider=$B168,Responses))))</f>
        <v>4</v>
      </c>
      <c r="L168" s="20"/>
      <c r="M168" s="17">
        <f t="shared" si="81"/>
        <v>1.2990099009900988</v>
      </c>
      <c r="N168" s="17"/>
      <c r="O168" s="17">
        <f t="shared" si="72"/>
        <v>0.2170388751033912</v>
      </c>
      <c r="P168" s="17"/>
      <c r="Q168" s="17">
        <f t="array" ref="Q168">SUM(IF(Period=Q$4,IF(Category=$A$164,IF(Provider=$B168,Score))))</f>
        <v>88.4</v>
      </c>
      <c r="R168" s="17"/>
      <c r="S168" s="20">
        <f t="array" ref="S168">SUM(IF(Period=Q$4,IF(Category=$A$164,IF(Provider=$B168,Responses))))</f>
        <v>7</v>
      </c>
      <c r="T168" s="20"/>
      <c r="U168" s="17">
        <f t="shared" si="82"/>
        <v>3.2914893617021277</v>
      </c>
      <c r="V168" s="17"/>
      <c r="W168" s="17">
        <f t="shared" si="73"/>
        <v>0.55151515151515151</v>
      </c>
      <c r="X168" s="17"/>
      <c r="Y168" s="17">
        <f t="array" ref="Y168">SUM(IF(Period=Y$4,IF(Category=$A$164,IF(Provider=$B168,Score))))</f>
        <v>80.099999999999994</v>
      </c>
      <c r="Z168" s="17"/>
      <c r="AA168" s="20">
        <f t="array" ref="AA168">SUM(IF(Period=Y$4,IF(Category=$A$164,IF(Provider=$B168,Responses))))</f>
        <v>11</v>
      </c>
      <c r="AB168" s="20"/>
      <c r="AC168" s="17">
        <f t="shared" si="83"/>
        <v>2.8983552631578946</v>
      </c>
      <c r="AD168" s="17"/>
      <c r="AE168" s="17">
        <f t="shared" si="74"/>
        <v>0.48599007170435743</v>
      </c>
      <c r="AF168" s="17"/>
      <c r="AG168" s="17">
        <f t="array" ref="AG168">SUM(IF(Period=AG$4,IF(Category=$A$164,IF(Provider=$B168,Score))))</f>
        <v>77.5</v>
      </c>
      <c r="AH168" s="17"/>
      <c r="AI168" s="20">
        <f t="array" ref="AI168">SUM(IF(Period=AG$4,IF(Category=$A$164,IF(Provider=$B168,Responses))))</f>
        <v>5</v>
      </c>
      <c r="AJ168" s="20"/>
      <c r="AK168" s="17">
        <f t="shared" si="84"/>
        <v>1.501937984496124</v>
      </c>
      <c r="AL168" s="17"/>
      <c r="AM168" s="17">
        <f t="shared" si="75"/>
        <v>0.25097150259067358</v>
      </c>
      <c r="AN168" s="17"/>
      <c r="AO168" s="17">
        <f t="array" ref="AO168">SUM(IF(Period=AO$4,IF(Category=$A$164,IF(Provider=$B168,Score))))</f>
        <v>86.1</v>
      </c>
      <c r="AP168" s="17"/>
      <c r="AQ168" s="20">
        <f t="array" ref="AQ168">SUM(IF(Period=AO$4,IF(Category=$A$164,IF(Provider=$B168,Responses))))</f>
        <v>9</v>
      </c>
      <c r="AR168" s="20"/>
      <c r="AS168" s="17">
        <f t="shared" si="85"/>
        <v>4.5052325581395349</v>
      </c>
      <c r="AT168" s="17"/>
      <c r="AU168" s="17">
        <f t="shared" si="76"/>
        <v>0.75526315789473675</v>
      </c>
      <c r="AV168" s="17"/>
      <c r="AW168" s="17">
        <f t="array" ref="AW168">SUM(IF(Period=AW$4,IF(Category=$A$164,IF(Provider=$B168,Score))))</f>
        <v>65.599999999999994</v>
      </c>
      <c r="AX168" s="17"/>
      <c r="AY168" s="20">
        <f t="array" ref="AY168">SUM(IF(Period=AW$4,IF(Category=$A$164,IF(Provider=$B168,Responses))))</f>
        <v>2</v>
      </c>
      <c r="AZ168" s="20"/>
      <c r="BA168" s="17">
        <f t="shared" si="86"/>
        <v>0.60460829493087553</v>
      </c>
      <c r="BB168" s="17"/>
      <c r="BC168" s="17">
        <f t="shared" si="77"/>
        <v>0.10076804915514592</v>
      </c>
      <c r="BD168" s="17"/>
      <c r="BE168" s="17">
        <f t="array" ref="BE168">SUM(IF(Period=BE$4,IF(Category=$A$164,IF(Provider=$B168,Score))))</f>
        <v>78.099999999999994</v>
      </c>
      <c r="BF168" s="17"/>
      <c r="BG168" s="20">
        <f t="array" ref="BG168">SUM(IF(Period=BE$4,IF(Category=$A$164,IF(Provider=$B168,Responses))))</f>
        <v>2</v>
      </c>
      <c r="BH168" s="20"/>
      <c r="BI168" s="17">
        <f t="shared" si="87"/>
        <v>0.65907172995780583</v>
      </c>
      <c r="BJ168" s="17"/>
      <c r="BK168" s="17">
        <f t="shared" si="78"/>
        <v>0.11038869257950529</v>
      </c>
      <c r="BL168" s="17"/>
      <c r="BM168" s="17">
        <f t="array" ref="BM168">SUM(IF(Period=BM$4,IF(Category=$A$164,IF(Provider=$B168,Score))))</f>
        <v>89.3</v>
      </c>
      <c r="BN168" s="17"/>
      <c r="BO168" s="20">
        <f t="array" ref="BO168">SUM(IF(Period=BM$4,IF(Category=$A$164,IF(Provider=$B168,Responses))))</f>
        <v>7</v>
      </c>
      <c r="BP168" s="20"/>
      <c r="BQ168" s="17">
        <f t="shared" si="88"/>
        <v>2.6828326180257509</v>
      </c>
      <c r="BR168" s="17"/>
      <c r="BS168" s="17">
        <f t="shared" si="79"/>
        <v>0.45101010101010103</v>
      </c>
      <c r="BT168" s="17"/>
      <c r="BU168" s="17">
        <f t="array" ref="BU168">SUM(IF(Period=BU$4,IF(Category=$A$164,IF(Provider=$B168,Score))))</f>
        <v>96.1</v>
      </c>
      <c r="BV168" s="17"/>
      <c r="BW168" s="20">
        <f t="array" ref="BW168">SUM(IF(Period=BU$4,IF(Category=$A$164,IF(Provider=$B168,Responses))))</f>
        <v>8</v>
      </c>
      <c r="BX168" s="20"/>
      <c r="BY168" s="17">
        <f t="shared" si="89"/>
        <v>3.1768595041322314</v>
      </c>
      <c r="BZ168" s="17"/>
      <c r="CA168" s="17">
        <f t="shared" si="80"/>
        <v>0.53130615065653075</v>
      </c>
    </row>
    <row r="169" spans="1:79" outlineLevel="1" x14ac:dyDescent="0.25">
      <c r="B169" t="s">
        <v>26</v>
      </c>
      <c r="C169" s="17">
        <v>0</v>
      </c>
      <c r="D169" s="17"/>
      <c r="E169" s="17">
        <v>0</v>
      </c>
      <c r="F169" s="17"/>
      <c r="G169" s="17">
        <v>0</v>
      </c>
      <c r="H169" s="17"/>
      <c r="I169" s="17">
        <f t="array" ref="I169">SUM(IF(Period=I$4,IF(Category=$A$164,IF(Provider=$B169,Score))))</f>
        <v>82.1</v>
      </c>
      <c r="J169" s="17"/>
      <c r="K169" s="20">
        <f t="array" ref="K169">SUM(IF(Period=I$4,IF(Category=$A$164,IF(Provider=$B169,Responses))))</f>
        <v>7</v>
      </c>
      <c r="L169" s="20"/>
      <c r="M169" s="17">
        <f t="shared" si="81"/>
        <v>2.8450495049504951</v>
      </c>
      <c r="N169" s="17"/>
      <c r="O169" s="17">
        <f t="shared" si="72"/>
        <v>0.47535153019023985</v>
      </c>
      <c r="P169" s="17"/>
      <c r="Q169" s="17">
        <f t="array" ref="Q169">SUM(IF(Period=Q$4,IF(Category=$A$164,IF(Provider=$B169,Score))))</f>
        <v>79.2</v>
      </c>
      <c r="R169" s="17"/>
      <c r="S169" s="20">
        <f t="array" ref="S169">SUM(IF(Period=Q$4,IF(Category=$A$164,IF(Provider=$B169,Responses))))</f>
        <v>6</v>
      </c>
      <c r="T169" s="20"/>
      <c r="U169" s="17">
        <f t="shared" si="82"/>
        <v>2.527659574468085</v>
      </c>
      <c r="V169" s="17"/>
      <c r="W169" s="17">
        <f t="shared" si="73"/>
        <v>0.42352941176470588</v>
      </c>
      <c r="X169" s="17"/>
      <c r="Y169" s="17">
        <f t="array" ref="Y169">SUM(IF(Period=Y$4,IF(Category=$A$164,IF(Provider=$B169,Score))))</f>
        <v>77.599999999999994</v>
      </c>
      <c r="Z169" s="17"/>
      <c r="AA169" s="20">
        <f t="array" ref="AA169">SUM(IF(Period=Y$4,IF(Category=$A$164,IF(Provider=$B169,Responses))))</f>
        <v>12</v>
      </c>
      <c r="AB169" s="20"/>
      <c r="AC169" s="17">
        <f t="shared" si="83"/>
        <v>3.0631578947368419</v>
      </c>
      <c r="AD169" s="17"/>
      <c r="AE169" s="17">
        <f t="shared" si="74"/>
        <v>0.51362382790954209</v>
      </c>
      <c r="AF169" s="17"/>
      <c r="AG169" s="17">
        <f t="array" ref="AG169">SUM(IF(Period=AG$4,IF(Category=$A$164,IF(Provider=$B169,Score))))</f>
        <v>88.9</v>
      </c>
      <c r="AH169" s="17"/>
      <c r="AI169" s="20">
        <f t="array" ref="AI169">SUM(IF(Period=AG$4,IF(Category=$A$164,IF(Provider=$B169,Responses))))</f>
        <v>9</v>
      </c>
      <c r="AJ169" s="20"/>
      <c r="AK169" s="17">
        <f t="shared" si="84"/>
        <v>3.1011627906976744</v>
      </c>
      <c r="AL169" s="17"/>
      <c r="AM169" s="17">
        <f t="shared" si="75"/>
        <v>0.51819948186528497</v>
      </c>
      <c r="AN169" s="17"/>
      <c r="AO169" s="17">
        <f t="array" ref="AO169">SUM(IF(Period=AO$4,IF(Category=$A$164,IF(Provider=$B169,Score))))</f>
        <v>100</v>
      </c>
      <c r="AP169" s="17"/>
      <c r="AQ169" s="20">
        <f t="array" ref="AQ169">SUM(IF(Period=AO$4,IF(Category=$A$164,IF(Provider=$B169,Responses))))</f>
        <v>4</v>
      </c>
      <c r="AR169" s="20"/>
      <c r="AS169" s="17">
        <f t="shared" si="85"/>
        <v>2.3255813953488373</v>
      </c>
      <c r="AT169" s="17"/>
      <c r="AU169" s="17">
        <f t="shared" si="76"/>
        <v>0.38986354775828458</v>
      </c>
      <c r="AV169" s="17"/>
      <c r="AW169" s="17">
        <f t="array" ref="AW169">SUM(IF(Period=AW$4,IF(Category=$A$164,IF(Provider=$B169,Score))))</f>
        <v>82.3</v>
      </c>
      <c r="AX169" s="17"/>
      <c r="AY169" s="20">
        <f t="array" ref="AY169">SUM(IF(Period=AW$4,IF(Category=$A$164,IF(Provider=$B169,Responses))))</f>
        <v>6</v>
      </c>
      <c r="AZ169" s="20"/>
      <c r="BA169" s="17">
        <f t="shared" si="86"/>
        <v>2.2755760368663593</v>
      </c>
      <c r="BB169" s="17"/>
      <c r="BC169" s="17">
        <f t="shared" si="77"/>
        <v>0.37926267281105991</v>
      </c>
      <c r="BD169" s="17"/>
      <c r="BE169" s="17">
        <f t="array" ref="BE169">SUM(IF(Period=BE$4,IF(Category=$A$164,IF(Provider=$B169,Score))))</f>
        <v>62.5</v>
      </c>
      <c r="BF169" s="17"/>
      <c r="BG169" s="20">
        <f t="array" ref="BG169">SUM(IF(Period=BE$4,IF(Category=$A$164,IF(Provider=$B169,Responses))))</f>
        <v>6</v>
      </c>
      <c r="BH169" s="20"/>
      <c r="BI169" s="17">
        <f t="shared" si="87"/>
        <v>1.5822784810126582</v>
      </c>
      <c r="BJ169" s="17"/>
      <c r="BK169" s="17">
        <f t="shared" si="78"/>
        <v>0.26501766784452296</v>
      </c>
      <c r="BL169" s="17"/>
      <c r="BM169" s="17">
        <f t="array" ref="BM169">SUM(IF(Period=BM$4,IF(Category=$A$164,IF(Provider=$B169,Score))))</f>
        <v>73.2</v>
      </c>
      <c r="BN169" s="17"/>
      <c r="BO169" s="20">
        <f t="array" ref="BO169">SUM(IF(Period=BM$4,IF(Category=$A$164,IF(Provider=$B169,Responses))))</f>
        <v>7</v>
      </c>
      <c r="BP169" s="20"/>
      <c r="BQ169" s="17">
        <f t="shared" si="88"/>
        <v>2.1991416309012877</v>
      </c>
      <c r="BR169" s="17"/>
      <c r="BS169" s="17">
        <f t="shared" si="79"/>
        <v>0.36969696969696975</v>
      </c>
      <c r="BT169" s="17"/>
      <c r="BU169" s="17">
        <f t="array" ref="BU169">SUM(IF(Period=BU$4,IF(Category=$A$164,IF(Provider=$B169,Score))))</f>
        <v>91.1</v>
      </c>
      <c r="BV169" s="17"/>
      <c r="BW169" s="20">
        <f t="array" ref="BW169">SUM(IF(Period=BU$4,IF(Category=$A$164,IF(Provider=$B169,Responses))))</f>
        <v>7</v>
      </c>
      <c r="BX169" s="20"/>
      <c r="BY169" s="17">
        <f t="shared" si="89"/>
        <v>2.6351239669421487</v>
      </c>
      <c r="BZ169" s="17"/>
      <c r="CA169" s="17">
        <f t="shared" si="80"/>
        <v>0.44070490670352452</v>
      </c>
    </row>
    <row r="170" spans="1:79" outlineLevel="1" x14ac:dyDescent="0.25">
      <c r="B170" t="s">
        <v>42</v>
      </c>
      <c r="C170" s="17">
        <v>0</v>
      </c>
      <c r="D170" s="17"/>
      <c r="E170" s="17">
        <v>0</v>
      </c>
      <c r="F170" s="17"/>
      <c r="G170" s="17">
        <v>0</v>
      </c>
      <c r="H170" s="17"/>
      <c r="I170" s="17">
        <f t="array" ref="I170">SUM(IF(Period=I$4,IF(Category=$A$164,IF(Provider=$B170,Score))))</f>
        <v>51.6</v>
      </c>
      <c r="J170" s="17"/>
      <c r="K170" s="20">
        <f t="array" ref="K170">SUM(IF(Period=I$4,IF(Category=$A$164,IF(Provider=$B170,Responses))))</f>
        <v>4</v>
      </c>
      <c r="L170" s="20"/>
      <c r="M170" s="17">
        <f t="shared" si="81"/>
        <v>1.0217821782178218</v>
      </c>
      <c r="N170" s="17"/>
      <c r="O170" s="17">
        <f t="shared" si="72"/>
        <v>0.1707196029776675</v>
      </c>
      <c r="P170" s="17"/>
      <c r="Q170" s="17">
        <f t="array" ref="Q170">SUM(IF(Period=Q$4,IF(Category=$A$164,IF(Provider=$B170,Score))))</f>
        <v>42.5</v>
      </c>
      <c r="R170" s="17"/>
      <c r="S170" s="20">
        <f t="array" ref="S170">SUM(IF(Period=Q$4,IF(Category=$A$164,IF(Provider=$B170,Responses))))</f>
        <v>10</v>
      </c>
      <c r="T170" s="20"/>
      <c r="U170" s="17">
        <f t="shared" si="82"/>
        <v>2.2606382978723403</v>
      </c>
      <c r="V170" s="17"/>
      <c r="W170" s="17">
        <f t="shared" si="73"/>
        <v>0.37878787878787878</v>
      </c>
      <c r="X170" s="17"/>
      <c r="Y170" s="17">
        <f t="array" ref="Y170">SUM(IF(Period=Y$4,IF(Category=$A$164,IF(Provider=$B170,Score))))</f>
        <v>70</v>
      </c>
      <c r="Z170" s="17"/>
      <c r="AA170" s="20">
        <f t="array" ref="AA170">SUM(IF(Period=Y$4,IF(Category=$A$164,IF(Provider=$B170,Responses))))</f>
        <v>5</v>
      </c>
      <c r="AB170" s="20"/>
      <c r="AC170" s="17">
        <f t="shared" si="83"/>
        <v>1.1513157894736841</v>
      </c>
      <c r="AD170" s="17"/>
      <c r="AE170" s="17">
        <f t="shared" si="74"/>
        <v>0.19305019305019305</v>
      </c>
      <c r="AF170" s="17"/>
      <c r="AG170" s="17">
        <f t="array" ref="AG170">SUM(IF(Period=AG$4,IF(Category=$A$164,IF(Provider=$B170,Score))))</f>
        <v>75</v>
      </c>
      <c r="AH170" s="17"/>
      <c r="AI170" s="20">
        <f t="array" ref="AI170">SUM(IF(Period=AG$4,IF(Category=$A$164,IF(Provider=$B170,Responses))))</f>
        <v>1</v>
      </c>
      <c r="AJ170" s="20"/>
      <c r="AK170" s="17">
        <f t="shared" si="84"/>
        <v>0.29069767441860467</v>
      </c>
      <c r="AL170" s="17"/>
      <c r="AM170" s="17">
        <f t="shared" si="75"/>
        <v>4.8575129533678756E-2</v>
      </c>
      <c r="AN170" s="17"/>
      <c r="AO170" s="17">
        <f t="array" ref="AO170">SUM(IF(Period=AO$4,IF(Category=$A$164,IF(Provider=$B170,Score))))</f>
        <v>82.3</v>
      </c>
      <c r="AP170" s="17"/>
      <c r="AQ170" s="20">
        <f t="array" ref="AQ170">SUM(IF(Period=AO$4,IF(Category=$A$164,IF(Provider=$B170,Responses))))</f>
        <v>6</v>
      </c>
      <c r="AR170" s="20"/>
      <c r="AS170" s="17">
        <f t="shared" si="85"/>
        <v>2.8709302325581394</v>
      </c>
      <c r="AT170" s="17"/>
      <c r="AU170" s="17">
        <f t="shared" si="76"/>
        <v>0.48128654970760232</v>
      </c>
      <c r="AV170" s="17"/>
      <c r="AW170" s="17">
        <f t="array" ref="AW170">SUM(IF(Period=AW$4,IF(Category=$A$164,IF(Provider=$B170,Score))))</f>
        <v>66.400000000000006</v>
      </c>
      <c r="AX170" s="17"/>
      <c r="AY170" s="20">
        <f t="array" ref="AY170">SUM(IF(Period=AW$4,IF(Category=$A$164,IF(Provider=$B170,Responses))))</f>
        <v>8</v>
      </c>
      <c r="AZ170" s="20"/>
      <c r="BA170" s="17">
        <f t="shared" si="86"/>
        <v>2.4479262672811064</v>
      </c>
      <c r="BB170" s="17"/>
      <c r="BC170" s="17">
        <f t="shared" si="77"/>
        <v>0.40798771121351768</v>
      </c>
      <c r="BD170" s="17"/>
      <c r="BE170" s="17">
        <f t="array" ref="BE170">SUM(IF(Period=BE$4,IF(Category=$A$164,IF(Provider=$B170,Score))))</f>
        <v>58.3</v>
      </c>
      <c r="BF170" s="17"/>
      <c r="BG170" s="20">
        <f t="array" ref="BG170">SUM(IF(Period=BE$4,IF(Category=$A$164,IF(Provider=$B170,Responses))))</f>
        <v>15</v>
      </c>
      <c r="BH170" s="20"/>
      <c r="BI170" s="17">
        <f t="shared" si="87"/>
        <v>3.6898734177215191</v>
      </c>
      <c r="BJ170" s="17"/>
      <c r="BK170" s="17">
        <f t="shared" si="78"/>
        <v>0.61802120141342753</v>
      </c>
      <c r="BL170" s="17"/>
      <c r="BM170" s="17">
        <f t="array" ref="BM170">SUM(IF(Period=BM$4,IF(Category=$A$164,IF(Provider=$B170,Score))))</f>
        <v>83.5</v>
      </c>
      <c r="BN170" s="17"/>
      <c r="BO170" s="20">
        <f t="array" ref="BO170">SUM(IF(Period=BM$4,IF(Category=$A$164,IF(Provider=$B170,Responses))))</f>
        <v>11</v>
      </c>
      <c r="BP170" s="20"/>
      <c r="BQ170" s="17">
        <f t="shared" si="88"/>
        <v>3.9420600858369101</v>
      </c>
      <c r="BR170" s="17"/>
      <c r="BS170" s="17">
        <f t="shared" si="79"/>
        <v>0.66269841269841268</v>
      </c>
      <c r="BT170" s="17"/>
      <c r="BU170" s="17">
        <f t="array" ref="BU170">SUM(IF(Period=BU$4,IF(Category=$A$164,IF(Provider=$B170,Score))))</f>
        <v>66.400000000000006</v>
      </c>
      <c r="BV170" s="17"/>
      <c r="BW170" s="20">
        <f t="array" ref="BW170">SUM(IF(Period=BU$4,IF(Category=$A$164,IF(Provider=$B170,Responses))))</f>
        <v>8</v>
      </c>
      <c r="BX170" s="20"/>
      <c r="BY170" s="17">
        <f t="shared" si="89"/>
        <v>2.1950413223140499</v>
      </c>
      <c r="BZ170" s="17"/>
      <c r="CA170" s="17">
        <f t="shared" si="80"/>
        <v>0.36710435383552181</v>
      </c>
    </row>
    <row r="171" spans="1:79" outlineLevel="1" x14ac:dyDescent="0.25">
      <c r="B171" t="s">
        <v>17</v>
      </c>
      <c r="C171" s="17">
        <v>0</v>
      </c>
      <c r="D171" s="17"/>
      <c r="E171" s="17">
        <v>0</v>
      </c>
      <c r="F171" s="17"/>
      <c r="G171" s="17">
        <v>0</v>
      </c>
      <c r="H171" s="17"/>
      <c r="I171" s="17">
        <f t="array" ref="I171">SUM(IF(Period=I$4,IF(Category=$A$164,IF(Provider=$B171,Score))))</f>
        <v>87.5</v>
      </c>
      <c r="J171" s="17"/>
      <c r="K171" s="20">
        <f t="array" ref="K171">SUM(IF(Period=I$4,IF(Category=$A$164,IF(Provider=$B171,Responses))))</f>
        <v>4</v>
      </c>
      <c r="L171" s="20"/>
      <c r="M171" s="17">
        <f t="shared" si="81"/>
        <v>1.7326732673267327</v>
      </c>
      <c r="N171" s="17"/>
      <c r="O171" s="17">
        <f t="shared" si="72"/>
        <v>0.28949545078577338</v>
      </c>
      <c r="P171" s="17"/>
      <c r="Q171" s="17">
        <f t="array" ref="Q171">SUM(IF(Period=Q$4,IF(Category=$A$164,IF(Provider=$B171,Score))))</f>
        <v>87.5</v>
      </c>
      <c r="R171" s="17"/>
      <c r="S171" s="20">
        <f t="array" ref="S171">SUM(IF(Period=Q$4,IF(Category=$A$164,IF(Provider=$B171,Responses))))</f>
        <v>3</v>
      </c>
      <c r="T171" s="20"/>
      <c r="U171" s="17">
        <f t="shared" si="82"/>
        <v>1.3962765957446808</v>
      </c>
      <c r="V171" s="17"/>
      <c r="W171" s="17">
        <f t="shared" si="73"/>
        <v>0.23395721925133689</v>
      </c>
      <c r="X171" s="17"/>
      <c r="Y171" s="17">
        <f t="array" ref="Y171">SUM(IF(Period=Y$4,IF(Category=$A$164,IF(Provider=$B171,Score))))</f>
        <v>95.3</v>
      </c>
      <c r="Z171" s="17"/>
      <c r="AA171" s="20">
        <f t="array" ref="AA171">SUM(IF(Period=Y$4,IF(Category=$A$164,IF(Provider=$B171,Responses))))</f>
        <v>8</v>
      </c>
      <c r="AB171" s="20"/>
      <c r="AC171" s="17">
        <f t="shared" si="83"/>
        <v>2.507894736842105</v>
      </c>
      <c r="AD171" s="17"/>
      <c r="AE171" s="17">
        <f t="shared" si="74"/>
        <v>0.42051847766133482</v>
      </c>
      <c r="AF171" s="17"/>
      <c r="AG171" s="17">
        <f t="array" ref="AG171">SUM(IF(Period=AG$4,IF(Category=$A$164,IF(Provider=$B171,Score))))</f>
        <v>90.6</v>
      </c>
      <c r="AH171" s="17"/>
      <c r="AI171" s="20">
        <f t="array" ref="AI171">SUM(IF(Period=AG$4,IF(Category=$A$164,IF(Provider=$B171,Responses))))</f>
        <v>8</v>
      </c>
      <c r="AJ171" s="20"/>
      <c r="AK171" s="17">
        <f t="shared" si="84"/>
        <v>2.8093023255813949</v>
      </c>
      <c r="AL171" s="17"/>
      <c r="AM171" s="17">
        <f t="shared" si="75"/>
        <v>0.46943005181347147</v>
      </c>
      <c r="AN171" s="17"/>
      <c r="AO171" s="17">
        <f t="array" ref="AO171">SUM(IF(Period=AO$4,IF(Category=$A$164,IF(Provider=$B171,Score))))</f>
        <v>83.3</v>
      </c>
      <c r="AP171" s="17"/>
      <c r="AQ171" s="20">
        <f t="array" ref="AQ171">SUM(IF(Period=AO$4,IF(Category=$A$164,IF(Provider=$B171,Responses))))</f>
        <v>3</v>
      </c>
      <c r="AR171" s="20"/>
      <c r="AS171" s="17">
        <f t="shared" si="85"/>
        <v>1.452906976744186</v>
      </c>
      <c r="AT171" s="17"/>
      <c r="AU171" s="17">
        <f t="shared" si="76"/>
        <v>0.24356725146198829</v>
      </c>
      <c r="AV171" s="17"/>
      <c r="AW171" s="17">
        <f t="array" ref="AW171">SUM(IF(Period=AW$4,IF(Category=$A$164,IF(Provider=$B171,Score))))</f>
        <v>93.8</v>
      </c>
      <c r="AX171" s="17"/>
      <c r="AY171" s="20">
        <f t="array" ref="AY171">SUM(IF(Period=AW$4,IF(Category=$A$164,IF(Provider=$B171,Responses))))</f>
        <v>3</v>
      </c>
      <c r="AZ171" s="20"/>
      <c r="BA171" s="17">
        <f t="shared" si="86"/>
        <v>1.2967741935483872</v>
      </c>
      <c r="BB171" s="17"/>
      <c r="BC171" s="17">
        <f t="shared" si="77"/>
        <v>0.21612903225806451</v>
      </c>
      <c r="BD171" s="17"/>
      <c r="BE171" s="17">
        <f t="array" ref="BE171">SUM(IF(Period=BE$4,IF(Category=$A$164,IF(Provider=$B171,Score))))</f>
        <v>72.099999999999994</v>
      </c>
      <c r="BF171" s="17"/>
      <c r="BG171" s="20">
        <f t="array" ref="BG171">SUM(IF(Period=BE$4,IF(Category=$A$164,IF(Provider=$B171,Responses))))</f>
        <v>13</v>
      </c>
      <c r="BH171" s="20"/>
      <c r="BI171" s="17">
        <f t="shared" si="87"/>
        <v>3.9548523206751054</v>
      </c>
      <c r="BJ171" s="17"/>
      <c r="BK171" s="17">
        <f t="shared" si="78"/>
        <v>0.66240282685512364</v>
      </c>
      <c r="BL171" s="17"/>
      <c r="BM171" s="17">
        <f t="array" ref="BM171">SUM(IF(Period=BM$4,IF(Category=$A$164,IF(Provider=$B171,Score))))</f>
        <v>96.4</v>
      </c>
      <c r="BN171" s="17"/>
      <c r="BO171" s="20">
        <f t="array" ref="BO171">SUM(IF(Period=BM$4,IF(Category=$A$164,IF(Provider=$B171,Responses))))</f>
        <v>12</v>
      </c>
      <c r="BP171" s="20"/>
      <c r="BQ171" s="17">
        <f t="shared" si="88"/>
        <v>4.9648068669527898</v>
      </c>
      <c r="BR171" s="17"/>
      <c r="BS171" s="17">
        <f t="shared" si="79"/>
        <v>0.83463203463203472</v>
      </c>
      <c r="BT171" s="17"/>
      <c r="BU171" s="17">
        <f t="array" ref="BU171">SUM(IF(Period=BU$4,IF(Category=$A$164,IF(Provider=$B171,Score))))</f>
        <v>99</v>
      </c>
      <c r="BV171" s="17"/>
      <c r="BW171" s="20">
        <f t="array" ref="BW171">SUM(IF(Period=BU$4,IF(Category=$A$164,IF(Provider=$B171,Responses))))</f>
        <v>6</v>
      </c>
      <c r="BX171" s="20"/>
      <c r="BY171" s="17">
        <f t="shared" si="89"/>
        <v>2.4545454545454546</v>
      </c>
      <c r="BZ171" s="17"/>
      <c r="CA171" s="17">
        <f t="shared" si="80"/>
        <v>0.41050449205252248</v>
      </c>
    </row>
    <row r="172" spans="1:79" outlineLevel="1" x14ac:dyDescent="0.25">
      <c r="B172" t="s">
        <v>15</v>
      </c>
      <c r="C172" s="17">
        <v>0</v>
      </c>
      <c r="D172" s="17"/>
      <c r="E172" s="17">
        <v>0</v>
      </c>
      <c r="F172" s="17"/>
      <c r="G172" s="17">
        <v>0</v>
      </c>
      <c r="H172" s="17"/>
      <c r="I172" s="17">
        <f t="array" ref="I172">SUM(IF(Period=I$4,IF(Category=$A$164,IF(Provider=$B172,Score))))</f>
        <v>87.5</v>
      </c>
      <c r="J172" s="17"/>
      <c r="K172" s="20">
        <f t="array" ref="K172">SUM(IF(Period=I$4,IF(Category=$A$164,IF(Provider=$B172,Responses))))</f>
        <v>5</v>
      </c>
      <c r="L172" s="20"/>
      <c r="M172" s="17">
        <f t="shared" si="81"/>
        <v>2.1658415841584158</v>
      </c>
      <c r="N172" s="17"/>
      <c r="O172" s="17">
        <f t="shared" si="72"/>
        <v>0.36186931348221668</v>
      </c>
      <c r="P172" s="17"/>
      <c r="Q172" s="17">
        <f t="array" ref="Q172">SUM(IF(Period=Q$4,IF(Category=$A$164,IF(Provider=$B172,Score))))</f>
        <v>79.2</v>
      </c>
      <c r="R172" s="17"/>
      <c r="S172" s="20">
        <f t="array" ref="S172">SUM(IF(Period=Q$4,IF(Category=$A$164,IF(Provider=$B172,Responses))))</f>
        <v>3</v>
      </c>
      <c r="T172" s="20"/>
      <c r="U172" s="17">
        <f t="shared" si="82"/>
        <v>1.2638297872340425</v>
      </c>
      <c r="V172" s="17"/>
      <c r="W172" s="17">
        <f t="shared" si="73"/>
        <v>0.21176470588235294</v>
      </c>
      <c r="X172" s="17"/>
      <c r="Y172" s="17">
        <f t="array" ref="Y172">SUM(IF(Period=Y$4,IF(Category=$A$164,IF(Provider=$B172,Score))))</f>
        <v>0</v>
      </c>
      <c r="Z172" s="17"/>
      <c r="AA172" s="20">
        <f t="array" ref="AA172">SUM(IF(Period=Y$4,IF(Category=$A$164,IF(Provider=$B172,Responses))))</f>
        <v>0</v>
      </c>
      <c r="AB172" s="20"/>
      <c r="AC172" s="17">
        <f t="shared" si="83"/>
        <v>0</v>
      </c>
      <c r="AD172" s="17"/>
      <c r="AE172" s="17">
        <f t="shared" si="74"/>
        <v>0</v>
      </c>
      <c r="AF172" s="17"/>
      <c r="AG172" s="17">
        <f t="array" ref="AG172">SUM(IF(Period=AG$4,IF(Category=$A$164,IF(Provider=$B172,Score))))</f>
        <v>0</v>
      </c>
      <c r="AH172" s="17"/>
      <c r="AI172" s="20">
        <f t="array" ref="AI172">SUM(IF(Period=AG$4,IF(Category=$A$164,IF(Provider=$B172,Responses))))</f>
        <v>0</v>
      </c>
      <c r="AJ172" s="20"/>
      <c r="AK172" s="17">
        <f t="shared" si="84"/>
        <v>0</v>
      </c>
      <c r="AL172" s="17"/>
      <c r="AM172" s="17">
        <f t="shared" si="75"/>
        <v>0</v>
      </c>
      <c r="AN172" s="17"/>
      <c r="AO172" s="17">
        <f t="array" ref="AO172">SUM(IF(Period=AO$4,IF(Category=$A$164,IF(Provider=$B172,Score))))</f>
        <v>0</v>
      </c>
      <c r="AP172" s="17"/>
      <c r="AQ172" s="20">
        <f t="array" ref="AQ172">SUM(IF(Period=AO$4,IF(Category=$A$164,IF(Provider=$B172,Responses))))</f>
        <v>0</v>
      </c>
      <c r="AR172" s="20"/>
      <c r="AS172" s="17">
        <f t="shared" si="85"/>
        <v>0</v>
      </c>
      <c r="AT172" s="17"/>
      <c r="AU172" s="17">
        <f t="shared" si="76"/>
        <v>0</v>
      </c>
      <c r="AV172" s="17"/>
      <c r="AW172" s="17">
        <f t="array" ref="AW172">SUM(IF(Period=AW$4,IF(Category=$A$164,IF(Provider=$B172,Score))))</f>
        <v>0</v>
      </c>
      <c r="AX172" s="17"/>
      <c r="AY172" s="20">
        <f t="array" ref="AY172">SUM(IF(Period=AW$4,IF(Category=$A$164,IF(Provider=$B172,Responses))))</f>
        <v>0</v>
      </c>
      <c r="AZ172" s="20"/>
      <c r="BA172" s="17">
        <f t="shared" si="86"/>
        <v>0</v>
      </c>
      <c r="BB172" s="17"/>
      <c r="BC172" s="17">
        <f t="shared" si="77"/>
        <v>0</v>
      </c>
      <c r="BD172" s="17"/>
      <c r="BE172" s="17">
        <f t="array" ref="BE172">SUM(IF(Period=BE$4,IF(Category=$A$164,IF(Provider=$B172,Score))))</f>
        <v>0</v>
      </c>
      <c r="BF172" s="17"/>
      <c r="BG172" s="20">
        <f t="array" ref="BG172">SUM(IF(Period=BE$4,IF(Category=$A$164,IF(Provider=$B172,Responses))))</f>
        <v>0</v>
      </c>
      <c r="BH172" s="20"/>
      <c r="BI172" s="17">
        <f t="shared" si="87"/>
        <v>0</v>
      </c>
      <c r="BJ172" s="17"/>
      <c r="BK172" s="17">
        <f t="shared" si="78"/>
        <v>0</v>
      </c>
      <c r="BL172" s="17"/>
      <c r="BM172" s="17">
        <f t="array" ref="BM172">SUM(IF(Period=BM$4,IF(Category=$A$164,IF(Provider=$B172,Score))))</f>
        <v>0</v>
      </c>
      <c r="BN172" s="17"/>
      <c r="BO172" s="20">
        <f t="array" ref="BO172">SUM(IF(Period=BM$4,IF(Category=$A$164,IF(Provider=$B172,Responses))))</f>
        <v>0</v>
      </c>
      <c r="BP172" s="20"/>
      <c r="BQ172" s="17">
        <f t="shared" si="88"/>
        <v>0</v>
      </c>
      <c r="BR172" s="17"/>
      <c r="BS172" s="17">
        <f t="shared" si="79"/>
        <v>0</v>
      </c>
      <c r="BT172" s="17"/>
      <c r="BU172" s="17">
        <f t="array" ref="BU172">SUM(IF(Period=BU$4,IF(Category=$A$164,IF(Provider=$B172,Score))))</f>
        <v>0</v>
      </c>
      <c r="BV172" s="17"/>
      <c r="BW172" s="20">
        <f t="array" ref="BW172">SUM(IF(Period=BU$4,IF(Category=$A$164,IF(Provider=$B172,Responses))))</f>
        <v>0</v>
      </c>
      <c r="BX172" s="20"/>
      <c r="BY172" s="17">
        <f t="shared" si="89"/>
        <v>0</v>
      </c>
      <c r="BZ172" s="17"/>
      <c r="CA172" s="17">
        <f t="shared" si="80"/>
        <v>0</v>
      </c>
    </row>
    <row r="173" spans="1:79" outlineLevel="1" x14ac:dyDescent="0.25">
      <c r="B173" t="s">
        <v>33</v>
      </c>
      <c r="C173" s="17">
        <v>0</v>
      </c>
      <c r="D173" s="17"/>
      <c r="E173" s="17">
        <v>0</v>
      </c>
      <c r="F173" s="17"/>
      <c r="G173" s="17">
        <v>0</v>
      </c>
      <c r="H173" s="17"/>
      <c r="I173" s="17">
        <f t="array" ref="I173">SUM(IF(Period=I$4,IF(Category=$A$164,IF(Provider=$B173,Score))))</f>
        <v>75</v>
      </c>
      <c r="J173" s="17"/>
      <c r="K173" s="20">
        <f t="array" ref="K173">SUM(IF(Period=I$4,IF(Category=$A$164,IF(Provider=$B173,Responses))))</f>
        <v>8</v>
      </c>
      <c r="L173" s="20"/>
      <c r="M173" s="17">
        <f t="shared" si="81"/>
        <v>2.9702970297029703</v>
      </c>
      <c r="N173" s="17"/>
      <c r="O173" s="17">
        <f t="shared" si="72"/>
        <v>0.49627791563275436</v>
      </c>
      <c r="P173" s="17"/>
      <c r="Q173" s="17">
        <f t="array" ref="Q173">SUM(IF(Period=Q$4,IF(Category=$A$164,IF(Provider=$B173,Score))))</f>
        <v>68.8</v>
      </c>
      <c r="R173" s="17"/>
      <c r="S173" s="20">
        <f t="array" ref="S173">SUM(IF(Period=Q$4,IF(Category=$A$164,IF(Provider=$B173,Responses))))</f>
        <v>5</v>
      </c>
      <c r="T173" s="20"/>
      <c r="U173" s="17">
        <f t="shared" si="82"/>
        <v>1.8297872340425532</v>
      </c>
      <c r="V173" s="17"/>
      <c r="W173" s="17">
        <f t="shared" si="73"/>
        <v>0.30659536541889482</v>
      </c>
      <c r="X173" s="17"/>
      <c r="Y173" s="17">
        <f t="array" ref="Y173">SUM(IF(Period=Y$4,IF(Category=$A$164,IF(Provider=$B173,Score))))</f>
        <v>79</v>
      </c>
      <c r="Z173" s="17"/>
      <c r="AA173" s="20">
        <f t="array" ref="AA173">SUM(IF(Period=Y$4,IF(Category=$A$164,IF(Provider=$B173,Responses))))</f>
        <v>12</v>
      </c>
      <c r="AB173" s="20"/>
      <c r="AC173" s="17">
        <f t="shared" si="83"/>
        <v>3.1184210526315788</v>
      </c>
      <c r="AD173" s="17"/>
      <c r="AE173" s="17">
        <f t="shared" si="74"/>
        <v>0.5228902371759514</v>
      </c>
      <c r="AF173" s="17"/>
      <c r="AG173" s="17">
        <f t="array" ref="AG173">SUM(IF(Period=AG$4,IF(Category=$A$164,IF(Provider=$B173,Score))))</f>
        <v>92.4</v>
      </c>
      <c r="AH173" s="17"/>
      <c r="AI173" s="20">
        <f t="array" ref="AI173">SUM(IF(Period=AG$4,IF(Category=$A$164,IF(Provider=$B173,Responses))))</f>
        <v>9</v>
      </c>
      <c r="AJ173" s="20"/>
      <c r="AK173" s="17">
        <f t="shared" si="84"/>
        <v>3.2232558139534886</v>
      </c>
      <c r="AL173" s="17"/>
      <c r="AM173" s="17">
        <f t="shared" si="75"/>
        <v>0.53860103626943012</v>
      </c>
      <c r="AN173" s="17"/>
      <c r="AO173" s="17">
        <f t="array" ref="AO173">SUM(IF(Period=AO$4,IF(Category=$A$164,IF(Provider=$B173,Score))))</f>
        <v>83.9</v>
      </c>
      <c r="AP173" s="17"/>
      <c r="AQ173" s="20">
        <f t="array" ref="AQ173">SUM(IF(Period=AO$4,IF(Category=$A$164,IF(Provider=$B173,Responses))))</f>
        <v>12</v>
      </c>
      <c r="AR173" s="20"/>
      <c r="AS173" s="17">
        <f t="shared" si="85"/>
        <v>5.8534883720930235</v>
      </c>
      <c r="AT173" s="17"/>
      <c r="AU173" s="17">
        <f t="shared" si="76"/>
        <v>0.98128654970760232</v>
      </c>
      <c r="AV173" s="17"/>
      <c r="AW173" s="17">
        <f t="array" ref="AW173">SUM(IF(Period=AW$4,IF(Category=$A$164,IF(Provider=$B173,Score))))</f>
        <v>84.4</v>
      </c>
      <c r="AX173" s="17"/>
      <c r="AY173" s="20">
        <f t="array" ref="AY173">SUM(IF(Period=AW$4,IF(Category=$A$164,IF(Provider=$B173,Responses))))</f>
        <v>8</v>
      </c>
      <c r="AZ173" s="20"/>
      <c r="BA173" s="17">
        <f t="shared" si="86"/>
        <v>3.1115207373271891</v>
      </c>
      <c r="BB173" s="17"/>
      <c r="BC173" s="17">
        <f t="shared" si="77"/>
        <v>0.51858678955453152</v>
      </c>
      <c r="BD173" s="17"/>
      <c r="BE173" s="17">
        <f t="array" ref="BE173">SUM(IF(Period=BE$4,IF(Category=$A$164,IF(Provider=$B173,Score))))</f>
        <v>71.900000000000006</v>
      </c>
      <c r="BF173" s="17"/>
      <c r="BG173" s="20">
        <f t="array" ref="BG173">SUM(IF(Period=BE$4,IF(Category=$A$164,IF(Provider=$B173,Responses))))</f>
        <v>4</v>
      </c>
      <c r="BH173" s="20"/>
      <c r="BI173" s="17">
        <f t="shared" si="87"/>
        <v>1.2135021097046415</v>
      </c>
      <c r="BJ173" s="17"/>
      <c r="BK173" s="17">
        <f t="shared" si="78"/>
        <v>0.20325088339222616</v>
      </c>
      <c r="BL173" s="17"/>
      <c r="BM173" s="17">
        <f t="array" ref="BM173">SUM(IF(Period=BM$4,IF(Category=$A$164,IF(Provider=$B173,Score))))</f>
        <v>75</v>
      </c>
      <c r="BN173" s="17"/>
      <c r="BO173" s="20">
        <f t="array" ref="BO173">SUM(IF(Period=BM$4,IF(Category=$A$164,IF(Provider=$B173,Responses))))</f>
        <v>13</v>
      </c>
      <c r="BP173" s="20"/>
      <c r="BQ173" s="17">
        <f t="shared" si="88"/>
        <v>4.1845493562231759</v>
      </c>
      <c r="BR173" s="17"/>
      <c r="BS173" s="17">
        <f t="shared" si="79"/>
        <v>0.70346320346320346</v>
      </c>
      <c r="BT173" s="17"/>
      <c r="BU173" s="17">
        <f t="array" ref="BU173">SUM(IF(Period=BU$4,IF(Category=$A$164,IF(Provider=$B173,Score))))</f>
        <v>72.5</v>
      </c>
      <c r="BV173" s="17"/>
      <c r="BW173" s="20">
        <f t="array" ref="BW173">SUM(IF(Period=BU$4,IF(Category=$A$164,IF(Provider=$B173,Responses))))</f>
        <v>9</v>
      </c>
      <c r="BX173" s="20"/>
      <c r="BY173" s="17">
        <f t="shared" si="89"/>
        <v>2.6962809917355375</v>
      </c>
      <c r="BZ173" s="17"/>
      <c r="CA173" s="17">
        <f t="shared" si="80"/>
        <v>0.45093296475466482</v>
      </c>
    </row>
    <row r="174" spans="1:79" outlineLevel="1" x14ac:dyDescent="0.25">
      <c r="B174" t="s">
        <v>18</v>
      </c>
      <c r="C174" s="17">
        <v>0</v>
      </c>
      <c r="D174" s="17"/>
      <c r="E174" s="17">
        <v>0</v>
      </c>
      <c r="F174" s="17"/>
      <c r="G174" s="17">
        <v>0</v>
      </c>
      <c r="H174" s="17"/>
      <c r="I174" s="17">
        <f t="array" ref="I174">SUM(IF(Period=I$4,IF(Category=$A$164,IF(Provider=$B174,Score))))</f>
        <v>91.4</v>
      </c>
      <c r="J174" s="17"/>
      <c r="K174" s="20">
        <f t="array" ref="K174">SUM(IF(Period=I$4,IF(Category=$A$164,IF(Provider=$B174,Responses))))</f>
        <v>8</v>
      </c>
      <c r="L174" s="20"/>
      <c r="M174" s="17">
        <f t="shared" si="81"/>
        <v>3.6198019801980199</v>
      </c>
      <c r="N174" s="17"/>
      <c r="O174" s="17">
        <f t="shared" si="72"/>
        <v>0.60479735318445005</v>
      </c>
      <c r="P174" s="17"/>
      <c r="Q174" s="17">
        <f t="array" ref="Q174">SUM(IF(Period=Q$4,IF(Category=$A$164,IF(Provider=$B174,Score))))</f>
        <v>67.400000000000006</v>
      </c>
      <c r="R174" s="17"/>
      <c r="S174" s="20">
        <f t="array" ref="S174">SUM(IF(Period=Q$4,IF(Category=$A$164,IF(Provider=$B174,Responses))))</f>
        <v>9</v>
      </c>
      <c r="T174" s="20"/>
      <c r="U174" s="17">
        <f t="shared" si="82"/>
        <v>3.2265957446808513</v>
      </c>
      <c r="V174" s="17"/>
      <c r="W174" s="17">
        <f t="shared" si="73"/>
        <v>0.54064171122994664</v>
      </c>
      <c r="X174" s="17"/>
      <c r="Y174" s="17">
        <f t="array" ref="Y174">SUM(IF(Period=Y$4,IF(Category=$A$164,IF(Provider=$B174,Score))))</f>
        <v>77.900000000000006</v>
      </c>
      <c r="Z174" s="17"/>
      <c r="AA174" s="20">
        <f t="array" ref="AA174">SUM(IF(Period=Y$4,IF(Category=$A$164,IF(Provider=$B174,Responses))))</f>
        <v>13</v>
      </c>
      <c r="AB174" s="20"/>
      <c r="AC174" s="17">
        <f t="shared" si="83"/>
        <v>3.3312500000000003</v>
      </c>
      <c r="AD174" s="17"/>
      <c r="AE174" s="17">
        <f t="shared" si="74"/>
        <v>0.55857694429123006</v>
      </c>
      <c r="AF174" s="17"/>
      <c r="AG174" s="17">
        <f t="array" ref="AG174">SUM(IF(Period=AG$4,IF(Category=$A$164,IF(Provider=$B174,Score))))</f>
        <v>94.4</v>
      </c>
      <c r="AH174" s="17"/>
      <c r="AI174" s="20">
        <f t="array" ref="AI174">SUM(IF(Period=AG$4,IF(Category=$A$164,IF(Provider=$B174,Responses))))</f>
        <v>10</v>
      </c>
      <c r="AJ174" s="20"/>
      <c r="AK174" s="17">
        <f t="shared" si="84"/>
        <v>3.6589147286821708</v>
      </c>
      <c r="AL174" s="17"/>
      <c r="AM174" s="17">
        <f t="shared" si="75"/>
        <v>0.6113989637305699</v>
      </c>
      <c r="AN174" s="17"/>
      <c r="AO174" s="17">
        <f t="array" ref="AO174">SUM(IF(Period=AO$4,IF(Category=$A$164,IF(Provider=$B174,Score))))</f>
        <v>99.2</v>
      </c>
      <c r="AP174" s="17"/>
      <c r="AQ174" s="20">
        <f t="array" ref="AQ174">SUM(IF(Period=AO$4,IF(Category=$A$164,IF(Provider=$B174,Responses))))</f>
        <v>8</v>
      </c>
      <c r="AR174" s="20"/>
      <c r="AS174" s="17">
        <f t="shared" si="85"/>
        <v>4.6139534883720934</v>
      </c>
      <c r="AT174" s="17"/>
      <c r="AU174" s="17">
        <f t="shared" si="76"/>
        <v>0.77348927875243667</v>
      </c>
      <c r="AV174" s="17"/>
      <c r="AW174" s="17">
        <f t="array" ref="AW174">SUM(IF(Period=AW$4,IF(Category=$A$164,IF(Provider=$B174,Score))))</f>
        <v>92</v>
      </c>
      <c r="AX174" s="17"/>
      <c r="AY174" s="20">
        <f t="array" ref="AY174">SUM(IF(Period=AW$4,IF(Category=$A$164,IF(Provider=$B174,Responses))))</f>
        <v>14</v>
      </c>
      <c r="AZ174" s="20"/>
      <c r="BA174" s="17">
        <f t="shared" si="86"/>
        <v>5.935483870967742</v>
      </c>
      <c r="BB174" s="17"/>
      <c r="BC174" s="17">
        <f t="shared" si="77"/>
        <v>0.98924731182795711</v>
      </c>
      <c r="BD174" s="17"/>
      <c r="BE174" s="17">
        <f t="array" ref="BE174">SUM(IF(Period=BE$4,IF(Category=$A$164,IF(Provider=$B174,Score))))</f>
        <v>98.3</v>
      </c>
      <c r="BF174" s="17"/>
      <c r="BG174" s="20">
        <f t="array" ref="BG174">SUM(IF(Period=BE$4,IF(Category=$A$164,IF(Provider=$B174,Responses))))</f>
        <v>11</v>
      </c>
      <c r="BH174" s="20"/>
      <c r="BI174" s="17">
        <f t="shared" si="87"/>
        <v>4.5624472573839663</v>
      </c>
      <c r="BJ174" s="17"/>
      <c r="BK174" s="17">
        <f t="shared" si="78"/>
        <v>0.76416961130742056</v>
      </c>
      <c r="BL174" s="17"/>
      <c r="BM174" s="17">
        <f t="array" ref="BM174">SUM(IF(Period=BM$4,IF(Category=$A$164,IF(Provider=$B174,Score))))</f>
        <v>92</v>
      </c>
      <c r="BN174" s="17"/>
      <c r="BO174" s="20">
        <f t="array" ref="BO174">SUM(IF(Period=BM$4,IF(Category=$A$164,IF(Provider=$B174,Responses))))</f>
        <v>7</v>
      </c>
      <c r="BP174" s="20"/>
      <c r="BQ174" s="17">
        <f t="shared" si="88"/>
        <v>2.7639484978540771</v>
      </c>
      <c r="BR174" s="17"/>
      <c r="BS174" s="17">
        <f t="shared" si="79"/>
        <v>0.4646464646464647</v>
      </c>
      <c r="BT174" s="17"/>
      <c r="BU174" s="17">
        <f t="array" ref="BU174">SUM(IF(Period=BU$4,IF(Category=$A$164,IF(Provider=$B174,Score))))</f>
        <v>88.8</v>
      </c>
      <c r="BV174" s="17"/>
      <c r="BW174" s="20">
        <f t="array" ref="BW174">SUM(IF(Period=BU$4,IF(Category=$A$164,IF(Provider=$B174,Responses))))</f>
        <v>14</v>
      </c>
      <c r="BX174" s="20"/>
      <c r="BY174" s="17">
        <f t="shared" si="89"/>
        <v>5.1371900826446284</v>
      </c>
      <c r="BZ174" s="17"/>
      <c r="CA174" s="17">
        <f t="shared" si="80"/>
        <v>0.85915687629578441</v>
      </c>
    </row>
    <row r="175" spans="1:79" outlineLevel="1" x14ac:dyDescent="0.25">
      <c r="B175" t="s">
        <v>16</v>
      </c>
      <c r="C175" s="17">
        <v>0</v>
      </c>
      <c r="D175" s="17"/>
      <c r="E175" s="17">
        <v>0</v>
      </c>
      <c r="F175" s="17"/>
      <c r="G175" s="17">
        <v>0</v>
      </c>
      <c r="H175" s="17"/>
      <c r="I175" s="17">
        <f t="array" ref="I175">SUM(IF(Period=I$4,IF(Category=$A$164,IF(Provider=$B175,Score))))</f>
        <v>89.1</v>
      </c>
      <c r="J175" s="17"/>
      <c r="K175" s="20">
        <f t="array" ref="K175">SUM(IF(Period=I$4,IF(Category=$A$164,IF(Provider=$B175,Responses))))</f>
        <v>4</v>
      </c>
      <c r="L175" s="20"/>
      <c r="M175" s="17">
        <f t="shared" si="81"/>
        <v>1.7643564356435644</v>
      </c>
      <c r="N175" s="17"/>
      <c r="O175" s="17">
        <f t="shared" si="72"/>
        <v>0.29478908188585606</v>
      </c>
      <c r="P175" s="17"/>
      <c r="Q175" s="17">
        <f t="array" ref="Q175">SUM(IF(Period=Q$4,IF(Category=$A$164,IF(Provider=$B175,Score))))</f>
        <v>90.6</v>
      </c>
      <c r="R175" s="17"/>
      <c r="S175" s="20">
        <f t="array" ref="S175">SUM(IF(Period=Q$4,IF(Category=$A$164,IF(Provider=$B175,Responses))))</f>
        <v>4</v>
      </c>
      <c r="T175" s="20"/>
      <c r="U175" s="17">
        <f t="shared" si="82"/>
        <v>1.9276595744680849</v>
      </c>
      <c r="V175" s="17"/>
      <c r="W175" s="17">
        <f t="shared" si="73"/>
        <v>0.32299465240641706</v>
      </c>
      <c r="X175" s="17"/>
      <c r="Y175" s="17">
        <f t="array" ref="Y175">SUM(IF(Period=Y$4,IF(Category=$A$164,IF(Provider=$B175,Score))))</f>
        <v>86.3</v>
      </c>
      <c r="Z175" s="17"/>
      <c r="AA175" s="20">
        <f t="array" ref="AA175">SUM(IF(Period=Y$4,IF(Category=$A$164,IF(Provider=$B175,Responses))))</f>
        <v>5</v>
      </c>
      <c r="AB175" s="20"/>
      <c r="AC175" s="17">
        <f t="shared" si="83"/>
        <v>1.419407894736842</v>
      </c>
      <c r="AD175" s="17"/>
      <c r="AE175" s="17">
        <f t="shared" si="74"/>
        <v>0.23800330943188086</v>
      </c>
      <c r="AF175" s="17"/>
      <c r="AG175" s="17">
        <f t="array" ref="AG175">SUM(IF(Period=AG$4,IF(Category=$A$164,IF(Provider=$B175,Score))))</f>
        <v>93.8</v>
      </c>
      <c r="AH175" s="17"/>
      <c r="AI175" s="20">
        <f t="array" ref="AI175">SUM(IF(Period=AG$4,IF(Category=$A$164,IF(Provider=$B175,Responses))))</f>
        <v>4</v>
      </c>
      <c r="AJ175" s="20"/>
      <c r="AK175" s="17">
        <f t="shared" si="84"/>
        <v>1.4542635658914729</v>
      </c>
      <c r="AL175" s="17"/>
      <c r="AM175" s="17">
        <f t="shared" si="75"/>
        <v>0.24300518134715027</v>
      </c>
      <c r="AN175" s="17"/>
      <c r="AO175" s="17">
        <f t="array" ref="AO175">SUM(IF(Period=AO$4,IF(Category=$A$164,IF(Provider=$B175,Score))))</f>
        <v>56.3</v>
      </c>
      <c r="AP175" s="17"/>
      <c r="AQ175" s="20">
        <f t="array" ref="AQ175">SUM(IF(Period=AO$4,IF(Category=$A$164,IF(Provider=$B175,Responses))))</f>
        <v>2</v>
      </c>
      <c r="AR175" s="20"/>
      <c r="AS175" s="17">
        <f t="shared" si="85"/>
        <v>0.65465116279069768</v>
      </c>
      <c r="AT175" s="17"/>
      <c r="AU175" s="17">
        <f t="shared" si="76"/>
        <v>0.10974658869395711</v>
      </c>
      <c r="AV175" s="17"/>
      <c r="AW175" s="17">
        <f t="array" ref="AW175">SUM(IF(Period=AW$4,IF(Category=$A$164,IF(Provider=$B175,Score))))</f>
        <v>80</v>
      </c>
      <c r="AX175" s="17"/>
      <c r="AY175" s="20">
        <f t="array" ref="AY175">SUM(IF(Period=AW$4,IF(Category=$A$164,IF(Provider=$B175,Responses))))</f>
        <v>5</v>
      </c>
      <c r="AZ175" s="20"/>
      <c r="BA175" s="17">
        <f t="shared" si="86"/>
        <v>1.8433179723502304</v>
      </c>
      <c r="BB175" s="17"/>
      <c r="BC175" s="17">
        <f t="shared" si="77"/>
        <v>0.30721966205837176</v>
      </c>
      <c r="BD175" s="17"/>
      <c r="BE175" s="17">
        <f t="array" ref="BE175">SUM(IF(Period=BE$4,IF(Category=$A$164,IF(Provider=$B175,Score))))</f>
        <v>96.9</v>
      </c>
      <c r="BF175" s="17"/>
      <c r="BG175" s="20">
        <f t="array" ref="BG175">SUM(IF(Period=BE$4,IF(Category=$A$164,IF(Provider=$B175,Responses))))</f>
        <v>2</v>
      </c>
      <c r="BH175" s="20"/>
      <c r="BI175" s="17">
        <f t="shared" si="87"/>
        <v>0.8177215189873418</v>
      </c>
      <c r="BJ175" s="17"/>
      <c r="BK175" s="17">
        <f t="shared" si="78"/>
        <v>0.13696113074204946</v>
      </c>
      <c r="BL175" s="17"/>
      <c r="BM175" s="17">
        <f t="array" ref="BM175">SUM(IF(Period=BM$4,IF(Category=$A$164,IF(Provider=$B175,Score))))</f>
        <v>95.8</v>
      </c>
      <c r="BN175" s="17"/>
      <c r="BO175" s="20">
        <f t="array" ref="BO175">SUM(IF(Period=BM$4,IF(Category=$A$164,IF(Provider=$B175,Responses))))</f>
        <v>3</v>
      </c>
      <c r="BP175" s="20"/>
      <c r="BQ175" s="17">
        <f t="shared" si="88"/>
        <v>1.2334763948497853</v>
      </c>
      <c r="BR175" s="17"/>
      <c r="BS175" s="17">
        <f t="shared" si="79"/>
        <v>0.20735930735930735</v>
      </c>
      <c r="BT175" s="17"/>
      <c r="BU175" s="17">
        <f t="array" ref="BU175">SUM(IF(Period=BU$4,IF(Category=$A$164,IF(Provider=$B175,Score))))</f>
        <v>75.900000000000006</v>
      </c>
      <c r="BV175" s="17"/>
      <c r="BW175" s="20">
        <f t="array" ref="BW175">SUM(IF(Period=BU$4,IF(Category=$A$164,IF(Provider=$B175,Responses))))</f>
        <v>7</v>
      </c>
      <c r="BX175" s="20"/>
      <c r="BY175" s="17">
        <f t="shared" si="89"/>
        <v>2.1954545454545458</v>
      </c>
      <c r="BZ175" s="17"/>
      <c r="CA175" s="17">
        <f t="shared" si="80"/>
        <v>0.36717346233586734</v>
      </c>
    </row>
    <row r="176" spans="1:79" outlineLevel="1" x14ac:dyDescent="0.25">
      <c r="B176" t="s">
        <v>24</v>
      </c>
      <c r="C176" s="17">
        <v>0</v>
      </c>
      <c r="D176" s="17"/>
      <c r="E176" s="17">
        <v>0</v>
      </c>
      <c r="F176" s="17"/>
      <c r="G176" s="17">
        <v>0</v>
      </c>
      <c r="H176" s="17"/>
      <c r="I176" s="17">
        <f t="array" ref="I176">SUM(IF(Period=I$4,IF(Category=$A$164,IF(Provider=$B176,Score))))</f>
        <v>81.3</v>
      </c>
      <c r="J176" s="17"/>
      <c r="K176" s="20">
        <f t="array" ref="K176">SUM(IF(Period=I$4,IF(Category=$A$164,IF(Provider=$B176,Responses))))</f>
        <v>11</v>
      </c>
      <c r="L176" s="20"/>
      <c r="M176" s="17">
        <f t="shared" si="81"/>
        <v>4.4272277227722769</v>
      </c>
      <c r="N176" s="17"/>
      <c r="O176" s="17">
        <f t="shared" si="72"/>
        <v>0.73970223325062034</v>
      </c>
      <c r="P176" s="17"/>
      <c r="Q176" s="17">
        <f t="array" ref="Q176">SUM(IF(Period=Q$4,IF(Category=$A$164,IF(Provider=$B176,Score))))</f>
        <v>86.1</v>
      </c>
      <c r="R176" s="17"/>
      <c r="S176" s="20">
        <f t="array" ref="S176">SUM(IF(Period=Q$4,IF(Category=$A$164,IF(Provider=$B176,Responses))))</f>
        <v>9</v>
      </c>
      <c r="T176" s="20"/>
      <c r="U176" s="17">
        <f t="shared" si="82"/>
        <v>4.1218085106382976</v>
      </c>
      <c r="V176" s="17"/>
      <c r="W176" s="17">
        <f t="shared" si="73"/>
        <v>0.69064171122994655</v>
      </c>
      <c r="X176" s="17"/>
      <c r="Y176" s="17">
        <f t="array" ref="Y176">SUM(IF(Period=Y$4,IF(Category=$A$164,IF(Provider=$B176,Score))))</f>
        <v>80.599999999999994</v>
      </c>
      <c r="Z176" s="17"/>
      <c r="AA176" s="20">
        <f t="array" ref="AA176">SUM(IF(Period=Y$4,IF(Category=$A$164,IF(Provider=$B176,Responses))))</f>
        <v>18</v>
      </c>
      <c r="AB176" s="20"/>
      <c r="AC176" s="17">
        <f t="shared" si="83"/>
        <v>4.7723684210526311</v>
      </c>
      <c r="AD176" s="17"/>
      <c r="AE176" s="17">
        <f t="shared" si="74"/>
        <v>0.80022062879205724</v>
      </c>
      <c r="AF176" s="17"/>
      <c r="AG176" s="17">
        <f t="array" ref="AG176">SUM(IF(Period=AG$4,IF(Category=$A$164,IF(Provider=$B176,Score))))</f>
        <v>85.2</v>
      </c>
      <c r="AH176" s="17"/>
      <c r="AI176" s="20">
        <f t="array" ref="AI176">SUM(IF(Period=AG$4,IF(Category=$A$164,IF(Provider=$B176,Responses))))</f>
        <v>16</v>
      </c>
      <c r="AJ176" s="20"/>
      <c r="AK176" s="17">
        <f t="shared" si="84"/>
        <v>5.2837209302325583</v>
      </c>
      <c r="AL176" s="17"/>
      <c r="AM176" s="17">
        <f t="shared" si="75"/>
        <v>0.88290155440414519</v>
      </c>
      <c r="AN176" s="17"/>
      <c r="AO176" s="17">
        <f t="array" ref="AO176">SUM(IF(Period=AO$4,IF(Category=$A$164,IF(Provider=$B176,Score))))</f>
        <v>85.4</v>
      </c>
      <c r="AP176" s="17"/>
      <c r="AQ176" s="20">
        <f t="array" ref="AQ176">SUM(IF(Period=AO$4,IF(Category=$A$164,IF(Provider=$B176,Responses))))</f>
        <v>12</v>
      </c>
      <c r="AR176" s="20"/>
      <c r="AS176" s="17">
        <f t="shared" si="85"/>
        <v>5.9581395348837214</v>
      </c>
      <c r="AT176" s="17"/>
      <c r="AU176" s="17">
        <f t="shared" si="76"/>
        <v>0.99883040935672518</v>
      </c>
      <c r="AV176" s="17"/>
      <c r="AW176" s="17">
        <f t="array" ref="AW176">SUM(IF(Period=AW$4,IF(Category=$A$164,IF(Provider=$B176,Score))))</f>
        <v>93.1</v>
      </c>
      <c r="AX176" s="17"/>
      <c r="AY176" s="20">
        <f t="array" ref="AY176">SUM(IF(Period=AW$4,IF(Category=$A$164,IF(Provider=$B176,Responses))))</f>
        <v>10</v>
      </c>
      <c r="AZ176" s="20"/>
      <c r="BA176" s="17">
        <f t="shared" si="86"/>
        <v>4.290322580645161</v>
      </c>
      <c r="BB176" s="17"/>
      <c r="BC176" s="17">
        <f t="shared" si="77"/>
        <v>0.71505376344086014</v>
      </c>
      <c r="BD176" s="17"/>
      <c r="BE176" s="17">
        <f t="array" ref="BE176">SUM(IF(Period=BE$4,IF(Category=$A$164,IF(Provider=$B176,Score))))</f>
        <v>93.8</v>
      </c>
      <c r="BF176" s="17"/>
      <c r="BG176" s="20">
        <f t="array" ref="BG176">SUM(IF(Period=BE$4,IF(Category=$A$164,IF(Provider=$B176,Responses))))</f>
        <v>8</v>
      </c>
      <c r="BH176" s="20"/>
      <c r="BI176" s="17">
        <f t="shared" si="87"/>
        <v>3.1662447257383963</v>
      </c>
      <c r="BJ176" s="17"/>
      <c r="BK176" s="17">
        <f t="shared" si="78"/>
        <v>0.53031802120141336</v>
      </c>
      <c r="BL176" s="17"/>
      <c r="BM176" s="17">
        <f t="array" ref="BM176">SUM(IF(Period=BM$4,IF(Category=$A$164,IF(Provider=$B176,Score))))</f>
        <v>98.6</v>
      </c>
      <c r="BN176" s="17"/>
      <c r="BO176" s="20">
        <f t="array" ref="BO176">SUM(IF(Period=BM$4,IF(Category=$A$164,IF(Provider=$B176,Responses))))</f>
        <v>9</v>
      </c>
      <c r="BP176" s="20"/>
      <c r="BQ176" s="17">
        <f t="shared" si="88"/>
        <v>3.8085836909871245</v>
      </c>
      <c r="BR176" s="17"/>
      <c r="BS176" s="17">
        <f t="shared" si="79"/>
        <v>0.64025974025974031</v>
      </c>
      <c r="BT176" s="17"/>
      <c r="BU176" s="17">
        <f t="array" ref="BU176">SUM(IF(Period=BU$4,IF(Category=$A$164,IF(Provider=$B176,Score))))</f>
        <v>92</v>
      </c>
      <c r="BV176" s="17"/>
      <c r="BW176" s="20">
        <f t="array" ref="BW176">SUM(IF(Period=BU$4,IF(Category=$A$164,IF(Provider=$B176,Responses))))</f>
        <v>7</v>
      </c>
      <c r="BX176" s="20"/>
      <c r="BY176" s="17">
        <f t="shared" si="89"/>
        <v>2.6611570247933884</v>
      </c>
      <c r="BZ176" s="17"/>
      <c r="CA176" s="17">
        <f t="shared" si="80"/>
        <v>0.44505874222529374</v>
      </c>
    </row>
    <row r="177" spans="2:79" outlineLevel="1" x14ac:dyDescent="0.25">
      <c r="B177" t="s">
        <v>32</v>
      </c>
      <c r="C177" s="17">
        <v>0</v>
      </c>
      <c r="D177" s="17"/>
      <c r="E177" s="17">
        <v>0</v>
      </c>
      <c r="F177" s="17"/>
      <c r="G177" s="17">
        <v>0</v>
      </c>
      <c r="H177" s="17"/>
      <c r="I177" s="17">
        <f t="array" ref="I177">SUM(IF(Period=I$4,IF(Category=$A$164,IF(Provider=$B177,Score))))</f>
        <v>72.900000000000006</v>
      </c>
      <c r="J177" s="17"/>
      <c r="K177" s="20">
        <f t="array" ref="K177">SUM(IF(Period=I$4,IF(Category=$A$164,IF(Provider=$B177,Responses))))</f>
        <v>9</v>
      </c>
      <c r="L177" s="20"/>
      <c r="M177" s="17">
        <f t="shared" si="81"/>
        <v>3.248019801980198</v>
      </c>
      <c r="N177" s="17"/>
      <c r="O177" s="17">
        <f t="shared" si="72"/>
        <v>0.54267990074441697</v>
      </c>
      <c r="P177" s="17"/>
      <c r="Q177" s="17">
        <f t="array" ref="Q177">SUM(IF(Period=Q$4,IF(Category=$A$164,IF(Provider=$B177,Score))))</f>
        <v>100</v>
      </c>
      <c r="R177" s="17"/>
      <c r="S177" s="20">
        <f t="array" ref="S177">SUM(IF(Period=Q$4,IF(Category=$A$164,IF(Provider=$B177,Responses))))</f>
        <v>3</v>
      </c>
      <c r="T177" s="20"/>
      <c r="U177" s="17">
        <f t="shared" si="82"/>
        <v>1.5957446808510638</v>
      </c>
      <c r="V177" s="17"/>
      <c r="W177" s="17">
        <f t="shared" si="73"/>
        <v>0.26737967914438499</v>
      </c>
      <c r="X177" s="17"/>
      <c r="Y177" s="17">
        <f t="array" ref="Y177">SUM(IF(Period=Y$4,IF(Category=$A$164,IF(Provider=$B177,Score))))</f>
        <v>58.6</v>
      </c>
      <c r="Z177" s="17"/>
      <c r="AA177" s="20">
        <f t="array" ref="AA177">SUM(IF(Period=Y$4,IF(Category=$A$164,IF(Provider=$B177,Responses))))</f>
        <v>8</v>
      </c>
      <c r="AB177" s="20"/>
      <c r="AC177" s="17">
        <f t="shared" si="83"/>
        <v>1.5421052631578946</v>
      </c>
      <c r="AD177" s="17"/>
      <c r="AE177" s="17">
        <f t="shared" si="74"/>
        <v>0.25857694429123002</v>
      </c>
      <c r="AF177" s="17"/>
      <c r="AG177" s="17">
        <f t="array" ref="AG177">SUM(IF(Period=AG$4,IF(Category=$A$164,IF(Provider=$B177,Score))))</f>
        <v>75</v>
      </c>
      <c r="AH177" s="17"/>
      <c r="AI177" s="20">
        <f t="array" ref="AI177">SUM(IF(Period=AG$4,IF(Category=$A$164,IF(Provider=$B177,Responses))))</f>
        <v>8</v>
      </c>
      <c r="AJ177" s="20"/>
      <c r="AK177" s="17">
        <f t="shared" si="84"/>
        <v>2.3255813953488373</v>
      </c>
      <c r="AL177" s="17"/>
      <c r="AM177" s="17">
        <f t="shared" si="75"/>
        <v>0.38860103626943004</v>
      </c>
      <c r="AN177" s="17"/>
      <c r="AO177" s="17">
        <f t="array" ref="AO177">SUM(IF(Period=AO$4,IF(Category=$A$164,IF(Provider=$B177,Score))))</f>
        <v>77.099999999999994</v>
      </c>
      <c r="AP177" s="17"/>
      <c r="AQ177" s="20">
        <f t="array" ref="AQ177">SUM(IF(Period=AO$4,IF(Category=$A$164,IF(Provider=$B177,Responses))))</f>
        <v>3</v>
      </c>
      <c r="AR177" s="20"/>
      <c r="AS177" s="17">
        <f t="shared" si="85"/>
        <v>1.3447674418604649</v>
      </c>
      <c r="AT177" s="17"/>
      <c r="AU177" s="17">
        <f t="shared" si="76"/>
        <v>0.22543859649122805</v>
      </c>
      <c r="AV177" s="17"/>
      <c r="AW177" s="17">
        <f t="array" ref="AW177">SUM(IF(Period=AW$4,IF(Category=$A$164,IF(Provider=$B177,Score))))</f>
        <v>89.3</v>
      </c>
      <c r="AX177" s="17"/>
      <c r="AY177" s="20">
        <f t="array" ref="AY177">SUM(IF(Period=AW$4,IF(Category=$A$164,IF(Provider=$B177,Responses))))</f>
        <v>7</v>
      </c>
      <c r="AZ177" s="20"/>
      <c r="BA177" s="17">
        <f t="shared" si="86"/>
        <v>2.8806451612903223</v>
      </c>
      <c r="BB177" s="17"/>
      <c r="BC177" s="17">
        <f t="shared" si="77"/>
        <v>0.48010752688172043</v>
      </c>
      <c r="BD177" s="17"/>
      <c r="BE177" s="17">
        <f t="array" ref="BE177">SUM(IF(Period=BE$4,IF(Category=$A$164,IF(Provider=$B177,Score))))</f>
        <v>86.5</v>
      </c>
      <c r="BF177" s="17"/>
      <c r="BG177" s="20">
        <f t="array" ref="BG177">SUM(IF(Period=BE$4,IF(Category=$A$164,IF(Provider=$B177,Responses))))</f>
        <v>6</v>
      </c>
      <c r="BH177" s="20"/>
      <c r="BI177" s="17">
        <f t="shared" si="87"/>
        <v>2.1898734177215191</v>
      </c>
      <c r="BJ177" s="17"/>
      <c r="BK177" s="17">
        <f t="shared" si="78"/>
        <v>0.36678445229681977</v>
      </c>
      <c r="BL177" s="17"/>
      <c r="BM177" s="17">
        <f t="array" ref="BM177">SUM(IF(Period=BM$4,IF(Category=$A$164,IF(Provider=$B177,Score))))</f>
        <v>100</v>
      </c>
      <c r="BN177" s="17"/>
      <c r="BO177" s="20">
        <f t="array" ref="BO177">SUM(IF(Period=BM$4,IF(Category=$A$164,IF(Provider=$B177,Responses))))</f>
        <v>7</v>
      </c>
      <c r="BP177" s="20"/>
      <c r="BQ177" s="17">
        <f t="shared" si="88"/>
        <v>3.0042918454935621</v>
      </c>
      <c r="BR177" s="17"/>
      <c r="BS177" s="17">
        <f t="shared" si="79"/>
        <v>0.50505050505050508</v>
      </c>
      <c r="BT177" s="17"/>
      <c r="BU177" s="17">
        <f t="array" ref="BU177">SUM(IF(Period=BU$4,IF(Category=$A$164,IF(Provider=$B177,Score))))</f>
        <v>72.7</v>
      </c>
      <c r="BV177" s="17"/>
      <c r="BW177" s="20">
        <f t="array" ref="BW177">SUM(IF(Period=BU$4,IF(Category=$A$164,IF(Provider=$B177,Responses))))</f>
        <v>8</v>
      </c>
      <c r="BX177" s="20"/>
      <c r="BY177" s="17">
        <f t="shared" si="89"/>
        <v>2.4033057851239672</v>
      </c>
      <c r="BZ177" s="17"/>
      <c r="CA177" s="17">
        <f t="shared" si="80"/>
        <v>0.40193503800967517</v>
      </c>
    </row>
    <row r="178" spans="2:79" outlineLevel="1" x14ac:dyDescent="0.25">
      <c r="B178" t="s">
        <v>35</v>
      </c>
      <c r="C178" s="17">
        <v>0</v>
      </c>
      <c r="D178" s="17"/>
      <c r="E178" s="17">
        <v>0</v>
      </c>
      <c r="F178" s="17"/>
      <c r="G178" s="17">
        <v>0</v>
      </c>
      <c r="H178" s="17"/>
      <c r="I178" s="17">
        <f t="array" ref="I178">SUM(IF(Period=I$4,IF(Category=$A$164,IF(Provider=$B178,Score))))</f>
        <v>62.5</v>
      </c>
      <c r="J178" s="17"/>
      <c r="K178" s="20">
        <f t="array" ref="K178">SUM(IF(Period=I$4,IF(Category=$A$164,IF(Provider=$B178,Responses))))</f>
        <v>1</v>
      </c>
      <c r="L178" s="20"/>
      <c r="M178" s="17">
        <f t="shared" si="81"/>
        <v>0.3094059405940594</v>
      </c>
      <c r="N178" s="17"/>
      <c r="O178" s="17">
        <f t="shared" si="72"/>
        <v>5.1695616211745246E-2</v>
      </c>
      <c r="P178" s="17"/>
      <c r="Q178" s="17">
        <f t="array" ref="Q178">SUM(IF(Period=Q$4,IF(Category=$A$164,IF(Provider=$B178,Score))))</f>
        <v>0</v>
      </c>
      <c r="R178" s="17"/>
      <c r="S178" s="20">
        <f t="array" ref="S178">SUM(IF(Period=Q$4,IF(Category=$A$164,IF(Provider=$B178,Responses))))</f>
        <v>0</v>
      </c>
      <c r="T178" s="20"/>
      <c r="U178" s="17">
        <f t="shared" si="82"/>
        <v>0</v>
      </c>
      <c r="V178" s="17"/>
      <c r="W178" s="17">
        <f t="shared" si="73"/>
        <v>0</v>
      </c>
      <c r="X178" s="17"/>
      <c r="Y178" s="17">
        <f t="array" ref="Y178">SUM(IF(Period=Y$4,IF(Category=$A$164,IF(Provider=$B178,Score))))</f>
        <v>74</v>
      </c>
      <c r="Z178" s="17"/>
      <c r="AA178" s="20">
        <f t="array" ref="AA178">SUM(IF(Period=Y$4,IF(Category=$A$164,IF(Provider=$B178,Responses))))</f>
        <v>4</v>
      </c>
      <c r="AB178" s="20"/>
      <c r="AC178" s="17">
        <f t="shared" si="83"/>
        <v>0.97368421052631571</v>
      </c>
      <c r="AD178" s="17"/>
      <c r="AE178" s="17">
        <f t="shared" si="74"/>
        <v>0.16326530612244899</v>
      </c>
      <c r="AF178" s="17"/>
      <c r="AG178" s="17">
        <f t="array" ref="AG178">SUM(IF(Period=AG$4,IF(Category=$A$164,IF(Provider=$B178,Score))))</f>
        <v>62.5</v>
      </c>
      <c r="AH178" s="17"/>
      <c r="AI178" s="20">
        <f t="array" ref="AI178">SUM(IF(Period=AG$4,IF(Category=$A$164,IF(Provider=$B178,Responses))))</f>
        <v>1</v>
      </c>
      <c r="AJ178" s="20"/>
      <c r="AK178" s="17">
        <f t="shared" si="84"/>
        <v>0.24224806201550386</v>
      </c>
      <c r="AL178" s="17"/>
      <c r="AM178" s="17">
        <f t="shared" si="75"/>
        <v>4.0479274611398962E-2</v>
      </c>
      <c r="AN178" s="17"/>
      <c r="AO178" s="17">
        <f t="array" ref="AO178">SUM(IF(Period=AO$4,IF(Category=$A$164,IF(Provider=$B178,Score))))</f>
        <v>53.1</v>
      </c>
      <c r="AP178" s="17"/>
      <c r="AQ178" s="20">
        <f t="array" ref="AQ178">SUM(IF(Period=AO$4,IF(Category=$A$164,IF(Provider=$B178,Responses))))</f>
        <v>2</v>
      </c>
      <c r="AR178" s="20"/>
      <c r="AS178" s="17">
        <f t="shared" si="85"/>
        <v>0.61744186046511629</v>
      </c>
      <c r="AT178" s="17"/>
      <c r="AU178" s="17">
        <f t="shared" si="76"/>
        <v>0.10350877192982456</v>
      </c>
      <c r="AV178" s="17"/>
      <c r="AW178" s="17">
        <f t="array" ref="AW178">SUM(IF(Period=AW$4,IF(Category=$A$164,IF(Provider=$B178,Score))))</f>
        <v>89.3</v>
      </c>
      <c r="AX178" s="17"/>
      <c r="AY178" s="20">
        <f t="array" ref="AY178">SUM(IF(Period=AW$4,IF(Category=$A$164,IF(Provider=$B178,Responses))))</f>
        <v>7</v>
      </c>
      <c r="AZ178" s="20"/>
      <c r="BA178" s="17">
        <f t="shared" si="86"/>
        <v>2.8806451612903223</v>
      </c>
      <c r="BB178" s="17"/>
      <c r="BC178" s="17">
        <f t="shared" si="77"/>
        <v>0.48010752688172043</v>
      </c>
      <c r="BD178" s="17"/>
      <c r="BE178" s="17">
        <f t="array" ref="BE178">SUM(IF(Period=BE$4,IF(Category=$A$164,IF(Provider=$B178,Score))))</f>
        <v>70.5</v>
      </c>
      <c r="BF178" s="17"/>
      <c r="BG178" s="20">
        <f t="array" ref="BG178">SUM(IF(Period=BE$4,IF(Category=$A$164,IF(Provider=$B178,Responses))))</f>
        <v>7</v>
      </c>
      <c r="BH178" s="20"/>
      <c r="BI178" s="17">
        <f t="shared" si="87"/>
        <v>2.0822784810126582</v>
      </c>
      <c r="BJ178" s="17"/>
      <c r="BK178" s="17">
        <f t="shared" si="78"/>
        <v>0.34876325088339222</v>
      </c>
      <c r="BL178" s="17"/>
      <c r="BM178" s="17">
        <f t="array" ref="BM178">SUM(IF(Period=BM$4,IF(Category=$A$164,IF(Provider=$B178,Score))))</f>
        <v>100</v>
      </c>
      <c r="BN178" s="17"/>
      <c r="BO178" s="20">
        <f t="array" ref="BO178">SUM(IF(Period=BM$4,IF(Category=$A$164,IF(Provider=$B178,Responses))))</f>
        <v>3</v>
      </c>
      <c r="BP178" s="20"/>
      <c r="BQ178" s="17">
        <f t="shared" si="88"/>
        <v>1.2875536480686696</v>
      </c>
      <c r="BR178" s="17"/>
      <c r="BS178" s="17">
        <f t="shared" si="79"/>
        <v>0.21645021645021645</v>
      </c>
      <c r="BT178" s="17"/>
      <c r="BU178" s="17">
        <f t="array" ref="BU178">SUM(IF(Period=BU$4,IF(Category=$A$164,IF(Provider=$B178,Score))))</f>
        <v>93.8</v>
      </c>
      <c r="BV178" s="17"/>
      <c r="BW178" s="20">
        <f t="array" ref="BW178">SUM(IF(Period=BU$4,IF(Category=$A$164,IF(Provider=$B178,Responses))))</f>
        <v>1</v>
      </c>
      <c r="BX178" s="20"/>
      <c r="BY178" s="17">
        <f t="shared" si="89"/>
        <v>0.38760330578512397</v>
      </c>
      <c r="BZ178" s="17"/>
      <c r="CA178" s="17">
        <f t="shared" si="80"/>
        <v>6.4823773324118858E-2</v>
      </c>
    </row>
    <row r="179" spans="2:79" outlineLevel="1" x14ac:dyDescent="0.25">
      <c r="B179" t="s">
        <v>36</v>
      </c>
      <c r="C179" s="17">
        <v>0</v>
      </c>
      <c r="D179" s="17"/>
      <c r="E179" s="17">
        <v>0</v>
      </c>
      <c r="F179" s="17"/>
      <c r="G179" s="17">
        <v>0</v>
      </c>
      <c r="H179" s="17"/>
      <c r="I179" s="17">
        <f t="array" ref="I179">SUM(IF(Period=I$4,IF(Category=$A$164,IF(Provider=$B179,Score))))</f>
        <v>67.900000000000006</v>
      </c>
      <c r="J179" s="17"/>
      <c r="K179" s="20">
        <f t="array" ref="K179">SUM(IF(Period=I$4,IF(Category=$A$164,IF(Provider=$B179,Responses))))</f>
        <v>7</v>
      </c>
      <c r="L179" s="20"/>
      <c r="M179" s="17">
        <f t="shared" si="81"/>
        <v>2.3529702970297035</v>
      </c>
      <c r="N179" s="17"/>
      <c r="O179" s="17">
        <f t="shared" si="72"/>
        <v>0.39313482216708029</v>
      </c>
      <c r="P179" s="17"/>
      <c r="Q179" s="17">
        <f t="array" ref="Q179">SUM(IF(Period=Q$4,IF(Category=$A$164,IF(Provider=$B179,Score))))</f>
        <v>90.6</v>
      </c>
      <c r="R179" s="17"/>
      <c r="S179" s="20">
        <f t="array" ref="S179">SUM(IF(Period=Q$4,IF(Category=$A$164,IF(Provider=$B179,Responses))))</f>
        <v>4</v>
      </c>
      <c r="T179" s="20"/>
      <c r="U179" s="17">
        <f t="shared" si="82"/>
        <v>1.9276595744680849</v>
      </c>
      <c r="V179" s="17"/>
      <c r="W179" s="17">
        <f t="shared" si="73"/>
        <v>0.32299465240641706</v>
      </c>
      <c r="X179" s="17"/>
      <c r="Y179" s="17">
        <f t="array" ref="Y179">SUM(IF(Period=Y$4,IF(Category=$A$164,IF(Provider=$B179,Score))))</f>
        <v>90.3</v>
      </c>
      <c r="Z179" s="17"/>
      <c r="AA179" s="20">
        <f t="array" ref="AA179">SUM(IF(Period=Y$4,IF(Category=$A$164,IF(Provider=$B179,Responses))))</f>
        <v>9</v>
      </c>
      <c r="AB179" s="20"/>
      <c r="AC179" s="17">
        <f t="shared" si="83"/>
        <v>2.6733552631578945</v>
      </c>
      <c r="AD179" s="17"/>
      <c r="AE179" s="17">
        <f t="shared" si="74"/>
        <v>0.44826254826254824</v>
      </c>
      <c r="AF179" s="17"/>
      <c r="AG179" s="17">
        <f t="array" ref="AG179">SUM(IF(Period=AG$4,IF(Category=$A$164,IF(Provider=$B179,Score))))</f>
        <v>57.6</v>
      </c>
      <c r="AH179" s="17"/>
      <c r="AI179" s="20">
        <f t="array" ref="AI179">SUM(IF(Period=AG$4,IF(Category=$A$164,IF(Provider=$B179,Responses))))</f>
        <v>9</v>
      </c>
      <c r="AJ179" s="20"/>
      <c r="AK179" s="17">
        <f t="shared" si="84"/>
        <v>2.0093023255813955</v>
      </c>
      <c r="AL179" s="17"/>
      <c r="AM179" s="17">
        <f t="shared" si="75"/>
        <v>0.33575129533678755</v>
      </c>
      <c r="AN179" s="17"/>
      <c r="AO179" s="17">
        <f t="array" ref="AO179">SUM(IF(Period=AO$4,IF(Category=$A$164,IF(Provider=$B179,Score))))</f>
        <v>63.5</v>
      </c>
      <c r="AP179" s="17"/>
      <c r="AQ179" s="20">
        <f t="array" ref="AQ179">SUM(IF(Period=AO$4,IF(Category=$A$164,IF(Provider=$B179,Responses))))</f>
        <v>6</v>
      </c>
      <c r="AR179" s="20"/>
      <c r="AS179" s="17">
        <f t="shared" si="85"/>
        <v>2.2151162790697674</v>
      </c>
      <c r="AT179" s="17"/>
      <c r="AU179" s="17">
        <f t="shared" si="76"/>
        <v>0.37134502923976609</v>
      </c>
      <c r="AV179" s="17"/>
      <c r="AW179" s="17">
        <f t="array" ref="AW179">SUM(IF(Period=AW$4,IF(Category=$A$164,IF(Provider=$B179,Score))))</f>
        <v>83.3</v>
      </c>
      <c r="AX179" s="17"/>
      <c r="AY179" s="20">
        <f t="array" ref="AY179">SUM(IF(Period=AW$4,IF(Category=$A$164,IF(Provider=$B179,Responses))))</f>
        <v>3</v>
      </c>
      <c r="AZ179" s="20"/>
      <c r="BA179" s="17">
        <f t="shared" si="86"/>
        <v>1.1516129032258065</v>
      </c>
      <c r="BB179" s="17"/>
      <c r="BC179" s="17">
        <f t="shared" si="77"/>
        <v>0.19193548387096773</v>
      </c>
      <c r="BD179" s="17"/>
      <c r="BE179" s="17">
        <f t="array" ref="BE179">SUM(IF(Period=BE$4,IF(Category=$A$164,IF(Provider=$B179,Score))))</f>
        <v>89.6</v>
      </c>
      <c r="BF179" s="17"/>
      <c r="BG179" s="20">
        <f t="array" ref="BG179">SUM(IF(Period=BE$4,IF(Category=$A$164,IF(Provider=$B179,Responses))))</f>
        <v>12</v>
      </c>
      <c r="BH179" s="20"/>
      <c r="BI179" s="17">
        <f t="shared" si="87"/>
        <v>4.536708860759493</v>
      </c>
      <c r="BJ179" s="17"/>
      <c r="BK179" s="17">
        <f t="shared" si="78"/>
        <v>0.75985865724381618</v>
      </c>
      <c r="BL179" s="17"/>
      <c r="BM179" s="17">
        <f t="array" ref="BM179">SUM(IF(Period=BM$4,IF(Category=$A$164,IF(Provider=$B179,Score))))</f>
        <v>90.6</v>
      </c>
      <c r="BN179" s="17"/>
      <c r="BO179" s="20">
        <f t="array" ref="BO179">SUM(IF(Period=BM$4,IF(Category=$A$164,IF(Provider=$B179,Responses))))</f>
        <v>2</v>
      </c>
      <c r="BP179" s="20"/>
      <c r="BQ179" s="17">
        <f t="shared" si="88"/>
        <v>0.77768240343347639</v>
      </c>
      <c r="BR179" s="17"/>
      <c r="BS179" s="17">
        <f t="shared" si="79"/>
        <v>0.13073593073593073</v>
      </c>
      <c r="BT179" s="17"/>
      <c r="BU179" s="17">
        <f t="array" ref="BU179">SUM(IF(Period=BU$4,IF(Category=$A$164,IF(Provider=$B179,Score))))</f>
        <v>85.7</v>
      </c>
      <c r="BV179" s="17"/>
      <c r="BW179" s="20">
        <f t="array" ref="BW179">SUM(IF(Period=BU$4,IF(Category=$A$164,IF(Provider=$B179,Responses))))</f>
        <v>14</v>
      </c>
      <c r="BX179" s="20"/>
      <c r="BY179" s="17">
        <f t="shared" si="89"/>
        <v>4.9578512396694219</v>
      </c>
      <c r="BZ179" s="17"/>
      <c r="CA179" s="17">
        <f t="shared" si="80"/>
        <v>0.82916378714581906</v>
      </c>
    </row>
    <row r="180" spans="2:79" outlineLevel="1" x14ac:dyDescent="0.25">
      <c r="B180" t="s">
        <v>23</v>
      </c>
      <c r="C180" s="17">
        <v>0</v>
      </c>
      <c r="D180" s="17"/>
      <c r="E180" s="17">
        <v>0</v>
      </c>
      <c r="F180" s="17"/>
      <c r="G180" s="17">
        <v>0</v>
      </c>
      <c r="H180" s="17"/>
      <c r="I180" s="17">
        <f t="array" ref="I180">SUM(IF(Period=I$4,IF(Category=$A$164,IF(Provider=$B180,Score))))</f>
        <v>86.4</v>
      </c>
      <c r="J180" s="17"/>
      <c r="K180" s="20">
        <f t="array" ref="K180">SUM(IF(Period=I$4,IF(Category=$A$164,IF(Provider=$B180,Responses))))</f>
        <v>11</v>
      </c>
      <c r="L180" s="20"/>
      <c r="M180" s="17">
        <f t="shared" si="81"/>
        <v>4.7049504950495056</v>
      </c>
      <c r="N180" s="17"/>
      <c r="O180" s="17">
        <f t="shared" si="72"/>
        <v>0.78610421836228306</v>
      </c>
      <c r="P180" s="17"/>
      <c r="Q180" s="17">
        <f t="array" ref="Q180">SUM(IF(Period=Q$4,IF(Category=$A$164,IF(Provider=$B180,Score))))</f>
        <v>100</v>
      </c>
      <c r="R180" s="17"/>
      <c r="S180" s="20">
        <f t="array" ref="S180">SUM(IF(Period=Q$4,IF(Category=$A$164,IF(Provider=$B180,Responses))))</f>
        <v>4</v>
      </c>
      <c r="T180" s="20"/>
      <c r="U180" s="17">
        <f t="shared" si="82"/>
        <v>2.1276595744680851</v>
      </c>
      <c r="V180" s="17"/>
      <c r="W180" s="17">
        <f t="shared" si="73"/>
        <v>0.35650623885918004</v>
      </c>
      <c r="X180" s="17"/>
      <c r="Y180" s="17">
        <f t="array" ref="Y180">SUM(IF(Period=Y$4,IF(Category=$A$164,IF(Provider=$B180,Score))))</f>
        <v>63.8</v>
      </c>
      <c r="Z180" s="17"/>
      <c r="AA180" s="20">
        <f t="array" ref="AA180">SUM(IF(Period=Y$4,IF(Category=$A$164,IF(Provider=$B180,Responses))))</f>
        <v>10</v>
      </c>
      <c r="AB180" s="20"/>
      <c r="AC180" s="17">
        <f t="shared" si="83"/>
        <v>2.0986842105263155</v>
      </c>
      <c r="AD180" s="17"/>
      <c r="AE180" s="17">
        <f t="shared" si="74"/>
        <v>0.35190292333149475</v>
      </c>
      <c r="AF180" s="17"/>
      <c r="AG180" s="17">
        <f t="array" ref="AG180">SUM(IF(Period=AG$4,IF(Category=$A$164,IF(Provider=$B180,Score))))</f>
        <v>80.2</v>
      </c>
      <c r="AH180" s="17"/>
      <c r="AI180" s="20">
        <f t="array" ref="AI180">SUM(IF(Period=AG$4,IF(Category=$A$164,IF(Provider=$B180,Responses))))</f>
        <v>6</v>
      </c>
      <c r="AJ180" s="20"/>
      <c r="AK180" s="17">
        <f t="shared" si="84"/>
        <v>1.8651162790697675</v>
      </c>
      <c r="AL180" s="17"/>
      <c r="AM180" s="17">
        <f t="shared" si="75"/>
        <v>0.31165803108808293</v>
      </c>
      <c r="AN180" s="17"/>
      <c r="AO180" s="17">
        <f t="array" ref="AO180">SUM(IF(Period=AO$4,IF(Category=$A$164,IF(Provider=$B180,Score))))</f>
        <v>82.4</v>
      </c>
      <c r="AP180" s="17"/>
      <c r="AQ180" s="20">
        <f t="array" ref="AQ180">SUM(IF(Period=AO$4,IF(Category=$A$164,IF(Provider=$B180,Responses))))</f>
        <v>11</v>
      </c>
      <c r="AR180" s="20"/>
      <c r="AS180" s="17">
        <f t="shared" si="85"/>
        <v>5.2697674418604654</v>
      </c>
      <c r="AT180" s="17"/>
      <c r="AU180" s="17">
        <f t="shared" si="76"/>
        <v>0.8834307992202729</v>
      </c>
      <c r="AV180" s="17"/>
      <c r="AW180" s="17">
        <f t="array" ref="AW180">SUM(IF(Period=AW$4,IF(Category=$A$164,IF(Provider=$B180,Score))))</f>
        <v>91.3</v>
      </c>
      <c r="AX180" s="17"/>
      <c r="AY180" s="20">
        <f t="array" ref="AY180">SUM(IF(Period=AW$4,IF(Category=$A$164,IF(Provider=$B180,Responses))))</f>
        <v>5</v>
      </c>
      <c r="AZ180" s="20"/>
      <c r="BA180" s="17">
        <f t="shared" si="86"/>
        <v>2.1036866359447006</v>
      </c>
      <c r="BB180" s="17"/>
      <c r="BC180" s="17">
        <f t="shared" si="77"/>
        <v>0.35061443932411673</v>
      </c>
      <c r="BD180" s="17"/>
      <c r="BE180" s="17">
        <f t="array" ref="BE180">SUM(IF(Period=BE$4,IF(Category=$A$164,IF(Provider=$B180,Score))))</f>
        <v>82.6</v>
      </c>
      <c r="BF180" s="17"/>
      <c r="BG180" s="20">
        <f t="array" ref="BG180">SUM(IF(Period=BE$4,IF(Category=$A$164,IF(Provider=$B180,Responses))))</f>
        <v>9</v>
      </c>
      <c r="BH180" s="20"/>
      <c r="BI180" s="17">
        <f t="shared" si="87"/>
        <v>3.1367088607594935</v>
      </c>
      <c r="BJ180" s="17"/>
      <c r="BK180" s="17">
        <f t="shared" si="78"/>
        <v>0.52537102473498232</v>
      </c>
      <c r="BL180" s="17"/>
      <c r="BM180" s="17">
        <f t="array" ref="BM180">SUM(IF(Period=BM$4,IF(Category=$A$164,IF(Provider=$B180,Score))))</f>
        <v>78.099999999999994</v>
      </c>
      <c r="BN180" s="17"/>
      <c r="BO180" s="20">
        <f t="array" ref="BO180">SUM(IF(Period=BM$4,IF(Category=$A$164,IF(Provider=$B180,Responses))))</f>
        <v>8</v>
      </c>
      <c r="BP180" s="20"/>
      <c r="BQ180" s="17">
        <f t="shared" si="88"/>
        <v>2.6815450643776821</v>
      </c>
      <c r="BR180" s="17"/>
      <c r="BS180" s="17">
        <f t="shared" si="79"/>
        <v>0.45079365079365075</v>
      </c>
      <c r="BT180" s="17"/>
      <c r="BU180" s="17">
        <f t="array" ref="BU180">SUM(IF(Period=BU$4,IF(Category=$A$164,IF(Provider=$B180,Score))))</f>
        <v>78.8</v>
      </c>
      <c r="BV180" s="17"/>
      <c r="BW180" s="20">
        <f t="array" ref="BW180">SUM(IF(Period=BU$4,IF(Category=$A$164,IF(Provider=$B180,Responses))))</f>
        <v>10</v>
      </c>
      <c r="BX180" s="20"/>
      <c r="BY180" s="17">
        <f t="shared" si="89"/>
        <v>3.2561983471074378</v>
      </c>
      <c r="BZ180" s="17"/>
      <c r="CA180" s="17">
        <f t="shared" si="80"/>
        <v>0.54457498272287497</v>
      </c>
    </row>
    <row r="181" spans="2:79" outlineLevel="1" x14ac:dyDescent="0.25">
      <c r="B181" t="s">
        <v>6</v>
      </c>
      <c r="C181" s="17">
        <v>0</v>
      </c>
      <c r="D181" s="17"/>
      <c r="E181" s="17">
        <v>0</v>
      </c>
      <c r="F181" s="17"/>
      <c r="G181" s="17">
        <v>0</v>
      </c>
      <c r="H181" s="17"/>
      <c r="I181" s="17">
        <f t="array" ref="I181">SUM(IF(Period=I$4,IF(Category=$A$164,IF(Provider=$B181,Score))))</f>
        <v>100</v>
      </c>
      <c r="J181" s="17"/>
      <c r="K181" s="20">
        <f t="array" ref="K181">SUM(IF(Period=I$4,IF(Category=$A$164,IF(Provider=$B181,Responses))))</f>
        <v>1</v>
      </c>
      <c r="L181" s="20"/>
      <c r="M181" s="17">
        <f t="shared" si="81"/>
        <v>0.49504950495049505</v>
      </c>
      <c r="N181" s="17"/>
      <c r="O181" s="17">
        <f t="shared" si="72"/>
        <v>8.2712985938792394E-2</v>
      </c>
      <c r="P181" s="17"/>
      <c r="Q181" s="17">
        <f t="array" ref="Q181">SUM(IF(Period=Q$4,IF(Category=$A$164,IF(Provider=$B181,Score))))</f>
        <v>0</v>
      </c>
      <c r="R181" s="17"/>
      <c r="S181" s="20">
        <f t="array" ref="S181">SUM(IF(Period=Q$4,IF(Category=$A$164,IF(Provider=$B181,Responses))))</f>
        <v>0</v>
      </c>
      <c r="T181" s="20"/>
      <c r="U181" s="17">
        <f t="shared" si="82"/>
        <v>0</v>
      </c>
      <c r="V181" s="17"/>
      <c r="W181" s="17">
        <f t="shared" si="73"/>
        <v>0</v>
      </c>
      <c r="X181" s="17"/>
      <c r="Y181" s="17">
        <f t="array" ref="Y181">SUM(IF(Period=Y$4,IF(Category=$A$164,IF(Provider=$B181,Score))))</f>
        <v>87.5</v>
      </c>
      <c r="Z181" s="17"/>
      <c r="AA181" s="20">
        <f t="array" ref="AA181">SUM(IF(Period=Y$4,IF(Category=$A$164,IF(Provider=$B181,Responses))))</f>
        <v>3</v>
      </c>
      <c r="AB181" s="20"/>
      <c r="AC181" s="17">
        <f t="shared" si="83"/>
        <v>0.86348684210526316</v>
      </c>
      <c r="AD181" s="17"/>
      <c r="AE181" s="17">
        <f t="shared" si="74"/>
        <v>0.14478764478764478</v>
      </c>
      <c r="AF181" s="17"/>
      <c r="AG181" s="17">
        <f t="array" ref="AG181">SUM(IF(Period=AG$4,IF(Category=$A$164,IF(Provider=$B181,Score))))</f>
        <v>85</v>
      </c>
      <c r="AH181" s="17"/>
      <c r="AI181" s="20">
        <f t="array" ref="AI181">SUM(IF(Period=AG$4,IF(Category=$A$164,IF(Provider=$B181,Responses))))</f>
        <v>5</v>
      </c>
      <c r="AJ181" s="20"/>
      <c r="AK181" s="17">
        <f t="shared" si="84"/>
        <v>1.6472868217054264</v>
      </c>
      <c r="AL181" s="17"/>
      <c r="AM181" s="17">
        <f t="shared" si="75"/>
        <v>0.27525906735751293</v>
      </c>
      <c r="AN181" s="17"/>
      <c r="AO181" s="17">
        <f t="array" ref="AO181">SUM(IF(Period=AO$4,IF(Category=$A$164,IF(Provider=$B181,Score))))</f>
        <v>0</v>
      </c>
      <c r="AP181" s="17"/>
      <c r="AQ181" s="20">
        <f t="array" ref="AQ181">SUM(IF(Period=AO$4,IF(Category=$A$164,IF(Provider=$B181,Responses))))</f>
        <v>0</v>
      </c>
      <c r="AR181" s="20"/>
      <c r="AS181" s="17">
        <f t="shared" si="85"/>
        <v>0</v>
      </c>
      <c r="AT181" s="17"/>
      <c r="AU181" s="17">
        <f t="shared" si="76"/>
        <v>0</v>
      </c>
      <c r="AV181" s="17"/>
      <c r="AW181" s="17">
        <f t="array" ref="AW181">SUM(IF(Period=AW$4,IF(Category=$A$164,IF(Provider=$B181,Score))))</f>
        <v>87.5</v>
      </c>
      <c r="AX181" s="17"/>
      <c r="AY181" s="20">
        <f t="array" ref="AY181">SUM(IF(Period=AW$4,IF(Category=$A$164,IF(Provider=$B181,Responses))))</f>
        <v>5</v>
      </c>
      <c r="AZ181" s="20"/>
      <c r="BA181" s="17">
        <f t="shared" si="86"/>
        <v>2.0161290322580645</v>
      </c>
      <c r="BB181" s="17"/>
      <c r="BC181" s="17">
        <f t="shared" si="77"/>
        <v>0.33602150537634407</v>
      </c>
      <c r="BD181" s="17"/>
      <c r="BE181" s="17">
        <f t="array" ref="BE181">SUM(IF(Period=BE$4,IF(Category=$A$164,IF(Provider=$B181,Score))))</f>
        <v>0</v>
      </c>
      <c r="BF181" s="17"/>
      <c r="BG181" s="20">
        <f t="array" ref="BG181">SUM(IF(Period=BE$4,IF(Category=$A$164,IF(Provider=$B181,Responses))))</f>
        <v>0</v>
      </c>
      <c r="BH181" s="20"/>
      <c r="BI181" s="17">
        <f t="shared" si="87"/>
        <v>0</v>
      </c>
      <c r="BJ181" s="17"/>
      <c r="BK181" s="17">
        <f t="shared" si="78"/>
        <v>0</v>
      </c>
      <c r="BL181" s="17"/>
      <c r="BM181" s="17">
        <f t="array" ref="BM181">SUM(IF(Period=BM$4,IF(Category=$A$164,IF(Provider=$B181,Score))))</f>
        <v>91.7</v>
      </c>
      <c r="BN181" s="17"/>
      <c r="BO181" s="20">
        <f t="array" ref="BO181">SUM(IF(Period=BM$4,IF(Category=$A$164,IF(Provider=$B181,Responses))))</f>
        <v>3</v>
      </c>
      <c r="BP181" s="20"/>
      <c r="BQ181" s="17">
        <f t="shared" si="88"/>
        <v>1.1806866952789701</v>
      </c>
      <c r="BR181" s="17"/>
      <c r="BS181" s="17">
        <f t="shared" si="79"/>
        <v>0.19848484848484849</v>
      </c>
      <c r="BT181" s="17"/>
      <c r="BU181" s="17">
        <f t="array" ref="BU181">SUM(IF(Period=BU$4,IF(Category=$A$164,IF(Provider=$B181,Score))))</f>
        <v>71.900000000000006</v>
      </c>
      <c r="BV181" s="17"/>
      <c r="BW181" s="20">
        <f t="array" ref="BW181">SUM(IF(Period=BU$4,IF(Category=$A$164,IF(Provider=$B181,Responses))))</f>
        <v>2</v>
      </c>
      <c r="BX181" s="20"/>
      <c r="BY181" s="17">
        <f t="shared" si="89"/>
        <v>0.59421487603305789</v>
      </c>
      <c r="BZ181" s="17"/>
      <c r="CA181" s="17">
        <f t="shared" si="80"/>
        <v>9.9378023496890122E-2</v>
      </c>
    </row>
    <row r="182" spans="2:79" outlineLevel="1" x14ac:dyDescent="0.25">
      <c r="B182" t="s">
        <v>39</v>
      </c>
      <c r="C182" s="17">
        <v>0</v>
      </c>
      <c r="D182" s="17"/>
      <c r="E182" s="17">
        <v>0</v>
      </c>
      <c r="F182" s="17"/>
      <c r="G182" s="17">
        <v>0</v>
      </c>
      <c r="H182" s="17"/>
      <c r="I182" s="17">
        <f t="array" ref="I182">SUM(IF(Period=I$4,IF(Category=$A$164,IF(Provider=$B182,Score))))</f>
        <v>54.6</v>
      </c>
      <c r="J182" s="17"/>
      <c r="K182" s="20">
        <f t="array" ref="K182">SUM(IF(Period=I$4,IF(Category=$A$164,IF(Provider=$B182,Responses))))</f>
        <v>11</v>
      </c>
      <c r="L182" s="20"/>
      <c r="M182" s="17">
        <f t="shared" si="81"/>
        <v>2.9732673267326732</v>
      </c>
      <c r="N182" s="17"/>
      <c r="O182" s="17">
        <f t="shared" si="72"/>
        <v>0.49677419354838714</v>
      </c>
      <c r="P182" s="17"/>
      <c r="Q182" s="17">
        <f t="array" ref="Q182">SUM(IF(Period=Q$4,IF(Category=$A$164,IF(Provider=$B182,Score))))</f>
        <v>71.3</v>
      </c>
      <c r="R182" s="17"/>
      <c r="S182" s="20">
        <f t="array" ref="S182">SUM(IF(Period=Q$4,IF(Category=$A$164,IF(Provider=$B182,Responses))))</f>
        <v>10</v>
      </c>
      <c r="T182" s="20"/>
      <c r="U182" s="17">
        <f t="shared" si="82"/>
        <v>3.7925531914893615</v>
      </c>
      <c r="V182" s="17"/>
      <c r="W182" s="17">
        <f t="shared" si="73"/>
        <v>0.63547237076648844</v>
      </c>
      <c r="X182" s="17"/>
      <c r="Y182" s="17">
        <f t="array" ref="Y182">SUM(IF(Period=Y$4,IF(Category=$A$164,IF(Provider=$B182,Score))))</f>
        <v>62.5</v>
      </c>
      <c r="Z182" s="17"/>
      <c r="AA182" s="20">
        <f t="array" ref="AA182">SUM(IF(Period=Y$4,IF(Category=$A$164,IF(Provider=$B182,Responses))))</f>
        <v>8</v>
      </c>
      <c r="AB182" s="20"/>
      <c r="AC182" s="17">
        <f t="shared" si="83"/>
        <v>1.6447368421052631</v>
      </c>
      <c r="AD182" s="17"/>
      <c r="AE182" s="17">
        <f t="shared" si="74"/>
        <v>0.2757859900717044</v>
      </c>
      <c r="AF182" s="17"/>
      <c r="AG182" s="17">
        <f t="array" ref="AG182">SUM(IF(Period=AG$4,IF(Category=$A$164,IF(Provider=$B182,Score))))</f>
        <v>66.400000000000006</v>
      </c>
      <c r="AH182" s="17"/>
      <c r="AI182" s="20">
        <f t="array" ref="AI182">SUM(IF(Period=AG$4,IF(Category=$A$164,IF(Provider=$B182,Responses))))</f>
        <v>8</v>
      </c>
      <c r="AJ182" s="20"/>
      <c r="AK182" s="17">
        <f t="shared" si="84"/>
        <v>2.0589147286821707</v>
      </c>
      <c r="AL182" s="17"/>
      <c r="AM182" s="17">
        <f t="shared" si="75"/>
        <v>0.34404145077720211</v>
      </c>
      <c r="AN182" s="17"/>
      <c r="AO182" s="17">
        <f t="array" ref="AO182">SUM(IF(Period=AO$4,IF(Category=$A$164,IF(Provider=$B182,Score))))</f>
        <v>83.6</v>
      </c>
      <c r="AP182" s="17"/>
      <c r="AQ182" s="20">
        <f t="array" ref="AQ182">SUM(IF(Period=AO$4,IF(Category=$A$164,IF(Provider=$B182,Responses))))</f>
        <v>8</v>
      </c>
      <c r="AR182" s="20"/>
      <c r="AS182" s="17">
        <f t="shared" si="85"/>
        <v>3.8883720930232557</v>
      </c>
      <c r="AT182" s="17"/>
      <c r="AU182" s="17">
        <f t="shared" si="76"/>
        <v>0.65185185185185179</v>
      </c>
      <c r="AV182" s="17"/>
      <c r="AW182" s="17">
        <f t="array" ref="AW182">SUM(IF(Period=AW$4,IF(Category=$A$164,IF(Provider=$B182,Score))))</f>
        <v>79.5</v>
      </c>
      <c r="AX182" s="17"/>
      <c r="AY182" s="20">
        <f t="array" ref="AY182">SUM(IF(Period=AW$4,IF(Category=$A$164,IF(Provider=$B182,Responses))))</f>
        <v>7</v>
      </c>
      <c r="AZ182" s="20"/>
      <c r="BA182" s="17">
        <f t="shared" si="86"/>
        <v>2.564516129032258</v>
      </c>
      <c r="BB182" s="17"/>
      <c r="BC182" s="17">
        <f t="shared" si="77"/>
        <v>0.42741935483870969</v>
      </c>
      <c r="BD182" s="17"/>
      <c r="BE182" s="17">
        <f t="array" ref="BE182">SUM(IF(Period=BE$4,IF(Category=$A$164,IF(Provider=$B182,Score))))</f>
        <v>81.3</v>
      </c>
      <c r="BF182" s="17"/>
      <c r="BG182" s="20">
        <f t="array" ref="BG182">SUM(IF(Period=BE$4,IF(Category=$A$164,IF(Provider=$B182,Responses))))</f>
        <v>6</v>
      </c>
      <c r="BH182" s="20"/>
      <c r="BI182" s="17">
        <f t="shared" si="87"/>
        <v>2.0582278481012657</v>
      </c>
      <c r="BJ182" s="17"/>
      <c r="BK182" s="17">
        <f t="shared" si="78"/>
        <v>0.34473498233215544</v>
      </c>
      <c r="BL182" s="17"/>
      <c r="BM182" s="17">
        <f t="array" ref="BM182">SUM(IF(Period=BM$4,IF(Category=$A$164,IF(Provider=$B182,Score))))</f>
        <v>82.8</v>
      </c>
      <c r="BN182" s="17"/>
      <c r="BO182" s="20">
        <f t="array" ref="BO182">SUM(IF(Period=BM$4,IF(Category=$A$164,IF(Provider=$B182,Responses))))</f>
        <v>8</v>
      </c>
      <c r="BP182" s="20"/>
      <c r="BQ182" s="17">
        <f t="shared" si="88"/>
        <v>2.8429184549356221</v>
      </c>
      <c r="BR182" s="17"/>
      <c r="BS182" s="17">
        <f t="shared" si="79"/>
        <v>0.47792207792207791</v>
      </c>
      <c r="BT182" s="17"/>
      <c r="BU182" s="17">
        <f t="array" ref="BU182">SUM(IF(Period=BU$4,IF(Category=$A$164,IF(Provider=$B182,Score))))</f>
        <v>86.6</v>
      </c>
      <c r="BV182" s="17"/>
      <c r="BW182" s="20">
        <f t="array" ref="BW182">SUM(IF(Period=BU$4,IF(Category=$A$164,IF(Provider=$B182,Responses))))</f>
        <v>7</v>
      </c>
      <c r="BX182" s="20"/>
      <c r="BY182" s="17">
        <f t="shared" si="89"/>
        <v>2.5049586776859503</v>
      </c>
      <c r="BZ182" s="17"/>
      <c r="CA182" s="17">
        <f t="shared" si="80"/>
        <v>0.41893572909467863</v>
      </c>
    </row>
    <row r="183" spans="2:79" outlineLevel="1" x14ac:dyDescent="0.25">
      <c r="B183" t="s">
        <v>28</v>
      </c>
      <c r="C183" s="17">
        <v>0</v>
      </c>
      <c r="D183" s="17"/>
      <c r="E183" s="17">
        <v>0</v>
      </c>
      <c r="F183" s="17"/>
      <c r="G183" s="17">
        <v>0</v>
      </c>
      <c r="H183" s="17"/>
      <c r="I183" s="17">
        <f t="array" ref="I183">SUM(IF(Period=I$4,IF(Category=$A$164,IF(Provider=$B183,Score))))</f>
        <v>74</v>
      </c>
      <c r="J183" s="17"/>
      <c r="K183" s="20">
        <f t="array" ref="K183">SUM(IF(Period=I$4,IF(Category=$A$164,IF(Provider=$B183,Responses))))</f>
        <v>6</v>
      </c>
      <c r="L183" s="20"/>
      <c r="M183" s="17">
        <f t="shared" si="81"/>
        <v>2.1980198019801978</v>
      </c>
      <c r="N183" s="17"/>
      <c r="O183" s="17">
        <f t="shared" si="72"/>
        <v>0.36724565756823824</v>
      </c>
      <c r="P183" s="17"/>
      <c r="Q183" s="17">
        <f t="array" ref="Q183">SUM(IF(Period=Q$4,IF(Category=$A$164,IF(Provider=$B183,Score))))</f>
        <v>36.299999999999997</v>
      </c>
      <c r="R183" s="17"/>
      <c r="S183" s="20">
        <f t="array" ref="S183">SUM(IF(Period=Q$4,IF(Category=$A$164,IF(Provider=$B183,Responses))))</f>
        <v>5</v>
      </c>
      <c r="T183" s="20"/>
      <c r="U183" s="17">
        <f t="shared" si="82"/>
        <v>0.96542553191489355</v>
      </c>
      <c r="V183" s="17"/>
      <c r="W183" s="17">
        <f t="shared" si="73"/>
        <v>0.16176470588235292</v>
      </c>
      <c r="X183" s="17"/>
      <c r="Y183" s="17">
        <f t="array" ref="Y183">SUM(IF(Period=Y$4,IF(Category=$A$164,IF(Provider=$B183,Score))))</f>
        <v>73.099999999999994</v>
      </c>
      <c r="Z183" s="17"/>
      <c r="AA183" s="20">
        <f t="array" ref="AA183">SUM(IF(Period=Y$4,IF(Category=$A$164,IF(Provider=$B183,Responses))))</f>
        <v>10</v>
      </c>
      <c r="AB183" s="20"/>
      <c r="AC183" s="17">
        <f t="shared" si="83"/>
        <v>2.4046052631578942</v>
      </c>
      <c r="AD183" s="17"/>
      <c r="AE183" s="17">
        <f t="shared" si="74"/>
        <v>0.40319911748483173</v>
      </c>
      <c r="AF183" s="17"/>
      <c r="AG183" s="17">
        <f t="array" ref="AG183">SUM(IF(Period=AG$4,IF(Category=$A$164,IF(Provider=$B183,Score))))</f>
        <v>86.9</v>
      </c>
      <c r="AH183" s="17"/>
      <c r="AI183" s="20">
        <f t="array" ref="AI183">SUM(IF(Period=AG$4,IF(Category=$A$164,IF(Provider=$B183,Responses))))</f>
        <v>10</v>
      </c>
      <c r="AJ183" s="20"/>
      <c r="AK183" s="17">
        <f t="shared" si="84"/>
        <v>3.3682170542635661</v>
      </c>
      <c r="AL183" s="17"/>
      <c r="AM183" s="17">
        <f t="shared" si="75"/>
        <v>0.56282383419689119</v>
      </c>
      <c r="AN183" s="17"/>
      <c r="AO183" s="17">
        <f t="array" ref="AO183">SUM(IF(Period=AO$4,IF(Category=$A$164,IF(Provider=$B183,Score))))</f>
        <v>70.099999999999994</v>
      </c>
      <c r="AP183" s="17"/>
      <c r="AQ183" s="20">
        <f t="array" ref="AQ183">SUM(IF(Period=AO$4,IF(Category=$A$164,IF(Provider=$B183,Responses))))</f>
        <v>6</v>
      </c>
      <c r="AR183" s="20"/>
      <c r="AS183" s="17">
        <f t="shared" si="85"/>
        <v>2.445348837209302</v>
      </c>
      <c r="AT183" s="17"/>
      <c r="AU183" s="17">
        <f t="shared" si="76"/>
        <v>0.40994152046783622</v>
      </c>
      <c r="AV183" s="17"/>
      <c r="AW183" s="17">
        <f t="array" ref="AW183">SUM(IF(Period=AW$4,IF(Category=$A$164,IF(Provider=$B183,Score))))</f>
        <v>51.3</v>
      </c>
      <c r="AX183" s="17"/>
      <c r="AY183" s="20">
        <f t="array" ref="AY183">SUM(IF(Period=AW$4,IF(Category=$A$164,IF(Provider=$B183,Responses))))</f>
        <v>5</v>
      </c>
      <c r="AZ183" s="20"/>
      <c r="BA183" s="17">
        <f t="shared" si="86"/>
        <v>1.1820276497695852</v>
      </c>
      <c r="BB183" s="17"/>
      <c r="BC183" s="17">
        <f t="shared" si="77"/>
        <v>0.19700460829493086</v>
      </c>
      <c r="BD183" s="17"/>
      <c r="BE183" s="17">
        <f t="array" ref="BE183">SUM(IF(Period=BE$4,IF(Category=$A$164,IF(Provider=$B183,Score))))</f>
        <v>62.5</v>
      </c>
      <c r="BF183" s="17"/>
      <c r="BG183" s="20">
        <f t="array" ref="BG183">SUM(IF(Period=BE$4,IF(Category=$A$164,IF(Provider=$B183,Responses))))</f>
        <v>6</v>
      </c>
      <c r="BH183" s="20"/>
      <c r="BI183" s="17">
        <f t="shared" si="87"/>
        <v>1.5822784810126582</v>
      </c>
      <c r="BJ183" s="17"/>
      <c r="BK183" s="17">
        <f t="shared" si="78"/>
        <v>0.26501766784452296</v>
      </c>
      <c r="BL183" s="17"/>
      <c r="BM183" s="17">
        <f t="array" ref="BM183">SUM(IF(Period=BM$4,IF(Category=$A$164,IF(Provider=$B183,Score))))</f>
        <v>61.6</v>
      </c>
      <c r="BN183" s="17"/>
      <c r="BO183" s="20">
        <f t="array" ref="BO183">SUM(IF(Period=BM$4,IF(Category=$A$164,IF(Provider=$B183,Responses))))</f>
        <v>7</v>
      </c>
      <c r="BP183" s="20"/>
      <c r="BQ183" s="17">
        <f t="shared" si="88"/>
        <v>1.8506437768240345</v>
      </c>
      <c r="BR183" s="17"/>
      <c r="BS183" s="17">
        <f t="shared" si="79"/>
        <v>0.31111111111111117</v>
      </c>
      <c r="BT183" s="17"/>
      <c r="BU183" s="17">
        <f t="array" ref="BU183">SUM(IF(Period=BU$4,IF(Category=$A$164,IF(Provider=$B183,Score))))</f>
        <v>67</v>
      </c>
      <c r="BV183" s="17"/>
      <c r="BW183" s="20">
        <f t="array" ref="BW183">SUM(IF(Period=BU$4,IF(Category=$A$164,IF(Provider=$B183,Responses))))</f>
        <v>7</v>
      </c>
      <c r="BX183" s="20"/>
      <c r="BY183" s="17">
        <f t="shared" si="89"/>
        <v>1.9380165289256199</v>
      </c>
      <c r="BZ183" s="17"/>
      <c r="CA183" s="17">
        <f t="shared" si="80"/>
        <v>0.32411886662059436</v>
      </c>
    </row>
    <row r="184" spans="2:79" outlineLevel="1" x14ac:dyDescent="0.25">
      <c r="B184" t="s">
        <v>40</v>
      </c>
      <c r="C184" s="17">
        <v>0</v>
      </c>
      <c r="D184" s="17"/>
      <c r="E184" s="17">
        <v>0</v>
      </c>
      <c r="F184" s="17"/>
      <c r="G184" s="17">
        <v>0</v>
      </c>
      <c r="H184" s="17"/>
      <c r="I184" s="17">
        <f t="array" ref="I184">SUM(IF(Period=I$4,IF(Category=$A$164,IF(Provider=$B184,Score))))</f>
        <v>53.1</v>
      </c>
      <c r="J184" s="17"/>
      <c r="K184" s="20">
        <f t="array" ref="K184">SUM(IF(Period=I$4,IF(Category=$A$164,IF(Provider=$B184,Responses))))</f>
        <v>8</v>
      </c>
      <c r="L184" s="20"/>
      <c r="M184" s="17">
        <f t="shared" si="81"/>
        <v>2.1029702970297031</v>
      </c>
      <c r="N184" s="17"/>
      <c r="O184" s="17">
        <f t="shared" si="72"/>
        <v>0.35136476426799007</v>
      </c>
      <c r="P184" s="17"/>
      <c r="Q184" s="17">
        <f t="array" ref="Q184">SUM(IF(Period=Q$4,IF(Category=$A$164,IF(Provider=$B184,Score))))</f>
        <v>78.099999999999994</v>
      </c>
      <c r="R184" s="17"/>
      <c r="S184" s="20">
        <f t="array" ref="S184">SUM(IF(Period=Q$4,IF(Category=$A$164,IF(Provider=$B184,Responses))))</f>
        <v>2</v>
      </c>
      <c r="T184" s="20"/>
      <c r="U184" s="17">
        <f t="shared" si="82"/>
        <v>0.83085106382978713</v>
      </c>
      <c r="V184" s="17"/>
      <c r="W184" s="17">
        <f t="shared" si="73"/>
        <v>0.13921568627450978</v>
      </c>
      <c r="X184" s="17"/>
      <c r="Y184" s="17">
        <f t="array" ref="Y184">SUM(IF(Period=Y$4,IF(Category=$A$164,IF(Provider=$B184,Score))))</f>
        <v>86.3</v>
      </c>
      <c r="Z184" s="17"/>
      <c r="AA184" s="20">
        <f t="array" ref="AA184">SUM(IF(Period=Y$4,IF(Category=$A$164,IF(Provider=$B184,Responses))))</f>
        <v>5</v>
      </c>
      <c r="AB184" s="20"/>
      <c r="AC184" s="17">
        <f t="shared" si="83"/>
        <v>1.419407894736842</v>
      </c>
      <c r="AD184" s="17"/>
      <c r="AE184" s="17">
        <f t="shared" si="74"/>
        <v>0.23800330943188086</v>
      </c>
      <c r="AF184" s="17"/>
      <c r="AG184" s="17">
        <f t="array" ref="AG184">SUM(IF(Period=AG$4,IF(Category=$A$164,IF(Provider=$B184,Score))))</f>
        <v>58.3</v>
      </c>
      <c r="AH184" s="17"/>
      <c r="AI184" s="20">
        <f t="array" ref="AI184">SUM(IF(Period=AG$4,IF(Category=$A$164,IF(Provider=$B184,Responses))))</f>
        <v>3</v>
      </c>
      <c r="AJ184" s="20"/>
      <c r="AK184" s="17">
        <f t="shared" si="84"/>
        <v>0.67790697674418599</v>
      </c>
      <c r="AL184" s="17"/>
      <c r="AM184" s="17">
        <f t="shared" si="75"/>
        <v>0.11327720207253886</v>
      </c>
      <c r="AN184" s="17"/>
      <c r="AO184" s="17">
        <f t="array" ref="AO184">SUM(IF(Period=AO$4,IF(Category=$A$164,IF(Provider=$B184,Score))))</f>
        <v>84.4</v>
      </c>
      <c r="AP184" s="17"/>
      <c r="AQ184" s="20">
        <f t="array" ref="AQ184">SUM(IF(Period=AO$4,IF(Category=$A$164,IF(Provider=$B184,Responses))))</f>
        <v>4</v>
      </c>
      <c r="AR184" s="20"/>
      <c r="AS184" s="17">
        <f t="shared" si="85"/>
        <v>1.9627906976744187</v>
      </c>
      <c r="AT184" s="17"/>
      <c r="AU184" s="17">
        <f t="shared" si="76"/>
        <v>0.3290448343079922</v>
      </c>
      <c r="AV184" s="17"/>
      <c r="AW184" s="17">
        <f t="array" ref="AW184">SUM(IF(Period=AW$4,IF(Category=$A$164,IF(Provider=$B184,Score))))</f>
        <v>81.8</v>
      </c>
      <c r="AX184" s="17"/>
      <c r="AY184" s="20">
        <f t="array" ref="AY184">SUM(IF(Period=AW$4,IF(Category=$A$164,IF(Provider=$B184,Responses))))</f>
        <v>12</v>
      </c>
      <c r="AZ184" s="20"/>
      <c r="BA184" s="17">
        <f t="shared" si="86"/>
        <v>4.5235023041474651</v>
      </c>
      <c r="BB184" s="17"/>
      <c r="BC184" s="17">
        <f t="shared" si="77"/>
        <v>0.75391705069124426</v>
      </c>
      <c r="BD184" s="17"/>
      <c r="BE184" s="17">
        <f t="array" ref="BE184">SUM(IF(Period=BE$4,IF(Category=$A$164,IF(Provider=$B184,Score))))</f>
        <v>93.1</v>
      </c>
      <c r="BF184" s="17"/>
      <c r="BG184" s="20">
        <f t="array" ref="BG184">SUM(IF(Period=BE$4,IF(Category=$A$164,IF(Provider=$B184,Responses))))</f>
        <v>10</v>
      </c>
      <c r="BH184" s="20"/>
      <c r="BI184" s="17">
        <f t="shared" si="87"/>
        <v>3.9282700421940926</v>
      </c>
      <c r="BJ184" s="17"/>
      <c r="BK184" s="17">
        <f t="shared" si="78"/>
        <v>0.65795053003533566</v>
      </c>
      <c r="BL184" s="17"/>
      <c r="BM184" s="17">
        <f t="array" ref="BM184">SUM(IF(Period=BM$4,IF(Category=$A$164,IF(Provider=$B184,Score))))</f>
        <v>78.900000000000006</v>
      </c>
      <c r="BN184" s="17"/>
      <c r="BO184" s="20">
        <f t="array" ref="BO184">SUM(IF(Period=BM$4,IF(Category=$A$164,IF(Provider=$B184,Responses))))</f>
        <v>8</v>
      </c>
      <c r="BP184" s="20"/>
      <c r="BQ184" s="17">
        <f t="shared" si="88"/>
        <v>2.7090128755364811</v>
      </c>
      <c r="BR184" s="17"/>
      <c r="BS184" s="17">
        <f t="shared" si="79"/>
        <v>0.45541125541125543</v>
      </c>
      <c r="BT184" s="17"/>
      <c r="BU184" s="17">
        <f t="array" ref="BU184">SUM(IF(Period=BU$4,IF(Category=$A$164,IF(Provider=$B184,Score))))</f>
        <v>100</v>
      </c>
      <c r="BV184" s="17"/>
      <c r="BW184" s="20">
        <f t="array" ref="BW184">SUM(IF(Period=BU$4,IF(Category=$A$164,IF(Provider=$B184,Responses))))</f>
        <v>3</v>
      </c>
      <c r="BX184" s="20"/>
      <c r="BY184" s="17">
        <f t="shared" si="89"/>
        <v>1.2396694214876034</v>
      </c>
      <c r="BZ184" s="17"/>
      <c r="CA184" s="17">
        <f t="shared" si="80"/>
        <v>0.2073255010366275</v>
      </c>
    </row>
    <row r="185" spans="2:79" outlineLevel="1" x14ac:dyDescent="0.25">
      <c r="B185" t="s">
        <v>22</v>
      </c>
      <c r="C185" s="17">
        <v>0</v>
      </c>
      <c r="D185" s="17"/>
      <c r="E185" s="17">
        <v>0</v>
      </c>
      <c r="F185" s="17"/>
      <c r="G185" s="17">
        <v>0</v>
      </c>
      <c r="H185" s="17"/>
      <c r="I185" s="17">
        <f t="array" ref="I185">SUM(IF(Period=I$4,IF(Category=$A$164,IF(Provider=$B185,Score))))</f>
        <v>81.3</v>
      </c>
      <c r="J185" s="17"/>
      <c r="K185" s="20">
        <f t="array" ref="K185">SUM(IF(Period=I$4,IF(Category=$A$164,IF(Provider=$B185,Responses))))</f>
        <v>9</v>
      </c>
      <c r="L185" s="20"/>
      <c r="M185" s="17">
        <f t="shared" si="81"/>
        <v>3.6222772277227722</v>
      </c>
      <c r="N185" s="17"/>
      <c r="O185" s="17">
        <f t="shared" si="72"/>
        <v>0.60521091811414385</v>
      </c>
      <c r="P185" s="17"/>
      <c r="Q185" s="17">
        <f t="array" ref="Q185">SUM(IF(Period=Q$4,IF(Category=$A$164,IF(Provider=$B185,Score))))</f>
        <v>93.8</v>
      </c>
      <c r="R185" s="17"/>
      <c r="S185" s="20">
        <f t="array" ref="S185">SUM(IF(Period=Q$4,IF(Category=$A$164,IF(Provider=$B185,Responses))))</f>
        <v>3</v>
      </c>
      <c r="T185" s="20"/>
      <c r="U185" s="17">
        <f t="shared" si="82"/>
        <v>1.4968085106382978</v>
      </c>
      <c r="V185" s="17"/>
      <c r="W185" s="17">
        <f t="shared" si="73"/>
        <v>0.25080213903743315</v>
      </c>
      <c r="X185" s="17"/>
      <c r="Y185" s="17">
        <f t="array" ref="Y185">SUM(IF(Period=Y$4,IF(Category=$A$164,IF(Provider=$B185,Score))))</f>
        <v>85.9</v>
      </c>
      <c r="Z185" s="17"/>
      <c r="AA185" s="20">
        <f t="array" ref="AA185">SUM(IF(Period=Y$4,IF(Category=$A$164,IF(Provider=$B185,Responses))))</f>
        <v>12</v>
      </c>
      <c r="AB185" s="20"/>
      <c r="AC185" s="17">
        <f t="shared" si="83"/>
        <v>3.3907894736842104</v>
      </c>
      <c r="AD185" s="17"/>
      <c r="AE185" s="17">
        <f t="shared" si="74"/>
        <v>0.56856039713182571</v>
      </c>
      <c r="AF185" s="17"/>
      <c r="AG185" s="17">
        <f t="array" ref="AG185">SUM(IF(Period=AG$4,IF(Category=$A$164,IF(Provider=$B185,Score))))</f>
        <v>73.2</v>
      </c>
      <c r="AH185" s="17"/>
      <c r="AI185" s="20">
        <f t="array" ref="AI185">SUM(IF(Period=AG$4,IF(Category=$A$164,IF(Provider=$B185,Responses))))</f>
        <v>7</v>
      </c>
      <c r="AJ185" s="20"/>
      <c r="AK185" s="17">
        <f t="shared" si="84"/>
        <v>1.9860465116279071</v>
      </c>
      <c r="AL185" s="17"/>
      <c r="AM185" s="17">
        <f t="shared" si="75"/>
        <v>0.33186528497409323</v>
      </c>
      <c r="AN185" s="17"/>
      <c r="AO185" s="17">
        <f t="array" ref="AO185">SUM(IF(Period=AO$4,IF(Category=$A$164,IF(Provider=$B185,Score))))</f>
        <v>87.5</v>
      </c>
      <c r="AP185" s="17"/>
      <c r="AQ185" s="20">
        <f t="array" ref="AQ185">SUM(IF(Period=AO$4,IF(Category=$A$164,IF(Provider=$B185,Responses))))</f>
        <v>2</v>
      </c>
      <c r="AR185" s="20"/>
      <c r="AS185" s="17">
        <f t="shared" si="85"/>
        <v>1.0174418604651163</v>
      </c>
      <c r="AT185" s="17"/>
      <c r="AU185" s="17">
        <f t="shared" si="76"/>
        <v>0.1705653021442495</v>
      </c>
      <c r="AV185" s="17"/>
      <c r="AW185" s="17">
        <f t="array" ref="AW185">SUM(IF(Period=AW$4,IF(Category=$A$164,IF(Provider=$B185,Score))))</f>
        <v>81.3</v>
      </c>
      <c r="AX185" s="17"/>
      <c r="AY185" s="20">
        <f t="array" ref="AY185">SUM(IF(Period=AW$4,IF(Category=$A$164,IF(Provider=$B185,Responses))))</f>
        <v>9</v>
      </c>
      <c r="AZ185" s="20"/>
      <c r="BA185" s="17">
        <f t="shared" si="86"/>
        <v>3.3718894009216589</v>
      </c>
      <c r="BB185" s="17"/>
      <c r="BC185" s="17">
        <f t="shared" si="77"/>
        <v>0.56198156682027656</v>
      </c>
      <c r="BD185" s="17"/>
      <c r="BE185" s="17">
        <f t="array" ref="BE185">SUM(IF(Period=BE$4,IF(Category=$A$164,IF(Provider=$B185,Score))))</f>
        <v>79.2</v>
      </c>
      <c r="BF185" s="17"/>
      <c r="BG185" s="20">
        <f t="array" ref="BG185">SUM(IF(Period=BE$4,IF(Category=$A$164,IF(Provider=$B185,Responses))))</f>
        <v>6</v>
      </c>
      <c r="BH185" s="20"/>
      <c r="BI185" s="17">
        <f t="shared" si="87"/>
        <v>2.0050632911392405</v>
      </c>
      <c r="BJ185" s="17"/>
      <c r="BK185" s="17">
        <f t="shared" si="78"/>
        <v>0.33583038869257947</v>
      </c>
      <c r="BL185" s="17"/>
      <c r="BM185" s="17">
        <f t="array" ref="BM185">SUM(IF(Period=BM$4,IF(Category=$A$164,IF(Provider=$B185,Score))))</f>
        <v>80.099999999999994</v>
      </c>
      <c r="BN185" s="17"/>
      <c r="BO185" s="20">
        <f t="array" ref="BO185">SUM(IF(Period=BM$4,IF(Category=$A$164,IF(Provider=$B185,Responses))))</f>
        <v>13</v>
      </c>
      <c r="BP185" s="20"/>
      <c r="BQ185" s="17">
        <f t="shared" si="88"/>
        <v>4.4690987124463515</v>
      </c>
      <c r="BR185" s="17"/>
      <c r="BS185" s="17">
        <f t="shared" si="79"/>
        <v>0.75129870129870124</v>
      </c>
      <c r="BT185" s="17"/>
      <c r="BU185" s="17">
        <f t="array" ref="BU185">SUM(IF(Period=BU$4,IF(Category=$A$164,IF(Provider=$B185,Score))))</f>
        <v>83</v>
      </c>
      <c r="BV185" s="17"/>
      <c r="BW185" s="20">
        <f t="array" ref="BW185">SUM(IF(Period=BU$4,IF(Category=$A$164,IF(Provider=$B185,Responses))))</f>
        <v>7</v>
      </c>
      <c r="BX185" s="20"/>
      <c r="BY185" s="17">
        <f t="shared" si="89"/>
        <v>2.4008264462809916</v>
      </c>
      <c r="BZ185" s="17"/>
      <c r="CA185" s="17">
        <f t="shared" si="80"/>
        <v>0.40152038700760195</v>
      </c>
    </row>
    <row r="186" spans="2:79" outlineLevel="1" x14ac:dyDescent="0.25">
      <c r="B186" t="s">
        <v>31</v>
      </c>
      <c r="C186" s="17">
        <v>0</v>
      </c>
      <c r="D186" s="17"/>
      <c r="E186" s="17">
        <v>0</v>
      </c>
      <c r="F186" s="17"/>
      <c r="G186" s="17">
        <v>0</v>
      </c>
      <c r="H186" s="17"/>
      <c r="I186" s="17">
        <f t="array" ref="I186">SUM(IF(Period=I$4,IF(Category=$A$164,IF(Provider=$B186,Score))))</f>
        <v>79.7</v>
      </c>
      <c r="J186" s="17"/>
      <c r="K186" s="20">
        <f t="array" ref="K186">SUM(IF(Period=I$4,IF(Category=$A$164,IF(Provider=$B186,Responses))))</f>
        <v>4</v>
      </c>
      <c r="L186" s="20"/>
      <c r="M186" s="17">
        <f t="shared" si="81"/>
        <v>1.5782178217821783</v>
      </c>
      <c r="N186" s="17"/>
      <c r="O186" s="17">
        <f t="shared" si="72"/>
        <v>0.26368899917287014</v>
      </c>
      <c r="P186" s="17"/>
      <c r="Q186" s="17">
        <f t="array" ref="Q186">SUM(IF(Period=Q$4,IF(Category=$A$164,IF(Provider=$B186,Score))))</f>
        <v>63.5</v>
      </c>
      <c r="R186" s="17"/>
      <c r="S186" s="20">
        <f t="array" ref="S186">SUM(IF(Period=Q$4,IF(Category=$A$164,IF(Provider=$B186,Responses))))</f>
        <v>6</v>
      </c>
      <c r="T186" s="20"/>
      <c r="U186" s="17">
        <f t="shared" si="82"/>
        <v>2.0265957446808507</v>
      </c>
      <c r="V186" s="17"/>
      <c r="W186" s="17">
        <f t="shared" si="73"/>
        <v>0.33957219251336895</v>
      </c>
      <c r="X186" s="17"/>
      <c r="Y186" s="17">
        <f t="array" ref="Y186">SUM(IF(Period=Y$4,IF(Category=$A$164,IF(Provider=$B186,Score))))</f>
        <v>97.6</v>
      </c>
      <c r="Z186" s="17"/>
      <c r="AA186" s="20">
        <f t="array" ref="AA186">SUM(IF(Period=Y$4,IF(Category=$A$164,IF(Provider=$B186,Responses))))</f>
        <v>7</v>
      </c>
      <c r="AB186" s="20"/>
      <c r="AC186" s="17">
        <f t="shared" si="83"/>
        <v>2.2473684210526312</v>
      </c>
      <c r="AD186" s="17"/>
      <c r="AE186" s="17">
        <f t="shared" si="74"/>
        <v>0.37683397683397685</v>
      </c>
      <c r="AF186" s="17"/>
      <c r="AG186" s="17">
        <f t="array" ref="AG186">SUM(IF(Period=AG$4,IF(Category=$A$164,IF(Provider=$B186,Score))))</f>
        <v>87.5</v>
      </c>
      <c r="AH186" s="17"/>
      <c r="AI186" s="20">
        <f t="array" ref="AI186">SUM(IF(Period=AG$4,IF(Category=$A$164,IF(Provider=$B186,Responses))))</f>
        <v>13</v>
      </c>
      <c r="AJ186" s="20"/>
      <c r="AK186" s="17">
        <f t="shared" si="84"/>
        <v>4.4089147286821708</v>
      </c>
      <c r="AL186" s="17"/>
      <c r="AM186" s="17">
        <f t="shared" si="75"/>
        <v>0.7367227979274612</v>
      </c>
      <c r="AN186" s="17"/>
      <c r="AO186" s="17">
        <f t="array" ref="AO186">SUM(IF(Period=AO$4,IF(Category=$A$164,IF(Provider=$B186,Score))))</f>
        <v>63.2</v>
      </c>
      <c r="AP186" s="17"/>
      <c r="AQ186" s="20">
        <f t="array" ref="AQ186">SUM(IF(Period=AO$4,IF(Category=$A$164,IF(Provider=$B186,Responses))))</f>
        <v>9</v>
      </c>
      <c r="AR186" s="20"/>
      <c r="AS186" s="17">
        <f t="shared" si="85"/>
        <v>3.3069767441860467</v>
      </c>
      <c r="AT186" s="17"/>
      <c r="AU186" s="17">
        <f t="shared" si="76"/>
        <v>0.55438596491228065</v>
      </c>
      <c r="AV186" s="17"/>
      <c r="AW186" s="17">
        <f t="array" ref="AW186">SUM(IF(Period=AW$4,IF(Category=$A$164,IF(Provider=$B186,Score))))</f>
        <v>72.900000000000006</v>
      </c>
      <c r="AX186" s="17"/>
      <c r="AY186" s="20">
        <f t="array" ref="AY186">SUM(IF(Period=AW$4,IF(Category=$A$164,IF(Provider=$B186,Responses))))</f>
        <v>9</v>
      </c>
      <c r="AZ186" s="20"/>
      <c r="BA186" s="17">
        <f t="shared" si="86"/>
        <v>3.0235023041474656</v>
      </c>
      <c r="BB186" s="17"/>
      <c r="BC186" s="17">
        <f t="shared" si="77"/>
        <v>0.50391705069124426</v>
      </c>
      <c r="BD186" s="17"/>
      <c r="BE186" s="17">
        <f t="array" ref="BE186">SUM(IF(Period=BE$4,IF(Category=$A$164,IF(Provider=$B186,Score))))</f>
        <v>69.599999999999994</v>
      </c>
      <c r="BF186" s="17"/>
      <c r="BG186" s="20">
        <f t="array" ref="BG186">SUM(IF(Period=BE$4,IF(Category=$A$164,IF(Provider=$B186,Responses))))</f>
        <v>7</v>
      </c>
      <c r="BH186" s="20"/>
      <c r="BI186" s="17">
        <f t="shared" si="87"/>
        <v>2.0556962025316454</v>
      </c>
      <c r="BJ186" s="17"/>
      <c r="BK186" s="17">
        <f t="shared" si="78"/>
        <v>0.34431095406360424</v>
      </c>
      <c r="BL186" s="17"/>
      <c r="BM186" s="17">
        <f t="array" ref="BM186">SUM(IF(Period=BM$4,IF(Category=$A$164,IF(Provider=$B186,Score))))</f>
        <v>85.2</v>
      </c>
      <c r="BN186" s="17"/>
      <c r="BO186" s="20">
        <f t="array" ref="BO186">SUM(IF(Period=BM$4,IF(Category=$A$164,IF(Provider=$B186,Responses))))</f>
        <v>8</v>
      </c>
      <c r="BP186" s="20"/>
      <c r="BQ186" s="17">
        <f t="shared" si="88"/>
        <v>2.9253218884120171</v>
      </c>
      <c r="BR186" s="17"/>
      <c r="BS186" s="17">
        <f t="shared" si="79"/>
        <v>0.49177489177489181</v>
      </c>
      <c r="BT186" s="17"/>
      <c r="BU186" s="17">
        <f t="array" ref="BU186">SUM(IF(Period=BU$4,IF(Category=$A$164,IF(Provider=$B186,Score))))</f>
        <v>72.599999999999994</v>
      </c>
      <c r="BV186" s="17"/>
      <c r="BW186" s="20">
        <f t="array" ref="BW186">SUM(IF(Period=BU$4,IF(Category=$A$164,IF(Provider=$B186,Responses))))</f>
        <v>13</v>
      </c>
      <c r="BX186" s="20"/>
      <c r="BY186" s="17">
        <f t="shared" si="89"/>
        <v>3.9</v>
      </c>
      <c r="BZ186" s="17"/>
      <c r="CA186" s="17">
        <f t="shared" si="80"/>
        <v>0.65224602626123007</v>
      </c>
    </row>
    <row r="187" spans="2:79" outlineLevel="1" x14ac:dyDescent="0.25">
      <c r="B187" t="s">
        <v>27</v>
      </c>
      <c r="C187" s="17">
        <v>0</v>
      </c>
      <c r="D187" s="17"/>
      <c r="E187" s="17">
        <v>0</v>
      </c>
      <c r="F187" s="17"/>
      <c r="G187" s="17">
        <v>0</v>
      </c>
      <c r="H187" s="17"/>
      <c r="I187" s="17">
        <f t="array" ref="I187">SUM(IF(Period=I$4,IF(Category=$A$164,IF(Provider=$B187,Score))))</f>
        <v>83.8</v>
      </c>
      <c r="J187" s="17"/>
      <c r="K187" s="20">
        <f t="array" ref="K187">SUM(IF(Period=I$4,IF(Category=$A$164,IF(Provider=$B187,Responses))))</f>
        <v>5</v>
      </c>
      <c r="L187" s="20"/>
      <c r="M187" s="17">
        <f t="shared" si="81"/>
        <v>2.0742574257425743</v>
      </c>
      <c r="N187" s="17"/>
      <c r="O187" s="17">
        <f t="shared" si="72"/>
        <v>0.34656741108354011</v>
      </c>
      <c r="P187" s="17"/>
      <c r="Q187" s="17">
        <f t="array" ref="Q187">SUM(IF(Period=Q$4,IF(Category=$A$164,IF(Provider=$B187,Score))))</f>
        <v>100</v>
      </c>
      <c r="R187" s="17"/>
      <c r="S187" s="20">
        <f t="array" ref="S187">SUM(IF(Period=Q$4,IF(Category=$A$164,IF(Provider=$B187,Responses))))</f>
        <v>6</v>
      </c>
      <c r="T187" s="20"/>
      <c r="U187" s="17">
        <f t="shared" si="82"/>
        <v>3.1914893617021276</v>
      </c>
      <c r="V187" s="17"/>
      <c r="W187" s="17">
        <f t="shared" si="73"/>
        <v>0.53475935828876997</v>
      </c>
      <c r="X187" s="17"/>
      <c r="Y187" s="17">
        <f t="array" ref="Y187">SUM(IF(Period=Y$4,IF(Category=$A$164,IF(Provider=$B187,Score))))</f>
        <v>72.900000000000006</v>
      </c>
      <c r="Z187" s="17"/>
      <c r="AA187" s="20">
        <f t="array" ref="AA187">SUM(IF(Period=Y$4,IF(Category=$A$164,IF(Provider=$B187,Responses))))</f>
        <v>6</v>
      </c>
      <c r="AB187" s="20"/>
      <c r="AC187" s="17">
        <f t="shared" si="83"/>
        <v>1.4388157894736842</v>
      </c>
      <c r="AD187" s="17"/>
      <c r="AE187" s="17">
        <f t="shared" si="74"/>
        <v>0.24125758411472698</v>
      </c>
      <c r="AF187" s="17"/>
      <c r="AG187" s="17">
        <f t="array" ref="AG187">SUM(IF(Period=AG$4,IF(Category=$A$164,IF(Provider=$B187,Score))))</f>
        <v>89.4</v>
      </c>
      <c r="AH187" s="17"/>
      <c r="AI187" s="20">
        <f t="array" ref="AI187">SUM(IF(Period=AG$4,IF(Category=$A$164,IF(Provider=$B187,Responses))))</f>
        <v>10</v>
      </c>
      <c r="AJ187" s="20"/>
      <c r="AK187" s="17">
        <f t="shared" si="84"/>
        <v>3.4651162790697678</v>
      </c>
      <c r="AL187" s="17"/>
      <c r="AM187" s="17">
        <f t="shared" si="75"/>
        <v>0.57901554404145072</v>
      </c>
      <c r="AN187" s="17"/>
      <c r="AO187" s="17">
        <f t="array" ref="AO187">SUM(IF(Period=AO$4,IF(Category=$A$164,IF(Provider=$B187,Score))))</f>
        <v>85.9</v>
      </c>
      <c r="AP187" s="17"/>
      <c r="AQ187" s="20">
        <f t="array" ref="AQ187">SUM(IF(Period=AO$4,IF(Category=$A$164,IF(Provider=$B187,Responses))))</f>
        <v>8</v>
      </c>
      <c r="AR187" s="20"/>
      <c r="AS187" s="17">
        <f t="shared" si="85"/>
        <v>3.9953488372093027</v>
      </c>
      <c r="AT187" s="17"/>
      <c r="AU187" s="17">
        <f t="shared" si="76"/>
        <v>0.66978557504873293</v>
      </c>
      <c r="AV187" s="17"/>
      <c r="AW187" s="17">
        <f t="array" ref="AW187">SUM(IF(Period=AW$4,IF(Category=$A$164,IF(Provider=$B187,Score))))</f>
        <v>73.8</v>
      </c>
      <c r="AX187" s="17"/>
      <c r="AY187" s="20">
        <f t="array" ref="AY187">SUM(IF(Period=AW$4,IF(Category=$A$164,IF(Provider=$B187,Responses))))</f>
        <v>5</v>
      </c>
      <c r="AZ187" s="20"/>
      <c r="BA187" s="17">
        <f t="shared" si="86"/>
        <v>1.7004608294930876</v>
      </c>
      <c r="BB187" s="17"/>
      <c r="BC187" s="17">
        <f t="shared" si="77"/>
        <v>0.28341013824884792</v>
      </c>
      <c r="BD187" s="17"/>
      <c r="BE187" s="17">
        <f t="array" ref="BE187">SUM(IF(Period=BE$4,IF(Category=$A$164,IF(Provider=$B187,Score))))</f>
        <v>88.3</v>
      </c>
      <c r="BF187" s="17"/>
      <c r="BG187" s="20">
        <f t="array" ref="BG187">SUM(IF(Period=BE$4,IF(Category=$A$164,IF(Provider=$B187,Responses))))</f>
        <v>8</v>
      </c>
      <c r="BH187" s="20"/>
      <c r="BI187" s="17">
        <f t="shared" si="87"/>
        <v>2.9805907172995778</v>
      </c>
      <c r="BJ187" s="17"/>
      <c r="BK187" s="17">
        <f t="shared" si="78"/>
        <v>0.49922261484098934</v>
      </c>
      <c r="BL187" s="17"/>
      <c r="BM187" s="17">
        <f t="array" ref="BM187">SUM(IF(Period=BM$4,IF(Category=$A$164,IF(Provider=$B187,Score))))</f>
        <v>84.6</v>
      </c>
      <c r="BN187" s="17"/>
      <c r="BO187" s="20">
        <f t="array" ref="BO187">SUM(IF(Period=BM$4,IF(Category=$A$164,IF(Provider=$B187,Responses))))</f>
        <v>15</v>
      </c>
      <c r="BP187" s="20"/>
      <c r="BQ187" s="17">
        <f t="shared" si="88"/>
        <v>5.4463519313304714</v>
      </c>
      <c r="BR187" s="17"/>
      <c r="BS187" s="17">
        <f t="shared" si="79"/>
        <v>0.9155844155844155</v>
      </c>
      <c r="BT187" s="17"/>
      <c r="BU187" s="17">
        <f t="array" ref="BU187">SUM(IF(Period=BU$4,IF(Category=$A$164,IF(Provider=$B187,Score))))</f>
        <v>81.3</v>
      </c>
      <c r="BV187" s="17"/>
      <c r="BW187" s="20">
        <f t="array" ref="BW187">SUM(IF(Period=BU$4,IF(Category=$A$164,IF(Provider=$B187,Responses))))</f>
        <v>5</v>
      </c>
      <c r="BX187" s="20"/>
      <c r="BY187" s="17">
        <f t="shared" si="89"/>
        <v>1.6797520661157024</v>
      </c>
      <c r="BZ187" s="17"/>
      <c r="CA187" s="17">
        <f t="shared" si="80"/>
        <v>0.28092605390463027</v>
      </c>
    </row>
    <row r="188" spans="2:79" outlineLevel="1" x14ac:dyDescent="0.25">
      <c r="B188" t="s">
        <v>19</v>
      </c>
      <c r="C188" s="17">
        <v>0</v>
      </c>
      <c r="D188" s="17"/>
      <c r="E188" s="17">
        <v>0</v>
      </c>
      <c r="F188" s="17"/>
      <c r="G188" s="17">
        <v>0</v>
      </c>
      <c r="H188" s="17"/>
      <c r="I188" s="17">
        <f t="array" ref="I188">SUM(IF(Period=I$4,IF(Category=$A$164,IF(Provider=$B188,Score))))</f>
        <v>81.3</v>
      </c>
      <c r="J188" s="17"/>
      <c r="K188" s="20">
        <f t="array" ref="K188">SUM(IF(Period=I$4,IF(Category=$A$164,IF(Provider=$B188,Responses))))</f>
        <v>4</v>
      </c>
      <c r="L188" s="20"/>
      <c r="M188" s="17">
        <f t="shared" si="81"/>
        <v>1.6099009900990098</v>
      </c>
      <c r="N188" s="17"/>
      <c r="O188" s="17">
        <f t="shared" si="72"/>
        <v>0.26898263027295283</v>
      </c>
      <c r="P188" s="17"/>
      <c r="Q188" s="17">
        <f t="array" ref="Q188">SUM(IF(Period=Q$4,IF(Category=$A$164,IF(Provider=$B188,Score))))</f>
        <v>76.599999999999994</v>
      </c>
      <c r="R188" s="17"/>
      <c r="S188" s="20">
        <f t="array" ref="S188">SUM(IF(Period=Q$4,IF(Category=$A$164,IF(Provider=$B188,Responses))))</f>
        <v>4</v>
      </c>
      <c r="T188" s="20"/>
      <c r="U188" s="17">
        <f t="shared" si="82"/>
        <v>1.629787234042553</v>
      </c>
      <c r="V188" s="17"/>
      <c r="W188" s="17">
        <f t="shared" si="73"/>
        <v>0.2730837789661319</v>
      </c>
      <c r="X188" s="17"/>
      <c r="Y188" s="17">
        <f t="array" ref="Y188">SUM(IF(Period=Y$4,IF(Category=$A$164,IF(Provider=$B188,Score))))</f>
        <v>100</v>
      </c>
      <c r="Z188" s="17"/>
      <c r="AA188" s="20">
        <f t="array" ref="AA188">SUM(IF(Period=Y$4,IF(Category=$A$164,IF(Provider=$B188,Responses))))</f>
        <v>3</v>
      </c>
      <c r="AB188" s="20"/>
      <c r="AC188" s="17">
        <f t="shared" si="83"/>
        <v>0.98684210526315785</v>
      </c>
      <c r="AD188" s="17"/>
      <c r="AE188" s="17">
        <f t="shared" si="74"/>
        <v>0.16547159404302261</v>
      </c>
      <c r="AF188" s="17"/>
      <c r="AG188" s="17">
        <f t="array" ref="AG188">SUM(IF(Period=AG$4,IF(Category=$A$164,IF(Provider=$B188,Score))))</f>
        <v>85.9</v>
      </c>
      <c r="AH188" s="17"/>
      <c r="AI188" s="20">
        <f t="array" ref="AI188">SUM(IF(Period=AG$4,IF(Category=$A$164,IF(Provider=$B188,Responses))))</f>
        <v>8</v>
      </c>
      <c r="AJ188" s="20"/>
      <c r="AK188" s="17">
        <f t="shared" si="84"/>
        <v>2.6635658914728682</v>
      </c>
      <c r="AL188" s="17"/>
      <c r="AM188" s="17">
        <f t="shared" si="75"/>
        <v>0.44507772020725395</v>
      </c>
      <c r="AN188" s="17"/>
      <c r="AO188" s="17">
        <f t="array" ref="AO188">SUM(IF(Period=AO$4,IF(Category=$A$164,IF(Provider=$B188,Score))))</f>
        <v>29.2</v>
      </c>
      <c r="AP188" s="17"/>
      <c r="AQ188" s="20">
        <f t="array" ref="AQ188">SUM(IF(Period=AO$4,IF(Category=$A$164,IF(Provider=$B188,Responses))))</f>
        <v>3</v>
      </c>
      <c r="AR188" s="20"/>
      <c r="AS188" s="17">
        <f t="shared" si="85"/>
        <v>0.50930232558139532</v>
      </c>
      <c r="AT188" s="17"/>
      <c r="AU188" s="17">
        <f t="shared" si="76"/>
        <v>8.538011695906432E-2</v>
      </c>
      <c r="AV188" s="17"/>
      <c r="AW188" s="17">
        <f t="array" ref="AW188">SUM(IF(Period=AW$4,IF(Category=$A$164,IF(Provider=$B188,Score))))</f>
        <v>86.6</v>
      </c>
      <c r="AX188" s="17"/>
      <c r="AY188" s="20">
        <f t="array" ref="AY188">SUM(IF(Period=AW$4,IF(Category=$A$164,IF(Provider=$B188,Responses))))</f>
        <v>7</v>
      </c>
      <c r="AZ188" s="20"/>
      <c r="BA188" s="17">
        <f t="shared" si="86"/>
        <v>2.7935483870967741</v>
      </c>
      <c r="BB188" s="17"/>
      <c r="BC188" s="17">
        <f t="shared" si="77"/>
        <v>0.46559139784946235</v>
      </c>
      <c r="BD188" s="17"/>
      <c r="BE188" s="17">
        <f t="array" ref="BE188">SUM(IF(Period=BE$4,IF(Category=$A$164,IF(Provider=$B188,Score))))</f>
        <v>68.099999999999994</v>
      </c>
      <c r="BF188" s="17"/>
      <c r="BG188" s="20">
        <f t="array" ref="BG188">SUM(IF(Period=BE$4,IF(Category=$A$164,IF(Provider=$B188,Responses))))</f>
        <v>9</v>
      </c>
      <c r="BH188" s="20"/>
      <c r="BI188" s="17">
        <f t="shared" si="87"/>
        <v>2.5860759493670886</v>
      </c>
      <c r="BJ188" s="17"/>
      <c r="BK188" s="17">
        <f t="shared" si="78"/>
        <v>0.4331448763250883</v>
      </c>
      <c r="BL188" s="17"/>
      <c r="BM188" s="17">
        <f t="array" ref="BM188">SUM(IF(Period=BM$4,IF(Category=$A$164,IF(Provider=$B188,Score))))</f>
        <v>81.3</v>
      </c>
      <c r="BN188" s="17"/>
      <c r="BO188" s="20">
        <f t="array" ref="BO188">SUM(IF(Period=BM$4,IF(Category=$A$164,IF(Provider=$B188,Responses))))</f>
        <v>6</v>
      </c>
      <c r="BP188" s="20"/>
      <c r="BQ188" s="17">
        <f t="shared" si="88"/>
        <v>2.0935622317596567</v>
      </c>
      <c r="BR188" s="17"/>
      <c r="BS188" s="17">
        <f t="shared" si="79"/>
        <v>0.35194805194805195</v>
      </c>
      <c r="BT188" s="17"/>
      <c r="BU188" s="17">
        <f t="array" ref="BU188">SUM(IF(Period=BU$4,IF(Category=$A$164,IF(Provider=$B188,Score))))</f>
        <v>82.8</v>
      </c>
      <c r="BV188" s="17"/>
      <c r="BW188" s="20">
        <f t="array" ref="BW188">SUM(IF(Period=BU$4,IF(Category=$A$164,IF(Provider=$B188,Responses))))</f>
        <v>8</v>
      </c>
      <c r="BX188" s="20"/>
      <c r="BY188" s="17">
        <f t="shared" si="89"/>
        <v>2.737190082644628</v>
      </c>
      <c r="BZ188" s="17"/>
      <c r="CA188" s="17">
        <f t="shared" si="80"/>
        <v>0.45777470628887351</v>
      </c>
    </row>
    <row r="189" spans="2:79" outlineLevel="1" x14ac:dyDescent="0.25">
      <c r="B189" t="s">
        <v>34</v>
      </c>
      <c r="C189" s="17">
        <v>0</v>
      </c>
      <c r="D189" s="17"/>
      <c r="E189" s="17">
        <v>0</v>
      </c>
      <c r="F189" s="17"/>
      <c r="G189" s="17">
        <v>0</v>
      </c>
      <c r="H189" s="17"/>
      <c r="I189" s="17">
        <f t="array" ref="I189">SUM(IF(Period=I$4,IF(Category=$A$164,IF(Provider=$B189,Score))))</f>
        <v>75</v>
      </c>
      <c r="J189" s="17"/>
      <c r="K189" s="20">
        <f t="array" ref="K189">SUM(IF(Period=I$4,IF(Category=$A$164,IF(Provider=$B189,Responses))))</f>
        <v>1</v>
      </c>
      <c r="L189" s="20"/>
      <c r="M189" s="17">
        <f t="shared" si="81"/>
        <v>0.37128712871287128</v>
      </c>
      <c r="N189" s="17"/>
      <c r="O189" s="17">
        <f t="shared" si="72"/>
        <v>6.2034739454094295E-2</v>
      </c>
      <c r="P189" s="17"/>
      <c r="Q189" s="17">
        <f t="array" ref="Q189">SUM(IF(Period=Q$4,IF(Category=$A$164,IF(Provider=$B189,Score))))</f>
        <v>92.2</v>
      </c>
      <c r="R189" s="17"/>
      <c r="S189" s="20">
        <f t="array" ref="S189">SUM(IF(Period=Q$4,IF(Category=$A$164,IF(Provider=$B189,Responses))))</f>
        <v>4</v>
      </c>
      <c r="T189" s="20"/>
      <c r="U189" s="17">
        <f t="shared" si="82"/>
        <v>1.9617021276595745</v>
      </c>
      <c r="V189" s="17"/>
      <c r="W189" s="17">
        <f t="shared" si="73"/>
        <v>0.32869875222816397</v>
      </c>
      <c r="X189" s="17"/>
      <c r="Y189" s="17">
        <f t="array" ref="Y189">SUM(IF(Period=Y$4,IF(Category=$A$164,IF(Provider=$B189,Score))))</f>
        <v>74.5</v>
      </c>
      <c r="Z189" s="17"/>
      <c r="AA189" s="20">
        <f t="array" ref="AA189">SUM(IF(Period=Y$4,IF(Category=$A$164,IF(Provider=$B189,Responses))))</f>
        <v>12</v>
      </c>
      <c r="AB189" s="20"/>
      <c r="AC189" s="17">
        <f t="shared" si="83"/>
        <v>2.9407894736842102</v>
      </c>
      <c r="AD189" s="17"/>
      <c r="AE189" s="17">
        <f t="shared" si="74"/>
        <v>0.49310535024820734</v>
      </c>
      <c r="AF189" s="17"/>
      <c r="AG189" s="17">
        <f t="array" ref="AG189">SUM(IF(Period=AG$4,IF(Category=$A$164,IF(Provider=$B189,Score))))</f>
        <v>92.2</v>
      </c>
      <c r="AH189" s="17"/>
      <c r="AI189" s="20">
        <f t="array" ref="AI189">SUM(IF(Period=AG$4,IF(Category=$A$164,IF(Provider=$B189,Responses))))</f>
        <v>8</v>
      </c>
      <c r="AJ189" s="20"/>
      <c r="AK189" s="17">
        <f t="shared" si="84"/>
        <v>2.8589147286821706</v>
      </c>
      <c r="AL189" s="17"/>
      <c r="AM189" s="17">
        <f t="shared" si="75"/>
        <v>0.47772020725388603</v>
      </c>
      <c r="AN189" s="17"/>
      <c r="AO189" s="17">
        <f t="array" ref="AO189">SUM(IF(Period=AO$4,IF(Category=$A$164,IF(Provider=$B189,Score))))</f>
        <v>87.5</v>
      </c>
      <c r="AP189" s="17"/>
      <c r="AQ189" s="20">
        <f t="array" ref="AQ189">SUM(IF(Period=AO$4,IF(Category=$A$164,IF(Provider=$B189,Responses))))</f>
        <v>2</v>
      </c>
      <c r="AR189" s="20"/>
      <c r="AS189" s="17">
        <f t="shared" si="85"/>
        <v>1.0174418604651163</v>
      </c>
      <c r="AT189" s="17"/>
      <c r="AU189" s="17">
        <f t="shared" si="76"/>
        <v>0.1705653021442495</v>
      </c>
      <c r="AV189" s="17"/>
      <c r="AW189" s="17">
        <f t="array" ref="AW189">SUM(IF(Period=AW$4,IF(Category=$A$164,IF(Provider=$B189,Score))))</f>
        <v>77.5</v>
      </c>
      <c r="AX189" s="17"/>
      <c r="AY189" s="20">
        <f t="array" ref="AY189">SUM(IF(Period=AW$4,IF(Category=$A$164,IF(Provider=$B189,Responses))))</f>
        <v>5</v>
      </c>
      <c r="AZ189" s="20"/>
      <c r="BA189" s="17">
        <f t="shared" si="86"/>
        <v>1.7857142857142858</v>
      </c>
      <c r="BB189" s="17"/>
      <c r="BC189" s="17">
        <f t="shared" si="77"/>
        <v>0.29761904761904762</v>
      </c>
      <c r="BD189" s="17"/>
      <c r="BE189" s="17">
        <f t="array" ref="BE189">SUM(IF(Period=BE$4,IF(Category=$A$164,IF(Provider=$B189,Score))))</f>
        <v>89.1</v>
      </c>
      <c r="BF189" s="17"/>
      <c r="BG189" s="20">
        <f t="array" ref="BG189">SUM(IF(Period=BE$4,IF(Category=$A$164,IF(Provider=$B189,Responses))))</f>
        <v>8</v>
      </c>
      <c r="BH189" s="20"/>
      <c r="BI189" s="17">
        <f t="shared" si="87"/>
        <v>3.0075949367088604</v>
      </c>
      <c r="BJ189" s="17"/>
      <c r="BK189" s="17">
        <f t="shared" si="78"/>
        <v>0.50374558303886918</v>
      </c>
      <c r="BL189" s="17"/>
      <c r="BM189" s="17">
        <f t="array" ref="BM189">SUM(IF(Period=BM$4,IF(Category=$A$164,IF(Provider=$B189,Score))))</f>
        <v>87.5</v>
      </c>
      <c r="BN189" s="17"/>
      <c r="BO189" s="20">
        <f t="array" ref="BO189">SUM(IF(Period=BM$4,IF(Category=$A$164,IF(Provider=$B189,Responses))))</f>
        <v>12</v>
      </c>
      <c r="BP189" s="20"/>
      <c r="BQ189" s="17">
        <f t="shared" si="88"/>
        <v>4.5064377682403434</v>
      </c>
      <c r="BR189" s="17"/>
      <c r="BS189" s="17">
        <f t="shared" si="79"/>
        <v>0.75757575757575757</v>
      </c>
      <c r="BT189" s="17"/>
      <c r="BU189" s="17">
        <f t="array" ref="BU189">SUM(IF(Period=BU$4,IF(Category=$A$164,IF(Provider=$B189,Score))))</f>
        <v>95.8</v>
      </c>
      <c r="BV189" s="17"/>
      <c r="BW189" s="20">
        <f t="array" ref="BW189">SUM(IF(Period=BU$4,IF(Category=$A$164,IF(Provider=$B189,Responses))))</f>
        <v>3</v>
      </c>
      <c r="BX189" s="20"/>
      <c r="BY189" s="17">
        <f t="shared" si="89"/>
        <v>1.1876033057851241</v>
      </c>
      <c r="BZ189" s="17"/>
      <c r="CA189" s="17">
        <f t="shared" si="80"/>
        <v>0.19861782999308913</v>
      </c>
    </row>
    <row r="190" spans="2:79" outlineLevel="1" x14ac:dyDescent="0.25">
      <c r="B190" t="s">
        <v>41</v>
      </c>
      <c r="C190" s="17">
        <v>0</v>
      </c>
      <c r="D190" s="17"/>
      <c r="E190" s="17">
        <v>0</v>
      </c>
      <c r="F190" s="17"/>
      <c r="G190" s="17">
        <v>0</v>
      </c>
      <c r="H190" s="17"/>
      <c r="I190" s="17">
        <f t="array" ref="I190">SUM(IF(Period=I$4,IF(Category=$A$164,IF(Provider=$B190,Score))))</f>
        <v>58.3</v>
      </c>
      <c r="J190" s="17"/>
      <c r="K190" s="20">
        <f t="array" ref="K190">SUM(IF(Period=I$4,IF(Category=$A$164,IF(Provider=$B190,Responses))))</f>
        <v>3</v>
      </c>
      <c r="L190" s="20"/>
      <c r="M190" s="17">
        <f t="shared" si="81"/>
        <v>0.86584158415841572</v>
      </c>
      <c r="N190" s="17"/>
      <c r="O190" s="17">
        <f t="shared" si="72"/>
        <v>0.14466501240694787</v>
      </c>
      <c r="P190" s="17"/>
      <c r="Q190" s="17">
        <f t="array" ref="Q190">SUM(IF(Period=Q$4,IF(Category=$A$164,IF(Provider=$B190,Score))))</f>
        <v>67.5</v>
      </c>
      <c r="R190" s="17"/>
      <c r="S190" s="20">
        <f t="array" ref="S190">SUM(IF(Period=Q$4,IF(Category=$A$164,IF(Provider=$B190,Responses))))</f>
        <v>5</v>
      </c>
      <c r="T190" s="20"/>
      <c r="U190" s="17">
        <f t="shared" si="82"/>
        <v>1.7952127659574468</v>
      </c>
      <c r="V190" s="17"/>
      <c r="W190" s="17">
        <f t="shared" si="73"/>
        <v>0.30080213903743319</v>
      </c>
      <c r="X190" s="17"/>
      <c r="Y190" s="17">
        <f t="array" ref="Y190">SUM(IF(Period=Y$4,IF(Category=$A$164,IF(Provider=$B190,Score))))</f>
        <v>85.2</v>
      </c>
      <c r="Z190" s="17"/>
      <c r="AA190" s="20">
        <f t="array" ref="AA190">SUM(IF(Period=Y$4,IF(Category=$A$164,IF(Provider=$B190,Responses))))</f>
        <v>8</v>
      </c>
      <c r="AB190" s="20"/>
      <c r="AC190" s="17">
        <f t="shared" si="83"/>
        <v>2.2421052631578946</v>
      </c>
      <c r="AD190" s="17"/>
      <c r="AE190" s="17">
        <f t="shared" si="74"/>
        <v>0.37595146166574744</v>
      </c>
      <c r="AF190" s="17"/>
      <c r="AG190" s="17">
        <f t="array" ref="AG190">SUM(IF(Period=AG$4,IF(Category=$A$164,IF(Provider=$B190,Score))))</f>
        <v>95.8</v>
      </c>
      <c r="AH190" s="17"/>
      <c r="AI190" s="20">
        <f t="array" ref="AI190">SUM(IF(Period=AG$4,IF(Category=$A$164,IF(Provider=$B190,Responses))))</f>
        <v>6</v>
      </c>
      <c r="AJ190" s="20"/>
      <c r="AK190" s="17">
        <f t="shared" si="84"/>
        <v>2.2279069767441859</v>
      </c>
      <c r="AL190" s="17"/>
      <c r="AM190" s="17">
        <f t="shared" si="75"/>
        <v>0.37227979274611395</v>
      </c>
      <c r="AN190" s="17"/>
      <c r="AO190" s="17">
        <f t="array" ref="AO190">SUM(IF(Period=AO$4,IF(Category=$A$164,IF(Provider=$B190,Score))))</f>
        <v>75</v>
      </c>
      <c r="AP190" s="17"/>
      <c r="AQ190" s="20">
        <f t="array" ref="AQ190">SUM(IF(Period=AO$4,IF(Category=$A$164,IF(Provider=$B190,Responses))))</f>
        <v>6</v>
      </c>
      <c r="AR190" s="20"/>
      <c r="AS190" s="17">
        <f t="shared" si="85"/>
        <v>2.6162790697674416</v>
      </c>
      <c r="AT190" s="17"/>
      <c r="AU190" s="17">
        <f t="shared" si="76"/>
        <v>0.43859649122807015</v>
      </c>
      <c r="AV190" s="17"/>
      <c r="AW190" s="17">
        <f t="array" ref="AW190">SUM(IF(Period=AW$4,IF(Category=$A$164,IF(Provider=$B190,Score))))</f>
        <v>98.4</v>
      </c>
      <c r="AX190" s="17"/>
      <c r="AY190" s="20">
        <f t="array" ref="AY190">SUM(IF(Period=AW$4,IF(Category=$A$164,IF(Provider=$B190,Responses))))</f>
        <v>4</v>
      </c>
      <c r="AZ190" s="20"/>
      <c r="BA190" s="17">
        <f t="shared" si="86"/>
        <v>1.8138248847926268</v>
      </c>
      <c r="BB190" s="17"/>
      <c r="BC190" s="17">
        <f t="shared" si="77"/>
        <v>0.30230414746543782</v>
      </c>
      <c r="BD190" s="17"/>
      <c r="BE190" s="17">
        <f t="array" ref="BE190">SUM(IF(Period=BE$4,IF(Category=$A$164,IF(Provider=$B190,Score))))</f>
        <v>83</v>
      </c>
      <c r="BF190" s="17"/>
      <c r="BG190" s="20">
        <f t="array" ref="BG190">SUM(IF(Period=BE$4,IF(Category=$A$164,IF(Provider=$B190,Responses))))</f>
        <v>7</v>
      </c>
      <c r="BH190" s="20"/>
      <c r="BI190" s="17">
        <f t="shared" si="87"/>
        <v>2.4514767932489452</v>
      </c>
      <c r="BJ190" s="17"/>
      <c r="BK190" s="17">
        <f t="shared" si="78"/>
        <v>0.41060070671378091</v>
      </c>
      <c r="BL190" s="17"/>
      <c r="BM190" s="17">
        <f t="array" ref="BM190">SUM(IF(Period=BM$4,IF(Category=$A$164,IF(Provider=$B190,Score))))</f>
        <v>82.8</v>
      </c>
      <c r="BN190" s="17"/>
      <c r="BO190" s="20">
        <f t="array" ref="BO190">SUM(IF(Period=BM$4,IF(Category=$A$164,IF(Provider=$B190,Responses))))</f>
        <v>4</v>
      </c>
      <c r="BP190" s="20"/>
      <c r="BQ190" s="17">
        <f t="shared" si="88"/>
        <v>1.4214592274678111</v>
      </c>
      <c r="BR190" s="17"/>
      <c r="BS190" s="17">
        <f t="shared" si="79"/>
        <v>0.23896103896103896</v>
      </c>
      <c r="BT190" s="17"/>
      <c r="BU190" s="17">
        <f t="array" ref="BU190">SUM(IF(Period=BU$4,IF(Category=$A$164,IF(Provider=$B190,Score))))</f>
        <v>83.3</v>
      </c>
      <c r="BV190" s="17"/>
      <c r="BW190" s="20">
        <f t="array" ref="BW190">SUM(IF(Period=BU$4,IF(Category=$A$164,IF(Provider=$B190,Responses))))</f>
        <v>6</v>
      </c>
      <c r="BX190" s="20"/>
      <c r="BY190" s="17">
        <f t="shared" si="89"/>
        <v>2.0652892561983469</v>
      </c>
      <c r="BZ190" s="17"/>
      <c r="CA190" s="17">
        <f t="shared" si="80"/>
        <v>0.34540428472702139</v>
      </c>
    </row>
    <row r="191" spans="2:79" outlineLevel="1" x14ac:dyDescent="0.25">
      <c r="B191" t="s">
        <v>13</v>
      </c>
      <c r="C191" s="17">
        <v>0</v>
      </c>
      <c r="D191" s="17"/>
      <c r="E191" s="17">
        <v>0</v>
      </c>
      <c r="F191" s="17"/>
      <c r="G191" s="17">
        <v>0</v>
      </c>
      <c r="H191" s="17"/>
      <c r="I191" s="17">
        <f t="array" ref="I191">SUM(IF(Period=I$4,IF(Category=$A$164,IF(Provider=$B191,Score))))</f>
        <v>97.9</v>
      </c>
      <c r="J191" s="17"/>
      <c r="K191" s="20">
        <f t="array" ref="K191">SUM(IF(Period=I$4,IF(Category=$A$164,IF(Provider=$B191,Responses))))</f>
        <v>6</v>
      </c>
      <c r="L191" s="20"/>
      <c r="M191" s="17">
        <f t="shared" si="81"/>
        <v>2.9079207920792078</v>
      </c>
      <c r="N191" s="17"/>
      <c r="O191" s="17">
        <f t="shared" si="72"/>
        <v>0.48585607940446651</v>
      </c>
      <c r="P191" s="17"/>
      <c r="Q191" s="17">
        <f t="array" ref="Q191">SUM(IF(Period=Q$4,IF(Category=$A$164,IF(Provider=$B191,Score))))</f>
        <v>79.3</v>
      </c>
      <c r="R191" s="17"/>
      <c r="S191" s="20">
        <f t="array" ref="S191">SUM(IF(Period=Q$4,IF(Category=$A$164,IF(Provider=$B191,Responses))))</f>
        <v>16</v>
      </c>
      <c r="T191" s="20"/>
      <c r="U191" s="17">
        <f t="shared" si="82"/>
        <v>6.7489361702127653</v>
      </c>
      <c r="V191" s="17"/>
      <c r="W191" s="17">
        <f t="shared" si="73"/>
        <v>1.1308377896613189</v>
      </c>
      <c r="X191" s="17"/>
      <c r="Y191" s="17">
        <f t="array" ref="Y191">SUM(IF(Period=Y$4,IF(Category=$A$164,IF(Provider=$B191,Score))))</f>
        <v>91.2</v>
      </c>
      <c r="Z191" s="17"/>
      <c r="AA191" s="20">
        <f t="array" ref="AA191">SUM(IF(Period=Y$4,IF(Category=$A$164,IF(Provider=$B191,Responses))))</f>
        <v>12</v>
      </c>
      <c r="AB191" s="20"/>
      <c r="AC191" s="17">
        <f t="shared" si="83"/>
        <v>3.6</v>
      </c>
      <c r="AD191" s="17"/>
      <c r="AE191" s="17">
        <f t="shared" si="74"/>
        <v>0.60364037506894652</v>
      </c>
      <c r="AF191" s="17"/>
      <c r="AG191" s="17">
        <f t="array" ref="AG191">SUM(IF(Period=AG$4,IF(Category=$A$164,IF(Provider=$B191,Score))))</f>
        <v>86.4</v>
      </c>
      <c r="AH191" s="17"/>
      <c r="AI191" s="20">
        <f t="array" ref="AI191">SUM(IF(Period=AG$4,IF(Category=$A$164,IF(Provider=$B191,Responses))))</f>
        <v>17</v>
      </c>
      <c r="AJ191" s="20"/>
      <c r="AK191" s="17">
        <f t="shared" si="84"/>
        <v>5.6930232558139542</v>
      </c>
      <c r="AL191" s="17"/>
      <c r="AM191" s="17">
        <f t="shared" si="75"/>
        <v>0.95129533678756473</v>
      </c>
      <c r="AN191" s="17"/>
      <c r="AO191" s="17">
        <f t="array" ref="AO191">SUM(IF(Period=AO$4,IF(Category=$A$164,IF(Provider=$B191,Score))))</f>
        <v>100</v>
      </c>
      <c r="AP191" s="17"/>
      <c r="AQ191" s="20">
        <f t="array" ref="AQ191">SUM(IF(Period=AO$4,IF(Category=$A$164,IF(Provider=$B191,Responses))))</f>
        <v>4</v>
      </c>
      <c r="AR191" s="20"/>
      <c r="AS191" s="17">
        <f t="shared" si="85"/>
        <v>2.3255813953488373</v>
      </c>
      <c r="AT191" s="17"/>
      <c r="AU191" s="17">
        <f t="shared" si="76"/>
        <v>0.38986354775828458</v>
      </c>
      <c r="AV191" s="17"/>
      <c r="AW191" s="17">
        <f t="array" ref="AW191">SUM(IF(Period=AW$4,IF(Category=$A$164,IF(Provider=$B191,Score))))</f>
        <v>69.5</v>
      </c>
      <c r="AX191" s="17"/>
      <c r="AY191" s="20">
        <f t="array" ref="AY191">SUM(IF(Period=AW$4,IF(Category=$A$164,IF(Provider=$B191,Responses))))</f>
        <v>17</v>
      </c>
      <c r="AZ191" s="20"/>
      <c r="BA191" s="17">
        <f t="shared" si="86"/>
        <v>5.4447004608294929</v>
      </c>
      <c r="BB191" s="17"/>
      <c r="BC191" s="17">
        <f t="shared" si="77"/>
        <v>0.90745007680491552</v>
      </c>
      <c r="BD191" s="17"/>
      <c r="BE191" s="17">
        <f t="array" ref="BE191">SUM(IF(Period=BE$4,IF(Category=$A$164,IF(Provider=$B191,Score))))</f>
        <v>95.5</v>
      </c>
      <c r="BF191" s="17"/>
      <c r="BG191" s="20">
        <f t="array" ref="BG191">SUM(IF(Period=BE$4,IF(Category=$A$164,IF(Provider=$B191,Responses))))</f>
        <v>11</v>
      </c>
      <c r="BH191" s="20"/>
      <c r="BI191" s="17">
        <f t="shared" si="87"/>
        <v>4.4324894514767932</v>
      </c>
      <c r="BJ191" s="17"/>
      <c r="BK191" s="17">
        <f t="shared" si="78"/>
        <v>0.74240282685512371</v>
      </c>
      <c r="BL191" s="17"/>
      <c r="BM191" s="17">
        <f t="array" ref="BM191">SUM(IF(Period=BM$4,IF(Category=$A$164,IF(Provider=$B191,Score))))</f>
        <v>87.1</v>
      </c>
      <c r="BN191" s="17"/>
      <c r="BO191" s="20">
        <f t="array" ref="BO191">SUM(IF(Period=BM$4,IF(Category=$A$164,IF(Provider=$B191,Responses))))</f>
        <v>14</v>
      </c>
      <c r="BP191" s="20"/>
      <c r="BQ191" s="17">
        <f t="shared" si="88"/>
        <v>5.2334763948497853</v>
      </c>
      <c r="BR191" s="17"/>
      <c r="BS191" s="17">
        <f t="shared" si="79"/>
        <v>0.8797979797979798</v>
      </c>
      <c r="BT191" s="17"/>
      <c r="BU191" s="17">
        <f t="array" ref="BU191">SUM(IF(Period=BU$4,IF(Category=$A$164,IF(Provider=$B191,Score))))</f>
        <v>77.599999999999994</v>
      </c>
      <c r="BV191" s="17"/>
      <c r="BW191" s="20">
        <f t="array" ref="BW191">SUM(IF(Period=BU$4,IF(Category=$A$164,IF(Provider=$B191,Responses))))</f>
        <v>17</v>
      </c>
      <c r="BX191" s="20"/>
      <c r="BY191" s="17">
        <f t="shared" si="89"/>
        <v>5.4512396694214873</v>
      </c>
      <c r="BZ191" s="17"/>
      <c r="CA191" s="17">
        <f t="shared" si="80"/>
        <v>0.91167933655839672</v>
      </c>
    </row>
    <row r="192" spans="2:79" outlineLevel="1" x14ac:dyDescent="0.25">
      <c r="B192" t="s">
        <v>25</v>
      </c>
      <c r="C192" s="17">
        <v>0</v>
      </c>
      <c r="D192" s="17"/>
      <c r="E192" s="17">
        <v>0</v>
      </c>
      <c r="F192" s="17"/>
      <c r="G192" s="17">
        <v>0</v>
      </c>
      <c r="H192" s="17"/>
      <c r="I192" s="17">
        <f t="array" ref="I192">SUM(IF(Period=I$4,IF(Category=$A$164,IF(Provider=$B192,Score))))</f>
        <v>82.3</v>
      </c>
      <c r="J192" s="17"/>
      <c r="K192" s="20">
        <f t="array" ref="K192">SUM(IF(Period=I$4,IF(Category=$A$164,IF(Provider=$B192,Responses))))</f>
        <v>6</v>
      </c>
      <c r="L192" s="20"/>
      <c r="M192" s="17">
        <f t="shared" si="81"/>
        <v>2.4445544554455445</v>
      </c>
      <c r="N192" s="17"/>
      <c r="O192" s="17">
        <f t="shared" si="72"/>
        <v>0.4084367245657568</v>
      </c>
      <c r="P192" s="17"/>
      <c r="Q192" s="17">
        <f t="array" ref="Q192">SUM(IF(Period=Q$4,IF(Category=$A$164,IF(Provider=$B192,Score))))</f>
        <v>82</v>
      </c>
      <c r="R192" s="17"/>
      <c r="S192" s="20">
        <f t="array" ref="S192">SUM(IF(Period=Q$4,IF(Category=$A$164,IF(Provider=$B192,Responses))))</f>
        <v>8</v>
      </c>
      <c r="T192" s="20"/>
      <c r="U192" s="17">
        <f t="shared" si="82"/>
        <v>3.4893617021276593</v>
      </c>
      <c r="V192" s="17"/>
      <c r="W192" s="17">
        <f t="shared" si="73"/>
        <v>0.58467023172905519</v>
      </c>
      <c r="X192" s="17"/>
      <c r="Y192" s="17">
        <f t="array" ref="Y192">SUM(IF(Period=Y$4,IF(Category=$A$164,IF(Provider=$B192,Score))))</f>
        <v>79.400000000000006</v>
      </c>
      <c r="Z192" s="17"/>
      <c r="AA192" s="20">
        <f t="array" ref="AA192">SUM(IF(Period=Y$4,IF(Category=$A$164,IF(Provider=$B192,Responses))))</f>
        <v>10</v>
      </c>
      <c r="AB192" s="20"/>
      <c r="AC192" s="17">
        <f t="shared" si="83"/>
        <v>2.611842105263158</v>
      </c>
      <c r="AD192" s="17"/>
      <c r="AE192" s="17">
        <f t="shared" si="74"/>
        <v>0.43794815223386657</v>
      </c>
      <c r="AF192" s="17"/>
      <c r="AG192" s="17">
        <f t="array" ref="AG192">SUM(IF(Period=AG$4,IF(Category=$A$164,IF(Provider=$B192,Score))))</f>
        <v>81.3</v>
      </c>
      <c r="AH192" s="17"/>
      <c r="AI192" s="20">
        <f t="array" ref="AI192">SUM(IF(Period=AG$4,IF(Category=$A$164,IF(Provider=$B192,Responses))))</f>
        <v>5</v>
      </c>
      <c r="AJ192" s="20"/>
      <c r="AK192" s="17">
        <f t="shared" si="84"/>
        <v>1.5755813953488371</v>
      </c>
      <c r="AL192" s="17"/>
      <c r="AM192" s="17">
        <f t="shared" si="75"/>
        <v>0.26327720207253885</v>
      </c>
      <c r="AN192" s="17"/>
      <c r="AO192" s="17">
        <f t="array" ref="AO192">SUM(IF(Period=AO$4,IF(Category=$A$164,IF(Provider=$B192,Score))))</f>
        <v>69.599999999999994</v>
      </c>
      <c r="AP192" s="17"/>
      <c r="AQ192" s="20">
        <f t="array" ref="AQ192">SUM(IF(Period=AO$4,IF(Category=$A$164,IF(Provider=$B192,Responses))))</f>
        <v>7</v>
      </c>
      <c r="AR192" s="20"/>
      <c r="AS192" s="17">
        <f t="shared" si="85"/>
        <v>2.8325581395348838</v>
      </c>
      <c r="AT192" s="17"/>
      <c r="AU192" s="17">
        <f t="shared" si="76"/>
        <v>0.47485380116959058</v>
      </c>
      <c r="AV192" s="17"/>
      <c r="AW192" s="17">
        <f t="array" ref="AW192">SUM(IF(Period=AW$4,IF(Category=$A$164,IF(Provider=$B192,Score))))</f>
        <v>68.8</v>
      </c>
      <c r="AX192" s="17"/>
      <c r="AY192" s="20">
        <f t="array" ref="AY192">SUM(IF(Period=AW$4,IF(Category=$A$164,IF(Provider=$B192,Responses))))</f>
        <v>3</v>
      </c>
      <c r="AZ192" s="20"/>
      <c r="BA192" s="17">
        <f t="shared" si="86"/>
        <v>0.95115207373271893</v>
      </c>
      <c r="BB192" s="17"/>
      <c r="BC192" s="17">
        <f t="shared" si="77"/>
        <v>0.15852534562211981</v>
      </c>
      <c r="BD192" s="17"/>
      <c r="BE192" s="17">
        <f t="array" ref="BE192">SUM(IF(Period=BE$4,IF(Category=$A$164,IF(Provider=$B192,Score))))</f>
        <v>100</v>
      </c>
      <c r="BF192" s="17"/>
      <c r="BG192" s="20">
        <f t="array" ref="BG192">SUM(IF(Period=BE$4,IF(Category=$A$164,IF(Provider=$B192,Responses))))</f>
        <v>1</v>
      </c>
      <c r="BH192" s="20"/>
      <c r="BI192" s="17">
        <f t="shared" si="87"/>
        <v>0.42194092827004215</v>
      </c>
      <c r="BJ192" s="17"/>
      <c r="BK192" s="17">
        <f t="shared" si="78"/>
        <v>7.0671378091872794E-2</v>
      </c>
      <c r="BL192" s="17"/>
      <c r="BM192" s="17">
        <f t="array" ref="BM192">SUM(IF(Period=BM$4,IF(Category=$A$164,IF(Provider=$B192,Score))))</f>
        <v>79.2</v>
      </c>
      <c r="BN192" s="17"/>
      <c r="BO192" s="20">
        <f t="array" ref="BO192">SUM(IF(Period=BM$4,IF(Category=$A$164,IF(Provider=$B192,Responses))))</f>
        <v>3</v>
      </c>
      <c r="BP192" s="20"/>
      <c r="BQ192" s="17">
        <f t="shared" si="88"/>
        <v>1.0197424892703864</v>
      </c>
      <c r="BR192" s="17"/>
      <c r="BS192" s="17">
        <f t="shared" si="79"/>
        <v>0.17142857142857143</v>
      </c>
      <c r="BT192" s="17"/>
      <c r="BU192" s="17">
        <f t="array" ref="BU192">SUM(IF(Period=BU$4,IF(Category=$A$164,IF(Provider=$B192,Score))))</f>
        <v>65.2</v>
      </c>
      <c r="BV192" s="17"/>
      <c r="BW192" s="20">
        <f t="array" ref="BW192">SUM(IF(Period=BU$4,IF(Category=$A$164,IF(Provider=$B192,Responses))))</f>
        <v>7</v>
      </c>
      <c r="BX192" s="20"/>
      <c r="BY192" s="17">
        <f t="shared" si="89"/>
        <v>1.8859504132231406</v>
      </c>
      <c r="BZ192" s="17"/>
      <c r="CA192" s="17">
        <f t="shared" si="80"/>
        <v>0.31541119557705599</v>
      </c>
    </row>
    <row r="193" spans="1:79" outlineLevel="1" x14ac:dyDescent="0.25">
      <c r="B193" t="s">
        <v>43</v>
      </c>
      <c r="C193" s="17">
        <v>0</v>
      </c>
      <c r="D193" s="17"/>
      <c r="E193" s="17">
        <v>0</v>
      </c>
      <c r="F193" s="17"/>
      <c r="G193" s="17">
        <v>0</v>
      </c>
      <c r="H193" s="17"/>
      <c r="I193" s="17">
        <f t="array" ref="I193">SUM(IF(Period=I$4,IF(Category=$A$164,IF(Provider=$B193,Score))))</f>
        <v>12.5</v>
      </c>
      <c r="J193" s="17"/>
      <c r="K193" s="20">
        <f t="array" ref="K193">SUM(IF(Period=I$4,IF(Category=$A$164,IF(Provider=$B193,Responses))))</f>
        <v>9</v>
      </c>
      <c r="L193" s="20"/>
      <c r="M193" s="17">
        <f t="shared" si="81"/>
        <v>0.55693069306930687</v>
      </c>
      <c r="N193" s="17"/>
      <c r="O193" s="17">
        <f t="shared" si="72"/>
        <v>9.3052109181141443E-2</v>
      </c>
      <c r="P193" s="17"/>
      <c r="Q193" s="17">
        <f t="array" ref="Q193">SUM(IF(Period=Q$4,IF(Category=$A$164,IF(Provider=$B193,Score))))</f>
        <v>68.8</v>
      </c>
      <c r="R193" s="17"/>
      <c r="S193" s="20">
        <f t="array" ref="S193">SUM(IF(Period=Q$4,IF(Category=$A$164,IF(Provider=$B193,Responses))))</f>
        <v>9</v>
      </c>
      <c r="T193" s="20"/>
      <c r="U193" s="17">
        <f t="shared" si="82"/>
        <v>3.2936170212765954</v>
      </c>
      <c r="V193" s="17"/>
      <c r="W193" s="17">
        <f t="shared" si="73"/>
        <v>0.5518716577540107</v>
      </c>
      <c r="X193" s="17"/>
      <c r="Y193" s="17">
        <f t="array" ref="Y193">SUM(IF(Period=Y$4,IF(Category=$A$164,IF(Provider=$B193,Score))))</f>
        <v>62.2</v>
      </c>
      <c r="Z193" s="17"/>
      <c r="AA193" s="20">
        <f t="array" ref="AA193">SUM(IF(Period=Y$4,IF(Category=$A$164,IF(Provider=$B193,Responses))))</f>
        <v>19</v>
      </c>
      <c r="AB193" s="20"/>
      <c r="AC193" s="17">
        <f t="shared" si="83"/>
        <v>3.8875000000000002</v>
      </c>
      <c r="AD193" s="17"/>
      <c r="AE193" s="17">
        <f t="shared" si="74"/>
        <v>0.6518477661334805</v>
      </c>
      <c r="AF193" s="17"/>
      <c r="AG193" s="17">
        <f t="array" ref="AG193">SUM(IF(Period=AG$4,IF(Category=$A$164,IF(Provider=$B193,Score))))</f>
        <v>63.8</v>
      </c>
      <c r="AH193" s="17"/>
      <c r="AI193" s="20">
        <f t="array" ref="AI193">SUM(IF(Period=AG$4,IF(Category=$A$164,IF(Provider=$B193,Responses))))</f>
        <v>5</v>
      </c>
      <c r="AJ193" s="20"/>
      <c r="AK193" s="17">
        <f t="shared" si="84"/>
        <v>1.2364341085271318</v>
      </c>
      <c r="AL193" s="17"/>
      <c r="AM193" s="17">
        <f t="shared" si="75"/>
        <v>0.2066062176165803</v>
      </c>
      <c r="AN193" s="17"/>
      <c r="AO193" s="17">
        <f t="array" ref="AO193">SUM(IF(Period=AO$4,IF(Category=$A$164,IF(Provider=$B193,Score))))</f>
        <v>85</v>
      </c>
      <c r="AP193" s="17"/>
      <c r="AQ193" s="20">
        <f t="array" ref="AQ193">SUM(IF(Period=AO$4,IF(Category=$A$164,IF(Provider=$B193,Responses))))</f>
        <v>5</v>
      </c>
      <c r="AR193" s="20"/>
      <c r="AS193" s="17">
        <f t="shared" si="85"/>
        <v>2.4709302325581395</v>
      </c>
      <c r="AT193" s="17"/>
      <c r="AU193" s="17">
        <f t="shared" si="76"/>
        <v>0.41423001949317739</v>
      </c>
      <c r="AV193" s="17"/>
      <c r="AW193" s="17">
        <f t="array" ref="AW193">SUM(IF(Period=AW$4,IF(Category=$A$164,IF(Provider=$B193,Score))))</f>
        <v>67.2</v>
      </c>
      <c r="AX193" s="17"/>
      <c r="AY193" s="20">
        <f t="array" ref="AY193">SUM(IF(Period=AW$4,IF(Category=$A$164,IF(Provider=$B193,Responses))))</f>
        <v>4</v>
      </c>
      <c r="AZ193" s="20"/>
      <c r="BA193" s="17">
        <f t="shared" si="86"/>
        <v>1.2387096774193549</v>
      </c>
      <c r="BB193" s="17"/>
      <c r="BC193" s="17">
        <f t="shared" si="77"/>
        <v>0.20645161290322581</v>
      </c>
      <c r="BD193" s="17"/>
      <c r="BE193" s="17">
        <f t="array" ref="BE193">SUM(IF(Period=BE$4,IF(Category=$A$164,IF(Provider=$B193,Score))))</f>
        <v>98.4</v>
      </c>
      <c r="BF193" s="17"/>
      <c r="BG193" s="20">
        <f t="array" ref="BG193">SUM(IF(Period=BE$4,IF(Category=$A$164,IF(Provider=$B193,Responses))))</f>
        <v>4</v>
      </c>
      <c r="BH193" s="20"/>
      <c r="BI193" s="17">
        <f t="shared" si="87"/>
        <v>1.660759493670886</v>
      </c>
      <c r="BJ193" s="17"/>
      <c r="BK193" s="17">
        <f t="shared" si="78"/>
        <v>0.27816254416961134</v>
      </c>
      <c r="BL193" s="17"/>
      <c r="BM193" s="17">
        <f t="array" ref="BM193">SUM(IF(Period=BM$4,IF(Category=$A$164,IF(Provider=$B193,Score))))</f>
        <v>81.3</v>
      </c>
      <c r="BN193" s="17"/>
      <c r="BO193" s="20">
        <f t="array" ref="BO193">SUM(IF(Period=BM$4,IF(Category=$A$164,IF(Provider=$B193,Responses))))</f>
        <v>1</v>
      </c>
      <c r="BP193" s="20"/>
      <c r="BQ193" s="17">
        <f t="shared" si="88"/>
        <v>0.34892703862660945</v>
      </c>
      <c r="BR193" s="17"/>
      <c r="BS193" s="17">
        <f t="shared" si="79"/>
        <v>5.8658008658008659E-2</v>
      </c>
      <c r="BT193" s="17"/>
      <c r="BU193" s="17">
        <f t="array" ref="BU193">SUM(IF(Period=BU$4,IF(Category=$A$164,IF(Provider=$B193,Score))))</f>
        <v>62.5</v>
      </c>
      <c r="BV193" s="17"/>
      <c r="BW193" s="20">
        <f t="array" ref="BW193">SUM(IF(Period=BU$4,IF(Category=$A$164,IF(Provider=$B193,Responses))))</f>
        <v>11</v>
      </c>
      <c r="BX193" s="20"/>
      <c r="BY193" s="17">
        <f t="shared" si="89"/>
        <v>2.8409090909090908</v>
      </c>
      <c r="BZ193" s="17"/>
      <c r="CA193" s="17">
        <f t="shared" si="80"/>
        <v>0.47512093987560466</v>
      </c>
    </row>
    <row r="194" spans="1:79" outlineLevel="1" x14ac:dyDescent="0.25">
      <c r="B194" t="s">
        <v>29</v>
      </c>
      <c r="C194" s="17">
        <v>0</v>
      </c>
      <c r="D194" s="17"/>
      <c r="E194" s="17">
        <v>0</v>
      </c>
      <c r="F194" s="17"/>
      <c r="G194" s="17">
        <v>0</v>
      </c>
      <c r="H194" s="17"/>
      <c r="I194" s="17">
        <f t="array" ref="I194">SUM(IF(Period=I$4,IF(Category=$A$164,IF(Provider=$B194,Score))))</f>
        <v>78.599999999999994</v>
      </c>
      <c r="J194" s="17"/>
      <c r="K194" s="20">
        <f t="array" ref="K194">SUM(IF(Period=I$4,IF(Category=$A$164,IF(Provider=$B194,Responses))))</f>
        <v>7</v>
      </c>
      <c r="L194" s="20"/>
      <c r="M194" s="17">
        <f t="shared" si="81"/>
        <v>2.723762376237624</v>
      </c>
      <c r="N194" s="17"/>
      <c r="O194" s="17">
        <f t="shared" si="72"/>
        <v>0.45508684863523569</v>
      </c>
      <c r="P194" s="17"/>
      <c r="Q194" s="17">
        <f t="array" ref="Q194">SUM(IF(Period=Q$4,IF(Category=$A$164,IF(Provider=$B194,Score))))</f>
        <v>70.5</v>
      </c>
      <c r="R194" s="17"/>
      <c r="S194" s="20">
        <f t="array" ref="S194">SUM(IF(Period=Q$4,IF(Category=$A$164,IF(Provider=$B194,Responses))))</f>
        <v>7</v>
      </c>
      <c r="T194" s="20"/>
      <c r="U194" s="17">
        <f t="shared" si="82"/>
        <v>2.625</v>
      </c>
      <c r="V194" s="17"/>
      <c r="W194" s="17">
        <f t="shared" si="73"/>
        <v>0.43983957219251335</v>
      </c>
      <c r="X194" s="17"/>
      <c r="Y194" s="17">
        <f t="array" ref="Y194">SUM(IF(Period=Y$4,IF(Category=$A$164,IF(Provider=$B194,Score))))</f>
        <v>77.400000000000006</v>
      </c>
      <c r="Z194" s="17"/>
      <c r="AA194" s="20">
        <f t="array" ref="AA194">SUM(IF(Period=Y$4,IF(Category=$A$164,IF(Provider=$B194,Responses))))</f>
        <v>6</v>
      </c>
      <c r="AB194" s="20"/>
      <c r="AC194" s="17">
        <f t="shared" si="83"/>
        <v>1.5276315789473685</v>
      </c>
      <c r="AD194" s="17"/>
      <c r="AE194" s="17">
        <f t="shared" si="74"/>
        <v>0.256150027578599</v>
      </c>
      <c r="AF194" s="17"/>
      <c r="AG194" s="17">
        <f t="array" ref="AG194">SUM(IF(Period=AG$4,IF(Category=$A$164,IF(Provider=$B194,Score))))</f>
        <v>83</v>
      </c>
      <c r="AH194" s="17"/>
      <c r="AI194" s="20">
        <f t="array" ref="AI194">SUM(IF(Period=AG$4,IF(Category=$A$164,IF(Provider=$B194,Responses))))</f>
        <v>7</v>
      </c>
      <c r="AJ194" s="20"/>
      <c r="AK194" s="17">
        <f t="shared" si="84"/>
        <v>2.251937984496124</v>
      </c>
      <c r="AL194" s="17"/>
      <c r="AM194" s="17">
        <f t="shared" si="75"/>
        <v>0.37629533678756472</v>
      </c>
      <c r="AN194" s="17"/>
      <c r="AO194" s="17">
        <f t="array" ref="AO194">SUM(IF(Period=AO$4,IF(Category=$A$164,IF(Provider=$B194,Score))))</f>
        <v>100</v>
      </c>
      <c r="AP194" s="17"/>
      <c r="AQ194" s="20">
        <f t="array" ref="AQ194">SUM(IF(Period=AO$4,IF(Category=$A$164,IF(Provider=$B194,Responses))))</f>
        <v>2</v>
      </c>
      <c r="AR194" s="20"/>
      <c r="AS194" s="17">
        <f t="shared" si="85"/>
        <v>1.1627906976744187</v>
      </c>
      <c r="AT194" s="17"/>
      <c r="AU194" s="17">
        <f t="shared" si="76"/>
        <v>0.19493177387914229</v>
      </c>
      <c r="AV194" s="17"/>
      <c r="AW194" s="17">
        <f t="array" ref="AW194">SUM(IF(Period=AW$4,IF(Category=$A$164,IF(Provider=$B194,Score))))</f>
        <v>78.099999999999994</v>
      </c>
      <c r="AX194" s="17"/>
      <c r="AY194" s="20">
        <f t="array" ref="AY194">SUM(IF(Period=AW$4,IF(Category=$A$164,IF(Provider=$B194,Responses))))</f>
        <v>4</v>
      </c>
      <c r="AZ194" s="20"/>
      <c r="BA194" s="17">
        <f t="shared" si="86"/>
        <v>1.4396313364055298</v>
      </c>
      <c r="BB194" s="17"/>
      <c r="BC194" s="17">
        <f t="shared" si="77"/>
        <v>0.23993855606758832</v>
      </c>
      <c r="BD194" s="17"/>
      <c r="BE194" s="17">
        <f t="array" ref="BE194">SUM(IF(Period=BE$4,IF(Category=$A$164,IF(Provider=$B194,Score))))</f>
        <v>75</v>
      </c>
      <c r="BF194" s="17"/>
      <c r="BG194" s="20">
        <f t="array" ref="BG194">SUM(IF(Period=BE$4,IF(Category=$A$164,IF(Provider=$B194,Responses))))</f>
        <v>1</v>
      </c>
      <c r="BH194" s="20"/>
      <c r="BI194" s="17">
        <f t="shared" si="87"/>
        <v>0.31645569620253161</v>
      </c>
      <c r="BJ194" s="17"/>
      <c r="BK194" s="17">
        <f t="shared" si="78"/>
        <v>5.3003533568904589E-2</v>
      </c>
      <c r="BL194" s="17"/>
      <c r="BM194" s="17">
        <f t="array" ref="BM194">SUM(IF(Period=BM$4,IF(Category=$A$164,IF(Provider=$B194,Score))))</f>
        <v>89.6</v>
      </c>
      <c r="BN194" s="17"/>
      <c r="BO194" s="20">
        <f t="array" ref="BO194">SUM(IF(Period=BM$4,IF(Category=$A$164,IF(Provider=$B194,Responses))))</f>
        <v>6</v>
      </c>
      <c r="BP194" s="20"/>
      <c r="BQ194" s="17">
        <f t="shared" si="88"/>
        <v>2.3072961373390557</v>
      </c>
      <c r="BR194" s="17"/>
      <c r="BS194" s="17">
        <f t="shared" si="79"/>
        <v>0.38787878787878788</v>
      </c>
      <c r="BT194" s="17"/>
      <c r="BU194" s="17">
        <f t="array" ref="BU194">SUM(IF(Period=BU$4,IF(Category=$A$164,IF(Provider=$B194,Score))))</f>
        <v>95.3</v>
      </c>
      <c r="BV194" s="17"/>
      <c r="BW194" s="20">
        <f t="array" ref="BW194">SUM(IF(Period=BU$4,IF(Category=$A$164,IF(Provider=$B194,Responses))))</f>
        <v>4</v>
      </c>
      <c r="BX194" s="20"/>
      <c r="BY194" s="17">
        <f t="shared" si="89"/>
        <v>1.5752066115702479</v>
      </c>
      <c r="BZ194" s="17"/>
      <c r="CA194" s="17">
        <f t="shared" si="80"/>
        <v>0.26344160331720801</v>
      </c>
    </row>
    <row r="195" spans="1:79" outlineLevel="1" x14ac:dyDescent="0.25">
      <c r="B195" t="s">
        <v>20</v>
      </c>
      <c r="C195" s="17">
        <v>0</v>
      </c>
      <c r="D195" s="17"/>
      <c r="E195" s="17">
        <v>0</v>
      </c>
      <c r="F195" s="17"/>
      <c r="G195" s="17">
        <v>0</v>
      </c>
      <c r="H195" s="17"/>
      <c r="I195" s="17">
        <f t="array" ref="I195">SUM(IF(Period=I$4,IF(Category=$A$164,IF(Provider=$B195,Score))))</f>
        <v>85</v>
      </c>
      <c r="J195" s="17"/>
      <c r="K195" s="20">
        <f t="array" ref="K195">SUM(IF(Period=I$4,IF(Category=$A$164,IF(Provider=$B195,Responses))))</f>
        <v>5</v>
      </c>
      <c r="L195" s="20"/>
      <c r="M195" s="17">
        <f t="shared" si="81"/>
        <v>2.1039603960396041</v>
      </c>
      <c r="N195" s="17"/>
      <c r="O195" s="17">
        <f t="shared" si="72"/>
        <v>0.35153019023986765</v>
      </c>
      <c r="P195" s="17"/>
      <c r="Q195" s="17">
        <f t="array" ref="Q195">SUM(IF(Period=Q$4,IF(Category=$A$164,IF(Provider=$B195,Score))))</f>
        <v>81.3</v>
      </c>
      <c r="R195" s="17"/>
      <c r="S195" s="20">
        <f t="array" ref="S195">SUM(IF(Period=Q$4,IF(Category=$A$164,IF(Provider=$B195,Responses))))</f>
        <v>6</v>
      </c>
      <c r="T195" s="20"/>
      <c r="U195" s="17">
        <f t="shared" si="82"/>
        <v>2.5946808510638295</v>
      </c>
      <c r="V195" s="17"/>
      <c r="W195" s="17">
        <f t="shared" si="73"/>
        <v>0.43475935828876999</v>
      </c>
      <c r="X195" s="17"/>
      <c r="Y195" s="17">
        <f t="array" ref="Y195">SUM(IF(Period=Y$4,IF(Category=$A$164,IF(Provider=$B195,Score))))</f>
        <v>78.7</v>
      </c>
      <c r="Z195" s="17"/>
      <c r="AA195" s="20">
        <f t="array" ref="AA195">SUM(IF(Period=Y$4,IF(Category=$A$164,IF(Provider=$B195,Responses))))</f>
        <v>17</v>
      </c>
      <c r="AB195" s="20"/>
      <c r="AC195" s="17">
        <f t="shared" si="83"/>
        <v>4.4009868421052634</v>
      </c>
      <c r="AD195" s="17"/>
      <c r="AE195" s="17">
        <f t="shared" si="74"/>
        <v>0.73794815223386656</v>
      </c>
      <c r="AF195" s="17"/>
      <c r="AG195" s="17">
        <f t="array" ref="AG195">SUM(IF(Period=AG$4,IF(Category=$A$164,IF(Provider=$B195,Score))))</f>
        <v>85.7</v>
      </c>
      <c r="AH195" s="17"/>
      <c r="AI195" s="20">
        <f t="array" ref="AI195">SUM(IF(Period=AG$4,IF(Category=$A$164,IF(Provider=$B195,Responses))))</f>
        <v>17</v>
      </c>
      <c r="AJ195" s="20"/>
      <c r="AK195" s="17">
        <f t="shared" si="84"/>
        <v>5.6468992248062024</v>
      </c>
      <c r="AL195" s="17"/>
      <c r="AM195" s="17">
        <f t="shared" si="75"/>
        <v>0.94358808290155438</v>
      </c>
      <c r="AN195" s="17"/>
      <c r="AO195" s="17">
        <f t="array" ref="AO195">SUM(IF(Period=AO$4,IF(Category=$A$164,IF(Provider=$B195,Score))))</f>
        <v>81.3</v>
      </c>
      <c r="AP195" s="17"/>
      <c r="AQ195" s="20">
        <f t="array" ref="AQ195">SUM(IF(Period=AO$4,IF(Category=$A$164,IF(Provider=$B195,Responses))))</f>
        <v>3</v>
      </c>
      <c r="AR195" s="20"/>
      <c r="AS195" s="17">
        <f t="shared" si="85"/>
        <v>1.4180232558139534</v>
      </c>
      <c r="AT195" s="17"/>
      <c r="AU195" s="17">
        <f t="shared" si="76"/>
        <v>0.23771929824561402</v>
      </c>
      <c r="AV195" s="17"/>
      <c r="AW195" s="17">
        <f t="array" ref="AW195">SUM(IF(Period=AW$4,IF(Category=$A$164,IF(Provider=$B195,Score))))</f>
        <v>75</v>
      </c>
      <c r="AX195" s="17"/>
      <c r="AY195" s="20">
        <f t="array" ref="AY195">SUM(IF(Period=AW$4,IF(Category=$A$164,IF(Provider=$B195,Responses))))</f>
        <v>6</v>
      </c>
      <c r="AZ195" s="20"/>
      <c r="BA195" s="17">
        <f t="shared" si="86"/>
        <v>2.0737327188940093</v>
      </c>
      <c r="BB195" s="17"/>
      <c r="BC195" s="17">
        <f t="shared" si="77"/>
        <v>0.34562211981566821</v>
      </c>
      <c r="BD195" s="17"/>
      <c r="BE195" s="17">
        <f t="array" ref="BE195">SUM(IF(Period=BE$4,IF(Category=$A$164,IF(Provider=$B195,Score))))</f>
        <v>90.6</v>
      </c>
      <c r="BF195" s="17"/>
      <c r="BG195" s="20">
        <f t="array" ref="BG195">SUM(IF(Period=BE$4,IF(Category=$A$164,IF(Provider=$B195,Responses))))</f>
        <v>6</v>
      </c>
      <c r="BH195" s="20"/>
      <c r="BI195" s="17">
        <f t="shared" si="87"/>
        <v>2.2936708860759492</v>
      </c>
      <c r="BJ195" s="17"/>
      <c r="BK195" s="17">
        <f t="shared" si="78"/>
        <v>0.38416961130742044</v>
      </c>
      <c r="BL195" s="17"/>
      <c r="BM195" s="17">
        <f t="array" ref="BM195">SUM(IF(Period=BM$4,IF(Category=$A$164,IF(Provider=$B195,Score))))</f>
        <v>94.4</v>
      </c>
      <c r="BN195" s="17"/>
      <c r="BO195" s="20">
        <f t="array" ref="BO195">SUM(IF(Period=BM$4,IF(Category=$A$164,IF(Provider=$B195,Responses))))</f>
        <v>9</v>
      </c>
      <c r="BP195" s="20"/>
      <c r="BQ195" s="17">
        <f t="shared" si="88"/>
        <v>3.6463519313304724</v>
      </c>
      <c r="BR195" s="17"/>
      <c r="BS195" s="17">
        <f t="shared" si="79"/>
        <v>0.61298701298701308</v>
      </c>
      <c r="BT195" s="17"/>
      <c r="BU195" s="17">
        <f t="array" ref="BU195">SUM(IF(Period=BU$4,IF(Category=$A$164,IF(Provider=$B195,Score))))</f>
        <v>86.6</v>
      </c>
      <c r="BV195" s="17"/>
      <c r="BW195" s="20">
        <f t="array" ref="BW195">SUM(IF(Period=BU$4,IF(Category=$A$164,IF(Provider=$B195,Responses))))</f>
        <v>7</v>
      </c>
      <c r="BX195" s="20"/>
      <c r="BY195" s="17">
        <f t="shared" si="89"/>
        <v>2.5049586776859503</v>
      </c>
      <c r="BZ195" s="17"/>
      <c r="CA195" s="17">
        <f t="shared" si="80"/>
        <v>0.41893572909467863</v>
      </c>
    </row>
    <row r="196" spans="1:79" outlineLevel="1" x14ac:dyDescent="0.25">
      <c r="B196" t="s">
        <v>37</v>
      </c>
      <c r="C196" s="17">
        <v>0</v>
      </c>
      <c r="D196" s="17"/>
      <c r="E196" s="17">
        <v>0</v>
      </c>
      <c r="F196" s="17"/>
      <c r="G196" s="17">
        <v>0</v>
      </c>
      <c r="H196" s="17"/>
      <c r="I196" s="17">
        <f t="array" ref="I196">SUM(IF(Period=I$4,IF(Category=$A$164,IF(Provider=$B196,Score))))</f>
        <v>69.2</v>
      </c>
      <c r="J196" s="17"/>
      <c r="K196" s="20">
        <f t="array" ref="K196">SUM(IF(Period=I$4,IF(Category=$A$164,IF(Provider=$B196,Responses))))</f>
        <v>13</v>
      </c>
      <c r="L196" s="20"/>
      <c r="M196" s="17">
        <f t="shared" si="81"/>
        <v>4.4534653465346539</v>
      </c>
      <c r="N196" s="17"/>
      <c r="O196" s="17">
        <f t="shared" si="72"/>
        <v>0.74408602150537639</v>
      </c>
      <c r="P196" s="17"/>
      <c r="Q196" s="17">
        <f t="array" ref="Q196">SUM(IF(Period=Q$4,IF(Category=$A$164,IF(Provider=$B196,Score))))</f>
        <v>83.1</v>
      </c>
      <c r="R196" s="17"/>
      <c r="S196" s="20">
        <f t="array" ref="S196">SUM(IF(Period=Q$4,IF(Category=$A$164,IF(Provider=$B196,Responses))))</f>
        <v>10</v>
      </c>
      <c r="T196" s="20"/>
      <c r="U196" s="17">
        <f t="shared" si="82"/>
        <v>4.4202127659574462</v>
      </c>
      <c r="V196" s="17"/>
      <c r="W196" s="17">
        <f t="shared" si="73"/>
        <v>0.74064171122994649</v>
      </c>
      <c r="X196" s="17"/>
      <c r="Y196" s="17">
        <f t="array" ref="Y196">SUM(IF(Period=Y$4,IF(Category=$A$164,IF(Provider=$B196,Score))))</f>
        <v>70.400000000000006</v>
      </c>
      <c r="Z196" s="17"/>
      <c r="AA196" s="20">
        <f t="array" ref="AA196">SUM(IF(Period=Y$4,IF(Category=$A$164,IF(Provider=$B196,Responses))))</f>
        <v>19</v>
      </c>
      <c r="AB196" s="20"/>
      <c r="AC196" s="17">
        <f t="shared" si="83"/>
        <v>4.4000000000000004</v>
      </c>
      <c r="AD196" s="17"/>
      <c r="AE196" s="17">
        <f t="shared" si="74"/>
        <v>0.73778268063982355</v>
      </c>
      <c r="AF196" s="17"/>
      <c r="AG196" s="17">
        <f t="array" ref="AG196">SUM(IF(Period=AG$4,IF(Category=$A$164,IF(Provider=$B196,Score))))</f>
        <v>74.2</v>
      </c>
      <c r="AH196" s="17"/>
      <c r="AI196" s="20">
        <f t="array" ref="AI196">SUM(IF(Period=AG$4,IF(Category=$A$164,IF(Provider=$B196,Responses))))</f>
        <v>16</v>
      </c>
      <c r="AJ196" s="20"/>
      <c r="AK196" s="17">
        <f t="shared" si="84"/>
        <v>4.601550387596899</v>
      </c>
      <c r="AL196" s="17"/>
      <c r="AM196" s="17">
        <f t="shared" si="75"/>
        <v>0.76891191709844564</v>
      </c>
      <c r="AN196" s="17"/>
      <c r="AO196" s="17">
        <f t="array" ref="AO196">SUM(IF(Period=AO$4,IF(Category=$A$164,IF(Provider=$B196,Score))))</f>
        <v>0</v>
      </c>
      <c r="AP196" s="17"/>
      <c r="AQ196" s="20">
        <f t="array" ref="AQ196">SUM(IF(Period=AO$4,IF(Category=$A$164,IF(Provider=$B196,Responses))))</f>
        <v>0</v>
      </c>
      <c r="AR196" s="20"/>
      <c r="AS196" s="17">
        <f t="shared" si="85"/>
        <v>0</v>
      </c>
      <c r="AT196" s="17"/>
      <c r="AU196" s="17">
        <f t="shared" si="76"/>
        <v>0</v>
      </c>
      <c r="AV196" s="17"/>
      <c r="AW196" s="17">
        <f t="array" ref="AW196">SUM(IF(Period=AW$4,IF(Category=$A$164,IF(Provider=$B196,Score))))</f>
        <v>90.6</v>
      </c>
      <c r="AX196" s="17"/>
      <c r="AY196" s="20">
        <f t="array" ref="AY196">SUM(IF(Period=AW$4,IF(Category=$A$164,IF(Provider=$B196,Responses))))</f>
        <v>6</v>
      </c>
      <c r="AZ196" s="20"/>
      <c r="BA196" s="17">
        <f t="shared" si="86"/>
        <v>2.5050691244239633</v>
      </c>
      <c r="BB196" s="17"/>
      <c r="BC196" s="17">
        <f t="shared" si="77"/>
        <v>0.41751152073732717</v>
      </c>
      <c r="BD196" s="17"/>
      <c r="BE196" s="17">
        <f t="array" ref="BE196">SUM(IF(Period=BE$4,IF(Category=$A$164,IF(Provider=$B196,Score))))</f>
        <v>83.3</v>
      </c>
      <c r="BF196" s="17"/>
      <c r="BG196" s="20">
        <f t="array" ref="BG196">SUM(IF(Period=BE$4,IF(Category=$A$164,IF(Provider=$B196,Responses))))</f>
        <v>15</v>
      </c>
      <c r="BH196" s="20"/>
      <c r="BI196" s="17">
        <f t="shared" si="87"/>
        <v>5.2721518987341778</v>
      </c>
      <c r="BJ196" s="17"/>
      <c r="BK196" s="17">
        <f t="shared" si="78"/>
        <v>0.88303886925795061</v>
      </c>
      <c r="BL196" s="17"/>
      <c r="BM196" s="17">
        <f t="array" ref="BM196">SUM(IF(Period=BM$4,IF(Category=$A$164,IF(Provider=$B196,Score))))</f>
        <v>100</v>
      </c>
      <c r="BN196" s="17"/>
      <c r="BO196" s="20">
        <f t="array" ref="BO196">SUM(IF(Period=BM$4,IF(Category=$A$164,IF(Provider=$B196,Responses))))</f>
        <v>1</v>
      </c>
      <c r="BP196" s="20"/>
      <c r="BQ196" s="17">
        <f t="shared" si="88"/>
        <v>0.42918454935622319</v>
      </c>
      <c r="BR196" s="17"/>
      <c r="BS196" s="17">
        <f t="shared" si="79"/>
        <v>7.2150072150072145E-2</v>
      </c>
      <c r="BT196" s="17"/>
      <c r="BU196" s="17">
        <f t="array" ref="BU196">SUM(IF(Period=BU$4,IF(Category=$A$164,IF(Provider=$B196,Score))))</f>
        <v>76</v>
      </c>
      <c r="BV196" s="17"/>
      <c r="BW196" s="20">
        <f t="array" ref="BW196">SUM(IF(Period=BU$4,IF(Category=$A$164,IF(Provider=$B196,Responses))))</f>
        <v>6</v>
      </c>
      <c r="BX196" s="20"/>
      <c r="BY196" s="17">
        <f t="shared" si="89"/>
        <v>1.884297520661157</v>
      </c>
      <c r="BZ196" s="17"/>
      <c r="CA196" s="17">
        <f t="shared" si="80"/>
        <v>0.31513476157567383</v>
      </c>
    </row>
    <row r="197" spans="1:79" outlineLevel="1" x14ac:dyDescent="0.25">
      <c r="B197" t="s">
        <v>226</v>
      </c>
      <c r="C197" s="17">
        <v>0</v>
      </c>
      <c r="D197" s="17"/>
      <c r="E197" s="17">
        <v>0</v>
      </c>
      <c r="F197" s="17"/>
      <c r="G197" s="17">
        <v>0</v>
      </c>
      <c r="H197" s="17"/>
      <c r="I197" s="17">
        <f t="array" ref="I197">SUM(IF(Period=I$4,IF(Category=$A$164,IF(Provider=$B197,Score))))</f>
        <v>0</v>
      </c>
      <c r="J197" s="17"/>
      <c r="K197" s="20">
        <f t="array" ref="K197">SUM(IF(Period=I$4,IF(Category=$A$164,IF(Provider=$B197,Responses))))</f>
        <v>0</v>
      </c>
      <c r="L197" s="20"/>
      <c r="M197" s="17">
        <f t="shared" si="81"/>
        <v>0</v>
      </c>
      <c r="N197" s="17"/>
      <c r="O197" s="17">
        <f t="shared" si="72"/>
        <v>0</v>
      </c>
      <c r="P197" s="17"/>
      <c r="Q197" s="17">
        <f t="array" ref="Q197">SUM(IF(Period=Q$4,IF(Category=$A$164,IF(Provider=$B197,Score))))</f>
        <v>0</v>
      </c>
      <c r="R197" s="17"/>
      <c r="S197" s="20">
        <f t="array" ref="S197">SUM(IF(Period=Q$4,IF(Category=$A$164,IF(Provider=$B197,Responses))))</f>
        <v>0</v>
      </c>
      <c r="T197" s="20"/>
      <c r="U197" s="17">
        <f t="shared" si="82"/>
        <v>0</v>
      </c>
      <c r="V197" s="17"/>
      <c r="W197" s="17">
        <f t="shared" si="73"/>
        <v>0</v>
      </c>
      <c r="X197" s="17"/>
      <c r="Y197" s="17">
        <f t="array" ref="Y197">SUM(IF(Period=Y$4,IF(Category=$A$164,IF(Provider=$B197,Score))))</f>
        <v>0</v>
      </c>
      <c r="Z197" s="17"/>
      <c r="AA197" s="20">
        <f t="array" ref="AA197">SUM(IF(Period=Y$4,IF(Category=$A$164,IF(Provider=$B197,Responses))))</f>
        <v>0</v>
      </c>
      <c r="AB197" s="20"/>
      <c r="AC197" s="17">
        <f t="shared" si="83"/>
        <v>0</v>
      </c>
      <c r="AD197" s="17"/>
      <c r="AE197" s="17">
        <f t="shared" si="74"/>
        <v>0</v>
      </c>
      <c r="AF197" s="17"/>
      <c r="AG197" s="17">
        <f t="array" ref="AG197">SUM(IF(Period=AG$4,IF(Category=$A$164,IF(Provider=$B197,Score))))</f>
        <v>63.8</v>
      </c>
      <c r="AH197" s="17"/>
      <c r="AI197" s="20">
        <f t="array" ref="AI197">SUM(IF(Period=AG$4,IF(Category=$A$164,IF(Provider=$B197,Responses))))</f>
        <v>10</v>
      </c>
      <c r="AJ197" s="20"/>
      <c r="AK197" s="17">
        <f t="shared" si="84"/>
        <v>2.4728682170542635</v>
      </c>
      <c r="AL197" s="17"/>
      <c r="AM197" s="17">
        <f t="shared" si="75"/>
        <v>0.41321243523316059</v>
      </c>
      <c r="AN197" s="17"/>
      <c r="AO197" s="17">
        <f t="array" ref="AO197">SUM(IF(Period=AO$4,IF(Category=$A$164,IF(Provider=$B197,Score))))</f>
        <v>86.9</v>
      </c>
      <c r="AP197" s="17"/>
      <c r="AQ197" s="20">
        <f t="array" ref="AQ197">SUM(IF(Period=AO$4,IF(Category=$A$164,IF(Provider=$B197,Responses))))</f>
        <v>11</v>
      </c>
      <c r="AR197" s="20"/>
      <c r="AS197" s="17">
        <f t="shared" si="85"/>
        <v>5.5575581395348843</v>
      </c>
      <c r="AT197" s="17"/>
      <c r="AU197" s="17">
        <f t="shared" si="76"/>
        <v>0.93167641325536066</v>
      </c>
      <c r="AV197" s="17"/>
      <c r="AW197" s="17">
        <f t="array" ref="AW197">SUM(IF(Period=AW$4,IF(Category=$A$164,IF(Provider=$B197,Score))))</f>
        <v>77.099999999999994</v>
      </c>
      <c r="AX197" s="17"/>
      <c r="AY197" s="20">
        <f t="array" ref="AY197">SUM(IF(Period=AW$4,IF(Category=$A$164,IF(Provider=$B197,Responses))))</f>
        <v>13</v>
      </c>
      <c r="AZ197" s="20"/>
      <c r="BA197" s="17">
        <f t="shared" si="86"/>
        <v>4.6188940092165893</v>
      </c>
      <c r="BB197" s="17"/>
      <c r="BC197" s="17">
        <f t="shared" si="77"/>
        <v>0.76981566820276492</v>
      </c>
      <c r="BD197" s="17"/>
      <c r="BE197" s="17">
        <f t="array" ref="BE197">SUM(IF(Period=BE$4,IF(Category=$A$164,IF(Provider=$B197,Score))))</f>
        <v>78.7</v>
      </c>
      <c r="BF197" s="17"/>
      <c r="BG197" s="20">
        <f t="array" ref="BG197">SUM(IF(Period=BE$4,IF(Category=$A$164,IF(Provider=$B197,Responses))))</f>
        <v>12</v>
      </c>
      <c r="BH197" s="20"/>
      <c r="BI197" s="17">
        <f t="shared" si="87"/>
        <v>3.9848101265822784</v>
      </c>
      <c r="BJ197" s="17"/>
      <c r="BK197" s="17">
        <f t="shared" si="78"/>
        <v>0.66742049469964659</v>
      </c>
      <c r="BL197" s="17"/>
      <c r="BM197" s="17">
        <f t="array" ref="BM197">SUM(IF(Period=BM$4,IF(Category=$A$164,IF(Provider=$B197,Score))))</f>
        <v>83.3</v>
      </c>
      <c r="BN197" s="17"/>
      <c r="BO197" s="20">
        <f t="array" ref="BO197">SUM(IF(Period=BM$4,IF(Category=$A$164,IF(Provider=$B197,Responses))))</f>
        <v>6</v>
      </c>
      <c r="BP197" s="20"/>
      <c r="BQ197" s="17">
        <f t="shared" si="88"/>
        <v>2.1450643776824032</v>
      </c>
      <c r="BR197" s="17"/>
      <c r="BS197" s="17">
        <f t="shared" si="79"/>
        <v>0.3606060606060606</v>
      </c>
      <c r="BT197" s="17"/>
      <c r="BU197" s="17">
        <f t="array" ref="BU197">SUM(IF(Period=BU$4,IF(Category=$A$164,IF(Provider=$B197,Score))))</f>
        <v>98.4</v>
      </c>
      <c r="BV197" s="17"/>
      <c r="BW197" s="20">
        <f t="array" ref="BW197">SUM(IF(Period=BU$4,IF(Category=$A$164,IF(Provider=$B197,Responses))))</f>
        <v>8</v>
      </c>
      <c r="BX197" s="20"/>
      <c r="BY197" s="17">
        <f t="shared" si="89"/>
        <v>3.2528925619834714</v>
      </c>
      <c r="BZ197" s="17"/>
      <c r="CA197" s="17">
        <f t="shared" si="80"/>
        <v>0.54402211472011064</v>
      </c>
    </row>
    <row r="198" spans="1:79" outlineLevel="1" x14ac:dyDescent="0.25">
      <c r="B198" t="s">
        <v>227</v>
      </c>
      <c r="C198" s="22">
        <v>0</v>
      </c>
      <c r="D198" s="17"/>
      <c r="E198" s="22">
        <v>0</v>
      </c>
      <c r="F198" s="17"/>
      <c r="G198" s="22">
        <v>0</v>
      </c>
      <c r="H198" s="17"/>
      <c r="I198" s="22">
        <f t="array" ref="I198">SUM(IF(Period=I$4,IF(Category=$A$164,IF(Provider=$B198,Score))))</f>
        <v>0</v>
      </c>
      <c r="J198" s="17"/>
      <c r="K198" s="23">
        <f t="array" ref="K198">SUM(IF(Period=I$4,IF(Category=$A$164,IF(Provider=$B198,Responses))))</f>
        <v>0</v>
      </c>
      <c r="L198" s="20"/>
      <c r="M198" s="22">
        <f t="shared" si="81"/>
        <v>0</v>
      </c>
      <c r="N198" s="17"/>
      <c r="O198" s="22">
        <f t="shared" si="72"/>
        <v>0</v>
      </c>
      <c r="P198" s="17"/>
      <c r="Q198" s="22">
        <f t="array" ref="Q198">SUM(IF(Period=Q$4,IF(Category=$A$164,IF(Provider=$B198,Score))))</f>
        <v>0</v>
      </c>
      <c r="R198" s="17"/>
      <c r="S198" s="23">
        <f t="array" ref="S198">SUM(IF(Period=Q$4,IF(Category=$A$164,IF(Provider=$B198,Responses))))</f>
        <v>0</v>
      </c>
      <c r="T198" s="20"/>
      <c r="U198" s="22">
        <f t="shared" si="82"/>
        <v>0</v>
      </c>
      <c r="V198" s="17"/>
      <c r="W198" s="22">
        <f t="shared" si="73"/>
        <v>0</v>
      </c>
      <c r="X198" s="17"/>
      <c r="Y198" s="22">
        <f t="array" ref="Y198">SUM(IF(Period=Y$4,IF(Category=$A$164,IF(Provider=$B198,Score))))</f>
        <v>0</v>
      </c>
      <c r="Z198" s="17"/>
      <c r="AA198" s="23">
        <f t="array" ref="AA198">SUM(IF(Period=Y$4,IF(Category=$A$164,IF(Provider=$B198,Responses))))</f>
        <v>0</v>
      </c>
      <c r="AB198" s="20"/>
      <c r="AC198" s="22">
        <f t="shared" si="83"/>
        <v>0</v>
      </c>
      <c r="AD198" s="17"/>
      <c r="AE198" s="22">
        <f t="shared" si="74"/>
        <v>0</v>
      </c>
      <c r="AF198" s="17"/>
      <c r="AG198" s="22">
        <f t="array" ref="AG198">SUM(IF(Period=AG$4,IF(Category=$A$164,IF(Provider=$B198,Score))))</f>
        <v>81.3</v>
      </c>
      <c r="AH198" s="17"/>
      <c r="AI198" s="23">
        <f t="array" ref="AI198">SUM(IF(Period=AG$4,IF(Category=$A$164,IF(Provider=$B198,Responses))))</f>
        <v>1</v>
      </c>
      <c r="AJ198" s="20"/>
      <c r="AK198" s="22">
        <f t="shared" si="84"/>
        <v>0.31511627906976741</v>
      </c>
      <c r="AL198" s="17"/>
      <c r="AM198" s="22">
        <f t="shared" si="75"/>
        <v>5.2655440414507773E-2</v>
      </c>
      <c r="AN198" s="17"/>
      <c r="AO198" s="22">
        <f t="array" ref="AO198">SUM(IF(Period=AO$4,IF(Category=$A$164,IF(Provider=$B198,Score))))</f>
        <v>0</v>
      </c>
      <c r="AP198" s="17"/>
      <c r="AQ198" s="23">
        <f t="array" ref="AQ198">SUM(IF(Period=AO$4,IF(Category=$A$164,IF(Provider=$B198,Responses))))</f>
        <v>0</v>
      </c>
      <c r="AR198" s="20"/>
      <c r="AS198" s="22">
        <f t="shared" si="85"/>
        <v>0</v>
      </c>
      <c r="AT198" s="17"/>
      <c r="AU198" s="22">
        <f t="shared" si="76"/>
        <v>0</v>
      </c>
      <c r="AV198" s="17"/>
      <c r="AW198" s="22">
        <f t="array" ref="AW198">SUM(IF(Period=AW$4,IF(Category=$A$164,IF(Provider=$B198,Score))))</f>
        <v>0</v>
      </c>
      <c r="AX198" s="17"/>
      <c r="AY198" s="23">
        <f t="array" ref="AY198">SUM(IF(Period=AW$4,IF(Category=$A$164,IF(Provider=$B198,Responses))))</f>
        <v>0</v>
      </c>
      <c r="AZ198" s="20"/>
      <c r="BA198" s="22">
        <f t="shared" si="86"/>
        <v>0</v>
      </c>
      <c r="BB198" s="17"/>
      <c r="BC198" s="22">
        <f t="shared" si="77"/>
        <v>0</v>
      </c>
      <c r="BD198" s="17"/>
      <c r="BE198" s="22">
        <f t="array" ref="BE198">SUM(IF(Period=BE$4,IF(Category=$A$164,IF(Provider=$B198,Score))))</f>
        <v>0</v>
      </c>
      <c r="BF198" s="17"/>
      <c r="BG198" s="23">
        <f t="array" ref="BG198">SUM(IF(Period=BE$4,IF(Category=$A$164,IF(Provider=$B198,Responses))))</f>
        <v>0</v>
      </c>
      <c r="BH198" s="20"/>
      <c r="BI198" s="22">
        <f t="shared" si="87"/>
        <v>0</v>
      </c>
      <c r="BJ198" s="17"/>
      <c r="BK198" s="22">
        <f t="shared" si="78"/>
        <v>0</v>
      </c>
      <c r="BL198" s="17"/>
      <c r="BM198" s="22">
        <f t="array" ref="BM198">SUM(IF(Period=BM$4,IF(Category=$A$164,IF(Provider=$B198,Score))))</f>
        <v>0</v>
      </c>
      <c r="BN198" s="17"/>
      <c r="BO198" s="23">
        <f t="array" ref="BO198">SUM(IF(Period=BM$4,IF(Category=$A$164,IF(Provider=$B198,Responses))))</f>
        <v>0</v>
      </c>
      <c r="BP198" s="20"/>
      <c r="BQ198" s="22">
        <f t="shared" si="88"/>
        <v>0</v>
      </c>
      <c r="BR198" s="17"/>
      <c r="BS198" s="22">
        <f t="shared" si="79"/>
        <v>0</v>
      </c>
      <c r="BT198" s="17"/>
      <c r="BU198" s="22">
        <f t="array" ref="BU198">SUM(IF(Period=BU$4,IF(Category=$A$164,IF(Provider=$B198,Score))))</f>
        <v>0</v>
      </c>
      <c r="BV198" s="17"/>
      <c r="BW198" s="23">
        <f t="array" ref="BW198">SUM(IF(Period=BU$4,IF(Category=$A$164,IF(Provider=$B198,Responses))))</f>
        <v>0</v>
      </c>
      <c r="BX198" s="20"/>
      <c r="BY198" s="22">
        <f t="shared" si="89"/>
        <v>0</v>
      </c>
      <c r="BZ198" s="17"/>
      <c r="CA198" s="22">
        <f t="shared" si="80"/>
        <v>0</v>
      </c>
    </row>
    <row r="199" spans="1:79" x14ac:dyDescent="0.25">
      <c r="B199" s="11" t="s">
        <v>427</v>
      </c>
      <c r="C199" s="24">
        <v>0</v>
      </c>
      <c r="D199" s="24"/>
      <c r="E199" s="24">
        <v>0</v>
      </c>
      <c r="F199" s="24"/>
      <c r="G199" s="24">
        <v>0</v>
      </c>
      <c r="H199" s="24"/>
      <c r="I199" s="24">
        <f>SUM(M165:M198)</f>
        <v>74.549504950495049</v>
      </c>
      <c r="J199" s="24"/>
      <c r="K199" s="29">
        <f>AVERAGEIF(K165:K198,"&lt;&gt;0")</f>
        <v>6.3125</v>
      </c>
      <c r="L199" s="25"/>
      <c r="M199" s="24"/>
      <c r="N199" s="24"/>
      <c r="O199" s="24"/>
      <c r="P199" s="24"/>
      <c r="Q199" s="24">
        <f>SUM(U165:U198)</f>
        <v>78.004787234042539</v>
      </c>
      <c r="R199" s="24"/>
      <c r="S199" s="29">
        <f>AVERAGEIF(S165:S198,"&lt;&gt;0")</f>
        <v>6.2666666666666666</v>
      </c>
      <c r="T199" s="25"/>
      <c r="U199" s="24"/>
      <c r="V199" s="24"/>
      <c r="W199" s="24"/>
      <c r="X199" s="24"/>
      <c r="Y199" s="24">
        <f>SUM(AC165:AC198)</f>
        <v>78.622368421052641</v>
      </c>
      <c r="Z199" s="24"/>
      <c r="AA199" s="29">
        <f>AVERAGEIF(AA165:AA198,"&lt;&gt;0")</f>
        <v>9.806451612903226</v>
      </c>
      <c r="AB199" s="25"/>
      <c r="AC199" s="24"/>
      <c r="AD199" s="24"/>
      <c r="AE199" s="24"/>
      <c r="AF199" s="24"/>
      <c r="AG199" s="24">
        <f>SUM(AK165:AK198)</f>
        <v>83.058139534883736</v>
      </c>
      <c r="AH199" s="24"/>
      <c r="AI199" s="29">
        <f>AVERAGEIF(AI165:AI198,"&lt;&gt;0")</f>
        <v>7.8181818181818183</v>
      </c>
      <c r="AJ199" s="25"/>
      <c r="AK199" s="24"/>
      <c r="AL199" s="24"/>
      <c r="AM199" s="24"/>
      <c r="AN199" s="24"/>
      <c r="AO199" s="24">
        <f>SUM(AS165:AS198)</f>
        <v>79.407558139534899</v>
      </c>
      <c r="AP199" s="24"/>
      <c r="AQ199" s="29">
        <f>AVERAGEIF(AQ165:AQ198,"&lt;&gt;0")</f>
        <v>5.7333333333333334</v>
      </c>
      <c r="AR199" s="25"/>
      <c r="AS199" s="24"/>
      <c r="AT199" s="24"/>
      <c r="AU199" s="24"/>
      <c r="AV199" s="24"/>
      <c r="AW199" s="24">
        <f>SUM(BA165:BA198)</f>
        <v>81.502304147465424</v>
      </c>
      <c r="AX199" s="24"/>
      <c r="AY199" s="29">
        <f>AVERAGEIF(AY165:AY198,"&lt;&gt;0")</f>
        <v>6.78125</v>
      </c>
      <c r="AZ199" s="25"/>
      <c r="BA199" s="24"/>
      <c r="BB199" s="24"/>
      <c r="BC199" s="24"/>
      <c r="BD199" s="24"/>
      <c r="BE199" s="24">
        <f>SUM(BI165:BI198)</f>
        <v>82.280590717299575</v>
      </c>
      <c r="BF199" s="24"/>
      <c r="BG199" s="29">
        <f>AVERAGEIF(BG165:BG198,"&lt;&gt;0")</f>
        <v>7.645161290322581</v>
      </c>
      <c r="BH199" s="25"/>
      <c r="BI199" s="24"/>
      <c r="BJ199" s="24"/>
      <c r="BK199" s="24"/>
      <c r="BL199" s="24"/>
      <c r="BM199" s="24">
        <f>SUM(BQ165:BQ198)</f>
        <v>85.295708154506428</v>
      </c>
      <c r="BN199" s="24"/>
      <c r="BO199" s="29">
        <f>AVERAGEIF(BO165:BO198,"&lt;&gt;0")</f>
        <v>7.28125</v>
      </c>
      <c r="BP199" s="25"/>
      <c r="BQ199" s="24"/>
      <c r="BR199" s="24"/>
      <c r="BS199" s="24"/>
      <c r="BT199" s="24"/>
      <c r="BU199" s="24">
        <f>SUM(BY165:BY198)</f>
        <v>81.264049586776892</v>
      </c>
      <c r="BV199" s="24"/>
      <c r="BW199" s="29">
        <f>AVERAGEIF(BW165:BW198,"&lt;&gt;0")</f>
        <v>7.5625</v>
      </c>
      <c r="BX199" s="25"/>
      <c r="BY199" s="24"/>
      <c r="BZ199" s="24"/>
      <c r="CA199" s="24"/>
    </row>
    <row r="200" spans="1:79" s="36" customFormat="1" x14ac:dyDescent="0.25">
      <c r="B200" s="32" t="s">
        <v>430</v>
      </c>
      <c r="C200" s="33"/>
      <c r="D200" s="33"/>
      <c r="E200" s="33"/>
      <c r="F200" s="33"/>
      <c r="G200" s="33"/>
      <c r="H200" s="33"/>
      <c r="I200" s="33">
        <f t="array" ref="I200">MEDIAN(IF(I165:I198&lt;&gt;0,I165:I198))</f>
        <v>80.5</v>
      </c>
      <c r="J200" s="33"/>
      <c r="K200" s="34">
        <f t="array" ref="K200">MEDIAN(IF(K165:K198&lt;&gt;0,K165:K198))</f>
        <v>6.5</v>
      </c>
      <c r="L200" s="35"/>
      <c r="M200" s="33"/>
      <c r="N200" s="33"/>
      <c r="O200" s="33"/>
      <c r="P200" s="33"/>
      <c r="Q200" s="33">
        <f t="array" ref="Q200">MEDIAN(IF(Q165:Q198&lt;&gt;0,Q165:Q198))</f>
        <v>81.3</v>
      </c>
      <c r="R200" s="33"/>
      <c r="S200" s="34">
        <f t="array" ref="S200">MEDIAN(IF(S165:S198&lt;&gt;0,S165:S198))</f>
        <v>6</v>
      </c>
      <c r="T200" s="35"/>
      <c r="U200" s="33"/>
      <c r="V200" s="33"/>
      <c r="W200" s="33"/>
      <c r="X200" s="33"/>
      <c r="Y200" s="33">
        <f t="array" ref="Y200">MEDIAN(IF(Y165:Y198&lt;&gt;0,Y165:Y198))</f>
        <v>79.400000000000006</v>
      </c>
      <c r="Z200" s="33"/>
      <c r="AA200" s="34">
        <f t="array" ref="AA200">MEDIAN(IF(AA165:AA198&lt;&gt;0,AA165:AA198))</f>
        <v>9</v>
      </c>
      <c r="AB200" s="35"/>
      <c r="AC200" s="33"/>
      <c r="AD200" s="33"/>
      <c r="AE200" s="33"/>
      <c r="AF200" s="33"/>
      <c r="AG200" s="33">
        <f t="array" ref="AG200">MEDIAN(IF(AG165:AG198&lt;&gt;0,AG165:AG198))</f>
        <v>85.2</v>
      </c>
      <c r="AH200" s="33"/>
      <c r="AI200" s="34">
        <f t="array" ref="AI200">MEDIAN(IF(AI165:AI198&lt;&gt;0,AI165:AI198))</f>
        <v>8</v>
      </c>
      <c r="AJ200" s="35"/>
      <c r="AK200" s="33"/>
      <c r="AL200" s="33"/>
      <c r="AM200" s="33"/>
      <c r="AN200" s="33"/>
      <c r="AO200" s="33">
        <f t="array" ref="AO200">MEDIAN(IF(AO165:AO198&lt;&gt;0,AO165:AO198))</f>
        <v>83.449999999999989</v>
      </c>
      <c r="AP200" s="33"/>
      <c r="AQ200" s="34">
        <f t="array" ref="AQ200">MEDIAN(IF(AQ165:AQ198&lt;&gt;0,AQ165:AQ198))</f>
        <v>5.5</v>
      </c>
      <c r="AR200" s="35"/>
      <c r="AS200" s="33"/>
      <c r="AT200" s="33"/>
      <c r="AU200" s="33"/>
      <c r="AV200" s="33"/>
      <c r="AW200" s="33">
        <f t="array" ref="AW200">MEDIAN(IF(AW165:AW198&lt;&gt;0,AW165:AW198))</f>
        <v>82.05</v>
      </c>
      <c r="AX200" s="33"/>
      <c r="AY200" s="34">
        <f t="array" ref="AY200">MEDIAN(IF(AY165:AY198&lt;&gt;0,AY165:AY198))</f>
        <v>6</v>
      </c>
      <c r="AZ200" s="35"/>
      <c r="BA200" s="33"/>
      <c r="BB200" s="33"/>
      <c r="BC200" s="33"/>
      <c r="BD200" s="33"/>
      <c r="BE200" s="33">
        <f t="array" ref="BE200">MEDIAN(IF(BE165:BE198&lt;&gt;0,BE165:BE198))</f>
        <v>83.3</v>
      </c>
      <c r="BF200" s="33"/>
      <c r="BG200" s="34">
        <f t="array" ref="BG200">MEDIAN(IF(BG165:BG198&lt;&gt;0,BG165:BG198))</f>
        <v>8</v>
      </c>
      <c r="BH200" s="35"/>
      <c r="BI200" s="33"/>
      <c r="BJ200" s="33"/>
      <c r="BK200" s="33"/>
      <c r="BL200" s="33"/>
      <c r="BM200" s="33">
        <f t="array" ref="BM200">MEDIAN(IF(BM165:BM198&lt;&gt;0,BM165:BM198))</f>
        <v>86.15</v>
      </c>
      <c r="BN200" s="33"/>
      <c r="BO200" s="34">
        <f t="array" ref="BO200">MEDIAN(IF(BO165:BO198&lt;&gt;0,BO165:BO198))</f>
        <v>7</v>
      </c>
      <c r="BP200" s="35"/>
      <c r="BQ200" s="33"/>
      <c r="BR200" s="33"/>
      <c r="BS200" s="33"/>
      <c r="BT200" s="33"/>
      <c r="BU200" s="33">
        <f t="array" ref="BU200">MEDIAN(IF(BU165:BU198&lt;&gt;0,BU165:BU198))</f>
        <v>82.9</v>
      </c>
      <c r="BV200" s="33"/>
      <c r="BW200" s="34">
        <f t="array" ref="BW200">MEDIAN(IF(BW165:BW198&lt;&gt;0,BW165:BW198))</f>
        <v>7</v>
      </c>
      <c r="BX200" s="25"/>
      <c r="BY200" s="24"/>
      <c r="BZ200" s="24"/>
      <c r="CA200" s="24"/>
    </row>
    <row r="201" spans="1:79" s="45" customFormat="1" x14ac:dyDescent="0.25">
      <c r="B201" s="46" t="s">
        <v>433</v>
      </c>
      <c r="C201" s="47"/>
      <c r="D201" s="47"/>
      <c r="E201" s="47"/>
      <c r="F201" s="47"/>
      <c r="G201" s="47"/>
      <c r="H201" s="47"/>
      <c r="I201" s="47"/>
      <c r="J201" s="47"/>
      <c r="K201" s="48">
        <f>SUM(K165:K198)</f>
        <v>202</v>
      </c>
      <c r="L201" s="48"/>
      <c r="M201" s="47"/>
      <c r="N201" s="47"/>
      <c r="O201" s="47"/>
      <c r="P201" s="47"/>
      <c r="Q201" s="47"/>
      <c r="R201" s="47"/>
      <c r="S201" s="48">
        <f>SUM(S165:S198)</f>
        <v>188</v>
      </c>
      <c r="T201" s="48"/>
      <c r="U201" s="47"/>
      <c r="V201" s="47"/>
      <c r="W201" s="47"/>
      <c r="X201" s="47"/>
      <c r="Y201" s="47"/>
      <c r="Z201" s="47"/>
      <c r="AA201" s="48">
        <f>SUM(AA165:AA198)</f>
        <v>304</v>
      </c>
      <c r="AB201" s="48"/>
      <c r="AC201" s="47"/>
      <c r="AD201" s="47"/>
      <c r="AE201" s="47"/>
      <c r="AF201" s="47"/>
      <c r="AG201" s="47"/>
      <c r="AH201" s="47"/>
      <c r="AI201" s="48">
        <f>SUM(AI165:AI198)</f>
        <v>258</v>
      </c>
      <c r="AJ201" s="48"/>
      <c r="AK201" s="47"/>
      <c r="AL201" s="47"/>
      <c r="AM201" s="47"/>
      <c r="AN201" s="47"/>
      <c r="AO201" s="47"/>
      <c r="AP201" s="47"/>
      <c r="AQ201" s="48">
        <f>SUM(AQ165:AQ198)</f>
        <v>172</v>
      </c>
      <c r="AR201" s="48"/>
      <c r="AS201" s="47"/>
      <c r="AT201" s="47"/>
      <c r="AU201" s="47"/>
      <c r="AV201" s="47"/>
      <c r="AW201" s="47"/>
      <c r="AX201" s="47"/>
      <c r="AY201" s="48">
        <f>SUM(AY165:AY198)</f>
        <v>217</v>
      </c>
      <c r="AZ201" s="48"/>
      <c r="BA201" s="47"/>
      <c r="BB201" s="47"/>
      <c r="BC201" s="47"/>
      <c r="BD201" s="47"/>
      <c r="BE201" s="47"/>
      <c r="BF201" s="47"/>
      <c r="BG201" s="48">
        <f>SUM(BG165:BG198)</f>
        <v>237</v>
      </c>
      <c r="BH201" s="48"/>
      <c r="BI201" s="47"/>
      <c r="BJ201" s="47"/>
      <c r="BK201" s="47"/>
      <c r="BL201" s="47"/>
      <c r="BM201" s="47"/>
      <c r="BN201" s="47"/>
      <c r="BO201" s="48">
        <f>SUM(BO165:BO198)</f>
        <v>233</v>
      </c>
      <c r="BP201" s="48"/>
      <c r="BQ201" s="47"/>
      <c r="BR201" s="47"/>
      <c r="BS201" s="47"/>
      <c r="BT201" s="47"/>
      <c r="BU201" s="47"/>
      <c r="BV201" s="47"/>
      <c r="BW201" s="48">
        <f>SUM(BW165:BW198)</f>
        <v>242</v>
      </c>
      <c r="BX201" s="49"/>
      <c r="BY201" s="50"/>
      <c r="BZ201" s="50"/>
      <c r="CA201" s="50"/>
    </row>
    <row r="203" spans="1:79" ht="15.75" x14ac:dyDescent="0.25">
      <c r="A203" s="12" t="s">
        <v>12</v>
      </c>
    </row>
    <row r="204" spans="1:79" outlineLevel="1" x14ac:dyDescent="0.25">
      <c r="B204" t="s">
        <v>21</v>
      </c>
      <c r="C204" s="17">
        <v>0</v>
      </c>
      <c r="D204" s="17"/>
      <c r="E204" s="17">
        <v>0</v>
      </c>
      <c r="F204" s="17"/>
      <c r="G204" s="17">
        <v>0</v>
      </c>
      <c r="H204" s="17"/>
      <c r="I204" s="17">
        <f t="array" ref="I204">SUM(IF(Period=I$4,IF(Category=$A$203,IF(Provider=$B204,Score))))</f>
        <v>71.400000000000006</v>
      </c>
      <c r="J204" s="17"/>
      <c r="K204" s="20">
        <f t="array" ref="K204">SUM(IF(Period=I$4,IF(Category=$A$203,IF(Provider=$B204,Responses))))</f>
        <v>7</v>
      </c>
      <c r="L204" s="20"/>
      <c r="M204" s="19">
        <f>I204*(K204/SUM(K$204:K$237))</f>
        <v>2.4620689655172416</v>
      </c>
      <c r="N204" s="17"/>
      <c r="O204" s="17">
        <f t="shared" ref="O204:O237" si="90">I204*(K204/(SUM(K$9:K$42)+SUM(K$48:K$81)+SUM(K$87:K$120)+SUM(K$126:K$159)+SUM(K$165:K$198)+SUM(K$204:K$237)))</f>
        <v>0.41339950372208439</v>
      </c>
      <c r="P204" s="17"/>
      <c r="Q204" s="17">
        <f t="array" ref="Q204">SUM(IF(Period=Q$4,IF(Category=$A$203,IF(Provider=$B204,Score))))</f>
        <v>68.8</v>
      </c>
      <c r="R204" s="17"/>
      <c r="S204" s="20">
        <f t="array" ref="S204">SUM(IF(Period=Q$4,IF(Category=$A$203,IF(Provider=$B204,Responses))))</f>
        <v>4</v>
      </c>
      <c r="T204" s="20"/>
      <c r="U204" s="19">
        <f>Q204*(S204/SUM(S$204:S$237))</f>
        <v>1.4638297872340424</v>
      </c>
      <c r="V204" s="17"/>
      <c r="W204" s="17">
        <f t="shared" ref="W204:W237" si="91">Q204*(S204/(SUM(S$9:S$42)+SUM(S$48:S$81)+SUM(S$87:S$120)+SUM(S$126:S$159)+SUM(S$165:S$198)+SUM(S$204:S$237)))</f>
        <v>0.24527629233511583</v>
      </c>
      <c r="X204" s="17"/>
      <c r="Y204" s="17">
        <f t="array" ref="Y204">SUM(IF(Period=Y$4,IF(Category=$A$203,IF(Provider=$B204,Score))))</f>
        <v>82.7</v>
      </c>
      <c r="Z204" s="17"/>
      <c r="AA204" s="20">
        <f t="array" ref="AA204">SUM(IF(Period=Y$4,IF(Category=$A$203,IF(Provider=$B204,Responses))))</f>
        <v>13</v>
      </c>
      <c r="AB204" s="20"/>
      <c r="AC204" s="19">
        <f>Y204*(AA204/SUM(AA$204:AA$237))</f>
        <v>3.5836666666666668</v>
      </c>
      <c r="AD204" s="17"/>
      <c r="AE204" s="17">
        <f t="shared" ref="AE204:AE237" si="92">Y204*(AA204/(SUM(AA$9:AA$42)+SUM(AA$48:AA$81)+SUM(AA$87:AA$120)+SUM(AA$126:AA$159)+SUM(AA$165:AA$198)+SUM(AA$204:AA$237)))</f>
        <v>0.59299503585217872</v>
      </c>
      <c r="AF204" s="17"/>
      <c r="AG204" s="17">
        <f t="array" ref="AG204">SUM(IF(Period=AG$4,IF(Category=$A$203,IF(Provider=$B204,Score))))</f>
        <v>100</v>
      </c>
      <c r="AH204" s="17"/>
      <c r="AI204" s="20">
        <f t="array" ref="AI204">SUM(IF(Period=AG$4,IF(Category=$A$203,IF(Provider=$B204,Responses))))</f>
        <v>3</v>
      </c>
      <c r="AJ204" s="20"/>
      <c r="AK204" s="19">
        <f>AG204*(AI204/SUM(AI$204:AI$237))</f>
        <v>1.1627906976744187</v>
      </c>
      <c r="AL204" s="17"/>
      <c r="AM204" s="17">
        <f t="shared" ref="AM204:AM237" si="93">AG204*(AI204/(SUM(AI$9:AI$42)+SUM(AI$48:AI$81)+SUM(AI$87:AI$120)+SUM(AI$126:AI$159)+SUM(AI$165:AI$198)+SUM(AI$204:AI$237)))</f>
        <v>0.19430051813471502</v>
      </c>
      <c r="AN204" s="17"/>
      <c r="AO204" s="17">
        <f t="array" ref="AO204">SUM(IF(Period=AO$4,IF(Category=$A$203,IF(Provider=$B204,Score))))</f>
        <v>75</v>
      </c>
      <c r="AP204" s="17"/>
      <c r="AQ204" s="20">
        <f t="array" ref="AQ204">SUM(IF(Period=AO$4,IF(Category=$A$203,IF(Provider=$B204,Responses))))</f>
        <v>2</v>
      </c>
      <c r="AR204" s="20"/>
      <c r="AS204" s="19">
        <f>AO204*(AQ204/SUM(AQ$204:AQ$237))</f>
        <v>0.8771929824561403</v>
      </c>
      <c r="AT204" s="17"/>
      <c r="AU204" s="17">
        <f t="shared" ref="AU204:AU237" si="94">AO204*(AQ204/(SUM(AQ$9:AQ$42)+SUM(AQ$48:AQ$81)+SUM(AQ$87:AQ$120)+SUM(AQ$126:AQ$159)+SUM(AQ$165:AQ$198)+SUM(AQ$204:AQ$237)))</f>
        <v>0.14619883040935672</v>
      </c>
      <c r="AV204" s="17"/>
      <c r="AW204" s="17">
        <f t="array" ref="AW204">SUM(IF(Period=AW$4,IF(Category=$A$203,IF(Provider=$B204,Score))))</f>
        <v>80</v>
      </c>
      <c r="AX204" s="17"/>
      <c r="AY204" s="20">
        <f t="array" ref="AY204">SUM(IF(Period=AW$4,IF(Category=$A$203,IF(Provider=$B204,Responses))))</f>
        <v>5</v>
      </c>
      <c r="AZ204" s="20"/>
      <c r="BA204" s="19">
        <f>AW204*(AY204/SUM(AY$204:AY$237))</f>
        <v>1.8264840182648401</v>
      </c>
      <c r="BB204" s="17"/>
      <c r="BC204" s="17">
        <f t="shared" ref="BC204:BC237" si="95">AW204*(AY204/(SUM(AY$9:AY$42)+SUM(AY$48:AY$81)+SUM(AY$87:AY$120)+SUM(AY$126:AY$159)+SUM(AY$165:AY$198)+SUM(AY$204:AY$237)))</f>
        <v>0.30721966205837176</v>
      </c>
      <c r="BD204" s="17"/>
      <c r="BE204" s="17">
        <f t="array" ref="BE204">SUM(IF(Period=BE$4,IF(Category=$A$203,IF(Provider=$B204,Score))))</f>
        <v>77.8</v>
      </c>
      <c r="BF204" s="17"/>
      <c r="BG204" s="20">
        <f t="array" ref="BG204">SUM(IF(Period=BE$4,IF(Category=$A$203,IF(Provider=$B204,Responses))))</f>
        <v>9</v>
      </c>
      <c r="BH204" s="20"/>
      <c r="BI204" s="19">
        <f>BE204*(BG204/SUM(BG$204:BG$237))</f>
        <v>2.9544303797468356</v>
      </c>
      <c r="BJ204" s="17"/>
      <c r="BK204" s="17">
        <f t="shared" ref="BK204:BK237" si="96">BE204*(BG204/(SUM(BG$9:BG$42)+SUM(BG$48:BG$81)+SUM(BG$87:BG$120)+SUM(BG$126:BG$159)+SUM(BG$165:BG$198)+SUM(BG$204:BG$237)))</f>
        <v>0.49484098939929327</v>
      </c>
      <c r="BL204" s="17"/>
      <c r="BM204" s="17">
        <f t="array" ref="BM204">SUM(IF(Period=BM$4,IF(Category=$A$203,IF(Provider=$B204,Score))))</f>
        <v>95.8</v>
      </c>
      <c r="BN204" s="17"/>
      <c r="BO204" s="20">
        <f t="array" ref="BO204">SUM(IF(Period=BM$4,IF(Category=$A$203,IF(Provider=$B204,Responses))))</f>
        <v>6</v>
      </c>
      <c r="BP204" s="20"/>
      <c r="BQ204" s="19">
        <f>BM204*(BO204/SUM(BO$204:BO$237))</f>
        <v>2.4883116883116885</v>
      </c>
      <c r="BR204" s="17"/>
      <c r="BS204" s="17">
        <f t="shared" ref="BS204:BS237" si="97">BM204*(BO204/(SUM(BO$9:BO$42)+SUM(BO$48:BO$81)+SUM(BO$87:BO$120)+SUM(BO$126:BO$159)+SUM(BO$165:BO$198)+SUM(BO$204:BO$237)))</f>
        <v>0.41471861471861471</v>
      </c>
      <c r="BT204" s="17"/>
      <c r="BU204" s="17">
        <f t="array" ref="BU204">SUM(IF(Period=BU$4,IF(Category=$A$203,IF(Provider=$B204,Score))))</f>
        <v>95</v>
      </c>
      <c r="BV204" s="17"/>
      <c r="BW204" s="20">
        <f t="array" ref="BW204">SUM(IF(Period=BU$4,IF(Category=$A$203,IF(Provider=$B204,Responses))))</f>
        <v>5</v>
      </c>
      <c r="BX204" s="20"/>
      <c r="BY204" s="19">
        <f>BU204*(BW204/SUM(BW$204:BW$237))</f>
        <v>1.9467213114754096</v>
      </c>
      <c r="BZ204" s="17"/>
      <c r="CA204" s="17">
        <f t="shared" ref="CA204:CA237" si="98">BU204*(BW204/(SUM(BW$9:BW$42)+SUM(BW$48:BW$81)+SUM(BW$87:BW$120)+SUM(BW$126:BW$159)+SUM(BW$165:BW$198)+SUM(BW$204:BW$237)))</f>
        <v>0.32826537664132688</v>
      </c>
    </row>
    <row r="205" spans="1:79" outlineLevel="1" x14ac:dyDescent="0.25">
      <c r="B205" t="s">
        <v>30</v>
      </c>
      <c r="C205" s="17">
        <v>0</v>
      </c>
      <c r="D205" s="17"/>
      <c r="E205" s="17">
        <v>0</v>
      </c>
      <c r="F205" s="17"/>
      <c r="G205" s="17">
        <v>0</v>
      </c>
      <c r="H205" s="17"/>
      <c r="I205" s="17">
        <f t="array" ref="I205">SUM(IF(Period=I$4,IF(Category=$A$203,IF(Provider=$B205,Score))))</f>
        <v>64.3</v>
      </c>
      <c r="J205" s="17"/>
      <c r="K205" s="20">
        <f t="array" ref="K205">SUM(IF(Period=I$4,IF(Category=$A$203,IF(Provider=$B205,Responses))))</f>
        <v>7</v>
      </c>
      <c r="L205" s="20"/>
      <c r="M205" s="17">
        <f t="shared" ref="M205:M237" si="99">I205*(K205/SUM(K$204:K$237))</f>
        <v>2.2172413793103445</v>
      </c>
      <c r="N205" s="17"/>
      <c r="O205" s="17">
        <f t="shared" si="90"/>
        <v>0.37229114971050453</v>
      </c>
      <c r="P205" s="17"/>
      <c r="Q205" s="17">
        <f t="array" ref="Q205">SUM(IF(Period=Q$4,IF(Category=$A$203,IF(Provider=$B205,Score))))</f>
        <v>83.3</v>
      </c>
      <c r="R205" s="17"/>
      <c r="S205" s="20">
        <f t="array" ref="S205">SUM(IF(Period=Q$4,IF(Category=$A$203,IF(Provider=$B205,Responses))))</f>
        <v>9</v>
      </c>
      <c r="T205" s="20"/>
      <c r="U205" s="17">
        <f t="shared" ref="U205:U237" si="100">Q205*(S205/SUM(S$204:S$237))</f>
        <v>3.9877659574468085</v>
      </c>
      <c r="V205" s="17"/>
      <c r="W205" s="17">
        <f t="shared" si="91"/>
        <v>0.66818181818181821</v>
      </c>
      <c r="X205" s="17"/>
      <c r="Y205" s="17">
        <f t="array" ref="Y205">SUM(IF(Period=Y$4,IF(Category=$A$203,IF(Provider=$B205,Score))))</f>
        <v>83.3</v>
      </c>
      <c r="Z205" s="17"/>
      <c r="AA205" s="20">
        <f t="array" ref="AA205">SUM(IF(Period=Y$4,IF(Category=$A$203,IF(Provider=$B205,Responses))))</f>
        <v>9</v>
      </c>
      <c r="AB205" s="20"/>
      <c r="AC205" s="17">
        <f t="shared" ref="AC205:AC237" si="101">Y205*(AA205/SUM(AA$204:AA$237))</f>
        <v>2.4989999999999997</v>
      </c>
      <c r="AD205" s="17"/>
      <c r="AE205" s="17">
        <f t="shared" si="92"/>
        <v>0.41351351351351345</v>
      </c>
      <c r="AF205" s="17"/>
      <c r="AG205" s="17">
        <f t="array" ref="AG205">SUM(IF(Period=AG$4,IF(Category=$A$203,IF(Provider=$B205,Score))))</f>
        <v>100</v>
      </c>
      <c r="AH205" s="17"/>
      <c r="AI205" s="20">
        <f t="array" ref="AI205">SUM(IF(Period=AG$4,IF(Category=$A$203,IF(Provider=$B205,Responses))))</f>
        <v>6</v>
      </c>
      <c r="AJ205" s="20"/>
      <c r="AK205" s="17">
        <f t="shared" ref="AK205:AK237" si="102">AG205*(AI205/SUM(AI$204:AI$237))</f>
        <v>2.3255813953488373</v>
      </c>
      <c r="AL205" s="17"/>
      <c r="AM205" s="17">
        <f t="shared" si="93"/>
        <v>0.38860103626943004</v>
      </c>
      <c r="AN205" s="17"/>
      <c r="AO205" s="17">
        <f t="array" ref="AO205">SUM(IF(Period=AO$4,IF(Category=$A$203,IF(Provider=$B205,Score))))</f>
        <v>62.5</v>
      </c>
      <c r="AP205" s="17"/>
      <c r="AQ205" s="20">
        <f t="array" ref="AQ205">SUM(IF(Period=AO$4,IF(Category=$A$203,IF(Provider=$B205,Responses))))</f>
        <v>4</v>
      </c>
      <c r="AR205" s="20"/>
      <c r="AS205" s="17">
        <f t="shared" ref="AS205:AS237" si="103">AO205*(AQ205/SUM(AQ$204:AQ$237))</f>
        <v>1.4619883040935671</v>
      </c>
      <c r="AT205" s="17"/>
      <c r="AU205" s="17">
        <f t="shared" si="94"/>
        <v>0.24366471734892786</v>
      </c>
      <c r="AV205" s="17"/>
      <c r="AW205" s="17">
        <f t="array" ref="AW205">SUM(IF(Period=AW$4,IF(Category=$A$203,IF(Provider=$B205,Score))))</f>
        <v>64.3</v>
      </c>
      <c r="AX205" s="17"/>
      <c r="AY205" s="20">
        <f t="array" ref="AY205">SUM(IF(Period=AW$4,IF(Category=$A$203,IF(Provider=$B205,Responses))))</f>
        <v>7</v>
      </c>
      <c r="AZ205" s="20"/>
      <c r="BA205" s="17">
        <f t="shared" ref="BA205:BA237" si="104">AW205*(AY205/SUM(AY$204:AY$237))</f>
        <v>2.0552511415525112</v>
      </c>
      <c r="BB205" s="17"/>
      <c r="BC205" s="17">
        <f t="shared" si="95"/>
        <v>0.3456989247311828</v>
      </c>
      <c r="BD205" s="17"/>
      <c r="BE205" s="17">
        <f t="array" ref="BE205">SUM(IF(Period=BE$4,IF(Category=$A$203,IF(Provider=$B205,Score))))</f>
        <v>75</v>
      </c>
      <c r="BF205" s="17"/>
      <c r="BG205" s="20">
        <f t="array" ref="BG205">SUM(IF(Period=BE$4,IF(Category=$A$203,IF(Provider=$B205,Responses))))</f>
        <v>8</v>
      </c>
      <c r="BH205" s="20"/>
      <c r="BI205" s="17">
        <f t="shared" ref="BI205:BI237" si="105">BE205*(BG205/SUM(BG$204:BG$237))</f>
        <v>2.5316455696202529</v>
      </c>
      <c r="BJ205" s="17"/>
      <c r="BK205" s="17">
        <f t="shared" si="96"/>
        <v>0.42402826855123671</v>
      </c>
      <c r="BL205" s="17"/>
      <c r="BM205" s="17">
        <f t="array" ref="BM205">SUM(IF(Period=BM$4,IF(Category=$A$203,IF(Provider=$B205,Score))))</f>
        <v>83.3</v>
      </c>
      <c r="BN205" s="17"/>
      <c r="BO205" s="20">
        <f t="array" ref="BO205">SUM(IF(Period=BM$4,IF(Category=$A$203,IF(Provider=$B205,Responses))))</f>
        <v>6</v>
      </c>
      <c r="BP205" s="20"/>
      <c r="BQ205" s="17">
        <f t="shared" ref="BQ205:BQ237" si="106">BM205*(BO205/SUM(BO$204:BO$237))</f>
        <v>2.1636363636363636</v>
      </c>
      <c r="BR205" s="17"/>
      <c r="BS205" s="17">
        <f t="shared" si="97"/>
        <v>0.3606060606060606</v>
      </c>
      <c r="BT205" s="17"/>
      <c r="BU205" s="17">
        <f t="array" ref="BU205">SUM(IF(Period=BU$4,IF(Category=$A$203,IF(Provider=$B205,Score))))</f>
        <v>72.7</v>
      </c>
      <c r="BV205" s="17"/>
      <c r="BW205" s="20">
        <f t="array" ref="BW205">SUM(IF(Period=BU$4,IF(Category=$A$203,IF(Provider=$B205,Responses))))</f>
        <v>11</v>
      </c>
      <c r="BX205" s="20"/>
      <c r="BY205" s="17">
        <f t="shared" ref="BY205:BY237" si="107">BU205*(BW205/SUM(BW$204:BW$237))</f>
        <v>3.2774590163934429</v>
      </c>
      <c r="BZ205" s="17"/>
      <c r="CA205" s="17">
        <f t="shared" si="98"/>
        <v>0.55266067726330337</v>
      </c>
    </row>
    <row r="206" spans="1:79" outlineLevel="1" x14ac:dyDescent="0.25">
      <c r="B206" t="s">
        <v>14</v>
      </c>
      <c r="C206" s="17">
        <v>0</v>
      </c>
      <c r="D206" s="17"/>
      <c r="E206" s="17">
        <v>0</v>
      </c>
      <c r="F206" s="17"/>
      <c r="G206" s="17">
        <v>0</v>
      </c>
      <c r="H206" s="17"/>
      <c r="I206" s="17">
        <f t="array" ref="I206">SUM(IF(Period=I$4,IF(Category=$A$203,IF(Provider=$B206,Score))))</f>
        <v>75</v>
      </c>
      <c r="J206" s="17"/>
      <c r="K206" s="20">
        <f t="array" ref="K206">SUM(IF(Period=I$4,IF(Category=$A$203,IF(Provider=$B206,Responses))))</f>
        <v>7</v>
      </c>
      <c r="L206" s="20"/>
      <c r="M206" s="17">
        <f t="shared" si="99"/>
        <v>2.5862068965517242</v>
      </c>
      <c r="N206" s="17"/>
      <c r="O206" s="17">
        <f t="shared" si="90"/>
        <v>0.43424317617866004</v>
      </c>
      <c r="P206" s="17"/>
      <c r="Q206" s="17">
        <f t="array" ref="Q206">SUM(IF(Period=Q$4,IF(Category=$A$203,IF(Provider=$B206,Score))))</f>
        <v>83.3</v>
      </c>
      <c r="R206" s="17"/>
      <c r="S206" s="20">
        <f t="array" ref="S206">SUM(IF(Period=Q$4,IF(Category=$A$203,IF(Provider=$B206,Responses))))</f>
        <v>6</v>
      </c>
      <c r="T206" s="20"/>
      <c r="U206" s="17">
        <f t="shared" si="100"/>
        <v>2.658510638297872</v>
      </c>
      <c r="V206" s="17"/>
      <c r="W206" s="17">
        <f t="shared" si="91"/>
        <v>0.44545454545454544</v>
      </c>
      <c r="X206" s="17"/>
      <c r="Y206" s="17">
        <f t="array" ref="Y206">SUM(IF(Period=Y$4,IF(Category=$A$203,IF(Provider=$B206,Score))))</f>
        <v>77.8</v>
      </c>
      <c r="Z206" s="17"/>
      <c r="AA206" s="20">
        <f t="array" ref="AA206">SUM(IF(Period=Y$4,IF(Category=$A$203,IF(Provider=$B206,Responses))))</f>
        <v>9</v>
      </c>
      <c r="AB206" s="20"/>
      <c r="AC206" s="17">
        <f t="shared" si="101"/>
        <v>2.3339999999999996</v>
      </c>
      <c r="AD206" s="17"/>
      <c r="AE206" s="17">
        <f t="shared" si="92"/>
        <v>0.38621070049641476</v>
      </c>
      <c r="AF206" s="17"/>
      <c r="AG206" s="17">
        <f t="array" ref="AG206">SUM(IF(Period=AG$4,IF(Category=$A$203,IF(Provider=$B206,Score))))</f>
        <v>89.3</v>
      </c>
      <c r="AH206" s="17"/>
      <c r="AI206" s="20">
        <f t="array" ref="AI206">SUM(IF(Period=AG$4,IF(Category=$A$203,IF(Provider=$B206,Responses))))</f>
        <v>7</v>
      </c>
      <c r="AJ206" s="20"/>
      <c r="AK206" s="17">
        <f t="shared" si="102"/>
        <v>2.4228682170542633</v>
      </c>
      <c r="AL206" s="17"/>
      <c r="AM206" s="17">
        <f t="shared" si="93"/>
        <v>0.4048575129533678</v>
      </c>
      <c r="AN206" s="17"/>
      <c r="AO206" s="17">
        <f t="array" ref="AO206">SUM(IF(Period=AO$4,IF(Category=$A$203,IF(Provider=$B206,Score))))</f>
        <v>62.5</v>
      </c>
      <c r="AP206" s="17"/>
      <c r="AQ206" s="20">
        <f t="array" ref="AQ206">SUM(IF(Period=AO$4,IF(Category=$A$203,IF(Provider=$B206,Responses))))</f>
        <v>8</v>
      </c>
      <c r="AR206" s="20"/>
      <c r="AS206" s="17">
        <f t="shared" si="103"/>
        <v>2.9239766081871341</v>
      </c>
      <c r="AT206" s="17"/>
      <c r="AU206" s="17">
        <f t="shared" si="94"/>
        <v>0.48732943469785572</v>
      </c>
      <c r="AV206" s="17"/>
      <c r="AW206" s="17">
        <f t="array" ref="AW206">SUM(IF(Period=AW$4,IF(Category=$A$203,IF(Provider=$B206,Score))))</f>
        <v>95.8</v>
      </c>
      <c r="AX206" s="17"/>
      <c r="AY206" s="20">
        <f t="array" ref="AY206">SUM(IF(Period=AW$4,IF(Category=$A$203,IF(Provider=$B206,Responses))))</f>
        <v>6</v>
      </c>
      <c r="AZ206" s="20"/>
      <c r="BA206" s="17">
        <f t="shared" si="104"/>
        <v>2.624657534246575</v>
      </c>
      <c r="BB206" s="17"/>
      <c r="BC206" s="17">
        <f t="shared" si="95"/>
        <v>0.44147465437788019</v>
      </c>
      <c r="BD206" s="17"/>
      <c r="BE206" s="17">
        <f t="array" ref="BE206">SUM(IF(Period=BE$4,IF(Category=$A$203,IF(Provider=$B206,Score))))</f>
        <v>90.6</v>
      </c>
      <c r="BF206" s="17"/>
      <c r="BG206" s="20">
        <f t="array" ref="BG206">SUM(IF(Period=BE$4,IF(Category=$A$203,IF(Provider=$B206,Responses))))</f>
        <v>8</v>
      </c>
      <c r="BH206" s="20"/>
      <c r="BI206" s="17">
        <f t="shared" si="105"/>
        <v>3.0582278481012652</v>
      </c>
      <c r="BJ206" s="17"/>
      <c r="BK206" s="17">
        <f t="shared" si="96"/>
        <v>0.51222614840989389</v>
      </c>
      <c r="BL206" s="17"/>
      <c r="BM206" s="17">
        <f t="array" ref="BM206">SUM(IF(Period=BM$4,IF(Category=$A$203,IF(Provider=$B206,Score))))</f>
        <v>53.1</v>
      </c>
      <c r="BN206" s="17"/>
      <c r="BO206" s="20">
        <f t="array" ref="BO206">SUM(IF(Period=BM$4,IF(Category=$A$203,IF(Provider=$B206,Responses))))</f>
        <v>8</v>
      </c>
      <c r="BP206" s="20"/>
      <c r="BQ206" s="17">
        <f t="shared" si="106"/>
        <v>1.8389610389610389</v>
      </c>
      <c r="BR206" s="17"/>
      <c r="BS206" s="17">
        <f t="shared" si="97"/>
        <v>0.30649350649350648</v>
      </c>
      <c r="BT206" s="17"/>
      <c r="BU206" s="17">
        <f t="array" ref="BU206">SUM(IF(Period=BU$4,IF(Category=$A$203,IF(Provider=$B206,Score))))</f>
        <v>70.8</v>
      </c>
      <c r="BV206" s="17"/>
      <c r="BW206" s="20">
        <f t="array" ref="BW206">SUM(IF(Period=BU$4,IF(Category=$A$203,IF(Provider=$B206,Responses))))</f>
        <v>6</v>
      </c>
      <c r="BX206" s="20"/>
      <c r="BY206" s="17">
        <f t="shared" si="107"/>
        <v>1.7409836065573769</v>
      </c>
      <c r="BZ206" s="17"/>
      <c r="CA206" s="17">
        <f t="shared" si="98"/>
        <v>0.29357290946786452</v>
      </c>
    </row>
    <row r="207" spans="1:79" outlineLevel="1" x14ac:dyDescent="0.25">
      <c r="B207" t="s">
        <v>38</v>
      </c>
      <c r="C207" s="17">
        <v>0</v>
      </c>
      <c r="D207" s="17"/>
      <c r="E207" s="17">
        <v>0</v>
      </c>
      <c r="F207" s="17"/>
      <c r="G207" s="17">
        <v>0</v>
      </c>
      <c r="H207" s="17"/>
      <c r="I207" s="17">
        <f t="array" ref="I207">SUM(IF(Period=I$4,IF(Category=$A$203,IF(Provider=$B207,Score))))</f>
        <v>50</v>
      </c>
      <c r="J207" s="17"/>
      <c r="K207" s="20">
        <f t="array" ref="K207">SUM(IF(Period=I$4,IF(Category=$A$203,IF(Provider=$B207,Responses))))</f>
        <v>4</v>
      </c>
      <c r="L207" s="20"/>
      <c r="M207" s="17">
        <f t="shared" si="99"/>
        <v>0.98522167487684731</v>
      </c>
      <c r="N207" s="17"/>
      <c r="O207" s="17">
        <f t="shared" si="90"/>
        <v>0.16542597187758479</v>
      </c>
      <c r="P207" s="17"/>
      <c r="Q207" s="17">
        <f t="array" ref="Q207">SUM(IF(Period=Q$4,IF(Category=$A$203,IF(Provider=$B207,Score))))</f>
        <v>64.3</v>
      </c>
      <c r="R207" s="17"/>
      <c r="S207" s="20">
        <f t="array" ref="S207">SUM(IF(Period=Q$4,IF(Category=$A$203,IF(Provider=$B207,Responses))))</f>
        <v>7</v>
      </c>
      <c r="T207" s="20"/>
      <c r="U207" s="17">
        <f t="shared" si="100"/>
        <v>2.3941489361702124</v>
      </c>
      <c r="V207" s="17"/>
      <c r="W207" s="17">
        <f t="shared" si="91"/>
        <v>0.4011586452762923</v>
      </c>
      <c r="X207" s="17"/>
      <c r="Y207" s="17">
        <f t="array" ref="Y207">SUM(IF(Period=Y$4,IF(Category=$A$203,IF(Provider=$B207,Score))))</f>
        <v>54.6</v>
      </c>
      <c r="Z207" s="17"/>
      <c r="AA207" s="20">
        <f t="array" ref="AA207">SUM(IF(Period=Y$4,IF(Category=$A$203,IF(Provider=$B207,Responses))))</f>
        <v>11</v>
      </c>
      <c r="AB207" s="20"/>
      <c r="AC207" s="17">
        <f t="shared" si="101"/>
        <v>2.0020000000000002</v>
      </c>
      <c r="AD207" s="17"/>
      <c r="AE207" s="17">
        <f t="shared" si="92"/>
        <v>0.3312741312741313</v>
      </c>
      <c r="AF207" s="17"/>
      <c r="AG207" s="17">
        <f t="array" ref="AG207">SUM(IF(Period=AG$4,IF(Category=$A$203,IF(Provider=$B207,Score))))</f>
        <v>75</v>
      </c>
      <c r="AH207" s="17"/>
      <c r="AI207" s="20">
        <f t="array" ref="AI207">SUM(IF(Period=AG$4,IF(Category=$A$203,IF(Provider=$B207,Responses))))</f>
        <v>5</v>
      </c>
      <c r="AJ207" s="20"/>
      <c r="AK207" s="17">
        <f t="shared" si="102"/>
        <v>1.4534883720930232</v>
      </c>
      <c r="AL207" s="17"/>
      <c r="AM207" s="17">
        <f t="shared" si="93"/>
        <v>0.24287564766839376</v>
      </c>
      <c r="AN207" s="17"/>
      <c r="AO207" s="17">
        <f t="array" ref="AO207">SUM(IF(Period=AO$4,IF(Category=$A$203,IF(Provider=$B207,Score))))</f>
        <v>52.8</v>
      </c>
      <c r="AP207" s="17"/>
      <c r="AQ207" s="20">
        <f t="array" ref="AQ207">SUM(IF(Period=AO$4,IF(Category=$A$203,IF(Provider=$B207,Responses))))</f>
        <v>9</v>
      </c>
      <c r="AR207" s="20"/>
      <c r="AS207" s="17">
        <f t="shared" si="103"/>
        <v>2.7789473684210524</v>
      </c>
      <c r="AT207" s="17"/>
      <c r="AU207" s="17">
        <f t="shared" si="94"/>
        <v>0.46315789473684205</v>
      </c>
      <c r="AV207" s="17"/>
      <c r="AW207" s="17">
        <f t="array" ref="AW207">SUM(IF(Period=AW$4,IF(Category=$A$203,IF(Provider=$B207,Score))))</f>
        <v>62.5</v>
      </c>
      <c r="AX207" s="17"/>
      <c r="AY207" s="20">
        <f t="array" ref="AY207">SUM(IF(Period=AW$4,IF(Category=$A$203,IF(Provider=$B207,Responses))))</f>
        <v>2</v>
      </c>
      <c r="AZ207" s="20"/>
      <c r="BA207" s="17">
        <f t="shared" si="104"/>
        <v>0.57077625570776247</v>
      </c>
      <c r="BB207" s="17"/>
      <c r="BC207" s="17">
        <f t="shared" si="95"/>
        <v>9.6006144393241163E-2</v>
      </c>
      <c r="BD207" s="17"/>
      <c r="BE207" s="17">
        <f t="array" ref="BE207">SUM(IF(Period=BE$4,IF(Category=$A$203,IF(Provider=$B207,Score))))</f>
        <v>75</v>
      </c>
      <c r="BF207" s="17"/>
      <c r="BG207" s="20">
        <f t="array" ref="BG207">SUM(IF(Period=BE$4,IF(Category=$A$203,IF(Provider=$B207,Responses))))</f>
        <v>2</v>
      </c>
      <c r="BH207" s="20"/>
      <c r="BI207" s="17">
        <f t="shared" si="105"/>
        <v>0.63291139240506322</v>
      </c>
      <c r="BJ207" s="17"/>
      <c r="BK207" s="17">
        <f t="shared" si="96"/>
        <v>0.10600706713780918</v>
      </c>
      <c r="BL207" s="17"/>
      <c r="BM207" s="17">
        <f t="array" ref="BM207">SUM(IF(Period=BM$4,IF(Category=$A$203,IF(Provider=$B207,Score))))</f>
        <v>85.7</v>
      </c>
      <c r="BN207" s="17"/>
      <c r="BO207" s="20">
        <f t="array" ref="BO207">SUM(IF(Period=BM$4,IF(Category=$A$203,IF(Provider=$B207,Responses))))</f>
        <v>7</v>
      </c>
      <c r="BP207" s="20"/>
      <c r="BQ207" s="17">
        <f t="shared" si="106"/>
        <v>2.5969696969696972</v>
      </c>
      <c r="BR207" s="17"/>
      <c r="BS207" s="17">
        <f t="shared" si="97"/>
        <v>0.4328282828282829</v>
      </c>
      <c r="BT207" s="17"/>
      <c r="BU207" s="17">
        <f t="array" ref="BU207">SUM(IF(Period=BU$4,IF(Category=$A$203,IF(Provider=$B207,Score))))</f>
        <v>78.599999999999994</v>
      </c>
      <c r="BV207" s="17"/>
      <c r="BW207" s="20">
        <f t="array" ref="BW207">SUM(IF(Period=BU$4,IF(Category=$A$203,IF(Provider=$B207,Responses))))</f>
        <v>7</v>
      </c>
      <c r="BX207" s="20"/>
      <c r="BY207" s="17">
        <f t="shared" si="107"/>
        <v>2.2549180327868852</v>
      </c>
      <c r="BZ207" s="17"/>
      <c r="CA207" s="17">
        <f t="shared" si="98"/>
        <v>0.38023496890117486</v>
      </c>
    </row>
    <row r="208" spans="1:79" outlineLevel="1" x14ac:dyDescent="0.25">
      <c r="B208" t="s">
        <v>26</v>
      </c>
      <c r="C208" s="17">
        <v>0</v>
      </c>
      <c r="D208" s="17"/>
      <c r="E208" s="17">
        <v>0</v>
      </c>
      <c r="F208" s="17"/>
      <c r="G208" s="17">
        <v>0</v>
      </c>
      <c r="H208" s="17"/>
      <c r="I208" s="17">
        <f t="array" ref="I208">SUM(IF(Period=I$4,IF(Category=$A$203,IF(Provider=$B208,Score))))</f>
        <v>60.7</v>
      </c>
      <c r="J208" s="17"/>
      <c r="K208" s="20">
        <f t="array" ref="K208">SUM(IF(Period=I$4,IF(Category=$A$203,IF(Provider=$B208,Responses))))</f>
        <v>7</v>
      </c>
      <c r="L208" s="20"/>
      <c r="M208" s="17">
        <f t="shared" si="99"/>
        <v>2.0931034482758619</v>
      </c>
      <c r="N208" s="17"/>
      <c r="O208" s="17">
        <f t="shared" si="90"/>
        <v>0.35144747725392889</v>
      </c>
      <c r="P208" s="17"/>
      <c r="Q208" s="17">
        <f t="array" ref="Q208">SUM(IF(Period=Q$4,IF(Category=$A$203,IF(Provider=$B208,Score))))</f>
        <v>60.7</v>
      </c>
      <c r="R208" s="17"/>
      <c r="S208" s="20">
        <f t="array" ref="S208">SUM(IF(Period=Q$4,IF(Category=$A$203,IF(Provider=$B208,Responses))))</f>
        <v>7</v>
      </c>
      <c r="T208" s="20"/>
      <c r="U208" s="17">
        <f t="shared" si="100"/>
        <v>2.2601063829787233</v>
      </c>
      <c r="V208" s="17"/>
      <c r="W208" s="17">
        <f t="shared" si="91"/>
        <v>0.37869875222816402</v>
      </c>
      <c r="X208" s="17"/>
      <c r="Y208" s="17">
        <f t="array" ref="Y208">SUM(IF(Period=Y$4,IF(Category=$A$203,IF(Provider=$B208,Score))))</f>
        <v>56.3</v>
      </c>
      <c r="Z208" s="17"/>
      <c r="AA208" s="20">
        <f t="array" ref="AA208">SUM(IF(Period=Y$4,IF(Category=$A$203,IF(Provider=$B208,Responses))))</f>
        <v>12</v>
      </c>
      <c r="AB208" s="20"/>
      <c r="AC208" s="17">
        <f t="shared" si="101"/>
        <v>2.2519999999999998</v>
      </c>
      <c r="AD208" s="17"/>
      <c r="AE208" s="17">
        <f t="shared" si="92"/>
        <v>0.37264202978488686</v>
      </c>
      <c r="AF208" s="17"/>
      <c r="AG208" s="17">
        <f t="array" ref="AG208">SUM(IF(Period=AG$4,IF(Category=$A$203,IF(Provider=$B208,Score))))</f>
        <v>72.2</v>
      </c>
      <c r="AH208" s="17"/>
      <c r="AI208" s="20">
        <f t="array" ref="AI208">SUM(IF(Period=AG$4,IF(Category=$A$203,IF(Provider=$B208,Responses))))</f>
        <v>9</v>
      </c>
      <c r="AJ208" s="20"/>
      <c r="AK208" s="17">
        <f t="shared" si="102"/>
        <v>2.5186046511627906</v>
      </c>
      <c r="AL208" s="17"/>
      <c r="AM208" s="17">
        <f t="shared" si="93"/>
        <v>0.42085492227979276</v>
      </c>
      <c r="AN208" s="17"/>
      <c r="AO208" s="17">
        <f t="array" ref="AO208">SUM(IF(Period=AO$4,IF(Category=$A$203,IF(Provider=$B208,Score))))</f>
        <v>83.3</v>
      </c>
      <c r="AP208" s="17"/>
      <c r="AQ208" s="20">
        <f t="array" ref="AQ208">SUM(IF(Period=AO$4,IF(Category=$A$203,IF(Provider=$B208,Responses))))</f>
        <v>3</v>
      </c>
      <c r="AR208" s="20"/>
      <c r="AS208" s="17">
        <f t="shared" si="103"/>
        <v>1.4614035087719297</v>
      </c>
      <c r="AT208" s="17"/>
      <c r="AU208" s="17">
        <f t="shared" si="94"/>
        <v>0.24356725146198829</v>
      </c>
      <c r="AV208" s="17"/>
      <c r="AW208" s="17">
        <f t="array" ref="AW208">SUM(IF(Period=AW$4,IF(Category=$A$203,IF(Provider=$B208,Score))))</f>
        <v>70.8</v>
      </c>
      <c r="AX208" s="17"/>
      <c r="AY208" s="20">
        <f t="array" ref="AY208">SUM(IF(Period=AW$4,IF(Category=$A$203,IF(Provider=$B208,Responses))))</f>
        <v>6</v>
      </c>
      <c r="AZ208" s="20"/>
      <c r="BA208" s="17">
        <f t="shared" si="104"/>
        <v>1.9397260273972601</v>
      </c>
      <c r="BB208" s="17"/>
      <c r="BC208" s="17">
        <f t="shared" si="95"/>
        <v>0.32626728110599079</v>
      </c>
      <c r="BD208" s="17"/>
      <c r="BE208" s="17">
        <f t="array" ref="BE208">SUM(IF(Period=BE$4,IF(Category=$A$203,IF(Provider=$B208,Score))))</f>
        <v>54.2</v>
      </c>
      <c r="BF208" s="17"/>
      <c r="BG208" s="20">
        <f t="array" ref="BG208">SUM(IF(Period=BE$4,IF(Category=$A$203,IF(Provider=$B208,Responses))))</f>
        <v>6</v>
      </c>
      <c r="BH208" s="20"/>
      <c r="BI208" s="17">
        <f t="shared" si="105"/>
        <v>1.3721518987341772</v>
      </c>
      <c r="BJ208" s="17"/>
      <c r="BK208" s="17">
        <f t="shared" si="96"/>
        <v>0.22982332155477031</v>
      </c>
      <c r="BL208" s="17"/>
      <c r="BM208" s="17">
        <f t="array" ref="BM208">SUM(IF(Period=BM$4,IF(Category=$A$203,IF(Provider=$B208,Score))))</f>
        <v>82.1</v>
      </c>
      <c r="BN208" s="17"/>
      <c r="BO208" s="20">
        <f t="array" ref="BO208">SUM(IF(Period=BM$4,IF(Category=$A$203,IF(Provider=$B208,Responses))))</f>
        <v>7</v>
      </c>
      <c r="BP208" s="20"/>
      <c r="BQ208" s="17">
        <f t="shared" si="106"/>
        <v>2.4878787878787878</v>
      </c>
      <c r="BR208" s="17"/>
      <c r="BS208" s="17">
        <f t="shared" si="97"/>
        <v>0.41464646464646465</v>
      </c>
      <c r="BT208" s="17"/>
      <c r="BU208" s="17">
        <f t="array" ref="BU208">SUM(IF(Period=BU$4,IF(Category=$A$203,IF(Provider=$B208,Score))))</f>
        <v>78.599999999999994</v>
      </c>
      <c r="BV208" s="17"/>
      <c r="BW208" s="20">
        <f t="array" ref="BW208">SUM(IF(Period=BU$4,IF(Category=$A$203,IF(Provider=$B208,Responses))))</f>
        <v>7</v>
      </c>
      <c r="BX208" s="20"/>
      <c r="BY208" s="17">
        <f t="shared" si="107"/>
        <v>2.2549180327868852</v>
      </c>
      <c r="BZ208" s="17"/>
      <c r="CA208" s="17">
        <f t="shared" si="98"/>
        <v>0.38023496890117486</v>
      </c>
    </row>
    <row r="209" spans="2:79" outlineLevel="1" x14ac:dyDescent="0.25">
      <c r="B209" t="s">
        <v>42</v>
      </c>
      <c r="C209" s="17">
        <v>0</v>
      </c>
      <c r="D209" s="17"/>
      <c r="E209" s="17">
        <v>0</v>
      </c>
      <c r="F209" s="17"/>
      <c r="G209" s="17">
        <v>0</v>
      </c>
      <c r="H209" s="17"/>
      <c r="I209" s="17">
        <f t="array" ref="I209">SUM(IF(Period=I$4,IF(Category=$A$203,IF(Provider=$B209,Score))))</f>
        <v>43.8</v>
      </c>
      <c r="J209" s="17"/>
      <c r="K209" s="20">
        <f t="array" ref="K209">SUM(IF(Period=I$4,IF(Category=$A$203,IF(Provider=$B209,Responses))))</f>
        <v>4</v>
      </c>
      <c r="L209" s="20"/>
      <c r="M209" s="17">
        <f t="shared" si="99"/>
        <v>0.86305418719211813</v>
      </c>
      <c r="N209" s="17"/>
      <c r="O209" s="17">
        <f t="shared" si="90"/>
        <v>0.14491315136476426</v>
      </c>
      <c r="P209" s="17"/>
      <c r="Q209" s="17">
        <f t="array" ref="Q209">SUM(IF(Period=Q$4,IF(Category=$A$203,IF(Provider=$B209,Score))))</f>
        <v>25</v>
      </c>
      <c r="R209" s="17"/>
      <c r="S209" s="20">
        <f t="array" ref="S209">SUM(IF(Period=Q$4,IF(Category=$A$203,IF(Provider=$B209,Responses))))</f>
        <v>9</v>
      </c>
      <c r="T209" s="20"/>
      <c r="U209" s="17">
        <f t="shared" si="100"/>
        <v>1.196808510638298</v>
      </c>
      <c r="V209" s="17"/>
      <c r="W209" s="17">
        <f t="shared" si="91"/>
        <v>0.20053475935828879</v>
      </c>
      <c r="X209" s="17"/>
      <c r="Y209" s="17">
        <f t="array" ref="Y209">SUM(IF(Period=Y$4,IF(Category=$A$203,IF(Provider=$B209,Score))))</f>
        <v>30</v>
      </c>
      <c r="Z209" s="17"/>
      <c r="AA209" s="20">
        <f t="array" ref="AA209">SUM(IF(Period=Y$4,IF(Category=$A$203,IF(Provider=$B209,Responses))))</f>
        <v>5</v>
      </c>
      <c r="AB209" s="20"/>
      <c r="AC209" s="17">
        <f t="shared" si="101"/>
        <v>0.5</v>
      </c>
      <c r="AD209" s="17"/>
      <c r="AE209" s="17">
        <f t="shared" si="92"/>
        <v>8.2735797021511306E-2</v>
      </c>
      <c r="AF209" s="17"/>
      <c r="AG209" s="17">
        <f t="array" ref="AG209">SUM(IF(Period=AG$4,IF(Category=$A$203,IF(Provider=$B209,Score))))</f>
        <v>25</v>
      </c>
      <c r="AH209" s="17"/>
      <c r="AI209" s="20">
        <f t="array" ref="AI209">SUM(IF(Period=AG$4,IF(Category=$A$203,IF(Provider=$B209,Responses))))</f>
        <v>1</v>
      </c>
      <c r="AJ209" s="20"/>
      <c r="AK209" s="17">
        <f t="shared" si="102"/>
        <v>9.6899224806201556E-2</v>
      </c>
      <c r="AL209" s="17"/>
      <c r="AM209" s="17">
        <f t="shared" si="93"/>
        <v>1.6191709844559588E-2</v>
      </c>
      <c r="AN209" s="17"/>
      <c r="AO209" s="17">
        <f t="array" ref="AO209">SUM(IF(Period=AO$4,IF(Category=$A$203,IF(Provider=$B209,Score))))</f>
        <v>70.8</v>
      </c>
      <c r="AP209" s="17"/>
      <c r="AQ209" s="20">
        <f t="array" ref="AQ209">SUM(IF(Period=AO$4,IF(Category=$A$203,IF(Provider=$B209,Responses))))</f>
        <v>6</v>
      </c>
      <c r="AR209" s="20"/>
      <c r="AS209" s="17">
        <f t="shared" si="103"/>
        <v>2.4842105263157892</v>
      </c>
      <c r="AT209" s="17"/>
      <c r="AU209" s="17">
        <f t="shared" si="94"/>
        <v>0.4140350877192982</v>
      </c>
      <c r="AV209" s="17"/>
      <c r="AW209" s="17">
        <f t="array" ref="AW209">SUM(IF(Period=AW$4,IF(Category=$A$203,IF(Provider=$B209,Score))))</f>
        <v>40.6</v>
      </c>
      <c r="AX209" s="17"/>
      <c r="AY209" s="20">
        <f t="array" ref="AY209">SUM(IF(Period=AW$4,IF(Category=$A$203,IF(Provider=$B209,Responses))))</f>
        <v>8</v>
      </c>
      <c r="AZ209" s="20"/>
      <c r="BA209" s="17">
        <f t="shared" si="104"/>
        <v>1.4831050228310503</v>
      </c>
      <c r="BB209" s="17"/>
      <c r="BC209" s="17">
        <f t="shared" si="95"/>
        <v>0.24946236559139787</v>
      </c>
      <c r="BD209" s="17"/>
      <c r="BE209" s="17">
        <f t="array" ref="BE209">SUM(IF(Period=BE$4,IF(Category=$A$203,IF(Provider=$B209,Score))))</f>
        <v>46.7</v>
      </c>
      <c r="BF209" s="17"/>
      <c r="BG209" s="20">
        <f t="array" ref="BG209">SUM(IF(Period=BE$4,IF(Category=$A$203,IF(Provider=$B209,Responses))))</f>
        <v>15</v>
      </c>
      <c r="BH209" s="20"/>
      <c r="BI209" s="17">
        <f t="shared" si="105"/>
        <v>2.9556962025316458</v>
      </c>
      <c r="BJ209" s="17"/>
      <c r="BK209" s="17">
        <f t="shared" si="96"/>
        <v>0.49505300353356896</v>
      </c>
      <c r="BL209" s="17"/>
      <c r="BM209" s="17">
        <f t="array" ref="BM209">SUM(IF(Period=BM$4,IF(Category=$A$203,IF(Provider=$B209,Score))))</f>
        <v>81.8</v>
      </c>
      <c r="BN209" s="17"/>
      <c r="BO209" s="20">
        <f t="array" ref="BO209">SUM(IF(Period=BM$4,IF(Category=$A$203,IF(Provider=$B209,Responses))))</f>
        <v>11</v>
      </c>
      <c r="BP209" s="20"/>
      <c r="BQ209" s="17">
        <f t="shared" si="106"/>
        <v>3.8952380952380947</v>
      </c>
      <c r="BR209" s="17"/>
      <c r="BS209" s="17">
        <f t="shared" si="97"/>
        <v>0.64920634920634912</v>
      </c>
      <c r="BT209" s="17"/>
      <c r="BU209" s="17">
        <f t="array" ref="BU209">SUM(IF(Period=BU$4,IF(Category=$A$203,IF(Provider=$B209,Score))))</f>
        <v>38.9</v>
      </c>
      <c r="BV209" s="17"/>
      <c r="BW209" s="20">
        <f t="array" ref="BW209">SUM(IF(Period=BU$4,IF(Category=$A$203,IF(Provider=$B209,Responses))))</f>
        <v>9</v>
      </c>
      <c r="BX209" s="20"/>
      <c r="BY209" s="17">
        <f t="shared" si="107"/>
        <v>1.4348360655737704</v>
      </c>
      <c r="BZ209" s="17"/>
      <c r="CA209" s="17">
        <f t="shared" si="98"/>
        <v>0.24194885970974431</v>
      </c>
    </row>
    <row r="210" spans="2:79" outlineLevel="1" x14ac:dyDescent="0.25">
      <c r="B210" t="s">
        <v>17</v>
      </c>
      <c r="C210" s="17">
        <v>0</v>
      </c>
      <c r="D210" s="17"/>
      <c r="E210" s="17">
        <v>0</v>
      </c>
      <c r="F210" s="17"/>
      <c r="G210" s="17">
        <v>0</v>
      </c>
      <c r="H210" s="17"/>
      <c r="I210" s="17">
        <f t="array" ref="I210">SUM(IF(Period=I$4,IF(Category=$A$203,IF(Provider=$B210,Score))))</f>
        <v>62.5</v>
      </c>
      <c r="J210" s="17"/>
      <c r="K210" s="20">
        <f t="array" ref="K210">SUM(IF(Period=I$4,IF(Category=$A$203,IF(Provider=$B210,Responses))))</f>
        <v>4</v>
      </c>
      <c r="L210" s="20"/>
      <c r="M210" s="17">
        <f t="shared" si="99"/>
        <v>1.2315270935960592</v>
      </c>
      <c r="N210" s="17"/>
      <c r="O210" s="17">
        <f t="shared" si="90"/>
        <v>0.20678246484698098</v>
      </c>
      <c r="P210" s="17"/>
      <c r="Q210" s="17">
        <f t="array" ref="Q210">SUM(IF(Period=Q$4,IF(Category=$A$203,IF(Provider=$B210,Score))))</f>
        <v>81.3</v>
      </c>
      <c r="R210" s="17"/>
      <c r="S210" s="20">
        <f t="array" ref="S210">SUM(IF(Period=Q$4,IF(Category=$A$203,IF(Provider=$B210,Responses))))</f>
        <v>4</v>
      </c>
      <c r="T210" s="20"/>
      <c r="U210" s="17">
        <f t="shared" si="100"/>
        <v>1.7297872340425531</v>
      </c>
      <c r="V210" s="17"/>
      <c r="W210" s="17">
        <f t="shared" si="91"/>
        <v>0.28983957219251333</v>
      </c>
      <c r="X210" s="17"/>
      <c r="Y210" s="17">
        <f t="array" ref="Y210">SUM(IF(Period=Y$4,IF(Category=$A$203,IF(Provider=$B210,Score))))</f>
        <v>90.6</v>
      </c>
      <c r="Z210" s="17"/>
      <c r="AA210" s="20">
        <f t="array" ref="AA210">SUM(IF(Period=Y$4,IF(Category=$A$203,IF(Provider=$B210,Responses))))</f>
        <v>8</v>
      </c>
      <c r="AB210" s="20"/>
      <c r="AC210" s="17">
        <f t="shared" si="101"/>
        <v>2.4159999999999999</v>
      </c>
      <c r="AD210" s="17"/>
      <c r="AE210" s="17">
        <f t="shared" si="92"/>
        <v>0.39977937120794266</v>
      </c>
      <c r="AF210" s="17"/>
      <c r="AG210" s="17">
        <f t="array" ref="AG210">SUM(IF(Period=AG$4,IF(Category=$A$203,IF(Provider=$B210,Score))))</f>
        <v>78.099999999999994</v>
      </c>
      <c r="AH210" s="17"/>
      <c r="AI210" s="20">
        <f t="array" ref="AI210">SUM(IF(Period=AG$4,IF(Category=$A$203,IF(Provider=$B210,Responses))))</f>
        <v>8</v>
      </c>
      <c r="AJ210" s="20"/>
      <c r="AK210" s="17">
        <f t="shared" si="102"/>
        <v>2.4217054263565889</v>
      </c>
      <c r="AL210" s="17"/>
      <c r="AM210" s="17">
        <f t="shared" si="93"/>
        <v>0.40466321243523312</v>
      </c>
      <c r="AN210" s="17"/>
      <c r="AO210" s="17">
        <f t="array" ref="AO210">SUM(IF(Period=AO$4,IF(Category=$A$203,IF(Provider=$B210,Score))))</f>
        <v>75</v>
      </c>
      <c r="AP210" s="17"/>
      <c r="AQ210" s="20">
        <f t="array" ref="AQ210">SUM(IF(Period=AO$4,IF(Category=$A$203,IF(Provider=$B210,Responses))))</f>
        <v>3</v>
      </c>
      <c r="AR210" s="20"/>
      <c r="AS210" s="17">
        <f t="shared" si="103"/>
        <v>1.3157894736842104</v>
      </c>
      <c r="AT210" s="17"/>
      <c r="AU210" s="17">
        <f t="shared" si="94"/>
        <v>0.21929824561403508</v>
      </c>
      <c r="AV210" s="17"/>
      <c r="AW210" s="17">
        <f t="array" ref="AW210">SUM(IF(Period=AW$4,IF(Category=$A$203,IF(Provider=$B210,Score))))</f>
        <v>87.5</v>
      </c>
      <c r="AX210" s="17"/>
      <c r="AY210" s="20">
        <f t="array" ref="AY210">SUM(IF(Period=AW$4,IF(Category=$A$203,IF(Provider=$B210,Responses))))</f>
        <v>2</v>
      </c>
      <c r="AZ210" s="20"/>
      <c r="BA210" s="17">
        <f t="shared" si="104"/>
        <v>0.79908675799086759</v>
      </c>
      <c r="BB210" s="17"/>
      <c r="BC210" s="17">
        <f t="shared" si="95"/>
        <v>0.13440860215053763</v>
      </c>
      <c r="BD210" s="17"/>
      <c r="BE210" s="17">
        <f t="array" ref="BE210">SUM(IF(Period=BE$4,IF(Category=$A$203,IF(Provider=$B210,Score))))</f>
        <v>78.900000000000006</v>
      </c>
      <c r="BF210" s="17"/>
      <c r="BG210" s="20">
        <f t="array" ref="BG210">SUM(IF(Period=BE$4,IF(Category=$A$203,IF(Provider=$B210,Responses))))</f>
        <v>13</v>
      </c>
      <c r="BH210" s="20"/>
      <c r="BI210" s="17">
        <f t="shared" si="105"/>
        <v>4.3278481012658236</v>
      </c>
      <c r="BJ210" s="17"/>
      <c r="BK210" s="17">
        <f t="shared" si="96"/>
        <v>0.72487632508833921</v>
      </c>
      <c r="BL210" s="17"/>
      <c r="BM210" s="17">
        <f t="array" ref="BM210">SUM(IF(Period=BM$4,IF(Category=$A$203,IF(Provider=$B210,Score))))</f>
        <v>83.3</v>
      </c>
      <c r="BN210" s="17"/>
      <c r="BO210" s="20">
        <f t="array" ref="BO210">SUM(IF(Period=BM$4,IF(Category=$A$203,IF(Provider=$B210,Responses))))</f>
        <v>12</v>
      </c>
      <c r="BP210" s="20"/>
      <c r="BQ210" s="17">
        <f t="shared" si="106"/>
        <v>4.3272727272727272</v>
      </c>
      <c r="BR210" s="17"/>
      <c r="BS210" s="17">
        <f t="shared" si="97"/>
        <v>0.72121212121212119</v>
      </c>
      <c r="BT210" s="17"/>
      <c r="BU210" s="17">
        <f t="array" ref="BU210">SUM(IF(Period=BU$4,IF(Category=$A$203,IF(Provider=$B210,Score))))</f>
        <v>87.5</v>
      </c>
      <c r="BV210" s="17"/>
      <c r="BW210" s="20">
        <f t="array" ref="BW210">SUM(IF(Period=BU$4,IF(Category=$A$203,IF(Provider=$B210,Responses))))</f>
        <v>6</v>
      </c>
      <c r="BX210" s="20"/>
      <c r="BY210" s="17">
        <f t="shared" si="107"/>
        <v>2.151639344262295</v>
      </c>
      <c r="BZ210" s="17"/>
      <c r="CA210" s="17">
        <f t="shared" si="98"/>
        <v>0.36281962681409813</v>
      </c>
    </row>
    <row r="211" spans="2:79" outlineLevel="1" x14ac:dyDescent="0.25">
      <c r="B211" t="s">
        <v>15</v>
      </c>
      <c r="C211" s="17">
        <v>0</v>
      </c>
      <c r="D211" s="17"/>
      <c r="E211" s="17">
        <v>0</v>
      </c>
      <c r="F211" s="17"/>
      <c r="G211" s="17">
        <v>0</v>
      </c>
      <c r="H211" s="17"/>
      <c r="I211" s="17">
        <f t="array" ref="I211">SUM(IF(Period=I$4,IF(Category=$A$203,IF(Provider=$B211,Score))))</f>
        <v>65</v>
      </c>
      <c r="J211" s="17"/>
      <c r="K211" s="20">
        <f t="array" ref="K211">SUM(IF(Period=I$4,IF(Category=$A$203,IF(Provider=$B211,Responses))))</f>
        <v>5</v>
      </c>
      <c r="L211" s="20"/>
      <c r="M211" s="17">
        <f t="shared" si="99"/>
        <v>1.600985221674877</v>
      </c>
      <c r="N211" s="17"/>
      <c r="O211" s="17">
        <f t="shared" si="90"/>
        <v>0.26881720430107525</v>
      </c>
      <c r="P211" s="17"/>
      <c r="Q211" s="17">
        <f t="array" ref="Q211">SUM(IF(Period=Q$4,IF(Category=$A$203,IF(Provider=$B211,Score))))</f>
        <v>50</v>
      </c>
      <c r="R211" s="17"/>
      <c r="S211" s="20">
        <f t="array" ref="S211">SUM(IF(Period=Q$4,IF(Category=$A$203,IF(Provider=$B211,Responses))))</f>
        <v>3</v>
      </c>
      <c r="T211" s="20"/>
      <c r="U211" s="17">
        <f t="shared" si="100"/>
        <v>0.7978723404255319</v>
      </c>
      <c r="V211" s="17"/>
      <c r="W211" s="17">
        <f t="shared" si="91"/>
        <v>0.13368983957219249</v>
      </c>
      <c r="X211" s="17"/>
      <c r="Y211" s="17">
        <f t="array" ref="Y211">SUM(IF(Period=Y$4,IF(Category=$A$203,IF(Provider=$B211,Score))))</f>
        <v>0</v>
      </c>
      <c r="Z211" s="17"/>
      <c r="AA211" s="20">
        <f t="array" ref="AA211">SUM(IF(Period=Y$4,IF(Category=$A$203,IF(Provider=$B211,Responses))))</f>
        <v>0</v>
      </c>
      <c r="AB211" s="20"/>
      <c r="AC211" s="17">
        <f t="shared" si="101"/>
        <v>0</v>
      </c>
      <c r="AD211" s="17"/>
      <c r="AE211" s="17">
        <f t="shared" si="92"/>
        <v>0</v>
      </c>
      <c r="AF211" s="17"/>
      <c r="AG211" s="17">
        <f t="array" ref="AG211">SUM(IF(Period=AG$4,IF(Category=$A$203,IF(Provider=$B211,Score))))</f>
        <v>0</v>
      </c>
      <c r="AH211" s="17"/>
      <c r="AI211" s="20">
        <f t="array" ref="AI211">SUM(IF(Period=AG$4,IF(Category=$A$203,IF(Provider=$B211,Responses))))</f>
        <v>0</v>
      </c>
      <c r="AJ211" s="20"/>
      <c r="AK211" s="17">
        <f t="shared" si="102"/>
        <v>0</v>
      </c>
      <c r="AL211" s="17"/>
      <c r="AM211" s="17">
        <f t="shared" si="93"/>
        <v>0</v>
      </c>
      <c r="AN211" s="17"/>
      <c r="AO211" s="17">
        <f t="array" ref="AO211">SUM(IF(Period=AO$4,IF(Category=$A$203,IF(Provider=$B211,Score))))</f>
        <v>0</v>
      </c>
      <c r="AP211" s="17"/>
      <c r="AQ211" s="20">
        <f t="array" ref="AQ211">SUM(IF(Period=AO$4,IF(Category=$A$203,IF(Provider=$B211,Responses))))</f>
        <v>0</v>
      </c>
      <c r="AR211" s="20"/>
      <c r="AS211" s="17">
        <f t="shared" si="103"/>
        <v>0</v>
      </c>
      <c r="AT211" s="17"/>
      <c r="AU211" s="17">
        <f t="shared" si="94"/>
        <v>0</v>
      </c>
      <c r="AV211" s="17"/>
      <c r="AW211" s="17">
        <f t="array" ref="AW211">SUM(IF(Period=AW$4,IF(Category=$A$203,IF(Provider=$B211,Score))))</f>
        <v>0</v>
      </c>
      <c r="AX211" s="17"/>
      <c r="AY211" s="20">
        <f t="array" ref="AY211">SUM(IF(Period=AW$4,IF(Category=$A$203,IF(Provider=$B211,Responses))))</f>
        <v>0</v>
      </c>
      <c r="AZ211" s="20"/>
      <c r="BA211" s="17">
        <f t="shared" si="104"/>
        <v>0</v>
      </c>
      <c r="BB211" s="17"/>
      <c r="BC211" s="17">
        <f t="shared" si="95"/>
        <v>0</v>
      </c>
      <c r="BD211" s="17"/>
      <c r="BE211" s="17">
        <f t="array" ref="BE211">SUM(IF(Period=BE$4,IF(Category=$A$203,IF(Provider=$B211,Score))))</f>
        <v>0</v>
      </c>
      <c r="BF211" s="17"/>
      <c r="BG211" s="20">
        <f t="array" ref="BG211">SUM(IF(Period=BE$4,IF(Category=$A$203,IF(Provider=$B211,Responses))))</f>
        <v>0</v>
      </c>
      <c r="BH211" s="20"/>
      <c r="BI211" s="17">
        <f t="shared" si="105"/>
        <v>0</v>
      </c>
      <c r="BJ211" s="17"/>
      <c r="BK211" s="17">
        <f t="shared" si="96"/>
        <v>0</v>
      </c>
      <c r="BL211" s="17"/>
      <c r="BM211" s="17">
        <f t="array" ref="BM211">SUM(IF(Period=BM$4,IF(Category=$A$203,IF(Provider=$B211,Score))))</f>
        <v>0</v>
      </c>
      <c r="BN211" s="17"/>
      <c r="BO211" s="20">
        <f t="array" ref="BO211">SUM(IF(Period=BM$4,IF(Category=$A$203,IF(Provider=$B211,Responses))))</f>
        <v>0</v>
      </c>
      <c r="BP211" s="20"/>
      <c r="BQ211" s="17">
        <f t="shared" si="106"/>
        <v>0</v>
      </c>
      <c r="BR211" s="17"/>
      <c r="BS211" s="17">
        <f t="shared" si="97"/>
        <v>0</v>
      </c>
      <c r="BT211" s="17"/>
      <c r="BU211" s="17">
        <f t="array" ref="BU211">SUM(IF(Period=BU$4,IF(Category=$A$203,IF(Provider=$B211,Score))))</f>
        <v>0</v>
      </c>
      <c r="BV211" s="17"/>
      <c r="BW211" s="20">
        <f t="array" ref="BW211">SUM(IF(Period=BU$4,IF(Category=$A$203,IF(Provider=$B211,Responses))))</f>
        <v>0</v>
      </c>
      <c r="BX211" s="20"/>
      <c r="BY211" s="17">
        <f t="shared" si="107"/>
        <v>0</v>
      </c>
      <c r="BZ211" s="17"/>
      <c r="CA211" s="17">
        <f t="shared" si="98"/>
        <v>0</v>
      </c>
    </row>
    <row r="212" spans="2:79" outlineLevel="1" x14ac:dyDescent="0.25">
      <c r="B212" t="s">
        <v>33</v>
      </c>
      <c r="C212" s="17">
        <v>0</v>
      </c>
      <c r="D212" s="17"/>
      <c r="E212" s="17">
        <v>0</v>
      </c>
      <c r="F212" s="17"/>
      <c r="G212" s="17">
        <v>0</v>
      </c>
      <c r="H212" s="17"/>
      <c r="I212" s="17">
        <f t="array" ref="I212">SUM(IF(Period=I$4,IF(Category=$A$203,IF(Provider=$B212,Score))))</f>
        <v>59.4</v>
      </c>
      <c r="J212" s="17"/>
      <c r="K212" s="20">
        <f t="array" ref="K212">SUM(IF(Period=I$4,IF(Category=$A$203,IF(Provider=$B212,Responses))))</f>
        <v>8</v>
      </c>
      <c r="L212" s="20"/>
      <c r="M212" s="17">
        <f t="shared" si="99"/>
        <v>2.3408866995073891</v>
      </c>
      <c r="N212" s="17"/>
      <c r="O212" s="17">
        <f t="shared" si="90"/>
        <v>0.39305210918114142</v>
      </c>
      <c r="P212" s="17"/>
      <c r="Q212" s="17">
        <f t="array" ref="Q212">SUM(IF(Period=Q$4,IF(Category=$A$203,IF(Provider=$B212,Score))))</f>
        <v>50</v>
      </c>
      <c r="R212" s="17"/>
      <c r="S212" s="20">
        <f t="array" ref="S212">SUM(IF(Period=Q$4,IF(Category=$A$203,IF(Provider=$B212,Responses))))</f>
        <v>5</v>
      </c>
      <c r="T212" s="20"/>
      <c r="U212" s="17">
        <f t="shared" si="100"/>
        <v>1.3297872340425532</v>
      </c>
      <c r="V212" s="17"/>
      <c r="W212" s="17">
        <f t="shared" si="91"/>
        <v>0.22281639928698754</v>
      </c>
      <c r="X212" s="17"/>
      <c r="Y212" s="17">
        <f t="array" ref="Y212">SUM(IF(Period=Y$4,IF(Category=$A$203,IF(Provider=$B212,Score))))</f>
        <v>81.8</v>
      </c>
      <c r="Z212" s="17"/>
      <c r="AA212" s="20">
        <f t="array" ref="AA212">SUM(IF(Period=Y$4,IF(Category=$A$203,IF(Provider=$B212,Responses))))</f>
        <v>11</v>
      </c>
      <c r="AB212" s="20"/>
      <c r="AC212" s="17">
        <f t="shared" si="101"/>
        <v>2.9993333333333334</v>
      </c>
      <c r="AD212" s="17"/>
      <c r="AE212" s="17">
        <f t="shared" si="92"/>
        <v>0.49630446773303916</v>
      </c>
      <c r="AF212" s="17"/>
      <c r="AG212" s="17">
        <f t="array" ref="AG212">SUM(IF(Period=AG$4,IF(Category=$A$203,IF(Provider=$B212,Score))))</f>
        <v>69.400000000000006</v>
      </c>
      <c r="AH212" s="17"/>
      <c r="AI212" s="20">
        <f t="array" ref="AI212">SUM(IF(Period=AG$4,IF(Category=$A$203,IF(Provider=$B212,Responses))))</f>
        <v>9</v>
      </c>
      <c r="AJ212" s="20"/>
      <c r="AK212" s="17">
        <f t="shared" si="102"/>
        <v>2.4209302325581397</v>
      </c>
      <c r="AL212" s="17"/>
      <c r="AM212" s="17">
        <f t="shared" si="93"/>
        <v>0.40453367875647672</v>
      </c>
      <c r="AN212" s="17"/>
      <c r="AO212" s="17">
        <f t="array" ref="AO212">SUM(IF(Period=AO$4,IF(Category=$A$203,IF(Provider=$B212,Score))))</f>
        <v>70.8</v>
      </c>
      <c r="AP212" s="17"/>
      <c r="AQ212" s="20">
        <f t="array" ref="AQ212">SUM(IF(Period=AO$4,IF(Category=$A$203,IF(Provider=$B212,Responses))))</f>
        <v>12</v>
      </c>
      <c r="AR212" s="20"/>
      <c r="AS212" s="17">
        <f t="shared" si="103"/>
        <v>4.9684210526315784</v>
      </c>
      <c r="AT212" s="17"/>
      <c r="AU212" s="17">
        <f t="shared" si="94"/>
        <v>0.8280701754385964</v>
      </c>
      <c r="AV212" s="17"/>
      <c r="AW212" s="17">
        <f t="array" ref="AW212">SUM(IF(Period=AW$4,IF(Category=$A$203,IF(Provider=$B212,Score))))</f>
        <v>59.4</v>
      </c>
      <c r="AX212" s="17"/>
      <c r="AY212" s="20">
        <f t="array" ref="AY212">SUM(IF(Period=AW$4,IF(Category=$A$203,IF(Provider=$B212,Responses))))</f>
        <v>8</v>
      </c>
      <c r="AZ212" s="20"/>
      <c r="BA212" s="17">
        <f t="shared" si="104"/>
        <v>2.1698630136986301</v>
      </c>
      <c r="BB212" s="17"/>
      <c r="BC212" s="17">
        <f t="shared" si="95"/>
        <v>0.36497695852534562</v>
      </c>
      <c r="BD212" s="17"/>
      <c r="BE212" s="17">
        <f t="array" ref="BE212">SUM(IF(Period=BE$4,IF(Category=$A$203,IF(Provider=$B212,Score))))</f>
        <v>43.8</v>
      </c>
      <c r="BF212" s="17"/>
      <c r="BG212" s="20">
        <f t="array" ref="BG212">SUM(IF(Period=BE$4,IF(Category=$A$203,IF(Provider=$B212,Responses))))</f>
        <v>4</v>
      </c>
      <c r="BH212" s="20"/>
      <c r="BI212" s="17">
        <f t="shared" si="105"/>
        <v>0.73924050632911387</v>
      </c>
      <c r="BJ212" s="17"/>
      <c r="BK212" s="17">
        <f t="shared" si="96"/>
        <v>0.12381625441696112</v>
      </c>
      <c r="BL212" s="17"/>
      <c r="BM212" s="17">
        <f t="array" ref="BM212">SUM(IF(Period=BM$4,IF(Category=$A$203,IF(Provider=$B212,Score))))</f>
        <v>76.900000000000006</v>
      </c>
      <c r="BN212" s="17"/>
      <c r="BO212" s="20">
        <f t="array" ref="BO212">SUM(IF(Period=BM$4,IF(Category=$A$203,IF(Provider=$B212,Responses))))</f>
        <v>13</v>
      </c>
      <c r="BP212" s="20"/>
      <c r="BQ212" s="17">
        <f t="shared" si="106"/>
        <v>4.3277056277056278</v>
      </c>
      <c r="BR212" s="17"/>
      <c r="BS212" s="17">
        <f t="shared" si="97"/>
        <v>0.72128427128427142</v>
      </c>
      <c r="BT212" s="17"/>
      <c r="BU212" s="17">
        <f t="array" ref="BU212">SUM(IF(Period=BU$4,IF(Category=$A$203,IF(Provider=$B212,Score))))</f>
        <v>66.7</v>
      </c>
      <c r="BV212" s="17"/>
      <c r="BW212" s="20">
        <f t="array" ref="BW212">SUM(IF(Period=BU$4,IF(Category=$A$203,IF(Provider=$B212,Responses))))</f>
        <v>9</v>
      </c>
      <c r="BX212" s="20"/>
      <c r="BY212" s="17">
        <f t="shared" si="107"/>
        <v>2.4602459016393445</v>
      </c>
      <c r="BZ212" s="17"/>
      <c r="CA212" s="17">
        <f t="shared" si="98"/>
        <v>0.41485832757429164</v>
      </c>
    </row>
    <row r="213" spans="2:79" outlineLevel="1" x14ac:dyDescent="0.25">
      <c r="B213" t="s">
        <v>18</v>
      </c>
      <c r="C213" s="17">
        <v>0</v>
      </c>
      <c r="D213" s="17"/>
      <c r="E213" s="17">
        <v>0</v>
      </c>
      <c r="F213" s="17"/>
      <c r="G213" s="17">
        <v>0</v>
      </c>
      <c r="H213" s="17"/>
      <c r="I213" s="17">
        <f t="array" ref="I213">SUM(IF(Period=I$4,IF(Category=$A$203,IF(Provider=$B213,Score))))</f>
        <v>65.599999999999994</v>
      </c>
      <c r="J213" s="17"/>
      <c r="K213" s="20">
        <f t="array" ref="K213">SUM(IF(Period=I$4,IF(Category=$A$203,IF(Provider=$B213,Responses))))</f>
        <v>8</v>
      </c>
      <c r="L213" s="20"/>
      <c r="M213" s="17">
        <f t="shared" si="99"/>
        <v>2.5852216748768471</v>
      </c>
      <c r="N213" s="17"/>
      <c r="O213" s="17">
        <f t="shared" si="90"/>
        <v>0.43407775020678241</v>
      </c>
      <c r="P213" s="17"/>
      <c r="Q213" s="17">
        <f t="array" ref="Q213">SUM(IF(Period=Q$4,IF(Category=$A$203,IF(Provider=$B213,Score))))</f>
        <v>57.5</v>
      </c>
      <c r="R213" s="17"/>
      <c r="S213" s="20">
        <f t="array" ref="S213">SUM(IF(Period=Q$4,IF(Category=$A$203,IF(Provider=$B213,Responses))))</f>
        <v>10</v>
      </c>
      <c r="T213" s="20"/>
      <c r="U213" s="17">
        <f t="shared" si="100"/>
        <v>3.0585106382978724</v>
      </c>
      <c r="V213" s="17"/>
      <c r="W213" s="17">
        <f t="shared" si="91"/>
        <v>0.51247771836007128</v>
      </c>
      <c r="X213" s="17"/>
      <c r="Y213" s="17">
        <f t="array" ref="Y213">SUM(IF(Period=Y$4,IF(Category=$A$203,IF(Provider=$B213,Score))))</f>
        <v>67.3</v>
      </c>
      <c r="Z213" s="17"/>
      <c r="AA213" s="20">
        <f t="array" ref="AA213">SUM(IF(Period=Y$4,IF(Category=$A$203,IF(Provider=$B213,Responses))))</f>
        <v>13</v>
      </c>
      <c r="AB213" s="20"/>
      <c r="AC213" s="17">
        <f t="shared" si="101"/>
        <v>2.9163333333333332</v>
      </c>
      <c r="AD213" s="17"/>
      <c r="AE213" s="17">
        <f t="shared" si="92"/>
        <v>0.48257032542746825</v>
      </c>
      <c r="AF213" s="17"/>
      <c r="AG213" s="17">
        <f t="array" ref="AG213">SUM(IF(Period=AG$4,IF(Category=$A$203,IF(Provider=$B213,Score))))</f>
        <v>87.5</v>
      </c>
      <c r="AH213" s="17"/>
      <c r="AI213" s="20">
        <f t="array" ref="AI213">SUM(IF(Period=AG$4,IF(Category=$A$203,IF(Provider=$B213,Responses))))</f>
        <v>10</v>
      </c>
      <c r="AJ213" s="20"/>
      <c r="AK213" s="17">
        <f t="shared" si="102"/>
        <v>3.3914728682170541</v>
      </c>
      <c r="AL213" s="17"/>
      <c r="AM213" s="17">
        <f t="shared" si="93"/>
        <v>0.56670984455958551</v>
      </c>
      <c r="AN213" s="17"/>
      <c r="AO213" s="17">
        <f t="array" ref="AO213">SUM(IF(Period=AO$4,IF(Category=$A$203,IF(Provider=$B213,Score))))</f>
        <v>87.5</v>
      </c>
      <c r="AP213" s="17"/>
      <c r="AQ213" s="20">
        <f t="array" ref="AQ213">SUM(IF(Period=AO$4,IF(Category=$A$203,IF(Provider=$B213,Responses))))</f>
        <v>8</v>
      </c>
      <c r="AR213" s="20"/>
      <c r="AS213" s="17">
        <f t="shared" si="103"/>
        <v>4.0935672514619883</v>
      </c>
      <c r="AT213" s="17"/>
      <c r="AU213" s="17">
        <f t="shared" si="94"/>
        <v>0.68226120857699801</v>
      </c>
      <c r="AV213" s="17"/>
      <c r="AW213" s="17">
        <f t="array" ref="AW213">SUM(IF(Period=AW$4,IF(Category=$A$203,IF(Provider=$B213,Score))))</f>
        <v>67.900000000000006</v>
      </c>
      <c r="AX213" s="17"/>
      <c r="AY213" s="20">
        <f t="array" ref="AY213">SUM(IF(Period=AW$4,IF(Category=$A$203,IF(Provider=$B213,Responses))))</f>
        <v>14</v>
      </c>
      <c r="AZ213" s="20"/>
      <c r="BA213" s="17">
        <f t="shared" si="104"/>
        <v>4.3406392694063927</v>
      </c>
      <c r="BB213" s="17"/>
      <c r="BC213" s="17">
        <f t="shared" si="95"/>
        <v>0.73010752688172054</v>
      </c>
      <c r="BD213" s="17"/>
      <c r="BE213" s="17">
        <f t="array" ref="BE213">SUM(IF(Period=BE$4,IF(Category=$A$203,IF(Provider=$B213,Score))))</f>
        <v>83.3</v>
      </c>
      <c r="BF213" s="17"/>
      <c r="BG213" s="20">
        <f t="array" ref="BG213">SUM(IF(Period=BE$4,IF(Category=$A$203,IF(Provider=$B213,Responses))))</f>
        <v>12</v>
      </c>
      <c r="BH213" s="20"/>
      <c r="BI213" s="17">
        <f t="shared" si="105"/>
        <v>4.2177215189873412</v>
      </c>
      <c r="BJ213" s="17"/>
      <c r="BK213" s="17">
        <f t="shared" si="96"/>
        <v>0.70643109540636029</v>
      </c>
      <c r="BL213" s="17"/>
      <c r="BM213" s="17">
        <f t="array" ref="BM213">SUM(IF(Period=BM$4,IF(Category=$A$203,IF(Provider=$B213,Score))))</f>
        <v>71.400000000000006</v>
      </c>
      <c r="BN213" s="17"/>
      <c r="BO213" s="20">
        <f t="array" ref="BO213">SUM(IF(Period=BM$4,IF(Category=$A$203,IF(Provider=$B213,Responses))))</f>
        <v>7</v>
      </c>
      <c r="BP213" s="20"/>
      <c r="BQ213" s="17">
        <f t="shared" si="106"/>
        <v>2.163636363636364</v>
      </c>
      <c r="BR213" s="17"/>
      <c r="BS213" s="17">
        <f t="shared" si="97"/>
        <v>0.36060606060606065</v>
      </c>
      <c r="BT213" s="17"/>
      <c r="BU213" s="17">
        <f t="array" ref="BU213">SUM(IF(Period=BU$4,IF(Category=$A$203,IF(Provider=$B213,Score))))</f>
        <v>80.400000000000006</v>
      </c>
      <c r="BV213" s="17"/>
      <c r="BW213" s="20">
        <f t="array" ref="BW213">SUM(IF(Period=BU$4,IF(Category=$A$203,IF(Provider=$B213,Responses))))</f>
        <v>14</v>
      </c>
      <c r="BX213" s="20"/>
      <c r="BY213" s="17">
        <f t="shared" si="107"/>
        <v>4.613114754098361</v>
      </c>
      <c r="BZ213" s="17"/>
      <c r="CA213" s="17">
        <f t="shared" si="98"/>
        <v>0.77788527988942646</v>
      </c>
    </row>
    <row r="214" spans="2:79" outlineLevel="1" x14ac:dyDescent="0.25">
      <c r="B214" t="s">
        <v>16</v>
      </c>
      <c r="C214" s="17">
        <v>0</v>
      </c>
      <c r="D214" s="17"/>
      <c r="E214" s="17">
        <v>0</v>
      </c>
      <c r="F214" s="17"/>
      <c r="G214" s="17">
        <v>0</v>
      </c>
      <c r="H214" s="17"/>
      <c r="I214" s="17">
        <f t="array" ref="I214">SUM(IF(Period=I$4,IF(Category=$A$203,IF(Provider=$B214,Score))))</f>
        <v>60</v>
      </c>
      <c r="J214" s="17"/>
      <c r="K214" s="20">
        <f t="array" ref="K214">SUM(IF(Period=I$4,IF(Category=$A$203,IF(Provider=$B214,Responses))))</f>
        <v>5</v>
      </c>
      <c r="L214" s="20"/>
      <c r="M214" s="17">
        <f t="shared" si="99"/>
        <v>1.4778325123152709</v>
      </c>
      <c r="N214" s="17"/>
      <c r="O214" s="17">
        <f t="shared" si="90"/>
        <v>0.24813895781637718</v>
      </c>
      <c r="P214" s="17"/>
      <c r="Q214" s="17">
        <f t="array" ref="Q214">SUM(IF(Period=Q$4,IF(Category=$A$203,IF(Provider=$B214,Score))))</f>
        <v>62.5</v>
      </c>
      <c r="R214" s="17"/>
      <c r="S214" s="20">
        <f t="array" ref="S214">SUM(IF(Period=Q$4,IF(Category=$A$203,IF(Provider=$B214,Responses))))</f>
        <v>4</v>
      </c>
      <c r="T214" s="20"/>
      <c r="U214" s="17">
        <f t="shared" si="100"/>
        <v>1.3297872340425532</v>
      </c>
      <c r="V214" s="17"/>
      <c r="W214" s="17">
        <f t="shared" si="91"/>
        <v>0.22281639928698752</v>
      </c>
      <c r="X214" s="17"/>
      <c r="Y214" s="17">
        <f t="array" ref="Y214">SUM(IF(Period=Y$4,IF(Category=$A$203,IF(Provider=$B214,Score))))</f>
        <v>40</v>
      </c>
      <c r="Z214" s="17"/>
      <c r="AA214" s="20">
        <f t="array" ref="AA214">SUM(IF(Period=Y$4,IF(Category=$A$203,IF(Provider=$B214,Responses))))</f>
        <v>5</v>
      </c>
      <c r="AB214" s="20"/>
      <c r="AC214" s="17">
        <f t="shared" si="101"/>
        <v>0.66666666666666663</v>
      </c>
      <c r="AD214" s="17"/>
      <c r="AE214" s="17">
        <f t="shared" si="92"/>
        <v>0.11031439602868175</v>
      </c>
      <c r="AF214" s="17"/>
      <c r="AG214" s="17">
        <f t="array" ref="AG214">SUM(IF(Period=AG$4,IF(Category=$A$203,IF(Provider=$B214,Score))))</f>
        <v>60</v>
      </c>
      <c r="AH214" s="17"/>
      <c r="AI214" s="20">
        <f t="array" ref="AI214">SUM(IF(Period=AG$4,IF(Category=$A$203,IF(Provider=$B214,Responses))))</f>
        <v>5</v>
      </c>
      <c r="AJ214" s="20"/>
      <c r="AK214" s="17">
        <f t="shared" si="102"/>
        <v>1.1627906976744187</v>
      </c>
      <c r="AL214" s="17"/>
      <c r="AM214" s="17">
        <f t="shared" si="93"/>
        <v>0.19430051813471502</v>
      </c>
      <c r="AN214" s="17"/>
      <c r="AO214" s="17">
        <f t="array" ref="AO214">SUM(IF(Period=AO$4,IF(Category=$A$203,IF(Provider=$B214,Score))))</f>
        <v>50</v>
      </c>
      <c r="AP214" s="17"/>
      <c r="AQ214" s="20">
        <f t="array" ref="AQ214">SUM(IF(Period=AO$4,IF(Category=$A$203,IF(Provider=$B214,Responses))))</f>
        <v>2</v>
      </c>
      <c r="AR214" s="20"/>
      <c r="AS214" s="17">
        <f t="shared" si="103"/>
        <v>0.58479532163742687</v>
      </c>
      <c r="AT214" s="17"/>
      <c r="AU214" s="17">
        <f t="shared" si="94"/>
        <v>9.7465886939571145E-2</v>
      </c>
      <c r="AV214" s="17"/>
      <c r="AW214" s="17">
        <f t="array" ref="AW214">SUM(IF(Period=AW$4,IF(Category=$A$203,IF(Provider=$B214,Score))))</f>
        <v>75</v>
      </c>
      <c r="AX214" s="17"/>
      <c r="AY214" s="20">
        <f t="array" ref="AY214">SUM(IF(Period=AW$4,IF(Category=$A$203,IF(Provider=$B214,Responses))))</f>
        <v>5</v>
      </c>
      <c r="AZ214" s="20"/>
      <c r="BA214" s="17">
        <f t="shared" si="104"/>
        <v>1.7123287671232876</v>
      </c>
      <c r="BB214" s="17"/>
      <c r="BC214" s="17">
        <f t="shared" si="95"/>
        <v>0.28801843317972348</v>
      </c>
      <c r="BD214" s="17"/>
      <c r="BE214" s="17">
        <f t="array" ref="BE214">SUM(IF(Period=BE$4,IF(Category=$A$203,IF(Provider=$B214,Score))))</f>
        <v>75</v>
      </c>
      <c r="BF214" s="17"/>
      <c r="BG214" s="20">
        <f t="array" ref="BG214">SUM(IF(Period=BE$4,IF(Category=$A$203,IF(Provider=$B214,Responses))))</f>
        <v>2</v>
      </c>
      <c r="BH214" s="20"/>
      <c r="BI214" s="17">
        <f t="shared" si="105"/>
        <v>0.63291139240506322</v>
      </c>
      <c r="BJ214" s="17"/>
      <c r="BK214" s="17">
        <f t="shared" si="96"/>
        <v>0.10600706713780918</v>
      </c>
      <c r="BL214" s="17"/>
      <c r="BM214" s="17">
        <f t="array" ref="BM214">SUM(IF(Period=BM$4,IF(Category=$A$203,IF(Provider=$B214,Score))))</f>
        <v>91.7</v>
      </c>
      <c r="BN214" s="17"/>
      <c r="BO214" s="20">
        <f t="array" ref="BO214">SUM(IF(Period=BM$4,IF(Category=$A$203,IF(Provider=$B214,Responses))))</f>
        <v>3</v>
      </c>
      <c r="BP214" s="20"/>
      <c r="BQ214" s="17">
        <f t="shared" si="106"/>
        <v>1.1909090909090909</v>
      </c>
      <c r="BR214" s="17"/>
      <c r="BS214" s="17">
        <f t="shared" si="97"/>
        <v>0.19848484848484849</v>
      </c>
      <c r="BT214" s="17"/>
      <c r="BU214" s="17">
        <f t="array" ref="BU214">SUM(IF(Period=BU$4,IF(Category=$A$203,IF(Provider=$B214,Score))))</f>
        <v>64.3</v>
      </c>
      <c r="BV214" s="17"/>
      <c r="BW214" s="20">
        <f t="array" ref="BW214">SUM(IF(Period=BU$4,IF(Category=$A$203,IF(Provider=$B214,Responses))))</f>
        <v>7</v>
      </c>
      <c r="BX214" s="20"/>
      <c r="BY214" s="17">
        <f t="shared" si="107"/>
        <v>1.8446721311475409</v>
      </c>
      <c r="BZ214" s="17"/>
      <c r="CA214" s="17">
        <f t="shared" si="98"/>
        <v>0.31105736005528684</v>
      </c>
    </row>
    <row r="215" spans="2:79" outlineLevel="1" x14ac:dyDescent="0.25">
      <c r="B215" t="s">
        <v>24</v>
      </c>
      <c r="C215" s="17">
        <v>0</v>
      </c>
      <c r="D215" s="17"/>
      <c r="E215" s="17">
        <v>0</v>
      </c>
      <c r="F215" s="17"/>
      <c r="G215" s="17">
        <v>0</v>
      </c>
      <c r="H215" s="17"/>
      <c r="I215" s="17">
        <f t="array" ref="I215">SUM(IF(Period=I$4,IF(Category=$A$203,IF(Provider=$B215,Score))))</f>
        <v>61.4</v>
      </c>
      <c r="J215" s="17"/>
      <c r="K215" s="20">
        <f t="array" ref="K215">SUM(IF(Period=I$4,IF(Category=$A$203,IF(Provider=$B215,Responses))))</f>
        <v>11</v>
      </c>
      <c r="L215" s="20"/>
      <c r="M215" s="17">
        <f t="shared" si="99"/>
        <v>3.3270935960591133</v>
      </c>
      <c r="N215" s="17"/>
      <c r="O215" s="17">
        <f t="shared" si="90"/>
        <v>0.55864350703060384</v>
      </c>
      <c r="P215" s="17"/>
      <c r="Q215" s="17">
        <f t="array" ref="Q215">SUM(IF(Period=Q$4,IF(Category=$A$203,IF(Provider=$B215,Score))))</f>
        <v>72.2</v>
      </c>
      <c r="R215" s="17"/>
      <c r="S215" s="20">
        <f t="array" ref="S215">SUM(IF(Period=Q$4,IF(Category=$A$203,IF(Provider=$B215,Responses))))</f>
        <v>9</v>
      </c>
      <c r="T215" s="20"/>
      <c r="U215" s="17">
        <f t="shared" si="100"/>
        <v>3.4563829787234042</v>
      </c>
      <c r="V215" s="17"/>
      <c r="W215" s="17">
        <f t="shared" si="91"/>
        <v>0.57914438502673804</v>
      </c>
      <c r="X215" s="17"/>
      <c r="Y215" s="17">
        <f t="array" ref="Y215">SUM(IF(Period=Y$4,IF(Category=$A$203,IF(Provider=$B215,Score))))</f>
        <v>66.2</v>
      </c>
      <c r="Z215" s="17"/>
      <c r="AA215" s="20">
        <f t="array" ref="AA215">SUM(IF(Period=Y$4,IF(Category=$A$203,IF(Provider=$B215,Responses))))</f>
        <v>17</v>
      </c>
      <c r="AB215" s="20"/>
      <c r="AC215" s="17">
        <f t="shared" si="101"/>
        <v>3.7513333333333332</v>
      </c>
      <c r="AD215" s="17"/>
      <c r="AE215" s="17">
        <f t="shared" si="92"/>
        <v>0.62073910645339225</v>
      </c>
      <c r="AF215" s="17"/>
      <c r="AG215" s="17">
        <f t="array" ref="AG215">SUM(IF(Period=AG$4,IF(Category=$A$203,IF(Provider=$B215,Score))))</f>
        <v>80.900000000000006</v>
      </c>
      <c r="AH215" s="17"/>
      <c r="AI215" s="20">
        <f t="array" ref="AI215">SUM(IF(Period=AG$4,IF(Category=$A$203,IF(Provider=$B215,Responses))))</f>
        <v>17</v>
      </c>
      <c r="AJ215" s="20"/>
      <c r="AK215" s="17">
        <f t="shared" si="102"/>
        <v>5.3306201550387602</v>
      </c>
      <c r="AL215" s="17"/>
      <c r="AM215" s="17">
        <f t="shared" si="93"/>
        <v>0.89073834196891188</v>
      </c>
      <c r="AN215" s="17"/>
      <c r="AO215" s="17">
        <f t="array" ref="AO215">SUM(IF(Period=AO$4,IF(Category=$A$203,IF(Provider=$B215,Score))))</f>
        <v>72.900000000000006</v>
      </c>
      <c r="AP215" s="17"/>
      <c r="AQ215" s="20">
        <f t="array" ref="AQ215">SUM(IF(Period=AO$4,IF(Category=$A$203,IF(Provider=$B215,Responses))))</f>
        <v>12</v>
      </c>
      <c r="AR215" s="20"/>
      <c r="AS215" s="17">
        <f t="shared" si="103"/>
        <v>5.1157894736842104</v>
      </c>
      <c r="AT215" s="17"/>
      <c r="AU215" s="17">
        <f t="shared" si="94"/>
        <v>0.85263157894736841</v>
      </c>
      <c r="AV215" s="17"/>
      <c r="AW215" s="17">
        <f t="array" ref="AW215">SUM(IF(Period=AW$4,IF(Category=$A$203,IF(Provider=$B215,Score))))</f>
        <v>87.5</v>
      </c>
      <c r="AX215" s="17"/>
      <c r="AY215" s="20">
        <f t="array" ref="AY215">SUM(IF(Period=AW$4,IF(Category=$A$203,IF(Provider=$B215,Responses))))</f>
        <v>10</v>
      </c>
      <c r="AZ215" s="20"/>
      <c r="BA215" s="17">
        <f t="shared" si="104"/>
        <v>3.9954337899543377</v>
      </c>
      <c r="BB215" s="17"/>
      <c r="BC215" s="17">
        <f t="shared" si="95"/>
        <v>0.67204301075268813</v>
      </c>
      <c r="BD215" s="17"/>
      <c r="BE215" s="17">
        <f t="array" ref="BE215">SUM(IF(Period=BE$4,IF(Category=$A$203,IF(Provider=$B215,Score))))</f>
        <v>84.4</v>
      </c>
      <c r="BF215" s="17"/>
      <c r="BG215" s="20">
        <f t="array" ref="BG215">SUM(IF(Period=BE$4,IF(Category=$A$203,IF(Provider=$B215,Responses))))</f>
        <v>8</v>
      </c>
      <c r="BH215" s="20"/>
      <c r="BI215" s="17">
        <f t="shared" si="105"/>
        <v>2.8489451476793248</v>
      </c>
      <c r="BJ215" s="17"/>
      <c r="BK215" s="17">
        <f t="shared" si="96"/>
        <v>0.47717314487632512</v>
      </c>
      <c r="BL215" s="17"/>
      <c r="BM215" s="17">
        <f t="array" ref="BM215">SUM(IF(Period=BM$4,IF(Category=$A$203,IF(Provider=$B215,Score))))</f>
        <v>94.4</v>
      </c>
      <c r="BN215" s="17"/>
      <c r="BO215" s="20">
        <f t="array" ref="BO215">SUM(IF(Period=BM$4,IF(Category=$A$203,IF(Provider=$B215,Responses))))</f>
        <v>9</v>
      </c>
      <c r="BP215" s="20"/>
      <c r="BQ215" s="17">
        <f t="shared" si="106"/>
        <v>3.6779220779220783</v>
      </c>
      <c r="BR215" s="17"/>
      <c r="BS215" s="17">
        <f t="shared" si="97"/>
        <v>0.61298701298701308</v>
      </c>
      <c r="BT215" s="17"/>
      <c r="BU215" s="17">
        <f t="array" ref="BU215">SUM(IF(Period=BU$4,IF(Category=$A$203,IF(Provider=$B215,Score))))</f>
        <v>78.599999999999994</v>
      </c>
      <c r="BV215" s="17"/>
      <c r="BW215" s="20">
        <f t="array" ref="BW215">SUM(IF(Period=BU$4,IF(Category=$A$203,IF(Provider=$B215,Responses))))</f>
        <v>7</v>
      </c>
      <c r="BX215" s="20"/>
      <c r="BY215" s="17">
        <f t="shared" si="107"/>
        <v>2.2549180327868852</v>
      </c>
      <c r="BZ215" s="17"/>
      <c r="CA215" s="17">
        <f t="shared" si="98"/>
        <v>0.38023496890117486</v>
      </c>
    </row>
    <row r="216" spans="2:79" outlineLevel="1" x14ac:dyDescent="0.25">
      <c r="B216" t="s">
        <v>32</v>
      </c>
      <c r="C216" s="17">
        <v>0</v>
      </c>
      <c r="D216" s="17"/>
      <c r="E216" s="17">
        <v>0</v>
      </c>
      <c r="F216" s="17"/>
      <c r="G216" s="17">
        <v>0</v>
      </c>
      <c r="H216" s="17"/>
      <c r="I216" s="17">
        <f t="array" ref="I216">SUM(IF(Period=I$4,IF(Category=$A$203,IF(Provider=$B216,Score))))</f>
        <v>52.8</v>
      </c>
      <c r="J216" s="17"/>
      <c r="K216" s="20">
        <f t="array" ref="K216">SUM(IF(Period=I$4,IF(Category=$A$203,IF(Provider=$B216,Responses))))</f>
        <v>9</v>
      </c>
      <c r="L216" s="20"/>
      <c r="M216" s="17">
        <f t="shared" si="99"/>
        <v>2.3408866995073891</v>
      </c>
      <c r="N216" s="17"/>
      <c r="O216" s="17">
        <f t="shared" si="90"/>
        <v>0.39305210918114142</v>
      </c>
      <c r="P216" s="17"/>
      <c r="Q216" s="17">
        <f t="array" ref="Q216">SUM(IF(Period=Q$4,IF(Category=$A$203,IF(Provider=$B216,Score))))</f>
        <v>75</v>
      </c>
      <c r="R216" s="17"/>
      <c r="S216" s="20">
        <f t="array" ref="S216">SUM(IF(Period=Q$4,IF(Category=$A$203,IF(Provider=$B216,Responses))))</f>
        <v>3</v>
      </c>
      <c r="T216" s="20"/>
      <c r="U216" s="17">
        <f t="shared" si="100"/>
        <v>1.1968085106382977</v>
      </c>
      <c r="V216" s="17"/>
      <c r="W216" s="17">
        <f t="shared" si="91"/>
        <v>0.20053475935828877</v>
      </c>
      <c r="X216" s="17"/>
      <c r="Y216" s="17">
        <f t="array" ref="Y216">SUM(IF(Period=Y$4,IF(Category=$A$203,IF(Provider=$B216,Score))))</f>
        <v>62.5</v>
      </c>
      <c r="Z216" s="17"/>
      <c r="AA216" s="20">
        <f t="array" ref="AA216">SUM(IF(Period=Y$4,IF(Category=$A$203,IF(Provider=$B216,Responses))))</f>
        <v>8</v>
      </c>
      <c r="AB216" s="20"/>
      <c r="AC216" s="17">
        <f t="shared" si="101"/>
        <v>1.6666666666666667</v>
      </c>
      <c r="AD216" s="17"/>
      <c r="AE216" s="17">
        <f t="shared" si="92"/>
        <v>0.2757859900717044</v>
      </c>
      <c r="AF216" s="17"/>
      <c r="AG216" s="17">
        <f t="array" ref="AG216">SUM(IF(Period=AG$4,IF(Category=$A$203,IF(Provider=$B216,Score))))</f>
        <v>59.4</v>
      </c>
      <c r="AH216" s="17"/>
      <c r="AI216" s="20">
        <f t="array" ref="AI216">SUM(IF(Period=AG$4,IF(Category=$A$203,IF(Provider=$B216,Responses))))</f>
        <v>8</v>
      </c>
      <c r="AJ216" s="20"/>
      <c r="AK216" s="17">
        <f t="shared" si="102"/>
        <v>1.8418604651162791</v>
      </c>
      <c r="AL216" s="17"/>
      <c r="AM216" s="17">
        <f t="shared" si="93"/>
        <v>0.30777202072538862</v>
      </c>
      <c r="AN216" s="17"/>
      <c r="AO216" s="17">
        <f t="array" ref="AO216">SUM(IF(Period=AO$4,IF(Category=$A$203,IF(Provider=$B216,Score))))</f>
        <v>66.7</v>
      </c>
      <c r="AP216" s="17"/>
      <c r="AQ216" s="20">
        <f t="array" ref="AQ216">SUM(IF(Period=AO$4,IF(Category=$A$203,IF(Provider=$B216,Responses))))</f>
        <v>3</v>
      </c>
      <c r="AR216" s="20"/>
      <c r="AS216" s="17">
        <f t="shared" si="103"/>
        <v>1.1701754385964913</v>
      </c>
      <c r="AT216" s="17"/>
      <c r="AU216" s="17">
        <f t="shared" si="94"/>
        <v>0.19502923976608186</v>
      </c>
      <c r="AV216" s="17"/>
      <c r="AW216" s="17">
        <f t="array" ref="AW216">SUM(IF(Period=AW$4,IF(Category=$A$203,IF(Provider=$B216,Score))))</f>
        <v>59.4</v>
      </c>
      <c r="AX216" s="17"/>
      <c r="AY216" s="20">
        <f t="array" ref="AY216">SUM(IF(Period=AW$4,IF(Category=$A$203,IF(Provider=$B216,Responses))))</f>
        <v>8</v>
      </c>
      <c r="AZ216" s="20"/>
      <c r="BA216" s="17">
        <f t="shared" si="104"/>
        <v>2.1698630136986301</v>
      </c>
      <c r="BB216" s="17"/>
      <c r="BC216" s="17">
        <f t="shared" si="95"/>
        <v>0.36497695852534562</v>
      </c>
      <c r="BD216" s="17"/>
      <c r="BE216" s="17">
        <f t="array" ref="BE216">SUM(IF(Period=BE$4,IF(Category=$A$203,IF(Provider=$B216,Score))))</f>
        <v>58.3</v>
      </c>
      <c r="BF216" s="17"/>
      <c r="BG216" s="20">
        <f t="array" ref="BG216">SUM(IF(Period=BE$4,IF(Category=$A$203,IF(Provider=$B216,Responses))))</f>
        <v>6</v>
      </c>
      <c r="BH216" s="20"/>
      <c r="BI216" s="17">
        <f t="shared" si="105"/>
        <v>1.4759493670886075</v>
      </c>
      <c r="BJ216" s="17"/>
      <c r="BK216" s="17">
        <f t="shared" si="96"/>
        <v>0.24720848056537098</v>
      </c>
      <c r="BL216" s="17"/>
      <c r="BM216" s="17">
        <f t="array" ref="BM216">SUM(IF(Period=BM$4,IF(Category=$A$203,IF(Provider=$B216,Score))))</f>
        <v>67.900000000000006</v>
      </c>
      <c r="BN216" s="17"/>
      <c r="BO216" s="20">
        <f t="array" ref="BO216">SUM(IF(Period=BM$4,IF(Category=$A$203,IF(Provider=$B216,Responses))))</f>
        <v>7</v>
      </c>
      <c r="BP216" s="20"/>
      <c r="BQ216" s="17">
        <f t="shared" si="106"/>
        <v>2.0575757575757576</v>
      </c>
      <c r="BR216" s="17"/>
      <c r="BS216" s="17">
        <f t="shared" si="97"/>
        <v>0.34292929292929297</v>
      </c>
      <c r="BT216" s="17"/>
      <c r="BU216" s="17">
        <f t="array" ref="BU216">SUM(IF(Period=BU$4,IF(Category=$A$203,IF(Provider=$B216,Score))))</f>
        <v>68.8</v>
      </c>
      <c r="BV216" s="17"/>
      <c r="BW216" s="20">
        <f t="array" ref="BW216">SUM(IF(Period=BU$4,IF(Category=$A$203,IF(Provider=$B216,Responses))))</f>
        <v>8</v>
      </c>
      <c r="BX216" s="20"/>
      <c r="BY216" s="17">
        <f t="shared" si="107"/>
        <v>2.2557377049180327</v>
      </c>
      <c r="BZ216" s="17"/>
      <c r="CA216" s="17">
        <f t="shared" si="98"/>
        <v>0.38037318590186592</v>
      </c>
    </row>
    <row r="217" spans="2:79" outlineLevel="1" x14ac:dyDescent="0.25">
      <c r="B217" t="s">
        <v>35</v>
      </c>
      <c r="C217" s="17">
        <v>0</v>
      </c>
      <c r="D217" s="17"/>
      <c r="E217" s="17">
        <v>0</v>
      </c>
      <c r="F217" s="17"/>
      <c r="G217" s="17">
        <v>0</v>
      </c>
      <c r="H217" s="17"/>
      <c r="I217" s="17">
        <f t="array" ref="I217">SUM(IF(Period=I$4,IF(Category=$A$203,IF(Provider=$B217,Score))))</f>
        <v>50</v>
      </c>
      <c r="J217" s="17"/>
      <c r="K217" s="20">
        <f t="array" ref="K217">SUM(IF(Period=I$4,IF(Category=$A$203,IF(Provider=$B217,Responses))))</f>
        <v>1</v>
      </c>
      <c r="L217" s="20"/>
      <c r="M217" s="17">
        <f t="shared" si="99"/>
        <v>0.24630541871921183</v>
      </c>
      <c r="N217" s="17"/>
      <c r="O217" s="17">
        <f t="shared" si="90"/>
        <v>4.1356492969396197E-2</v>
      </c>
      <c r="P217" s="17"/>
      <c r="Q217" s="17">
        <f t="array" ref="Q217">SUM(IF(Period=Q$4,IF(Category=$A$203,IF(Provider=$B217,Score))))</f>
        <v>0</v>
      </c>
      <c r="R217" s="17"/>
      <c r="S217" s="20">
        <f t="array" ref="S217">SUM(IF(Period=Q$4,IF(Category=$A$203,IF(Provider=$B217,Responses))))</f>
        <v>0</v>
      </c>
      <c r="T217" s="20"/>
      <c r="U217" s="17">
        <f t="shared" si="100"/>
        <v>0</v>
      </c>
      <c r="V217" s="17"/>
      <c r="W217" s="17">
        <f t="shared" si="91"/>
        <v>0</v>
      </c>
      <c r="X217" s="17"/>
      <c r="Y217" s="17">
        <f t="array" ref="Y217">SUM(IF(Period=Y$4,IF(Category=$A$203,IF(Provider=$B217,Score))))</f>
        <v>68.8</v>
      </c>
      <c r="Z217" s="17"/>
      <c r="AA217" s="20">
        <f t="array" ref="AA217">SUM(IF(Period=Y$4,IF(Category=$A$203,IF(Provider=$B217,Responses))))</f>
        <v>4</v>
      </c>
      <c r="AB217" s="20"/>
      <c r="AC217" s="17">
        <f t="shared" si="101"/>
        <v>0.91733333333333333</v>
      </c>
      <c r="AD217" s="17"/>
      <c r="AE217" s="17">
        <f t="shared" si="92"/>
        <v>0.15179260893546609</v>
      </c>
      <c r="AF217" s="17"/>
      <c r="AG217" s="17">
        <f t="array" ref="AG217">SUM(IF(Period=AG$4,IF(Category=$A$203,IF(Provider=$B217,Score))))</f>
        <v>100</v>
      </c>
      <c r="AH217" s="17"/>
      <c r="AI217" s="20">
        <f t="array" ref="AI217">SUM(IF(Period=AG$4,IF(Category=$A$203,IF(Provider=$B217,Responses))))</f>
        <v>1</v>
      </c>
      <c r="AJ217" s="20"/>
      <c r="AK217" s="17">
        <f t="shared" si="102"/>
        <v>0.38759689922480622</v>
      </c>
      <c r="AL217" s="17"/>
      <c r="AM217" s="17">
        <f t="shared" si="93"/>
        <v>6.476683937823835E-2</v>
      </c>
      <c r="AN217" s="17"/>
      <c r="AO217" s="17">
        <f t="array" ref="AO217">SUM(IF(Period=AO$4,IF(Category=$A$203,IF(Provider=$B217,Score))))</f>
        <v>37.5</v>
      </c>
      <c r="AP217" s="17"/>
      <c r="AQ217" s="20">
        <f t="array" ref="AQ217">SUM(IF(Period=AO$4,IF(Category=$A$203,IF(Provider=$B217,Responses))))</f>
        <v>2</v>
      </c>
      <c r="AR217" s="20"/>
      <c r="AS217" s="17">
        <f t="shared" si="103"/>
        <v>0.43859649122807015</v>
      </c>
      <c r="AT217" s="17"/>
      <c r="AU217" s="17">
        <f t="shared" si="94"/>
        <v>7.3099415204678359E-2</v>
      </c>
      <c r="AV217" s="17"/>
      <c r="AW217" s="17">
        <f t="array" ref="AW217">SUM(IF(Period=AW$4,IF(Category=$A$203,IF(Provider=$B217,Score))))</f>
        <v>82.1</v>
      </c>
      <c r="AX217" s="17"/>
      <c r="AY217" s="20">
        <f t="array" ref="AY217">SUM(IF(Period=AW$4,IF(Category=$A$203,IF(Provider=$B217,Responses))))</f>
        <v>7</v>
      </c>
      <c r="AZ217" s="20"/>
      <c r="BA217" s="17">
        <f t="shared" si="104"/>
        <v>2.6242009132420088</v>
      </c>
      <c r="BB217" s="17"/>
      <c r="BC217" s="17">
        <f t="shared" si="95"/>
        <v>0.4413978494623656</v>
      </c>
      <c r="BD217" s="17"/>
      <c r="BE217" s="17">
        <f t="array" ref="BE217">SUM(IF(Period=BE$4,IF(Category=$A$203,IF(Provider=$B217,Score))))</f>
        <v>50</v>
      </c>
      <c r="BF217" s="17"/>
      <c r="BG217" s="20">
        <f t="array" ref="BG217">SUM(IF(Period=BE$4,IF(Category=$A$203,IF(Provider=$B217,Responses))))</f>
        <v>7</v>
      </c>
      <c r="BH217" s="20"/>
      <c r="BI217" s="17">
        <f t="shared" si="105"/>
        <v>1.4767932489451476</v>
      </c>
      <c r="BJ217" s="17"/>
      <c r="BK217" s="17">
        <f t="shared" si="96"/>
        <v>0.24734982332155478</v>
      </c>
      <c r="BL217" s="17"/>
      <c r="BM217" s="17">
        <f t="array" ref="BM217">SUM(IF(Period=BM$4,IF(Category=$A$203,IF(Provider=$B217,Score))))</f>
        <v>83.3</v>
      </c>
      <c r="BN217" s="17"/>
      <c r="BO217" s="20">
        <f t="array" ref="BO217">SUM(IF(Period=BM$4,IF(Category=$A$203,IF(Provider=$B217,Responses))))</f>
        <v>3</v>
      </c>
      <c r="BP217" s="20"/>
      <c r="BQ217" s="17">
        <f t="shared" si="106"/>
        <v>1.0818181818181818</v>
      </c>
      <c r="BR217" s="17"/>
      <c r="BS217" s="17">
        <f t="shared" si="97"/>
        <v>0.1803030303030303</v>
      </c>
      <c r="BT217" s="17"/>
      <c r="BU217" s="17">
        <f t="array" ref="BU217">SUM(IF(Period=BU$4,IF(Category=$A$203,IF(Provider=$B217,Score))))</f>
        <v>50</v>
      </c>
      <c r="BV217" s="17"/>
      <c r="BW217" s="20">
        <f t="array" ref="BW217">SUM(IF(Period=BU$4,IF(Category=$A$203,IF(Provider=$B217,Responses))))</f>
        <v>1</v>
      </c>
      <c r="BX217" s="20"/>
      <c r="BY217" s="17">
        <f t="shared" si="107"/>
        <v>0.20491803278688525</v>
      </c>
      <c r="BZ217" s="17"/>
      <c r="CA217" s="17">
        <f t="shared" si="98"/>
        <v>3.455425017277125E-2</v>
      </c>
    </row>
    <row r="218" spans="2:79" outlineLevel="1" x14ac:dyDescent="0.25">
      <c r="B218" t="s">
        <v>36</v>
      </c>
      <c r="C218" s="17">
        <v>0</v>
      </c>
      <c r="D218" s="17"/>
      <c r="E218" s="17">
        <v>0</v>
      </c>
      <c r="F218" s="17"/>
      <c r="G218" s="17">
        <v>0</v>
      </c>
      <c r="H218" s="17"/>
      <c r="I218" s="17">
        <f t="array" ref="I218">SUM(IF(Period=I$4,IF(Category=$A$203,IF(Provider=$B218,Score))))</f>
        <v>53.6</v>
      </c>
      <c r="J218" s="17"/>
      <c r="K218" s="20">
        <f t="array" ref="K218">SUM(IF(Period=I$4,IF(Category=$A$203,IF(Provider=$B218,Responses))))</f>
        <v>7</v>
      </c>
      <c r="L218" s="20"/>
      <c r="M218" s="17">
        <f t="shared" si="99"/>
        <v>1.8482758620689654</v>
      </c>
      <c r="N218" s="17"/>
      <c r="O218" s="17">
        <f t="shared" si="90"/>
        <v>0.31033912324234908</v>
      </c>
      <c r="P218" s="17"/>
      <c r="Q218" s="17">
        <f t="array" ref="Q218">SUM(IF(Period=Q$4,IF(Category=$A$203,IF(Provider=$B218,Score))))</f>
        <v>68.8</v>
      </c>
      <c r="R218" s="17"/>
      <c r="S218" s="20">
        <f t="array" ref="S218">SUM(IF(Period=Q$4,IF(Category=$A$203,IF(Provider=$B218,Responses))))</f>
        <v>4</v>
      </c>
      <c r="T218" s="20"/>
      <c r="U218" s="17">
        <f t="shared" si="100"/>
        <v>1.4638297872340424</v>
      </c>
      <c r="V218" s="17"/>
      <c r="W218" s="17">
        <f t="shared" si="91"/>
        <v>0.24527629233511583</v>
      </c>
      <c r="X218" s="17"/>
      <c r="Y218" s="17">
        <f t="array" ref="Y218">SUM(IF(Period=Y$4,IF(Category=$A$203,IF(Provider=$B218,Score))))</f>
        <v>66.7</v>
      </c>
      <c r="Z218" s="17"/>
      <c r="AA218" s="20">
        <f t="array" ref="AA218">SUM(IF(Period=Y$4,IF(Category=$A$203,IF(Provider=$B218,Responses))))</f>
        <v>9</v>
      </c>
      <c r="AB218" s="20"/>
      <c r="AC218" s="17">
        <f t="shared" si="101"/>
        <v>2.0009999999999999</v>
      </c>
      <c r="AD218" s="17"/>
      <c r="AE218" s="17">
        <f t="shared" si="92"/>
        <v>0.33110865968008824</v>
      </c>
      <c r="AF218" s="17"/>
      <c r="AG218" s="17">
        <f t="array" ref="AG218">SUM(IF(Period=AG$4,IF(Category=$A$203,IF(Provider=$B218,Score))))</f>
        <v>38.9</v>
      </c>
      <c r="AH218" s="17"/>
      <c r="AI218" s="20">
        <f t="array" ref="AI218">SUM(IF(Period=AG$4,IF(Category=$A$203,IF(Provider=$B218,Responses))))</f>
        <v>9</v>
      </c>
      <c r="AJ218" s="20"/>
      <c r="AK218" s="17">
        <f t="shared" si="102"/>
        <v>1.3569767441860465</v>
      </c>
      <c r="AL218" s="17"/>
      <c r="AM218" s="17">
        <f t="shared" si="93"/>
        <v>0.22674870466321242</v>
      </c>
      <c r="AN218" s="17"/>
      <c r="AO218" s="17">
        <f t="array" ref="AO218">SUM(IF(Period=AO$4,IF(Category=$A$203,IF(Provider=$B218,Score))))</f>
        <v>75</v>
      </c>
      <c r="AP218" s="17"/>
      <c r="AQ218" s="20">
        <f t="array" ref="AQ218">SUM(IF(Period=AO$4,IF(Category=$A$203,IF(Provider=$B218,Responses))))</f>
        <v>6</v>
      </c>
      <c r="AR218" s="20"/>
      <c r="AS218" s="17">
        <f t="shared" si="103"/>
        <v>2.6315789473684208</v>
      </c>
      <c r="AT218" s="17"/>
      <c r="AU218" s="17">
        <f t="shared" si="94"/>
        <v>0.43859649122807015</v>
      </c>
      <c r="AV218" s="17"/>
      <c r="AW218" s="17">
        <f t="array" ref="AW218">SUM(IF(Period=AW$4,IF(Category=$A$203,IF(Provider=$B218,Score))))</f>
        <v>83.3</v>
      </c>
      <c r="AX218" s="17"/>
      <c r="AY218" s="20">
        <f t="array" ref="AY218">SUM(IF(Period=AW$4,IF(Category=$A$203,IF(Provider=$B218,Responses))))</f>
        <v>3</v>
      </c>
      <c r="AZ218" s="20"/>
      <c r="BA218" s="17">
        <f t="shared" si="104"/>
        <v>1.1410958904109587</v>
      </c>
      <c r="BB218" s="17"/>
      <c r="BC218" s="17">
        <f t="shared" si="95"/>
        <v>0.19193548387096773</v>
      </c>
      <c r="BD218" s="17"/>
      <c r="BE218" s="17">
        <f t="array" ref="BE218">SUM(IF(Period=BE$4,IF(Category=$A$203,IF(Provider=$B218,Score))))</f>
        <v>70.5</v>
      </c>
      <c r="BF218" s="17"/>
      <c r="BG218" s="20">
        <f t="array" ref="BG218">SUM(IF(Period=BE$4,IF(Category=$A$203,IF(Provider=$B218,Responses))))</f>
        <v>11</v>
      </c>
      <c r="BH218" s="20"/>
      <c r="BI218" s="17">
        <f t="shared" si="105"/>
        <v>3.2721518987341773</v>
      </c>
      <c r="BJ218" s="17"/>
      <c r="BK218" s="17">
        <f t="shared" si="96"/>
        <v>0.54805653710247348</v>
      </c>
      <c r="BL218" s="17"/>
      <c r="BM218" s="17">
        <f t="array" ref="BM218">SUM(IF(Period=BM$4,IF(Category=$A$203,IF(Provider=$B218,Score))))</f>
        <v>37.5</v>
      </c>
      <c r="BN218" s="17"/>
      <c r="BO218" s="20">
        <f t="array" ref="BO218">SUM(IF(Period=BM$4,IF(Category=$A$203,IF(Provider=$B218,Responses))))</f>
        <v>2</v>
      </c>
      <c r="BP218" s="20"/>
      <c r="BQ218" s="17">
        <f t="shared" si="106"/>
        <v>0.32467532467532467</v>
      </c>
      <c r="BR218" s="17"/>
      <c r="BS218" s="17">
        <f t="shared" si="97"/>
        <v>5.4112554112554112E-2</v>
      </c>
      <c r="BT218" s="17"/>
      <c r="BU218" s="17">
        <f t="array" ref="BU218">SUM(IF(Period=BU$4,IF(Category=$A$203,IF(Provider=$B218,Score))))</f>
        <v>73.2</v>
      </c>
      <c r="BV218" s="17"/>
      <c r="BW218" s="20">
        <f t="array" ref="BW218">SUM(IF(Period=BU$4,IF(Category=$A$203,IF(Provider=$B218,Responses))))</f>
        <v>14</v>
      </c>
      <c r="BX218" s="20"/>
      <c r="BY218" s="17">
        <f t="shared" si="107"/>
        <v>4.2</v>
      </c>
      <c r="BZ218" s="17"/>
      <c r="CA218" s="17">
        <f t="shared" si="98"/>
        <v>0.70822391154111963</v>
      </c>
    </row>
    <row r="219" spans="2:79" outlineLevel="1" x14ac:dyDescent="0.25">
      <c r="B219" t="s">
        <v>23</v>
      </c>
      <c r="C219" s="17">
        <v>0</v>
      </c>
      <c r="D219" s="17"/>
      <c r="E219" s="17">
        <v>0</v>
      </c>
      <c r="F219" s="17"/>
      <c r="G219" s="17">
        <v>0</v>
      </c>
      <c r="H219" s="17"/>
      <c r="I219" s="17">
        <f t="array" ref="I219">SUM(IF(Period=I$4,IF(Category=$A$203,IF(Provider=$B219,Score))))</f>
        <v>65</v>
      </c>
      <c r="J219" s="17"/>
      <c r="K219" s="20">
        <f t="array" ref="K219">SUM(IF(Period=I$4,IF(Category=$A$203,IF(Provider=$B219,Responses))))</f>
        <v>10</v>
      </c>
      <c r="L219" s="20"/>
      <c r="M219" s="17">
        <f t="shared" si="99"/>
        <v>3.201970443349754</v>
      </c>
      <c r="N219" s="17"/>
      <c r="O219" s="17">
        <f t="shared" si="90"/>
        <v>0.5376344086021505</v>
      </c>
      <c r="P219" s="17"/>
      <c r="Q219" s="17">
        <f t="array" ref="Q219">SUM(IF(Period=Q$4,IF(Category=$A$203,IF(Provider=$B219,Score))))</f>
        <v>50</v>
      </c>
      <c r="R219" s="17"/>
      <c r="S219" s="20">
        <f t="array" ref="S219">SUM(IF(Period=Q$4,IF(Category=$A$203,IF(Provider=$B219,Responses))))</f>
        <v>4</v>
      </c>
      <c r="T219" s="20"/>
      <c r="U219" s="17">
        <f t="shared" si="100"/>
        <v>1.0638297872340425</v>
      </c>
      <c r="V219" s="17"/>
      <c r="W219" s="17">
        <f t="shared" si="91"/>
        <v>0.17825311942959002</v>
      </c>
      <c r="X219" s="17"/>
      <c r="Y219" s="17">
        <f t="array" ref="Y219">SUM(IF(Period=Y$4,IF(Category=$A$203,IF(Provider=$B219,Score))))</f>
        <v>67.5</v>
      </c>
      <c r="Z219" s="17"/>
      <c r="AA219" s="20">
        <f t="array" ref="AA219">SUM(IF(Period=Y$4,IF(Category=$A$203,IF(Provider=$B219,Responses))))</f>
        <v>10</v>
      </c>
      <c r="AB219" s="20"/>
      <c r="AC219" s="17">
        <f t="shared" si="101"/>
        <v>2.25</v>
      </c>
      <c r="AD219" s="17"/>
      <c r="AE219" s="17">
        <f t="shared" si="92"/>
        <v>0.3723110865968009</v>
      </c>
      <c r="AF219" s="17"/>
      <c r="AG219" s="17">
        <f t="array" ref="AG219">SUM(IF(Period=AG$4,IF(Category=$A$203,IF(Provider=$B219,Score))))</f>
        <v>87.5</v>
      </c>
      <c r="AH219" s="17"/>
      <c r="AI219" s="20">
        <f t="array" ref="AI219">SUM(IF(Period=AG$4,IF(Category=$A$203,IF(Provider=$B219,Responses))))</f>
        <v>6</v>
      </c>
      <c r="AJ219" s="20"/>
      <c r="AK219" s="17">
        <f t="shared" si="102"/>
        <v>2.0348837209302326</v>
      </c>
      <c r="AL219" s="17"/>
      <c r="AM219" s="17">
        <f t="shared" si="93"/>
        <v>0.34002590673575128</v>
      </c>
      <c r="AN219" s="17"/>
      <c r="AO219" s="17">
        <f t="array" ref="AO219">SUM(IF(Period=AO$4,IF(Category=$A$203,IF(Provider=$B219,Score))))</f>
        <v>79.599999999999994</v>
      </c>
      <c r="AP219" s="17"/>
      <c r="AQ219" s="20">
        <f t="array" ref="AQ219">SUM(IF(Period=AO$4,IF(Category=$A$203,IF(Provider=$B219,Responses))))</f>
        <v>11</v>
      </c>
      <c r="AR219" s="20"/>
      <c r="AS219" s="17">
        <f t="shared" si="103"/>
        <v>5.1204678362573093</v>
      </c>
      <c r="AT219" s="17"/>
      <c r="AU219" s="17">
        <f t="shared" si="94"/>
        <v>0.85341130604288484</v>
      </c>
      <c r="AV219" s="17"/>
      <c r="AW219" s="17">
        <f t="array" ref="AW219">SUM(IF(Period=AW$4,IF(Category=$A$203,IF(Provider=$B219,Score))))</f>
        <v>75</v>
      </c>
      <c r="AX219" s="17"/>
      <c r="AY219" s="20">
        <f t="array" ref="AY219">SUM(IF(Period=AW$4,IF(Category=$A$203,IF(Provider=$B219,Responses))))</f>
        <v>5</v>
      </c>
      <c r="AZ219" s="20"/>
      <c r="BA219" s="17">
        <f t="shared" si="104"/>
        <v>1.7123287671232876</v>
      </c>
      <c r="BB219" s="17"/>
      <c r="BC219" s="17">
        <f t="shared" si="95"/>
        <v>0.28801843317972348</v>
      </c>
      <c r="BD219" s="17"/>
      <c r="BE219" s="17">
        <f t="array" ref="BE219">SUM(IF(Period=BE$4,IF(Category=$A$203,IF(Provider=$B219,Score))))</f>
        <v>82.5</v>
      </c>
      <c r="BF219" s="17"/>
      <c r="BG219" s="20">
        <f t="array" ref="BG219">SUM(IF(Period=BE$4,IF(Category=$A$203,IF(Provider=$B219,Responses))))</f>
        <v>10</v>
      </c>
      <c r="BH219" s="20"/>
      <c r="BI219" s="17">
        <f t="shared" si="105"/>
        <v>3.481012658227848</v>
      </c>
      <c r="BJ219" s="17"/>
      <c r="BK219" s="17">
        <f t="shared" si="96"/>
        <v>0.58303886925795056</v>
      </c>
      <c r="BL219" s="17"/>
      <c r="BM219" s="17">
        <f t="array" ref="BM219">SUM(IF(Period=BM$4,IF(Category=$A$203,IF(Provider=$B219,Score))))</f>
        <v>56.3</v>
      </c>
      <c r="BN219" s="17"/>
      <c r="BO219" s="20">
        <f t="array" ref="BO219">SUM(IF(Period=BM$4,IF(Category=$A$203,IF(Provider=$B219,Responses))))</f>
        <v>8</v>
      </c>
      <c r="BP219" s="20"/>
      <c r="BQ219" s="17">
        <f t="shared" si="106"/>
        <v>1.9497835497835496</v>
      </c>
      <c r="BR219" s="17"/>
      <c r="BS219" s="17">
        <f t="shared" si="97"/>
        <v>0.32496392496392495</v>
      </c>
      <c r="BT219" s="17"/>
      <c r="BU219" s="17">
        <f t="array" ref="BU219">SUM(IF(Period=BU$4,IF(Category=$A$203,IF(Provider=$B219,Score))))</f>
        <v>54.6</v>
      </c>
      <c r="BV219" s="17"/>
      <c r="BW219" s="20">
        <f t="array" ref="BW219">SUM(IF(Period=BU$4,IF(Category=$A$203,IF(Provider=$B219,Responses))))</f>
        <v>11</v>
      </c>
      <c r="BX219" s="20"/>
      <c r="BY219" s="17">
        <f t="shared" si="107"/>
        <v>2.4614754098360656</v>
      </c>
      <c r="BZ219" s="17"/>
      <c r="CA219" s="17">
        <f t="shared" si="98"/>
        <v>0.41506565307532828</v>
      </c>
    </row>
    <row r="220" spans="2:79" outlineLevel="1" x14ac:dyDescent="0.25">
      <c r="B220" t="s">
        <v>6</v>
      </c>
      <c r="C220" s="17">
        <v>0</v>
      </c>
      <c r="D220" s="17"/>
      <c r="E220" s="17">
        <v>0</v>
      </c>
      <c r="F220" s="17"/>
      <c r="G220" s="17">
        <v>0</v>
      </c>
      <c r="H220" s="17"/>
      <c r="I220" s="17">
        <f t="array" ref="I220">SUM(IF(Period=I$4,IF(Category=$A$203,IF(Provider=$B220,Score))))</f>
        <v>100</v>
      </c>
      <c r="J220" s="17"/>
      <c r="K220" s="20">
        <f t="array" ref="K220">SUM(IF(Period=I$4,IF(Category=$A$203,IF(Provider=$B220,Responses))))</f>
        <v>1</v>
      </c>
      <c r="L220" s="20"/>
      <c r="M220" s="17">
        <f t="shared" si="99"/>
        <v>0.49261083743842365</v>
      </c>
      <c r="N220" s="17"/>
      <c r="O220" s="17">
        <f t="shared" si="90"/>
        <v>8.2712985938792394E-2</v>
      </c>
      <c r="P220" s="17"/>
      <c r="Q220" s="17">
        <f t="array" ref="Q220">SUM(IF(Period=Q$4,IF(Category=$A$203,IF(Provider=$B220,Score))))</f>
        <v>0</v>
      </c>
      <c r="R220" s="17"/>
      <c r="S220" s="20">
        <f t="array" ref="S220">SUM(IF(Period=Q$4,IF(Category=$A$203,IF(Provider=$B220,Responses))))</f>
        <v>0</v>
      </c>
      <c r="T220" s="20"/>
      <c r="U220" s="17">
        <f t="shared" si="100"/>
        <v>0</v>
      </c>
      <c r="V220" s="17"/>
      <c r="W220" s="17">
        <f t="shared" si="91"/>
        <v>0</v>
      </c>
      <c r="X220" s="17"/>
      <c r="Y220" s="17">
        <f t="array" ref="Y220">SUM(IF(Period=Y$4,IF(Category=$A$203,IF(Provider=$B220,Score))))</f>
        <v>83.3</v>
      </c>
      <c r="Z220" s="17"/>
      <c r="AA220" s="20">
        <f t="array" ref="AA220">SUM(IF(Period=Y$4,IF(Category=$A$203,IF(Provider=$B220,Responses))))</f>
        <v>3</v>
      </c>
      <c r="AB220" s="20"/>
      <c r="AC220" s="17">
        <f t="shared" si="101"/>
        <v>0.83299999999999996</v>
      </c>
      <c r="AD220" s="17"/>
      <c r="AE220" s="17">
        <f t="shared" si="92"/>
        <v>0.13783783783783782</v>
      </c>
      <c r="AF220" s="17"/>
      <c r="AG220" s="17">
        <f t="array" ref="AG220">SUM(IF(Period=AG$4,IF(Category=$A$203,IF(Provider=$B220,Score))))</f>
        <v>75</v>
      </c>
      <c r="AH220" s="17"/>
      <c r="AI220" s="20">
        <f t="array" ref="AI220">SUM(IF(Period=AG$4,IF(Category=$A$203,IF(Provider=$B220,Responses))))</f>
        <v>5</v>
      </c>
      <c r="AJ220" s="20"/>
      <c r="AK220" s="17">
        <f t="shared" si="102"/>
        <v>1.4534883720930232</v>
      </c>
      <c r="AL220" s="17"/>
      <c r="AM220" s="17">
        <f t="shared" si="93"/>
        <v>0.24287564766839376</v>
      </c>
      <c r="AN220" s="17"/>
      <c r="AO220" s="17">
        <f t="array" ref="AO220">SUM(IF(Period=AO$4,IF(Category=$A$203,IF(Provider=$B220,Score))))</f>
        <v>0</v>
      </c>
      <c r="AP220" s="17"/>
      <c r="AQ220" s="20">
        <f t="array" ref="AQ220">SUM(IF(Period=AO$4,IF(Category=$A$203,IF(Provider=$B220,Responses))))</f>
        <v>0</v>
      </c>
      <c r="AR220" s="20"/>
      <c r="AS220" s="17">
        <f t="shared" si="103"/>
        <v>0</v>
      </c>
      <c r="AT220" s="17"/>
      <c r="AU220" s="17">
        <f t="shared" si="94"/>
        <v>0</v>
      </c>
      <c r="AV220" s="17"/>
      <c r="AW220" s="17">
        <f t="array" ref="AW220">SUM(IF(Period=AW$4,IF(Category=$A$203,IF(Provider=$B220,Score))))</f>
        <v>80</v>
      </c>
      <c r="AX220" s="17"/>
      <c r="AY220" s="20">
        <f t="array" ref="AY220">SUM(IF(Period=AW$4,IF(Category=$A$203,IF(Provider=$B220,Responses))))</f>
        <v>5</v>
      </c>
      <c r="AZ220" s="20"/>
      <c r="BA220" s="17">
        <f t="shared" si="104"/>
        <v>1.8264840182648401</v>
      </c>
      <c r="BB220" s="17"/>
      <c r="BC220" s="17">
        <f t="shared" si="95"/>
        <v>0.30721966205837176</v>
      </c>
      <c r="BD220" s="17"/>
      <c r="BE220" s="17">
        <f t="array" ref="BE220">SUM(IF(Period=BE$4,IF(Category=$A$203,IF(Provider=$B220,Score))))</f>
        <v>0</v>
      </c>
      <c r="BF220" s="17"/>
      <c r="BG220" s="20">
        <f t="array" ref="BG220">SUM(IF(Period=BE$4,IF(Category=$A$203,IF(Provider=$B220,Responses))))</f>
        <v>0</v>
      </c>
      <c r="BH220" s="20"/>
      <c r="BI220" s="17">
        <f t="shared" si="105"/>
        <v>0</v>
      </c>
      <c r="BJ220" s="17"/>
      <c r="BK220" s="17">
        <f t="shared" si="96"/>
        <v>0</v>
      </c>
      <c r="BL220" s="17"/>
      <c r="BM220" s="17">
        <f t="array" ref="BM220">SUM(IF(Period=BM$4,IF(Category=$A$203,IF(Provider=$B220,Score))))</f>
        <v>75</v>
      </c>
      <c r="BN220" s="17"/>
      <c r="BO220" s="20">
        <f t="array" ref="BO220">SUM(IF(Period=BM$4,IF(Category=$A$203,IF(Provider=$B220,Responses))))</f>
        <v>3</v>
      </c>
      <c r="BP220" s="20"/>
      <c r="BQ220" s="17">
        <f t="shared" si="106"/>
        <v>0.97402597402597413</v>
      </c>
      <c r="BR220" s="17"/>
      <c r="BS220" s="17">
        <f t="shared" si="97"/>
        <v>0.16233766233766234</v>
      </c>
      <c r="BT220" s="17"/>
      <c r="BU220" s="17">
        <f t="array" ref="BU220">SUM(IF(Period=BU$4,IF(Category=$A$203,IF(Provider=$B220,Score))))</f>
        <v>37.5</v>
      </c>
      <c r="BV220" s="17"/>
      <c r="BW220" s="20">
        <f t="array" ref="BW220">SUM(IF(Period=BU$4,IF(Category=$A$203,IF(Provider=$B220,Responses))))</f>
        <v>2</v>
      </c>
      <c r="BX220" s="20"/>
      <c r="BY220" s="17">
        <f t="shared" si="107"/>
        <v>0.30737704918032788</v>
      </c>
      <c r="BZ220" s="17"/>
      <c r="CA220" s="17">
        <f t="shared" si="98"/>
        <v>5.1831375259156875E-2</v>
      </c>
    </row>
    <row r="221" spans="2:79" outlineLevel="1" x14ac:dyDescent="0.25">
      <c r="B221" t="s">
        <v>39</v>
      </c>
      <c r="C221" s="17">
        <v>0</v>
      </c>
      <c r="D221" s="17"/>
      <c r="E221" s="17">
        <v>0</v>
      </c>
      <c r="F221" s="17"/>
      <c r="G221" s="17">
        <v>0</v>
      </c>
      <c r="H221" s="17"/>
      <c r="I221" s="17">
        <f t="array" ref="I221">SUM(IF(Period=I$4,IF(Category=$A$203,IF(Provider=$B221,Score))))</f>
        <v>50</v>
      </c>
      <c r="J221" s="17"/>
      <c r="K221" s="20">
        <f t="array" ref="K221">SUM(IF(Period=I$4,IF(Category=$A$203,IF(Provider=$B221,Responses))))</f>
        <v>10</v>
      </c>
      <c r="L221" s="20"/>
      <c r="M221" s="17">
        <f t="shared" si="99"/>
        <v>2.4630541871921183</v>
      </c>
      <c r="N221" s="17"/>
      <c r="O221" s="17">
        <f t="shared" si="90"/>
        <v>0.41356492969396197</v>
      </c>
      <c r="P221" s="17"/>
      <c r="Q221" s="17">
        <f t="array" ref="Q221">SUM(IF(Period=Q$4,IF(Category=$A$203,IF(Provider=$B221,Score))))</f>
        <v>60</v>
      </c>
      <c r="R221" s="17"/>
      <c r="S221" s="20">
        <f t="array" ref="S221">SUM(IF(Period=Q$4,IF(Category=$A$203,IF(Provider=$B221,Responses))))</f>
        <v>10</v>
      </c>
      <c r="T221" s="20"/>
      <c r="U221" s="17">
        <f t="shared" si="100"/>
        <v>3.1914893617021276</v>
      </c>
      <c r="V221" s="17"/>
      <c r="W221" s="17">
        <f t="shared" si="91"/>
        <v>0.53475935828877008</v>
      </c>
      <c r="X221" s="17"/>
      <c r="Y221" s="17">
        <f t="array" ref="Y221">SUM(IF(Period=Y$4,IF(Category=$A$203,IF(Provider=$B221,Score))))</f>
        <v>65.599999999999994</v>
      </c>
      <c r="Z221" s="17"/>
      <c r="AA221" s="20">
        <f t="array" ref="AA221">SUM(IF(Period=Y$4,IF(Category=$A$203,IF(Provider=$B221,Responses))))</f>
        <v>8</v>
      </c>
      <c r="AB221" s="20"/>
      <c r="AC221" s="17">
        <f t="shared" si="101"/>
        <v>1.7493333333333332</v>
      </c>
      <c r="AD221" s="17"/>
      <c r="AE221" s="17">
        <f t="shared" si="92"/>
        <v>0.2894649751792609</v>
      </c>
      <c r="AF221" s="17"/>
      <c r="AG221" s="17">
        <f t="array" ref="AG221">SUM(IF(Period=AG$4,IF(Category=$A$203,IF(Provider=$B221,Score))))</f>
        <v>64.3</v>
      </c>
      <c r="AH221" s="17"/>
      <c r="AI221" s="20">
        <f t="array" ref="AI221">SUM(IF(Period=AG$4,IF(Category=$A$203,IF(Provider=$B221,Responses))))</f>
        <v>7</v>
      </c>
      <c r="AJ221" s="20"/>
      <c r="AK221" s="17">
        <f t="shared" si="102"/>
        <v>1.7445736434108525</v>
      </c>
      <c r="AL221" s="17"/>
      <c r="AM221" s="17">
        <f t="shared" si="93"/>
        <v>0.29151554404145075</v>
      </c>
      <c r="AN221" s="17"/>
      <c r="AO221" s="17">
        <f t="array" ref="AO221">SUM(IF(Period=AO$4,IF(Category=$A$203,IF(Provider=$B221,Score))))</f>
        <v>100</v>
      </c>
      <c r="AP221" s="17"/>
      <c r="AQ221" s="20">
        <f t="array" ref="AQ221">SUM(IF(Period=AO$4,IF(Category=$A$203,IF(Provider=$B221,Responses))))</f>
        <v>7</v>
      </c>
      <c r="AR221" s="20"/>
      <c r="AS221" s="17">
        <f t="shared" si="103"/>
        <v>4.0935672514619883</v>
      </c>
      <c r="AT221" s="17"/>
      <c r="AU221" s="17">
        <f t="shared" si="94"/>
        <v>0.68226120857699801</v>
      </c>
      <c r="AV221" s="17"/>
      <c r="AW221" s="17">
        <f t="array" ref="AW221">SUM(IF(Period=AW$4,IF(Category=$A$203,IF(Provider=$B221,Score))))</f>
        <v>82.1</v>
      </c>
      <c r="AX221" s="17"/>
      <c r="AY221" s="20">
        <f t="array" ref="AY221">SUM(IF(Period=AW$4,IF(Category=$A$203,IF(Provider=$B221,Responses))))</f>
        <v>7</v>
      </c>
      <c r="AZ221" s="20"/>
      <c r="BA221" s="17">
        <f t="shared" si="104"/>
        <v>2.6242009132420088</v>
      </c>
      <c r="BB221" s="17"/>
      <c r="BC221" s="17">
        <f t="shared" si="95"/>
        <v>0.4413978494623656</v>
      </c>
      <c r="BD221" s="17"/>
      <c r="BE221" s="17">
        <f t="array" ref="BE221">SUM(IF(Period=BE$4,IF(Category=$A$203,IF(Provider=$B221,Score))))</f>
        <v>95.8</v>
      </c>
      <c r="BF221" s="17"/>
      <c r="BG221" s="20">
        <f t="array" ref="BG221">SUM(IF(Period=BE$4,IF(Category=$A$203,IF(Provider=$B221,Responses))))</f>
        <v>6</v>
      </c>
      <c r="BH221" s="20"/>
      <c r="BI221" s="17">
        <f t="shared" si="105"/>
        <v>2.4253164556962026</v>
      </c>
      <c r="BJ221" s="17"/>
      <c r="BK221" s="17">
        <f t="shared" si="96"/>
        <v>0.40621908127208478</v>
      </c>
      <c r="BL221" s="17"/>
      <c r="BM221" s="17">
        <f t="array" ref="BM221">SUM(IF(Period=BM$4,IF(Category=$A$203,IF(Provider=$B221,Score))))</f>
        <v>84.4</v>
      </c>
      <c r="BN221" s="17"/>
      <c r="BO221" s="20">
        <f t="array" ref="BO221">SUM(IF(Period=BM$4,IF(Category=$A$203,IF(Provider=$B221,Responses))))</f>
        <v>8</v>
      </c>
      <c r="BP221" s="20"/>
      <c r="BQ221" s="17">
        <f t="shared" si="106"/>
        <v>2.9229437229437232</v>
      </c>
      <c r="BR221" s="17"/>
      <c r="BS221" s="17">
        <f t="shared" si="97"/>
        <v>0.48715728715728718</v>
      </c>
      <c r="BT221" s="17"/>
      <c r="BU221" s="17">
        <f t="array" ref="BU221">SUM(IF(Period=BU$4,IF(Category=$A$203,IF(Provider=$B221,Score))))</f>
        <v>85.7</v>
      </c>
      <c r="BV221" s="17"/>
      <c r="BW221" s="20">
        <f t="array" ref="BW221">SUM(IF(Period=BU$4,IF(Category=$A$203,IF(Provider=$B221,Responses))))</f>
        <v>7</v>
      </c>
      <c r="BX221" s="20"/>
      <c r="BY221" s="17">
        <f t="shared" si="107"/>
        <v>2.4586065573770495</v>
      </c>
      <c r="BZ221" s="17"/>
      <c r="CA221" s="17">
        <f t="shared" si="98"/>
        <v>0.41458189357290953</v>
      </c>
    </row>
    <row r="222" spans="2:79" outlineLevel="1" x14ac:dyDescent="0.25">
      <c r="B222" t="s">
        <v>28</v>
      </c>
      <c r="C222" s="17">
        <v>0</v>
      </c>
      <c r="D222" s="17"/>
      <c r="E222" s="17">
        <v>0</v>
      </c>
      <c r="F222" s="17"/>
      <c r="G222" s="17">
        <v>0</v>
      </c>
      <c r="H222" s="17"/>
      <c r="I222" s="17">
        <f t="array" ref="I222">SUM(IF(Period=I$4,IF(Category=$A$203,IF(Provider=$B222,Score))))</f>
        <v>75</v>
      </c>
      <c r="J222" s="17"/>
      <c r="K222" s="20">
        <f t="array" ref="K222">SUM(IF(Period=I$4,IF(Category=$A$203,IF(Provider=$B222,Responses))))</f>
        <v>6</v>
      </c>
      <c r="L222" s="20"/>
      <c r="M222" s="17">
        <f t="shared" si="99"/>
        <v>2.2167487684729061</v>
      </c>
      <c r="N222" s="17"/>
      <c r="O222" s="17">
        <f t="shared" si="90"/>
        <v>0.37220843672456577</v>
      </c>
      <c r="P222" s="17"/>
      <c r="Q222" s="17">
        <f t="array" ref="Q222">SUM(IF(Period=Q$4,IF(Category=$A$203,IF(Provider=$B222,Score))))</f>
        <v>62.5</v>
      </c>
      <c r="R222" s="17"/>
      <c r="S222" s="20">
        <f t="array" ref="S222">SUM(IF(Period=Q$4,IF(Category=$A$203,IF(Provider=$B222,Responses))))</f>
        <v>4</v>
      </c>
      <c r="T222" s="20"/>
      <c r="U222" s="17">
        <f t="shared" si="100"/>
        <v>1.3297872340425532</v>
      </c>
      <c r="V222" s="17"/>
      <c r="W222" s="17">
        <f t="shared" si="91"/>
        <v>0.22281639928698752</v>
      </c>
      <c r="X222" s="17"/>
      <c r="Y222" s="17">
        <f t="array" ref="Y222">SUM(IF(Period=Y$4,IF(Category=$A$203,IF(Provider=$B222,Score))))</f>
        <v>65</v>
      </c>
      <c r="Z222" s="17"/>
      <c r="AA222" s="20">
        <f t="array" ref="AA222">SUM(IF(Period=Y$4,IF(Category=$A$203,IF(Provider=$B222,Responses))))</f>
        <v>10</v>
      </c>
      <c r="AB222" s="20"/>
      <c r="AC222" s="17">
        <f t="shared" si="101"/>
        <v>2.1666666666666665</v>
      </c>
      <c r="AD222" s="17"/>
      <c r="AE222" s="17">
        <f t="shared" si="92"/>
        <v>0.35852178709321564</v>
      </c>
      <c r="AF222" s="17"/>
      <c r="AG222" s="17">
        <f t="array" ref="AG222">SUM(IF(Period=AG$4,IF(Category=$A$203,IF(Provider=$B222,Score))))</f>
        <v>77.5</v>
      </c>
      <c r="AH222" s="17"/>
      <c r="AI222" s="20">
        <f t="array" ref="AI222">SUM(IF(Period=AG$4,IF(Category=$A$203,IF(Provider=$B222,Responses))))</f>
        <v>10</v>
      </c>
      <c r="AJ222" s="20"/>
      <c r="AK222" s="17">
        <f t="shared" si="102"/>
        <v>3.0038759689922481</v>
      </c>
      <c r="AL222" s="17"/>
      <c r="AM222" s="17">
        <f t="shared" si="93"/>
        <v>0.50194300518134716</v>
      </c>
      <c r="AN222" s="17"/>
      <c r="AO222" s="17">
        <f t="array" ref="AO222">SUM(IF(Period=AO$4,IF(Category=$A$203,IF(Provider=$B222,Score))))</f>
        <v>79.2</v>
      </c>
      <c r="AP222" s="17"/>
      <c r="AQ222" s="20">
        <f t="array" ref="AQ222">SUM(IF(Period=AO$4,IF(Category=$A$203,IF(Provider=$B222,Responses))))</f>
        <v>6</v>
      </c>
      <c r="AR222" s="20"/>
      <c r="AS222" s="17">
        <f t="shared" si="103"/>
        <v>2.7789473684210524</v>
      </c>
      <c r="AT222" s="17"/>
      <c r="AU222" s="17">
        <f t="shared" si="94"/>
        <v>0.4631578947368421</v>
      </c>
      <c r="AV222" s="17"/>
      <c r="AW222" s="17">
        <f t="array" ref="AW222">SUM(IF(Period=AW$4,IF(Category=$A$203,IF(Provider=$B222,Score))))</f>
        <v>35</v>
      </c>
      <c r="AX222" s="17"/>
      <c r="AY222" s="20">
        <f t="array" ref="AY222">SUM(IF(Period=AW$4,IF(Category=$A$203,IF(Provider=$B222,Responses))))</f>
        <v>5</v>
      </c>
      <c r="AZ222" s="20"/>
      <c r="BA222" s="17">
        <f t="shared" si="104"/>
        <v>0.79908675799086759</v>
      </c>
      <c r="BB222" s="17"/>
      <c r="BC222" s="17">
        <f t="shared" si="95"/>
        <v>0.13440860215053763</v>
      </c>
      <c r="BD222" s="17"/>
      <c r="BE222" s="17">
        <f t="array" ref="BE222">SUM(IF(Period=BE$4,IF(Category=$A$203,IF(Provider=$B222,Score))))</f>
        <v>42.9</v>
      </c>
      <c r="BF222" s="17"/>
      <c r="BG222" s="20">
        <f t="array" ref="BG222">SUM(IF(Period=BE$4,IF(Category=$A$203,IF(Provider=$B222,Responses))))</f>
        <v>7</v>
      </c>
      <c r="BH222" s="20"/>
      <c r="BI222" s="17">
        <f t="shared" si="105"/>
        <v>1.2670886075949366</v>
      </c>
      <c r="BJ222" s="17"/>
      <c r="BK222" s="17">
        <f t="shared" si="96"/>
        <v>0.21222614840989398</v>
      </c>
      <c r="BL222" s="17"/>
      <c r="BM222" s="17">
        <f t="array" ref="BM222">SUM(IF(Period=BM$4,IF(Category=$A$203,IF(Provider=$B222,Score))))</f>
        <v>57.1</v>
      </c>
      <c r="BN222" s="17"/>
      <c r="BO222" s="20">
        <f t="array" ref="BO222">SUM(IF(Period=BM$4,IF(Category=$A$203,IF(Provider=$B222,Responses))))</f>
        <v>7</v>
      </c>
      <c r="BP222" s="20"/>
      <c r="BQ222" s="17">
        <f t="shared" si="106"/>
        <v>1.7303030303030305</v>
      </c>
      <c r="BR222" s="17"/>
      <c r="BS222" s="17">
        <f t="shared" si="97"/>
        <v>0.28838383838383841</v>
      </c>
      <c r="BT222" s="17"/>
      <c r="BU222" s="17">
        <f t="array" ref="BU222">SUM(IF(Period=BU$4,IF(Category=$A$203,IF(Provider=$B222,Score))))</f>
        <v>62.5</v>
      </c>
      <c r="BV222" s="17"/>
      <c r="BW222" s="20">
        <f t="array" ref="BW222">SUM(IF(Period=BU$4,IF(Category=$A$203,IF(Provider=$B222,Responses))))</f>
        <v>8</v>
      </c>
      <c r="BX222" s="20"/>
      <c r="BY222" s="17">
        <f t="shared" si="107"/>
        <v>2.0491803278688527</v>
      </c>
      <c r="BZ222" s="17"/>
      <c r="CA222" s="17">
        <f t="shared" si="98"/>
        <v>0.3455425017277125</v>
      </c>
    </row>
    <row r="223" spans="2:79" outlineLevel="1" x14ac:dyDescent="0.25">
      <c r="B223" t="s">
        <v>40</v>
      </c>
      <c r="C223" s="17">
        <v>0</v>
      </c>
      <c r="D223" s="17"/>
      <c r="E223" s="17">
        <v>0</v>
      </c>
      <c r="F223" s="17"/>
      <c r="G223" s="17">
        <v>0</v>
      </c>
      <c r="H223" s="17"/>
      <c r="I223" s="17">
        <f t="array" ref="I223">SUM(IF(Period=I$4,IF(Category=$A$203,IF(Provider=$B223,Score))))</f>
        <v>21.9</v>
      </c>
      <c r="J223" s="17"/>
      <c r="K223" s="20">
        <f t="array" ref="K223">SUM(IF(Period=I$4,IF(Category=$A$203,IF(Provider=$B223,Responses))))</f>
        <v>8</v>
      </c>
      <c r="L223" s="20"/>
      <c r="M223" s="17">
        <f t="shared" si="99"/>
        <v>0.86305418719211813</v>
      </c>
      <c r="N223" s="17"/>
      <c r="O223" s="17">
        <f t="shared" si="90"/>
        <v>0.14491315136476426</v>
      </c>
      <c r="P223" s="17"/>
      <c r="Q223" s="17">
        <f t="array" ref="Q223">SUM(IF(Period=Q$4,IF(Category=$A$203,IF(Provider=$B223,Score))))</f>
        <v>62.5</v>
      </c>
      <c r="R223" s="17"/>
      <c r="S223" s="20">
        <f t="array" ref="S223">SUM(IF(Period=Q$4,IF(Category=$A$203,IF(Provider=$B223,Responses))))</f>
        <v>2</v>
      </c>
      <c r="T223" s="20"/>
      <c r="U223" s="17">
        <f t="shared" si="100"/>
        <v>0.66489361702127658</v>
      </c>
      <c r="V223" s="17"/>
      <c r="W223" s="17">
        <f t="shared" si="91"/>
        <v>0.11140819964349376</v>
      </c>
      <c r="X223" s="17"/>
      <c r="Y223" s="17">
        <f t="array" ref="Y223">SUM(IF(Period=Y$4,IF(Category=$A$203,IF(Provider=$B223,Score))))</f>
        <v>80</v>
      </c>
      <c r="Z223" s="17"/>
      <c r="AA223" s="20">
        <f t="array" ref="AA223">SUM(IF(Period=Y$4,IF(Category=$A$203,IF(Provider=$B223,Responses))))</f>
        <v>5</v>
      </c>
      <c r="AB223" s="20"/>
      <c r="AC223" s="17">
        <f t="shared" si="101"/>
        <v>1.3333333333333333</v>
      </c>
      <c r="AD223" s="17"/>
      <c r="AE223" s="17">
        <f t="shared" si="92"/>
        <v>0.22062879205736349</v>
      </c>
      <c r="AF223" s="17"/>
      <c r="AG223" s="17">
        <f t="array" ref="AG223">SUM(IF(Period=AG$4,IF(Category=$A$203,IF(Provider=$B223,Score))))</f>
        <v>25</v>
      </c>
      <c r="AH223" s="17"/>
      <c r="AI223" s="20">
        <f t="array" ref="AI223">SUM(IF(Period=AG$4,IF(Category=$A$203,IF(Provider=$B223,Responses))))</f>
        <v>2</v>
      </c>
      <c r="AJ223" s="20"/>
      <c r="AK223" s="17">
        <f t="shared" si="102"/>
        <v>0.19379844961240311</v>
      </c>
      <c r="AL223" s="17"/>
      <c r="AM223" s="17">
        <f t="shared" si="93"/>
        <v>3.2383419689119175E-2</v>
      </c>
      <c r="AN223" s="17"/>
      <c r="AO223" s="17">
        <f t="array" ref="AO223">SUM(IF(Period=AO$4,IF(Category=$A$203,IF(Provider=$B223,Score))))</f>
        <v>68.8</v>
      </c>
      <c r="AP223" s="17"/>
      <c r="AQ223" s="20">
        <f t="array" ref="AQ223">SUM(IF(Period=AO$4,IF(Category=$A$203,IF(Provider=$B223,Responses))))</f>
        <v>4</v>
      </c>
      <c r="AR223" s="20"/>
      <c r="AS223" s="17">
        <f t="shared" si="103"/>
        <v>1.6093567251461987</v>
      </c>
      <c r="AT223" s="17"/>
      <c r="AU223" s="17">
        <f t="shared" si="94"/>
        <v>0.26822612085769976</v>
      </c>
      <c r="AV223" s="17"/>
      <c r="AW223" s="17">
        <f t="array" ref="AW223">SUM(IF(Period=AW$4,IF(Category=$A$203,IF(Provider=$B223,Score))))</f>
        <v>64.599999999999994</v>
      </c>
      <c r="AX223" s="17"/>
      <c r="AY223" s="20">
        <f t="array" ref="AY223">SUM(IF(Period=AW$4,IF(Category=$A$203,IF(Provider=$B223,Responses))))</f>
        <v>12</v>
      </c>
      <c r="AZ223" s="20"/>
      <c r="BA223" s="17">
        <f t="shared" si="104"/>
        <v>3.5397260273972599</v>
      </c>
      <c r="BB223" s="17"/>
      <c r="BC223" s="17">
        <f t="shared" si="95"/>
        <v>0.59539170506912442</v>
      </c>
      <c r="BD223" s="17"/>
      <c r="BE223" s="17">
        <f t="array" ref="BE223">SUM(IF(Period=BE$4,IF(Category=$A$203,IF(Provider=$B223,Score))))</f>
        <v>69.400000000000006</v>
      </c>
      <c r="BF223" s="17"/>
      <c r="BG223" s="20">
        <f t="array" ref="BG223">SUM(IF(Period=BE$4,IF(Category=$A$203,IF(Provider=$B223,Responses))))</f>
        <v>9</v>
      </c>
      <c r="BH223" s="20"/>
      <c r="BI223" s="17">
        <f t="shared" si="105"/>
        <v>2.6354430379746838</v>
      </c>
      <c r="BJ223" s="17"/>
      <c r="BK223" s="17">
        <f t="shared" si="96"/>
        <v>0.44141342756183749</v>
      </c>
      <c r="BL223" s="17"/>
      <c r="BM223" s="17">
        <f t="array" ref="BM223">SUM(IF(Period=BM$4,IF(Category=$A$203,IF(Provider=$B223,Score))))</f>
        <v>75</v>
      </c>
      <c r="BN223" s="17"/>
      <c r="BO223" s="20">
        <f t="array" ref="BO223">SUM(IF(Period=BM$4,IF(Category=$A$203,IF(Provider=$B223,Responses))))</f>
        <v>8</v>
      </c>
      <c r="BP223" s="20"/>
      <c r="BQ223" s="17">
        <f t="shared" si="106"/>
        <v>2.5974025974025974</v>
      </c>
      <c r="BR223" s="17"/>
      <c r="BS223" s="17">
        <f t="shared" si="97"/>
        <v>0.4329004329004329</v>
      </c>
      <c r="BT223" s="17"/>
      <c r="BU223" s="17">
        <f t="array" ref="BU223">SUM(IF(Period=BU$4,IF(Category=$A$203,IF(Provider=$B223,Score))))</f>
        <v>91.7</v>
      </c>
      <c r="BV223" s="17"/>
      <c r="BW223" s="20">
        <f t="array" ref="BW223">SUM(IF(Period=BU$4,IF(Category=$A$203,IF(Provider=$B223,Responses))))</f>
        <v>3</v>
      </c>
      <c r="BX223" s="20"/>
      <c r="BY223" s="17">
        <f t="shared" si="107"/>
        <v>1.1274590163934426</v>
      </c>
      <c r="BZ223" s="17"/>
      <c r="CA223" s="17">
        <f t="shared" si="98"/>
        <v>0.19011748445058743</v>
      </c>
    </row>
    <row r="224" spans="2:79" outlineLevel="1" x14ac:dyDescent="0.25">
      <c r="B224" t="s">
        <v>22</v>
      </c>
      <c r="C224" s="17">
        <v>0</v>
      </c>
      <c r="D224" s="17"/>
      <c r="E224" s="17">
        <v>0</v>
      </c>
      <c r="F224" s="17"/>
      <c r="G224" s="17">
        <v>0</v>
      </c>
      <c r="H224" s="17"/>
      <c r="I224" s="17">
        <f t="array" ref="I224">SUM(IF(Period=I$4,IF(Category=$A$203,IF(Provider=$B224,Score))))</f>
        <v>61.1</v>
      </c>
      <c r="J224" s="17"/>
      <c r="K224" s="20">
        <f t="array" ref="K224">SUM(IF(Period=I$4,IF(Category=$A$203,IF(Provider=$B224,Responses))))</f>
        <v>9</v>
      </c>
      <c r="L224" s="20"/>
      <c r="M224" s="17">
        <f t="shared" si="99"/>
        <v>2.7088669950738917</v>
      </c>
      <c r="N224" s="17"/>
      <c r="O224" s="17">
        <f t="shared" si="90"/>
        <v>0.45483870967741935</v>
      </c>
      <c r="P224" s="17"/>
      <c r="Q224" s="17">
        <f t="array" ref="Q224">SUM(IF(Period=Q$4,IF(Category=$A$203,IF(Provider=$B224,Score))))</f>
        <v>50</v>
      </c>
      <c r="R224" s="17"/>
      <c r="S224" s="20">
        <f t="array" ref="S224">SUM(IF(Period=Q$4,IF(Category=$A$203,IF(Provider=$B224,Responses))))</f>
        <v>3</v>
      </c>
      <c r="T224" s="20"/>
      <c r="U224" s="17">
        <f t="shared" si="100"/>
        <v>0.7978723404255319</v>
      </c>
      <c r="V224" s="17"/>
      <c r="W224" s="17">
        <f t="shared" si="91"/>
        <v>0.13368983957219249</v>
      </c>
      <c r="X224" s="17"/>
      <c r="Y224" s="17">
        <f t="array" ref="Y224">SUM(IF(Period=Y$4,IF(Category=$A$203,IF(Provider=$B224,Score))))</f>
        <v>60.4</v>
      </c>
      <c r="Z224" s="17"/>
      <c r="AA224" s="20">
        <f t="array" ref="AA224">SUM(IF(Period=Y$4,IF(Category=$A$203,IF(Provider=$B224,Responses))))</f>
        <v>12</v>
      </c>
      <c r="AB224" s="20"/>
      <c r="AC224" s="17">
        <f t="shared" si="101"/>
        <v>2.4159999999999999</v>
      </c>
      <c r="AD224" s="17"/>
      <c r="AE224" s="17">
        <f t="shared" si="92"/>
        <v>0.3997793712079426</v>
      </c>
      <c r="AF224" s="17"/>
      <c r="AG224" s="17">
        <f t="array" ref="AG224">SUM(IF(Period=AG$4,IF(Category=$A$203,IF(Provider=$B224,Score))))</f>
        <v>50</v>
      </c>
      <c r="AH224" s="17"/>
      <c r="AI224" s="20">
        <f t="array" ref="AI224">SUM(IF(Period=AG$4,IF(Category=$A$203,IF(Provider=$B224,Responses))))</f>
        <v>7</v>
      </c>
      <c r="AJ224" s="20"/>
      <c r="AK224" s="17">
        <f t="shared" si="102"/>
        <v>1.3565891472868217</v>
      </c>
      <c r="AL224" s="17"/>
      <c r="AM224" s="17">
        <f t="shared" si="93"/>
        <v>0.22668393782383417</v>
      </c>
      <c r="AN224" s="17"/>
      <c r="AO224" s="17">
        <f t="array" ref="AO224">SUM(IF(Period=AO$4,IF(Category=$A$203,IF(Provider=$B224,Score))))</f>
        <v>87.5</v>
      </c>
      <c r="AP224" s="17"/>
      <c r="AQ224" s="20">
        <f t="array" ref="AQ224">SUM(IF(Period=AO$4,IF(Category=$A$203,IF(Provider=$B224,Responses))))</f>
        <v>2</v>
      </c>
      <c r="AR224" s="20"/>
      <c r="AS224" s="17">
        <f t="shared" si="103"/>
        <v>1.0233918128654971</v>
      </c>
      <c r="AT224" s="17"/>
      <c r="AU224" s="17">
        <f t="shared" si="94"/>
        <v>0.1705653021442495</v>
      </c>
      <c r="AV224" s="17"/>
      <c r="AW224" s="17">
        <f t="array" ref="AW224">SUM(IF(Period=AW$4,IF(Category=$A$203,IF(Provider=$B224,Score))))</f>
        <v>60</v>
      </c>
      <c r="AX224" s="17"/>
      <c r="AY224" s="20">
        <f t="array" ref="AY224">SUM(IF(Period=AW$4,IF(Category=$A$203,IF(Provider=$B224,Responses))))</f>
        <v>10</v>
      </c>
      <c r="AZ224" s="20"/>
      <c r="BA224" s="17">
        <f t="shared" si="104"/>
        <v>2.7397260273972601</v>
      </c>
      <c r="BB224" s="17"/>
      <c r="BC224" s="17">
        <f t="shared" si="95"/>
        <v>0.46082949308755761</v>
      </c>
      <c r="BD224" s="17"/>
      <c r="BE224" s="17">
        <f t="array" ref="BE224">SUM(IF(Period=BE$4,IF(Category=$A$203,IF(Provider=$B224,Score))))</f>
        <v>62.5</v>
      </c>
      <c r="BF224" s="17"/>
      <c r="BG224" s="20">
        <f t="array" ref="BG224">SUM(IF(Period=BE$4,IF(Category=$A$203,IF(Provider=$B224,Responses))))</f>
        <v>6</v>
      </c>
      <c r="BH224" s="20"/>
      <c r="BI224" s="17">
        <f t="shared" si="105"/>
        <v>1.5822784810126582</v>
      </c>
      <c r="BJ224" s="17"/>
      <c r="BK224" s="17">
        <f t="shared" si="96"/>
        <v>0.26501766784452296</v>
      </c>
      <c r="BL224" s="17"/>
      <c r="BM224" s="17">
        <f t="array" ref="BM224">SUM(IF(Period=BM$4,IF(Category=$A$203,IF(Provider=$B224,Score))))</f>
        <v>59.6</v>
      </c>
      <c r="BN224" s="17"/>
      <c r="BO224" s="20">
        <f t="array" ref="BO224">SUM(IF(Period=BM$4,IF(Category=$A$203,IF(Provider=$B224,Responses))))</f>
        <v>13</v>
      </c>
      <c r="BP224" s="20"/>
      <c r="BQ224" s="17">
        <f t="shared" si="106"/>
        <v>3.3541125541125543</v>
      </c>
      <c r="BR224" s="17"/>
      <c r="BS224" s="17">
        <f t="shared" si="97"/>
        <v>0.55901875901875908</v>
      </c>
      <c r="BT224" s="17"/>
      <c r="BU224" s="17">
        <f t="array" ref="BU224">SUM(IF(Period=BU$4,IF(Category=$A$203,IF(Provider=$B224,Score))))</f>
        <v>64.3</v>
      </c>
      <c r="BV224" s="17"/>
      <c r="BW224" s="20">
        <f t="array" ref="BW224">SUM(IF(Period=BU$4,IF(Category=$A$203,IF(Provider=$B224,Responses))))</f>
        <v>7</v>
      </c>
      <c r="BX224" s="20"/>
      <c r="BY224" s="17">
        <f t="shared" si="107"/>
        <v>1.8446721311475409</v>
      </c>
      <c r="BZ224" s="17"/>
      <c r="CA224" s="17">
        <f t="shared" si="98"/>
        <v>0.31105736005528684</v>
      </c>
    </row>
    <row r="225" spans="2:79" outlineLevel="1" x14ac:dyDescent="0.25">
      <c r="B225" t="s">
        <v>31</v>
      </c>
      <c r="C225" s="17">
        <v>0</v>
      </c>
      <c r="D225" s="17"/>
      <c r="E225" s="17">
        <v>0</v>
      </c>
      <c r="F225" s="17"/>
      <c r="G225" s="17">
        <v>0</v>
      </c>
      <c r="H225" s="17"/>
      <c r="I225" s="17">
        <f t="array" ref="I225">SUM(IF(Period=I$4,IF(Category=$A$203,IF(Provider=$B225,Score))))</f>
        <v>40</v>
      </c>
      <c r="J225" s="17"/>
      <c r="K225" s="20">
        <f t="array" ref="K225">SUM(IF(Period=I$4,IF(Category=$A$203,IF(Provider=$B225,Responses))))</f>
        <v>5</v>
      </c>
      <c r="L225" s="20"/>
      <c r="M225" s="17">
        <f t="shared" si="99"/>
        <v>0.98522167487684731</v>
      </c>
      <c r="N225" s="17"/>
      <c r="O225" s="17">
        <f t="shared" si="90"/>
        <v>0.16542597187758479</v>
      </c>
      <c r="P225" s="17"/>
      <c r="Q225" s="17">
        <f t="array" ref="Q225">SUM(IF(Period=Q$4,IF(Category=$A$203,IF(Provider=$B225,Score))))</f>
        <v>37.5</v>
      </c>
      <c r="R225" s="17"/>
      <c r="S225" s="20">
        <f t="array" ref="S225">SUM(IF(Period=Q$4,IF(Category=$A$203,IF(Provider=$B225,Responses))))</f>
        <v>6</v>
      </c>
      <c r="T225" s="20"/>
      <c r="U225" s="17">
        <f t="shared" si="100"/>
        <v>1.1968085106382977</v>
      </c>
      <c r="V225" s="17"/>
      <c r="W225" s="17">
        <f t="shared" si="91"/>
        <v>0.20053475935828877</v>
      </c>
      <c r="X225" s="17"/>
      <c r="Y225" s="17">
        <f t="array" ref="Y225">SUM(IF(Period=Y$4,IF(Category=$A$203,IF(Provider=$B225,Score))))</f>
        <v>78.599999999999994</v>
      </c>
      <c r="Z225" s="17"/>
      <c r="AA225" s="20">
        <f t="array" ref="AA225">SUM(IF(Period=Y$4,IF(Category=$A$203,IF(Provider=$B225,Responses))))</f>
        <v>7</v>
      </c>
      <c r="AB225" s="20"/>
      <c r="AC225" s="17">
        <f t="shared" si="101"/>
        <v>1.8339999999999999</v>
      </c>
      <c r="AD225" s="17"/>
      <c r="AE225" s="17">
        <f t="shared" si="92"/>
        <v>0.30347490347490347</v>
      </c>
      <c r="AF225" s="17"/>
      <c r="AG225" s="17">
        <f t="array" ref="AG225">SUM(IF(Period=AG$4,IF(Category=$A$203,IF(Provider=$B225,Score))))</f>
        <v>73.099999999999994</v>
      </c>
      <c r="AH225" s="17"/>
      <c r="AI225" s="20">
        <f t="array" ref="AI225">SUM(IF(Period=AG$4,IF(Category=$A$203,IF(Provider=$B225,Responses))))</f>
        <v>13</v>
      </c>
      <c r="AJ225" s="20"/>
      <c r="AK225" s="17">
        <f t="shared" si="102"/>
        <v>3.6833333333333331</v>
      </c>
      <c r="AL225" s="17"/>
      <c r="AM225" s="17">
        <f t="shared" si="93"/>
        <v>0.61547927461139895</v>
      </c>
      <c r="AN225" s="17"/>
      <c r="AO225" s="17">
        <f t="array" ref="AO225">SUM(IF(Period=AO$4,IF(Category=$A$203,IF(Provider=$B225,Score))))</f>
        <v>52.5</v>
      </c>
      <c r="AP225" s="17"/>
      <c r="AQ225" s="20">
        <f t="array" ref="AQ225">SUM(IF(Period=AO$4,IF(Category=$A$203,IF(Provider=$B225,Responses))))</f>
        <v>10</v>
      </c>
      <c r="AR225" s="20"/>
      <c r="AS225" s="17">
        <f t="shared" si="103"/>
        <v>3.070175438596491</v>
      </c>
      <c r="AT225" s="17"/>
      <c r="AU225" s="17">
        <f t="shared" si="94"/>
        <v>0.51169590643274854</v>
      </c>
      <c r="AV225" s="17"/>
      <c r="AW225" s="17">
        <f t="array" ref="AW225">SUM(IF(Period=AW$4,IF(Category=$A$203,IF(Provider=$B225,Score))))</f>
        <v>55.6</v>
      </c>
      <c r="AX225" s="17"/>
      <c r="AY225" s="20">
        <f t="array" ref="AY225">SUM(IF(Period=AW$4,IF(Category=$A$203,IF(Provider=$B225,Responses))))</f>
        <v>9</v>
      </c>
      <c r="AZ225" s="20"/>
      <c r="BA225" s="17">
        <f t="shared" si="104"/>
        <v>2.2849315068493148</v>
      </c>
      <c r="BB225" s="17"/>
      <c r="BC225" s="17">
        <f t="shared" si="95"/>
        <v>0.38433179723502309</v>
      </c>
      <c r="BD225" s="17"/>
      <c r="BE225" s="17">
        <f t="array" ref="BE225">SUM(IF(Period=BE$4,IF(Category=$A$203,IF(Provider=$B225,Score))))</f>
        <v>50</v>
      </c>
      <c r="BF225" s="17"/>
      <c r="BG225" s="20">
        <f t="array" ref="BG225">SUM(IF(Period=BE$4,IF(Category=$A$203,IF(Provider=$B225,Responses))))</f>
        <v>7</v>
      </c>
      <c r="BH225" s="20"/>
      <c r="BI225" s="17">
        <f t="shared" si="105"/>
        <v>1.4767932489451476</v>
      </c>
      <c r="BJ225" s="17"/>
      <c r="BK225" s="17">
        <f t="shared" si="96"/>
        <v>0.24734982332155478</v>
      </c>
      <c r="BL225" s="17"/>
      <c r="BM225" s="17">
        <f t="array" ref="BM225">SUM(IF(Period=BM$4,IF(Category=$A$203,IF(Provider=$B225,Score))))</f>
        <v>46.9</v>
      </c>
      <c r="BN225" s="17"/>
      <c r="BO225" s="20">
        <f t="array" ref="BO225">SUM(IF(Period=BM$4,IF(Category=$A$203,IF(Provider=$B225,Responses))))</f>
        <v>8</v>
      </c>
      <c r="BP225" s="20"/>
      <c r="BQ225" s="17">
        <f t="shared" si="106"/>
        <v>1.6242424242424243</v>
      </c>
      <c r="BR225" s="17"/>
      <c r="BS225" s="17">
        <f t="shared" si="97"/>
        <v>0.27070707070707067</v>
      </c>
      <c r="BT225" s="17"/>
      <c r="BU225" s="17">
        <f t="array" ref="BU225">SUM(IF(Period=BU$4,IF(Category=$A$203,IF(Provider=$B225,Score))))</f>
        <v>67.3</v>
      </c>
      <c r="BV225" s="17"/>
      <c r="BW225" s="20">
        <f t="array" ref="BW225">SUM(IF(Period=BU$4,IF(Category=$A$203,IF(Provider=$B225,Responses))))</f>
        <v>13</v>
      </c>
      <c r="BX225" s="20"/>
      <c r="BY225" s="17">
        <f t="shared" si="107"/>
        <v>3.5856557377049176</v>
      </c>
      <c r="BZ225" s="17"/>
      <c r="CA225" s="17">
        <f t="shared" si="98"/>
        <v>0.60463026952315124</v>
      </c>
    </row>
    <row r="226" spans="2:79" outlineLevel="1" x14ac:dyDescent="0.25">
      <c r="B226" t="s">
        <v>27</v>
      </c>
      <c r="C226" s="17">
        <v>0</v>
      </c>
      <c r="D226" s="17"/>
      <c r="E226" s="17">
        <v>0</v>
      </c>
      <c r="F226" s="17"/>
      <c r="G226" s="17">
        <v>0</v>
      </c>
      <c r="H226" s="17"/>
      <c r="I226" s="17">
        <f t="array" ref="I226">SUM(IF(Period=I$4,IF(Category=$A$203,IF(Provider=$B226,Score))))</f>
        <v>55</v>
      </c>
      <c r="J226" s="17"/>
      <c r="K226" s="20">
        <f t="array" ref="K226">SUM(IF(Period=I$4,IF(Category=$A$203,IF(Provider=$B226,Responses))))</f>
        <v>5</v>
      </c>
      <c r="L226" s="20"/>
      <c r="M226" s="17">
        <f t="shared" si="99"/>
        <v>1.354679802955665</v>
      </c>
      <c r="N226" s="17"/>
      <c r="O226" s="17">
        <f t="shared" si="90"/>
        <v>0.22746071133167908</v>
      </c>
      <c r="P226" s="17"/>
      <c r="Q226" s="17">
        <f t="array" ref="Q226">SUM(IF(Period=Q$4,IF(Category=$A$203,IF(Provider=$B226,Score))))</f>
        <v>83.3</v>
      </c>
      <c r="R226" s="17"/>
      <c r="S226" s="20">
        <f t="array" ref="S226">SUM(IF(Period=Q$4,IF(Category=$A$203,IF(Provider=$B226,Responses))))</f>
        <v>6</v>
      </c>
      <c r="T226" s="20"/>
      <c r="U226" s="17">
        <f t="shared" si="100"/>
        <v>2.658510638297872</v>
      </c>
      <c r="V226" s="17"/>
      <c r="W226" s="17">
        <f t="shared" si="91"/>
        <v>0.44545454545454544</v>
      </c>
      <c r="X226" s="17"/>
      <c r="Y226" s="17">
        <f t="array" ref="Y226">SUM(IF(Period=Y$4,IF(Category=$A$203,IF(Provider=$B226,Score))))</f>
        <v>50</v>
      </c>
      <c r="Z226" s="17"/>
      <c r="AA226" s="20">
        <f t="array" ref="AA226">SUM(IF(Period=Y$4,IF(Category=$A$203,IF(Provider=$B226,Responses))))</f>
        <v>6</v>
      </c>
      <c r="AB226" s="20"/>
      <c r="AC226" s="17">
        <f t="shared" si="101"/>
        <v>1</v>
      </c>
      <c r="AD226" s="17"/>
      <c r="AE226" s="17">
        <f t="shared" si="92"/>
        <v>0.16547159404302261</v>
      </c>
      <c r="AF226" s="17"/>
      <c r="AG226" s="17">
        <f t="array" ref="AG226">SUM(IF(Period=AG$4,IF(Category=$A$203,IF(Provider=$B226,Score))))</f>
        <v>77.5</v>
      </c>
      <c r="AH226" s="17"/>
      <c r="AI226" s="20">
        <f t="array" ref="AI226">SUM(IF(Period=AG$4,IF(Category=$A$203,IF(Provider=$B226,Responses))))</f>
        <v>10</v>
      </c>
      <c r="AJ226" s="20"/>
      <c r="AK226" s="17">
        <f t="shared" si="102"/>
        <v>3.0038759689922481</v>
      </c>
      <c r="AL226" s="17"/>
      <c r="AM226" s="17">
        <f t="shared" si="93"/>
        <v>0.50194300518134716</v>
      </c>
      <c r="AN226" s="17"/>
      <c r="AO226" s="17">
        <f t="array" ref="AO226">SUM(IF(Period=AO$4,IF(Category=$A$203,IF(Provider=$B226,Score))))</f>
        <v>75</v>
      </c>
      <c r="AP226" s="17"/>
      <c r="AQ226" s="20">
        <f t="array" ref="AQ226">SUM(IF(Period=AO$4,IF(Category=$A$203,IF(Provider=$B226,Responses))))</f>
        <v>8</v>
      </c>
      <c r="AR226" s="20"/>
      <c r="AS226" s="17">
        <f t="shared" si="103"/>
        <v>3.5087719298245612</v>
      </c>
      <c r="AT226" s="17"/>
      <c r="AU226" s="17">
        <f t="shared" si="94"/>
        <v>0.58479532163742687</v>
      </c>
      <c r="AV226" s="17"/>
      <c r="AW226" s="17">
        <f t="array" ref="AW226">SUM(IF(Period=AW$4,IF(Category=$A$203,IF(Provider=$B226,Score))))</f>
        <v>60</v>
      </c>
      <c r="AX226" s="17"/>
      <c r="AY226" s="20">
        <f t="array" ref="AY226">SUM(IF(Period=AW$4,IF(Category=$A$203,IF(Provider=$B226,Responses))))</f>
        <v>5</v>
      </c>
      <c r="AZ226" s="20"/>
      <c r="BA226" s="17">
        <f t="shared" si="104"/>
        <v>1.3698630136986301</v>
      </c>
      <c r="BB226" s="17"/>
      <c r="BC226" s="17">
        <f t="shared" si="95"/>
        <v>0.2304147465437788</v>
      </c>
      <c r="BD226" s="17"/>
      <c r="BE226" s="17">
        <f t="array" ref="BE226">SUM(IF(Period=BE$4,IF(Category=$A$203,IF(Provider=$B226,Score))))</f>
        <v>75</v>
      </c>
      <c r="BF226" s="17"/>
      <c r="BG226" s="20">
        <f t="array" ref="BG226">SUM(IF(Period=BE$4,IF(Category=$A$203,IF(Provider=$B226,Responses))))</f>
        <v>8</v>
      </c>
      <c r="BH226" s="20"/>
      <c r="BI226" s="17">
        <f t="shared" si="105"/>
        <v>2.5316455696202529</v>
      </c>
      <c r="BJ226" s="17"/>
      <c r="BK226" s="17">
        <f t="shared" si="96"/>
        <v>0.42402826855123671</v>
      </c>
      <c r="BL226" s="17"/>
      <c r="BM226" s="17">
        <f t="array" ref="BM226">SUM(IF(Period=BM$4,IF(Category=$A$203,IF(Provider=$B226,Score))))</f>
        <v>83.3</v>
      </c>
      <c r="BN226" s="17"/>
      <c r="BO226" s="20">
        <f t="array" ref="BO226">SUM(IF(Period=BM$4,IF(Category=$A$203,IF(Provider=$B226,Responses))))</f>
        <v>15</v>
      </c>
      <c r="BP226" s="20"/>
      <c r="BQ226" s="17">
        <f t="shared" si="106"/>
        <v>5.4090909090909083</v>
      </c>
      <c r="BR226" s="17"/>
      <c r="BS226" s="17">
        <f t="shared" si="97"/>
        <v>0.90151515151515149</v>
      </c>
      <c r="BT226" s="17"/>
      <c r="BU226" s="17">
        <f t="array" ref="BU226">SUM(IF(Period=BU$4,IF(Category=$A$203,IF(Provider=$B226,Score))))</f>
        <v>80</v>
      </c>
      <c r="BV226" s="17"/>
      <c r="BW226" s="20">
        <f t="array" ref="BW226">SUM(IF(Period=BU$4,IF(Category=$A$203,IF(Provider=$B226,Responses))))</f>
        <v>5</v>
      </c>
      <c r="BX226" s="20"/>
      <c r="BY226" s="17">
        <f t="shared" si="107"/>
        <v>1.6393442622950818</v>
      </c>
      <c r="BZ226" s="17"/>
      <c r="CA226" s="17">
        <f t="shared" si="98"/>
        <v>0.27643400138217</v>
      </c>
    </row>
    <row r="227" spans="2:79" outlineLevel="1" x14ac:dyDescent="0.25">
      <c r="B227" t="s">
        <v>19</v>
      </c>
      <c r="C227" s="17">
        <v>0</v>
      </c>
      <c r="D227" s="17"/>
      <c r="E227" s="17">
        <v>0</v>
      </c>
      <c r="F227" s="17"/>
      <c r="G227" s="17">
        <v>0</v>
      </c>
      <c r="H227" s="17"/>
      <c r="I227" s="17">
        <f t="array" ref="I227">SUM(IF(Period=I$4,IF(Category=$A$203,IF(Provider=$B227,Score))))</f>
        <v>25</v>
      </c>
      <c r="J227" s="17"/>
      <c r="K227" s="20">
        <f t="array" ref="K227">SUM(IF(Period=I$4,IF(Category=$A$203,IF(Provider=$B227,Responses))))</f>
        <v>3</v>
      </c>
      <c r="L227" s="20"/>
      <c r="M227" s="17">
        <f t="shared" si="99"/>
        <v>0.36945812807881773</v>
      </c>
      <c r="N227" s="17"/>
      <c r="O227" s="17">
        <f t="shared" si="90"/>
        <v>6.2034739454094295E-2</v>
      </c>
      <c r="P227" s="17"/>
      <c r="Q227" s="17">
        <f t="array" ref="Q227">SUM(IF(Period=Q$4,IF(Category=$A$203,IF(Provider=$B227,Score))))</f>
        <v>18.8</v>
      </c>
      <c r="R227" s="17"/>
      <c r="S227" s="20">
        <f t="array" ref="S227">SUM(IF(Period=Q$4,IF(Category=$A$203,IF(Provider=$B227,Responses))))</f>
        <v>4</v>
      </c>
      <c r="T227" s="20"/>
      <c r="U227" s="17">
        <f t="shared" si="100"/>
        <v>0.4</v>
      </c>
      <c r="V227" s="17"/>
      <c r="W227" s="17">
        <f t="shared" si="91"/>
        <v>6.7023172905525841E-2</v>
      </c>
      <c r="X227" s="17"/>
      <c r="Y227" s="17">
        <f t="array" ref="Y227">SUM(IF(Period=Y$4,IF(Category=$A$203,IF(Provider=$B227,Score))))</f>
        <v>58.3</v>
      </c>
      <c r="Z227" s="17"/>
      <c r="AA227" s="20">
        <f t="array" ref="AA227">SUM(IF(Period=Y$4,IF(Category=$A$203,IF(Provider=$B227,Responses))))</f>
        <v>3</v>
      </c>
      <c r="AB227" s="20"/>
      <c r="AC227" s="17">
        <f t="shared" si="101"/>
        <v>0.58299999999999996</v>
      </c>
      <c r="AD227" s="17"/>
      <c r="AE227" s="17">
        <f t="shared" si="92"/>
        <v>9.6469939327082171E-2</v>
      </c>
      <c r="AF227" s="17"/>
      <c r="AG227" s="17">
        <f t="array" ref="AG227">SUM(IF(Period=AG$4,IF(Category=$A$203,IF(Provider=$B227,Score))))</f>
        <v>59.4</v>
      </c>
      <c r="AH227" s="17"/>
      <c r="AI227" s="20">
        <f t="array" ref="AI227">SUM(IF(Period=AG$4,IF(Category=$A$203,IF(Provider=$B227,Responses))))</f>
        <v>8</v>
      </c>
      <c r="AJ227" s="20"/>
      <c r="AK227" s="17">
        <f t="shared" si="102"/>
        <v>1.8418604651162791</v>
      </c>
      <c r="AL227" s="17"/>
      <c r="AM227" s="17">
        <f t="shared" si="93"/>
        <v>0.30777202072538862</v>
      </c>
      <c r="AN227" s="17"/>
      <c r="AO227" s="17">
        <f t="array" ref="AO227">SUM(IF(Period=AO$4,IF(Category=$A$203,IF(Provider=$B227,Score))))</f>
        <v>75</v>
      </c>
      <c r="AP227" s="17"/>
      <c r="AQ227" s="20">
        <f t="array" ref="AQ227">SUM(IF(Period=AO$4,IF(Category=$A$203,IF(Provider=$B227,Responses))))</f>
        <v>3</v>
      </c>
      <c r="AR227" s="20"/>
      <c r="AS227" s="17">
        <f t="shared" si="103"/>
        <v>1.3157894736842104</v>
      </c>
      <c r="AT227" s="17"/>
      <c r="AU227" s="17">
        <f t="shared" si="94"/>
        <v>0.21929824561403508</v>
      </c>
      <c r="AV227" s="17"/>
      <c r="AW227" s="17">
        <f t="array" ref="AW227">SUM(IF(Period=AW$4,IF(Category=$A$203,IF(Provider=$B227,Score))))</f>
        <v>53.6</v>
      </c>
      <c r="AX227" s="17"/>
      <c r="AY227" s="20">
        <f t="array" ref="AY227">SUM(IF(Period=AW$4,IF(Category=$A$203,IF(Provider=$B227,Responses))))</f>
        <v>7</v>
      </c>
      <c r="AZ227" s="20"/>
      <c r="BA227" s="17">
        <f t="shared" si="104"/>
        <v>1.7132420091324201</v>
      </c>
      <c r="BB227" s="17"/>
      <c r="BC227" s="17">
        <f t="shared" si="95"/>
        <v>0.28817204301075272</v>
      </c>
      <c r="BD227" s="17"/>
      <c r="BE227" s="17">
        <f t="array" ref="BE227">SUM(IF(Period=BE$4,IF(Category=$A$203,IF(Provider=$B227,Score))))</f>
        <v>55.6</v>
      </c>
      <c r="BF227" s="17"/>
      <c r="BG227" s="20">
        <f t="array" ref="BG227">SUM(IF(Period=BE$4,IF(Category=$A$203,IF(Provider=$B227,Responses))))</f>
        <v>9</v>
      </c>
      <c r="BH227" s="20"/>
      <c r="BI227" s="17">
        <f t="shared" si="105"/>
        <v>2.1113924050632913</v>
      </c>
      <c r="BJ227" s="17"/>
      <c r="BK227" s="17">
        <f t="shared" si="96"/>
        <v>0.35363957597173146</v>
      </c>
      <c r="BL227" s="17"/>
      <c r="BM227" s="17">
        <f t="array" ref="BM227">SUM(IF(Period=BM$4,IF(Category=$A$203,IF(Provider=$B227,Score))))</f>
        <v>62.5</v>
      </c>
      <c r="BN227" s="17"/>
      <c r="BO227" s="20">
        <f t="array" ref="BO227">SUM(IF(Period=BM$4,IF(Category=$A$203,IF(Provider=$B227,Responses))))</f>
        <v>6</v>
      </c>
      <c r="BP227" s="20"/>
      <c r="BQ227" s="17">
        <f t="shared" si="106"/>
        <v>1.6233766233766236</v>
      </c>
      <c r="BR227" s="17"/>
      <c r="BS227" s="17">
        <f t="shared" si="97"/>
        <v>0.27056277056277056</v>
      </c>
      <c r="BT227" s="17"/>
      <c r="BU227" s="17">
        <f t="array" ref="BU227">SUM(IF(Period=BU$4,IF(Category=$A$203,IF(Provider=$B227,Score))))</f>
        <v>75</v>
      </c>
      <c r="BV227" s="17"/>
      <c r="BW227" s="20">
        <f t="array" ref="BW227">SUM(IF(Period=BU$4,IF(Category=$A$203,IF(Provider=$B227,Responses))))</f>
        <v>8</v>
      </c>
      <c r="BX227" s="20"/>
      <c r="BY227" s="17">
        <f t="shared" si="107"/>
        <v>2.459016393442623</v>
      </c>
      <c r="BZ227" s="17"/>
      <c r="CA227" s="17">
        <f t="shared" si="98"/>
        <v>0.414651002073255</v>
      </c>
    </row>
    <row r="228" spans="2:79" outlineLevel="1" x14ac:dyDescent="0.25">
      <c r="B228" t="s">
        <v>34</v>
      </c>
      <c r="C228" s="17">
        <v>0</v>
      </c>
      <c r="D228" s="17"/>
      <c r="E228" s="17">
        <v>0</v>
      </c>
      <c r="F228" s="17"/>
      <c r="G228" s="17">
        <v>0</v>
      </c>
      <c r="H228" s="17"/>
      <c r="I228" s="17">
        <f t="array" ref="I228">SUM(IF(Period=I$4,IF(Category=$A$203,IF(Provider=$B228,Score))))</f>
        <v>50</v>
      </c>
      <c r="J228" s="17"/>
      <c r="K228" s="20">
        <f t="array" ref="K228">SUM(IF(Period=I$4,IF(Category=$A$203,IF(Provider=$B228,Responses))))</f>
        <v>1</v>
      </c>
      <c r="L228" s="20"/>
      <c r="M228" s="17">
        <f t="shared" si="99"/>
        <v>0.24630541871921183</v>
      </c>
      <c r="N228" s="17"/>
      <c r="O228" s="17">
        <f t="shared" si="90"/>
        <v>4.1356492969396197E-2</v>
      </c>
      <c r="P228" s="17"/>
      <c r="Q228" s="17">
        <f t="array" ref="Q228">SUM(IF(Period=Q$4,IF(Category=$A$203,IF(Provider=$B228,Score))))</f>
        <v>50</v>
      </c>
      <c r="R228" s="17"/>
      <c r="S228" s="20">
        <f t="array" ref="S228">SUM(IF(Period=Q$4,IF(Category=$A$203,IF(Provider=$B228,Responses))))</f>
        <v>4</v>
      </c>
      <c r="T228" s="20"/>
      <c r="U228" s="17">
        <f t="shared" si="100"/>
        <v>1.0638297872340425</v>
      </c>
      <c r="V228" s="17"/>
      <c r="W228" s="17">
        <f t="shared" si="91"/>
        <v>0.17825311942959002</v>
      </c>
      <c r="X228" s="17"/>
      <c r="Y228" s="17">
        <f t="array" ref="Y228">SUM(IF(Period=Y$4,IF(Category=$A$203,IF(Provider=$B228,Score))))</f>
        <v>75</v>
      </c>
      <c r="Z228" s="17"/>
      <c r="AA228" s="20">
        <f t="array" ref="AA228">SUM(IF(Period=Y$4,IF(Category=$A$203,IF(Provider=$B228,Responses))))</f>
        <v>11</v>
      </c>
      <c r="AB228" s="20"/>
      <c r="AC228" s="17">
        <f t="shared" si="101"/>
        <v>2.75</v>
      </c>
      <c r="AD228" s="17"/>
      <c r="AE228" s="17">
        <f t="shared" si="92"/>
        <v>0.45504688361831219</v>
      </c>
      <c r="AF228" s="17"/>
      <c r="AG228" s="17">
        <f t="array" ref="AG228">SUM(IF(Period=AG$4,IF(Category=$A$203,IF(Provider=$B228,Score))))</f>
        <v>75</v>
      </c>
      <c r="AH228" s="17"/>
      <c r="AI228" s="20">
        <f t="array" ref="AI228">SUM(IF(Period=AG$4,IF(Category=$A$203,IF(Provider=$B228,Responses))))</f>
        <v>7</v>
      </c>
      <c r="AJ228" s="20"/>
      <c r="AK228" s="17">
        <f t="shared" si="102"/>
        <v>2.0348837209302326</v>
      </c>
      <c r="AL228" s="17"/>
      <c r="AM228" s="17">
        <f t="shared" si="93"/>
        <v>0.34002590673575128</v>
      </c>
      <c r="AN228" s="17"/>
      <c r="AO228" s="17">
        <f t="array" ref="AO228">SUM(IF(Period=AO$4,IF(Category=$A$203,IF(Provider=$B228,Score))))</f>
        <v>75</v>
      </c>
      <c r="AP228" s="17"/>
      <c r="AQ228" s="20">
        <f t="array" ref="AQ228">SUM(IF(Period=AO$4,IF(Category=$A$203,IF(Provider=$B228,Responses))))</f>
        <v>2</v>
      </c>
      <c r="AR228" s="20"/>
      <c r="AS228" s="17">
        <f t="shared" si="103"/>
        <v>0.8771929824561403</v>
      </c>
      <c r="AT228" s="17"/>
      <c r="AU228" s="17">
        <f t="shared" si="94"/>
        <v>0.14619883040935672</v>
      </c>
      <c r="AV228" s="17"/>
      <c r="AW228" s="17">
        <f t="array" ref="AW228">SUM(IF(Period=AW$4,IF(Category=$A$203,IF(Provider=$B228,Score))))</f>
        <v>25</v>
      </c>
      <c r="AX228" s="17"/>
      <c r="AY228" s="20">
        <f t="array" ref="AY228">SUM(IF(Period=AW$4,IF(Category=$A$203,IF(Provider=$B228,Responses))))</f>
        <v>5</v>
      </c>
      <c r="AZ228" s="20"/>
      <c r="BA228" s="17">
        <f t="shared" si="104"/>
        <v>0.57077625570776247</v>
      </c>
      <c r="BB228" s="17"/>
      <c r="BC228" s="17">
        <f t="shared" si="95"/>
        <v>9.6006144393241163E-2</v>
      </c>
      <c r="BD228" s="17"/>
      <c r="BE228" s="17">
        <f t="array" ref="BE228">SUM(IF(Period=BE$4,IF(Category=$A$203,IF(Provider=$B228,Score))))</f>
        <v>84.4</v>
      </c>
      <c r="BF228" s="17"/>
      <c r="BG228" s="20">
        <f t="array" ref="BG228">SUM(IF(Period=BE$4,IF(Category=$A$203,IF(Provider=$B228,Responses))))</f>
        <v>8</v>
      </c>
      <c r="BH228" s="20"/>
      <c r="BI228" s="17">
        <f t="shared" si="105"/>
        <v>2.8489451476793248</v>
      </c>
      <c r="BJ228" s="17"/>
      <c r="BK228" s="17">
        <f t="shared" si="96"/>
        <v>0.47717314487632512</v>
      </c>
      <c r="BL228" s="17"/>
      <c r="BM228" s="17">
        <f t="array" ref="BM228">SUM(IF(Period=BM$4,IF(Category=$A$203,IF(Provider=$B228,Score))))</f>
        <v>65.900000000000006</v>
      </c>
      <c r="BN228" s="17"/>
      <c r="BO228" s="20">
        <f t="array" ref="BO228">SUM(IF(Period=BM$4,IF(Category=$A$203,IF(Provider=$B228,Responses))))</f>
        <v>11</v>
      </c>
      <c r="BP228" s="20"/>
      <c r="BQ228" s="17">
        <f t="shared" si="106"/>
        <v>3.138095238095238</v>
      </c>
      <c r="BR228" s="17"/>
      <c r="BS228" s="17">
        <f t="shared" si="97"/>
        <v>0.52301587301587305</v>
      </c>
      <c r="BT228" s="17"/>
      <c r="BU228" s="17">
        <f t="array" ref="BU228">SUM(IF(Period=BU$4,IF(Category=$A$203,IF(Provider=$B228,Score))))</f>
        <v>50</v>
      </c>
      <c r="BV228" s="17"/>
      <c r="BW228" s="20">
        <f t="array" ref="BW228">SUM(IF(Period=BU$4,IF(Category=$A$203,IF(Provider=$B228,Responses))))</f>
        <v>3</v>
      </c>
      <c r="BX228" s="20"/>
      <c r="BY228" s="17">
        <f t="shared" si="107"/>
        <v>0.61475409836065575</v>
      </c>
      <c r="BZ228" s="17"/>
      <c r="CA228" s="17">
        <f t="shared" si="98"/>
        <v>0.10366275051831375</v>
      </c>
    </row>
    <row r="229" spans="2:79" outlineLevel="1" x14ac:dyDescent="0.25">
      <c r="B229" t="s">
        <v>41</v>
      </c>
      <c r="C229" s="17">
        <v>0</v>
      </c>
      <c r="D229" s="17"/>
      <c r="E229" s="17">
        <v>0</v>
      </c>
      <c r="F229" s="17"/>
      <c r="G229" s="17">
        <v>0</v>
      </c>
      <c r="H229" s="17"/>
      <c r="I229" s="17">
        <f t="array" ref="I229">SUM(IF(Period=I$4,IF(Category=$A$203,IF(Provider=$B229,Score))))</f>
        <v>58.3</v>
      </c>
      <c r="J229" s="17"/>
      <c r="K229" s="20">
        <f t="array" ref="K229">SUM(IF(Period=I$4,IF(Category=$A$203,IF(Provider=$B229,Responses))))</f>
        <v>3</v>
      </c>
      <c r="L229" s="20"/>
      <c r="M229" s="17">
        <f t="shared" si="99"/>
        <v>0.86157635467980287</v>
      </c>
      <c r="N229" s="17"/>
      <c r="O229" s="17">
        <f t="shared" si="90"/>
        <v>0.14466501240694787</v>
      </c>
      <c r="P229" s="17"/>
      <c r="Q229" s="17">
        <f t="array" ref="Q229">SUM(IF(Period=Q$4,IF(Category=$A$203,IF(Provider=$B229,Score))))</f>
        <v>55</v>
      </c>
      <c r="R229" s="17"/>
      <c r="S229" s="20">
        <f t="array" ref="S229">SUM(IF(Period=Q$4,IF(Category=$A$203,IF(Provider=$B229,Responses))))</f>
        <v>5</v>
      </c>
      <c r="T229" s="20"/>
      <c r="U229" s="17">
        <f t="shared" si="100"/>
        <v>1.4627659574468086</v>
      </c>
      <c r="V229" s="17"/>
      <c r="W229" s="17">
        <f t="shared" si="91"/>
        <v>0.24509803921568629</v>
      </c>
      <c r="X229" s="17"/>
      <c r="Y229" s="17">
        <f t="array" ref="Y229">SUM(IF(Period=Y$4,IF(Category=$A$203,IF(Provider=$B229,Score))))</f>
        <v>84.4</v>
      </c>
      <c r="Z229" s="17"/>
      <c r="AA229" s="20">
        <f t="array" ref="AA229">SUM(IF(Period=Y$4,IF(Category=$A$203,IF(Provider=$B229,Responses))))</f>
        <v>8</v>
      </c>
      <c r="AB229" s="20"/>
      <c r="AC229" s="17">
        <f t="shared" si="101"/>
        <v>2.250666666666667</v>
      </c>
      <c r="AD229" s="17"/>
      <c r="AE229" s="17">
        <f t="shared" si="92"/>
        <v>0.37242140099282961</v>
      </c>
      <c r="AF229" s="17"/>
      <c r="AG229" s="17">
        <f t="array" ref="AG229">SUM(IF(Period=AG$4,IF(Category=$A$203,IF(Provider=$B229,Score))))</f>
        <v>87.5</v>
      </c>
      <c r="AH229" s="17"/>
      <c r="AI229" s="20">
        <f t="array" ref="AI229">SUM(IF(Period=AG$4,IF(Category=$A$203,IF(Provider=$B229,Responses))))</f>
        <v>6</v>
      </c>
      <c r="AJ229" s="20"/>
      <c r="AK229" s="17">
        <f t="shared" si="102"/>
        <v>2.0348837209302326</v>
      </c>
      <c r="AL229" s="17"/>
      <c r="AM229" s="17">
        <f t="shared" si="93"/>
        <v>0.34002590673575128</v>
      </c>
      <c r="AN229" s="17"/>
      <c r="AO229" s="17">
        <f t="array" ref="AO229">SUM(IF(Period=AO$4,IF(Category=$A$203,IF(Provider=$B229,Score))))</f>
        <v>75</v>
      </c>
      <c r="AP229" s="17"/>
      <c r="AQ229" s="20">
        <f t="array" ref="AQ229">SUM(IF(Period=AO$4,IF(Category=$A$203,IF(Provider=$B229,Responses))))</f>
        <v>6</v>
      </c>
      <c r="AR229" s="20"/>
      <c r="AS229" s="17">
        <f t="shared" si="103"/>
        <v>2.6315789473684208</v>
      </c>
      <c r="AT229" s="17"/>
      <c r="AU229" s="17">
        <f t="shared" si="94"/>
        <v>0.43859649122807015</v>
      </c>
      <c r="AV229" s="17"/>
      <c r="AW229" s="17">
        <f t="array" ref="AW229">SUM(IF(Period=AW$4,IF(Category=$A$203,IF(Provider=$B229,Score))))</f>
        <v>93.8</v>
      </c>
      <c r="AX229" s="17"/>
      <c r="AY229" s="20">
        <f t="array" ref="AY229">SUM(IF(Period=AW$4,IF(Category=$A$203,IF(Provider=$B229,Responses))))</f>
        <v>4</v>
      </c>
      <c r="AZ229" s="20"/>
      <c r="BA229" s="17">
        <f t="shared" si="104"/>
        <v>1.7132420091324199</v>
      </c>
      <c r="BB229" s="17"/>
      <c r="BC229" s="17">
        <f t="shared" si="95"/>
        <v>0.28817204301075267</v>
      </c>
      <c r="BD229" s="17"/>
      <c r="BE229" s="17">
        <f t="array" ref="BE229">SUM(IF(Period=BE$4,IF(Category=$A$203,IF(Provider=$B229,Score))))</f>
        <v>75</v>
      </c>
      <c r="BF229" s="17"/>
      <c r="BG229" s="20">
        <f t="array" ref="BG229">SUM(IF(Period=BE$4,IF(Category=$A$203,IF(Provider=$B229,Responses))))</f>
        <v>7</v>
      </c>
      <c r="BH229" s="20"/>
      <c r="BI229" s="17">
        <f t="shared" si="105"/>
        <v>2.2151898734177213</v>
      </c>
      <c r="BJ229" s="17"/>
      <c r="BK229" s="17">
        <f t="shared" si="96"/>
        <v>0.37102473498233218</v>
      </c>
      <c r="BL229" s="17"/>
      <c r="BM229" s="17">
        <f t="array" ref="BM229">SUM(IF(Period=BM$4,IF(Category=$A$203,IF(Provider=$B229,Score))))</f>
        <v>83.3</v>
      </c>
      <c r="BN229" s="17"/>
      <c r="BO229" s="20">
        <f t="array" ref="BO229">SUM(IF(Period=BM$4,IF(Category=$A$203,IF(Provider=$B229,Responses))))</f>
        <v>3</v>
      </c>
      <c r="BP229" s="20"/>
      <c r="BQ229" s="17">
        <f t="shared" si="106"/>
        <v>1.0818181818181818</v>
      </c>
      <c r="BR229" s="17"/>
      <c r="BS229" s="17">
        <f t="shared" si="97"/>
        <v>0.1803030303030303</v>
      </c>
      <c r="BT229" s="17"/>
      <c r="BU229" s="17">
        <f t="array" ref="BU229">SUM(IF(Period=BU$4,IF(Category=$A$203,IF(Provider=$B229,Score))))</f>
        <v>64.3</v>
      </c>
      <c r="BV229" s="17"/>
      <c r="BW229" s="20">
        <f t="array" ref="BW229">SUM(IF(Period=BU$4,IF(Category=$A$203,IF(Provider=$B229,Responses))))</f>
        <v>7</v>
      </c>
      <c r="BX229" s="20"/>
      <c r="BY229" s="17">
        <f t="shared" si="107"/>
        <v>1.8446721311475409</v>
      </c>
      <c r="BZ229" s="17"/>
      <c r="CA229" s="17">
        <f t="shared" si="98"/>
        <v>0.31105736005528684</v>
      </c>
    </row>
    <row r="230" spans="2:79" outlineLevel="1" x14ac:dyDescent="0.25">
      <c r="B230" t="s">
        <v>13</v>
      </c>
      <c r="C230" s="17">
        <v>0</v>
      </c>
      <c r="D230" s="17"/>
      <c r="E230" s="17">
        <v>0</v>
      </c>
      <c r="F230" s="17"/>
      <c r="G230" s="17">
        <v>0</v>
      </c>
      <c r="H230" s="17"/>
      <c r="I230" s="17">
        <f t="array" ref="I230">SUM(IF(Period=I$4,IF(Category=$A$203,IF(Provider=$B230,Score))))</f>
        <v>83.3</v>
      </c>
      <c r="J230" s="17"/>
      <c r="K230" s="20">
        <f t="array" ref="K230">SUM(IF(Period=I$4,IF(Category=$A$203,IF(Provider=$B230,Responses))))</f>
        <v>6</v>
      </c>
      <c r="L230" s="20"/>
      <c r="M230" s="17">
        <f t="shared" si="99"/>
        <v>2.4620689655172412</v>
      </c>
      <c r="N230" s="17"/>
      <c r="O230" s="17">
        <f t="shared" si="90"/>
        <v>0.41339950372208434</v>
      </c>
      <c r="P230" s="17"/>
      <c r="Q230" s="17">
        <f t="array" ref="Q230">SUM(IF(Period=Q$4,IF(Category=$A$203,IF(Provider=$B230,Score))))</f>
        <v>59.4</v>
      </c>
      <c r="R230" s="17"/>
      <c r="S230" s="20">
        <f t="array" ref="S230">SUM(IF(Period=Q$4,IF(Category=$A$203,IF(Provider=$B230,Responses))))</f>
        <v>16</v>
      </c>
      <c r="T230" s="20"/>
      <c r="U230" s="17">
        <f t="shared" si="100"/>
        <v>5.05531914893617</v>
      </c>
      <c r="V230" s="17"/>
      <c r="W230" s="17">
        <f t="shared" si="91"/>
        <v>0.84705882352941164</v>
      </c>
      <c r="X230" s="17"/>
      <c r="Y230" s="17">
        <f t="array" ref="Y230">SUM(IF(Period=Y$4,IF(Category=$A$203,IF(Provider=$B230,Score))))</f>
        <v>65.900000000000006</v>
      </c>
      <c r="Z230" s="17"/>
      <c r="AA230" s="20">
        <f t="array" ref="AA230">SUM(IF(Period=Y$4,IF(Category=$A$203,IF(Provider=$B230,Responses))))</f>
        <v>11</v>
      </c>
      <c r="AB230" s="20"/>
      <c r="AC230" s="17">
        <f t="shared" si="101"/>
        <v>2.4163333333333337</v>
      </c>
      <c r="AD230" s="17"/>
      <c r="AE230" s="17">
        <f t="shared" si="92"/>
        <v>0.39983452840595701</v>
      </c>
      <c r="AF230" s="17"/>
      <c r="AG230" s="17">
        <f t="array" ref="AG230">SUM(IF(Period=AG$4,IF(Category=$A$203,IF(Provider=$B230,Score))))</f>
        <v>64.7</v>
      </c>
      <c r="AH230" s="17"/>
      <c r="AI230" s="20">
        <f t="array" ref="AI230">SUM(IF(Period=AG$4,IF(Category=$A$203,IF(Provider=$B230,Responses))))</f>
        <v>17</v>
      </c>
      <c r="AJ230" s="20"/>
      <c r="AK230" s="17">
        <f t="shared" si="102"/>
        <v>4.2631782945736436</v>
      </c>
      <c r="AL230" s="17"/>
      <c r="AM230" s="17">
        <f t="shared" si="93"/>
        <v>0.71237046632124346</v>
      </c>
      <c r="AN230" s="17"/>
      <c r="AO230" s="17">
        <f t="array" ref="AO230">SUM(IF(Period=AO$4,IF(Category=$A$203,IF(Provider=$B230,Score))))</f>
        <v>87.5</v>
      </c>
      <c r="AP230" s="17"/>
      <c r="AQ230" s="20">
        <f t="array" ref="AQ230">SUM(IF(Period=AO$4,IF(Category=$A$203,IF(Provider=$B230,Responses))))</f>
        <v>4</v>
      </c>
      <c r="AR230" s="20"/>
      <c r="AS230" s="17">
        <f t="shared" si="103"/>
        <v>2.0467836257309941</v>
      </c>
      <c r="AT230" s="17"/>
      <c r="AU230" s="17">
        <f t="shared" si="94"/>
        <v>0.34113060428849901</v>
      </c>
      <c r="AV230" s="17"/>
      <c r="AW230" s="17">
        <f t="array" ref="AW230">SUM(IF(Period=AW$4,IF(Category=$A$203,IF(Provider=$B230,Score))))</f>
        <v>69.099999999999994</v>
      </c>
      <c r="AX230" s="17"/>
      <c r="AY230" s="20">
        <f t="array" ref="AY230">SUM(IF(Period=AW$4,IF(Category=$A$203,IF(Provider=$B230,Responses))))</f>
        <v>17</v>
      </c>
      <c r="AZ230" s="20"/>
      <c r="BA230" s="17">
        <f t="shared" si="104"/>
        <v>5.3639269406392689</v>
      </c>
      <c r="BB230" s="17"/>
      <c r="BC230" s="17">
        <f t="shared" si="95"/>
        <v>0.90222734254992309</v>
      </c>
      <c r="BD230" s="17"/>
      <c r="BE230" s="17">
        <f t="array" ref="BE230">SUM(IF(Period=BE$4,IF(Category=$A$203,IF(Provider=$B230,Score))))</f>
        <v>90.9</v>
      </c>
      <c r="BF230" s="17"/>
      <c r="BG230" s="20">
        <f t="array" ref="BG230">SUM(IF(Period=BE$4,IF(Category=$A$203,IF(Provider=$B230,Responses))))</f>
        <v>11</v>
      </c>
      <c r="BH230" s="20"/>
      <c r="BI230" s="17">
        <f t="shared" si="105"/>
        <v>4.2189873417721522</v>
      </c>
      <c r="BJ230" s="17"/>
      <c r="BK230" s="17">
        <f t="shared" si="96"/>
        <v>0.70664310954063614</v>
      </c>
      <c r="BL230" s="17"/>
      <c r="BM230" s="17">
        <f t="array" ref="BM230">SUM(IF(Period=BM$4,IF(Category=$A$203,IF(Provider=$B230,Score))))</f>
        <v>67.900000000000006</v>
      </c>
      <c r="BN230" s="17"/>
      <c r="BO230" s="20">
        <f t="array" ref="BO230">SUM(IF(Period=BM$4,IF(Category=$A$203,IF(Provider=$B230,Responses))))</f>
        <v>14</v>
      </c>
      <c r="BP230" s="20"/>
      <c r="BQ230" s="17">
        <f t="shared" si="106"/>
        <v>4.1151515151515152</v>
      </c>
      <c r="BR230" s="17"/>
      <c r="BS230" s="17">
        <f t="shared" si="97"/>
        <v>0.68585858585858595</v>
      </c>
      <c r="BT230" s="17"/>
      <c r="BU230" s="17">
        <f t="array" ref="BU230">SUM(IF(Period=BU$4,IF(Category=$A$203,IF(Provider=$B230,Score))))</f>
        <v>67.2</v>
      </c>
      <c r="BV230" s="17"/>
      <c r="BW230" s="20">
        <f t="array" ref="BW230">SUM(IF(Period=BU$4,IF(Category=$A$203,IF(Provider=$B230,Responses))))</f>
        <v>16</v>
      </c>
      <c r="BX230" s="20"/>
      <c r="BY230" s="17">
        <f t="shared" si="107"/>
        <v>4.4065573770491806</v>
      </c>
      <c r="BZ230" s="17"/>
      <c r="CA230" s="17">
        <f t="shared" si="98"/>
        <v>0.74305459571527299</v>
      </c>
    </row>
    <row r="231" spans="2:79" outlineLevel="1" x14ac:dyDescent="0.25">
      <c r="B231" t="s">
        <v>25</v>
      </c>
      <c r="C231" s="17">
        <v>0</v>
      </c>
      <c r="D231" s="17"/>
      <c r="E231" s="17">
        <v>0</v>
      </c>
      <c r="F231" s="17"/>
      <c r="G231" s="17">
        <v>0</v>
      </c>
      <c r="H231" s="17"/>
      <c r="I231" s="17">
        <f t="array" ref="I231">SUM(IF(Period=I$4,IF(Category=$A$203,IF(Provider=$B231,Score))))</f>
        <v>45.8</v>
      </c>
      <c r="J231" s="17"/>
      <c r="K231" s="20">
        <f t="array" ref="K231">SUM(IF(Period=I$4,IF(Category=$A$203,IF(Provider=$B231,Responses))))</f>
        <v>6</v>
      </c>
      <c r="L231" s="20"/>
      <c r="M231" s="17">
        <f t="shared" si="99"/>
        <v>1.3536945812807881</v>
      </c>
      <c r="N231" s="17"/>
      <c r="O231" s="17">
        <f t="shared" si="90"/>
        <v>0.22729528535980148</v>
      </c>
      <c r="P231" s="17"/>
      <c r="Q231" s="17">
        <f t="array" ref="Q231">SUM(IF(Period=Q$4,IF(Category=$A$203,IF(Provider=$B231,Score))))</f>
        <v>71.900000000000006</v>
      </c>
      <c r="R231" s="17"/>
      <c r="S231" s="20">
        <f t="array" ref="S231">SUM(IF(Period=Q$4,IF(Category=$A$203,IF(Provider=$B231,Responses))))</f>
        <v>8</v>
      </c>
      <c r="T231" s="20"/>
      <c r="U231" s="17">
        <f t="shared" si="100"/>
        <v>3.0595744680851067</v>
      </c>
      <c r="V231" s="17"/>
      <c r="W231" s="17">
        <f t="shared" si="91"/>
        <v>0.51265597147950093</v>
      </c>
      <c r="X231" s="17"/>
      <c r="Y231" s="17">
        <f t="array" ref="Y231">SUM(IF(Period=Y$4,IF(Category=$A$203,IF(Provider=$B231,Score))))</f>
        <v>72.5</v>
      </c>
      <c r="Z231" s="17"/>
      <c r="AA231" s="20">
        <f t="array" ref="AA231">SUM(IF(Period=Y$4,IF(Category=$A$203,IF(Provider=$B231,Responses))))</f>
        <v>10</v>
      </c>
      <c r="AB231" s="20"/>
      <c r="AC231" s="17">
        <f t="shared" si="101"/>
        <v>2.4166666666666665</v>
      </c>
      <c r="AD231" s="17"/>
      <c r="AE231" s="17">
        <f t="shared" si="92"/>
        <v>0.39988968560397131</v>
      </c>
      <c r="AF231" s="17"/>
      <c r="AG231" s="17">
        <f t="array" ref="AG231">SUM(IF(Period=AG$4,IF(Category=$A$203,IF(Provider=$B231,Score))))</f>
        <v>80</v>
      </c>
      <c r="AH231" s="17"/>
      <c r="AI231" s="20">
        <f t="array" ref="AI231">SUM(IF(Period=AG$4,IF(Category=$A$203,IF(Provider=$B231,Responses))))</f>
        <v>5</v>
      </c>
      <c r="AJ231" s="20"/>
      <c r="AK231" s="17">
        <f t="shared" si="102"/>
        <v>1.5503875968992249</v>
      </c>
      <c r="AL231" s="17"/>
      <c r="AM231" s="17">
        <f t="shared" si="93"/>
        <v>0.25906735751295334</v>
      </c>
      <c r="AN231" s="17"/>
      <c r="AO231" s="17">
        <f t="array" ref="AO231">SUM(IF(Period=AO$4,IF(Category=$A$203,IF(Provider=$B231,Score))))</f>
        <v>64.3</v>
      </c>
      <c r="AP231" s="17"/>
      <c r="AQ231" s="20">
        <f t="array" ref="AQ231">SUM(IF(Period=AO$4,IF(Category=$A$203,IF(Provider=$B231,Responses))))</f>
        <v>7</v>
      </c>
      <c r="AR231" s="20"/>
      <c r="AS231" s="17">
        <f t="shared" si="103"/>
        <v>2.6321637426900582</v>
      </c>
      <c r="AT231" s="17"/>
      <c r="AU231" s="17">
        <f t="shared" si="94"/>
        <v>0.43869395711500969</v>
      </c>
      <c r="AV231" s="17"/>
      <c r="AW231" s="17">
        <f t="array" ref="AW231">SUM(IF(Period=AW$4,IF(Category=$A$203,IF(Provider=$B231,Score))))</f>
        <v>58.3</v>
      </c>
      <c r="AX231" s="17"/>
      <c r="AY231" s="20">
        <f t="array" ref="AY231">SUM(IF(Period=AW$4,IF(Category=$A$203,IF(Provider=$B231,Responses))))</f>
        <v>3</v>
      </c>
      <c r="AZ231" s="20"/>
      <c r="BA231" s="17">
        <f t="shared" si="104"/>
        <v>0.79863013698630125</v>
      </c>
      <c r="BB231" s="17"/>
      <c r="BC231" s="17">
        <f t="shared" si="95"/>
        <v>0.13433179723502303</v>
      </c>
      <c r="BD231" s="17"/>
      <c r="BE231" s="17">
        <f t="array" ref="BE231">SUM(IF(Period=BE$4,IF(Category=$A$203,IF(Provider=$B231,Score))))</f>
        <v>100</v>
      </c>
      <c r="BF231" s="17"/>
      <c r="BG231" s="20">
        <f t="array" ref="BG231">SUM(IF(Period=BE$4,IF(Category=$A$203,IF(Provider=$B231,Responses))))</f>
        <v>1</v>
      </c>
      <c r="BH231" s="20"/>
      <c r="BI231" s="17">
        <f t="shared" si="105"/>
        <v>0.42194092827004215</v>
      </c>
      <c r="BJ231" s="17"/>
      <c r="BK231" s="17">
        <f t="shared" si="96"/>
        <v>7.0671378091872794E-2</v>
      </c>
      <c r="BL231" s="17"/>
      <c r="BM231" s="17">
        <f t="array" ref="BM231">SUM(IF(Period=BM$4,IF(Category=$A$203,IF(Provider=$B231,Score))))</f>
        <v>83.3</v>
      </c>
      <c r="BN231" s="17"/>
      <c r="BO231" s="20">
        <f t="array" ref="BO231">SUM(IF(Period=BM$4,IF(Category=$A$203,IF(Provider=$B231,Responses))))</f>
        <v>3</v>
      </c>
      <c r="BP231" s="20"/>
      <c r="BQ231" s="17">
        <f t="shared" si="106"/>
        <v>1.0818181818181818</v>
      </c>
      <c r="BR231" s="17"/>
      <c r="BS231" s="17">
        <f t="shared" si="97"/>
        <v>0.1803030303030303</v>
      </c>
      <c r="BT231" s="17"/>
      <c r="BU231" s="17">
        <f t="array" ref="BU231">SUM(IF(Period=BU$4,IF(Category=$A$203,IF(Provider=$B231,Score))))</f>
        <v>53.6</v>
      </c>
      <c r="BV231" s="17"/>
      <c r="BW231" s="20">
        <f t="array" ref="BW231">SUM(IF(Period=BU$4,IF(Category=$A$203,IF(Provider=$B231,Responses))))</f>
        <v>7</v>
      </c>
      <c r="BX231" s="20"/>
      <c r="BY231" s="17">
        <f t="shared" si="107"/>
        <v>1.5377049180327869</v>
      </c>
      <c r="BZ231" s="17"/>
      <c r="CA231" s="17">
        <f t="shared" si="98"/>
        <v>0.25929509329647549</v>
      </c>
    </row>
    <row r="232" spans="2:79" outlineLevel="1" x14ac:dyDescent="0.25">
      <c r="B232" t="s">
        <v>43</v>
      </c>
      <c r="C232" s="17">
        <v>0</v>
      </c>
      <c r="D232" s="17"/>
      <c r="E232" s="17">
        <v>0</v>
      </c>
      <c r="F232" s="17"/>
      <c r="G232" s="17">
        <v>0</v>
      </c>
      <c r="H232" s="17"/>
      <c r="I232" s="17">
        <f t="array" ref="I232">SUM(IF(Period=I$4,IF(Category=$A$203,IF(Provider=$B232,Score))))</f>
        <v>9.1</v>
      </c>
      <c r="J232" s="17"/>
      <c r="K232" s="20">
        <f t="array" ref="K232">SUM(IF(Period=I$4,IF(Category=$A$203,IF(Provider=$B232,Responses))))</f>
        <v>11</v>
      </c>
      <c r="L232" s="20"/>
      <c r="M232" s="17">
        <f t="shared" si="99"/>
        <v>0.49310344827586206</v>
      </c>
      <c r="N232" s="17"/>
      <c r="O232" s="17">
        <f t="shared" si="90"/>
        <v>8.2795698924731181E-2</v>
      </c>
      <c r="P232" s="17"/>
      <c r="Q232" s="17">
        <f t="array" ref="Q232">SUM(IF(Period=Q$4,IF(Category=$A$203,IF(Provider=$B232,Score))))</f>
        <v>66.7</v>
      </c>
      <c r="R232" s="17"/>
      <c r="S232" s="20">
        <f t="array" ref="S232">SUM(IF(Period=Q$4,IF(Category=$A$203,IF(Provider=$B232,Responses))))</f>
        <v>9</v>
      </c>
      <c r="T232" s="20"/>
      <c r="U232" s="17">
        <f t="shared" si="100"/>
        <v>3.1930851063829788</v>
      </c>
      <c r="V232" s="17"/>
      <c r="W232" s="17">
        <f t="shared" si="91"/>
        <v>0.53502673796791456</v>
      </c>
      <c r="X232" s="17"/>
      <c r="Y232" s="17">
        <f t="array" ref="Y232">SUM(IF(Period=Y$4,IF(Category=$A$203,IF(Provider=$B232,Score))))</f>
        <v>47.6</v>
      </c>
      <c r="Z232" s="17"/>
      <c r="AA232" s="20">
        <f t="array" ref="AA232">SUM(IF(Period=Y$4,IF(Category=$A$203,IF(Provider=$B232,Responses))))</f>
        <v>21</v>
      </c>
      <c r="AB232" s="20"/>
      <c r="AC232" s="17">
        <f t="shared" si="101"/>
        <v>3.3320000000000003</v>
      </c>
      <c r="AD232" s="17"/>
      <c r="AE232" s="17">
        <f t="shared" si="92"/>
        <v>0.55135135135135138</v>
      </c>
      <c r="AF232" s="17"/>
      <c r="AG232" s="17">
        <f t="array" ref="AG232">SUM(IF(Period=AG$4,IF(Category=$A$203,IF(Provider=$B232,Score))))</f>
        <v>45.8</v>
      </c>
      <c r="AH232" s="17"/>
      <c r="AI232" s="20">
        <f t="array" ref="AI232">SUM(IF(Period=AG$4,IF(Category=$A$203,IF(Provider=$B232,Responses))))</f>
        <v>6</v>
      </c>
      <c r="AJ232" s="20"/>
      <c r="AK232" s="17">
        <f t="shared" si="102"/>
        <v>1.0651162790697675</v>
      </c>
      <c r="AL232" s="17"/>
      <c r="AM232" s="17">
        <f t="shared" si="93"/>
        <v>0.17797927461139895</v>
      </c>
      <c r="AN232" s="17"/>
      <c r="AO232" s="17">
        <f t="array" ref="AO232">SUM(IF(Period=AO$4,IF(Category=$A$203,IF(Provider=$B232,Score))))</f>
        <v>60</v>
      </c>
      <c r="AP232" s="17"/>
      <c r="AQ232" s="20">
        <f t="array" ref="AQ232">SUM(IF(Period=AO$4,IF(Category=$A$203,IF(Provider=$B232,Responses))))</f>
        <v>5</v>
      </c>
      <c r="AR232" s="20"/>
      <c r="AS232" s="17">
        <f t="shared" si="103"/>
        <v>1.7543859649122806</v>
      </c>
      <c r="AT232" s="17"/>
      <c r="AU232" s="17">
        <f t="shared" si="94"/>
        <v>0.29239766081871343</v>
      </c>
      <c r="AV232" s="17"/>
      <c r="AW232" s="17">
        <f t="array" ref="AW232">SUM(IF(Period=AW$4,IF(Category=$A$203,IF(Provider=$B232,Score))))</f>
        <v>45.8</v>
      </c>
      <c r="AX232" s="17"/>
      <c r="AY232" s="20">
        <f t="array" ref="AY232">SUM(IF(Period=AW$4,IF(Category=$A$203,IF(Provider=$B232,Responses))))</f>
        <v>6</v>
      </c>
      <c r="AZ232" s="20"/>
      <c r="BA232" s="17">
        <f t="shared" si="104"/>
        <v>1.2547945205479452</v>
      </c>
      <c r="BB232" s="17"/>
      <c r="BC232" s="17">
        <f t="shared" si="95"/>
        <v>0.21105990783410136</v>
      </c>
      <c r="BD232" s="17"/>
      <c r="BE232" s="17">
        <f t="array" ref="BE232">SUM(IF(Period=BE$4,IF(Category=$A$203,IF(Provider=$B232,Score))))</f>
        <v>75</v>
      </c>
      <c r="BF232" s="17"/>
      <c r="BG232" s="20">
        <f t="array" ref="BG232">SUM(IF(Period=BE$4,IF(Category=$A$203,IF(Provider=$B232,Responses))))</f>
        <v>3</v>
      </c>
      <c r="BH232" s="20"/>
      <c r="BI232" s="17">
        <f t="shared" si="105"/>
        <v>0.94936708860759489</v>
      </c>
      <c r="BJ232" s="17"/>
      <c r="BK232" s="17">
        <f t="shared" si="96"/>
        <v>0.15901060070671377</v>
      </c>
      <c r="BL232" s="17"/>
      <c r="BM232" s="17">
        <f t="array" ref="BM232">SUM(IF(Period=BM$4,IF(Category=$A$203,IF(Provider=$B232,Score))))</f>
        <v>75</v>
      </c>
      <c r="BN232" s="17"/>
      <c r="BO232" s="20">
        <f t="array" ref="BO232">SUM(IF(Period=BM$4,IF(Category=$A$203,IF(Provider=$B232,Responses))))</f>
        <v>1</v>
      </c>
      <c r="BP232" s="20"/>
      <c r="BQ232" s="17">
        <f t="shared" si="106"/>
        <v>0.32467532467532467</v>
      </c>
      <c r="BR232" s="17"/>
      <c r="BS232" s="17">
        <f t="shared" si="97"/>
        <v>5.4112554112554112E-2</v>
      </c>
      <c r="BT232" s="17"/>
      <c r="BU232" s="17">
        <f t="array" ref="BU232">SUM(IF(Period=BU$4,IF(Category=$A$203,IF(Provider=$B232,Score))))</f>
        <v>47.7</v>
      </c>
      <c r="BV232" s="17"/>
      <c r="BW232" s="20">
        <f t="array" ref="BW232">SUM(IF(Period=BU$4,IF(Category=$A$203,IF(Provider=$B232,Responses))))</f>
        <v>11</v>
      </c>
      <c r="BX232" s="20"/>
      <c r="BY232" s="17">
        <f t="shared" si="107"/>
        <v>2.1504098360655739</v>
      </c>
      <c r="BZ232" s="17"/>
      <c r="CA232" s="17">
        <f t="shared" si="98"/>
        <v>0.36261230131306155</v>
      </c>
    </row>
    <row r="233" spans="2:79" outlineLevel="1" x14ac:dyDescent="0.25">
      <c r="B233" t="s">
        <v>29</v>
      </c>
      <c r="C233" s="17">
        <v>0</v>
      </c>
      <c r="D233" s="17"/>
      <c r="E233" s="17">
        <v>0</v>
      </c>
      <c r="F233" s="17"/>
      <c r="G233" s="17">
        <v>0</v>
      </c>
      <c r="H233" s="17"/>
      <c r="I233" s="17">
        <f t="array" ref="I233">SUM(IF(Period=I$4,IF(Category=$A$203,IF(Provider=$B233,Score))))</f>
        <v>21.4</v>
      </c>
      <c r="J233" s="17"/>
      <c r="K233" s="20">
        <f t="array" ref="K233">SUM(IF(Period=I$4,IF(Category=$A$203,IF(Provider=$B233,Responses))))</f>
        <v>7</v>
      </c>
      <c r="L233" s="20"/>
      <c r="M233" s="17">
        <f t="shared" si="99"/>
        <v>0.73793103448275854</v>
      </c>
      <c r="N233" s="17"/>
      <c r="O233" s="17">
        <f t="shared" si="90"/>
        <v>0.12390405293631099</v>
      </c>
      <c r="P233" s="17"/>
      <c r="Q233" s="17">
        <f t="array" ref="Q233">SUM(IF(Period=Q$4,IF(Category=$A$203,IF(Provider=$B233,Score))))</f>
        <v>75</v>
      </c>
      <c r="R233" s="17"/>
      <c r="S233" s="20">
        <f t="array" ref="S233">SUM(IF(Period=Q$4,IF(Category=$A$203,IF(Provider=$B233,Responses))))</f>
        <v>7</v>
      </c>
      <c r="T233" s="20"/>
      <c r="U233" s="17">
        <f t="shared" si="100"/>
        <v>2.7925531914893615</v>
      </c>
      <c r="V233" s="17"/>
      <c r="W233" s="17">
        <f t="shared" si="91"/>
        <v>0.46791443850267378</v>
      </c>
      <c r="X233" s="17"/>
      <c r="Y233" s="17">
        <f t="array" ref="Y233">SUM(IF(Period=Y$4,IF(Category=$A$203,IF(Provider=$B233,Score))))</f>
        <v>66.7</v>
      </c>
      <c r="Z233" s="17"/>
      <c r="AA233" s="20">
        <f t="array" ref="AA233">SUM(IF(Period=Y$4,IF(Category=$A$203,IF(Provider=$B233,Responses))))</f>
        <v>6</v>
      </c>
      <c r="AB233" s="20"/>
      <c r="AC233" s="17">
        <f t="shared" si="101"/>
        <v>1.3340000000000001</v>
      </c>
      <c r="AD233" s="17"/>
      <c r="AE233" s="17">
        <f t="shared" si="92"/>
        <v>0.22073910645339218</v>
      </c>
      <c r="AF233" s="17"/>
      <c r="AG233" s="17">
        <f t="array" ref="AG233">SUM(IF(Period=AG$4,IF(Category=$A$203,IF(Provider=$B233,Score))))</f>
        <v>75</v>
      </c>
      <c r="AH233" s="17"/>
      <c r="AI233" s="20">
        <f t="array" ref="AI233">SUM(IF(Period=AG$4,IF(Category=$A$203,IF(Provider=$B233,Responses))))</f>
        <v>7</v>
      </c>
      <c r="AJ233" s="20"/>
      <c r="AK233" s="17">
        <f t="shared" si="102"/>
        <v>2.0348837209302326</v>
      </c>
      <c r="AL233" s="17"/>
      <c r="AM233" s="17">
        <f t="shared" si="93"/>
        <v>0.34002590673575128</v>
      </c>
      <c r="AN233" s="17"/>
      <c r="AO233" s="17">
        <f t="array" ref="AO233">SUM(IF(Period=AO$4,IF(Category=$A$203,IF(Provider=$B233,Score))))</f>
        <v>87.5</v>
      </c>
      <c r="AP233" s="17"/>
      <c r="AQ233" s="20">
        <f t="array" ref="AQ233">SUM(IF(Period=AO$4,IF(Category=$A$203,IF(Provider=$B233,Responses))))</f>
        <v>2</v>
      </c>
      <c r="AR233" s="20"/>
      <c r="AS233" s="17">
        <f t="shared" si="103"/>
        <v>1.0233918128654971</v>
      </c>
      <c r="AT233" s="17"/>
      <c r="AU233" s="17">
        <f t="shared" si="94"/>
        <v>0.1705653021442495</v>
      </c>
      <c r="AV233" s="17"/>
      <c r="AW233" s="17">
        <f t="array" ref="AW233">SUM(IF(Period=AW$4,IF(Category=$A$203,IF(Provider=$B233,Score))))</f>
        <v>68.8</v>
      </c>
      <c r="AX233" s="17"/>
      <c r="AY233" s="20">
        <f t="array" ref="AY233">SUM(IF(Period=AW$4,IF(Category=$A$203,IF(Provider=$B233,Responses))))</f>
        <v>4</v>
      </c>
      <c r="AZ233" s="20"/>
      <c r="BA233" s="17">
        <f t="shared" si="104"/>
        <v>1.2566210045662098</v>
      </c>
      <c r="BB233" s="17"/>
      <c r="BC233" s="17">
        <f t="shared" si="95"/>
        <v>0.21136712749615974</v>
      </c>
      <c r="BD233" s="17"/>
      <c r="BE233" s="17">
        <f t="array" ref="BE233">SUM(IF(Period=BE$4,IF(Category=$A$203,IF(Provider=$B233,Score))))</f>
        <v>50</v>
      </c>
      <c r="BF233" s="17"/>
      <c r="BG233" s="20">
        <f t="array" ref="BG233">SUM(IF(Period=BE$4,IF(Category=$A$203,IF(Provider=$B233,Responses))))</f>
        <v>1</v>
      </c>
      <c r="BH233" s="20"/>
      <c r="BI233" s="17">
        <f t="shared" si="105"/>
        <v>0.21097046413502107</v>
      </c>
      <c r="BJ233" s="17"/>
      <c r="BK233" s="17">
        <f t="shared" si="96"/>
        <v>3.5335689045936397E-2</v>
      </c>
      <c r="BL233" s="17"/>
      <c r="BM233" s="17">
        <f t="array" ref="BM233">SUM(IF(Period=BM$4,IF(Category=$A$203,IF(Provider=$B233,Score))))</f>
        <v>75</v>
      </c>
      <c r="BN233" s="17"/>
      <c r="BO233" s="20">
        <f t="array" ref="BO233">SUM(IF(Period=BM$4,IF(Category=$A$203,IF(Provider=$B233,Responses))))</f>
        <v>6</v>
      </c>
      <c r="BP233" s="20"/>
      <c r="BQ233" s="17">
        <f t="shared" si="106"/>
        <v>1.9480519480519483</v>
      </c>
      <c r="BR233" s="17"/>
      <c r="BS233" s="17">
        <f t="shared" si="97"/>
        <v>0.32467532467532467</v>
      </c>
      <c r="BT233" s="17"/>
      <c r="BU233" s="17">
        <f t="array" ref="BU233">SUM(IF(Period=BU$4,IF(Category=$A$203,IF(Provider=$B233,Score))))</f>
        <v>87.5</v>
      </c>
      <c r="BV233" s="17"/>
      <c r="BW233" s="20">
        <f t="array" ref="BW233">SUM(IF(Period=BU$4,IF(Category=$A$203,IF(Provider=$B233,Responses))))</f>
        <v>4</v>
      </c>
      <c r="BX233" s="20"/>
      <c r="BY233" s="17">
        <f t="shared" si="107"/>
        <v>1.4344262295081969</v>
      </c>
      <c r="BZ233" s="17"/>
      <c r="CA233" s="17">
        <f t="shared" si="98"/>
        <v>0.24187975120939875</v>
      </c>
    </row>
    <row r="234" spans="2:79" outlineLevel="1" x14ac:dyDescent="0.25">
      <c r="B234" t="s">
        <v>20</v>
      </c>
      <c r="C234" s="17">
        <v>0</v>
      </c>
      <c r="D234" s="17"/>
      <c r="E234" s="17">
        <v>0</v>
      </c>
      <c r="F234" s="17"/>
      <c r="G234" s="17">
        <v>0</v>
      </c>
      <c r="H234" s="17"/>
      <c r="I234" s="17">
        <f t="array" ref="I234">SUM(IF(Period=I$4,IF(Category=$A$203,IF(Provider=$B234,Score))))</f>
        <v>85</v>
      </c>
      <c r="J234" s="17"/>
      <c r="K234" s="20">
        <f t="array" ref="K234">SUM(IF(Period=I$4,IF(Category=$A$203,IF(Provider=$B234,Responses))))</f>
        <v>5</v>
      </c>
      <c r="L234" s="20"/>
      <c r="M234" s="17">
        <f t="shared" si="99"/>
        <v>2.0935960591133007</v>
      </c>
      <c r="N234" s="17"/>
      <c r="O234" s="17">
        <f t="shared" si="90"/>
        <v>0.35153019023986765</v>
      </c>
      <c r="P234" s="17"/>
      <c r="Q234" s="17">
        <f t="array" ref="Q234">SUM(IF(Period=Q$4,IF(Category=$A$203,IF(Provider=$B234,Score))))</f>
        <v>70.8</v>
      </c>
      <c r="R234" s="17"/>
      <c r="S234" s="20">
        <f t="array" ref="S234">SUM(IF(Period=Q$4,IF(Category=$A$203,IF(Provider=$B234,Responses))))</f>
        <v>6</v>
      </c>
      <c r="T234" s="20"/>
      <c r="U234" s="17">
        <f t="shared" si="100"/>
        <v>2.259574468085106</v>
      </c>
      <c r="V234" s="17"/>
      <c r="W234" s="17">
        <f t="shared" si="91"/>
        <v>0.37860962566844913</v>
      </c>
      <c r="X234" s="17"/>
      <c r="Y234" s="17">
        <f t="array" ref="Y234">SUM(IF(Period=Y$4,IF(Category=$A$203,IF(Provider=$B234,Score))))</f>
        <v>64.7</v>
      </c>
      <c r="Z234" s="17"/>
      <c r="AA234" s="20">
        <f t="array" ref="AA234">SUM(IF(Period=Y$4,IF(Category=$A$203,IF(Provider=$B234,Responses))))</f>
        <v>17</v>
      </c>
      <c r="AB234" s="20"/>
      <c r="AC234" s="17">
        <f t="shared" si="101"/>
        <v>3.6663333333333332</v>
      </c>
      <c r="AD234" s="17"/>
      <c r="AE234" s="17">
        <f t="shared" si="92"/>
        <v>0.60667402095973533</v>
      </c>
      <c r="AF234" s="17"/>
      <c r="AG234" s="17">
        <f t="array" ref="AG234">SUM(IF(Period=AG$4,IF(Category=$A$203,IF(Provider=$B234,Score))))</f>
        <v>75</v>
      </c>
      <c r="AH234" s="17"/>
      <c r="AI234" s="20">
        <f t="array" ref="AI234">SUM(IF(Period=AG$4,IF(Category=$A$203,IF(Provider=$B234,Responses))))</f>
        <v>17</v>
      </c>
      <c r="AJ234" s="20"/>
      <c r="AK234" s="17">
        <f t="shared" si="102"/>
        <v>4.9418604651162799</v>
      </c>
      <c r="AL234" s="17"/>
      <c r="AM234" s="17">
        <f t="shared" si="93"/>
        <v>0.8257772020725388</v>
      </c>
      <c r="AN234" s="17"/>
      <c r="AO234" s="17">
        <f t="array" ref="AO234">SUM(IF(Period=AO$4,IF(Category=$A$203,IF(Provider=$B234,Score))))</f>
        <v>75</v>
      </c>
      <c r="AP234" s="17"/>
      <c r="AQ234" s="20">
        <f t="array" ref="AQ234">SUM(IF(Period=AO$4,IF(Category=$A$203,IF(Provider=$B234,Responses))))</f>
        <v>3</v>
      </c>
      <c r="AR234" s="20"/>
      <c r="AS234" s="17">
        <f t="shared" si="103"/>
        <v>1.3157894736842104</v>
      </c>
      <c r="AT234" s="17"/>
      <c r="AU234" s="17">
        <f t="shared" si="94"/>
        <v>0.21929824561403508</v>
      </c>
      <c r="AV234" s="17"/>
      <c r="AW234" s="17">
        <f t="array" ref="AW234">SUM(IF(Period=AW$4,IF(Category=$A$203,IF(Provider=$B234,Score))))</f>
        <v>70</v>
      </c>
      <c r="AX234" s="17"/>
      <c r="AY234" s="20">
        <f t="array" ref="AY234">SUM(IF(Period=AW$4,IF(Category=$A$203,IF(Provider=$B234,Responses))))</f>
        <v>5</v>
      </c>
      <c r="AZ234" s="20"/>
      <c r="BA234" s="17">
        <f t="shared" si="104"/>
        <v>1.5981735159817352</v>
      </c>
      <c r="BB234" s="17"/>
      <c r="BC234" s="17">
        <f t="shared" si="95"/>
        <v>0.26881720430107525</v>
      </c>
      <c r="BD234" s="17"/>
      <c r="BE234" s="17">
        <f t="array" ref="BE234">SUM(IF(Period=BE$4,IF(Category=$A$203,IF(Provider=$B234,Score))))</f>
        <v>87.5</v>
      </c>
      <c r="BF234" s="17"/>
      <c r="BG234" s="20">
        <f t="array" ref="BG234">SUM(IF(Period=BE$4,IF(Category=$A$203,IF(Provider=$B234,Responses))))</f>
        <v>6</v>
      </c>
      <c r="BH234" s="20"/>
      <c r="BI234" s="17">
        <f t="shared" si="105"/>
        <v>2.2151898734177213</v>
      </c>
      <c r="BJ234" s="17"/>
      <c r="BK234" s="17">
        <f t="shared" si="96"/>
        <v>0.37102473498233213</v>
      </c>
      <c r="BL234" s="17"/>
      <c r="BM234" s="17">
        <f t="array" ref="BM234">SUM(IF(Period=BM$4,IF(Category=$A$203,IF(Provider=$B234,Score))))</f>
        <v>77.8</v>
      </c>
      <c r="BN234" s="17"/>
      <c r="BO234" s="20">
        <f t="array" ref="BO234">SUM(IF(Period=BM$4,IF(Category=$A$203,IF(Provider=$B234,Responses))))</f>
        <v>9</v>
      </c>
      <c r="BP234" s="20"/>
      <c r="BQ234" s="17">
        <f t="shared" si="106"/>
        <v>3.0311688311688312</v>
      </c>
      <c r="BR234" s="17"/>
      <c r="BS234" s="17">
        <f t="shared" si="97"/>
        <v>0.5051948051948052</v>
      </c>
      <c r="BT234" s="17"/>
      <c r="BU234" s="17">
        <f t="array" ref="BU234">SUM(IF(Period=BU$4,IF(Category=$A$203,IF(Provider=$B234,Score))))</f>
        <v>60.7</v>
      </c>
      <c r="BV234" s="17"/>
      <c r="BW234" s="20">
        <f t="array" ref="BW234">SUM(IF(Period=BU$4,IF(Category=$A$203,IF(Provider=$B234,Responses))))</f>
        <v>7</v>
      </c>
      <c r="BX234" s="20"/>
      <c r="BY234" s="17">
        <f t="shared" si="107"/>
        <v>1.7413934426229509</v>
      </c>
      <c r="BZ234" s="17"/>
      <c r="CA234" s="17">
        <f t="shared" si="98"/>
        <v>0.2936420179682101</v>
      </c>
    </row>
    <row r="235" spans="2:79" outlineLevel="1" x14ac:dyDescent="0.25">
      <c r="B235" t="s">
        <v>37</v>
      </c>
      <c r="C235" s="17">
        <v>0</v>
      </c>
      <c r="D235" s="17"/>
      <c r="E235" s="17">
        <v>0</v>
      </c>
      <c r="F235" s="17"/>
      <c r="G235" s="17">
        <v>0</v>
      </c>
      <c r="H235" s="17"/>
      <c r="I235" s="17">
        <f t="array" ref="I235">SUM(IF(Period=I$4,IF(Category=$A$203,IF(Provider=$B235,Score))))</f>
        <v>61.5</v>
      </c>
      <c r="J235" s="17"/>
      <c r="K235" s="20">
        <f t="array" ref="K235">SUM(IF(Period=I$4,IF(Category=$A$203,IF(Provider=$B235,Responses))))</f>
        <v>13</v>
      </c>
      <c r="L235" s="20"/>
      <c r="M235" s="17">
        <f t="shared" si="99"/>
        <v>3.9384236453201975</v>
      </c>
      <c r="N235" s="17"/>
      <c r="O235" s="17">
        <f t="shared" si="90"/>
        <v>0.66129032258064524</v>
      </c>
      <c r="P235" s="17"/>
      <c r="Q235" s="17">
        <f t="array" ref="Q235">SUM(IF(Period=Q$4,IF(Category=$A$203,IF(Provider=$B235,Score))))</f>
        <v>52.5</v>
      </c>
      <c r="R235" s="17"/>
      <c r="S235" s="20">
        <f t="array" ref="S235">SUM(IF(Period=Q$4,IF(Category=$A$203,IF(Provider=$B235,Responses))))</f>
        <v>10</v>
      </c>
      <c r="T235" s="20"/>
      <c r="U235" s="17">
        <f t="shared" si="100"/>
        <v>2.7925531914893615</v>
      </c>
      <c r="V235" s="17"/>
      <c r="W235" s="17">
        <f t="shared" si="91"/>
        <v>0.46791443850267384</v>
      </c>
      <c r="X235" s="17"/>
      <c r="Y235" s="17">
        <f t="array" ref="Y235">SUM(IF(Period=Y$4,IF(Category=$A$203,IF(Provider=$B235,Score))))</f>
        <v>65.3</v>
      </c>
      <c r="Z235" s="17"/>
      <c r="AA235" s="20">
        <f t="array" ref="AA235">SUM(IF(Period=Y$4,IF(Category=$A$203,IF(Provider=$B235,Responses))))</f>
        <v>18</v>
      </c>
      <c r="AB235" s="20"/>
      <c r="AC235" s="17">
        <f t="shared" si="101"/>
        <v>3.9179999999999997</v>
      </c>
      <c r="AD235" s="17"/>
      <c r="AE235" s="17">
        <f t="shared" si="92"/>
        <v>0.64831770546056255</v>
      </c>
      <c r="AF235" s="17"/>
      <c r="AG235" s="17">
        <f t="array" ref="AG235">SUM(IF(Period=AG$4,IF(Category=$A$203,IF(Provider=$B235,Score))))</f>
        <v>67.2</v>
      </c>
      <c r="AH235" s="17"/>
      <c r="AI235" s="20">
        <f t="array" ref="AI235">SUM(IF(Period=AG$4,IF(Category=$A$203,IF(Provider=$B235,Responses))))</f>
        <v>16</v>
      </c>
      <c r="AJ235" s="20"/>
      <c r="AK235" s="17">
        <f t="shared" si="102"/>
        <v>4.1674418604651162</v>
      </c>
      <c r="AL235" s="17"/>
      <c r="AM235" s="17">
        <f t="shared" si="93"/>
        <v>0.69637305699481866</v>
      </c>
      <c r="AN235" s="17"/>
      <c r="AO235" s="17">
        <f t="array" ref="AO235">SUM(IF(Period=AO$4,IF(Category=$A$203,IF(Provider=$B235,Score))))</f>
        <v>0</v>
      </c>
      <c r="AP235" s="17"/>
      <c r="AQ235" s="20">
        <f t="array" ref="AQ235">SUM(IF(Period=AO$4,IF(Category=$A$203,IF(Provider=$B235,Responses))))</f>
        <v>0</v>
      </c>
      <c r="AR235" s="20"/>
      <c r="AS235" s="17">
        <f t="shared" si="103"/>
        <v>0</v>
      </c>
      <c r="AT235" s="17"/>
      <c r="AU235" s="17">
        <f t="shared" si="94"/>
        <v>0</v>
      </c>
      <c r="AV235" s="17"/>
      <c r="AW235" s="17">
        <f t="array" ref="AW235">SUM(IF(Period=AW$4,IF(Category=$A$203,IF(Provider=$B235,Score))))</f>
        <v>75</v>
      </c>
      <c r="AX235" s="17"/>
      <c r="AY235" s="20">
        <f t="array" ref="AY235">SUM(IF(Period=AW$4,IF(Category=$A$203,IF(Provider=$B235,Responses))))</f>
        <v>6</v>
      </c>
      <c r="AZ235" s="20"/>
      <c r="BA235" s="17">
        <f t="shared" si="104"/>
        <v>2.054794520547945</v>
      </c>
      <c r="BB235" s="17"/>
      <c r="BC235" s="17">
        <f t="shared" si="95"/>
        <v>0.34562211981566821</v>
      </c>
      <c r="BD235" s="17"/>
      <c r="BE235" s="17">
        <f t="array" ref="BE235">SUM(IF(Period=BE$4,IF(Category=$A$203,IF(Provider=$B235,Score))))</f>
        <v>63.3</v>
      </c>
      <c r="BF235" s="17"/>
      <c r="BG235" s="20">
        <f t="array" ref="BG235">SUM(IF(Period=BE$4,IF(Category=$A$203,IF(Provider=$B235,Responses))))</f>
        <v>15</v>
      </c>
      <c r="BH235" s="20"/>
      <c r="BI235" s="17">
        <f t="shared" si="105"/>
        <v>4.0063291139240507</v>
      </c>
      <c r="BJ235" s="17"/>
      <c r="BK235" s="17">
        <f t="shared" si="96"/>
        <v>0.67102473498233217</v>
      </c>
      <c r="BL235" s="17"/>
      <c r="BM235" s="17">
        <f t="array" ref="BM235">SUM(IF(Period=BM$4,IF(Category=$A$203,IF(Provider=$B235,Score))))</f>
        <v>100</v>
      </c>
      <c r="BN235" s="17"/>
      <c r="BO235" s="20">
        <f t="array" ref="BO235">SUM(IF(Period=BM$4,IF(Category=$A$203,IF(Provider=$B235,Responses))))</f>
        <v>1</v>
      </c>
      <c r="BP235" s="20"/>
      <c r="BQ235" s="17">
        <f t="shared" si="106"/>
        <v>0.4329004329004329</v>
      </c>
      <c r="BR235" s="17"/>
      <c r="BS235" s="17">
        <f t="shared" si="97"/>
        <v>7.2150072150072145E-2</v>
      </c>
      <c r="BT235" s="17"/>
      <c r="BU235" s="17">
        <f t="array" ref="BU235">SUM(IF(Period=BU$4,IF(Category=$A$203,IF(Provider=$B235,Score))))</f>
        <v>66.7</v>
      </c>
      <c r="BV235" s="17"/>
      <c r="BW235" s="20">
        <f t="array" ref="BW235">SUM(IF(Period=BU$4,IF(Category=$A$203,IF(Provider=$B235,Responses))))</f>
        <v>6</v>
      </c>
      <c r="BX235" s="20"/>
      <c r="BY235" s="17">
        <f t="shared" si="107"/>
        <v>1.6401639344262295</v>
      </c>
      <c r="BZ235" s="17"/>
      <c r="CA235" s="17">
        <f t="shared" si="98"/>
        <v>0.27657221838286111</v>
      </c>
    </row>
    <row r="236" spans="2:79" outlineLevel="1" x14ac:dyDescent="0.25">
      <c r="B236" t="s">
        <v>226</v>
      </c>
      <c r="C236" s="17">
        <v>0</v>
      </c>
      <c r="D236" s="17"/>
      <c r="E236" s="17">
        <v>0</v>
      </c>
      <c r="F236" s="17"/>
      <c r="G236" s="17">
        <v>0</v>
      </c>
      <c r="H236" s="17"/>
      <c r="I236" s="17">
        <f t="array" ref="I236">SUM(IF(Period=I$4,IF(Category=$A$203,IF(Provider=$B236,Score))))</f>
        <v>0</v>
      </c>
      <c r="J236" s="17"/>
      <c r="K236" s="20">
        <f t="array" ref="K236">SUM(IF(Period=I$4,IF(Category=$A$203,IF(Provider=$B236,Responses))))</f>
        <v>0</v>
      </c>
      <c r="L236" s="20"/>
      <c r="M236" s="17">
        <f t="shared" si="99"/>
        <v>0</v>
      </c>
      <c r="N236" s="17"/>
      <c r="O236" s="17">
        <f t="shared" si="90"/>
        <v>0</v>
      </c>
      <c r="P236" s="17"/>
      <c r="Q236" s="17">
        <f t="array" ref="Q236">SUM(IF(Period=Q$4,IF(Category=$A$203,IF(Provider=$B236,Score))))</f>
        <v>0</v>
      </c>
      <c r="R236" s="17"/>
      <c r="S236" s="20">
        <f t="array" ref="S236">SUM(IF(Period=Q$4,IF(Category=$A$203,IF(Provider=$B236,Responses))))</f>
        <v>0</v>
      </c>
      <c r="T236" s="20"/>
      <c r="U236" s="17">
        <f t="shared" si="100"/>
        <v>0</v>
      </c>
      <c r="V236" s="17"/>
      <c r="W236" s="17">
        <f t="shared" si="91"/>
        <v>0</v>
      </c>
      <c r="X236" s="17"/>
      <c r="Y236" s="17">
        <f t="array" ref="Y236">SUM(IF(Period=Y$4,IF(Category=$A$203,IF(Provider=$B236,Score))))</f>
        <v>0</v>
      </c>
      <c r="Z236" s="17"/>
      <c r="AA236" s="20">
        <f t="array" ref="AA236">SUM(IF(Period=Y$4,IF(Category=$A$203,IF(Provider=$B236,Responses))))</f>
        <v>0</v>
      </c>
      <c r="AB236" s="20"/>
      <c r="AC236" s="17">
        <f t="shared" si="101"/>
        <v>0</v>
      </c>
      <c r="AD236" s="17"/>
      <c r="AE236" s="17">
        <f t="shared" si="92"/>
        <v>0</v>
      </c>
      <c r="AF236" s="17"/>
      <c r="AG236" s="17">
        <f t="array" ref="AG236">SUM(IF(Period=AG$4,IF(Category=$A$203,IF(Provider=$B236,Score))))</f>
        <v>57.5</v>
      </c>
      <c r="AH236" s="17"/>
      <c r="AI236" s="20">
        <f t="array" ref="AI236">SUM(IF(Period=AG$4,IF(Category=$A$203,IF(Provider=$B236,Responses))))</f>
        <v>10</v>
      </c>
      <c r="AJ236" s="20"/>
      <c r="AK236" s="17">
        <f t="shared" si="102"/>
        <v>2.2286821705426356</v>
      </c>
      <c r="AL236" s="17"/>
      <c r="AM236" s="17">
        <f t="shared" si="93"/>
        <v>0.37240932642487046</v>
      </c>
      <c r="AN236" s="17"/>
      <c r="AO236" s="17">
        <f t="array" ref="AO236">SUM(IF(Period=AO$4,IF(Category=$A$203,IF(Provider=$B236,Score))))</f>
        <v>68.2</v>
      </c>
      <c r="AP236" s="17"/>
      <c r="AQ236" s="20">
        <f t="array" ref="AQ236">SUM(IF(Period=AO$4,IF(Category=$A$203,IF(Provider=$B236,Responses))))</f>
        <v>11</v>
      </c>
      <c r="AR236" s="20"/>
      <c r="AS236" s="17">
        <f t="shared" si="103"/>
        <v>4.3871345029239768</v>
      </c>
      <c r="AT236" s="17"/>
      <c r="AU236" s="17">
        <f t="shared" si="94"/>
        <v>0.73118908382066272</v>
      </c>
      <c r="AV236" s="17"/>
      <c r="AW236" s="17">
        <f t="array" ref="AW236">SUM(IF(Period=AW$4,IF(Category=$A$203,IF(Provider=$B236,Score))))</f>
        <v>61.5</v>
      </c>
      <c r="AX236" s="17"/>
      <c r="AY236" s="20">
        <f t="array" ref="AY236">SUM(IF(Period=AW$4,IF(Category=$A$203,IF(Provider=$B236,Responses))))</f>
        <v>13</v>
      </c>
      <c r="AZ236" s="20"/>
      <c r="BA236" s="17">
        <f t="shared" si="104"/>
        <v>3.650684931506849</v>
      </c>
      <c r="BB236" s="17"/>
      <c r="BC236" s="17">
        <f t="shared" si="95"/>
        <v>0.61405529953917048</v>
      </c>
      <c r="BD236" s="17"/>
      <c r="BE236" s="17">
        <f t="array" ref="BE236">SUM(IF(Period=BE$4,IF(Category=$A$203,IF(Provider=$B236,Score))))</f>
        <v>64.599999999999994</v>
      </c>
      <c r="BF236" s="17"/>
      <c r="BG236" s="20">
        <f t="array" ref="BG236">SUM(IF(Period=BE$4,IF(Category=$A$203,IF(Provider=$B236,Responses))))</f>
        <v>12</v>
      </c>
      <c r="BH236" s="20"/>
      <c r="BI236" s="17">
        <f t="shared" si="105"/>
        <v>3.2708860759493668</v>
      </c>
      <c r="BJ236" s="17"/>
      <c r="BK236" s="17">
        <f t="shared" si="96"/>
        <v>0.54784452296819774</v>
      </c>
      <c r="BL236" s="17"/>
      <c r="BM236" s="17">
        <f t="array" ref="BM236">SUM(IF(Period=BM$4,IF(Category=$A$203,IF(Provider=$B236,Score))))</f>
        <v>75</v>
      </c>
      <c r="BN236" s="17"/>
      <c r="BO236" s="20">
        <f t="array" ref="BO236">SUM(IF(Period=BM$4,IF(Category=$A$203,IF(Provider=$B236,Responses))))</f>
        <v>6</v>
      </c>
      <c r="BP236" s="20"/>
      <c r="BQ236" s="17">
        <f t="shared" si="106"/>
        <v>1.9480519480519483</v>
      </c>
      <c r="BR236" s="17"/>
      <c r="BS236" s="17">
        <f t="shared" si="97"/>
        <v>0.32467532467532467</v>
      </c>
      <c r="BT236" s="17"/>
      <c r="BU236" s="17">
        <f t="array" ref="BU236">SUM(IF(Period=BU$4,IF(Category=$A$203,IF(Provider=$B236,Score))))</f>
        <v>84.4</v>
      </c>
      <c r="BV236" s="17"/>
      <c r="BW236" s="20">
        <f t="array" ref="BW236">SUM(IF(Period=BU$4,IF(Category=$A$203,IF(Provider=$B236,Responses))))</f>
        <v>8</v>
      </c>
      <c r="BX236" s="20"/>
      <c r="BY236" s="17">
        <f t="shared" si="107"/>
        <v>2.7672131147540986</v>
      </c>
      <c r="BZ236" s="17"/>
      <c r="CA236" s="17">
        <f t="shared" si="98"/>
        <v>0.46662059433310299</v>
      </c>
    </row>
    <row r="237" spans="2:79" outlineLevel="1" x14ac:dyDescent="0.25">
      <c r="B237" t="s">
        <v>227</v>
      </c>
      <c r="C237" s="22">
        <v>0</v>
      </c>
      <c r="D237" s="17"/>
      <c r="E237" s="22">
        <v>0</v>
      </c>
      <c r="F237" s="17"/>
      <c r="G237" s="22">
        <v>0</v>
      </c>
      <c r="H237" s="17"/>
      <c r="I237" s="22">
        <f t="array" ref="I237">SUM(IF(Period=I$4,IF(Category=$A$203,IF(Provider=$B237,Score))))</f>
        <v>0</v>
      </c>
      <c r="J237" s="17"/>
      <c r="K237" s="23">
        <f t="array" ref="K237">SUM(IF(Period=I$4,IF(Category=$A$203,IF(Provider=$B237,Responses))))</f>
        <v>0</v>
      </c>
      <c r="L237" s="20"/>
      <c r="M237" s="22">
        <f t="shared" si="99"/>
        <v>0</v>
      </c>
      <c r="N237" s="17"/>
      <c r="O237" s="22">
        <f t="shared" si="90"/>
        <v>0</v>
      </c>
      <c r="P237" s="17"/>
      <c r="Q237" s="22">
        <f t="array" ref="Q237">SUM(IF(Period=Q$4,IF(Category=$A$203,IF(Provider=$B237,Score))))</f>
        <v>0</v>
      </c>
      <c r="R237" s="17"/>
      <c r="S237" s="23">
        <f t="array" ref="S237">SUM(IF(Period=Q$4,IF(Category=$A$203,IF(Provider=$B237,Responses))))</f>
        <v>0</v>
      </c>
      <c r="T237" s="20"/>
      <c r="U237" s="22">
        <f t="shared" si="100"/>
        <v>0</v>
      </c>
      <c r="V237" s="17"/>
      <c r="W237" s="22">
        <f t="shared" si="91"/>
        <v>0</v>
      </c>
      <c r="X237" s="17"/>
      <c r="Y237" s="22">
        <f t="array" ref="Y237">SUM(IF(Period=Y$4,IF(Category=$A$203,IF(Provider=$B237,Score))))</f>
        <v>0</v>
      </c>
      <c r="Z237" s="17"/>
      <c r="AA237" s="23">
        <f t="array" ref="AA237">SUM(IF(Period=Y$4,IF(Category=$A$203,IF(Provider=$B237,Responses))))</f>
        <v>0</v>
      </c>
      <c r="AB237" s="20"/>
      <c r="AC237" s="22">
        <f t="shared" si="101"/>
        <v>0</v>
      </c>
      <c r="AD237" s="17"/>
      <c r="AE237" s="22">
        <f t="shared" si="92"/>
        <v>0</v>
      </c>
      <c r="AF237" s="17"/>
      <c r="AG237" s="22">
        <f t="array" ref="AG237">SUM(IF(Period=AG$4,IF(Category=$A$203,IF(Provider=$B237,Score))))</f>
        <v>100</v>
      </c>
      <c r="AH237" s="17"/>
      <c r="AI237" s="23">
        <f t="array" ref="AI237">SUM(IF(Period=AG$4,IF(Category=$A$203,IF(Provider=$B237,Responses))))</f>
        <v>1</v>
      </c>
      <c r="AJ237" s="20"/>
      <c r="AK237" s="22">
        <f t="shared" si="102"/>
        <v>0.38759689922480622</v>
      </c>
      <c r="AL237" s="17"/>
      <c r="AM237" s="22">
        <f t="shared" si="93"/>
        <v>6.476683937823835E-2</v>
      </c>
      <c r="AN237" s="17"/>
      <c r="AO237" s="22">
        <f t="array" ref="AO237">SUM(IF(Period=AO$4,IF(Category=$A$203,IF(Provider=$B237,Score))))</f>
        <v>0</v>
      </c>
      <c r="AP237" s="17"/>
      <c r="AQ237" s="23">
        <f t="array" ref="AQ237">SUM(IF(Period=AO$4,IF(Category=$A$203,IF(Provider=$B237,Responses))))</f>
        <v>0</v>
      </c>
      <c r="AR237" s="20"/>
      <c r="AS237" s="22">
        <f t="shared" si="103"/>
        <v>0</v>
      </c>
      <c r="AT237" s="17"/>
      <c r="AU237" s="22">
        <f t="shared" si="94"/>
        <v>0</v>
      </c>
      <c r="AV237" s="17"/>
      <c r="AW237" s="22">
        <f t="array" ref="AW237">SUM(IF(Period=AW$4,IF(Category=$A$203,IF(Provider=$B237,Score))))</f>
        <v>0</v>
      </c>
      <c r="AX237" s="17"/>
      <c r="AY237" s="23">
        <f t="array" ref="AY237">SUM(IF(Period=AW$4,IF(Category=$A$203,IF(Provider=$B237,Responses))))</f>
        <v>0</v>
      </c>
      <c r="AZ237" s="20"/>
      <c r="BA237" s="22">
        <f t="shared" si="104"/>
        <v>0</v>
      </c>
      <c r="BB237" s="17"/>
      <c r="BC237" s="22">
        <f t="shared" si="95"/>
        <v>0</v>
      </c>
      <c r="BD237" s="17"/>
      <c r="BE237" s="22">
        <f t="array" ref="BE237">SUM(IF(Period=BE$4,IF(Category=$A$203,IF(Provider=$B237,Score))))</f>
        <v>0</v>
      </c>
      <c r="BF237" s="17"/>
      <c r="BG237" s="23">
        <f t="array" ref="BG237">SUM(IF(Period=BE$4,IF(Category=$A$203,IF(Provider=$B237,Responses))))</f>
        <v>0</v>
      </c>
      <c r="BH237" s="20"/>
      <c r="BI237" s="22">
        <f t="shared" si="105"/>
        <v>0</v>
      </c>
      <c r="BJ237" s="17"/>
      <c r="BK237" s="22">
        <f t="shared" si="96"/>
        <v>0</v>
      </c>
      <c r="BL237" s="17"/>
      <c r="BM237" s="22">
        <f t="array" ref="BM237">SUM(IF(Period=BM$4,IF(Category=$A$203,IF(Provider=$B237,Score))))</f>
        <v>0</v>
      </c>
      <c r="BN237" s="17"/>
      <c r="BO237" s="23">
        <f t="array" ref="BO237">SUM(IF(Period=BM$4,IF(Category=$A$203,IF(Provider=$B237,Responses))))</f>
        <v>0</v>
      </c>
      <c r="BP237" s="20"/>
      <c r="BQ237" s="22">
        <f t="shared" si="106"/>
        <v>0</v>
      </c>
      <c r="BR237" s="17"/>
      <c r="BS237" s="22">
        <f t="shared" si="97"/>
        <v>0</v>
      </c>
      <c r="BT237" s="17"/>
      <c r="BU237" s="22">
        <f t="array" ref="BU237">SUM(IF(Period=BU$4,IF(Category=$A$203,IF(Provider=$B237,Score))))</f>
        <v>0</v>
      </c>
      <c r="BV237" s="17"/>
      <c r="BW237" s="23">
        <f t="array" ref="BW237">SUM(IF(Period=BU$4,IF(Category=$A$203,IF(Provider=$B237,Responses))))</f>
        <v>0</v>
      </c>
      <c r="BX237" s="20"/>
      <c r="BY237" s="22">
        <f t="shared" si="107"/>
        <v>0</v>
      </c>
      <c r="BZ237" s="17"/>
      <c r="CA237" s="22">
        <f t="shared" si="98"/>
        <v>0</v>
      </c>
    </row>
    <row r="238" spans="2:79" x14ac:dyDescent="0.25">
      <c r="B238" s="11" t="s">
        <v>427</v>
      </c>
      <c r="C238" s="24">
        <v>0</v>
      </c>
      <c r="D238" s="24"/>
      <c r="E238" s="24">
        <v>0</v>
      </c>
      <c r="F238" s="24"/>
      <c r="G238" s="24">
        <v>0</v>
      </c>
      <c r="H238" s="24"/>
      <c r="I238" s="24">
        <f>SUM(M204:M237)</f>
        <v>55.048275862068969</v>
      </c>
      <c r="J238" s="24"/>
      <c r="K238" s="29">
        <f>AVERAGEIF(K204:K237,"&lt;&gt;0")</f>
        <v>6.34375</v>
      </c>
      <c r="L238" s="25"/>
      <c r="M238" s="24"/>
      <c r="N238" s="24"/>
      <c r="O238" s="24"/>
      <c r="P238" s="24"/>
      <c r="Q238" s="24">
        <f>SUM(U204:U237)</f>
        <v>61.306382978723406</v>
      </c>
      <c r="R238" s="24"/>
      <c r="S238" s="29">
        <f>AVERAGEIF(S204:S237,"&lt;&gt;0")</f>
        <v>6.2666666666666666</v>
      </c>
      <c r="T238" s="25"/>
      <c r="U238" s="24"/>
      <c r="V238" s="24"/>
      <c r="W238" s="24"/>
      <c r="X238" s="24"/>
      <c r="Y238" s="24">
        <f>SUM(AC204:AC237)</f>
        <v>66.754666666666665</v>
      </c>
      <c r="Z238" s="24"/>
      <c r="AA238" s="29">
        <f>AVERAGEIF(AA204:AA237,"&lt;&gt;0")</f>
        <v>9.67741935483871</v>
      </c>
      <c r="AB238" s="25"/>
      <c r="AC238" s="24"/>
      <c r="AD238" s="24"/>
      <c r="AE238" s="24"/>
      <c r="AF238" s="24"/>
      <c r="AG238" s="24">
        <f>SUM(AK204:AK237)</f>
        <v>71.319379844961233</v>
      </c>
      <c r="AH238" s="24"/>
      <c r="AI238" s="29">
        <f>AVERAGEIF(AI204:AI237,"&lt;&gt;0")</f>
        <v>7.8181818181818183</v>
      </c>
      <c r="AJ238" s="25"/>
      <c r="AK238" s="24"/>
      <c r="AL238" s="24"/>
      <c r="AM238" s="24"/>
      <c r="AN238" s="24"/>
      <c r="AO238" s="24">
        <f>SUM(AS204:AS237)</f>
        <v>71.495321637426883</v>
      </c>
      <c r="AP238" s="24"/>
      <c r="AQ238" s="29">
        <f>AVERAGEIF(AQ204:AQ237,"&lt;&gt;0")</f>
        <v>5.7</v>
      </c>
      <c r="AR238" s="25"/>
      <c r="AS238" s="24"/>
      <c r="AT238" s="24"/>
      <c r="AU238" s="24"/>
      <c r="AV238" s="24"/>
      <c r="AW238" s="24">
        <f>SUM(BA204:BA237)</f>
        <v>66.32374429223745</v>
      </c>
      <c r="AX238" s="24"/>
      <c r="AY238" s="29">
        <f>AVERAGEIF(AY204:AY237,"&lt;&gt;0")</f>
        <v>6.84375</v>
      </c>
      <c r="AZ238" s="25"/>
      <c r="BA238" s="24"/>
      <c r="BB238" s="24"/>
      <c r="BC238" s="24"/>
      <c r="BD238" s="24"/>
      <c r="BE238" s="24">
        <f>SUM(BI204:BI237)</f>
        <v>70.365400843881858</v>
      </c>
      <c r="BF238" s="24"/>
      <c r="BG238" s="29">
        <f>AVERAGEIF(BG204:BG237,"&lt;&gt;0")</f>
        <v>7.645161290322581</v>
      </c>
      <c r="BH238" s="25"/>
      <c r="BI238" s="24"/>
      <c r="BJ238" s="24"/>
      <c r="BK238" s="24"/>
      <c r="BL238" s="24"/>
      <c r="BM238" s="24">
        <f>SUM(BQ204:BQ237)</f>
        <v>73.909523809523805</v>
      </c>
      <c r="BN238" s="24"/>
      <c r="BO238" s="29">
        <f>AVERAGEIF(BO204:BO237,"&lt;&gt;0")</f>
        <v>7.21875</v>
      </c>
      <c r="BP238" s="25"/>
      <c r="BQ238" s="24"/>
      <c r="BR238" s="24"/>
      <c r="BS238" s="24"/>
      <c r="BT238" s="24"/>
      <c r="BU238" s="24">
        <f>SUM(BY204:BY237)</f>
        <v>68.965163934426243</v>
      </c>
      <c r="BV238" s="24"/>
      <c r="BW238" s="29">
        <f>AVERAGEIF(BW204:BW237,"&lt;&gt;0")</f>
        <v>7.625</v>
      </c>
      <c r="BX238" s="25"/>
      <c r="BY238" s="24"/>
      <c r="BZ238" s="24"/>
      <c r="CA238" s="24"/>
    </row>
    <row r="239" spans="2:79" s="36" customFormat="1" x14ac:dyDescent="0.25">
      <c r="B239" s="32" t="s">
        <v>430</v>
      </c>
      <c r="C239" s="33"/>
      <c r="D239" s="33"/>
      <c r="E239" s="33"/>
      <c r="F239" s="33"/>
      <c r="G239" s="33"/>
      <c r="H239" s="33"/>
      <c r="I239" s="33">
        <f t="array" ref="I239">MEDIAN(IF(I204:I237&lt;&gt;0,I204:I237))</f>
        <v>59.7</v>
      </c>
      <c r="J239" s="33"/>
      <c r="K239" s="34">
        <f t="array" ref="K239">MEDIAN(IF(K204:K237&lt;&gt;0,K204:K237))</f>
        <v>6.5</v>
      </c>
      <c r="L239" s="35"/>
      <c r="M239" s="33"/>
      <c r="N239" s="33"/>
      <c r="O239" s="33"/>
      <c r="P239" s="33"/>
      <c r="Q239" s="33">
        <f t="array" ref="Q239">MEDIAN(IF(Q204:Q237&lt;&gt;0,Q204:Q237))</f>
        <v>62.5</v>
      </c>
      <c r="R239" s="33"/>
      <c r="S239" s="34">
        <f t="array" ref="S239">MEDIAN(IF(S204:S237&lt;&gt;0,S204:S237))</f>
        <v>6</v>
      </c>
      <c r="T239" s="35"/>
      <c r="U239" s="33"/>
      <c r="V239" s="33"/>
      <c r="W239" s="33"/>
      <c r="X239" s="33"/>
      <c r="Y239" s="33">
        <f t="array" ref="Y239">MEDIAN(IF(Y204:Y237&lt;&gt;0,Y204:Y237))</f>
        <v>66.7</v>
      </c>
      <c r="Z239" s="33"/>
      <c r="AA239" s="34">
        <f t="array" ref="AA239">MEDIAN(IF(AA204:AA237&lt;&gt;0,AA204:AA237))</f>
        <v>9</v>
      </c>
      <c r="AB239" s="35"/>
      <c r="AC239" s="33"/>
      <c r="AD239" s="33"/>
      <c r="AE239" s="33"/>
      <c r="AF239" s="33"/>
      <c r="AG239" s="33">
        <f t="array" ref="AG239">MEDIAN(IF(AG204:AG237&lt;&gt;0,AG204:AG237))</f>
        <v>75</v>
      </c>
      <c r="AH239" s="33"/>
      <c r="AI239" s="34">
        <f t="array" ref="AI239">MEDIAN(IF(AI204:AI237&lt;&gt;0,AI204:AI237))</f>
        <v>7</v>
      </c>
      <c r="AJ239" s="35"/>
      <c r="AK239" s="33"/>
      <c r="AL239" s="33"/>
      <c r="AM239" s="33"/>
      <c r="AN239" s="33"/>
      <c r="AO239" s="33">
        <f t="array" ref="AO239">MEDIAN(IF(AO204:AO237&lt;&gt;0,AO204:AO237))</f>
        <v>75</v>
      </c>
      <c r="AP239" s="33"/>
      <c r="AQ239" s="34">
        <f t="array" ref="AQ239">MEDIAN(IF(AQ204:AQ237&lt;&gt;0,AQ204:AQ237))</f>
        <v>5.5</v>
      </c>
      <c r="AR239" s="35"/>
      <c r="AS239" s="33"/>
      <c r="AT239" s="33"/>
      <c r="AU239" s="33"/>
      <c r="AV239" s="33"/>
      <c r="AW239" s="33">
        <f t="array" ref="AW239">MEDIAN(IF(AW204:AW237&lt;&gt;0,AW204:AW237))</f>
        <v>68.349999999999994</v>
      </c>
      <c r="AX239" s="33"/>
      <c r="AY239" s="34">
        <f t="array" ref="AY239">MEDIAN(IF(AY204:AY237&lt;&gt;0,AY204:AY237))</f>
        <v>6</v>
      </c>
      <c r="AZ239" s="35"/>
      <c r="BA239" s="33"/>
      <c r="BB239" s="33"/>
      <c r="BC239" s="33"/>
      <c r="BD239" s="33"/>
      <c r="BE239" s="33">
        <f t="array" ref="BE239">MEDIAN(IF(BE204:BE237&lt;&gt;0,BE204:BE237))</f>
        <v>75</v>
      </c>
      <c r="BF239" s="33"/>
      <c r="BG239" s="34">
        <f t="array" ref="BG239">MEDIAN(IF(BG204:BG237&lt;&gt;0,BG204:BG237))</f>
        <v>8</v>
      </c>
      <c r="BH239" s="35"/>
      <c r="BI239" s="33"/>
      <c r="BJ239" s="33"/>
      <c r="BK239" s="33"/>
      <c r="BL239" s="33"/>
      <c r="BM239" s="33">
        <f t="array" ref="BM239">MEDIAN(IF(BM204:BM237&lt;&gt;0,BM204:BM237))</f>
        <v>75.95</v>
      </c>
      <c r="BN239" s="33"/>
      <c r="BO239" s="34">
        <f t="array" ref="BO239">MEDIAN(IF(BO204:BO237&lt;&gt;0,BO204:BO237))</f>
        <v>7</v>
      </c>
      <c r="BP239" s="35"/>
      <c r="BQ239" s="33"/>
      <c r="BR239" s="33"/>
      <c r="BS239" s="33"/>
      <c r="BT239" s="33"/>
      <c r="BU239" s="33">
        <f t="array" ref="BU239">MEDIAN(IF(BU204:BU237&lt;&gt;0,BU204:BU237))</f>
        <v>68.05</v>
      </c>
      <c r="BV239" s="33"/>
      <c r="BW239" s="34">
        <f t="array" ref="BW239">MEDIAN(IF(BW204:BW237&lt;&gt;0,BW204:BW237))</f>
        <v>7</v>
      </c>
      <c r="BX239" s="25"/>
      <c r="BY239" s="24"/>
      <c r="BZ239" s="24"/>
      <c r="CA239" s="24"/>
    </row>
    <row r="240" spans="2:79" s="45" customFormat="1" x14ac:dyDescent="0.25">
      <c r="B240" s="46" t="s">
        <v>433</v>
      </c>
      <c r="C240" s="47"/>
      <c r="D240" s="47"/>
      <c r="E240" s="47"/>
      <c r="F240" s="47"/>
      <c r="G240" s="47"/>
      <c r="H240" s="47"/>
      <c r="I240" s="47"/>
      <c r="J240" s="47"/>
      <c r="K240" s="48">
        <f>SUM(K204:K237)</f>
        <v>203</v>
      </c>
      <c r="L240" s="48"/>
      <c r="M240" s="47"/>
      <c r="N240" s="47"/>
      <c r="O240" s="47"/>
      <c r="P240" s="47"/>
      <c r="Q240" s="47"/>
      <c r="R240" s="47"/>
      <c r="S240" s="48">
        <f>SUM(S204:S237)</f>
        <v>188</v>
      </c>
      <c r="T240" s="48"/>
      <c r="U240" s="47"/>
      <c r="V240" s="47"/>
      <c r="W240" s="47"/>
      <c r="X240" s="47"/>
      <c r="Y240" s="47"/>
      <c r="Z240" s="47"/>
      <c r="AA240" s="48">
        <f>SUM(AA204:AA237)</f>
        <v>300</v>
      </c>
      <c r="AB240" s="48"/>
      <c r="AC240" s="47"/>
      <c r="AD240" s="47"/>
      <c r="AE240" s="47"/>
      <c r="AF240" s="47"/>
      <c r="AG240" s="47"/>
      <c r="AH240" s="47"/>
      <c r="AI240" s="48">
        <f>SUM(AI204:AI237)</f>
        <v>258</v>
      </c>
      <c r="AJ240" s="48"/>
      <c r="AK240" s="47"/>
      <c r="AL240" s="47"/>
      <c r="AM240" s="47"/>
      <c r="AN240" s="47"/>
      <c r="AO240" s="47"/>
      <c r="AP240" s="47"/>
      <c r="AQ240" s="48">
        <f>SUM(AQ204:AQ237)</f>
        <v>171</v>
      </c>
      <c r="AR240" s="48"/>
      <c r="AS240" s="47"/>
      <c r="AT240" s="47"/>
      <c r="AU240" s="47"/>
      <c r="AV240" s="47"/>
      <c r="AW240" s="47"/>
      <c r="AX240" s="47"/>
      <c r="AY240" s="48">
        <f>SUM(AY204:AY237)</f>
        <v>219</v>
      </c>
      <c r="AZ240" s="48"/>
      <c r="BA240" s="47"/>
      <c r="BB240" s="47"/>
      <c r="BC240" s="47"/>
      <c r="BD240" s="47"/>
      <c r="BE240" s="47"/>
      <c r="BF240" s="47"/>
      <c r="BG240" s="48">
        <f>SUM(BG204:BG237)</f>
        <v>237</v>
      </c>
      <c r="BH240" s="48"/>
      <c r="BI240" s="47"/>
      <c r="BJ240" s="47"/>
      <c r="BK240" s="47"/>
      <c r="BL240" s="47"/>
      <c r="BM240" s="47"/>
      <c r="BN240" s="47"/>
      <c r="BO240" s="48">
        <f>SUM(BO204:BO237)</f>
        <v>231</v>
      </c>
      <c r="BP240" s="48"/>
      <c r="BQ240" s="47"/>
      <c r="BR240" s="47"/>
      <c r="BS240" s="47"/>
      <c r="BT240" s="47"/>
      <c r="BU240" s="47"/>
      <c r="BV240" s="47"/>
      <c r="BW240" s="48">
        <f>SUM(BW204:BW237)</f>
        <v>244</v>
      </c>
      <c r="BX240" s="49"/>
      <c r="BY240" s="50"/>
      <c r="BZ240" s="50"/>
      <c r="CA240" s="50"/>
    </row>
    <row r="242" spans="2:79" ht="15.75" thickBot="1" x14ac:dyDescent="0.3">
      <c r="B242" s="11" t="s">
        <v>429</v>
      </c>
      <c r="C242" s="30">
        <v>0</v>
      </c>
      <c r="D242" s="11"/>
      <c r="E242" s="30">
        <v>0</v>
      </c>
      <c r="F242" s="11"/>
      <c r="G242" s="30">
        <v>0</v>
      </c>
      <c r="H242" s="11"/>
      <c r="I242" s="30">
        <f>SUM(O9:O42)+SUM(O48:O81)+SUM(O87:O120)+SUM(O126:O159)+SUM(O165:O198)+SUM(O204:O237)</f>
        <v>71.227295285359787</v>
      </c>
      <c r="J242" s="11"/>
      <c r="K242" s="43">
        <f>ROUNDUP(AVERAGE(K43,K82,K121,K160,K199,K238),0)</f>
        <v>7</v>
      </c>
      <c r="L242" s="11"/>
      <c r="M242" s="11"/>
      <c r="N242" s="11"/>
      <c r="O242" s="11"/>
      <c r="P242" s="11"/>
      <c r="Q242" s="30">
        <f>SUM(W9:W42)+SUM(W48:W81)+SUM(W87:W120)+SUM(W126:W159)+SUM(W165:W198)+SUM(W204:W237)</f>
        <v>75.105882352941194</v>
      </c>
      <c r="R242" s="11"/>
      <c r="S242" s="43">
        <f>ROUNDUP(AVERAGE(S43,S82,S121,S160,S199,S238),0)</f>
        <v>7</v>
      </c>
      <c r="T242" s="11"/>
      <c r="U242" s="11"/>
      <c r="V242" s="11"/>
      <c r="W242" s="11"/>
      <c r="X242" s="11"/>
      <c r="Y242" s="30">
        <f>SUM(AE9:AE42)+SUM(AE48:AE81)+SUM(AE87:AE120)+SUM(AE126:AE159)+SUM(AE165:AE198)+SUM(AE204:AE237)</f>
        <v>76.657694429123012</v>
      </c>
      <c r="Z242" s="11"/>
      <c r="AA242" s="43">
        <f>ROUNDUP(AVERAGE(AA43,AA82,AA121,AA160,AA199,AA238),0)</f>
        <v>10</v>
      </c>
      <c r="AB242" s="11"/>
      <c r="AC242" s="11"/>
      <c r="AD242" s="11"/>
      <c r="AE242" s="11"/>
      <c r="AF242" s="11"/>
      <c r="AG242" s="30">
        <f>SUM(AM9:AM42)+SUM(AM48:AM81)+SUM(AM87:AM120)+SUM(AM126:AM159)+SUM(AM165:AM198)+SUM(AM204:AM237)</f>
        <v>81.073445595854935</v>
      </c>
      <c r="AH242" s="11"/>
      <c r="AI242" s="43">
        <f>ROUNDUP(AVERAGE(AI43,AI82,AI121,AI160,AI199,AI238),0)</f>
        <v>8</v>
      </c>
      <c r="AJ242" s="11"/>
      <c r="AK242" s="11"/>
      <c r="AL242" s="11"/>
      <c r="AM242" s="11"/>
      <c r="AN242" s="11"/>
      <c r="AO242" s="30">
        <f>SUM(AU9:AU42)+SUM(AU48:AU81)+SUM(AU87:AU120)+SUM(AU126:AU159)+SUM(AU165:AU198)+SUM(AU204:AU237)</f>
        <v>78.081871345029228</v>
      </c>
      <c r="AP242" s="11"/>
      <c r="AQ242" s="43">
        <f>ROUNDUP(AVERAGE(AQ43,AQ82,AQ121,AQ160,AQ199,AQ238),0)</f>
        <v>6</v>
      </c>
      <c r="AR242" s="11"/>
      <c r="AS242" s="11"/>
      <c r="AT242" s="11"/>
      <c r="AU242" s="11"/>
      <c r="AV242" s="11"/>
      <c r="AW242" s="30">
        <f>SUM(BC9:BC42)+SUM(BC48:BC81)+SUM(BC87:BC120)+SUM(BC126:BC159)+SUM(BC165:BC198)+SUM(BC204:BC237)</f>
        <v>79.025345622119843</v>
      </c>
      <c r="AX242" s="11"/>
      <c r="AY242" s="43">
        <f>ROUNDUP(AVERAGE(AY43,AY82,AY121,AY160,AY199,AY238),0)</f>
        <v>7</v>
      </c>
      <c r="AZ242" s="11"/>
      <c r="BA242" s="11"/>
      <c r="BB242" s="11"/>
      <c r="BC242" s="11"/>
      <c r="BD242" s="11"/>
      <c r="BE242" s="30">
        <f>SUM(BK9:BK42)+SUM(BK48:BK81)+SUM(BK87:BK120)+SUM(BK126:BK159)+SUM(BK165:BK198)+SUM(BK204:BK237)</f>
        <v>80.215689045936401</v>
      </c>
      <c r="BF242" s="11"/>
      <c r="BG242" s="43">
        <f>ROUNDUP(AVERAGE(BG43,BG82,BG121,BG160,BG199,BG238),0)</f>
        <v>8</v>
      </c>
      <c r="BH242" s="11"/>
      <c r="BI242" s="11"/>
      <c r="BJ242" s="11"/>
      <c r="BK242" s="11"/>
      <c r="BL242" s="11"/>
      <c r="BM242" s="30">
        <f>SUM(BS9:BS42)+SUM(BS48:BS81)+SUM(BS87:BS120)+SUM(BS126:BS159)+SUM(BS165:BS198)+SUM(BS204:BS237)</f>
        <v>83.3364357864358</v>
      </c>
      <c r="BN242" s="11"/>
      <c r="BO242" s="43">
        <f>ROUNDUP(AVERAGE(BO43,BO82,BO121,BO160,BO199,BO238),0)</f>
        <v>8</v>
      </c>
      <c r="BP242" s="11"/>
      <c r="BQ242" s="11"/>
      <c r="BR242" s="11"/>
      <c r="BS242" s="11"/>
      <c r="BT242" s="11"/>
      <c r="BU242" s="30">
        <f>SUM(CA9:CA42)+SUM(CA48:CA81)+SUM(CA87:CA120)+SUM(CA126:CA159)+SUM(CA165:CA198)+SUM(CA204:CA237)</f>
        <v>79.319143054595727</v>
      </c>
      <c r="BV242" s="11"/>
      <c r="BW242" s="43">
        <f>ROUNDUP(AVERAGE(BW43,BW82,BW121,BW160,BW199,BW238),0)</f>
        <v>8</v>
      </c>
      <c r="BX242" s="11"/>
      <c r="BY242" s="11"/>
      <c r="BZ242" s="11"/>
      <c r="CA242" s="11"/>
    </row>
    <row r="243" spans="2:79" ht="15.75" thickTop="1" x14ac:dyDescent="0.25"/>
    <row r="244" spans="2:79" x14ac:dyDescent="0.25">
      <c r="K244" s="44"/>
    </row>
    <row r="246" spans="2:79" x14ac:dyDescent="0.25">
      <c r="B246" s="31" t="s">
        <v>410</v>
      </c>
      <c r="C246" s="41">
        <v>0</v>
      </c>
      <c r="E246" s="42">
        <v>0</v>
      </c>
    </row>
    <row r="247" spans="2:79" x14ac:dyDescent="0.25">
      <c r="B247" s="31" t="s">
        <v>411</v>
      </c>
      <c r="C247" s="41">
        <v>0</v>
      </c>
      <c r="E247" s="42">
        <v>0</v>
      </c>
    </row>
    <row r="248" spans="2:79" x14ac:dyDescent="0.25">
      <c r="B248" s="31" t="s">
        <v>412</v>
      </c>
      <c r="C248" s="41">
        <v>0</v>
      </c>
      <c r="E248" s="42">
        <v>0</v>
      </c>
    </row>
    <row r="249" spans="2:79" x14ac:dyDescent="0.25">
      <c r="B249" s="31" t="s">
        <v>105</v>
      </c>
      <c r="C249" s="41">
        <f>K242</f>
        <v>7</v>
      </c>
      <c r="E249" s="42">
        <f>I242/100</f>
        <v>0.71227295285359782</v>
      </c>
    </row>
    <row r="250" spans="2:79" x14ac:dyDescent="0.25">
      <c r="B250" s="31" t="s">
        <v>160</v>
      </c>
      <c r="C250" s="41">
        <f>S242</f>
        <v>7</v>
      </c>
      <c r="E250" s="42">
        <f>Q242/100</f>
        <v>0.75105882352941189</v>
      </c>
    </row>
    <row r="251" spans="2:79" x14ac:dyDescent="0.25">
      <c r="B251" s="31" t="s">
        <v>222</v>
      </c>
      <c r="C251" s="41">
        <f>AA242</f>
        <v>10</v>
      </c>
      <c r="E251" s="42">
        <f>Y242/100</f>
        <v>0.76657694429123013</v>
      </c>
    </row>
    <row r="252" spans="2:79" x14ac:dyDescent="0.25">
      <c r="B252" s="31" t="s">
        <v>223</v>
      </c>
      <c r="C252" s="41">
        <f>AI242</f>
        <v>8</v>
      </c>
      <c r="E252" s="42">
        <f>AG242/100</f>
        <v>0.81073445595854932</v>
      </c>
    </row>
    <row r="253" spans="2:79" x14ac:dyDescent="0.25">
      <c r="B253" s="31" t="s">
        <v>225</v>
      </c>
      <c r="C253" s="41">
        <f>AQ242</f>
        <v>6</v>
      </c>
      <c r="E253" s="42">
        <f>AO242/100</f>
        <v>0.7808187134502923</v>
      </c>
    </row>
    <row r="254" spans="2:79" x14ac:dyDescent="0.25">
      <c r="B254" s="31" t="s">
        <v>275</v>
      </c>
      <c r="C254" s="41">
        <f>AY242</f>
        <v>7</v>
      </c>
      <c r="E254" s="42">
        <f>AW242/100</f>
        <v>0.79025345622119847</v>
      </c>
    </row>
    <row r="255" spans="2:79" x14ac:dyDescent="0.25">
      <c r="B255" s="31" t="s">
        <v>276</v>
      </c>
      <c r="C255" s="41">
        <f>BG242</f>
        <v>8</v>
      </c>
      <c r="E255" s="42">
        <f>BE242/100</f>
        <v>0.802156890459364</v>
      </c>
    </row>
    <row r="256" spans="2:79" x14ac:dyDescent="0.25">
      <c r="B256" s="31" t="s">
        <v>347</v>
      </c>
      <c r="C256" s="41">
        <f>BO242</f>
        <v>8</v>
      </c>
      <c r="E256" s="42">
        <f>BM242/100</f>
        <v>0.83336435786435803</v>
      </c>
    </row>
    <row r="257" spans="2:5" x14ac:dyDescent="0.25">
      <c r="B257" s="31" t="s">
        <v>413</v>
      </c>
      <c r="C257" s="41">
        <f>BW242</f>
        <v>8</v>
      </c>
      <c r="E257" s="42">
        <f>BU242/100</f>
        <v>0.79319143054595731</v>
      </c>
    </row>
  </sheetData>
  <mergeCells count="9">
    <mergeCell ref="BE4:BK4"/>
    <mergeCell ref="BM4:BS4"/>
    <mergeCell ref="BU4:CA4"/>
    <mergeCell ref="I4:O4"/>
    <mergeCell ref="Q4:W4"/>
    <mergeCell ref="Y4:AE4"/>
    <mergeCell ref="AG4:AM4"/>
    <mergeCell ref="AO4:AU4"/>
    <mergeCell ref="AW4:BC4"/>
  </mergeCells>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T225"/>
  <sheetViews>
    <sheetView showGridLines="0" zoomScale="80" zoomScaleNormal="80" workbookViewId="0">
      <pane xSplit="2" ySplit="5" topLeftCell="C6" activePane="bottomRight" state="frozen"/>
      <selection pane="topRight" activeCell="C1" sqref="C1"/>
      <selection pane="bottomLeft" activeCell="A6" sqref="A6"/>
      <selection pane="bottomRight" activeCell="C234" sqref="C234"/>
    </sheetView>
  </sheetViews>
  <sheetFormatPr defaultRowHeight="15" outlineLevelRow="1" x14ac:dyDescent="0.25"/>
  <cols>
    <col min="1" max="1" width="32.42578125" bestFit="1" customWidth="1"/>
    <col min="2" max="2" width="30.140625" bestFit="1" customWidth="1"/>
    <col min="3" max="20" width="11.7109375" customWidth="1"/>
  </cols>
  <sheetData>
    <row r="3" spans="1:20" x14ac:dyDescent="0.25">
      <c r="C3" s="14" t="s">
        <v>103</v>
      </c>
      <c r="D3" s="14" t="s">
        <v>420</v>
      </c>
    </row>
    <row r="4" spans="1:20" x14ac:dyDescent="0.25">
      <c r="C4" s="2" t="s">
        <v>105</v>
      </c>
      <c r="D4" s="2"/>
      <c r="E4" s="2" t="s">
        <v>160</v>
      </c>
      <c r="F4" s="2"/>
      <c r="G4" s="2" t="s">
        <v>222</v>
      </c>
      <c r="H4" s="2"/>
      <c r="I4" s="2" t="s">
        <v>223</v>
      </c>
      <c r="J4" s="2"/>
      <c r="K4" s="2" t="s">
        <v>225</v>
      </c>
      <c r="L4" s="2"/>
      <c r="M4" s="2" t="s">
        <v>275</v>
      </c>
      <c r="N4" s="2"/>
      <c r="O4" s="2" t="s">
        <v>276</v>
      </c>
      <c r="P4" s="2"/>
      <c r="Q4" s="2" t="s">
        <v>347</v>
      </c>
      <c r="R4" s="2"/>
      <c r="S4" s="2" t="s">
        <v>413</v>
      </c>
      <c r="T4" s="2"/>
    </row>
    <row r="5" spans="1:20" x14ac:dyDescent="0.25">
      <c r="A5" s="14" t="s">
        <v>2</v>
      </c>
      <c r="B5" s="14" t="s">
        <v>1</v>
      </c>
      <c r="C5" s="2" t="s">
        <v>421</v>
      </c>
      <c r="D5" s="2" t="s">
        <v>422</v>
      </c>
      <c r="E5" s="2" t="s">
        <v>421</v>
      </c>
      <c r="F5" s="2" t="s">
        <v>422</v>
      </c>
      <c r="G5" s="2" t="s">
        <v>421</v>
      </c>
      <c r="H5" s="2" t="s">
        <v>422</v>
      </c>
      <c r="I5" s="2" t="s">
        <v>421</v>
      </c>
      <c r="J5" s="2" t="s">
        <v>422</v>
      </c>
      <c r="K5" s="2" t="s">
        <v>421</v>
      </c>
      <c r="L5" s="2" t="s">
        <v>422</v>
      </c>
      <c r="M5" s="2" t="s">
        <v>421</v>
      </c>
      <c r="N5" s="2" t="s">
        <v>422</v>
      </c>
      <c r="O5" s="2" t="s">
        <v>421</v>
      </c>
      <c r="P5" s="2" t="s">
        <v>422</v>
      </c>
      <c r="Q5" t="s">
        <v>421</v>
      </c>
      <c r="R5" t="s">
        <v>422</v>
      </c>
      <c r="S5" t="s">
        <v>421</v>
      </c>
      <c r="T5" t="s">
        <v>422</v>
      </c>
    </row>
    <row r="6" spans="1:20" hidden="1" outlineLevel="1" x14ac:dyDescent="0.25">
      <c r="A6" t="s">
        <v>8</v>
      </c>
      <c r="B6" t="s">
        <v>21</v>
      </c>
      <c r="C6" s="16">
        <v>85.7</v>
      </c>
      <c r="D6" s="16">
        <v>7</v>
      </c>
      <c r="E6" s="16">
        <v>81.3</v>
      </c>
      <c r="F6" s="16">
        <v>4</v>
      </c>
      <c r="G6" s="16">
        <v>87.5</v>
      </c>
      <c r="H6" s="16">
        <v>14</v>
      </c>
      <c r="I6" s="16">
        <v>100</v>
      </c>
      <c r="J6" s="16">
        <v>3</v>
      </c>
      <c r="K6" s="16">
        <v>87.5</v>
      </c>
      <c r="L6" s="16">
        <v>2</v>
      </c>
      <c r="M6" s="16">
        <v>90</v>
      </c>
      <c r="N6" s="16">
        <v>5</v>
      </c>
      <c r="O6" s="16">
        <v>87.5</v>
      </c>
      <c r="P6" s="16">
        <v>8</v>
      </c>
      <c r="Q6" s="16">
        <v>100</v>
      </c>
      <c r="R6" s="16">
        <v>6</v>
      </c>
      <c r="S6" s="16">
        <v>90</v>
      </c>
      <c r="T6" s="16">
        <v>5</v>
      </c>
    </row>
    <row r="7" spans="1:20" hidden="1" outlineLevel="1" x14ac:dyDescent="0.25">
      <c r="B7" t="s">
        <v>30</v>
      </c>
      <c r="C7" s="16">
        <v>71.400000000000006</v>
      </c>
      <c r="D7" s="16">
        <v>7</v>
      </c>
      <c r="E7" s="16">
        <v>95</v>
      </c>
      <c r="F7" s="16">
        <v>10</v>
      </c>
      <c r="G7" s="16">
        <v>83.3</v>
      </c>
      <c r="H7" s="16">
        <v>9</v>
      </c>
      <c r="I7" s="16">
        <v>100</v>
      </c>
      <c r="J7" s="16">
        <v>6</v>
      </c>
      <c r="K7" s="16">
        <v>37.5</v>
      </c>
      <c r="L7" s="16">
        <v>4</v>
      </c>
      <c r="M7" s="16">
        <v>85.7</v>
      </c>
      <c r="N7" s="16">
        <v>7</v>
      </c>
      <c r="O7" s="16">
        <v>100</v>
      </c>
      <c r="P7" s="16">
        <v>8</v>
      </c>
      <c r="Q7" s="16">
        <v>87.5</v>
      </c>
      <c r="R7" s="16">
        <v>6</v>
      </c>
      <c r="S7" s="16">
        <v>77.3</v>
      </c>
      <c r="T7" s="16">
        <v>11</v>
      </c>
    </row>
    <row r="8" spans="1:20" hidden="1" outlineLevel="1" x14ac:dyDescent="0.25">
      <c r="B8" t="s">
        <v>14</v>
      </c>
      <c r="C8" s="16">
        <v>92.9</v>
      </c>
      <c r="D8" s="16">
        <v>7</v>
      </c>
      <c r="E8" s="16">
        <v>91.7</v>
      </c>
      <c r="F8" s="16">
        <v>6</v>
      </c>
      <c r="G8" s="16">
        <v>86.1</v>
      </c>
      <c r="H8" s="16">
        <v>9</v>
      </c>
      <c r="I8" s="16">
        <v>96.4</v>
      </c>
      <c r="J8" s="16">
        <v>7</v>
      </c>
      <c r="K8" s="16">
        <v>71.900000000000006</v>
      </c>
      <c r="L8" s="16">
        <v>8</v>
      </c>
      <c r="M8" s="16">
        <v>100</v>
      </c>
      <c r="N8" s="16">
        <v>6</v>
      </c>
      <c r="O8" s="16">
        <v>87.5</v>
      </c>
      <c r="P8" s="16">
        <v>8</v>
      </c>
      <c r="Q8" s="16">
        <v>56.3</v>
      </c>
      <c r="R8" s="16">
        <v>8</v>
      </c>
      <c r="S8" s="16">
        <v>75</v>
      </c>
      <c r="T8" s="16">
        <v>6</v>
      </c>
    </row>
    <row r="9" spans="1:20" hidden="1" outlineLevel="1" x14ac:dyDescent="0.25">
      <c r="B9" t="s">
        <v>38</v>
      </c>
      <c r="C9" s="16">
        <v>62.5</v>
      </c>
      <c r="D9" s="16">
        <v>4</v>
      </c>
      <c r="E9" s="16">
        <v>85.7</v>
      </c>
      <c r="F9" s="16">
        <v>7</v>
      </c>
      <c r="G9" s="16">
        <v>77.3</v>
      </c>
      <c r="H9" s="16">
        <v>11</v>
      </c>
      <c r="I9" s="16">
        <v>68.8</v>
      </c>
      <c r="J9" s="16">
        <v>4</v>
      </c>
      <c r="K9" s="16">
        <v>77.8</v>
      </c>
      <c r="L9" s="16">
        <v>9</v>
      </c>
      <c r="M9" s="16">
        <v>62.5</v>
      </c>
      <c r="N9" s="16">
        <v>2</v>
      </c>
      <c r="O9" s="16">
        <v>75</v>
      </c>
      <c r="P9" s="16">
        <v>2</v>
      </c>
      <c r="Q9" s="16">
        <v>87.5</v>
      </c>
      <c r="R9" s="16">
        <v>6</v>
      </c>
      <c r="S9" s="16">
        <v>96.9</v>
      </c>
      <c r="T9" s="16">
        <v>8</v>
      </c>
    </row>
    <row r="10" spans="1:20" hidden="1" outlineLevel="1" x14ac:dyDescent="0.25">
      <c r="B10" t="s">
        <v>26</v>
      </c>
      <c r="C10" s="16">
        <v>78.599999999999994</v>
      </c>
      <c r="D10" s="16">
        <v>7</v>
      </c>
      <c r="E10" s="16">
        <v>79.2</v>
      </c>
      <c r="F10" s="16">
        <v>6</v>
      </c>
      <c r="G10" s="16">
        <v>70.8</v>
      </c>
      <c r="H10" s="16">
        <v>12</v>
      </c>
      <c r="I10" s="16">
        <v>86.1</v>
      </c>
      <c r="J10" s="16">
        <v>9</v>
      </c>
      <c r="K10" s="16">
        <v>100</v>
      </c>
      <c r="L10" s="16">
        <v>4</v>
      </c>
      <c r="M10" s="16">
        <v>83.3</v>
      </c>
      <c r="N10" s="16">
        <v>6</v>
      </c>
      <c r="O10" s="16">
        <v>58.3</v>
      </c>
      <c r="P10" s="16">
        <v>6</v>
      </c>
      <c r="Q10" s="16">
        <v>75</v>
      </c>
      <c r="R10" s="16">
        <v>7</v>
      </c>
      <c r="S10" s="16">
        <v>85.7</v>
      </c>
      <c r="T10" s="16">
        <v>7</v>
      </c>
    </row>
    <row r="11" spans="1:20" hidden="1" outlineLevel="1" x14ac:dyDescent="0.25">
      <c r="B11" t="s">
        <v>42</v>
      </c>
      <c r="C11" s="16">
        <v>50</v>
      </c>
      <c r="D11" s="16">
        <v>4</v>
      </c>
      <c r="E11" s="16">
        <v>35</v>
      </c>
      <c r="F11" s="16">
        <v>10</v>
      </c>
      <c r="G11" s="16">
        <v>70</v>
      </c>
      <c r="H11" s="16">
        <v>5</v>
      </c>
      <c r="I11" s="16">
        <v>75</v>
      </c>
      <c r="J11" s="16">
        <v>1</v>
      </c>
      <c r="K11" s="16">
        <v>79.2</v>
      </c>
      <c r="L11" s="16">
        <v>6</v>
      </c>
      <c r="M11" s="16">
        <v>62.5</v>
      </c>
      <c r="N11" s="16">
        <v>8</v>
      </c>
      <c r="O11" s="16">
        <v>58.3</v>
      </c>
      <c r="P11" s="16">
        <v>15</v>
      </c>
      <c r="Q11" s="16">
        <v>81.8</v>
      </c>
      <c r="R11" s="16">
        <v>11</v>
      </c>
      <c r="S11" s="16">
        <v>65.599999999999994</v>
      </c>
      <c r="T11" s="16">
        <v>8</v>
      </c>
    </row>
    <row r="12" spans="1:20" hidden="1" outlineLevel="1" x14ac:dyDescent="0.25">
      <c r="B12" t="s">
        <v>17</v>
      </c>
      <c r="C12" s="16">
        <v>81.3</v>
      </c>
      <c r="D12" s="16">
        <v>4</v>
      </c>
      <c r="E12" s="16">
        <v>83.3</v>
      </c>
      <c r="F12" s="16">
        <v>3</v>
      </c>
      <c r="G12" s="16">
        <v>96.9</v>
      </c>
      <c r="H12" s="16">
        <v>8</v>
      </c>
      <c r="I12" s="16">
        <v>90.6</v>
      </c>
      <c r="J12" s="16">
        <v>8</v>
      </c>
      <c r="K12" s="16">
        <v>83.3</v>
      </c>
      <c r="L12" s="16">
        <v>3</v>
      </c>
      <c r="M12" s="16">
        <v>91.7</v>
      </c>
      <c r="N12" s="16">
        <v>3</v>
      </c>
      <c r="O12" s="16">
        <v>69.2</v>
      </c>
      <c r="P12" s="16">
        <v>13</v>
      </c>
      <c r="Q12" s="16">
        <v>95.8</v>
      </c>
      <c r="R12" s="16">
        <v>12</v>
      </c>
      <c r="S12" s="16">
        <v>100</v>
      </c>
      <c r="T12" s="16">
        <v>6</v>
      </c>
    </row>
    <row r="13" spans="1:20" hidden="1" outlineLevel="1" x14ac:dyDescent="0.25">
      <c r="B13" t="s">
        <v>15</v>
      </c>
      <c r="C13" s="16">
        <v>85</v>
      </c>
      <c r="D13" s="16">
        <v>5</v>
      </c>
      <c r="E13" s="16">
        <v>83.3</v>
      </c>
      <c r="F13" s="16">
        <v>3</v>
      </c>
      <c r="G13" s="16">
        <v>0</v>
      </c>
      <c r="H13" s="16">
        <v>0</v>
      </c>
      <c r="I13" s="16">
        <v>0</v>
      </c>
      <c r="J13" s="16">
        <v>0</v>
      </c>
      <c r="K13" s="16">
        <v>0</v>
      </c>
      <c r="L13" s="16">
        <v>0</v>
      </c>
      <c r="M13" s="16">
        <v>0</v>
      </c>
      <c r="N13" s="16">
        <v>0</v>
      </c>
      <c r="O13" s="16">
        <v>0</v>
      </c>
      <c r="P13" s="16">
        <v>0</v>
      </c>
      <c r="Q13" s="16">
        <v>0</v>
      </c>
      <c r="R13" s="16">
        <v>0</v>
      </c>
      <c r="S13" s="16">
        <v>0</v>
      </c>
      <c r="T13" s="16">
        <v>0</v>
      </c>
    </row>
    <row r="14" spans="1:20" hidden="1" outlineLevel="1" x14ac:dyDescent="0.25">
      <c r="B14" t="s">
        <v>33</v>
      </c>
      <c r="C14" s="16">
        <v>75</v>
      </c>
      <c r="D14" s="16">
        <v>8</v>
      </c>
      <c r="E14" s="16">
        <v>65</v>
      </c>
      <c r="F14" s="16">
        <v>5</v>
      </c>
      <c r="G14" s="16">
        <v>77.099999999999994</v>
      </c>
      <c r="H14" s="16">
        <v>12</v>
      </c>
      <c r="I14" s="16">
        <v>91.7</v>
      </c>
      <c r="J14" s="16">
        <v>9</v>
      </c>
      <c r="K14" s="16">
        <v>81.3</v>
      </c>
      <c r="L14" s="16">
        <v>12</v>
      </c>
      <c r="M14" s="16">
        <v>78.099999999999994</v>
      </c>
      <c r="N14" s="16">
        <v>8</v>
      </c>
      <c r="O14" s="16">
        <v>68.8</v>
      </c>
      <c r="P14" s="16">
        <v>4</v>
      </c>
      <c r="Q14" s="16">
        <v>73.099999999999994</v>
      </c>
      <c r="R14" s="16">
        <v>13</v>
      </c>
      <c r="S14" s="16">
        <v>69.400000000000006</v>
      </c>
      <c r="T14" s="16">
        <v>9</v>
      </c>
    </row>
    <row r="15" spans="1:20" hidden="1" outlineLevel="1" x14ac:dyDescent="0.25">
      <c r="B15" t="s">
        <v>18</v>
      </c>
      <c r="C15" s="16">
        <v>87.5</v>
      </c>
      <c r="D15" s="16">
        <v>8</v>
      </c>
      <c r="E15" s="16">
        <v>63.9</v>
      </c>
      <c r="F15" s="16">
        <v>9</v>
      </c>
      <c r="G15" s="16">
        <v>76.900000000000006</v>
      </c>
      <c r="H15" s="16">
        <v>13</v>
      </c>
      <c r="I15" s="16">
        <v>95</v>
      </c>
      <c r="J15" s="16">
        <v>10</v>
      </c>
      <c r="K15" s="16">
        <v>96.9</v>
      </c>
      <c r="L15" s="16">
        <v>8</v>
      </c>
      <c r="M15" s="16">
        <v>89.3</v>
      </c>
      <c r="N15" s="16">
        <v>14</v>
      </c>
      <c r="O15" s="16">
        <v>100</v>
      </c>
      <c r="P15" s="16">
        <v>11</v>
      </c>
      <c r="Q15" s="16">
        <v>92.9</v>
      </c>
      <c r="R15" s="16">
        <v>7</v>
      </c>
      <c r="S15" s="16">
        <v>83.9</v>
      </c>
      <c r="T15" s="16">
        <v>14</v>
      </c>
    </row>
    <row r="16" spans="1:20" hidden="1" outlineLevel="1" x14ac:dyDescent="0.25">
      <c r="B16" t="s">
        <v>16</v>
      </c>
      <c r="C16" s="16">
        <v>81.3</v>
      </c>
      <c r="D16" s="16">
        <v>4</v>
      </c>
      <c r="E16" s="16">
        <v>81.3</v>
      </c>
      <c r="F16" s="16">
        <v>4</v>
      </c>
      <c r="G16" s="16">
        <v>80</v>
      </c>
      <c r="H16" s="16">
        <v>5</v>
      </c>
      <c r="I16" s="16">
        <v>93.8</v>
      </c>
      <c r="J16" s="16">
        <v>4</v>
      </c>
      <c r="K16" s="16">
        <v>37.5</v>
      </c>
      <c r="L16" s="16">
        <v>2</v>
      </c>
      <c r="M16" s="16">
        <v>80</v>
      </c>
      <c r="N16" s="16">
        <v>5</v>
      </c>
      <c r="O16" s="16">
        <v>100</v>
      </c>
      <c r="P16" s="16">
        <v>2</v>
      </c>
      <c r="Q16" s="16">
        <v>91.7</v>
      </c>
      <c r="R16" s="16">
        <v>3</v>
      </c>
      <c r="S16" s="16">
        <v>75</v>
      </c>
      <c r="T16" s="16">
        <v>7</v>
      </c>
    </row>
    <row r="17" spans="2:20" hidden="1" outlineLevel="1" x14ac:dyDescent="0.25">
      <c r="B17" t="s">
        <v>24</v>
      </c>
      <c r="C17" s="16">
        <v>79.599999999999994</v>
      </c>
      <c r="D17" s="16">
        <v>11</v>
      </c>
      <c r="E17" s="16">
        <v>86.1</v>
      </c>
      <c r="F17" s="16">
        <v>9</v>
      </c>
      <c r="G17" s="16">
        <v>76.400000000000006</v>
      </c>
      <c r="H17" s="16">
        <v>18</v>
      </c>
      <c r="I17" s="16">
        <v>81.3</v>
      </c>
      <c r="J17" s="16">
        <v>16</v>
      </c>
      <c r="K17" s="16">
        <v>83.3</v>
      </c>
      <c r="L17" s="16">
        <v>12</v>
      </c>
      <c r="M17" s="16">
        <v>92.5</v>
      </c>
      <c r="N17" s="16">
        <v>10</v>
      </c>
      <c r="O17" s="16">
        <v>90.6</v>
      </c>
      <c r="P17" s="16">
        <v>8</v>
      </c>
      <c r="Q17" s="16">
        <v>97.2</v>
      </c>
      <c r="R17" s="16">
        <v>9</v>
      </c>
      <c r="S17" s="16">
        <v>92.9</v>
      </c>
      <c r="T17" s="16">
        <v>7</v>
      </c>
    </row>
    <row r="18" spans="2:20" hidden="1" outlineLevel="1" x14ac:dyDescent="0.25">
      <c r="B18" t="s">
        <v>32</v>
      </c>
      <c r="C18" s="16">
        <v>71.900000000000006</v>
      </c>
      <c r="D18" s="16">
        <v>8</v>
      </c>
      <c r="E18" s="16">
        <v>100</v>
      </c>
      <c r="F18" s="16">
        <v>3</v>
      </c>
      <c r="G18" s="16">
        <v>59.4</v>
      </c>
      <c r="H18" s="16">
        <v>8</v>
      </c>
      <c r="I18" s="16">
        <v>75</v>
      </c>
      <c r="J18" s="16">
        <v>8</v>
      </c>
      <c r="K18" s="16">
        <v>66.7</v>
      </c>
      <c r="L18" s="16">
        <v>3</v>
      </c>
      <c r="M18" s="16">
        <v>89.3</v>
      </c>
      <c r="N18" s="16">
        <v>7</v>
      </c>
      <c r="O18" s="16">
        <v>83.3</v>
      </c>
      <c r="P18" s="16">
        <v>6</v>
      </c>
      <c r="Q18" s="16">
        <v>100</v>
      </c>
      <c r="R18" s="16">
        <v>7</v>
      </c>
      <c r="S18" s="16">
        <v>71.900000000000006</v>
      </c>
      <c r="T18" s="16">
        <v>8</v>
      </c>
    </row>
    <row r="19" spans="2:20" hidden="1" outlineLevel="1" x14ac:dyDescent="0.25">
      <c r="B19" t="s">
        <v>35</v>
      </c>
      <c r="C19" s="16">
        <v>50</v>
      </c>
      <c r="D19" s="16">
        <v>1</v>
      </c>
      <c r="E19" s="16">
        <v>0</v>
      </c>
      <c r="F19" s="16">
        <v>0</v>
      </c>
      <c r="G19" s="16">
        <v>68.8</v>
      </c>
      <c r="H19" s="16">
        <v>4</v>
      </c>
      <c r="I19" s="16">
        <v>50</v>
      </c>
      <c r="J19" s="16">
        <v>1</v>
      </c>
      <c r="K19" s="16">
        <v>50</v>
      </c>
      <c r="L19" s="16">
        <v>2</v>
      </c>
      <c r="M19" s="16">
        <v>89.3</v>
      </c>
      <c r="N19" s="16">
        <v>7</v>
      </c>
      <c r="O19" s="16">
        <v>71.400000000000006</v>
      </c>
      <c r="P19" s="16">
        <v>7</v>
      </c>
      <c r="Q19" s="16">
        <v>100</v>
      </c>
      <c r="R19" s="16">
        <v>3</v>
      </c>
      <c r="S19" s="16">
        <v>100</v>
      </c>
      <c r="T19" s="16">
        <v>1</v>
      </c>
    </row>
    <row r="20" spans="2:20" hidden="1" outlineLevel="1" x14ac:dyDescent="0.25">
      <c r="B20" t="s">
        <v>36</v>
      </c>
      <c r="C20" s="16">
        <v>67.900000000000006</v>
      </c>
      <c r="D20" s="16">
        <v>7</v>
      </c>
      <c r="E20" s="16">
        <v>93.8</v>
      </c>
      <c r="F20" s="16">
        <v>4</v>
      </c>
      <c r="G20" s="16">
        <v>86.1</v>
      </c>
      <c r="H20" s="16">
        <v>9</v>
      </c>
      <c r="I20" s="16">
        <v>61.1</v>
      </c>
      <c r="J20" s="16">
        <v>9</v>
      </c>
      <c r="K20" s="16">
        <v>66.7</v>
      </c>
      <c r="L20" s="16">
        <v>6</v>
      </c>
      <c r="M20" s="16">
        <v>83.3</v>
      </c>
      <c r="N20" s="16">
        <v>3</v>
      </c>
      <c r="O20" s="16">
        <v>85.4</v>
      </c>
      <c r="P20" s="16">
        <v>12</v>
      </c>
      <c r="Q20" s="16">
        <v>100</v>
      </c>
      <c r="R20" s="16">
        <v>2</v>
      </c>
      <c r="S20" s="16">
        <v>89.3</v>
      </c>
      <c r="T20" s="16">
        <v>14</v>
      </c>
    </row>
    <row r="21" spans="2:20" hidden="1" outlineLevel="1" x14ac:dyDescent="0.25">
      <c r="B21" t="s">
        <v>23</v>
      </c>
      <c r="C21" s="16">
        <v>84.1</v>
      </c>
      <c r="D21" s="16">
        <v>11</v>
      </c>
      <c r="E21" s="16">
        <v>100</v>
      </c>
      <c r="F21" s="16">
        <v>4</v>
      </c>
      <c r="G21" s="16">
        <v>60</v>
      </c>
      <c r="H21" s="16">
        <v>10</v>
      </c>
      <c r="I21" s="16">
        <v>70.8</v>
      </c>
      <c r="J21" s="16">
        <v>6</v>
      </c>
      <c r="K21" s="16">
        <v>75</v>
      </c>
      <c r="L21" s="16">
        <v>11</v>
      </c>
      <c r="M21" s="16">
        <v>85</v>
      </c>
      <c r="N21" s="16">
        <v>5</v>
      </c>
      <c r="O21" s="16">
        <v>83.3</v>
      </c>
      <c r="P21" s="16">
        <v>9</v>
      </c>
      <c r="Q21" s="16">
        <v>81.3</v>
      </c>
      <c r="R21" s="16">
        <v>8</v>
      </c>
      <c r="S21" s="16">
        <v>72.5</v>
      </c>
      <c r="T21" s="16">
        <v>10</v>
      </c>
    </row>
    <row r="22" spans="2:20" hidden="1" outlineLevel="1" x14ac:dyDescent="0.25">
      <c r="B22" t="s">
        <v>6</v>
      </c>
      <c r="C22" s="16">
        <v>100</v>
      </c>
      <c r="D22" s="16">
        <v>1</v>
      </c>
      <c r="E22" s="16">
        <v>0</v>
      </c>
      <c r="F22" s="16">
        <v>0</v>
      </c>
      <c r="G22" s="16">
        <v>83.3</v>
      </c>
      <c r="H22" s="16">
        <v>3</v>
      </c>
      <c r="I22" s="16">
        <v>80</v>
      </c>
      <c r="J22" s="16">
        <v>5</v>
      </c>
      <c r="K22" s="16">
        <v>0</v>
      </c>
      <c r="L22" s="16">
        <v>0</v>
      </c>
      <c r="M22" s="16">
        <v>80</v>
      </c>
      <c r="N22" s="16">
        <v>5</v>
      </c>
      <c r="O22" s="16">
        <v>0</v>
      </c>
      <c r="P22" s="16">
        <v>0</v>
      </c>
      <c r="Q22" s="16">
        <v>91.7</v>
      </c>
      <c r="R22" s="16">
        <v>3</v>
      </c>
      <c r="S22" s="16">
        <v>62.5</v>
      </c>
      <c r="T22" s="16">
        <v>2</v>
      </c>
    </row>
    <row r="23" spans="2:20" hidden="1" outlineLevel="1" x14ac:dyDescent="0.25">
      <c r="B23" t="s">
        <v>39</v>
      </c>
      <c r="C23" s="16">
        <v>47.7</v>
      </c>
      <c r="D23" s="16">
        <v>11</v>
      </c>
      <c r="E23" s="16">
        <v>70</v>
      </c>
      <c r="F23" s="16">
        <v>10</v>
      </c>
      <c r="G23" s="16">
        <v>62.5</v>
      </c>
      <c r="H23" s="16">
        <v>8</v>
      </c>
      <c r="I23" s="16">
        <v>65.599999999999994</v>
      </c>
      <c r="J23" s="16">
        <v>8</v>
      </c>
      <c r="K23" s="16">
        <v>84.4</v>
      </c>
      <c r="L23" s="16">
        <v>8</v>
      </c>
      <c r="M23" s="16">
        <v>78.599999999999994</v>
      </c>
      <c r="N23" s="16">
        <v>7</v>
      </c>
      <c r="O23" s="16">
        <v>79.2</v>
      </c>
      <c r="P23" s="16">
        <v>6</v>
      </c>
      <c r="Q23" s="16">
        <v>84.4</v>
      </c>
      <c r="R23" s="16">
        <v>8</v>
      </c>
      <c r="S23" s="16">
        <v>89.3</v>
      </c>
      <c r="T23" s="16">
        <v>7</v>
      </c>
    </row>
    <row r="24" spans="2:20" hidden="1" outlineLevel="1" x14ac:dyDescent="0.25">
      <c r="B24" t="s">
        <v>28</v>
      </c>
      <c r="C24" s="16">
        <v>70.8</v>
      </c>
      <c r="D24" s="16">
        <v>6</v>
      </c>
      <c r="E24" s="16">
        <v>30</v>
      </c>
      <c r="F24" s="16">
        <v>5</v>
      </c>
      <c r="G24" s="16">
        <v>65</v>
      </c>
      <c r="H24" s="16">
        <v>10</v>
      </c>
      <c r="I24" s="16">
        <v>82.5</v>
      </c>
      <c r="J24" s="16">
        <v>10</v>
      </c>
      <c r="K24" s="16">
        <v>66.7</v>
      </c>
      <c r="L24" s="16">
        <v>6</v>
      </c>
      <c r="M24" s="16">
        <v>50</v>
      </c>
      <c r="N24" s="16">
        <v>5</v>
      </c>
      <c r="O24" s="16">
        <v>58.3</v>
      </c>
      <c r="P24" s="16">
        <v>6</v>
      </c>
      <c r="Q24" s="16">
        <v>64.3</v>
      </c>
      <c r="R24" s="16">
        <v>7</v>
      </c>
      <c r="S24" s="16">
        <v>60.7</v>
      </c>
      <c r="T24" s="16">
        <v>7</v>
      </c>
    </row>
    <row r="25" spans="2:20" hidden="1" outlineLevel="1" x14ac:dyDescent="0.25">
      <c r="B25" t="s">
        <v>40</v>
      </c>
      <c r="C25" s="16">
        <v>53.1</v>
      </c>
      <c r="D25" s="16">
        <v>8</v>
      </c>
      <c r="E25" s="16">
        <v>62.5</v>
      </c>
      <c r="F25" s="16">
        <v>2</v>
      </c>
      <c r="G25" s="16">
        <v>85</v>
      </c>
      <c r="H25" s="16">
        <v>5</v>
      </c>
      <c r="I25" s="16">
        <v>41.7</v>
      </c>
      <c r="J25" s="16">
        <v>3</v>
      </c>
      <c r="K25" s="16">
        <v>87.5</v>
      </c>
      <c r="L25" s="16">
        <v>4</v>
      </c>
      <c r="M25" s="16">
        <v>81.3</v>
      </c>
      <c r="N25" s="16">
        <v>12</v>
      </c>
      <c r="O25" s="16">
        <v>90</v>
      </c>
      <c r="P25" s="16">
        <v>10</v>
      </c>
      <c r="Q25" s="16">
        <v>78.099999999999994</v>
      </c>
      <c r="R25" s="16">
        <v>8</v>
      </c>
      <c r="S25" s="16">
        <v>100</v>
      </c>
      <c r="T25" s="16">
        <v>3</v>
      </c>
    </row>
    <row r="26" spans="2:20" hidden="1" outlineLevel="1" x14ac:dyDescent="0.25">
      <c r="B26" t="s">
        <v>22</v>
      </c>
      <c r="C26" s="16">
        <v>77.8</v>
      </c>
      <c r="D26" s="16">
        <v>9</v>
      </c>
      <c r="E26" s="16">
        <v>91.7</v>
      </c>
      <c r="F26" s="16">
        <v>3</v>
      </c>
      <c r="G26" s="16">
        <v>79.2</v>
      </c>
      <c r="H26" s="16">
        <v>12</v>
      </c>
      <c r="I26" s="16">
        <v>67.900000000000006</v>
      </c>
      <c r="J26" s="16">
        <v>7</v>
      </c>
      <c r="K26" s="16">
        <v>87.5</v>
      </c>
      <c r="L26" s="16">
        <v>2</v>
      </c>
      <c r="M26" s="16">
        <v>75</v>
      </c>
      <c r="N26" s="16">
        <v>9</v>
      </c>
      <c r="O26" s="16">
        <v>66.7</v>
      </c>
      <c r="P26" s="16">
        <v>6</v>
      </c>
      <c r="Q26" s="16">
        <v>75</v>
      </c>
      <c r="R26" s="16">
        <v>13</v>
      </c>
      <c r="S26" s="16">
        <v>78.599999999999994</v>
      </c>
      <c r="T26" s="16">
        <v>7</v>
      </c>
    </row>
    <row r="27" spans="2:20" hidden="1" outlineLevel="1" x14ac:dyDescent="0.25">
      <c r="B27" t="s">
        <v>31</v>
      </c>
      <c r="C27" s="16">
        <v>81.3</v>
      </c>
      <c r="D27" s="16">
        <v>4</v>
      </c>
      <c r="E27" s="16">
        <v>54.2</v>
      </c>
      <c r="F27" s="16">
        <v>6</v>
      </c>
      <c r="G27" s="16">
        <v>96.4</v>
      </c>
      <c r="H27" s="16">
        <v>7</v>
      </c>
      <c r="I27" s="16">
        <v>86.5</v>
      </c>
      <c r="J27" s="16">
        <v>13</v>
      </c>
      <c r="K27" s="16">
        <v>58.3</v>
      </c>
      <c r="L27" s="16">
        <v>9</v>
      </c>
      <c r="M27" s="16">
        <v>72.2</v>
      </c>
      <c r="N27" s="16">
        <v>9</v>
      </c>
      <c r="O27" s="16">
        <v>64.3</v>
      </c>
      <c r="P27" s="16">
        <v>7</v>
      </c>
      <c r="Q27" s="16">
        <v>81.3</v>
      </c>
      <c r="R27" s="16">
        <v>8</v>
      </c>
      <c r="S27" s="16">
        <v>71.2</v>
      </c>
      <c r="T27" s="16">
        <v>13</v>
      </c>
    </row>
    <row r="28" spans="2:20" hidden="1" outlineLevel="1" x14ac:dyDescent="0.25">
      <c r="B28" t="s">
        <v>27</v>
      </c>
      <c r="C28" s="16">
        <v>85</v>
      </c>
      <c r="D28" s="16">
        <v>5</v>
      </c>
      <c r="E28" s="16">
        <v>100</v>
      </c>
      <c r="F28" s="16">
        <v>6</v>
      </c>
      <c r="G28" s="16">
        <v>70.8</v>
      </c>
      <c r="H28" s="16">
        <v>6</v>
      </c>
      <c r="I28" s="16">
        <v>90</v>
      </c>
      <c r="J28" s="16">
        <v>10</v>
      </c>
      <c r="K28" s="16">
        <v>84.4</v>
      </c>
      <c r="L28" s="16">
        <v>8</v>
      </c>
      <c r="M28" s="16">
        <v>70</v>
      </c>
      <c r="N28" s="16">
        <v>5</v>
      </c>
      <c r="O28" s="16">
        <v>87.5</v>
      </c>
      <c r="P28" s="16">
        <v>8</v>
      </c>
      <c r="Q28" s="16">
        <v>86.7</v>
      </c>
      <c r="R28" s="16">
        <v>15</v>
      </c>
      <c r="S28" s="16">
        <v>80</v>
      </c>
      <c r="T28" s="16">
        <v>5</v>
      </c>
    </row>
    <row r="29" spans="2:20" hidden="1" outlineLevel="1" x14ac:dyDescent="0.25">
      <c r="B29" t="s">
        <v>19</v>
      </c>
      <c r="C29" s="16">
        <v>75</v>
      </c>
      <c r="D29" s="16">
        <v>4</v>
      </c>
      <c r="E29" s="16">
        <v>75</v>
      </c>
      <c r="F29" s="16">
        <v>4</v>
      </c>
      <c r="G29" s="16">
        <v>100</v>
      </c>
      <c r="H29" s="16">
        <v>3</v>
      </c>
      <c r="I29" s="16">
        <v>81.3</v>
      </c>
      <c r="J29" s="16">
        <v>8</v>
      </c>
      <c r="K29" s="16">
        <v>25</v>
      </c>
      <c r="L29" s="16">
        <v>3</v>
      </c>
      <c r="M29" s="16">
        <v>82.1</v>
      </c>
      <c r="N29" s="16">
        <v>7</v>
      </c>
      <c r="O29" s="16">
        <v>66.7</v>
      </c>
      <c r="P29" s="16">
        <v>9</v>
      </c>
      <c r="Q29" s="16">
        <v>79.2</v>
      </c>
      <c r="R29" s="16">
        <v>6</v>
      </c>
      <c r="S29" s="16">
        <v>78.099999999999994</v>
      </c>
      <c r="T29" s="16">
        <v>8</v>
      </c>
    </row>
    <row r="30" spans="2:20" hidden="1" outlineLevel="1" x14ac:dyDescent="0.25">
      <c r="B30" t="s">
        <v>226</v>
      </c>
      <c r="C30" s="16">
        <v>0</v>
      </c>
      <c r="D30" s="16">
        <v>0</v>
      </c>
      <c r="E30" s="16">
        <v>0</v>
      </c>
      <c r="F30" s="16">
        <v>0</v>
      </c>
      <c r="G30" s="16">
        <v>0</v>
      </c>
      <c r="H30" s="16">
        <v>0</v>
      </c>
      <c r="I30" s="16">
        <v>62.5</v>
      </c>
      <c r="J30" s="16">
        <v>10</v>
      </c>
      <c r="K30" s="16">
        <v>86.4</v>
      </c>
      <c r="L30" s="16">
        <v>11</v>
      </c>
      <c r="M30" s="16">
        <v>76.900000000000006</v>
      </c>
      <c r="N30" s="16">
        <v>13</v>
      </c>
      <c r="O30" s="16">
        <v>77.099999999999994</v>
      </c>
      <c r="P30" s="16">
        <v>12</v>
      </c>
      <c r="Q30" s="16">
        <v>83.3</v>
      </c>
      <c r="R30" s="16">
        <v>6</v>
      </c>
      <c r="S30" s="16">
        <v>100</v>
      </c>
      <c r="T30" s="16">
        <v>8</v>
      </c>
    </row>
    <row r="31" spans="2:20" hidden="1" outlineLevel="1" x14ac:dyDescent="0.25">
      <c r="B31" t="s">
        <v>227</v>
      </c>
      <c r="C31" s="16">
        <v>0</v>
      </c>
      <c r="D31" s="16">
        <v>0</v>
      </c>
      <c r="E31" s="16">
        <v>0</v>
      </c>
      <c r="F31" s="16">
        <v>0</v>
      </c>
      <c r="G31" s="16">
        <v>0</v>
      </c>
      <c r="H31" s="16">
        <v>0</v>
      </c>
      <c r="I31" s="16">
        <v>75</v>
      </c>
      <c r="J31" s="16">
        <v>1</v>
      </c>
      <c r="K31" s="16">
        <v>0</v>
      </c>
      <c r="L31" s="16">
        <v>0</v>
      </c>
      <c r="M31" s="16">
        <v>0</v>
      </c>
      <c r="N31" s="16">
        <v>0</v>
      </c>
      <c r="O31" s="16">
        <v>0</v>
      </c>
      <c r="P31" s="16">
        <v>0</v>
      </c>
      <c r="Q31" s="16">
        <v>0</v>
      </c>
      <c r="R31" s="16">
        <v>0</v>
      </c>
      <c r="S31" s="16">
        <v>0</v>
      </c>
      <c r="T31" s="16">
        <v>0</v>
      </c>
    </row>
    <row r="32" spans="2:20" hidden="1" outlineLevel="1" x14ac:dyDescent="0.25">
      <c r="B32" t="s">
        <v>34</v>
      </c>
      <c r="C32" s="16">
        <v>75</v>
      </c>
      <c r="D32" s="16">
        <v>1</v>
      </c>
      <c r="E32" s="16">
        <v>93.8</v>
      </c>
      <c r="F32" s="16">
        <v>4</v>
      </c>
      <c r="G32" s="16">
        <v>72.900000000000006</v>
      </c>
      <c r="H32" s="16">
        <v>12</v>
      </c>
      <c r="I32" s="16">
        <v>90.6</v>
      </c>
      <c r="J32" s="16">
        <v>8</v>
      </c>
      <c r="K32" s="16">
        <v>87.5</v>
      </c>
      <c r="L32" s="16">
        <v>2</v>
      </c>
      <c r="M32" s="16">
        <v>75</v>
      </c>
      <c r="N32" s="16">
        <v>5</v>
      </c>
      <c r="O32" s="16">
        <v>84.4</v>
      </c>
      <c r="P32" s="16">
        <v>8</v>
      </c>
      <c r="Q32" s="16">
        <v>87.5</v>
      </c>
      <c r="R32" s="16">
        <v>12</v>
      </c>
      <c r="S32" s="16">
        <v>91.7</v>
      </c>
      <c r="T32" s="16">
        <v>3</v>
      </c>
    </row>
    <row r="33" spans="1:20" hidden="1" outlineLevel="1" x14ac:dyDescent="0.25">
      <c r="B33" t="s">
        <v>41</v>
      </c>
      <c r="C33" s="16">
        <v>58.3</v>
      </c>
      <c r="D33" s="16">
        <v>3</v>
      </c>
      <c r="E33" s="16">
        <v>80</v>
      </c>
      <c r="F33" s="16">
        <v>5</v>
      </c>
      <c r="G33" s="16">
        <v>84.4</v>
      </c>
      <c r="H33" s="16">
        <v>8</v>
      </c>
      <c r="I33" s="16">
        <v>95.8</v>
      </c>
      <c r="J33" s="16">
        <v>6</v>
      </c>
      <c r="K33" s="16">
        <v>66.7</v>
      </c>
      <c r="L33" s="16">
        <v>6</v>
      </c>
      <c r="M33" s="16">
        <v>100</v>
      </c>
      <c r="N33" s="16">
        <v>4</v>
      </c>
      <c r="O33" s="16">
        <v>82.1</v>
      </c>
      <c r="P33" s="16">
        <v>7</v>
      </c>
      <c r="Q33" s="16">
        <v>81.3</v>
      </c>
      <c r="R33" s="16">
        <v>4</v>
      </c>
      <c r="S33" s="16">
        <v>83.3</v>
      </c>
      <c r="T33" s="16">
        <v>6</v>
      </c>
    </row>
    <row r="34" spans="1:20" hidden="1" outlineLevel="1" x14ac:dyDescent="0.25">
      <c r="B34" t="s">
        <v>13</v>
      </c>
      <c r="C34" s="16">
        <v>100</v>
      </c>
      <c r="D34" s="16">
        <v>6</v>
      </c>
      <c r="E34" s="16">
        <v>78.099999999999994</v>
      </c>
      <c r="F34" s="16">
        <v>16</v>
      </c>
      <c r="G34" s="16">
        <v>93.8</v>
      </c>
      <c r="H34" s="16">
        <v>12</v>
      </c>
      <c r="I34" s="16">
        <v>82.8</v>
      </c>
      <c r="J34" s="16">
        <v>16</v>
      </c>
      <c r="K34" s="16">
        <v>100</v>
      </c>
      <c r="L34" s="16">
        <v>4</v>
      </c>
      <c r="M34" s="16">
        <v>66.2</v>
      </c>
      <c r="N34" s="16">
        <v>17</v>
      </c>
      <c r="O34" s="16">
        <v>92.5</v>
      </c>
      <c r="P34" s="16">
        <v>10</v>
      </c>
      <c r="Q34" s="16">
        <v>85.7</v>
      </c>
      <c r="R34" s="16">
        <v>14</v>
      </c>
      <c r="S34" s="16">
        <v>75</v>
      </c>
      <c r="T34" s="16">
        <v>17</v>
      </c>
    </row>
    <row r="35" spans="1:20" hidden="1" outlineLevel="1" x14ac:dyDescent="0.25">
      <c r="B35" t="s">
        <v>25</v>
      </c>
      <c r="C35" s="16">
        <v>79.2</v>
      </c>
      <c r="D35" s="16">
        <v>6</v>
      </c>
      <c r="E35" s="16">
        <v>78.099999999999994</v>
      </c>
      <c r="F35" s="16">
        <v>8</v>
      </c>
      <c r="G35" s="16">
        <v>80</v>
      </c>
      <c r="H35" s="16">
        <v>10</v>
      </c>
      <c r="I35" s="16">
        <v>80</v>
      </c>
      <c r="J35" s="16">
        <v>5</v>
      </c>
      <c r="K35" s="16">
        <v>71.400000000000006</v>
      </c>
      <c r="L35" s="16">
        <v>7</v>
      </c>
      <c r="M35" s="16">
        <v>66.7</v>
      </c>
      <c r="N35" s="16">
        <v>3</v>
      </c>
      <c r="O35" s="16">
        <v>100</v>
      </c>
      <c r="P35" s="16">
        <v>1</v>
      </c>
      <c r="Q35" s="16">
        <v>66.7</v>
      </c>
      <c r="R35" s="16">
        <v>3</v>
      </c>
      <c r="S35" s="16">
        <v>57.1</v>
      </c>
      <c r="T35" s="16">
        <v>7</v>
      </c>
    </row>
    <row r="36" spans="1:20" hidden="1" outlineLevel="1" x14ac:dyDescent="0.25">
      <c r="B36" t="s">
        <v>43</v>
      </c>
      <c r="C36" s="16">
        <v>11.1</v>
      </c>
      <c r="D36" s="16">
        <v>9</v>
      </c>
      <c r="E36" s="16">
        <v>66.7</v>
      </c>
      <c r="F36" s="16">
        <v>9</v>
      </c>
      <c r="G36" s="16">
        <v>61.8</v>
      </c>
      <c r="H36" s="16">
        <v>19</v>
      </c>
      <c r="I36" s="16">
        <v>65</v>
      </c>
      <c r="J36" s="16">
        <v>5</v>
      </c>
      <c r="K36" s="16">
        <v>85</v>
      </c>
      <c r="L36" s="16">
        <v>5</v>
      </c>
      <c r="M36" s="16">
        <v>68.8</v>
      </c>
      <c r="N36" s="16">
        <v>4</v>
      </c>
      <c r="O36" s="16">
        <v>100</v>
      </c>
      <c r="P36" s="16">
        <v>4</v>
      </c>
      <c r="Q36" s="16">
        <v>100</v>
      </c>
      <c r="R36" s="16">
        <v>1</v>
      </c>
      <c r="S36" s="16">
        <v>50</v>
      </c>
      <c r="T36" s="16">
        <v>11</v>
      </c>
    </row>
    <row r="37" spans="1:20" hidden="1" outlineLevel="1" x14ac:dyDescent="0.25">
      <c r="B37" t="s">
        <v>29</v>
      </c>
      <c r="C37" s="16">
        <v>83.3</v>
      </c>
      <c r="D37" s="16">
        <v>6</v>
      </c>
      <c r="E37" s="16">
        <v>71.400000000000006</v>
      </c>
      <c r="F37" s="16">
        <v>7</v>
      </c>
      <c r="G37" s="16">
        <v>70.8</v>
      </c>
      <c r="H37" s="16">
        <v>6</v>
      </c>
      <c r="I37" s="16">
        <v>82.1</v>
      </c>
      <c r="J37" s="16">
        <v>7</v>
      </c>
      <c r="K37" s="16">
        <v>100</v>
      </c>
      <c r="L37" s="16">
        <v>2</v>
      </c>
      <c r="M37" s="16">
        <v>81.3</v>
      </c>
      <c r="N37" s="16">
        <v>4</v>
      </c>
      <c r="O37" s="16">
        <v>75</v>
      </c>
      <c r="P37" s="16">
        <v>1</v>
      </c>
      <c r="Q37" s="16">
        <v>87.5</v>
      </c>
      <c r="R37" s="16">
        <v>6</v>
      </c>
      <c r="S37" s="16">
        <v>100</v>
      </c>
      <c r="T37" s="16">
        <v>4</v>
      </c>
    </row>
    <row r="38" spans="1:20" hidden="1" outlineLevel="1" x14ac:dyDescent="0.25">
      <c r="B38" t="s">
        <v>20</v>
      </c>
      <c r="C38" s="16">
        <v>80</v>
      </c>
      <c r="D38" s="16">
        <v>5</v>
      </c>
      <c r="E38" s="16">
        <v>75</v>
      </c>
      <c r="F38" s="16">
        <v>6</v>
      </c>
      <c r="G38" s="16">
        <v>73.5</v>
      </c>
      <c r="H38" s="16">
        <v>17</v>
      </c>
      <c r="I38" s="16">
        <v>83.8</v>
      </c>
      <c r="J38" s="16">
        <v>17</v>
      </c>
      <c r="K38" s="16">
        <v>75</v>
      </c>
      <c r="L38" s="16">
        <v>3</v>
      </c>
      <c r="M38" s="16">
        <v>75</v>
      </c>
      <c r="N38" s="16">
        <v>6</v>
      </c>
      <c r="O38" s="16">
        <v>91.7</v>
      </c>
      <c r="P38" s="16">
        <v>6</v>
      </c>
      <c r="Q38" s="16">
        <v>94.4</v>
      </c>
      <c r="R38" s="16">
        <v>9</v>
      </c>
      <c r="S38" s="16">
        <v>85.7</v>
      </c>
      <c r="T38" s="16">
        <v>7</v>
      </c>
    </row>
    <row r="39" spans="1:20" hidden="1" outlineLevel="1" x14ac:dyDescent="0.25">
      <c r="B39" t="s">
        <v>37</v>
      </c>
      <c r="C39" s="16">
        <v>67.3</v>
      </c>
      <c r="D39" s="16">
        <v>13</v>
      </c>
      <c r="E39" s="16">
        <v>82.5</v>
      </c>
      <c r="F39" s="16">
        <v>10</v>
      </c>
      <c r="G39" s="16">
        <v>64.5</v>
      </c>
      <c r="H39" s="16">
        <v>19</v>
      </c>
      <c r="I39" s="16">
        <v>68.8</v>
      </c>
      <c r="J39" s="16">
        <v>16</v>
      </c>
      <c r="K39" s="16">
        <v>0</v>
      </c>
      <c r="L39" s="16">
        <v>0</v>
      </c>
      <c r="M39" s="16">
        <v>87.5</v>
      </c>
      <c r="N39" s="16">
        <v>6</v>
      </c>
      <c r="O39" s="16">
        <v>80</v>
      </c>
      <c r="P39" s="16">
        <v>15</v>
      </c>
      <c r="Q39" s="16">
        <v>100</v>
      </c>
      <c r="R39" s="16">
        <v>1</v>
      </c>
      <c r="S39" s="16">
        <v>75</v>
      </c>
      <c r="T39" s="16">
        <v>6</v>
      </c>
    </row>
    <row r="40" spans="1:20" collapsed="1" x14ac:dyDescent="0.25">
      <c r="A40" t="s">
        <v>414</v>
      </c>
      <c r="C40" s="16">
        <v>2349.6</v>
      </c>
      <c r="D40" s="16">
        <v>200</v>
      </c>
      <c r="E40" s="16">
        <v>2333.5999999999995</v>
      </c>
      <c r="F40" s="16">
        <v>188</v>
      </c>
      <c r="G40" s="16">
        <v>2400.5000000000005</v>
      </c>
      <c r="H40" s="16">
        <v>304</v>
      </c>
      <c r="I40" s="16">
        <v>2617.5000000000005</v>
      </c>
      <c r="J40" s="16">
        <v>256</v>
      </c>
      <c r="K40" s="16">
        <v>2260.4000000000005</v>
      </c>
      <c r="L40" s="16">
        <v>172</v>
      </c>
      <c r="M40" s="16">
        <v>2549.1</v>
      </c>
      <c r="N40" s="16">
        <v>217</v>
      </c>
      <c r="O40" s="16">
        <v>2514.1</v>
      </c>
      <c r="P40" s="16">
        <v>235</v>
      </c>
      <c r="Q40" s="16">
        <v>2747.2000000000003</v>
      </c>
      <c r="R40" s="16">
        <v>232</v>
      </c>
      <c r="S40" s="16">
        <v>2583.5999999999995</v>
      </c>
      <c r="T40" s="16">
        <v>242</v>
      </c>
    </row>
    <row r="41" spans="1:20" hidden="1" outlineLevel="1" x14ac:dyDescent="0.25">
      <c r="A41" t="s">
        <v>9</v>
      </c>
      <c r="B41" t="s">
        <v>21</v>
      </c>
      <c r="C41" s="16">
        <v>89.3</v>
      </c>
      <c r="D41" s="16">
        <v>7</v>
      </c>
      <c r="E41" s="16">
        <v>81.3</v>
      </c>
      <c r="F41" s="16">
        <v>4</v>
      </c>
      <c r="G41" s="16">
        <v>87.5</v>
      </c>
      <c r="H41" s="16">
        <v>14</v>
      </c>
      <c r="I41" s="16">
        <v>100</v>
      </c>
      <c r="J41" s="16">
        <v>3</v>
      </c>
      <c r="K41" s="16">
        <v>100</v>
      </c>
      <c r="L41" s="16">
        <v>2</v>
      </c>
      <c r="M41" s="16">
        <v>90</v>
      </c>
      <c r="N41" s="16">
        <v>5</v>
      </c>
      <c r="O41" s="16">
        <v>88.9</v>
      </c>
      <c r="P41" s="16">
        <v>9</v>
      </c>
      <c r="Q41" s="16">
        <v>100</v>
      </c>
      <c r="R41" s="16">
        <v>6</v>
      </c>
      <c r="S41" s="16">
        <v>90</v>
      </c>
      <c r="T41" s="16">
        <v>5</v>
      </c>
    </row>
    <row r="42" spans="1:20" hidden="1" outlineLevel="1" x14ac:dyDescent="0.25">
      <c r="B42" t="s">
        <v>30</v>
      </c>
      <c r="C42" s="16">
        <v>82.1</v>
      </c>
      <c r="D42" s="16">
        <v>7</v>
      </c>
      <c r="E42" s="16">
        <v>92.5</v>
      </c>
      <c r="F42" s="16">
        <v>10</v>
      </c>
      <c r="G42" s="16">
        <v>83.3</v>
      </c>
      <c r="H42" s="16">
        <v>9</v>
      </c>
      <c r="I42" s="16">
        <v>100</v>
      </c>
      <c r="J42" s="16">
        <v>6</v>
      </c>
      <c r="K42" s="16">
        <v>31.3</v>
      </c>
      <c r="L42" s="16">
        <v>4</v>
      </c>
      <c r="M42" s="16">
        <v>85.7</v>
      </c>
      <c r="N42" s="16">
        <v>7</v>
      </c>
      <c r="O42" s="16">
        <v>100</v>
      </c>
      <c r="P42" s="16">
        <v>8</v>
      </c>
      <c r="Q42" s="16">
        <v>87.5</v>
      </c>
      <c r="R42" s="16">
        <v>6</v>
      </c>
      <c r="S42" s="16">
        <v>84.1</v>
      </c>
      <c r="T42" s="16">
        <v>11</v>
      </c>
    </row>
    <row r="43" spans="1:20" hidden="1" outlineLevel="1" x14ac:dyDescent="0.25">
      <c r="B43" t="s">
        <v>14</v>
      </c>
      <c r="C43" s="16">
        <v>92.9</v>
      </c>
      <c r="D43" s="16">
        <v>7</v>
      </c>
      <c r="E43" s="16">
        <v>91.7</v>
      </c>
      <c r="F43" s="16">
        <v>6</v>
      </c>
      <c r="G43" s="16">
        <v>81.3</v>
      </c>
      <c r="H43" s="16">
        <v>8</v>
      </c>
      <c r="I43" s="16">
        <v>96.4</v>
      </c>
      <c r="J43" s="16">
        <v>7</v>
      </c>
      <c r="K43" s="16">
        <v>68.8</v>
      </c>
      <c r="L43" s="16">
        <v>8</v>
      </c>
      <c r="M43" s="16">
        <v>95.8</v>
      </c>
      <c r="N43" s="16">
        <v>6</v>
      </c>
      <c r="O43" s="16">
        <v>87.5</v>
      </c>
      <c r="P43" s="16">
        <v>8</v>
      </c>
      <c r="Q43" s="16">
        <v>68.8</v>
      </c>
      <c r="R43" s="16">
        <v>8</v>
      </c>
      <c r="S43" s="16">
        <v>79.2</v>
      </c>
      <c r="T43" s="16">
        <v>6</v>
      </c>
    </row>
    <row r="44" spans="1:20" hidden="1" outlineLevel="1" x14ac:dyDescent="0.25">
      <c r="B44" t="s">
        <v>38</v>
      </c>
      <c r="C44" s="16">
        <v>68.8</v>
      </c>
      <c r="D44" s="16">
        <v>4</v>
      </c>
      <c r="E44" s="16">
        <v>85.7</v>
      </c>
      <c r="F44" s="16">
        <v>7</v>
      </c>
      <c r="G44" s="16">
        <v>81.8</v>
      </c>
      <c r="H44" s="16">
        <v>11</v>
      </c>
      <c r="I44" s="16">
        <v>75</v>
      </c>
      <c r="J44" s="16">
        <v>5</v>
      </c>
      <c r="K44" s="16">
        <v>88.9</v>
      </c>
      <c r="L44" s="16">
        <v>9</v>
      </c>
      <c r="M44" s="16">
        <v>62.5</v>
      </c>
      <c r="N44" s="16">
        <v>2</v>
      </c>
      <c r="O44" s="16">
        <v>75</v>
      </c>
      <c r="P44" s="16">
        <v>2</v>
      </c>
      <c r="Q44" s="16">
        <v>89.3</v>
      </c>
      <c r="R44" s="16">
        <v>7</v>
      </c>
      <c r="S44" s="16">
        <v>93.8</v>
      </c>
      <c r="T44" s="16">
        <v>8</v>
      </c>
    </row>
    <row r="45" spans="1:20" hidden="1" outlineLevel="1" x14ac:dyDescent="0.25">
      <c r="B45" t="s">
        <v>26</v>
      </c>
      <c r="C45" s="16">
        <v>85.7</v>
      </c>
      <c r="D45" s="16">
        <v>7</v>
      </c>
      <c r="E45" s="16">
        <v>83.3</v>
      </c>
      <c r="F45" s="16">
        <v>6</v>
      </c>
      <c r="G45" s="16">
        <v>81.3</v>
      </c>
      <c r="H45" s="16">
        <v>12</v>
      </c>
      <c r="I45" s="16">
        <v>88.9</v>
      </c>
      <c r="J45" s="16">
        <v>9</v>
      </c>
      <c r="K45" s="16">
        <v>100</v>
      </c>
      <c r="L45" s="16">
        <v>4</v>
      </c>
      <c r="M45" s="16">
        <v>83.3</v>
      </c>
      <c r="N45" s="16">
        <v>6</v>
      </c>
      <c r="O45" s="16">
        <v>62.5</v>
      </c>
      <c r="P45" s="16">
        <v>6</v>
      </c>
      <c r="Q45" s="16">
        <v>75</v>
      </c>
      <c r="R45" s="16">
        <v>7</v>
      </c>
      <c r="S45" s="16">
        <v>96.4</v>
      </c>
      <c r="T45" s="16">
        <v>7</v>
      </c>
    </row>
    <row r="46" spans="1:20" hidden="1" outlineLevel="1" x14ac:dyDescent="0.25">
      <c r="B46" t="s">
        <v>42</v>
      </c>
      <c r="C46" s="16">
        <v>56.3</v>
      </c>
      <c r="D46" s="16">
        <v>4</v>
      </c>
      <c r="E46" s="16">
        <v>45</v>
      </c>
      <c r="F46" s="16">
        <v>10</v>
      </c>
      <c r="G46" s="16">
        <v>70</v>
      </c>
      <c r="H46" s="16">
        <v>5</v>
      </c>
      <c r="I46" s="16">
        <v>75</v>
      </c>
      <c r="J46" s="16">
        <v>1</v>
      </c>
      <c r="K46" s="16">
        <v>75</v>
      </c>
      <c r="L46" s="16">
        <v>6</v>
      </c>
      <c r="M46" s="16">
        <v>68.8</v>
      </c>
      <c r="N46" s="16">
        <v>8</v>
      </c>
      <c r="O46" s="16">
        <v>60</v>
      </c>
      <c r="P46" s="16">
        <v>15</v>
      </c>
      <c r="Q46" s="16">
        <v>84.1</v>
      </c>
      <c r="R46" s="16">
        <v>11</v>
      </c>
      <c r="S46" s="16">
        <v>65.599999999999994</v>
      </c>
      <c r="T46" s="16">
        <v>8</v>
      </c>
    </row>
    <row r="47" spans="1:20" hidden="1" outlineLevel="1" x14ac:dyDescent="0.25">
      <c r="B47" t="s">
        <v>17</v>
      </c>
      <c r="C47" s="16">
        <v>87.5</v>
      </c>
      <c r="D47" s="16">
        <v>4</v>
      </c>
      <c r="E47" s="16">
        <v>83.3</v>
      </c>
      <c r="F47" s="16">
        <v>3</v>
      </c>
      <c r="G47" s="16">
        <v>96.9</v>
      </c>
      <c r="H47" s="16">
        <v>8</v>
      </c>
      <c r="I47" s="16">
        <v>90.6</v>
      </c>
      <c r="J47" s="16">
        <v>8</v>
      </c>
      <c r="K47" s="16">
        <v>83.3</v>
      </c>
      <c r="L47" s="16">
        <v>3</v>
      </c>
      <c r="M47" s="16">
        <v>91.7</v>
      </c>
      <c r="N47" s="16">
        <v>3</v>
      </c>
      <c r="O47" s="16">
        <v>70.8</v>
      </c>
      <c r="P47" s="16">
        <v>12</v>
      </c>
      <c r="Q47" s="16">
        <v>95.8</v>
      </c>
      <c r="R47" s="16">
        <v>12</v>
      </c>
      <c r="S47" s="16">
        <v>100</v>
      </c>
      <c r="T47" s="16">
        <v>6</v>
      </c>
    </row>
    <row r="48" spans="1:20" hidden="1" outlineLevel="1" x14ac:dyDescent="0.25">
      <c r="B48" t="s">
        <v>15</v>
      </c>
      <c r="C48" s="16">
        <v>95</v>
      </c>
      <c r="D48" s="16">
        <v>5</v>
      </c>
      <c r="E48" s="16">
        <v>75</v>
      </c>
      <c r="F48" s="16">
        <v>3</v>
      </c>
      <c r="G48" s="16">
        <v>0</v>
      </c>
      <c r="H48" s="16">
        <v>0</v>
      </c>
      <c r="I48" s="16">
        <v>0</v>
      </c>
      <c r="J48" s="16">
        <v>0</v>
      </c>
      <c r="K48" s="16">
        <v>0</v>
      </c>
      <c r="L48" s="16">
        <v>0</v>
      </c>
      <c r="M48" s="16">
        <v>0</v>
      </c>
      <c r="N48" s="16">
        <v>0</v>
      </c>
      <c r="O48" s="16">
        <v>0</v>
      </c>
      <c r="P48" s="16">
        <v>0</v>
      </c>
      <c r="Q48" s="16">
        <v>0</v>
      </c>
      <c r="R48" s="16">
        <v>0</v>
      </c>
      <c r="S48" s="16">
        <v>0</v>
      </c>
      <c r="T48" s="16">
        <v>0</v>
      </c>
    </row>
    <row r="49" spans="2:20" hidden="1" outlineLevel="1" x14ac:dyDescent="0.25">
      <c r="B49" t="s">
        <v>33</v>
      </c>
      <c r="C49" s="16">
        <v>75</v>
      </c>
      <c r="D49" s="16">
        <v>8</v>
      </c>
      <c r="E49" s="16">
        <v>70</v>
      </c>
      <c r="F49" s="16">
        <v>5</v>
      </c>
      <c r="G49" s="16">
        <v>79.2</v>
      </c>
      <c r="H49" s="16">
        <v>12</v>
      </c>
      <c r="I49" s="16">
        <v>91.7</v>
      </c>
      <c r="J49" s="16">
        <v>9</v>
      </c>
      <c r="K49" s="16">
        <v>81.3</v>
      </c>
      <c r="L49" s="16">
        <v>12</v>
      </c>
      <c r="M49" s="16">
        <v>84.4</v>
      </c>
      <c r="N49" s="16">
        <v>8</v>
      </c>
      <c r="O49" s="16">
        <v>75</v>
      </c>
      <c r="P49" s="16">
        <v>4</v>
      </c>
      <c r="Q49" s="16">
        <v>78.900000000000006</v>
      </c>
      <c r="R49" s="16">
        <v>13</v>
      </c>
      <c r="S49" s="16">
        <v>71.900000000000006</v>
      </c>
      <c r="T49" s="16">
        <v>8</v>
      </c>
    </row>
    <row r="50" spans="2:20" hidden="1" outlineLevel="1" x14ac:dyDescent="0.25">
      <c r="B50" t="s">
        <v>18</v>
      </c>
      <c r="C50" s="16">
        <v>90.6</v>
      </c>
      <c r="D50" s="16">
        <v>8</v>
      </c>
      <c r="E50" s="16">
        <v>63.9</v>
      </c>
      <c r="F50" s="16">
        <v>9</v>
      </c>
      <c r="G50" s="16">
        <v>76.900000000000006</v>
      </c>
      <c r="H50" s="16">
        <v>13</v>
      </c>
      <c r="I50" s="16">
        <v>95</v>
      </c>
      <c r="J50" s="16">
        <v>10</v>
      </c>
      <c r="K50" s="16">
        <v>100</v>
      </c>
      <c r="L50" s="16">
        <v>8</v>
      </c>
      <c r="M50" s="16">
        <v>92.9</v>
      </c>
      <c r="N50" s="16">
        <v>14</v>
      </c>
      <c r="O50" s="16">
        <v>97.5</v>
      </c>
      <c r="P50" s="16">
        <v>10</v>
      </c>
      <c r="Q50" s="16">
        <v>89.3</v>
      </c>
      <c r="R50" s="16">
        <v>7</v>
      </c>
      <c r="S50" s="16">
        <v>89.3</v>
      </c>
      <c r="T50" s="16">
        <v>14</v>
      </c>
    </row>
    <row r="51" spans="2:20" hidden="1" outlineLevel="1" x14ac:dyDescent="0.25">
      <c r="B51" t="s">
        <v>16</v>
      </c>
      <c r="C51" s="16">
        <v>87.5</v>
      </c>
      <c r="D51" s="16">
        <v>4</v>
      </c>
      <c r="E51" s="16">
        <v>100</v>
      </c>
      <c r="F51" s="16">
        <v>4</v>
      </c>
      <c r="G51" s="16">
        <v>90</v>
      </c>
      <c r="H51" s="16">
        <v>5</v>
      </c>
      <c r="I51" s="16">
        <v>93.8</v>
      </c>
      <c r="J51" s="16">
        <v>4</v>
      </c>
      <c r="K51" s="16">
        <v>37.5</v>
      </c>
      <c r="L51" s="16">
        <v>2</v>
      </c>
      <c r="M51" s="16">
        <v>80</v>
      </c>
      <c r="N51" s="16">
        <v>5</v>
      </c>
      <c r="O51" s="16">
        <v>100</v>
      </c>
      <c r="P51" s="16">
        <v>2</v>
      </c>
      <c r="Q51" s="16">
        <v>100</v>
      </c>
      <c r="R51" s="16">
        <v>3</v>
      </c>
      <c r="S51" s="16">
        <v>75</v>
      </c>
      <c r="T51" s="16">
        <v>7</v>
      </c>
    </row>
    <row r="52" spans="2:20" hidden="1" outlineLevel="1" x14ac:dyDescent="0.25">
      <c r="B52" t="s">
        <v>24</v>
      </c>
      <c r="C52" s="16">
        <v>81.8</v>
      </c>
      <c r="D52" s="16">
        <v>11</v>
      </c>
      <c r="E52" s="16">
        <v>86.1</v>
      </c>
      <c r="F52" s="16">
        <v>9</v>
      </c>
      <c r="G52" s="16">
        <v>83.3</v>
      </c>
      <c r="H52" s="16">
        <v>18</v>
      </c>
      <c r="I52" s="16">
        <v>85.9</v>
      </c>
      <c r="J52" s="16">
        <v>16</v>
      </c>
      <c r="K52" s="16">
        <v>87.5</v>
      </c>
      <c r="L52" s="16">
        <v>12</v>
      </c>
      <c r="M52" s="16">
        <v>92.5</v>
      </c>
      <c r="N52" s="16">
        <v>10</v>
      </c>
      <c r="O52" s="16">
        <v>93.8</v>
      </c>
      <c r="P52" s="16">
        <v>8</v>
      </c>
      <c r="Q52" s="16">
        <v>100</v>
      </c>
      <c r="R52" s="16">
        <v>9</v>
      </c>
      <c r="S52" s="16">
        <v>92.9</v>
      </c>
      <c r="T52" s="16">
        <v>7</v>
      </c>
    </row>
    <row r="53" spans="2:20" hidden="1" outlineLevel="1" x14ac:dyDescent="0.25">
      <c r="B53" t="s">
        <v>32</v>
      </c>
      <c r="C53" s="16">
        <v>72.2</v>
      </c>
      <c r="D53" s="16">
        <v>9</v>
      </c>
      <c r="E53" s="16">
        <v>100</v>
      </c>
      <c r="F53" s="16">
        <v>3</v>
      </c>
      <c r="G53" s="16">
        <v>59.4</v>
      </c>
      <c r="H53" s="16">
        <v>8</v>
      </c>
      <c r="I53" s="16">
        <v>75</v>
      </c>
      <c r="J53" s="16">
        <v>8</v>
      </c>
      <c r="K53" s="16">
        <v>83.3</v>
      </c>
      <c r="L53" s="16">
        <v>3</v>
      </c>
      <c r="M53" s="16">
        <v>89.3</v>
      </c>
      <c r="N53" s="16">
        <v>7</v>
      </c>
      <c r="O53" s="16">
        <v>87.5</v>
      </c>
      <c r="P53" s="16">
        <v>6</v>
      </c>
      <c r="Q53" s="16">
        <v>100</v>
      </c>
      <c r="R53" s="16">
        <v>7</v>
      </c>
      <c r="S53" s="16">
        <v>75</v>
      </c>
      <c r="T53" s="16">
        <v>8</v>
      </c>
    </row>
    <row r="54" spans="2:20" hidden="1" outlineLevel="1" x14ac:dyDescent="0.25">
      <c r="B54" t="s">
        <v>35</v>
      </c>
      <c r="C54" s="16">
        <v>50</v>
      </c>
      <c r="D54" s="16">
        <v>1</v>
      </c>
      <c r="E54" s="16">
        <v>0</v>
      </c>
      <c r="F54" s="16">
        <v>0</v>
      </c>
      <c r="G54" s="16">
        <v>83.3</v>
      </c>
      <c r="H54" s="16">
        <v>3</v>
      </c>
      <c r="I54" s="16">
        <v>50</v>
      </c>
      <c r="J54" s="16">
        <v>1</v>
      </c>
      <c r="K54" s="16">
        <v>50</v>
      </c>
      <c r="L54" s="16">
        <v>2</v>
      </c>
      <c r="M54" s="16">
        <v>89.3</v>
      </c>
      <c r="N54" s="16">
        <v>7</v>
      </c>
      <c r="O54" s="16">
        <v>67.900000000000006</v>
      </c>
      <c r="P54" s="16">
        <v>7</v>
      </c>
      <c r="Q54" s="16">
        <v>100</v>
      </c>
      <c r="R54" s="16">
        <v>3</v>
      </c>
      <c r="S54" s="16">
        <v>100</v>
      </c>
      <c r="T54" s="16">
        <v>1</v>
      </c>
    </row>
    <row r="55" spans="2:20" hidden="1" outlineLevel="1" x14ac:dyDescent="0.25">
      <c r="B55" t="s">
        <v>36</v>
      </c>
      <c r="C55" s="16">
        <v>71.400000000000006</v>
      </c>
      <c r="D55" s="16">
        <v>7</v>
      </c>
      <c r="E55" s="16">
        <v>87.5</v>
      </c>
      <c r="F55" s="16">
        <v>4</v>
      </c>
      <c r="G55" s="16">
        <v>94.4</v>
      </c>
      <c r="H55" s="16">
        <v>9</v>
      </c>
      <c r="I55" s="16">
        <v>58.3</v>
      </c>
      <c r="J55" s="16">
        <v>9</v>
      </c>
      <c r="K55" s="16">
        <v>66.7</v>
      </c>
      <c r="L55" s="16">
        <v>6</v>
      </c>
      <c r="M55" s="16">
        <v>83.3</v>
      </c>
      <c r="N55" s="16">
        <v>3</v>
      </c>
      <c r="O55" s="16">
        <v>91.7</v>
      </c>
      <c r="P55" s="16">
        <v>12</v>
      </c>
      <c r="Q55" s="16">
        <v>87.5</v>
      </c>
      <c r="R55" s="16">
        <v>2</v>
      </c>
      <c r="S55" s="16">
        <v>85.7</v>
      </c>
      <c r="T55" s="16">
        <v>14</v>
      </c>
    </row>
    <row r="56" spans="2:20" hidden="1" outlineLevel="1" x14ac:dyDescent="0.25">
      <c r="B56" t="s">
        <v>23</v>
      </c>
      <c r="C56" s="16">
        <v>86.4</v>
      </c>
      <c r="D56" s="16">
        <v>11</v>
      </c>
      <c r="E56" s="16">
        <v>100</v>
      </c>
      <c r="F56" s="16">
        <v>4</v>
      </c>
      <c r="G56" s="16">
        <v>67.5</v>
      </c>
      <c r="H56" s="16">
        <v>10</v>
      </c>
      <c r="I56" s="16">
        <v>87.5</v>
      </c>
      <c r="J56" s="16">
        <v>6</v>
      </c>
      <c r="K56" s="16">
        <v>84.1</v>
      </c>
      <c r="L56" s="16">
        <v>11</v>
      </c>
      <c r="M56" s="16">
        <v>95</v>
      </c>
      <c r="N56" s="16">
        <v>5</v>
      </c>
      <c r="O56" s="16">
        <v>80.599999999999994</v>
      </c>
      <c r="P56" s="16">
        <v>9</v>
      </c>
      <c r="Q56" s="16">
        <v>75</v>
      </c>
      <c r="R56" s="16">
        <v>8</v>
      </c>
      <c r="S56" s="16">
        <v>80</v>
      </c>
      <c r="T56" s="16">
        <v>10</v>
      </c>
    </row>
    <row r="57" spans="2:20" hidden="1" outlineLevel="1" x14ac:dyDescent="0.25">
      <c r="B57" t="s">
        <v>6</v>
      </c>
      <c r="C57" s="16">
        <v>100</v>
      </c>
      <c r="D57" s="16">
        <v>1</v>
      </c>
      <c r="E57" s="16">
        <v>0</v>
      </c>
      <c r="F57" s="16">
        <v>0</v>
      </c>
      <c r="G57" s="16">
        <v>83.3</v>
      </c>
      <c r="H57" s="16">
        <v>3</v>
      </c>
      <c r="I57" s="16">
        <v>80</v>
      </c>
      <c r="J57" s="16">
        <v>5</v>
      </c>
      <c r="K57" s="16">
        <v>0</v>
      </c>
      <c r="L57" s="16">
        <v>0</v>
      </c>
      <c r="M57" s="16">
        <v>85</v>
      </c>
      <c r="N57" s="16">
        <v>5</v>
      </c>
      <c r="O57" s="16">
        <v>0</v>
      </c>
      <c r="P57" s="16">
        <v>0</v>
      </c>
      <c r="Q57" s="16">
        <v>87.5</v>
      </c>
      <c r="R57" s="16">
        <v>2</v>
      </c>
      <c r="S57" s="16">
        <v>75</v>
      </c>
      <c r="T57" s="16">
        <v>2</v>
      </c>
    </row>
    <row r="58" spans="2:20" hidden="1" outlineLevel="1" x14ac:dyDescent="0.25">
      <c r="B58" t="s">
        <v>39</v>
      </c>
      <c r="C58" s="16">
        <v>59.1</v>
      </c>
      <c r="D58" s="16">
        <v>11</v>
      </c>
      <c r="E58" s="16">
        <v>70</v>
      </c>
      <c r="F58" s="16">
        <v>10</v>
      </c>
      <c r="G58" s="16">
        <v>62.5</v>
      </c>
      <c r="H58" s="16">
        <v>8</v>
      </c>
      <c r="I58" s="16">
        <v>65.599999999999994</v>
      </c>
      <c r="J58" s="16">
        <v>8</v>
      </c>
      <c r="K58" s="16">
        <v>84.4</v>
      </c>
      <c r="L58" s="16">
        <v>8</v>
      </c>
      <c r="M58" s="16">
        <v>78.599999999999994</v>
      </c>
      <c r="N58" s="16">
        <v>7</v>
      </c>
      <c r="O58" s="16">
        <v>83.3</v>
      </c>
      <c r="P58" s="16">
        <v>6</v>
      </c>
      <c r="Q58" s="16">
        <v>81.3</v>
      </c>
      <c r="R58" s="16">
        <v>8</v>
      </c>
      <c r="S58" s="16">
        <v>89.3</v>
      </c>
      <c r="T58" s="16">
        <v>7</v>
      </c>
    </row>
    <row r="59" spans="2:20" hidden="1" outlineLevel="1" x14ac:dyDescent="0.25">
      <c r="B59" t="s">
        <v>28</v>
      </c>
      <c r="C59" s="16">
        <v>75</v>
      </c>
      <c r="D59" s="16">
        <v>6</v>
      </c>
      <c r="E59" s="16">
        <v>35</v>
      </c>
      <c r="F59" s="16">
        <v>5</v>
      </c>
      <c r="G59" s="16">
        <v>75</v>
      </c>
      <c r="H59" s="16">
        <v>10</v>
      </c>
      <c r="I59" s="16">
        <v>90</v>
      </c>
      <c r="J59" s="16">
        <v>10</v>
      </c>
      <c r="K59" s="16">
        <v>75</v>
      </c>
      <c r="L59" s="16">
        <v>6</v>
      </c>
      <c r="M59" s="16">
        <v>50</v>
      </c>
      <c r="N59" s="16">
        <v>5</v>
      </c>
      <c r="O59" s="16">
        <v>62.5</v>
      </c>
      <c r="P59" s="16">
        <v>6</v>
      </c>
      <c r="Q59" s="16">
        <v>60.7</v>
      </c>
      <c r="R59" s="16">
        <v>7</v>
      </c>
      <c r="S59" s="16">
        <v>64.3</v>
      </c>
      <c r="T59" s="16">
        <v>7</v>
      </c>
    </row>
    <row r="60" spans="2:20" hidden="1" outlineLevel="1" x14ac:dyDescent="0.25">
      <c r="B60" t="s">
        <v>40</v>
      </c>
      <c r="C60" s="16">
        <v>50</v>
      </c>
      <c r="D60" s="16">
        <v>8</v>
      </c>
      <c r="E60" s="16">
        <v>62.5</v>
      </c>
      <c r="F60" s="16">
        <v>2</v>
      </c>
      <c r="G60" s="16">
        <v>85</v>
      </c>
      <c r="H60" s="16">
        <v>5</v>
      </c>
      <c r="I60" s="16">
        <v>58.3</v>
      </c>
      <c r="J60" s="16">
        <v>3</v>
      </c>
      <c r="K60" s="16">
        <v>81.3</v>
      </c>
      <c r="L60" s="16">
        <v>4</v>
      </c>
      <c r="M60" s="16">
        <v>81.3</v>
      </c>
      <c r="N60" s="16">
        <v>12</v>
      </c>
      <c r="O60" s="16">
        <v>95</v>
      </c>
      <c r="P60" s="16">
        <v>10</v>
      </c>
      <c r="Q60" s="16">
        <v>78.099999999999994</v>
      </c>
      <c r="R60" s="16">
        <v>8</v>
      </c>
      <c r="S60" s="16">
        <v>100</v>
      </c>
      <c r="T60" s="16">
        <v>3</v>
      </c>
    </row>
    <row r="61" spans="2:20" hidden="1" outlineLevel="1" x14ac:dyDescent="0.25">
      <c r="B61" t="s">
        <v>22</v>
      </c>
      <c r="C61" s="16">
        <v>77.8</v>
      </c>
      <c r="D61" s="16">
        <v>9</v>
      </c>
      <c r="E61" s="16">
        <v>91.7</v>
      </c>
      <c r="F61" s="16">
        <v>3</v>
      </c>
      <c r="G61" s="16">
        <v>87.5</v>
      </c>
      <c r="H61" s="16">
        <v>12</v>
      </c>
      <c r="I61" s="16">
        <v>75</v>
      </c>
      <c r="J61" s="16">
        <v>7</v>
      </c>
      <c r="K61" s="16">
        <v>87.5</v>
      </c>
      <c r="L61" s="16">
        <v>2</v>
      </c>
      <c r="M61" s="16">
        <v>83.3</v>
      </c>
      <c r="N61" s="16">
        <v>9</v>
      </c>
      <c r="O61" s="16">
        <v>83.3</v>
      </c>
      <c r="P61" s="16">
        <v>6</v>
      </c>
      <c r="Q61" s="16">
        <v>78.900000000000006</v>
      </c>
      <c r="R61" s="16">
        <v>13</v>
      </c>
      <c r="S61" s="16">
        <v>85.7</v>
      </c>
      <c r="T61" s="16">
        <v>7</v>
      </c>
    </row>
    <row r="62" spans="2:20" hidden="1" outlineLevel="1" x14ac:dyDescent="0.25">
      <c r="B62" t="s">
        <v>31</v>
      </c>
      <c r="C62" s="16">
        <v>75</v>
      </c>
      <c r="D62" s="16">
        <v>4</v>
      </c>
      <c r="E62" s="16">
        <v>70.8</v>
      </c>
      <c r="F62" s="16">
        <v>6</v>
      </c>
      <c r="G62" s="16">
        <v>96.4</v>
      </c>
      <c r="H62" s="16">
        <v>7</v>
      </c>
      <c r="I62" s="16">
        <v>88.5</v>
      </c>
      <c r="J62" s="16">
        <v>13</v>
      </c>
      <c r="K62" s="16">
        <v>61.1</v>
      </c>
      <c r="L62" s="16">
        <v>9</v>
      </c>
      <c r="M62" s="16">
        <v>66.7</v>
      </c>
      <c r="N62" s="16">
        <v>9</v>
      </c>
      <c r="O62" s="16">
        <v>75</v>
      </c>
      <c r="P62" s="16">
        <v>7</v>
      </c>
      <c r="Q62" s="16">
        <v>85.7</v>
      </c>
      <c r="R62" s="16">
        <v>7</v>
      </c>
      <c r="S62" s="16">
        <v>79.599999999999994</v>
      </c>
      <c r="T62" s="16">
        <v>11</v>
      </c>
    </row>
    <row r="63" spans="2:20" hidden="1" outlineLevel="1" x14ac:dyDescent="0.25">
      <c r="B63" t="s">
        <v>27</v>
      </c>
      <c r="C63" s="16">
        <v>85</v>
      </c>
      <c r="D63" s="16">
        <v>5</v>
      </c>
      <c r="E63" s="16">
        <v>100</v>
      </c>
      <c r="F63" s="16">
        <v>6</v>
      </c>
      <c r="G63" s="16">
        <v>75</v>
      </c>
      <c r="H63" s="16">
        <v>6</v>
      </c>
      <c r="I63" s="16">
        <v>87.5</v>
      </c>
      <c r="J63" s="16">
        <v>10</v>
      </c>
      <c r="K63" s="16">
        <v>82.1</v>
      </c>
      <c r="L63" s="16">
        <v>7</v>
      </c>
      <c r="M63" s="16">
        <v>75</v>
      </c>
      <c r="N63" s="16">
        <v>5</v>
      </c>
      <c r="O63" s="16">
        <v>90.6</v>
      </c>
      <c r="P63" s="16">
        <v>8</v>
      </c>
      <c r="Q63" s="16">
        <v>86.7</v>
      </c>
      <c r="R63" s="16">
        <v>15</v>
      </c>
      <c r="S63" s="16">
        <v>85</v>
      </c>
      <c r="T63" s="16">
        <v>5</v>
      </c>
    </row>
    <row r="64" spans="2:20" hidden="1" outlineLevel="1" x14ac:dyDescent="0.25">
      <c r="B64" t="s">
        <v>19</v>
      </c>
      <c r="C64" s="16">
        <v>75</v>
      </c>
      <c r="D64" s="16">
        <v>4</v>
      </c>
      <c r="E64" s="16">
        <v>75</v>
      </c>
      <c r="F64" s="16">
        <v>4</v>
      </c>
      <c r="G64" s="16">
        <v>100</v>
      </c>
      <c r="H64" s="16">
        <v>3</v>
      </c>
      <c r="I64" s="16">
        <v>90.6</v>
      </c>
      <c r="J64" s="16">
        <v>8</v>
      </c>
      <c r="K64" s="16">
        <v>25</v>
      </c>
      <c r="L64" s="16">
        <v>3</v>
      </c>
      <c r="M64" s="16">
        <v>82.1</v>
      </c>
      <c r="N64" s="16">
        <v>7</v>
      </c>
      <c r="O64" s="16">
        <v>75</v>
      </c>
      <c r="P64" s="16">
        <v>9</v>
      </c>
      <c r="Q64" s="16">
        <v>79.2</v>
      </c>
      <c r="R64" s="16">
        <v>6</v>
      </c>
      <c r="S64" s="16">
        <v>84.4</v>
      </c>
      <c r="T64" s="16">
        <v>8</v>
      </c>
    </row>
    <row r="65" spans="1:20" hidden="1" outlineLevel="1" x14ac:dyDescent="0.25">
      <c r="B65" t="s">
        <v>226</v>
      </c>
      <c r="C65" s="16">
        <v>0</v>
      </c>
      <c r="D65" s="16">
        <v>0</v>
      </c>
      <c r="E65" s="16">
        <v>0</v>
      </c>
      <c r="F65" s="16">
        <v>0</v>
      </c>
      <c r="G65" s="16">
        <v>0</v>
      </c>
      <c r="H65" s="16">
        <v>0</v>
      </c>
      <c r="I65" s="16">
        <v>65</v>
      </c>
      <c r="J65" s="16">
        <v>10</v>
      </c>
      <c r="K65" s="16">
        <v>88.6</v>
      </c>
      <c r="L65" s="16">
        <v>11</v>
      </c>
      <c r="M65" s="16">
        <v>76.900000000000006</v>
      </c>
      <c r="N65" s="16">
        <v>13</v>
      </c>
      <c r="O65" s="16">
        <v>75</v>
      </c>
      <c r="P65" s="16">
        <v>12</v>
      </c>
      <c r="Q65" s="16">
        <v>83.3</v>
      </c>
      <c r="R65" s="16">
        <v>6</v>
      </c>
      <c r="S65" s="16">
        <v>96.9</v>
      </c>
      <c r="T65" s="16">
        <v>8</v>
      </c>
    </row>
    <row r="66" spans="1:20" hidden="1" outlineLevel="1" x14ac:dyDescent="0.25">
      <c r="B66" t="s">
        <v>227</v>
      </c>
      <c r="C66" s="16">
        <v>0</v>
      </c>
      <c r="D66" s="16">
        <v>0</v>
      </c>
      <c r="E66" s="16">
        <v>0</v>
      </c>
      <c r="F66" s="16">
        <v>0</v>
      </c>
      <c r="G66" s="16">
        <v>0</v>
      </c>
      <c r="H66" s="16">
        <v>0</v>
      </c>
      <c r="I66" s="16">
        <v>75</v>
      </c>
      <c r="J66" s="16">
        <v>1</v>
      </c>
      <c r="K66" s="16">
        <v>0</v>
      </c>
      <c r="L66" s="16">
        <v>0</v>
      </c>
      <c r="M66" s="16">
        <v>0</v>
      </c>
      <c r="N66" s="16">
        <v>0</v>
      </c>
      <c r="O66" s="16">
        <v>0</v>
      </c>
      <c r="P66" s="16">
        <v>0</v>
      </c>
      <c r="Q66" s="16">
        <v>0</v>
      </c>
      <c r="R66" s="16">
        <v>0</v>
      </c>
      <c r="S66" s="16">
        <v>0</v>
      </c>
      <c r="T66" s="16">
        <v>0</v>
      </c>
    </row>
    <row r="67" spans="1:20" hidden="1" outlineLevel="1" x14ac:dyDescent="0.25">
      <c r="B67" t="s">
        <v>34</v>
      </c>
      <c r="C67" s="16">
        <v>75</v>
      </c>
      <c r="D67" s="16">
        <v>1</v>
      </c>
      <c r="E67" s="16">
        <v>93.8</v>
      </c>
      <c r="F67" s="16">
        <v>4</v>
      </c>
      <c r="G67" s="16">
        <v>70.8</v>
      </c>
      <c r="H67" s="16">
        <v>12</v>
      </c>
      <c r="I67" s="16">
        <v>93.8</v>
      </c>
      <c r="J67" s="16">
        <v>8</v>
      </c>
      <c r="K67" s="16">
        <v>87.5</v>
      </c>
      <c r="L67" s="16">
        <v>2</v>
      </c>
      <c r="M67" s="16">
        <v>75</v>
      </c>
      <c r="N67" s="16">
        <v>5</v>
      </c>
      <c r="O67" s="16">
        <v>84.4</v>
      </c>
      <c r="P67" s="16">
        <v>8</v>
      </c>
      <c r="Q67" s="16">
        <v>87.5</v>
      </c>
      <c r="R67" s="16">
        <v>12</v>
      </c>
      <c r="S67" s="16">
        <v>100</v>
      </c>
      <c r="T67" s="16">
        <v>3</v>
      </c>
    </row>
    <row r="68" spans="1:20" hidden="1" outlineLevel="1" x14ac:dyDescent="0.25">
      <c r="B68" t="s">
        <v>41</v>
      </c>
      <c r="C68" s="16">
        <v>58.3</v>
      </c>
      <c r="D68" s="16">
        <v>3</v>
      </c>
      <c r="E68" s="16">
        <v>65</v>
      </c>
      <c r="F68" s="16">
        <v>5</v>
      </c>
      <c r="G68" s="16">
        <v>84.4</v>
      </c>
      <c r="H68" s="16">
        <v>8</v>
      </c>
      <c r="I68" s="16">
        <v>95.8</v>
      </c>
      <c r="J68" s="16">
        <v>6</v>
      </c>
      <c r="K68" s="16">
        <v>83.3</v>
      </c>
      <c r="L68" s="16">
        <v>6</v>
      </c>
      <c r="M68" s="16">
        <v>100</v>
      </c>
      <c r="N68" s="16">
        <v>4</v>
      </c>
      <c r="O68" s="16">
        <v>82.1</v>
      </c>
      <c r="P68" s="16">
        <v>7</v>
      </c>
      <c r="Q68" s="16">
        <v>81.3</v>
      </c>
      <c r="R68" s="16">
        <v>4</v>
      </c>
      <c r="S68" s="16">
        <v>83.3</v>
      </c>
      <c r="T68" s="16">
        <v>6</v>
      </c>
    </row>
    <row r="69" spans="1:20" hidden="1" outlineLevel="1" x14ac:dyDescent="0.25">
      <c r="B69" t="s">
        <v>13</v>
      </c>
      <c r="C69" s="16">
        <v>91.7</v>
      </c>
      <c r="D69" s="16">
        <v>6</v>
      </c>
      <c r="E69" s="16">
        <v>81.3</v>
      </c>
      <c r="F69" s="16">
        <v>16</v>
      </c>
      <c r="G69" s="16">
        <v>89.6</v>
      </c>
      <c r="H69" s="16">
        <v>12</v>
      </c>
      <c r="I69" s="16">
        <v>88.2</v>
      </c>
      <c r="J69" s="16">
        <v>17</v>
      </c>
      <c r="K69" s="16">
        <v>100</v>
      </c>
      <c r="L69" s="16">
        <v>4</v>
      </c>
      <c r="M69" s="16">
        <v>70.599999999999994</v>
      </c>
      <c r="N69" s="16">
        <v>17</v>
      </c>
      <c r="O69" s="16">
        <v>95.5</v>
      </c>
      <c r="P69" s="16">
        <v>11</v>
      </c>
      <c r="Q69" s="16">
        <v>87.5</v>
      </c>
      <c r="R69" s="16">
        <v>14</v>
      </c>
      <c r="S69" s="16">
        <v>80.900000000000006</v>
      </c>
      <c r="T69" s="16">
        <v>17</v>
      </c>
    </row>
    <row r="70" spans="1:20" hidden="1" outlineLevel="1" x14ac:dyDescent="0.25">
      <c r="B70" t="s">
        <v>25</v>
      </c>
      <c r="C70" s="16">
        <v>83.3</v>
      </c>
      <c r="D70" s="16">
        <v>6</v>
      </c>
      <c r="E70" s="16">
        <v>81.3</v>
      </c>
      <c r="F70" s="16">
        <v>8</v>
      </c>
      <c r="G70" s="16">
        <v>80</v>
      </c>
      <c r="H70" s="16">
        <v>10</v>
      </c>
      <c r="I70" s="16">
        <v>80</v>
      </c>
      <c r="J70" s="16">
        <v>5</v>
      </c>
      <c r="K70" s="16">
        <v>71.400000000000006</v>
      </c>
      <c r="L70" s="16">
        <v>7</v>
      </c>
      <c r="M70" s="16">
        <v>66.7</v>
      </c>
      <c r="N70" s="16">
        <v>3</v>
      </c>
      <c r="O70" s="16">
        <v>100</v>
      </c>
      <c r="P70" s="16">
        <v>1</v>
      </c>
      <c r="Q70" s="16">
        <v>83.3</v>
      </c>
      <c r="R70" s="16">
        <v>3</v>
      </c>
      <c r="S70" s="16">
        <v>64.3</v>
      </c>
      <c r="T70" s="16">
        <v>7</v>
      </c>
    </row>
    <row r="71" spans="1:20" hidden="1" outlineLevel="1" x14ac:dyDescent="0.25">
      <c r="B71" t="s">
        <v>43</v>
      </c>
      <c r="C71" s="16">
        <v>11.1</v>
      </c>
      <c r="D71" s="16">
        <v>9</v>
      </c>
      <c r="E71" s="16">
        <v>69.400000000000006</v>
      </c>
      <c r="F71" s="16">
        <v>9</v>
      </c>
      <c r="G71" s="16">
        <v>64.5</v>
      </c>
      <c r="H71" s="16">
        <v>19</v>
      </c>
      <c r="I71" s="16">
        <v>55</v>
      </c>
      <c r="J71" s="16">
        <v>5</v>
      </c>
      <c r="K71" s="16">
        <v>85</v>
      </c>
      <c r="L71" s="16">
        <v>5</v>
      </c>
      <c r="M71" s="16">
        <v>68.8</v>
      </c>
      <c r="N71" s="16">
        <v>4</v>
      </c>
      <c r="O71" s="16">
        <v>93.8</v>
      </c>
      <c r="P71" s="16">
        <v>4</v>
      </c>
      <c r="Q71" s="16">
        <v>75</v>
      </c>
      <c r="R71" s="16">
        <v>1</v>
      </c>
      <c r="S71" s="16">
        <v>65</v>
      </c>
      <c r="T71" s="16">
        <v>10</v>
      </c>
    </row>
    <row r="72" spans="1:20" hidden="1" outlineLevel="1" x14ac:dyDescent="0.25">
      <c r="B72" t="s">
        <v>29</v>
      </c>
      <c r="C72" s="16">
        <v>71.400000000000006</v>
      </c>
      <c r="D72" s="16">
        <v>7</v>
      </c>
      <c r="E72" s="16">
        <v>67.900000000000006</v>
      </c>
      <c r="F72" s="16">
        <v>7</v>
      </c>
      <c r="G72" s="16">
        <v>83.3</v>
      </c>
      <c r="H72" s="16">
        <v>6</v>
      </c>
      <c r="I72" s="16">
        <v>82.1</v>
      </c>
      <c r="J72" s="16">
        <v>7</v>
      </c>
      <c r="K72" s="16">
        <v>100</v>
      </c>
      <c r="L72" s="16">
        <v>2</v>
      </c>
      <c r="M72" s="16">
        <v>75</v>
      </c>
      <c r="N72" s="16">
        <v>4</v>
      </c>
      <c r="O72" s="16">
        <v>75</v>
      </c>
      <c r="P72" s="16">
        <v>1</v>
      </c>
      <c r="Q72" s="16">
        <v>87.5</v>
      </c>
      <c r="R72" s="16">
        <v>6</v>
      </c>
      <c r="S72" s="16">
        <v>100</v>
      </c>
      <c r="T72" s="16">
        <v>4</v>
      </c>
    </row>
    <row r="73" spans="1:20" hidden="1" outlineLevel="1" x14ac:dyDescent="0.25">
      <c r="B73" t="s">
        <v>20</v>
      </c>
      <c r="C73" s="16">
        <v>85</v>
      </c>
      <c r="D73" s="16">
        <v>5</v>
      </c>
      <c r="E73" s="16">
        <v>87.5</v>
      </c>
      <c r="F73" s="16">
        <v>6</v>
      </c>
      <c r="G73" s="16">
        <v>82.4</v>
      </c>
      <c r="H73" s="16">
        <v>17</v>
      </c>
      <c r="I73" s="16">
        <v>88.2</v>
      </c>
      <c r="J73" s="16">
        <v>17</v>
      </c>
      <c r="K73" s="16">
        <v>83.3</v>
      </c>
      <c r="L73" s="16">
        <v>3</v>
      </c>
      <c r="M73" s="16">
        <v>75</v>
      </c>
      <c r="N73" s="16">
        <v>6</v>
      </c>
      <c r="O73" s="16">
        <v>87.5</v>
      </c>
      <c r="P73" s="16">
        <v>6</v>
      </c>
      <c r="Q73" s="16">
        <v>91.7</v>
      </c>
      <c r="R73" s="16">
        <v>9</v>
      </c>
      <c r="S73" s="16">
        <v>82.1</v>
      </c>
      <c r="T73" s="16">
        <v>7</v>
      </c>
    </row>
    <row r="74" spans="1:20" hidden="1" outlineLevel="1" x14ac:dyDescent="0.25">
      <c r="B74" t="s">
        <v>37</v>
      </c>
      <c r="C74" s="16">
        <v>71.2</v>
      </c>
      <c r="D74" s="16">
        <v>13</v>
      </c>
      <c r="E74" s="16">
        <v>85</v>
      </c>
      <c r="F74" s="16">
        <v>10</v>
      </c>
      <c r="G74" s="16">
        <v>75</v>
      </c>
      <c r="H74" s="16">
        <v>19</v>
      </c>
      <c r="I74" s="16">
        <v>76.599999999999994</v>
      </c>
      <c r="J74" s="16">
        <v>16</v>
      </c>
      <c r="K74" s="16">
        <v>0</v>
      </c>
      <c r="L74" s="16">
        <v>0</v>
      </c>
      <c r="M74" s="16">
        <v>91.7</v>
      </c>
      <c r="N74" s="16">
        <v>6</v>
      </c>
      <c r="O74" s="16">
        <v>86.7</v>
      </c>
      <c r="P74" s="16">
        <v>15</v>
      </c>
      <c r="Q74" s="16">
        <v>100</v>
      </c>
      <c r="R74" s="16">
        <v>1</v>
      </c>
      <c r="S74" s="16">
        <v>75</v>
      </c>
      <c r="T74" s="16">
        <v>6</v>
      </c>
    </row>
    <row r="75" spans="1:20" collapsed="1" x14ac:dyDescent="0.25">
      <c r="A75" t="s">
        <v>415</v>
      </c>
      <c r="C75" s="16">
        <v>2416.3999999999996</v>
      </c>
      <c r="D75" s="16">
        <v>202</v>
      </c>
      <c r="E75" s="16">
        <v>2381.5</v>
      </c>
      <c r="F75" s="16">
        <v>188</v>
      </c>
      <c r="G75" s="16">
        <v>2510.8000000000006</v>
      </c>
      <c r="H75" s="16">
        <v>302</v>
      </c>
      <c r="I75" s="16">
        <v>2698.2999999999993</v>
      </c>
      <c r="J75" s="16">
        <v>258</v>
      </c>
      <c r="K75" s="16">
        <v>2333.1999999999998</v>
      </c>
      <c r="L75" s="16">
        <v>171</v>
      </c>
      <c r="M75" s="16">
        <v>2586.1999999999994</v>
      </c>
      <c r="N75" s="16">
        <v>217</v>
      </c>
      <c r="O75" s="16">
        <v>2583.3999999999996</v>
      </c>
      <c r="P75" s="16">
        <v>235</v>
      </c>
      <c r="Q75" s="16">
        <v>2746.4</v>
      </c>
      <c r="R75" s="16">
        <v>231</v>
      </c>
      <c r="S75" s="16">
        <v>2689.7000000000003</v>
      </c>
      <c r="T75" s="16">
        <v>238</v>
      </c>
    </row>
    <row r="76" spans="1:20" hidden="1" outlineLevel="1" x14ac:dyDescent="0.25">
      <c r="A76" t="s">
        <v>10</v>
      </c>
      <c r="B76" t="s">
        <v>21</v>
      </c>
      <c r="C76" s="16">
        <v>89.3</v>
      </c>
      <c r="D76" s="16">
        <v>7</v>
      </c>
      <c r="E76" s="16">
        <v>75</v>
      </c>
      <c r="F76" s="16">
        <v>4</v>
      </c>
      <c r="G76" s="16">
        <v>87.5</v>
      </c>
      <c r="H76" s="16">
        <v>14</v>
      </c>
      <c r="I76" s="16">
        <v>100</v>
      </c>
      <c r="J76" s="16">
        <v>3</v>
      </c>
      <c r="K76" s="16">
        <v>100</v>
      </c>
      <c r="L76" s="16">
        <v>1</v>
      </c>
      <c r="M76" s="16">
        <v>90</v>
      </c>
      <c r="N76" s="16">
        <v>5</v>
      </c>
      <c r="O76" s="16">
        <v>83.3</v>
      </c>
      <c r="P76" s="16">
        <v>9</v>
      </c>
      <c r="Q76" s="16">
        <v>100</v>
      </c>
      <c r="R76" s="16">
        <v>6</v>
      </c>
      <c r="S76" s="16">
        <v>90</v>
      </c>
      <c r="T76" s="16">
        <v>5</v>
      </c>
    </row>
    <row r="77" spans="1:20" hidden="1" outlineLevel="1" x14ac:dyDescent="0.25">
      <c r="B77" t="s">
        <v>30</v>
      </c>
      <c r="C77" s="16">
        <v>78.599999999999994</v>
      </c>
      <c r="D77" s="16">
        <v>7</v>
      </c>
      <c r="E77" s="16">
        <v>95</v>
      </c>
      <c r="F77" s="16">
        <v>10</v>
      </c>
      <c r="G77" s="16">
        <v>83.3</v>
      </c>
      <c r="H77" s="16">
        <v>9</v>
      </c>
      <c r="I77" s="16">
        <v>100</v>
      </c>
      <c r="J77" s="16">
        <v>6</v>
      </c>
      <c r="K77" s="16">
        <v>37.5</v>
      </c>
      <c r="L77" s="16">
        <v>4</v>
      </c>
      <c r="M77" s="16">
        <v>89.3</v>
      </c>
      <c r="N77" s="16">
        <v>7</v>
      </c>
      <c r="O77" s="16">
        <v>96.9</v>
      </c>
      <c r="P77" s="16">
        <v>8</v>
      </c>
      <c r="Q77" s="16">
        <v>91.7</v>
      </c>
      <c r="R77" s="16">
        <v>6</v>
      </c>
      <c r="S77" s="16">
        <v>79.599999999999994</v>
      </c>
      <c r="T77" s="16">
        <v>11</v>
      </c>
    </row>
    <row r="78" spans="1:20" hidden="1" outlineLevel="1" x14ac:dyDescent="0.25">
      <c r="B78" t="s">
        <v>14</v>
      </c>
      <c r="C78" s="16">
        <v>96.4</v>
      </c>
      <c r="D78" s="16">
        <v>7</v>
      </c>
      <c r="E78" s="16">
        <v>91.7</v>
      </c>
      <c r="F78" s="16">
        <v>6</v>
      </c>
      <c r="G78" s="16">
        <v>86.1</v>
      </c>
      <c r="H78" s="16">
        <v>9</v>
      </c>
      <c r="I78" s="16">
        <v>100</v>
      </c>
      <c r="J78" s="16">
        <v>6</v>
      </c>
      <c r="K78" s="16">
        <v>57.1</v>
      </c>
      <c r="L78" s="16">
        <v>7</v>
      </c>
      <c r="M78" s="16">
        <v>95.8</v>
      </c>
      <c r="N78" s="16">
        <v>6</v>
      </c>
      <c r="O78" s="16">
        <v>87.5</v>
      </c>
      <c r="P78" s="16">
        <v>8</v>
      </c>
      <c r="Q78" s="16">
        <v>65.599999999999994</v>
      </c>
      <c r="R78" s="16">
        <v>8</v>
      </c>
      <c r="S78" s="16">
        <v>75</v>
      </c>
      <c r="T78" s="16">
        <v>6</v>
      </c>
    </row>
    <row r="79" spans="1:20" hidden="1" outlineLevel="1" x14ac:dyDescent="0.25">
      <c r="B79" t="s">
        <v>38</v>
      </c>
      <c r="C79" s="16">
        <v>62.5</v>
      </c>
      <c r="D79" s="16">
        <v>4</v>
      </c>
      <c r="E79" s="16">
        <v>85</v>
      </c>
      <c r="F79" s="16">
        <v>5</v>
      </c>
      <c r="G79" s="16">
        <v>75</v>
      </c>
      <c r="H79" s="16">
        <v>11</v>
      </c>
      <c r="I79" s="16">
        <v>85</v>
      </c>
      <c r="J79" s="16">
        <v>5</v>
      </c>
      <c r="K79" s="16">
        <v>86.1</v>
      </c>
      <c r="L79" s="16">
        <v>9</v>
      </c>
      <c r="M79" s="16">
        <v>62.5</v>
      </c>
      <c r="N79" s="16">
        <v>2</v>
      </c>
      <c r="O79" s="16">
        <v>75</v>
      </c>
      <c r="P79" s="16">
        <v>2</v>
      </c>
      <c r="Q79" s="16">
        <v>87.5</v>
      </c>
      <c r="R79" s="16">
        <v>6</v>
      </c>
      <c r="S79" s="16">
        <v>96.9</v>
      </c>
      <c r="T79" s="16">
        <v>8</v>
      </c>
    </row>
    <row r="80" spans="1:20" hidden="1" outlineLevel="1" x14ac:dyDescent="0.25">
      <c r="B80" t="s">
        <v>26</v>
      </c>
      <c r="C80" s="16">
        <v>78.599999999999994</v>
      </c>
      <c r="D80" s="16">
        <v>7</v>
      </c>
      <c r="E80" s="16">
        <v>75</v>
      </c>
      <c r="F80" s="16">
        <v>6</v>
      </c>
      <c r="G80" s="16">
        <v>68.8</v>
      </c>
      <c r="H80" s="16">
        <v>12</v>
      </c>
      <c r="I80" s="16">
        <v>86.1</v>
      </c>
      <c r="J80" s="16">
        <v>9</v>
      </c>
      <c r="K80" s="16">
        <v>100</v>
      </c>
      <c r="L80" s="16">
        <v>4</v>
      </c>
      <c r="M80" s="16">
        <v>79.2</v>
      </c>
      <c r="N80" s="16">
        <v>6</v>
      </c>
      <c r="O80" s="16">
        <v>54.2</v>
      </c>
      <c r="P80" s="16">
        <v>6</v>
      </c>
      <c r="Q80" s="16">
        <v>67.900000000000006</v>
      </c>
      <c r="R80" s="16">
        <v>7</v>
      </c>
      <c r="S80" s="16">
        <v>82.1</v>
      </c>
      <c r="T80" s="16">
        <v>7</v>
      </c>
    </row>
    <row r="81" spans="2:20" hidden="1" outlineLevel="1" x14ac:dyDescent="0.25">
      <c r="B81" t="s">
        <v>42</v>
      </c>
      <c r="C81" s="16">
        <v>50</v>
      </c>
      <c r="D81" s="16">
        <v>4</v>
      </c>
      <c r="E81" s="16">
        <v>35</v>
      </c>
      <c r="F81" s="16">
        <v>10</v>
      </c>
      <c r="G81" s="16">
        <v>65</v>
      </c>
      <c r="H81" s="16">
        <v>5</v>
      </c>
      <c r="I81" s="16">
        <v>75</v>
      </c>
      <c r="J81" s="16">
        <v>1</v>
      </c>
      <c r="K81" s="16">
        <v>87.5</v>
      </c>
      <c r="L81" s="16">
        <v>6</v>
      </c>
      <c r="M81" s="16">
        <v>62.5</v>
      </c>
      <c r="N81" s="16">
        <v>8</v>
      </c>
      <c r="O81" s="16">
        <v>56.7</v>
      </c>
      <c r="P81" s="16">
        <v>15</v>
      </c>
      <c r="Q81" s="16">
        <v>80</v>
      </c>
      <c r="R81" s="16">
        <v>10</v>
      </c>
      <c r="S81" s="16">
        <v>65.599999999999994</v>
      </c>
      <c r="T81" s="16">
        <v>8</v>
      </c>
    </row>
    <row r="82" spans="2:20" hidden="1" outlineLevel="1" x14ac:dyDescent="0.25">
      <c r="B82" t="s">
        <v>17</v>
      </c>
      <c r="C82" s="16">
        <v>87.5</v>
      </c>
      <c r="D82" s="16">
        <v>4</v>
      </c>
      <c r="E82" s="16">
        <v>91.7</v>
      </c>
      <c r="F82" s="16">
        <v>3</v>
      </c>
      <c r="G82" s="16">
        <v>90.6</v>
      </c>
      <c r="H82" s="16">
        <v>8</v>
      </c>
      <c r="I82" s="16">
        <v>90.6</v>
      </c>
      <c r="J82" s="16">
        <v>8</v>
      </c>
      <c r="K82" s="16">
        <v>83.3</v>
      </c>
      <c r="L82" s="16">
        <v>3</v>
      </c>
      <c r="M82" s="16">
        <v>91.7</v>
      </c>
      <c r="N82" s="16">
        <v>3</v>
      </c>
      <c r="O82" s="16">
        <v>67.3</v>
      </c>
      <c r="P82" s="16">
        <v>13</v>
      </c>
      <c r="Q82" s="16">
        <v>93.8</v>
      </c>
      <c r="R82" s="16">
        <v>12</v>
      </c>
      <c r="S82" s="16">
        <v>100</v>
      </c>
      <c r="T82" s="16">
        <v>5</v>
      </c>
    </row>
    <row r="83" spans="2:20" hidden="1" outlineLevel="1" x14ac:dyDescent="0.25">
      <c r="B83" t="s">
        <v>15</v>
      </c>
      <c r="C83" s="16">
        <v>80</v>
      </c>
      <c r="D83" s="16">
        <v>5</v>
      </c>
      <c r="E83" s="16">
        <v>75</v>
      </c>
      <c r="F83" s="16">
        <v>3</v>
      </c>
      <c r="G83" s="16">
        <v>0</v>
      </c>
      <c r="H83" s="16">
        <v>0</v>
      </c>
      <c r="I83" s="16">
        <v>0</v>
      </c>
      <c r="J83" s="16">
        <v>0</v>
      </c>
      <c r="K83" s="16">
        <v>0</v>
      </c>
      <c r="L83" s="16">
        <v>0</v>
      </c>
      <c r="M83" s="16">
        <v>0</v>
      </c>
      <c r="N83" s="16">
        <v>0</v>
      </c>
      <c r="O83" s="16">
        <v>0</v>
      </c>
      <c r="P83" s="16">
        <v>0</v>
      </c>
      <c r="Q83" s="16">
        <v>0</v>
      </c>
      <c r="R83" s="16">
        <v>0</v>
      </c>
      <c r="S83" s="16">
        <v>0</v>
      </c>
      <c r="T83" s="16">
        <v>0</v>
      </c>
    </row>
    <row r="84" spans="2:20" hidden="1" outlineLevel="1" x14ac:dyDescent="0.25">
      <c r="B84" t="s">
        <v>33</v>
      </c>
      <c r="C84" s="16">
        <v>71.900000000000006</v>
      </c>
      <c r="D84" s="16">
        <v>8</v>
      </c>
      <c r="E84" s="16">
        <v>65</v>
      </c>
      <c r="F84" s="16">
        <v>5</v>
      </c>
      <c r="G84" s="16">
        <v>75</v>
      </c>
      <c r="H84" s="16">
        <v>11</v>
      </c>
      <c r="I84" s="16">
        <v>94.4</v>
      </c>
      <c r="J84" s="16">
        <v>9</v>
      </c>
      <c r="K84" s="16">
        <v>83.3</v>
      </c>
      <c r="L84" s="16">
        <v>12</v>
      </c>
      <c r="M84" s="16">
        <v>84.4</v>
      </c>
      <c r="N84" s="16">
        <v>8</v>
      </c>
      <c r="O84" s="16">
        <v>68.8</v>
      </c>
      <c r="P84" s="16">
        <v>4</v>
      </c>
      <c r="Q84" s="16">
        <v>71.2</v>
      </c>
      <c r="R84" s="16">
        <v>13</v>
      </c>
      <c r="S84" s="16">
        <v>69.400000000000006</v>
      </c>
      <c r="T84" s="16">
        <v>9</v>
      </c>
    </row>
    <row r="85" spans="2:20" hidden="1" outlineLevel="1" x14ac:dyDescent="0.25">
      <c r="B85" t="s">
        <v>18</v>
      </c>
      <c r="C85" s="16">
        <v>93.8</v>
      </c>
      <c r="D85" s="16">
        <v>8</v>
      </c>
      <c r="E85" s="16">
        <v>62.5</v>
      </c>
      <c r="F85" s="16">
        <v>8</v>
      </c>
      <c r="G85" s="16">
        <v>76.900000000000006</v>
      </c>
      <c r="H85" s="16">
        <v>13</v>
      </c>
      <c r="I85" s="16">
        <v>87.5</v>
      </c>
      <c r="J85" s="16">
        <v>10</v>
      </c>
      <c r="K85" s="16">
        <v>100</v>
      </c>
      <c r="L85" s="16">
        <v>8</v>
      </c>
      <c r="M85" s="16">
        <v>89.3</v>
      </c>
      <c r="N85" s="16">
        <v>14</v>
      </c>
      <c r="O85" s="16">
        <v>95.5</v>
      </c>
      <c r="P85" s="16">
        <v>11</v>
      </c>
      <c r="Q85" s="16">
        <v>92.9</v>
      </c>
      <c r="R85" s="16">
        <v>7</v>
      </c>
      <c r="S85" s="16">
        <v>87.5</v>
      </c>
      <c r="T85" s="16">
        <v>14</v>
      </c>
    </row>
    <row r="86" spans="2:20" hidden="1" outlineLevel="1" x14ac:dyDescent="0.25">
      <c r="B86" t="s">
        <v>16</v>
      </c>
      <c r="C86" s="16">
        <v>93.8</v>
      </c>
      <c r="D86" s="16">
        <v>4</v>
      </c>
      <c r="E86" s="16">
        <v>81.3</v>
      </c>
      <c r="F86" s="16">
        <v>4</v>
      </c>
      <c r="G86" s="16">
        <v>80</v>
      </c>
      <c r="H86" s="16">
        <v>5</v>
      </c>
      <c r="I86" s="16">
        <v>93.8</v>
      </c>
      <c r="J86" s="16">
        <v>4</v>
      </c>
      <c r="K86" s="16">
        <v>75</v>
      </c>
      <c r="L86" s="16">
        <v>2</v>
      </c>
      <c r="M86" s="16">
        <v>80</v>
      </c>
      <c r="N86" s="16">
        <v>5</v>
      </c>
      <c r="O86" s="16">
        <v>100</v>
      </c>
      <c r="P86" s="16">
        <v>2</v>
      </c>
      <c r="Q86" s="16">
        <v>91.7</v>
      </c>
      <c r="R86" s="16">
        <v>3</v>
      </c>
      <c r="S86" s="16">
        <v>75</v>
      </c>
      <c r="T86" s="16">
        <v>7</v>
      </c>
    </row>
    <row r="87" spans="2:20" hidden="1" outlineLevel="1" x14ac:dyDescent="0.25">
      <c r="B87" t="s">
        <v>24</v>
      </c>
      <c r="C87" s="16">
        <v>75</v>
      </c>
      <c r="D87" s="16">
        <v>11</v>
      </c>
      <c r="E87" s="16">
        <v>86.1</v>
      </c>
      <c r="F87" s="16">
        <v>9</v>
      </c>
      <c r="G87" s="16">
        <v>77.8</v>
      </c>
      <c r="H87" s="16">
        <v>18</v>
      </c>
      <c r="I87" s="16">
        <v>84.4</v>
      </c>
      <c r="J87" s="16">
        <v>16</v>
      </c>
      <c r="K87" s="16">
        <v>81.3</v>
      </c>
      <c r="L87" s="16">
        <v>12</v>
      </c>
      <c r="M87" s="16">
        <v>92.5</v>
      </c>
      <c r="N87" s="16">
        <v>10</v>
      </c>
      <c r="O87" s="16">
        <v>93.8</v>
      </c>
      <c r="P87" s="16">
        <v>8</v>
      </c>
      <c r="Q87" s="16">
        <v>97.2</v>
      </c>
      <c r="R87" s="16">
        <v>9</v>
      </c>
      <c r="S87" s="16">
        <v>82.1</v>
      </c>
      <c r="T87" s="16">
        <v>7</v>
      </c>
    </row>
    <row r="88" spans="2:20" hidden="1" outlineLevel="1" x14ac:dyDescent="0.25">
      <c r="B88" t="s">
        <v>32</v>
      </c>
      <c r="C88" s="16">
        <v>65.599999999999994</v>
      </c>
      <c r="D88" s="16">
        <v>8</v>
      </c>
      <c r="E88" s="16">
        <v>100</v>
      </c>
      <c r="F88" s="16">
        <v>3</v>
      </c>
      <c r="G88" s="16">
        <v>56.3</v>
      </c>
      <c r="H88" s="16">
        <v>8</v>
      </c>
      <c r="I88" s="16">
        <v>71.900000000000006</v>
      </c>
      <c r="J88" s="16">
        <v>8</v>
      </c>
      <c r="K88" s="16">
        <v>75</v>
      </c>
      <c r="L88" s="16">
        <v>3</v>
      </c>
      <c r="M88" s="16">
        <v>85.7</v>
      </c>
      <c r="N88" s="16">
        <v>7</v>
      </c>
      <c r="O88" s="16">
        <v>87.5</v>
      </c>
      <c r="P88" s="16">
        <v>6</v>
      </c>
      <c r="Q88" s="16">
        <v>100</v>
      </c>
      <c r="R88" s="16">
        <v>6</v>
      </c>
      <c r="S88" s="16">
        <v>68.8</v>
      </c>
      <c r="T88" s="16">
        <v>8</v>
      </c>
    </row>
    <row r="89" spans="2:20" hidden="1" outlineLevel="1" x14ac:dyDescent="0.25">
      <c r="B89" t="s">
        <v>35</v>
      </c>
      <c r="C89" s="16">
        <v>75</v>
      </c>
      <c r="D89" s="16">
        <v>1</v>
      </c>
      <c r="E89" s="16">
        <v>0</v>
      </c>
      <c r="F89" s="16">
        <v>0</v>
      </c>
      <c r="G89" s="16">
        <v>68.8</v>
      </c>
      <c r="H89" s="16">
        <v>4</v>
      </c>
      <c r="I89" s="16">
        <v>50</v>
      </c>
      <c r="J89" s="16">
        <v>1</v>
      </c>
      <c r="K89" s="16">
        <v>25</v>
      </c>
      <c r="L89" s="16">
        <v>1</v>
      </c>
      <c r="M89" s="16">
        <v>85.7</v>
      </c>
      <c r="N89" s="16">
        <v>7</v>
      </c>
      <c r="O89" s="16">
        <v>71.400000000000006</v>
      </c>
      <c r="P89" s="16">
        <v>7</v>
      </c>
      <c r="Q89" s="16">
        <v>100</v>
      </c>
      <c r="R89" s="16">
        <v>3</v>
      </c>
      <c r="S89" s="16">
        <v>75</v>
      </c>
      <c r="T89" s="16">
        <v>1</v>
      </c>
    </row>
    <row r="90" spans="2:20" hidden="1" outlineLevel="1" x14ac:dyDescent="0.25">
      <c r="B90" t="s">
        <v>36</v>
      </c>
      <c r="C90" s="16">
        <v>60.7</v>
      </c>
      <c r="D90" s="16">
        <v>7</v>
      </c>
      <c r="E90" s="16">
        <v>87.5</v>
      </c>
      <c r="F90" s="16">
        <v>4</v>
      </c>
      <c r="G90" s="16">
        <v>86.1</v>
      </c>
      <c r="H90" s="16">
        <v>9</v>
      </c>
      <c r="I90" s="16">
        <v>44.4</v>
      </c>
      <c r="J90" s="16">
        <v>9</v>
      </c>
      <c r="K90" s="16">
        <v>58.3</v>
      </c>
      <c r="L90" s="16">
        <v>6</v>
      </c>
      <c r="M90" s="16">
        <v>83.3</v>
      </c>
      <c r="N90" s="16">
        <v>3</v>
      </c>
      <c r="O90" s="16">
        <v>89.6</v>
      </c>
      <c r="P90" s="16">
        <v>12</v>
      </c>
      <c r="Q90" s="16">
        <v>87.5</v>
      </c>
      <c r="R90" s="16">
        <v>2</v>
      </c>
      <c r="S90" s="16">
        <v>80.400000000000006</v>
      </c>
      <c r="T90" s="16">
        <v>14</v>
      </c>
    </row>
    <row r="91" spans="2:20" hidden="1" outlineLevel="1" x14ac:dyDescent="0.25">
      <c r="B91" t="s">
        <v>23</v>
      </c>
      <c r="C91" s="16">
        <v>88.6</v>
      </c>
      <c r="D91" s="16">
        <v>11</v>
      </c>
      <c r="E91" s="16">
        <v>100</v>
      </c>
      <c r="F91" s="16">
        <v>4</v>
      </c>
      <c r="G91" s="16">
        <v>60</v>
      </c>
      <c r="H91" s="16">
        <v>10</v>
      </c>
      <c r="I91" s="16">
        <v>75</v>
      </c>
      <c r="J91" s="16">
        <v>6</v>
      </c>
      <c r="K91" s="16">
        <v>81.8</v>
      </c>
      <c r="L91" s="16">
        <v>11</v>
      </c>
      <c r="M91" s="16">
        <v>85</v>
      </c>
      <c r="N91" s="16">
        <v>5</v>
      </c>
      <c r="O91" s="16">
        <v>80.599999999999994</v>
      </c>
      <c r="P91" s="16">
        <v>9</v>
      </c>
      <c r="Q91" s="16">
        <v>71.900000000000006</v>
      </c>
      <c r="R91" s="16">
        <v>8</v>
      </c>
      <c r="S91" s="16">
        <v>80</v>
      </c>
      <c r="T91" s="16">
        <v>10</v>
      </c>
    </row>
    <row r="92" spans="2:20" hidden="1" outlineLevel="1" x14ac:dyDescent="0.25">
      <c r="B92" t="s">
        <v>6</v>
      </c>
      <c r="C92" s="16">
        <v>100</v>
      </c>
      <c r="D92" s="16">
        <v>1</v>
      </c>
      <c r="E92" s="16">
        <v>0</v>
      </c>
      <c r="F92" s="16">
        <v>0</v>
      </c>
      <c r="G92" s="16">
        <v>91.7</v>
      </c>
      <c r="H92" s="16">
        <v>3</v>
      </c>
      <c r="I92" s="16">
        <v>90</v>
      </c>
      <c r="J92" s="16">
        <v>5</v>
      </c>
      <c r="K92" s="16">
        <v>0</v>
      </c>
      <c r="L92" s="16">
        <v>0</v>
      </c>
      <c r="M92" s="16">
        <v>85</v>
      </c>
      <c r="N92" s="16">
        <v>5</v>
      </c>
      <c r="O92" s="16">
        <v>0</v>
      </c>
      <c r="P92" s="16">
        <v>0</v>
      </c>
      <c r="Q92" s="16">
        <v>91.7</v>
      </c>
      <c r="R92" s="16">
        <v>3</v>
      </c>
      <c r="S92" s="16">
        <v>62.5</v>
      </c>
      <c r="T92" s="16">
        <v>2</v>
      </c>
    </row>
    <row r="93" spans="2:20" hidden="1" outlineLevel="1" x14ac:dyDescent="0.25">
      <c r="B93" t="s">
        <v>39</v>
      </c>
      <c r="C93" s="16">
        <v>50</v>
      </c>
      <c r="D93" s="16">
        <v>11</v>
      </c>
      <c r="E93" s="16">
        <v>67.5</v>
      </c>
      <c r="F93" s="16">
        <v>10</v>
      </c>
      <c r="G93" s="16">
        <v>59.4</v>
      </c>
      <c r="H93" s="16">
        <v>8</v>
      </c>
      <c r="I93" s="16">
        <v>65.599999999999994</v>
      </c>
      <c r="J93" s="16">
        <v>8</v>
      </c>
      <c r="K93" s="16">
        <v>78.099999999999994</v>
      </c>
      <c r="L93" s="16">
        <v>8</v>
      </c>
      <c r="M93" s="16">
        <v>75</v>
      </c>
      <c r="N93" s="16">
        <v>7</v>
      </c>
      <c r="O93" s="16">
        <v>79.2</v>
      </c>
      <c r="P93" s="16">
        <v>6</v>
      </c>
      <c r="Q93" s="16">
        <v>78.099999999999994</v>
      </c>
      <c r="R93" s="16">
        <v>8</v>
      </c>
      <c r="S93" s="16">
        <v>82.1</v>
      </c>
      <c r="T93" s="16">
        <v>7</v>
      </c>
    </row>
    <row r="94" spans="2:20" hidden="1" outlineLevel="1" x14ac:dyDescent="0.25">
      <c r="B94" t="s">
        <v>28</v>
      </c>
      <c r="C94" s="16">
        <v>66.7</v>
      </c>
      <c r="D94" s="16">
        <v>6</v>
      </c>
      <c r="E94" s="16">
        <v>30</v>
      </c>
      <c r="F94" s="16">
        <v>5</v>
      </c>
      <c r="G94" s="16">
        <v>72.5</v>
      </c>
      <c r="H94" s="16">
        <v>10</v>
      </c>
      <c r="I94" s="16">
        <v>82.5</v>
      </c>
      <c r="J94" s="16">
        <v>10</v>
      </c>
      <c r="K94" s="16">
        <v>66.7</v>
      </c>
      <c r="L94" s="16">
        <v>6</v>
      </c>
      <c r="M94" s="16">
        <v>55</v>
      </c>
      <c r="N94" s="16">
        <v>5</v>
      </c>
      <c r="O94" s="16">
        <v>58.3</v>
      </c>
      <c r="P94" s="16">
        <v>6</v>
      </c>
      <c r="Q94" s="16">
        <v>57.1</v>
      </c>
      <c r="R94" s="16">
        <v>7</v>
      </c>
      <c r="S94" s="16">
        <v>75</v>
      </c>
      <c r="T94" s="16">
        <v>6</v>
      </c>
    </row>
    <row r="95" spans="2:20" hidden="1" outlineLevel="1" x14ac:dyDescent="0.25">
      <c r="B95" t="s">
        <v>40</v>
      </c>
      <c r="C95" s="16">
        <v>50</v>
      </c>
      <c r="D95" s="16">
        <v>8</v>
      </c>
      <c r="E95" s="16">
        <v>100</v>
      </c>
      <c r="F95" s="16">
        <v>2</v>
      </c>
      <c r="G95" s="16">
        <v>85</v>
      </c>
      <c r="H95" s="16">
        <v>5</v>
      </c>
      <c r="I95" s="16">
        <v>58.3</v>
      </c>
      <c r="J95" s="16">
        <v>3</v>
      </c>
      <c r="K95" s="16">
        <v>87.5</v>
      </c>
      <c r="L95" s="16">
        <v>4</v>
      </c>
      <c r="M95" s="16">
        <v>81.3</v>
      </c>
      <c r="N95" s="16">
        <v>12</v>
      </c>
      <c r="O95" s="16">
        <v>90</v>
      </c>
      <c r="P95" s="16">
        <v>10</v>
      </c>
      <c r="Q95" s="16">
        <v>75</v>
      </c>
      <c r="R95" s="16">
        <v>7</v>
      </c>
      <c r="S95" s="16">
        <v>100</v>
      </c>
      <c r="T95" s="16">
        <v>3</v>
      </c>
    </row>
    <row r="96" spans="2:20" hidden="1" outlineLevel="1" x14ac:dyDescent="0.25">
      <c r="B96" t="s">
        <v>22</v>
      </c>
      <c r="C96" s="16">
        <v>80.599999999999994</v>
      </c>
      <c r="D96" s="16">
        <v>9</v>
      </c>
      <c r="E96" s="16">
        <v>91.7</v>
      </c>
      <c r="F96" s="16">
        <v>3</v>
      </c>
      <c r="G96" s="16">
        <v>85.4</v>
      </c>
      <c r="H96" s="16">
        <v>12</v>
      </c>
      <c r="I96" s="16">
        <v>71.400000000000006</v>
      </c>
      <c r="J96" s="16">
        <v>7</v>
      </c>
      <c r="K96" s="16">
        <v>87.5</v>
      </c>
      <c r="L96" s="16">
        <v>2</v>
      </c>
      <c r="M96" s="16">
        <v>75</v>
      </c>
      <c r="N96" s="16">
        <v>9</v>
      </c>
      <c r="O96" s="16">
        <v>83.3</v>
      </c>
      <c r="P96" s="16">
        <v>6</v>
      </c>
      <c r="Q96" s="16">
        <v>81.3</v>
      </c>
      <c r="R96" s="16">
        <v>12</v>
      </c>
      <c r="S96" s="16">
        <v>78.599999999999994</v>
      </c>
      <c r="T96" s="16">
        <v>7</v>
      </c>
    </row>
    <row r="97" spans="1:20" hidden="1" outlineLevel="1" x14ac:dyDescent="0.25">
      <c r="B97" t="s">
        <v>31</v>
      </c>
      <c r="C97" s="16">
        <v>75</v>
      </c>
      <c r="D97" s="16">
        <v>3</v>
      </c>
      <c r="E97" s="16">
        <v>54.2</v>
      </c>
      <c r="F97" s="16">
        <v>6</v>
      </c>
      <c r="G97" s="16">
        <v>100</v>
      </c>
      <c r="H97" s="16">
        <v>6</v>
      </c>
      <c r="I97" s="16">
        <v>86.5</v>
      </c>
      <c r="J97" s="16">
        <v>13</v>
      </c>
      <c r="K97" s="16">
        <v>66.7</v>
      </c>
      <c r="L97" s="16">
        <v>9</v>
      </c>
      <c r="M97" s="16">
        <v>69.400000000000006</v>
      </c>
      <c r="N97" s="16">
        <v>9</v>
      </c>
      <c r="O97" s="16">
        <v>67.900000000000006</v>
      </c>
      <c r="P97" s="16">
        <v>7</v>
      </c>
      <c r="Q97" s="16">
        <v>84.4</v>
      </c>
      <c r="R97" s="16">
        <v>8</v>
      </c>
      <c r="S97" s="16">
        <v>73.099999999999994</v>
      </c>
      <c r="T97" s="16">
        <v>13</v>
      </c>
    </row>
    <row r="98" spans="1:20" hidden="1" outlineLevel="1" x14ac:dyDescent="0.25">
      <c r="B98" t="s">
        <v>27</v>
      </c>
      <c r="C98" s="16">
        <v>80</v>
      </c>
      <c r="D98" s="16">
        <v>5</v>
      </c>
      <c r="E98" s="16">
        <v>100</v>
      </c>
      <c r="F98" s="16">
        <v>6</v>
      </c>
      <c r="G98" s="16">
        <v>70.8</v>
      </c>
      <c r="H98" s="16">
        <v>6</v>
      </c>
      <c r="I98" s="16">
        <v>87.5</v>
      </c>
      <c r="J98" s="16">
        <v>10</v>
      </c>
      <c r="K98" s="16">
        <v>87.5</v>
      </c>
      <c r="L98" s="16">
        <v>8</v>
      </c>
      <c r="M98" s="16">
        <v>65</v>
      </c>
      <c r="N98" s="16">
        <v>5</v>
      </c>
      <c r="O98" s="16">
        <v>84.4</v>
      </c>
      <c r="P98" s="16">
        <v>8</v>
      </c>
      <c r="Q98" s="16">
        <v>78.3</v>
      </c>
      <c r="R98" s="16">
        <v>15</v>
      </c>
      <c r="S98" s="16">
        <v>70</v>
      </c>
      <c r="T98" s="16">
        <v>5</v>
      </c>
    </row>
    <row r="99" spans="1:20" hidden="1" outlineLevel="1" x14ac:dyDescent="0.25">
      <c r="B99" t="s">
        <v>19</v>
      </c>
      <c r="C99" s="16">
        <v>81.3</v>
      </c>
      <c r="D99" s="16">
        <v>4</v>
      </c>
      <c r="E99" s="16">
        <v>81.3</v>
      </c>
      <c r="F99" s="16">
        <v>4</v>
      </c>
      <c r="G99" s="16">
        <v>100</v>
      </c>
      <c r="H99" s="16">
        <v>3</v>
      </c>
      <c r="I99" s="16">
        <v>81.3</v>
      </c>
      <c r="J99" s="16">
        <v>8</v>
      </c>
      <c r="K99" s="16">
        <v>33.299999999999997</v>
      </c>
      <c r="L99" s="16">
        <v>3</v>
      </c>
      <c r="M99" s="16">
        <v>85.7</v>
      </c>
      <c r="N99" s="16">
        <v>7</v>
      </c>
      <c r="O99" s="16">
        <v>61.1</v>
      </c>
      <c r="P99" s="16">
        <v>9</v>
      </c>
      <c r="Q99" s="16">
        <v>79.2</v>
      </c>
      <c r="R99" s="16">
        <v>6</v>
      </c>
      <c r="S99" s="16">
        <v>84.4</v>
      </c>
      <c r="T99" s="16">
        <v>8</v>
      </c>
    </row>
    <row r="100" spans="1:20" hidden="1" outlineLevel="1" x14ac:dyDescent="0.25">
      <c r="B100" t="s">
        <v>226</v>
      </c>
      <c r="C100" s="16">
        <v>0</v>
      </c>
      <c r="D100" s="16">
        <v>0</v>
      </c>
      <c r="E100" s="16">
        <v>0</v>
      </c>
      <c r="F100" s="16">
        <v>0</v>
      </c>
      <c r="G100" s="16">
        <v>0</v>
      </c>
      <c r="H100" s="16">
        <v>0</v>
      </c>
      <c r="I100" s="16">
        <v>65</v>
      </c>
      <c r="J100" s="16">
        <v>10</v>
      </c>
      <c r="K100" s="16">
        <v>84.1</v>
      </c>
      <c r="L100" s="16">
        <v>11</v>
      </c>
      <c r="M100" s="16">
        <v>81.3</v>
      </c>
      <c r="N100" s="16">
        <v>12</v>
      </c>
      <c r="O100" s="16">
        <v>75</v>
      </c>
      <c r="P100" s="16">
        <v>12</v>
      </c>
      <c r="Q100" s="16">
        <v>83.3</v>
      </c>
      <c r="R100" s="16">
        <v>6</v>
      </c>
      <c r="S100" s="16">
        <v>96.9</v>
      </c>
      <c r="T100" s="16">
        <v>8</v>
      </c>
    </row>
    <row r="101" spans="1:20" hidden="1" outlineLevel="1" x14ac:dyDescent="0.25">
      <c r="B101" t="s">
        <v>227</v>
      </c>
      <c r="C101" s="16">
        <v>0</v>
      </c>
      <c r="D101" s="16">
        <v>0</v>
      </c>
      <c r="E101" s="16">
        <v>0</v>
      </c>
      <c r="F101" s="16">
        <v>0</v>
      </c>
      <c r="G101" s="16">
        <v>0</v>
      </c>
      <c r="H101" s="16">
        <v>0</v>
      </c>
      <c r="I101" s="16">
        <v>75</v>
      </c>
      <c r="J101" s="16">
        <v>1</v>
      </c>
      <c r="K101" s="16">
        <v>0</v>
      </c>
      <c r="L101" s="16">
        <v>0</v>
      </c>
      <c r="M101" s="16">
        <v>0</v>
      </c>
      <c r="N101" s="16">
        <v>0</v>
      </c>
      <c r="O101" s="16">
        <v>0</v>
      </c>
      <c r="P101" s="16">
        <v>0</v>
      </c>
      <c r="Q101" s="16">
        <v>0</v>
      </c>
      <c r="R101" s="16">
        <v>0</v>
      </c>
      <c r="S101" s="16">
        <v>0</v>
      </c>
      <c r="T101" s="16">
        <v>0</v>
      </c>
    </row>
    <row r="102" spans="1:20" hidden="1" outlineLevel="1" x14ac:dyDescent="0.25">
      <c r="B102" t="s">
        <v>34</v>
      </c>
      <c r="C102" s="16">
        <v>75</v>
      </c>
      <c r="D102" s="16">
        <v>1</v>
      </c>
      <c r="E102" s="16">
        <v>87.5</v>
      </c>
      <c r="F102" s="16">
        <v>4</v>
      </c>
      <c r="G102" s="16">
        <v>72.7</v>
      </c>
      <c r="H102" s="16">
        <v>11</v>
      </c>
      <c r="I102" s="16">
        <v>90.6</v>
      </c>
      <c r="J102" s="16">
        <v>8</v>
      </c>
      <c r="K102" s="16">
        <v>87.5</v>
      </c>
      <c r="L102" s="16">
        <v>2</v>
      </c>
      <c r="M102" s="16">
        <v>75</v>
      </c>
      <c r="N102" s="16">
        <v>5</v>
      </c>
      <c r="O102" s="16">
        <v>91.7</v>
      </c>
      <c r="P102" s="16">
        <v>6</v>
      </c>
      <c r="Q102" s="16">
        <v>85.4</v>
      </c>
      <c r="R102" s="16">
        <v>12</v>
      </c>
      <c r="S102" s="16">
        <v>91.7</v>
      </c>
      <c r="T102" s="16">
        <v>3</v>
      </c>
    </row>
    <row r="103" spans="1:20" hidden="1" outlineLevel="1" x14ac:dyDescent="0.25">
      <c r="B103" t="s">
        <v>41</v>
      </c>
      <c r="C103" s="16">
        <v>58.3</v>
      </c>
      <c r="D103" s="16">
        <v>3</v>
      </c>
      <c r="E103" s="16">
        <v>60</v>
      </c>
      <c r="F103" s="16">
        <v>5</v>
      </c>
      <c r="G103" s="16">
        <v>92.9</v>
      </c>
      <c r="H103" s="16">
        <v>7</v>
      </c>
      <c r="I103" s="16">
        <v>95.8</v>
      </c>
      <c r="J103" s="16">
        <v>6</v>
      </c>
      <c r="K103" s="16">
        <v>66.7</v>
      </c>
      <c r="L103" s="16">
        <v>6</v>
      </c>
      <c r="M103" s="16">
        <v>93.8</v>
      </c>
      <c r="N103" s="16">
        <v>4</v>
      </c>
      <c r="O103" s="16">
        <v>82.1</v>
      </c>
      <c r="P103" s="16">
        <v>7</v>
      </c>
      <c r="Q103" s="16">
        <v>75</v>
      </c>
      <c r="R103" s="16">
        <v>3</v>
      </c>
      <c r="S103" s="16">
        <v>83.3</v>
      </c>
      <c r="T103" s="16">
        <v>6</v>
      </c>
    </row>
    <row r="104" spans="1:20" hidden="1" outlineLevel="1" x14ac:dyDescent="0.25">
      <c r="B104" t="s">
        <v>13</v>
      </c>
      <c r="C104" s="16">
        <v>100</v>
      </c>
      <c r="D104" s="16">
        <v>6</v>
      </c>
      <c r="E104" s="16">
        <v>78.3</v>
      </c>
      <c r="F104" s="16">
        <v>15</v>
      </c>
      <c r="G104" s="16">
        <v>89.6</v>
      </c>
      <c r="H104" s="16">
        <v>12</v>
      </c>
      <c r="I104" s="16">
        <v>85.3</v>
      </c>
      <c r="J104" s="16">
        <v>17</v>
      </c>
      <c r="K104" s="16">
        <v>100</v>
      </c>
      <c r="L104" s="16">
        <v>4</v>
      </c>
      <c r="M104" s="16">
        <v>67.7</v>
      </c>
      <c r="N104" s="16">
        <v>17</v>
      </c>
      <c r="O104" s="16">
        <v>95.5</v>
      </c>
      <c r="P104" s="16">
        <v>11</v>
      </c>
      <c r="Q104" s="16">
        <v>85.7</v>
      </c>
      <c r="R104" s="16">
        <v>14</v>
      </c>
      <c r="S104" s="16">
        <v>72.099999999999994</v>
      </c>
      <c r="T104" s="16">
        <v>17</v>
      </c>
    </row>
    <row r="105" spans="1:20" hidden="1" outlineLevel="1" x14ac:dyDescent="0.25">
      <c r="B105" t="s">
        <v>25</v>
      </c>
      <c r="C105" s="16">
        <v>79.2</v>
      </c>
      <c r="D105" s="16">
        <v>6</v>
      </c>
      <c r="E105" s="16">
        <v>81.3</v>
      </c>
      <c r="F105" s="16">
        <v>8</v>
      </c>
      <c r="G105" s="16">
        <v>75</v>
      </c>
      <c r="H105" s="16">
        <v>10</v>
      </c>
      <c r="I105" s="16">
        <v>80</v>
      </c>
      <c r="J105" s="16">
        <v>5</v>
      </c>
      <c r="K105" s="16">
        <v>67.900000000000006</v>
      </c>
      <c r="L105" s="16">
        <v>7</v>
      </c>
      <c r="M105" s="16">
        <v>66.7</v>
      </c>
      <c r="N105" s="16">
        <v>3</v>
      </c>
      <c r="O105" s="16">
        <v>100</v>
      </c>
      <c r="P105" s="16">
        <v>1</v>
      </c>
      <c r="Q105" s="16">
        <v>75</v>
      </c>
      <c r="R105" s="16">
        <v>3</v>
      </c>
      <c r="S105" s="16">
        <v>67.900000000000006</v>
      </c>
      <c r="T105" s="16">
        <v>7</v>
      </c>
    </row>
    <row r="106" spans="1:20" hidden="1" outlineLevel="1" x14ac:dyDescent="0.25">
      <c r="B106" t="s">
        <v>43</v>
      </c>
      <c r="C106" s="16">
        <v>11.1</v>
      </c>
      <c r="D106" s="16">
        <v>9</v>
      </c>
      <c r="E106" s="16">
        <v>69.400000000000006</v>
      </c>
      <c r="F106" s="16">
        <v>9</v>
      </c>
      <c r="G106" s="16">
        <v>59.2</v>
      </c>
      <c r="H106" s="16">
        <v>19</v>
      </c>
      <c r="I106" s="16">
        <v>65</v>
      </c>
      <c r="J106" s="16">
        <v>5</v>
      </c>
      <c r="K106" s="16">
        <v>85</v>
      </c>
      <c r="L106" s="16">
        <v>5</v>
      </c>
      <c r="M106" s="16">
        <v>62.5</v>
      </c>
      <c r="N106" s="16">
        <v>4</v>
      </c>
      <c r="O106" s="16">
        <v>100</v>
      </c>
      <c r="P106" s="16">
        <v>4</v>
      </c>
      <c r="Q106" s="16">
        <v>75</v>
      </c>
      <c r="R106" s="16">
        <v>1</v>
      </c>
      <c r="S106" s="16">
        <v>56.8</v>
      </c>
      <c r="T106" s="16">
        <v>11</v>
      </c>
    </row>
    <row r="107" spans="1:20" hidden="1" outlineLevel="1" x14ac:dyDescent="0.25">
      <c r="B107" t="s">
        <v>29</v>
      </c>
      <c r="C107" s="16">
        <v>75</v>
      </c>
      <c r="D107" s="16">
        <v>7</v>
      </c>
      <c r="E107" s="16">
        <v>66.7</v>
      </c>
      <c r="F107" s="16">
        <v>6</v>
      </c>
      <c r="G107" s="16">
        <v>70.8</v>
      </c>
      <c r="H107" s="16">
        <v>6</v>
      </c>
      <c r="I107" s="16">
        <v>78.599999999999994</v>
      </c>
      <c r="J107" s="16">
        <v>7</v>
      </c>
      <c r="K107" s="16">
        <v>100</v>
      </c>
      <c r="L107" s="16">
        <v>2</v>
      </c>
      <c r="M107" s="16">
        <v>75</v>
      </c>
      <c r="N107" s="16">
        <v>4</v>
      </c>
      <c r="O107" s="16">
        <v>75</v>
      </c>
      <c r="P107" s="16">
        <v>1</v>
      </c>
      <c r="Q107" s="16">
        <v>91.7</v>
      </c>
      <c r="R107" s="16">
        <v>6</v>
      </c>
      <c r="S107" s="16">
        <v>81.3</v>
      </c>
      <c r="T107" s="16">
        <v>4</v>
      </c>
    </row>
    <row r="108" spans="1:20" hidden="1" outlineLevel="1" x14ac:dyDescent="0.25">
      <c r="B108" t="s">
        <v>20</v>
      </c>
      <c r="C108" s="16">
        <v>85</v>
      </c>
      <c r="D108" s="16">
        <v>5</v>
      </c>
      <c r="E108" s="16">
        <v>75</v>
      </c>
      <c r="F108" s="16">
        <v>6</v>
      </c>
      <c r="G108" s="16">
        <v>75</v>
      </c>
      <c r="H108" s="16">
        <v>17</v>
      </c>
      <c r="I108" s="16">
        <v>80.900000000000006</v>
      </c>
      <c r="J108" s="16">
        <v>17</v>
      </c>
      <c r="K108" s="16">
        <v>75</v>
      </c>
      <c r="L108" s="16">
        <v>3</v>
      </c>
      <c r="M108" s="16">
        <v>80</v>
      </c>
      <c r="N108" s="16">
        <v>5</v>
      </c>
      <c r="O108" s="16">
        <v>91.7</v>
      </c>
      <c r="P108" s="16">
        <v>6</v>
      </c>
      <c r="Q108" s="16">
        <v>94.4</v>
      </c>
      <c r="R108" s="16">
        <v>9</v>
      </c>
      <c r="S108" s="16">
        <v>85.7</v>
      </c>
      <c r="T108" s="16">
        <v>7</v>
      </c>
    </row>
    <row r="109" spans="1:20" hidden="1" outlineLevel="1" x14ac:dyDescent="0.25">
      <c r="B109" t="s">
        <v>37</v>
      </c>
      <c r="C109" s="16">
        <v>67.3</v>
      </c>
      <c r="D109" s="16">
        <v>13</v>
      </c>
      <c r="E109" s="16">
        <v>80</v>
      </c>
      <c r="F109" s="16">
        <v>10</v>
      </c>
      <c r="G109" s="16">
        <v>67.099999999999994</v>
      </c>
      <c r="H109" s="16">
        <v>19</v>
      </c>
      <c r="I109" s="16">
        <v>73.400000000000006</v>
      </c>
      <c r="J109" s="16">
        <v>16</v>
      </c>
      <c r="K109" s="16">
        <v>0</v>
      </c>
      <c r="L109" s="16">
        <v>0</v>
      </c>
      <c r="M109" s="16">
        <v>91.7</v>
      </c>
      <c r="N109" s="16">
        <v>6</v>
      </c>
      <c r="O109" s="16">
        <v>81.7</v>
      </c>
      <c r="P109" s="16">
        <v>15</v>
      </c>
      <c r="Q109" s="16">
        <v>100</v>
      </c>
      <c r="R109" s="16">
        <v>1</v>
      </c>
      <c r="S109" s="16">
        <v>75</v>
      </c>
      <c r="T109" s="16">
        <v>6</v>
      </c>
    </row>
    <row r="110" spans="1:20" collapsed="1" x14ac:dyDescent="0.25">
      <c r="A110" t="s">
        <v>416</v>
      </c>
      <c r="C110" s="16">
        <v>2381.7999999999997</v>
      </c>
      <c r="D110" s="16">
        <v>200</v>
      </c>
      <c r="E110" s="16">
        <v>2328.6999999999998</v>
      </c>
      <c r="F110" s="16">
        <v>183</v>
      </c>
      <c r="G110" s="16">
        <v>2404.3000000000002</v>
      </c>
      <c r="H110" s="16">
        <v>300</v>
      </c>
      <c r="I110" s="16">
        <v>2650.8000000000006</v>
      </c>
      <c r="J110" s="16">
        <v>257</v>
      </c>
      <c r="K110" s="16">
        <v>2304.6999999999998</v>
      </c>
      <c r="L110" s="16">
        <v>169</v>
      </c>
      <c r="M110" s="16">
        <v>2541.9999999999995</v>
      </c>
      <c r="N110" s="16">
        <v>215</v>
      </c>
      <c r="O110" s="16">
        <v>2524.9999999999991</v>
      </c>
      <c r="P110" s="16">
        <v>235</v>
      </c>
      <c r="Q110" s="16">
        <v>2689.4999999999995</v>
      </c>
      <c r="R110" s="16">
        <v>227</v>
      </c>
      <c r="S110" s="16">
        <v>2543.8000000000002</v>
      </c>
      <c r="T110" s="16">
        <v>240</v>
      </c>
    </row>
    <row r="111" spans="1:20" hidden="1" outlineLevel="1" x14ac:dyDescent="0.25">
      <c r="A111" t="s">
        <v>11</v>
      </c>
      <c r="B111" t="s">
        <v>21</v>
      </c>
      <c r="C111" s="16">
        <v>85.7</v>
      </c>
      <c r="D111" s="16">
        <v>7</v>
      </c>
      <c r="E111" s="16">
        <v>87.5</v>
      </c>
      <c r="F111" s="16">
        <v>4</v>
      </c>
      <c r="G111" s="16">
        <v>91.1</v>
      </c>
      <c r="H111" s="16">
        <v>14</v>
      </c>
      <c r="I111" s="16">
        <v>100</v>
      </c>
      <c r="J111" s="16">
        <v>3</v>
      </c>
      <c r="K111" s="16">
        <v>100</v>
      </c>
      <c r="L111" s="16">
        <v>2</v>
      </c>
      <c r="M111" s="16">
        <v>95</v>
      </c>
      <c r="N111" s="16">
        <v>5</v>
      </c>
      <c r="O111" s="16">
        <v>91.7</v>
      </c>
      <c r="P111" s="16">
        <v>9</v>
      </c>
      <c r="Q111" s="16">
        <v>100</v>
      </c>
      <c r="R111" s="16">
        <v>6</v>
      </c>
      <c r="S111" s="16">
        <v>85</v>
      </c>
      <c r="T111" s="16">
        <v>5</v>
      </c>
    </row>
    <row r="112" spans="1:20" hidden="1" outlineLevel="1" x14ac:dyDescent="0.25">
      <c r="B112" t="s">
        <v>30</v>
      </c>
      <c r="C112" s="16">
        <v>82.1</v>
      </c>
      <c r="D112" s="16">
        <v>7</v>
      </c>
      <c r="E112" s="16">
        <v>92.5</v>
      </c>
      <c r="F112" s="16">
        <v>10</v>
      </c>
      <c r="G112" s="16">
        <v>83.3</v>
      </c>
      <c r="H112" s="16">
        <v>9</v>
      </c>
      <c r="I112" s="16">
        <v>100</v>
      </c>
      <c r="J112" s="16">
        <v>6</v>
      </c>
      <c r="K112" s="16">
        <v>43.8</v>
      </c>
      <c r="L112" s="16">
        <v>4</v>
      </c>
      <c r="M112" s="16">
        <v>89.3</v>
      </c>
      <c r="N112" s="16">
        <v>7</v>
      </c>
      <c r="O112" s="16">
        <v>100</v>
      </c>
      <c r="P112" s="16">
        <v>8</v>
      </c>
      <c r="Q112" s="16">
        <v>91.7</v>
      </c>
      <c r="R112" s="16">
        <v>6</v>
      </c>
      <c r="S112" s="16">
        <v>86.4</v>
      </c>
      <c r="T112" s="16">
        <v>11</v>
      </c>
    </row>
    <row r="113" spans="2:20" hidden="1" outlineLevel="1" x14ac:dyDescent="0.25">
      <c r="B113" t="s">
        <v>14</v>
      </c>
      <c r="C113" s="16">
        <v>92.9</v>
      </c>
      <c r="D113" s="16">
        <v>7</v>
      </c>
      <c r="E113" s="16">
        <v>91.7</v>
      </c>
      <c r="F113" s="16">
        <v>6</v>
      </c>
      <c r="G113" s="16">
        <v>86.1</v>
      </c>
      <c r="H113" s="16">
        <v>9</v>
      </c>
      <c r="I113" s="16">
        <v>100</v>
      </c>
      <c r="J113" s="16">
        <v>7</v>
      </c>
      <c r="K113" s="16">
        <v>71.900000000000006</v>
      </c>
      <c r="L113" s="16">
        <v>8</v>
      </c>
      <c r="M113" s="16">
        <v>100</v>
      </c>
      <c r="N113" s="16">
        <v>6</v>
      </c>
      <c r="O113" s="16">
        <v>87.5</v>
      </c>
      <c r="P113" s="16">
        <v>8</v>
      </c>
      <c r="Q113" s="16">
        <v>78.099999999999994</v>
      </c>
      <c r="R113" s="16">
        <v>8</v>
      </c>
      <c r="S113" s="16">
        <v>79.2</v>
      </c>
      <c r="T113" s="16">
        <v>6</v>
      </c>
    </row>
    <row r="114" spans="2:20" hidden="1" outlineLevel="1" x14ac:dyDescent="0.25">
      <c r="B114" t="s">
        <v>38</v>
      </c>
      <c r="C114" s="16">
        <v>68.8</v>
      </c>
      <c r="D114" s="16">
        <v>4</v>
      </c>
      <c r="E114" s="16">
        <v>92.9</v>
      </c>
      <c r="F114" s="16">
        <v>7</v>
      </c>
      <c r="G114" s="16">
        <v>86.4</v>
      </c>
      <c r="H114" s="16">
        <v>11</v>
      </c>
      <c r="I114" s="16">
        <v>75</v>
      </c>
      <c r="J114" s="16">
        <v>5</v>
      </c>
      <c r="K114" s="16">
        <v>91.7</v>
      </c>
      <c r="L114" s="16">
        <v>9</v>
      </c>
      <c r="M114" s="16">
        <v>75</v>
      </c>
      <c r="N114" s="16">
        <v>2</v>
      </c>
      <c r="O114" s="16">
        <v>87.5</v>
      </c>
      <c r="P114" s="16">
        <v>2</v>
      </c>
      <c r="Q114" s="16">
        <v>89.3</v>
      </c>
      <c r="R114" s="16">
        <v>7</v>
      </c>
      <c r="S114" s="16">
        <v>96.9</v>
      </c>
      <c r="T114" s="16">
        <v>8</v>
      </c>
    </row>
    <row r="115" spans="2:20" hidden="1" outlineLevel="1" x14ac:dyDescent="0.25">
      <c r="B115" t="s">
        <v>26</v>
      </c>
      <c r="C115" s="16">
        <v>85.7</v>
      </c>
      <c r="D115" s="16">
        <v>7</v>
      </c>
      <c r="E115" s="16">
        <v>79.2</v>
      </c>
      <c r="F115" s="16">
        <v>6</v>
      </c>
      <c r="G115" s="16">
        <v>89.6</v>
      </c>
      <c r="H115" s="16">
        <v>12</v>
      </c>
      <c r="I115" s="16">
        <v>94.4</v>
      </c>
      <c r="J115" s="16">
        <v>9</v>
      </c>
      <c r="K115" s="16">
        <v>100</v>
      </c>
      <c r="L115" s="16">
        <v>4</v>
      </c>
      <c r="M115" s="16">
        <v>83.3</v>
      </c>
      <c r="N115" s="16">
        <v>6</v>
      </c>
      <c r="O115" s="16">
        <v>75</v>
      </c>
      <c r="P115" s="16">
        <v>6</v>
      </c>
      <c r="Q115" s="16">
        <v>75</v>
      </c>
      <c r="R115" s="16">
        <v>7</v>
      </c>
      <c r="S115" s="16">
        <v>100</v>
      </c>
      <c r="T115" s="16">
        <v>7</v>
      </c>
    </row>
    <row r="116" spans="2:20" hidden="1" outlineLevel="1" x14ac:dyDescent="0.25">
      <c r="B116" t="s">
        <v>42</v>
      </c>
      <c r="C116" s="16">
        <v>50</v>
      </c>
      <c r="D116" s="16">
        <v>4</v>
      </c>
      <c r="E116" s="16">
        <v>55</v>
      </c>
      <c r="F116" s="16">
        <v>10</v>
      </c>
      <c r="G116" s="16">
        <v>75</v>
      </c>
      <c r="H116" s="16">
        <v>5</v>
      </c>
      <c r="I116" s="16">
        <v>75</v>
      </c>
      <c r="J116" s="16">
        <v>1</v>
      </c>
      <c r="K116" s="16">
        <v>87.5</v>
      </c>
      <c r="L116" s="16">
        <v>6</v>
      </c>
      <c r="M116" s="16">
        <v>71.900000000000006</v>
      </c>
      <c r="N116" s="16">
        <v>8</v>
      </c>
      <c r="O116" s="16">
        <v>58.3</v>
      </c>
      <c r="P116" s="16">
        <v>15</v>
      </c>
      <c r="Q116" s="16">
        <v>86.4</v>
      </c>
      <c r="R116" s="16">
        <v>11</v>
      </c>
      <c r="S116" s="16">
        <v>68.8</v>
      </c>
      <c r="T116" s="16">
        <v>8</v>
      </c>
    </row>
    <row r="117" spans="2:20" hidden="1" outlineLevel="1" x14ac:dyDescent="0.25">
      <c r="B117" t="s">
        <v>17</v>
      </c>
      <c r="C117" s="16">
        <v>93.8</v>
      </c>
      <c r="D117" s="16">
        <v>4</v>
      </c>
      <c r="E117" s="16">
        <v>91.7</v>
      </c>
      <c r="F117" s="16">
        <v>3</v>
      </c>
      <c r="G117" s="16">
        <v>96.9</v>
      </c>
      <c r="H117" s="16">
        <v>8</v>
      </c>
      <c r="I117" s="16">
        <v>90.6</v>
      </c>
      <c r="J117" s="16">
        <v>8</v>
      </c>
      <c r="K117" s="16">
        <v>83.3</v>
      </c>
      <c r="L117" s="16">
        <v>3</v>
      </c>
      <c r="M117" s="16">
        <v>100</v>
      </c>
      <c r="N117" s="16">
        <v>3</v>
      </c>
      <c r="O117" s="16">
        <v>78.900000000000006</v>
      </c>
      <c r="P117" s="16">
        <v>13</v>
      </c>
      <c r="Q117" s="16">
        <v>100</v>
      </c>
      <c r="R117" s="16">
        <v>12</v>
      </c>
      <c r="S117" s="16">
        <v>95.8</v>
      </c>
      <c r="T117" s="16">
        <v>6</v>
      </c>
    </row>
    <row r="118" spans="2:20" hidden="1" outlineLevel="1" x14ac:dyDescent="0.25">
      <c r="B118" t="s">
        <v>15</v>
      </c>
      <c r="C118" s="16">
        <v>90</v>
      </c>
      <c r="D118" s="16">
        <v>5</v>
      </c>
      <c r="E118" s="16">
        <v>83.3</v>
      </c>
      <c r="F118" s="16">
        <v>3</v>
      </c>
      <c r="G118" s="16">
        <v>0</v>
      </c>
      <c r="H118" s="16">
        <v>0</v>
      </c>
      <c r="I118" s="16">
        <v>0</v>
      </c>
      <c r="J118" s="16">
        <v>0</v>
      </c>
      <c r="K118" s="16">
        <v>0</v>
      </c>
      <c r="L118" s="16">
        <v>0</v>
      </c>
      <c r="M118" s="16">
        <v>0</v>
      </c>
      <c r="N118" s="16">
        <v>0</v>
      </c>
      <c r="O118" s="16">
        <v>0</v>
      </c>
      <c r="P118" s="16">
        <v>0</v>
      </c>
      <c r="Q118" s="16">
        <v>0</v>
      </c>
      <c r="R118" s="16">
        <v>0</v>
      </c>
      <c r="S118" s="16">
        <v>0</v>
      </c>
      <c r="T118" s="16">
        <v>0</v>
      </c>
    </row>
    <row r="119" spans="2:20" hidden="1" outlineLevel="1" x14ac:dyDescent="0.25">
      <c r="B119" t="s">
        <v>33</v>
      </c>
      <c r="C119" s="16">
        <v>78.099999999999994</v>
      </c>
      <c r="D119" s="16">
        <v>8</v>
      </c>
      <c r="E119" s="16">
        <v>68.8</v>
      </c>
      <c r="F119" s="16">
        <v>4</v>
      </c>
      <c r="G119" s="16">
        <v>85.4</v>
      </c>
      <c r="H119" s="16">
        <v>12</v>
      </c>
      <c r="I119" s="16">
        <v>91.7</v>
      </c>
      <c r="J119" s="16">
        <v>9</v>
      </c>
      <c r="K119" s="16">
        <v>89.6</v>
      </c>
      <c r="L119" s="16">
        <v>12</v>
      </c>
      <c r="M119" s="16">
        <v>90.6</v>
      </c>
      <c r="N119" s="16">
        <v>8</v>
      </c>
      <c r="O119" s="16">
        <v>75</v>
      </c>
      <c r="P119" s="16">
        <v>4</v>
      </c>
      <c r="Q119" s="16">
        <v>76.900000000000006</v>
      </c>
      <c r="R119" s="16">
        <v>13</v>
      </c>
      <c r="S119" s="16">
        <v>77.8</v>
      </c>
      <c r="T119" s="16">
        <v>9</v>
      </c>
    </row>
    <row r="120" spans="2:20" hidden="1" outlineLevel="1" x14ac:dyDescent="0.25">
      <c r="B120" t="s">
        <v>18</v>
      </c>
      <c r="C120" s="16">
        <v>93.8</v>
      </c>
      <c r="D120" s="16">
        <v>8</v>
      </c>
      <c r="E120" s="16">
        <v>75</v>
      </c>
      <c r="F120" s="16">
        <v>9</v>
      </c>
      <c r="G120" s="16">
        <v>80.8</v>
      </c>
      <c r="H120" s="16">
        <v>13</v>
      </c>
      <c r="I120" s="16">
        <v>100</v>
      </c>
      <c r="J120" s="16">
        <v>10</v>
      </c>
      <c r="K120" s="16">
        <v>100</v>
      </c>
      <c r="L120" s="16">
        <v>8</v>
      </c>
      <c r="M120" s="16">
        <v>96.4</v>
      </c>
      <c r="N120" s="16">
        <v>14</v>
      </c>
      <c r="O120" s="16">
        <v>100</v>
      </c>
      <c r="P120" s="16">
        <v>11</v>
      </c>
      <c r="Q120" s="16">
        <v>92.9</v>
      </c>
      <c r="R120" s="16">
        <v>7</v>
      </c>
      <c r="S120" s="16">
        <v>94.6</v>
      </c>
      <c r="T120" s="16">
        <v>14</v>
      </c>
    </row>
    <row r="121" spans="2:20" hidden="1" outlineLevel="1" x14ac:dyDescent="0.25">
      <c r="B121" t="s">
        <v>16</v>
      </c>
      <c r="C121" s="16">
        <v>93.8</v>
      </c>
      <c r="D121" s="16">
        <v>4</v>
      </c>
      <c r="E121" s="16">
        <v>100</v>
      </c>
      <c r="F121" s="16">
        <v>4</v>
      </c>
      <c r="G121" s="16">
        <v>95</v>
      </c>
      <c r="H121" s="16">
        <v>5</v>
      </c>
      <c r="I121" s="16">
        <v>93.8</v>
      </c>
      <c r="J121" s="16">
        <v>4</v>
      </c>
      <c r="K121" s="16">
        <v>75</v>
      </c>
      <c r="L121" s="16">
        <v>2</v>
      </c>
      <c r="M121" s="16">
        <v>80</v>
      </c>
      <c r="N121" s="16">
        <v>5</v>
      </c>
      <c r="O121" s="16">
        <v>87.5</v>
      </c>
      <c r="P121" s="16">
        <v>2</v>
      </c>
      <c r="Q121" s="16">
        <v>100</v>
      </c>
      <c r="R121" s="16">
        <v>3</v>
      </c>
      <c r="S121" s="16">
        <v>78.599999999999994</v>
      </c>
      <c r="T121" s="16">
        <v>7</v>
      </c>
    </row>
    <row r="122" spans="2:20" hidden="1" outlineLevel="1" x14ac:dyDescent="0.25">
      <c r="B122" t="s">
        <v>24</v>
      </c>
      <c r="C122" s="16">
        <v>88.6</v>
      </c>
      <c r="D122" s="16">
        <v>11</v>
      </c>
      <c r="E122" s="16">
        <v>86.1</v>
      </c>
      <c r="F122" s="16">
        <v>9</v>
      </c>
      <c r="G122" s="16">
        <v>84.7</v>
      </c>
      <c r="H122" s="16">
        <v>18</v>
      </c>
      <c r="I122" s="16">
        <v>89.1</v>
      </c>
      <c r="J122" s="16">
        <v>16</v>
      </c>
      <c r="K122" s="16">
        <v>89.6</v>
      </c>
      <c r="L122" s="16">
        <v>12</v>
      </c>
      <c r="M122" s="16">
        <v>95</v>
      </c>
      <c r="N122" s="16">
        <v>10</v>
      </c>
      <c r="O122" s="16">
        <v>96.9</v>
      </c>
      <c r="P122" s="16">
        <v>8</v>
      </c>
      <c r="Q122" s="16">
        <v>100</v>
      </c>
      <c r="R122" s="16">
        <v>9</v>
      </c>
      <c r="S122" s="16">
        <v>100</v>
      </c>
      <c r="T122" s="16">
        <v>7</v>
      </c>
    </row>
    <row r="123" spans="2:20" hidden="1" outlineLevel="1" x14ac:dyDescent="0.25">
      <c r="B123" t="s">
        <v>32</v>
      </c>
      <c r="C123" s="16">
        <v>80.599999999999994</v>
      </c>
      <c r="D123" s="16">
        <v>9</v>
      </c>
      <c r="E123" s="16">
        <v>100</v>
      </c>
      <c r="F123" s="16">
        <v>3</v>
      </c>
      <c r="G123" s="16">
        <v>59.4</v>
      </c>
      <c r="H123" s="16">
        <v>8</v>
      </c>
      <c r="I123" s="16">
        <v>78.099999999999994</v>
      </c>
      <c r="J123" s="16">
        <v>8</v>
      </c>
      <c r="K123" s="16">
        <v>83.3</v>
      </c>
      <c r="L123" s="16">
        <v>3</v>
      </c>
      <c r="M123" s="16">
        <v>92.9</v>
      </c>
      <c r="N123" s="16">
        <v>7</v>
      </c>
      <c r="O123" s="16">
        <v>87.5</v>
      </c>
      <c r="P123" s="16">
        <v>6</v>
      </c>
      <c r="Q123" s="16">
        <v>100</v>
      </c>
      <c r="R123" s="16">
        <v>7</v>
      </c>
      <c r="S123" s="16">
        <v>75</v>
      </c>
      <c r="T123" s="16">
        <v>8</v>
      </c>
    </row>
    <row r="124" spans="2:20" hidden="1" outlineLevel="1" x14ac:dyDescent="0.25">
      <c r="B124" t="s">
        <v>35</v>
      </c>
      <c r="C124" s="16">
        <v>75</v>
      </c>
      <c r="D124" s="16">
        <v>1</v>
      </c>
      <c r="E124" s="16">
        <v>0</v>
      </c>
      <c r="F124" s="16">
        <v>0</v>
      </c>
      <c r="G124" s="16">
        <v>81.3</v>
      </c>
      <c r="H124" s="16">
        <v>4</v>
      </c>
      <c r="I124" s="16">
        <v>100</v>
      </c>
      <c r="J124" s="16">
        <v>1</v>
      </c>
      <c r="K124" s="16">
        <v>62.5</v>
      </c>
      <c r="L124" s="16">
        <v>2</v>
      </c>
      <c r="M124" s="16">
        <v>92.9</v>
      </c>
      <c r="N124" s="16">
        <v>7</v>
      </c>
      <c r="O124" s="16">
        <v>71.400000000000006</v>
      </c>
      <c r="P124" s="16">
        <v>7</v>
      </c>
      <c r="Q124" s="16">
        <v>100</v>
      </c>
      <c r="R124" s="16">
        <v>3</v>
      </c>
      <c r="S124" s="16">
        <v>100</v>
      </c>
      <c r="T124" s="16">
        <v>1</v>
      </c>
    </row>
    <row r="125" spans="2:20" hidden="1" outlineLevel="1" x14ac:dyDescent="0.25">
      <c r="B125" t="s">
        <v>36</v>
      </c>
      <c r="C125" s="16">
        <v>71.400000000000006</v>
      </c>
      <c r="D125" s="16">
        <v>7</v>
      </c>
      <c r="E125" s="16">
        <v>93.8</v>
      </c>
      <c r="F125" s="16">
        <v>4</v>
      </c>
      <c r="G125" s="16">
        <v>94.4</v>
      </c>
      <c r="H125" s="16">
        <v>9</v>
      </c>
      <c r="I125" s="16">
        <v>66.7</v>
      </c>
      <c r="J125" s="16">
        <v>9</v>
      </c>
      <c r="K125" s="16">
        <v>62.5</v>
      </c>
      <c r="L125" s="16">
        <v>6</v>
      </c>
      <c r="M125" s="16">
        <v>83.3</v>
      </c>
      <c r="N125" s="16">
        <v>3</v>
      </c>
      <c r="O125" s="16">
        <v>91.7</v>
      </c>
      <c r="P125" s="16">
        <v>12</v>
      </c>
      <c r="Q125" s="16">
        <v>87.5</v>
      </c>
      <c r="R125" s="16">
        <v>2</v>
      </c>
      <c r="S125" s="16">
        <v>87.5</v>
      </c>
      <c r="T125" s="16">
        <v>14</v>
      </c>
    </row>
    <row r="126" spans="2:20" hidden="1" outlineLevel="1" x14ac:dyDescent="0.25">
      <c r="B126" t="s">
        <v>23</v>
      </c>
      <c r="C126" s="16">
        <v>86.4</v>
      </c>
      <c r="D126" s="16">
        <v>11</v>
      </c>
      <c r="E126" s="16">
        <v>100</v>
      </c>
      <c r="F126" s="16">
        <v>4</v>
      </c>
      <c r="G126" s="16">
        <v>67.5</v>
      </c>
      <c r="H126" s="16">
        <v>10</v>
      </c>
      <c r="I126" s="16">
        <v>87.5</v>
      </c>
      <c r="J126" s="16">
        <v>6</v>
      </c>
      <c r="K126" s="16">
        <v>88.6</v>
      </c>
      <c r="L126" s="16">
        <v>11</v>
      </c>
      <c r="M126" s="16">
        <v>100</v>
      </c>
      <c r="N126" s="16">
        <v>5</v>
      </c>
      <c r="O126" s="16">
        <v>86.1</v>
      </c>
      <c r="P126" s="16">
        <v>9</v>
      </c>
      <c r="Q126" s="16">
        <v>84.4</v>
      </c>
      <c r="R126" s="16">
        <v>8</v>
      </c>
      <c r="S126" s="16">
        <v>82.5</v>
      </c>
      <c r="T126" s="16">
        <v>10</v>
      </c>
    </row>
    <row r="127" spans="2:20" hidden="1" outlineLevel="1" x14ac:dyDescent="0.25">
      <c r="B127" t="s">
        <v>6</v>
      </c>
      <c r="C127" s="16">
        <v>100</v>
      </c>
      <c r="D127" s="16">
        <v>1</v>
      </c>
      <c r="E127" s="16">
        <v>0</v>
      </c>
      <c r="F127" s="16">
        <v>0</v>
      </c>
      <c r="G127" s="16">
        <v>91.7</v>
      </c>
      <c r="H127" s="16">
        <v>3</v>
      </c>
      <c r="I127" s="16">
        <v>90</v>
      </c>
      <c r="J127" s="16">
        <v>5</v>
      </c>
      <c r="K127" s="16">
        <v>0</v>
      </c>
      <c r="L127" s="16">
        <v>0</v>
      </c>
      <c r="M127" s="16">
        <v>100</v>
      </c>
      <c r="N127" s="16">
        <v>5</v>
      </c>
      <c r="O127" s="16">
        <v>0</v>
      </c>
      <c r="P127" s="16">
        <v>0</v>
      </c>
      <c r="Q127" s="16">
        <v>91.7</v>
      </c>
      <c r="R127" s="16">
        <v>3</v>
      </c>
      <c r="S127" s="16">
        <v>87.5</v>
      </c>
      <c r="T127" s="16">
        <v>2</v>
      </c>
    </row>
    <row r="128" spans="2:20" hidden="1" outlineLevel="1" x14ac:dyDescent="0.25">
      <c r="B128" t="s">
        <v>39</v>
      </c>
      <c r="C128" s="16">
        <v>61.4</v>
      </c>
      <c r="D128" s="16">
        <v>11</v>
      </c>
      <c r="E128" s="16">
        <v>77.5</v>
      </c>
      <c r="F128" s="16">
        <v>10</v>
      </c>
      <c r="G128" s="16">
        <v>65.599999999999994</v>
      </c>
      <c r="H128" s="16">
        <v>8</v>
      </c>
      <c r="I128" s="16">
        <v>68.8</v>
      </c>
      <c r="J128" s="16">
        <v>8</v>
      </c>
      <c r="K128" s="16">
        <v>87.5</v>
      </c>
      <c r="L128" s="16">
        <v>8</v>
      </c>
      <c r="M128" s="16">
        <v>85.7</v>
      </c>
      <c r="N128" s="16">
        <v>7</v>
      </c>
      <c r="O128" s="16">
        <v>83.3</v>
      </c>
      <c r="P128" s="16">
        <v>6</v>
      </c>
      <c r="Q128" s="16">
        <v>87.5</v>
      </c>
      <c r="R128" s="16">
        <v>8</v>
      </c>
      <c r="S128" s="16">
        <v>85.7</v>
      </c>
      <c r="T128" s="16">
        <v>7</v>
      </c>
    </row>
    <row r="129" spans="2:20" hidden="1" outlineLevel="1" x14ac:dyDescent="0.25">
      <c r="B129" t="s">
        <v>28</v>
      </c>
      <c r="C129" s="16">
        <v>83.3</v>
      </c>
      <c r="D129" s="16">
        <v>6</v>
      </c>
      <c r="E129" s="16">
        <v>50</v>
      </c>
      <c r="F129" s="16">
        <v>5</v>
      </c>
      <c r="G129" s="16">
        <v>80</v>
      </c>
      <c r="H129" s="16">
        <v>10</v>
      </c>
      <c r="I129" s="16">
        <v>92.5</v>
      </c>
      <c r="J129" s="16">
        <v>10</v>
      </c>
      <c r="K129" s="16">
        <v>80</v>
      </c>
      <c r="L129" s="16">
        <v>5</v>
      </c>
      <c r="M129" s="16">
        <v>50</v>
      </c>
      <c r="N129" s="16">
        <v>5</v>
      </c>
      <c r="O129" s="16">
        <v>70.8</v>
      </c>
      <c r="P129" s="16">
        <v>6</v>
      </c>
      <c r="Q129" s="16">
        <v>66.7</v>
      </c>
      <c r="R129" s="16">
        <v>6</v>
      </c>
      <c r="S129" s="16">
        <v>71.400000000000006</v>
      </c>
      <c r="T129" s="16">
        <v>7</v>
      </c>
    </row>
    <row r="130" spans="2:20" hidden="1" outlineLevel="1" x14ac:dyDescent="0.25">
      <c r="B130" t="s">
        <v>40</v>
      </c>
      <c r="C130" s="16">
        <v>59.4</v>
      </c>
      <c r="D130" s="16">
        <v>8</v>
      </c>
      <c r="E130" s="16">
        <v>87.5</v>
      </c>
      <c r="F130" s="16">
        <v>2</v>
      </c>
      <c r="G130" s="16">
        <v>90</v>
      </c>
      <c r="H130" s="16">
        <v>5</v>
      </c>
      <c r="I130" s="16">
        <v>75</v>
      </c>
      <c r="J130" s="16">
        <v>3</v>
      </c>
      <c r="K130" s="16">
        <v>81.3</v>
      </c>
      <c r="L130" s="16">
        <v>4</v>
      </c>
      <c r="M130" s="16">
        <v>83.3</v>
      </c>
      <c r="N130" s="16">
        <v>12</v>
      </c>
      <c r="O130" s="16">
        <v>97.2</v>
      </c>
      <c r="P130" s="16">
        <v>9</v>
      </c>
      <c r="Q130" s="16">
        <v>81.3</v>
      </c>
      <c r="R130" s="16">
        <v>8</v>
      </c>
      <c r="S130" s="16">
        <v>100</v>
      </c>
      <c r="T130" s="16">
        <v>3</v>
      </c>
    </row>
    <row r="131" spans="2:20" hidden="1" outlineLevel="1" x14ac:dyDescent="0.25">
      <c r="B131" t="s">
        <v>22</v>
      </c>
      <c r="C131" s="16">
        <v>88.9</v>
      </c>
      <c r="D131" s="16">
        <v>9</v>
      </c>
      <c r="E131" s="16">
        <v>100</v>
      </c>
      <c r="F131" s="16">
        <v>3</v>
      </c>
      <c r="G131" s="16">
        <v>91.7</v>
      </c>
      <c r="H131" s="16">
        <v>12</v>
      </c>
      <c r="I131" s="16">
        <v>78.599999999999994</v>
      </c>
      <c r="J131" s="16">
        <v>7</v>
      </c>
      <c r="K131" s="16">
        <v>87.5</v>
      </c>
      <c r="L131" s="16">
        <v>2</v>
      </c>
      <c r="M131" s="16">
        <v>91.7</v>
      </c>
      <c r="N131" s="16">
        <v>9</v>
      </c>
      <c r="O131" s="16">
        <v>83.3</v>
      </c>
      <c r="P131" s="16">
        <v>6</v>
      </c>
      <c r="Q131" s="16">
        <v>84.6</v>
      </c>
      <c r="R131" s="16">
        <v>13</v>
      </c>
      <c r="S131" s="16">
        <v>89.3</v>
      </c>
      <c r="T131" s="16">
        <v>7</v>
      </c>
    </row>
    <row r="132" spans="2:20" hidden="1" outlineLevel="1" x14ac:dyDescent="0.25">
      <c r="B132" t="s">
        <v>31</v>
      </c>
      <c r="C132" s="16">
        <v>81.3</v>
      </c>
      <c r="D132" s="16">
        <v>4</v>
      </c>
      <c r="E132" s="16">
        <v>75</v>
      </c>
      <c r="F132" s="16">
        <v>6</v>
      </c>
      <c r="G132" s="16">
        <v>100</v>
      </c>
      <c r="H132" s="16">
        <v>7</v>
      </c>
      <c r="I132" s="16">
        <v>89.6</v>
      </c>
      <c r="J132" s="16">
        <v>12</v>
      </c>
      <c r="K132" s="16">
        <v>66.7</v>
      </c>
      <c r="L132" s="16">
        <v>9</v>
      </c>
      <c r="M132" s="16">
        <v>83.3</v>
      </c>
      <c r="N132" s="16">
        <v>9</v>
      </c>
      <c r="O132" s="16">
        <v>71.400000000000006</v>
      </c>
      <c r="P132" s="16">
        <v>7</v>
      </c>
      <c r="Q132" s="16">
        <v>87.5</v>
      </c>
      <c r="R132" s="16">
        <v>8</v>
      </c>
      <c r="S132" s="16">
        <v>79.2</v>
      </c>
      <c r="T132" s="16">
        <v>12</v>
      </c>
    </row>
    <row r="133" spans="2:20" hidden="1" outlineLevel="1" x14ac:dyDescent="0.25">
      <c r="B133" t="s">
        <v>27</v>
      </c>
      <c r="C133" s="16">
        <v>85</v>
      </c>
      <c r="D133" s="16">
        <v>5</v>
      </c>
      <c r="E133" s="16">
        <v>100</v>
      </c>
      <c r="F133" s="16">
        <v>6</v>
      </c>
      <c r="G133" s="16">
        <v>75</v>
      </c>
      <c r="H133" s="16">
        <v>6</v>
      </c>
      <c r="I133" s="16">
        <v>92.5</v>
      </c>
      <c r="J133" s="16">
        <v>10</v>
      </c>
      <c r="K133" s="16">
        <v>87.5</v>
      </c>
      <c r="L133" s="16">
        <v>8</v>
      </c>
      <c r="M133" s="16">
        <v>85</v>
      </c>
      <c r="N133" s="16">
        <v>5</v>
      </c>
      <c r="O133" s="16">
        <v>90.6</v>
      </c>
      <c r="P133" s="16">
        <v>8</v>
      </c>
      <c r="Q133" s="16">
        <v>86.7</v>
      </c>
      <c r="R133" s="16">
        <v>15</v>
      </c>
      <c r="S133" s="16">
        <v>90</v>
      </c>
      <c r="T133" s="16">
        <v>5</v>
      </c>
    </row>
    <row r="134" spans="2:20" hidden="1" outlineLevel="1" x14ac:dyDescent="0.25">
      <c r="B134" t="s">
        <v>19</v>
      </c>
      <c r="C134" s="16">
        <v>93.8</v>
      </c>
      <c r="D134" s="16">
        <v>4</v>
      </c>
      <c r="E134" s="16">
        <v>75</v>
      </c>
      <c r="F134" s="16">
        <v>4</v>
      </c>
      <c r="G134" s="16">
        <v>100</v>
      </c>
      <c r="H134" s="16">
        <v>3</v>
      </c>
      <c r="I134" s="16">
        <v>90.6</v>
      </c>
      <c r="J134" s="16">
        <v>8</v>
      </c>
      <c r="K134" s="16">
        <v>33.299999999999997</v>
      </c>
      <c r="L134" s="16">
        <v>3</v>
      </c>
      <c r="M134" s="16">
        <v>96.4</v>
      </c>
      <c r="N134" s="16">
        <v>7</v>
      </c>
      <c r="O134" s="16">
        <v>69.400000000000006</v>
      </c>
      <c r="P134" s="16">
        <v>9</v>
      </c>
      <c r="Q134" s="16">
        <v>87.5</v>
      </c>
      <c r="R134" s="16">
        <v>6</v>
      </c>
      <c r="S134" s="16">
        <v>84.4</v>
      </c>
      <c r="T134" s="16">
        <v>8</v>
      </c>
    </row>
    <row r="135" spans="2:20" hidden="1" outlineLevel="1" x14ac:dyDescent="0.25">
      <c r="B135" t="s">
        <v>226</v>
      </c>
      <c r="C135" s="16">
        <v>0</v>
      </c>
      <c r="D135" s="16">
        <v>0</v>
      </c>
      <c r="E135" s="16">
        <v>0</v>
      </c>
      <c r="F135" s="16">
        <v>0</v>
      </c>
      <c r="G135" s="16">
        <v>0</v>
      </c>
      <c r="H135" s="16">
        <v>0</v>
      </c>
      <c r="I135" s="16">
        <v>62.5</v>
      </c>
      <c r="J135" s="16">
        <v>10</v>
      </c>
      <c r="K135" s="16">
        <v>88.6</v>
      </c>
      <c r="L135" s="16">
        <v>11</v>
      </c>
      <c r="M135" s="16">
        <v>78.900000000000006</v>
      </c>
      <c r="N135" s="16">
        <v>13</v>
      </c>
      <c r="O135" s="16">
        <v>87.5</v>
      </c>
      <c r="P135" s="16">
        <v>12</v>
      </c>
      <c r="Q135" s="16">
        <v>83.3</v>
      </c>
      <c r="R135" s="16">
        <v>6</v>
      </c>
      <c r="S135" s="16">
        <v>100</v>
      </c>
      <c r="T135" s="16">
        <v>8</v>
      </c>
    </row>
    <row r="136" spans="2:20" hidden="1" outlineLevel="1" x14ac:dyDescent="0.25">
      <c r="B136" t="s">
        <v>227</v>
      </c>
      <c r="C136" s="16">
        <v>0</v>
      </c>
      <c r="D136" s="16">
        <v>0</v>
      </c>
      <c r="E136" s="16">
        <v>0</v>
      </c>
      <c r="F136" s="16">
        <v>0</v>
      </c>
      <c r="G136" s="16">
        <v>0</v>
      </c>
      <c r="H136" s="16">
        <v>0</v>
      </c>
      <c r="I136" s="16">
        <v>100</v>
      </c>
      <c r="J136" s="16">
        <v>1</v>
      </c>
      <c r="K136" s="16">
        <v>0</v>
      </c>
      <c r="L136" s="16">
        <v>0</v>
      </c>
      <c r="M136" s="16">
        <v>0</v>
      </c>
      <c r="N136" s="16">
        <v>0</v>
      </c>
      <c r="O136" s="16">
        <v>0</v>
      </c>
      <c r="P136" s="16">
        <v>0</v>
      </c>
      <c r="Q136" s="16">
        <v>0</v>
      </c>
      <c r="R136" s="16">
        <v>0</v>
      </c>
      <c r="S136" s="16">
        <v>0</v>
      </c>
      <c r="T136" s="16">
        <v>0</v>
      </c>
    </row>
    <row r="137" spans="2:20" hidden="1" outlineLevel="1" x14ac:dyDescent="0.25">
      <c r="B137" t="s">
        <v>34</v>
      </c>
      <c r="C137" s="16">
        <v>75</v>
      </c>
      <c r="D137" s="16">
        <v>1</v>
      </c>
      <c r="E137" s="16">
        <v>93.8</v>
      </c>
      <c r="F137" s="16">
        <v>4</v>
      </c>
      <c r="G137" s="16">
        <v>79.2</v>
      </c>
      <c r="H137" s="16">
        <v>12</v>
      </c>
      <c r="I137" s="16">
        <v>93.8</v>
      </c>
      <c r="J137" s="16">
        <v>8</v>
      </c>
      <c r="K137" s="16">
        <v>87.5</v>
      </c>
      <c r="L137" s="16">
        <v>2</v>
      </c>
      <c r="M137" s="16">
        <v>85</v>
      </c>
      <c r="N137" s="16">
        <v>5</v>
      </c>
      <c r="O137" s="16">
        <v>96.9</v>
      </c>
      <c r="P137" s="16">
        <v>8</v>
      </c>
      <c r="Q137" s="16">
        <v>89.6</v>
      </c>
      <c r="R137" s="16">
        <v>12</v>
      </c>
      <c r="S137" s="16">
        <v>100</v>
      </c>
      <c r="T137" s="16">
        <v>3</v>
      </c>
    </row>
    <row r="138" spans="2:20" hidden="1" outlineLevel="1" x14ac:dyDescent="0.25">
      <c r="B138" t="s">
        <v>41</v>
      </c>
      <c r="C138" s="16">
        <v>58.3</v>
      </c>
      <c r="D138" s="16">
        <v>3</v>
      </c>
      <c r="E138" s="16">
        <v>65</v>
      </c>
      <c r="F138" s="16">
        <v>5</v>
      </c>
      <c r="G138" s="16">
        <v>84.4</v>
      </c>
      <c r="H138" s="16">
        <v>8</v>
      </c>
      <c r="I138" s="16">
        <v>95.8</v>
      </c>
      <c r="J138" s="16">
        <v>6</v>
      </c>
      <c r="K138" s="16">
        <v>83.3</v>
      </c>
      <c r="L138" s="16">
        <v>6</v>
      </c>
      <c r="M138" s="16">
        <v>100</v>
      </c>
      <c r="N138" s="16">
        <v>4</v>
      </c>
      <c r="O138" s="16">
        <v>85.7</v>
      </c>
      <c r="P138" s="16">
        <v>7</v>
      </c>
      <c r="Q138" s="16">
        <v>87.5</v>
      </c>
      <c r="R138" s="16">
        <v>4</v>
      </c>
      <c r="S138" s="16">
        <v>83.3</v>
      </c>
      <c r="T138" s="16">
        <v>6</v>
      </c>
    </row>
    <row r="139" spans="2:20" hidden="1" outlineLevel="1" x14ac:dyDescent="0.25">
      <c r="B139" t="s">
        <v>13</v>
      </c>
      <c r="C139" s="16">
        <v>100</v>
      </c>
      <c r="D139" s="16">
        <v>6</v>
      </c>
      <c r="E139" s="16">
        <v>79.7</v>
      </c>
      <c r="F139" s="16">
        <v>16</v>
      </c>
      <c r="G139" s="16">
        <v>91.7</v>
      </c>
      <c r="H139" s="16">
        <v>12</v>
      </c>
      <c r="I139" s="16">
        <v>88.2</v>
      </c>
      <c r="J139" s="16">
        <v>17</v>
      </c>
      <c r="K139" s="16">
        <v>100</v>
      </c>
      <c r="L139" s="16">
        <v>4</v>
      </c>
      <c r="M139" s="16">
        <v>73.5</v>
      </c>
      <c r="N139" s="16">
        <v>17</v>
      </c>
      <c r="O139" s="16">
        <v>97.7</v>
      </c>
      <c r="P139" s="16">
        <v>11</v>
      </c>
      <c r="Q139" s="16">
        <v>89.3</v>
      </c>
      <c r="R139" s="16">
        <v>14</v>
      </c>
      <c r="S139" s="16">
        <v>82.4</v>
      </c>
      <c r="T139" s="16">
        <v>17</v>
      </c>
    </row>
    <row r="140" spans="2:20" hidden="1" outlineLevel="1" x14ac:dyDescent="0.25">
      <c r="B140" t="s">
        <v>25</v>
      </c>
      <c r="C140" s="16">
        <v>87.5</v>
      </c>
      <c r="D140" s="16">
        <v>6</v>
      </c>
      <c r="E140" s="16">
        <v>87.5</v>
      </c>
      <c r="F140" s="16">
        <v>8</v>
      </c>
      <c r="G140" s="16">
        <v>82.5</v>
      </c>
      <c r="H140" s="16">
        <v>10</v>
      </c>
      <c r="I140" s="16">
        <v>85</v>
      </c>
      <c r="J140" s="16">
        <v>5</v>
      </c>
      <c r="K140" s="16">
        <v>67.900000000000006</v>
      </c>
      <c r="L140" s="16">
        <v>7</v>
      </c>
      <c r="M140" s="16">
        <v>75</v>
      </c>
      <c r="N140" s="16">
        <v>3</v>
      </c>
      <c r="O140" s="16">
        <v>100</v>
      </c>
      <c r="P140" s="16">
        <v>1</v>
      </c>
      <c r="Q140" s="16">
        <v>91.7</v>
      </c>
      <c r="R140" s="16">
        <v>3</v>
      </c>
      <c r="S140" s="16">
        <v>71.400000000000006</v>
      </c>
      <c r="T140" s="16">
        <v>7</v>
      </c>
    </row>
    <row r="141" spans="2:20" hidden="1" outlineLevel="1" x14ac:dyDescent="0.25">
      <c r="B141" t="s">
        <v>43</v>
      </c>
      <c r="C141" s="16">
        <v>16.7</v>
      </c>
      <c r="D141" s="16">
        <v>9</v>
      </c>
      <c r="E141" s="16">
        <v>69.400000000000006</v>
      </c>
      <c r="F141" s="16">
        <v>9</v>
      </c>
      <c r="G141" s="16">
        <v>63.2</v>
      </c>
      <c r="H141" s="16">
        <v>19</v>
      </c>
      <c r="I141" s="16">
        <v>70</v>
      </c>
      <c r="J141" s="16">
        <v>5</v>
      </c>
      <c r="K141" s="16">
        <v>85</v>
      </c>
      <c r="L141" s="16">
        <v>5</v>
      </c>
      <c r="M141" s="16">
        <v>68.8</v>
      </c>
      <c r="N141" s="16">
        <v>4</v>
      </c>
      <c r="O141" s="16">
        <v>100</v>
      </c>
      <c r="P141" s="16">
        <v>4</v>
      </c>
      <c r="Q141" s="16">
        <v>75</v>
      </c>
      <c r="R141" s="16">
        <v>1</v>
      </c>
      <c r="S141" s="16">
        <v>77.3</v>
      </c>
      <c r="T141" s="16">
        <v>11</v>
      </c>
    </row>
    <row r="142" spans="2:20" hidden="1" outlineLevel="1" x14ac:dyDescent="0.25">
      <c r="B142" t="s">
        <v>29</v>
      </c>
      <c r="C142" s="16">
        <v>82.1</v>
      </c>
      <c r="D142" s="16">
        <v>7</v>
      </c>
      <c r="E142" s="16">
        <v>71.400000000000006</v>
      </c>
      <c r="F142" s="16">
        <v>7</v>
      </c>
      <c r="G142" s="16">
        <v>85</v>
      </c>
      <c r="H142" s="16">
        <v>5</v>
      </c>
      <c r="I142" s="16">
        <v>89.3</v>
      </c>
      <c r="J142" s="16">
        <v>7</v>
      </c>
      <c r="K142" s="16">
        <v>100</v>
      </c>
      <c r="L142" s="16">
        <v>2</v>
      </c>
      <c r="M142" s="16">
        <v>81.3</v>
      </c>
      <c r="N142" s="16">
        <v>4</v>
      </c>
      <c r="O142" s="16">
        <v>75</v>
      </c>
      <c r="P142" s="16">
        <v>1</v>
      </c>
      <c r="Q142" s="16">
        <v>91.7</v>
      </c>
      <c r="R142" s="16">
        <v>6</v>
      </c>
      <c r="S142" s="16">
        <v>100</v>
      </c>
      <c r="T142" s="16">
        <v>4</v>
      </c>
    </row>
    <row r="143" spans="2:20" hidden="1" outlineLevel="1" x14ac:dyDescent="0.25">
      <c r="B143" t="s">
        <v>20</v>
      </c>
      <c r="C143" s="16">
        <v>90</v>
      </c>
      <c r="D143" s="16">
        <v>5</v>
      </c>
      <c r="E143" s="16">
        <v>87.5</v>
      </c>
      <c r="F143" s="16">
        <v>6</v>
      </c>
      <c r="G143" s="16">
        <v>83.8</v>
      </c>
      <c r="H143" s="16">
        <v>17</v>
      </c>
      <c r="I143" s="16">
        <v>89.7</v>
      </c>
      <c r="J143" s="16">
        <v>17</v>
      </c>
      <c r="K143" s="16">
        <v>91.7</v>
      </c>
      <c r="L143" s="16">
        <v>3</v>
      </c>
      <c r="M143" s="16">
        <v>75</v>
      </c>
      <c r="N143" s="16">
        <v>6</v>
      </c>
      <c r="O143" s="16">
        <v>91.7</v>
      </c>
      <c r="P143" s="16">
        <v>6</v>
      </c>
      <c r="Q143" s="16">
        <v>97.2</v>
      </c>
      <c r="R143" s="16">
        <v>9</v>
      </c>
      <c r="S143" s="16">
        <v>92.9</v>
      </c>
      <c r="T143" s="16">
        <v>7</v>
      </c>
    </row>
    <row r="144" spans="2:20" hidden="1" outlineLevel="1" x14ac:dyDescent="0.25">
      <c r="B144" t="s">
        <v>37</v>
      </c>
      <c r="C144" s="16">
        <v>71.2</v>
      </c>
      <c r="D144" s="16">
        <v>13</v>
      </c>
      <c r="E144" s="16">
        <v>85</v>
      </c>
      <c r="F144" s="16">
        <v>10</v>
      </c>
      <c r="G144" s="16">
        <v>75</v>
      </c>
      <c r="H144" s="16">
        <v>19</v>
      </c>
      <c r="I144" s="16">
        <v>78.099999999999994</v>
      </c>
      <c r="J144" s="16">
        <v>16</v>
      </c>
      <c r="K144" s="16">
        <v>0</v>
      </c>
      <c r="L144" s="16">
        <v>0</v>
      </c>
      <c r="M144" s="16">
        <v>91.7</v>
      </c>
      <c r="N144" s="16">
        <v>6</v>
      </c>
      <c r="O144" s="16">
        <v>85</v>
      </c>
      <c r="P144" s="16">
        <v>15</v>
      </c>
      <c r="Q144" s="16">
        <v>100</v>
      </c>
      <c r="R144" s="16">
        <v>1</v>
      </c>
      <c r="S144" s="16">
        <v>79.2</v>
      </c>
      <c r="T144" s="16">
        <v>6</v>
      </c>
    </row>
    <row r="145" spans="1:20" collapsed="1" x14ac:dyDescent="0.25">
      <c r="A145" t="s">
        <v>417</v>
      </c>
      <c r="C145" s="16">
        <v>2550.6</v>
      </c>
      <c r="D145" s="16">
        <v>202</v>
      </c>
      <c r="E145" s="16">
        <v>2501.7999999999997</v>
      </c>
      <c r="F145" s="16">
        <v>187</v>
      </c>
      <c r="G145" s="16">
        <v>2595.6999999999998</v>
      </c>
      <c r="H145" s="16">
        <v>303</v>
      </c>
      <c r="I145" s="16">
        <v>2871.9</v>
      </c>
      <c r="J145" s="16">
        <v>257</v>
      </c>
      <c r="K145" s="16">
        <v>2457.1</v>
      </c>
      <c r="L145" s="16">
        <v>171</v>
      </c>
      <c r="M145" s="16">
        <v>2750.2000000000003</v>
      </c>
      <c r="N145" s="16">
        <v>217</v>
      </c>
      <c r="O145" s="16">
        <v>2660.4999999999995</v>
      </c>
      <c r="P145" s="16">
        <v>236</v>
      </c>
      <c r="Q145" s="16">
        <v>2840.9999999999995</v>
      </c>
      <c r="R145" s="16">
        <v>232</v>
      </c>
      <c r="S145" s="16">
        <v>2782.1000000000008</v>
      </c>
      <c r="T145" s="16">
        <v>241</v>
      </c>
    </row>
    <row r="146" spans="1:20" hidden="1" outlineLevel="1" x14ac:dyDescent="0.25">
      <c r="A146" t="s">
        <v>7</v>
      </c>
      <c r="B146" t="s">
        <v>21</v>
      </c>
      <c r="C146" s="16">
        <v>87.5</v>
      </c>
      <c r="D146" s="16">
        <v>7</v>
      </c>
      <c r="E146" s="16">
        <v>81.3</v>
      </c>
      <c r="F146" s="16">
        <v>4</v>
      </c>
      <c r="G146" s="16">
        <v>88.4</v>
      </c>
      <c r="H146" s="16">
        <v>14</v>
      </c>
      <c r="I146" s="16">
        <v>100</v>
      </c>
      <c r="J146" s="16">
        <v>3</v>
      </c>
      <c r="K146" s="16">
        <v>96.9</v>
      </c>
      <c r="L146" s="16">
        <v>2</v>
      </c>
      <c r="M146" s="16">
        <v>91.3</v>
      </c>
      <c r="N146" s="16">
        <v>5</v>
      </c>
      <c r="O146" s="16">
        <v>88.2</v>
      </c>
      <c r="P146" s="16">
        <v>9</v>
      </c>
      <c r="Q146" s="16">
        <v>100</v>
      </c>
      <c r="R146" s="16">
        <v>6</v>
      </c>
      <c r="S146" s="16">
        <v>88.8</v>
      </c>
      <c r="T146" s="16">
        <v>5</v>
      </c>
    </row>
    <row r="147" spans="1:20" hidden="1" outlineLevel="1" x14ac:dyDescent="0.25">
      <c r="B147" t="s">
        <v>30</v>
      </c>
      <c r="C147" s="16">
        <v>78.599999999999994</v>
      </c>
      <c r="D147" s="16">
        <v>7</v>
      </c>
      <c r="E147" s="16">
        <v>93.8</v>
      </c>
      <c r="F147" s="16">
        <v>10</v>
      </c>
      <c r="G147" s="16">
        <v>83.3</v>
      </c>
      <c r="H147" s="16">
        <v>9</v>
      </c>
      <c r="I147" s="16">
        <v>100</v>
      </c>
      <c r="J147" s="16">
        <v>6</v>
      </c>
      <c r="K147" s="16">
        <v>37.5</v>
      </c>
      <c r="L147" s="16">
        <v>4</v>
      </c>
      <c r="M147" s="16">
        <v>87.5</v>
      </c>
      <c r="N147" s="16">
        <v>7</v>
      </c>
      <c r="O147" s="16">
        <v>99.2</v>
      </c>
      <c r="P147" s="16">
        <v>8</v>
      </c>
      <c r="Q147" s="16">
        <v>89.6</v>
      </c>
      <c r="R147" s="16">
        <v>6</v>
      </c>
      <c r="S147" s="16">
        <v>81.8</v>
      </c>
      <c r="T147" s="16">
        <v>11</v>
      </c>
    </row>
    <row r="148" spans="1:20" hidden="1" outlineLevel="1" x14ac:dyDescent="0.25">
      <c r="B148" t="s">
        <v>14</v>
      </c>
      <c r="C148" s="16">
        <v>93.8</v>
      </c>
      <c r="D148" s="16">
        <v>7</v>
      </c>
      <c r="E148" s="16">
        <v>91.7</v>
      </c>
      <c r="F148" s="16">
        <v>6</v>
      </c>
      <c r="G148" s="16">
        <v>85.4</v>
      </c>
      <c r="H148" s="16">
        <v>9</v>
      </c>
      <c r="I148" s="16">
        <v>97.6</v>
      </c>
      <c r="J148" s="16">
        <v>7</v>
      </c>
      <c r="K148" s="16">
        <v>68.8</v>
      </c>
      <c r="L148" s="16">
        <v>8</v>
      </c>
      <c r="M148" s="16">
        <v>97.9</v>
      </c>
      <c r="N148" s="16">
        <v>6</v>
      </c>
      <c r="O148" s="16">
        <v>87.5</v>
      </c>
      <c r="P148" s="16">
        <v>8</v>
      </c>
      <c r="Q148" s="16">
        <v>67.2</v>
      </c>
      <c r="R148" s="16">
        <v>8</v>
      </c>
      <c r="S148" s="16">
        <v>77.099999999999994</v>
      </c>
      <c r="T148" s="16">
        <v>6</v>
      </c>
    </row>
    <row r="149" spans="1:20" hidden="1" outlineLevel="1" x14ac:dyDescent="0.25">
      <c r="B149" t="s">
        <v>38</v>
      </c>
      <c r="C149" s="16">
        <v>65.599999999999994</v>
      </c>
      <c r="D149" s="16">
        <v>4</v>
      </c>
      <c r="E149" s="16">
        <v>88.4</v>
      </c>
      <c r="F149" s="16">
        <v>7</v>
      </c>
      <c r="G149" s="16">
        <v>80.099999999999994</v>
      </c>
      <c r="H149" s="16">
        <v>11</v>
      </c>
      <c r="I149" s="16">
        <v>77.5</v>
      </c>
      <c r="J149" s="16">
        <v>5</v>
      </c>
      <c r="K149" s="16">
        <v>86.1</v>
      </c>
      <c r="L149" s="16">
        <v>9</v>
      </c>
      <c r="M149" s="16">
        <v>65.599999999999994</v>
      </c>
      <c r="N149" s="16">
        <v>2</v>
      </c>
      <c r="O149" s="16">
        <v>78.099999999999994</v>
      </c>
      <c r="P149" s="16">
        <v>2</v>
      </c>
      <c r="Q149" s="16">
        <v>89.3</v>
      </c>
      <c r="R149" s="16">
        <v>7</v>
      </c>
      <c r="S149" s="16">
        <v>96.1</v>
      </c>
      <c r="T149" s="16">
        <v>8</v>
      </c>
    </row>
    <row r="150" spans="1:20" hidden="1" outlineLevel="1" x14ac:dyDescent="0.25">
      <c r="B150" t="s">
        <v>26</v>
      </c>
      <c r="C150" s="16">
        <v>82.1</v>
      </c>
      <c r="D150" s="16">
        <v>7</v>
      </c>
      <c r="E150" s="16">
        <v>79.2</v>
      </c>
      <c r="F150" s="16">
        <v>6</v>
      </c>
      <c r="G150" s="16">
        <v>77.599999999999994</v>
      </c>
      <c r="H150" s="16">
        <v>12</v>
      </c>
      <c r="I150" s="16">
        <v>88.9</v>
      </c>
      <c r="J150" s="16">
        <v>9</v>
      </c>
      <c r="K150" s="16">
        <v>100</v>
      </c>
      <c r="L150" s="16">
        <v>4</v>
      </c>
      <c r="M150" s="16">
        <v>82.3</v>
      </c>
      <c r="N150" s="16">
        <v>6</v>
      </c>
      <c r="O150" s="16">
        <v>62.5</v>
      </c>
      <c r="P150" s="16">
        <v>6</v>
      </c>
      <c r="Q150" s="16">
        <v>73.2</v>
      </c>
      <c r="R150" s="16">
        <v>7</v>
      </c>
      <c r="S150" s="16">
        <v>91.1</v>
      </c>
      <c r="T150" s="16">
        <v>7</v>
      </c>
    </row>
    <row r="151" spans="1:20" hidden="1" outlineLevel="1" x14ac:dyDescent="0.25">
      <c r="B151" t="s">
        <v>42</v>
      </c>
      <c r="C151" s="16">
        <v>51.6</v>
      </c>
      <c r="D151" s="16">
        <v>4</v>
      </c>
      <c r="E151" s="16">
        <v>42.5</v>
      </c>
      <c r="F151" s="16">
        <v>10</v>
      </c>
      <c r="G151" s="16">
        <v>70</v>
      </c>
      <c r="H151" s="16">
        <v>5</v>
      </c>
      <c r="I151" s="16">
        <v>75</v>
      </c>
      <c r="J151" s="16">
        <v>1</v>
      </c>
      <c r="K151" s="16">
        <v>82.3</v>
      </c>
      <c r="L151" s="16">
        <v>6</v>
      </c>
      <c r="M151" s="16">
        <v>66.400000000000006</v>
      </c>
      <c r="N151" s="16">
        <v>8</v>
      </c>
      <c r="O151" s="16">
        <v>58.3</v>
      </c>
      <c r="P151" s="16">
        <v>15</v>
      </c>
      <c r="Q151" s="16">
        <v>83.5</v>
      </c>
      <c r="R151" s="16">
        <v>11</v>
      </c>
      <c r="S151" s="16">
        <v>66.400000000000006</v>
      </c>
      <c r="T151" s="16">
        <v>8</v>
      </c>
    </row>
    <row r="152" spans="1:20" hidden="1" outlineLevel="1" x14ac:dyDescent="0.25">
      <c r="B152" t="s">
        <v>17</v>
      </c>
      <c r="C152" s="16">
        <v>87.5</v>
      </c>
      <c r="D152" s="16">
        <v>4</v>
      </c>
      <c r="E152" s="16">
        <v>87.5</v>
      </c>
      <c r="F152" s="16">
        <v>3</v>
      </c>
      <c r="G152" s="16">
        <v>95.3</v>
      </c>
      <c r="H152" s="16">
        <v>8</v>
      </c>
      <c r="I152" s="16">
        <v>90.6</v>
      </c>
      <c r="J152" s="16">
        <v>8</v>
      </c>
      <c r="K152" s="16">
        <v>83.3</v>
      </c>
      <c r="L152" s="16">
        <v>3</v>
      </c>
      <c r="M152" s="16">
        <v>93.8</v>
      </c>
      <c r="N152" s="16">
        <v>3</v>
      </c>
      <c r="O152" s="16">
        <v>72.099999999999994</v>
      </c>
      <c r="P152" s="16">
        <v>13</v>
      </c>
      <c r="Q152" s="16">
        <v>96.4</v>
      </c>
      <c r="R152" s="16">
        <v>12</v>
      </c>
      <c r="S152" s="16">
        <v>99</v>
      </c>
      <c r="T152" s="16">
        <v>6</v>
      </c>
    </row>
    <row r="153" spans="1:20" hidden="1" outlineLevel="1" x14ac:dyDescent="0.25">
      <c r="B153" t="s">
        <v>15</v>
      </c>
      <c r="C153" s="16">
        <v>87.5</v>
      </c>
      <c r="D153" s="16">
        <v>5</v>
      </c>
      <c r="E153" s="16">
        <v>79.2</v>
      </c>
      <c r="F153" s="16">
        <v>3</v>
      </c>
      <c r="G153" s="16">
        <v>0</v>
      </c>
      <c r="H153" s="16">
        <v>0</v>
      </c>
      <c r="I153" s="16">
        <v>0</v>
      </c>
      <c r="J153" s="16">
        <v>0</v>
      </c>
      <c r="K153" s="16">
        <v>0</v>
      </c>
      <c r="L153" s="16">
        <v>0</v>
      </c>
      <c r="M153" s="16">
        <v>0</v>
      </c>
      <c r="N153" s="16">
        <v>0</v>
      </c>
      <c r="O153" s="16">
        <v>0</v>
      </c>
      <c r="P153" s="16">
        <v>0</v>
      </c>
      <c r="Q153" s="16">
        <v>0</v>
      </c>
      <c r="R153" s="16">
        <v>0</v>
      </c>
      <c r="S153" s="16">
        <v>0</v>
      </c>
      <c r="T153" s="16">
        <v>0</v>
      </c>
    </row>
    <row r="154" spans="1:20" hidden="1" outlineLevel="1" x14ac:dyDescent="0.25">
      <c r="B154" t="s">
        <v>33</v>
      </c>
      <c r="C154" s="16">
        <v>75</v>
      </c>
      <c r="D154" s="16">
        <v>8</v>
      </c>
      <c r="E154" s="16">
        <v>68.8</v>
      </c>
      <c r="F154" s="16">
        <v>5</v>
      </c>
      <c r="G154" s="16">
        <v>79</v>
      </c>
      <c r="H154" s="16">
        <v>12</v>
      </c>
      <c r="I154" s="16">
        <v>92.4</v>
      </c>
      <c r="J154" s="16">
        <v>9</v>
      </c>
      <c r="K154" s="16">
        <v>83.9</v>
      </c>
      <c r="L154" s="16">
        <v>12</v>
      </c>
      <c r="M154" s="16">
        <v>84.4</v>
      </c>
      <c r="N154" s="16">
        <v>8</v>
      </c>
      <c r="O154" s="16">
        <v>71.900000000000006</v>
      </c>
      <c r="P154" s="16">
        <v>4</v>
      </c>
      <c r="Q154" s="16">
        <v>75</v>
      </c>
      <c r="R154" s="16">
        <v>13</v>
      </c>
      <c r="S154" s="16">
        <v>72.5</v>
      </c>
      <c r="T154" s="16">
        <v>9</v>
      </c>
    </row>
    <row r="155" spans="1:20" hidden="1" outlineLevel="1" x14ac:dyDescent="0.25">
      <c r="B155" t="s">
        <v>18</v>
      </c>
      <c r="C155" s="16">
        <v>91.4</v>
      </c>
      <c r="D155" s="16">
        <v>8</v>
      </c>
      <c r="E155" s="16">
        <v>67.400000000000006</v>
      </c>
      <c r="F155" s="16">
        <v>9</v>
      </c>
      <c r="G155" s="16">
        <v>77.900000000000006</v>
      </c>
      <c r="H155" s="16">
        <v>13</v>
      </c>
      <c r="I155" s="16">
        <v>94.4</v>
      </c>
      <c r="J155" s="16">
        <v>10</v>
      </c>
      <c r="K155" s="16">
        <v>99.2</v>
      </c>
      <c r="L155" s="16">
        <v>8</v>
      </c>
      <c r="M155" s="16">
        <v>92</v>
      </c>
      <c r="N155" s="16">
        <v>14</v>
      </c>
      <c r="O155" s="16">
        <v>98.3</v>
      </c>
      <c r="P155" s="16">
        <v>11</v>
      </c>
      <c r="Q155" s="16">
        <v>92</v>
      </c>
      <c r="R155" s="16">
        <v>7</v>
      </c>
      <c r="S155" s="16">
        <v>88.8</v>
      </c>
      <c r="T155" s="16">
        <v>14</v>
      </c>
    </row>
    <row r="156" spans="1:20" hidden="1" outlineLevel="1" x14ac:dyDescent="0.25">
      <c r="B156" t="s">
        <v>16</v>
      </c>
      <c r="C156" s="16">
        <v>89.1</v>
      </c>
      <c r="D156" s="16">
        <v>4</v>
      </c>
      <c r="E156" s="16">
        <v>90.6</v>
      </c>
      <c r="F156" s="16">
        <v>4</v>
      </c>
      <c r="G156" s="16">
        <v>86.3</v>
      </c>
      <c r="H156" s="16">
        <v>5</v>
      </c>
      <c r="I156" s="16">
        <v>93.8</v>
      </c>
      <c r="J156" s="16">
        <v>4</v>
      </c>
      <c r="K156" s="16">
        <v>56.3</v>
      </c>
      <c r="L156" s="16">
        <v>2</v>
      </c>
      <c r="M156" s="16">
        <v>80</v>
      </c>
      <c r="N156" s="16">
        <v>5</v>
      </c>
      <c r="O156" s="16">
        <v>96.9</v>
      </c>
      <c r="P156" s="16">
        <v>2</v>
      </c>
      <c r="Q156" s="16">
        <v>95.8</v>
      </c>
      <c r="R156" s="16">
        <v>3</v>
      </c>
      <c r="S156" s="16">
        <v>75.900000000000006</v>
      </c>
      <c r="T156" s="16">
        <v>7</v>
      </c>
    </row>
    <row r="157" spans="1:20" hidden="1" outlineLevel="1" x14ac:dyDescent="0.25">
      <c r="B157" t="s">
        <v>24</v>
      </c>
      <c r="C157" s="16">
        <v>81.3</v>
      </c>
      <c r="D157" s="16">
        <v>11</v>
      </c>
      <c r="E157" s="16">
        <v>86.1</v>
      </c>
      <c r="F157" s="16">
        <v>9</v>
      </c>
      <c r="G157" s="16">
        <v>80.599999999999994</v>
      </c>
      <c r="H157" s="16">
        <v>18</v>
      </c>
      <c r="I157" s="16">
        <v>85.2</v>
      </c>
      <c r="J157" s="16">
        <v>16</v>
      </c>
      <c r="K157" s="16">
        <v>85.4</v>
      </c>
      <c r="L157" s="16">
        <v>12</v>
      </c>
      <c r="M157" s="16">
        <v>93.1</v>
      </c>
      <c r="N157" s="16">
        <v>10</v>
      </c>
      <c r="O157" s="16">
        <v>93.8</v>
      </c>
      <c r="P157" s="16">
        <v>8</v>
      </c>
      <c r="Q157" s="16">
        <v>98.6</v>
      </c>
      <c r="R157" s="16">
        <v>9</v>
      </c>
      <c r="S157" s="16">
        <v>92</v>
      </c>
      <c r="T157" s="16">
        <v>7</v>
      </c>
    </row>
    <row r="158" spans="1:20" hidden="1" outlineLevel="1" x14ac:dyDescent="0.25">
      <c r="B158" t="s">
        <v>32</v>
      </c>
      <c r="C158" s="16">
        <v>72.900000000000006</v>
      </c>
      <c r="D158" s="16">
        <v>9</v>
      </c>
      <c r="E158" s="16">
        <v>100</v>
      </c>
      <c r="F158" s="16">
        <v>3</v>
      </c>
      <c r="G158" s="16">
        <v>58.6</v>
      </c>
      <c r="H158" s="16">
        <v>8</v>
      </c>
      <c r="I158" s="16">
        <v>75</v>
      </c>
      <c r="J158" s="16">
        <v>8</v>
      </c>
      <c r="K158" s="16">
        <v>77.099999999999994</v>
      </c>
      <c r="L158" s="16">
        <v>3</v>
      </c>
      <c r="M158" s="16">
        <v>89.3</v>
      </c>
      <c r="N158" s="16">
        <v>7</v>
      </c>
      <c r="O158" s="16">
        <v>86.5</v>
      </c>
      <c r="P158" s="16">
        <v>6</v>
      </c>
      <c r="Q158" s="16">
        <v>100</v>
      </c>
      <c r="R158" s="16">
        <v>7</v>
      </c>
      <c r="S158" s="16">
        <v>72.7</v>
      </c>
      <c r="T158" s="16">
        <v>8</v>
      </c>
    </row>
    <row r="159" spans="1:20" hidden="1" outlineLevel="1" x14ac:dyDescent="0.25">
      <c r="B159" t="s">
        <v>35</v>
      </c>
      <c r="C159" s="16">
        <v>62.5</v>
      </c>
      <c r="D159" s="16">
        <v>1</v>
      </c>
      <c r="E159" s="16">
        <v>0</v>
      </c>
      <c r="F159" s="16">
        <v>0</v>
      </c>
      <c r="G159" s="16">
        <v>74</v>
      </c>
      <c r="H159" s="16">
        <v>4</v>
      </c>
      <c r="I159" s="16">
        <v>62.5</v>
      </c>
      <c r="J159" s="16">
        <v>1</v>
      </c>
      <c r="K159" s="16">
        <v>53.1</v>
      </c>
      <c r="L159" s="16">
        <v>2</v>
      </c>
      <c r="M159" s="16">
        <v>89.3</v>
      </c>
      <c r="N159" s="16">
        <v>7</v>
      </c>
      <c r="O159" s="16">
        <v>70.5</v>
      </c>
      <c r="P159" s="16">
        <v>7</v>
      </c>
      <c r="Q159" s="16">
        <v>100</v>
      </c>
      <c r="R159" s="16">
        <v>3</v>
      </c>
      <c r="S159" s="16">
        <v>93.8</v>
      </c>
      <c r="T159" s="16">
        <v>1</v>
      </c>
    </row>
    <row r="160" spans="1:20" hidden="1" outlineLevel="1" x14ac:dyDescent="0.25">
      <c r="B160" t="s">
        <v>36</v>
      </c>
      <c r="C160" s="16">
        <v>67.900000000000006</v>
      </c>
      <c r="D160" s="16">
        <v>7</v>
      </c>
      <c r="E160" s="16">
        <v>90.6</v>
      </c>
      <c r="F160" s="16">
        <v>4</v>
      </c>
      <c r="G160" s="16">
        <v>90.3</v>
      </c>
      <c r="H160" s="16">
        <v>9</v>
      </c>
      <c r="I160" s="16">
        <v>57.6</v>
      </c>
      <c r="J160" s="16">
        <v>9</v>
      </c>
      <c r="K160" s="16">
        <v>63.5</v>
      </c>
      <c r="L160" s="16">
        <v>6</v>
      </c>
      <c r="M160" s="16">
        <v>83.3</v>
      </c>
      <c r="N160" s="16">
        <v>3</v>
      </c>
      <c r="O160" s="16">
        <v>89.6</v>
      </c>
      <c r="P160" s="16">
        <v>12</v>
      </c>
      <c r="Q160" s="16">
        <v>90.6</v>
      </c>
      <c r="R160" s="16">
        <v>2</v>
      </c>
      <c r="S160" s="16">
        <v>85.7</v>
      </c>
      <c r="T160" s="16">
        <v>14</v>
      </c>
    </row>
    <row r="161" spans="2:20" hidden="1" outlineLevel="1" x14ac:dyDescent="0.25">
      <c r="B161" t="s">
        <v>23</v>
      </c>
      <c r="C161" s="16">
        <v>86.4</v>
      </c>
      <c r="D161" s="16">
        <v>11</v>
      </c>
      <c r="E161" s="16">
        <v>100</v>
      </c>
      <c r="F161" s="16">
        <v>4</v>
      </c>
      <c r="G161" s="16">
        <v>63.8</v>
      </c>
      <c r="H161" s="16">
        <v>10</v>
      </c>
      <c r="I161" s="16">
        <v>80.2</v>
      </c>
      <c r="J161" s="16">
        <v>6</v>
      </c>
      <c r="K161" s="16">
        <v>82.4</v>
      </c>
      <c r="L161" s="16">
        <v>11</v>
      </c>
      <c r="M161" s="16">
        <v>91.3</v>
      </c>
      <c r="N161" s="16">
        <v>5</v>
      </c>
      <c r="O161" s="16">
        <v>82.6</v>
      </c>
      <c r="P161" s="16">
        <v>9</v>
      </c>
      <c r="Q161" s="16">
        <v>78.099999999999994</v>
      </c>
      <c r="R161" s="16">
        <v>8</v>
      </c>
      <c r="S161" s="16">
        <v>78.8</v>
      </c>
      <c r="T161" s="16">
        <v>10</v>
      </c>
    </row>
    <row r="162" spans="2:20" hidden="1" outlineLevel="1" x14ac:dyDescent="0.25">
      <c r="B162" t="s">
        <v>6</v>
      </c>
      <c r="C162" s="16">
        <v>100</v>
      </c>
      <c r="D162" s="16">
        <v>1</v>
      </c>
      <c r="E162" s="16">
        <v>0</v>
      </c>
      <c r="F162" s="16">
        <v>0</v>
      </c>
      <c r="G162" s="16">
        <v>87.5</v>
      </c>
      <c r="H162" s="16">
        <v>3</v>
      </c>
      <c r="I162" s="16">
        <v>85</v>
      </c>
      <c r="J162" s="16">
        <v>5</v>
      </c>
      <c r="K162" s="16">
        <v>0</v>
      </c>
      <c r="L162" s="16">
        <v>0</v>
      </c>
      <c r="M162" s="16">
        <v>87.5</v>
      </c>
      <c r="N162" s="16">
        <v>5</v>
      </c>
      <c r="O162" s="16">
        <v>0</v>
      </c>
      <c r="P162" s="16">
        <v>0</v>
      </c>
      <c r="Q162" s="16">
        <v>91.7</v>
      </c>
      <c r="R162" s="16">
        <v>3</v>
      </c>
      <c r="S162" s="16">
        <v>71.900000000000006</v>
      </c>
      <c r="T162" s="16">
        <v>2</v>
      </c>
    </row>
    <row r="163" spans="2:20" hidden="1" outlineLevel="1" x14ac:dyDescent="0.25">
      <c r="B163" t="s">
        <v>39</v>
      </c>
      <c r="C163" s="16">
        <v>54.6</v>
      </c>
      <c r="D163" s="16">
        <v>11</v>
      </c>
      <c r="E163" s="16">
        <v>71.3</v>
      </c>
      <c r="F163" s="16">
        <v>10</v>
      </c>
      <c r="G163" s="16">
        <v>62.5</v>
      </c>
      <c r="H163" s="16">
        <v>8</v>
      </c>
      <c r="I163" s="16">
        <v>66.400000000000006</v>
      </c>
      <c r="J163" s="16">
        <v>8</v>
      </c>
      <c r="K163" s="16">
        <v>83.6</v>
      </c>
      <c r="L163" s="16">
        <v>8</v>
      </c>
      <c r="M163" s="16">
        <v>79.5</v>
      </c>
      <c r="N163" s="16">
        <v>7</v>
      </c>
      <c r="O163" s="16">
        <v>81.3</v>
      </c>
      <c r="P163" s="16">
        <v>6</v>
      </c>
      <c r="Q163" s="16">
        <v>82.8</v>
      </c>
      <c r="R163" s="16">
        <v>8</v>
      </c>
      <c r="S163" s="16">
        <v>86.6</v>
      </c>
      <c r="T163" s="16">
        <v>7</v>
      </c>
    </row>
    <row r="164" spans="2:20" hidden="1" outlineLevel="1" x14ac:dyDescent="0.25">
      <c r="B164" t="s">
        <v>28</v>
      </c>
      <c r="C164" s="16">
        <v>74</v>
      </c>
      <c r="D164" s="16">
        <v>6</v>
      </c>
      <c r="E164" s="16">
        <v>36.299999999999997</v>
      </c>
      <c r="F164" s="16">
        <v>5</v>
      </c>
      <c r="G164" s="16">
        <v>73.099999999999994</v>
      </c>
      <c r="H164" s="16">
        <v>10</v>
      </c>
      <c r="I164" s="16">
        <v>86.9</v>
      </c>
      <c r="J164" s="16">
        <v>10</v>
      </c>
      <c r="K164" s="16">
        <v>70.099999999999994</v>
      </c>
      <c r="L164" s="16">
        <v>6</v>
      </c>
      <c r="M164" s="16">
        <v>51.3</v>
      </c>
      <c r="N164" s="16">
        <v>5</v>
      </c>
      <c r="O164" s="16">
        <v>62.5</v>
      </c>
      <c r="P164" s="16">
        <v>6</v>
      </c>
      <c r="Q164" s="16">
        <v>61.6</v>
      </c>
      <c r="R164" s="16">
        <v>7</v>
      </c>
      <c r="S164" s="16">
        <v>67</v>
      </c>
      <c r="T164" s="16">
        <v>7</v>
      </c>
    </row>
    <row r="165" spans="2:20" hidden="1" outlineLevel="1" x14ac:dyDescent="0.25">
      <c r="B165" t="s">
        <v>40</v>
      </c>
      <c r="C165" s="16">
        <v>53.1</v>
      </c>
      <c r="D165" s="16">
        <v>8</v>
      </c>
      <c r="E165" s="16">
        <v>78.099999999999994</v>
      </c>
      <c r="F165" s="16">
        <v>2</v>
      </c>
      <c r="G165" s="16">
        <v>86.3</v>
      </c>
      <c r="H165" s="16">
        <v>5</v>
      </c>
      <c r="I165" s="16">
        <v>58.3</v>
      </c>
      <c r="J165" s="16">
        <v>3</v>
      </c>
      <c r="K165" s="16">
        <v>84.4</v>
      </c>
      <c r="L165" s="16">
        <v>4</v>
      </c>
      <c r="M165" s="16">
        <v>81.8</v>
      </c>
      <c r="N165" s="16">
        <v>12</v>
      </c>
      <c r="O165" s="16">
        <v>93.1</v>
      </c>
      <c r="P165" s="16">
        <v>10</v>
      </c>
      <c r="Q165" s="16">
        <v>78.900000000000006</v>
      </c>
      <c r="R165" s="16">
        <v>8</v>
      </c>
      <c r="S165" s="16">
        <v>100</v>
      </c>
      <c r="T165" s="16">
        <v>3</v>
      </c>
    </row>
    <row r="166" spans="2:20" hidden="1" outlineLevel="1" x14ac:dyDescent="0.25">
      <c r="B166" t="s">
        <v>22</v>
      </c>
      <c r="C166" s="16">
        <v>81.3</v>
      </c>
      <c r="D166" s="16">
        <v>9</v>
      </c>
      <c r="E166" s="16">
        <v>93.8</v>
      </c>
      <c r="F166" s="16">
        <v>3</v>
      </c>
      <c r="G166" s="16">
        <v>85.9</v>
      </c>
      <c r="H166" s="16">
        <v>12</v>
      </c>
      <c r="I166" s="16">
        <v>73.2</v>
      </c>
      <c r="J166" s="16">
        <v>7</v>
      </c>
      <c r="K166" s="16">
        <v>87.5</v>
      </c>
      <c r="L166" s="16">
        <v>2</v>
      </c>
      <c r="M166" s="16">
        <v>81.3</v>
      </c>
      <c r="N166" s="16">
        <v>9</v>
      </c>
      <c r="O166" s="16">
        <v>79.2</v>
      </c>
      <c r="P166" s="16">
        <v>6</v>
      </c>
      <c r="Q166" s="16">
        <v>80.099999999999994</v>
      </c>
      <c r="R166" s="16">
        <v>13</v>
      </c>
      <c r="S166" s="16">
        <v>83</v>
      </c>
      <c r="T166" s="16">
        <v>7</v>
      </c>
    </row>
    <row r="167" spans="2:20" hidden="1" outlineLevel="1" x14ac:dyDescent="0.25">
      <c r="B167" t="s">
        <v>31</v>
      </c>
      <c r="C167" s="16">
        <v>79.7</v>
      </c>
      <c r="D167" s="16">
        <v>4</v>
      </c>
      <c r="E167" s="16">
        <v>63.5</v>
      </c>
      <c r="F167" s="16">
        <v>6</v>
      </c>
      <c r="G167" s="16">
        <v>97.6</v>
      </c>
      <c r="H167" s="16">
        <v>7</v>
      </c>
      <c r="I167" s="16">
        <v>87.5</v>
      </c>
      <c r="J167" s="16">
        <v>13</v>
      </c>
      <c r="K167" s="16">
        <v>63.2</v>
      </c>
      <c r="L167" s="16">
        <v>9</v>
      </c>
      <c r="M167" s="16">
        <v>72.900000000000006</v>
      </c>
      <c r="N167" s="16">
        <v>9</v>
      </c>
      <c r="O167" s="16">
        <v>69.599999999999994</v>
      </c>
      <c r="P167" s="16">
        <v>7</v>
      </c>
      <c r="Q167" s="16">
        <v>85.2</v>
      </c>
      <c r="R167" s="16">
        <v>8</v>
      </c>
      <c r="S167" s="16">
        <v>72.599999999999994</v>
      </c>
      <c r="T167" s="16">
        <v>13</v>
      </c>
    </row>
    <row r="168" spans="2:20" hidden="1" outlineLevel="1" x14ac:dyDescent="0.25">
      <c r="B168" t="s">
        <v>27</v>
      </c>
      <c r="C168" s="16">
        <v>83.8</v>
      </c>
      <c r="D168" s="16">
        <v>5</v>
      </c>
      <c r="E168" s="16">
        <v>100</v>
      </c>
      <c r="F168" s="16">
        <v>6</v>
      </c>
      <c r="G168" s="16">
        <v>72.900000000000006</v>
      </c>
      <c r="H168" s="16">
        <v>6</v>
      </c>
      <c r="I168" s="16">
        <v>89.4</v>
      </c>
      <c r="J168" s="16">
        <v>10</v>
      </c>
      <c r="K168" s="16">
        <v>85.9</v>
      </c>
      <c r="L168" s="16">
        <v>8</v>
      </c>
      <c r="M168" s="16">
        <v>73.8</v>
      </c>
      <c r="N168" s="16">
        <v>5</v>
      </c>
      <c r="O168" s="16">
        <v>88.3</v>
      </c>
      <c r="P168" s="16">
        <v>8</v>
      </c>
      <c r="Q168" s="16">
        <v>84.6</v>
      </c>
      <c r="R168" s="16">
        <v>15</v>
      </c>
      <c r="S168" s="16">
        <v>81.3</v>
      </c>
      <c r="T168" s="16">
        <v>5</v>
      </c>
    </row>
    <row r="169" spans="2:20" hidden="1" outlineLevel="1" x14ac:dyDescent="0.25">
      <c r="B169" t="s">
        <v>19</v>
      </c>
      <c r="C169" s="16">
        <v>81.3</v>
      </c>
      <c r="D169" s="16">
        <v>4</v>
      </c>
      <c r="E169" s="16">
        <v>76.599999999999994</v>
      </c>
      <c r="F169" s="16">
        <v>4</v>
      </c>
      <c r="G169" s="16">
        <v>100</v>
      </c>
      <c r="H169" s="16">
        <v>3</v>
      </c>
      <c r="I169" s="16">
        <v>85.9</v>
      </c>
      <c r="J169" s="16">
        <v>8</v>
      </c>
      <c r="K169" s="16">
        <v>29.2</v>
      </c>
      <c r="L169" s="16">
        <v>3</v>
      </c>
      <c r="M169" s="16">
        <v>86.6</v>
      </c>
      <c r="N169" s="16">
        <v>7</v>
      </c>
      <c r="O169" s="16">
        <v>68.099999999999994</v>
      </c>
      <c r="P169" s="16">
        <v>9</v>
      </c>
      <c r="Q169" s="16">
        <v>81.3</v>
      </c>
      <c r="R169" s="16">
        <v>6</v>
      </c>
      <c r="S169" s="16">
        <v>82.8</v>
      </c>
      <c r="T169" s="16">
        <v>8</v>
      </c>
    </row>
    <row r="170" spans="2:20" hidden="1" outlineLevel="1" x14ac:dyDescent="0.25">
      <c r="B170" t="s">
        <v>226</v>
      </c>
      <c r="C170" s="16">
        <v>0</v>
      </c>
      <c r="D170" s="16">
        <v>0</v>
      </c>
      <c r="E170" s="16">
        <v>0</v>
      </c>
      <c r="F170" s="16">
        <v>0</v>
      </c>
      <c r="G170" s="16">
        <v>0</v>
      </c>
      <c r="H170" s="16">
        <v>0</v>
      </c>
      <c r="I170" s="16">
        <v>63.8</v>
      </c>
      <c r="J170" s="16">
        <v>10</v>
      </c>
      <c r="K170" s="16">
        <v>86.9</v>
      </c>
      <c r="L170" s="16">
        <v>11</v>
      </c>
      <c r="M170" s="16">
        <v>77.099999999999994</v>
      </c>
      <c r="N170" s="16">
        <v>13</v>
      </c>
      <c r="O170" s="16">
        <v>78.7</v>
      </c>
      <c r="P170" s="16">
        <v>12</v>
      </c>
      <c r="Q170" s="16">
        <v>83.3</v>
      </c>
      <c r="R170" s="16">
        <v>6</v>
      </c>
      <c r="S170" s="16">
        <v>98.4</v>
      </c>
      <c r="T170" s="16">
        <v>8</v>
      </c>
    </row>
    <row r="171" spans="2:20" hidden="1" outlineLevel="1" x14ac:dyDescent="0.25">
      <c r="B171" t="s">
        <v>227</v>
      </c>
      <c r="C171" s="16">
        <v>0</v>
      </c>
      <c r="D171" s="16">
        <v>0</v>
      </c>
      <c r="E171" s="16">
        <v>0</v>
      </c>
      <c r="F171" s="16">
        <v>0</v>
      </c>
      <c r="G171" s="16">
        <v>0</v>
      </c>
      <c r="H171" s="16">
        <v>0</v>
      </c>
      <c r="I171" s="16">
        <v>81.3</v>
      </c>
      <c r="J171" s="16">
        <v>1</v>
      </c>
      <c r="K171" s="16">
        <v>0</v>
      </c>
      <c r="L171" s="16">
        <v>0</v>
      </c>
      <c r="M171" s="16">
        <v>0</v>
      </c>
      <c r="N171" s="16">
        <v>0</v>
      </c>
      <c r="O171" s="16">
        <v>0</v>
      </c>
      <c r="P171" s="16">
        <v>0</v>
      </c>
      <c r="Q171" s="16">
        <v>0</v>
      </c>
      <c r="R171" s="16">
        <v>0</v>
      </c>
      <c r="S171" s="16">
        <v>0</v>
      </c>
      <c r="T171" s="16">
        <v>0</v>
      </c>
    </row>
    <row r="172" spans="2:20" hidden="1" outlineLevel="1" x14ac:dyDescent="0.25">
      <c r="B172" t="s">
        <v>34</v>
      </c>
      <c r="C172" s="16">
        <v>75</v>
      </c>
      <c r="D172" s="16">
        <v>1</v>
      </c>
      <c r="E172" s="16">
        <v>92.2</v>
      </c>
      <c r="F172" s="16">
        <v>4</v>
      </c>
      <c r="G172" s="16">
        <v>74.5</v>
      </c>
      <c r="H172" s="16">
        <v>12</v>
      </c>
      <c r="I172" s="16">
        <v>92.2</v>
      </c>
      <c r="J172" s="16">
        <v>8</v>
      </c>
      <c r="K172" s="16">
        <v>87.5</v>
      </c>
      <c r="L172" s="16">
        <v>2</v>
      </c>
      <c r="M172" s="16">
        <v>77.5</v>
      </c>
      <c r="N172" s="16">
        <v>5</v>
      </c>
      <c r="O172" s="16">
        <v>89.1</v>
      </c>
      <c r="P172" s="16">
        <v>8</v>
      </c>
      <c r="Q172" s="16">
        <v>87.5</v>
      </c>
      <c r="R172" s="16">
        <v>12</v>
      </c>
      <c r="S172" s="16">
        <v>95.8</v>
      </c>
      <c r="T172" s="16">
        <v>3</v>
      </c>
    </row>
    <row r="173" spans="2:20" hidden="1" outlineLevel="1" x14ac:dyDescent="0.25">
      <c r="B173" t="s">
        <v>41</v>
      </c>
      <c r="C173" s="16">
        <v>58.3</v>
      </c>
      <c r="D173" s="16">
        <v>3</v>
      </c>
      <c r="E173" s="16">
        <v>67.5</v>
      </c>
      <c r="F173" s="16">
        <v>5</v>
      </c>
      <c r="G173" s="16">
        <v>85.2</v>
      </c>
      <c r="H173" s="16">
        <v>8</v>
      </c>
      <c r="I173" s="16">
        <v>95.8</v>
      </c>
      <c r="J173" s="16">
        <v>6</v>
      </c>
      <c r="K173" s="16">
        <v>75</v>
      </c>
      <c r="L173" s="16">
        <v>6</v>
      </c>
      <c r="M173" s="16">
        <v>98.4</v>
      </c>
      <c r="N173" s="16">
        <v>4</v>
      </c>
      <c r="O173" s="16">
        <v>83</v>
      </c>
      <c r="P173" s="16">
        <v>7</v>
      </c>
      <c r="Q173" s="16">
        <v>82.8</v>
      </c>
      <c r="R173" s="16">
        <v>4</v>
      </c>
      <c r="S173" s="16">
        <v>83.3</v>
      </c>
      <c r="T173" s="16">
        <v>6</v>
      </c>
    </row>
    <row r="174" spans="2:20" hidden="1" outlineLevel="1" x14ac:dyDescent="0.25">
      <c r="B174" t="s">
        <v>13</v>
      </c>
      <c r="C174" s="16">
        <v>97.9</v>
      </c>
      <c r="D174" s="16">
        <v>6</v>
      </c>
      <c r="E174" s="16">
        <v>79.3</v>
      </c>
      <c r="F174" s="16">
        <v>16</v>
      </c>
      <c r="G174" s="16">
        <v>91.2</v>
      </c>
      <c r="H174" s="16">
        <v>12</v>
      </c>
      <c r="I174" s="16">
        <v>86.4</v>
      </c>
      <c r="J174" s="16">
        <v>17</v>
      </c>
      <c r="K174" s="16">
        <v>100</v>
      </c>
      <c r="L174" s="16">
        <v>4</v>
      </c>
      <c r="M174" s="16">
        <v>69.5</v>
      </c>
      <c r="N174" s="16">
        <v>17</v>
      </c>
      <c r="O174" s="16">
        <v>95.5</v>
      </c>
      <c r="P174" s="16">
        <v>11</v>
      </c>
      <c r="Q174" s="16">
        <v>87.1</v>
      </c>
      <c r="R174" s="16">
        <v>14</v>
      </c>
      <c r="S174" s="16">
        <v>77.599999999999994</v>
      </c>
      <c r="T174" s="16">
        <v>17</v>
      </c>
    </row>
    <row r="175" spans="2:20" hidden="1" outlineLevel="1" x14ac:dyDescent="0.25">
      <c r="B175" t="s">
        <v>25</v>
      </c>
      <c r="C175" s="16">
        <v>82.3</v>
      </c>
      <c r="D175" s="16">
        <v>6</v>
      </c>
      <c r="E175" s="16">
        <v>82</v>
      </c>
      <c r="F175" s="16">
        <v>8</v>
      </c>
      <c r="G175" s="16">
        <v>79.400000000000006</v>
      </c>
      <c r="H175" s="16">
        <v>10</v>
      </c>
      <c r="I175" s="16">
        <v>81.3</v>
      </c>
      <c r="J175" s="16">
        <v>5</v>
      </c>
      <c r="K175" s="16">
        <v>69.599999999999994</v>
      </c>
      <c r="L175" s="16">
        <v>7</v>
      </c>
      <c r="M175" s="16">
        <v>68.8</v>
      </c>
      <c r="N175" s="16">
        <v>3</v>
      </c>
      <c r="O175" s="16">
        <v>100</v>
      </c>
      <c r="P175" s="16">
        <v>1</v>
      </c>
      <c r="Q175" s="16">
        <v>79.2</v>
      </c>
      <c r="R175" s="16">
        <v>3</v>
      </c>
      <c r="S175" s="16">
        <v>65.2</v>
      </c>
      <c r="T175" s="16">
        <v>7</v>
      </c>
    </row>
    <row r="176" spans="2:20" hidden="1" outlineLevel="1" x14ac:dyDescent="0.25">
      <c r="B176" t="s">
        <v>43</v>
      </c>
      <c r="C176" s="16">
        <v>12.5</v>
      </c>
      <c r="D176" s="16">
        <v>9</v>
      </c>
      <c r="E176" s="16">
        <v>68.8</v>
      </c>
      <c r="F176" s="16">
        <v>9</v>
      </c>
      <c r="G176" s="16">
        <v>62.2</v>
      </c>
      <c r="H176" s="16">
        <v>19</v>
      </c>
      <c r="I176" s="16">
        <v>63.8</v>
      </c>
      <c r="J176" s="16">
        <v>5</v>
      </c>
      <c r="K176" s="16">
        <v>85</v>
      </c>
      <c r="L176" s="16">
        <v>5</v>
      </c>
      <c r="M176" s="16">
        <v>67.2</v>
      </c>
      <c r="N176" s="16">
        <v>4</v>
      </c>
      <c r="O176" s="16">
        <v>98.4</v>
      </c>
      <c r="P176" s="16">
        <v>4</v>
      </c>
      <c r="Q176" s="16">
        <v>81.3</v>
      </c>
      <c r="R176" s="16">
        <v>1</v>
      </c>
      <c r="S176" s="16">
        <v>62.5</v>
      </c>
      <c r="T176" s="16">
        <v>11</v>
      </c>
    </row>
    <row r="177" spans="1:20" hidden="1" outlineLevel="1" x14ac:dyDescent="0.25">
      <c r="B177" t="s">
        <v>29</v>
      </c>
      <c r="C177" s="16">
        <v>78.599999999999994</v>
      </c>
      <c r="D177" s="16">
        <v>7</v>
      </c>
      <c r="E177" s="16">
        <v>70.5</v>
      </c>
      <c r="F177" s="16">
        <v>7</v>
      </c>
      <c r="G177" s="16">
        <v>77.400000000000006</v>
      </c>
      <c r="H177" s="16">
        <v>6</v>
      </c>
      <c r="I177" s="16">
        <v>83</v>
      </c>
      <c r="J177" s="16">
        <v>7</v>
      </c>
      <c r="K177" s="16">
        <v>100</v>
      </c>
      <c r="L177" s="16">
        <v>2</v>
      </c>
      <c r="M177" s="16">
        <v>78.099999999999994</v>
      </c>
      <c r="N177" s="16">
        <v>4</v>
      </c>
      <c r="O177" s="16">
        <v>75</v>
      </c>
      <c r="P177" s="16">
        <v>1</v>
      </c>
      <c r="Q177" s="16">
        <v>89.6</v>
      </c>
      <c r="R177" s="16">
        <v>6</v>
      </c>
      <c r="S177" s="16">
        <v>95.3</v>
      </c>
      <c r="T177" s="16">
        <v>4</v>
      </c>
    </row>
    <row r="178" spans="1:20" hidden="1" outlineLevel="1" x14ac:dyDescent="0.25">
      <c r="B178" t="s">
        <v>20</v>
      </c>
      <c r="C178" s="16">
        <v>85</v>
      </c>
      <c r="D178" s="16">
        <v>5</v>
      </c>
      <c r="E178" s="16">
        <v>81.3</v>
      </c>
      <c r="F178" s="16">
        <v>6</v>
      </c>
      <c r="G178" s="16">
        <v>78.7</v>
      </c>
      <c r="H178" s="16">
        <v>17</v>
      </c>
      <c r="I178" s="16">
        <v>85.7</v>
      </c>
      <c r="J178" s="16">
        <v>17</v>
      </c>
      <c r="K178" s="16">
        <v>81.3</v>
      </c>
      <c r="L178" s="16">
        <v>3</v>
      </c>
      <c r="M178" s="16">
        <v>75</v>
      </c>
      <c r="N178" s="16">
        <v>6</v>
      </c>
      <c r="O178" s="16">
        <v>90.6</v>
      </c>
      <c r="P178" s="16">
        <v>6</v>
      </c>
      <c r="Q178" s="16">
        <v>94.4</v>
      </c>
      <c r="R178" s="16">
        <v>9</v>
      </c>
      <c r="S178" s="16">
        <v>86.6</v>
      </c>
      <c r="T178" s="16">
        <v>7</v>
      </c>
    </row>
    <row r="179" spans="1:20" hidden="1" outlineLevel="1" x14ac:dyDescent="0.25">
      <c r="B179" t="s">
        <v>37</v>
      </c>
      <c r="C179" s="16">
        <v>69.2</v>
      </c>
      <c r="D179" s="16">
        <v>13</v>
      </c>
      <c r="E179" s="16">
        <v>83.1</v>
      </c>
      <c r="F179" s="16">
        <v>10</v>
      </c>
      <c r="G179" s="16">
        <v>70.400000000000006</v>
      </c>
      <c r="H179" s="16">
        <v>19</v>
      </c>
      <c r="I179" s="16">
        <v>74.2</v>
      </c>
      <c r="J179" s="16">
        <v>16</v>
      </c>
      <c r="K179" s="16">
        <v>0</v>
      </c>
      <c r="L179" s="16">
        <v>0</v>
      </c>
      <c r="M179" s="16">
        <v>90.6</v>
      </c>
      <c r="N179" s="16">
        <v>6</v>
      </c>
      <c r="O179" s="16">
        <v>83.3</v>
      </c>
      <c r="P179" s="16">
        <v>15</v>
      </c>
      <c r="Q179" s="16">
        <v>100</v>
      </c>
      <c r="R179" s="16">
        <v>1</v>
      </c>
      <c r="S179" s="16">
        <v>76</v>
      </c>
      <c r="T179" s="16">
        <v>6</v>
      </c>
    </row>
    <row r="180" spans="1:20" collapsed="1" x14ac:dyDescent="0.25">
      <c r="A180" t="s">
        <v>418</v>
      </c>
      <c r="C180" s="16">
        <v>2427.2999999999997</v>
      </c>
      <c r="D180" s="16">
        <v>202</v>
      </c>
      <c r="E180" s="16">
        <v>2391.4</v>
      </c>
      <c r="F180" s="16">
        <v>188</v>
      </c>
      <c r="G180" s="16">
        <v>2475.3999999999996</v>
      </c>
      <c r="H180" s="16">
        <v>304</v>
      </c>
      <c r="I180" s="16">
        <v>2710.8000000000006</v>
      </c>
      <c r="J180" s="16">
        <v>258</v>
      </c>
      <c r="K180" s="16">
        <v>2345.0000000000005</v>
      </c>
      <c r="L180" s="16">
        <v>172</v>
      </c>
      <c r="M180" s="16">
        <v>2604.3999999999996</v>
      </c>
      <c r="N180" s="16">
        <v>217</v>
      </c>
      <c r="O180" s="16">
        <v>2571.6999999999994</v>
      </c>
      <c r="P180" s="16">
        <v>237</v>
      </c>
      <c r="Q180" s="16">
        <v>2760.7</v>
      </c>
      <c r="R180" s="16">
        <v>233</v>
      </c>
      <c r="S180" s="16">
        <v>2646.4</v>
      </c>
      <c r="T180" s="16">
        <v>242</v>
      </c>
    </row>
    <row r="181" spans="1:20" hidden="1" outlineLevel="1" x14ac:dyDescent="0.25">
      <c r="A181" t="s">
        <v>12</v>
      </c>
      <c r="B181" t="s">
        <v>21</v>
      </c>
      <c r="C181" s="16">
        <v>71.400000000000006</v>
      </c>
      <c r="D181" s="16">
        <v>7</v>
      </c>
      <c r="E181" s="16">
        <v>68.8</v>
      </c>
      <c r="F181" s="16">
        <v>4</v>
      </c>
      <c r="G181" s="16">
        <v>82.7</v>
      </c>
      <c r="H181" s="16">
        <v>13</v>
      </c>
      <c r="I181" s="16">
        <v>100</v>
      </c>
      <c r="J181" s="16">
        <v>3</v>
      </c>
      <c r="K181" s="16">
        <v>75</v>
      </c>
      <c r="L181" s="16">
        <v>2</v>
      </c>
      <c r="M181" s="16">
        <v>80</v>
      </c>
      <c r="N181" s="16">
        <v>5</v>
      </c>
      <c r="O181" s="16">
        <v>77.8</v>
      </c>
      <c r="P181" s="16">
        <v>9</v>
      </c>
      <c r="Q181" s="16">
        <v>95.8</v>
      </c>
      <c r="R181" s="16">
        <v>6</v>
      </c>
      <c r="S181" s="16">
        <v>95</v>
      </c>
      <c r="T181" s="16">
        <v>5</v>
      </c>
    </row>
    <row r="182" spans="1:20" hidden="1" outlineLevel="1" x14ac:dyDescent="0.25">
      <c r="B182" t="s">
        <v>30</v>
      </c>
      <c r="C182" s="16">
        <v>64.3</v>
      </c>
      <c r="D182" s="16">
        <v>7</v>
      </c>
      <c r="E182" s="16">
        <v>83.3</v>
      </c>
      <c r="F182" s="16">
        <v>9</v>
      </c>
      <c r="G182" s="16">
        <v>83.3</v>
      </c>
      <c r="H182" s="16">
        <v>9</v>
      </c>
      <c r="I182" s="16">
        <v>100</v>
      </c>
      <c r="J182" s="16">
        <v>6</v>
      </c>
      <c r="K182" s="16">
        <v>62.5</v>
      </c>
      <c r="L182" s="16">
        <v>4</v>
      </c>
      <c r="M182" s="16">
        <v>64.3</v>
      </c>
      <c r="N182" s="16">
        <v>7</v>
      </c>
      <c r="O182" s="16">
        <v>75</v>
      </c>
      <c r="P182" s="16">
        <v>8</v>
      </c>
      <c r="Q182" s="16">
        <v>83.3</v>
      </c>
      <c r="R182" s="16">
        <v>6</v>
      </c>
      <c r="S182" s="16">
        <v>72.7</v>
      </c>
      <c r="T182" s="16">
        <v>11</v>
      </c>
    </row>
    <row r="183" spans="1:20" hidden="1" outlineLevel="1" x14ac:dyDescent="0.25">
      <c r="B183" t="s">
        <v>14</v>
      </c>
      <c r="C183" s="16">
        <v>75</v>
      </c>
      <c r="D183" s="16">
        <v>7</v>
      </c>
      <c r="E183" s="16">
        <v>83.3</v>
      </c>
      <c r="F183" s="16">
        <v>6</v>
      </c>
      <c r="G183" s="16">
        <v>77.8</v>
      </c>
      <c r="H183" s="16">
        <v>9</v>
      </c>
      <c r="I183" s="16">
        <v>89.3</v>
      </c>
      <c r="J183" s="16">
        <v>7</v>
      </c>
      <c r="K183" s="16">
        <v>62.5</v>
      </c>
      <c r="L183" s="16">
        <v>8</v>
      </c>
      <c r="M183" s="16">
        <v>95.8</v>
      </c>
      <c r="N183" s="16">
        <v>6</v>
      </c>
      <c r="O183" s="16">
        <v>90.6</v>
      </c>
      <c r="P183" s="16">
        <v>8</v>
      </c>
      <c r="Q183" s="16">
        <v>53.1</v>
      </c>
      <c r="R183" s="16">
        <v>8</v>
      </c>
      <c r="S183" s="16">
        <v>70.8</v>
      </c>
      <c r="T183" s="16">
        <v>6</v>
      </c>
    </row>
    <row r="184" spans="1:20" hidden="1" outlineLevel="1" x14ac:dyDescent="0.25">
      <c r="B184" t="s">
        <v>38</v>
      </c>
      <c r="C184" s="16">
        <v>50</v>
      </c>
      <c r="D184" s="16">
        <v>4</v>
      </c>
      <c r="E184" s="16">
        <v>64.3</v>
      </c>
      <c r="F184" s="16">
        <v>7</v>
      </c>
      <c r="G184" s="16">
        <v>54.6</v>
      </c>
      <c r="H184" s="16">
        <v>11</v>
      </c>
      <c r="I184" s="16">
        <v>75</v>
      </c>
      <c r="J184" s="16">
        <v>5</v>
      </c>
      <c r="K184" s="16">
        <v>52.8</v>
      </c>
      <c r="L184" s="16">
        <v>9</v>
      </c>
      <c r="M184" s="16">
        <v>62.5</v>
      </c>
      <c r="N184" s="16">
        <v>2</v>
      </c>
      <c r="O184" s="16">
        <v>75</v>
      </c>
      <c r="P184" s="16">
        <v>2</v>
      </c>
      <c r="Q184" s="16">
        <v>85.7</v>
      </c>
      <c r="R184" s="16">
        <v>7</v>
      </c>
      <c r="S184" s="16">
        <v>78.599999999999994</v>
      </c>
      <c r="T184" s="16">
        <v>7</v>
      </c>
    </row>
    <row r="185" spans="1:20" hidden="1" outlineLevel="1" x14ac:dyDescent="0.25">
      <c r="B185" t="s">
        <v>26</v>
      </c>
      <c r="C185" s="16">
        <v>60.7</v>
      </c>
      <c r="D185" s="16">
        <v>7</v>
      </c>
      <c r="E185" s="16">
        <v>60.7</v>
      </c>
      <c r="F185" s="16">
        <v>7</v>
      </c>
      <c r="G185" s="16">
        <v>56.3</v>
      </c>
      <c r="H185" s="16">
        <v>12</v>
      </c>
      <c r="I185" s="16">
        <v>72.2</v>
      </c>
      <c r="J185" s="16">
        <v>9</v>
      </c>
      <c r="K185" s="16">
        <v>83.3</v>
      </c>
      <c r="L185" s="16">
        <v>3</v>
      </c>
      <c r="M185" s="16">
        <v>70.8</v>
      </c>
      <c r="N185" s="16">
        <v>6</v>
      </c>
      <c r="O185" s="16">
        <v>54.2</v>
      </c>
      <c r="P185" s="16">
        <v>6</v>
      </c>
      <c r="Q185" s="16">
        <v>82.1</v>
      </c>
      <c r="R185" s="16">
        <v>7</v>
      </c>
      <c r="S185" s="16">
        <v>78.599999999999994</v>
      </c>
      <c r="T185" s="16">
        <v>7</v>
      </c>
    </row>
    <row r="186" spans="1:20" hidden="1" outlineLevel="1" x14ac:dyDescent="0.25">
      <c r="B186" t="s">
        <v>42</v>
      </c>
      <c r="C186" s="16">
        <v>43.8</v>
      </c>
      <c r="D186" s="16">
        <v>4</v>
      </c>
      <c r="E186" s="16">
        <v>25</v>
      </c>
      <c r="F186" s="16">
        <v>9</v>
      </c>
      <c r="G186" s="16">
        <v>30</v>
      </c>
      <c r="H186" s="16">
        <v>5</v>
      </c>
      <c r="I186" s="16">
        <v>25</v>
      </c>
      <c r="J186" s="16">
        <v>1</v>
      </c>
      <c r="K186" s="16">
        <v>70.8</v>
      </c>
      <c r="L186" s="16">
        <v>6</v>
      </c>
      <c r="M186" s="16">
        <v>40.6</v>
      </c>
      <c r="N186" s="16">
        <v>8</v>
      </c>
      <c r="O186" s="16">
        <v>46.7</v>
      </c>
      <c r="P186" s="16">
        <v>15</v>
      </c>
      <c r="Q186" s="16">
        <v>81.8</v>
      </c>
      <c r="R186" s="16">
        <v>11</v>
      </c>
      <c r="S186" s="16">
        <v>38.9</v>
      </c>
      <c r="T186" s="16">
        <v>9</v>
      </c>
    </row>
    <row r="187" spans="1:20" hidden="1" outlineLevel="1" x14ac:dyDescent="0.25">
      <c r="B187" t="s">
        <v>17</v>
      </c>
      <c r="C187" s="16">
        <v>62.5</v>
      </c>
      <c r="D187" s="16">
        <v>4</v>
      </c>
      <c r="E187" s="16">
        <v>81.3</v>
      </c>
      <c r="F187" s="16">
        <v>4</v>
      </c>
      <c r="G187" s="16">
        <v>90.6</v>
      </c>
      <c r="H187" s="16">
        <v>8</v>
      </c>
      <c r="I187" s="16">
        <v>78.099999999999994</v>
      </c>
      <c r="J187" s="16">
        <v>8</v>
      </c>
      <c r="K187" s="16">
        <v>75</v>
      </c>
      <c r="L187" s="16">
        <v>3</v>
      </c>
      <c r="M187" s="16">
        <v>87.5</v>
      </c>
      <c r="N187" s="16">
        <v>2</v>
      </c>
      <c r="O187" s="16">
        <v>78.900000000000006</v>
      </c>
      <c r="P187" s="16">
        <v>13</v>
      </c>
      <c r="Q187" s="16">
        <v>83.3</v>
      </c>
      <c r="R187" s="16">
        <v>12</v>
      </c>
      <c r="S187" s="16">
        <v>87.5</v>
      </c>
      <c r="T187" s="16">
        <v>6</v>
      </c>
    </row>
    <row r="188" spans="1:20" hidden="1" outlineLevel="1" x14ac:dyDescent="0.25">
      <c r="B188" t="s">
        <v>15</v>
      </c>
      <c r="C188" s="16">
        <v>65</v>
      </c>
      <c r="D188" s="16">
        <v>5</v>
      </c>
      <c r="E188" s="16">
        <v>50</v>
      </c>
      <c r="F188" s="16">
        <v>3</v>
      </c>
      <c r="G188" s="16">
        <v>0</v>
      </c>
      <c r="H188" s="16">
        <v>0</v>
      </c>
      <c r="I188" s="16">
        <v>0</v>
      </c>
      <c r="J188" s="16">
        <v>0</v>
      </c>
      <c r="K188" s="16">
        <v>0</v>
      </c>
      <c r="L188" s="16">
        <v>0</v>
      </c>
      <c r="M188" s="16">
        <v>0</v>
      </c>
      <c r="N188" s="16">
        <v>0</v>
      </c>
      <c r="O188" s="16">
        <v>0</v>
      </c>
      <c r="P188" s="16">
        <v>0</v>
      </c>
      <c r="Q188" s="16">
        <v>0</v>
      </c>
      <c r="R188" s="16">
        <v>0</v>
      </c>
      <c r="S188" s="16">
        <v>0</v>
      </c>
      <c r="T188" s="16">
        <v>0</v>
      </c>
    </row>
    <row r="189" spans="1:20" hidden="1" outlineLevel="1" x14ac:dyDescent="0.25">
      <c r="B189" t="s">
        <v>33</v>
      </c>
      <c r="C189" s="16">
        <v>59.4</v>
      </c>
      <c r="D189" s="16">
        <v>8</v>
      </c>
      <c r="E189" s="16">
        <v>50</v>
      </c>
      <c r="F189" s="16">
        <v>5</v>
      </c>
      <c r="G189" s="16">
        <v>81.8</v>
      </c>
      <c r="H189" s="16">
        <v>11</v>
      </c>
      <c r="I189" s="16">
        <v>69.400000000000006</v>
      </c>
      <c r="J189" s="16">
        <v>9</v>
      </c>
      <c r="K189" s="16">
        <v>70.8</v>
      </c>
      <c r="L189" s="16">
        <v>12</v>
      </c>
      <c r="M189" s="16">
        <v>59.4</v>
      </c>
      <c r="N189" s="16">
        <v>8</v>
      </c>
      <c r="O189" s="16">
        <v>43.8</v>
      </c>
      <c r="P189" s="16">
        <v>4</v>
      </c>
      <c r="Q189" s="16">
        <v>76.900000000000006</v>
      </c>
      <c r="R189" s="16">
        <v>13</v>
      </c>
      <c r="S189" s="16">
        <v>66.7</v>
      </c>
      <c r="T189" s="16">
        <v>9</v>
      </c>
    </row>
    <row r="190" spans="1:20" hidden="1" outlineLevel="1" x14ac:dyDescent="0.25">
      <c r="B190" t="s">
        <v>18</v>
      </c>
      <c r="C190" s="16">
        <v>65.599999999999994</v>
      </c>
      <c r="D190" s="16">
        <v>8</v>
      </c>
      <c r="E190" s="16">
        <v>57.5</v>
      </c>
      <c r="F190" s="16">
        <v>10</v>
      </c>
      <c r="G190" s="16">
        <v>67.3</v>
      </c>
      <c r="H190" s="16">
        <v>13</v>
      </c>
      <c r="I190" s="16">
        <v>87.5</v>
      </c>
      <c r="J190" s="16">
        <v>10</v>
      </c>
      <c r="K190" s="16">
        <v>87.5</v>
      </c>
      <c r="L190" s="16">
        <v>8</v>
      </c>
      <c r="M190" s="16">
        <v>67.900000000000006</v>
      </c>
      <c r="N190" s="16">
        <v>14</v>
      </c>
      <c r="O190" s="16">
        <v>83.3</v>
      </c>
      <c r="P190" s="16">
        <v>12</v>
      </c>
      <c r="Q190" s="16">
        <v>71.400000000000006</v>
      </c>
      <c r="R190" s="16">
        <v>7</v>
      </c>
      <c r="S190" s="16">
        <v>80.400000000000006</v>
      </c>
      <c r="T190" s="16">
        <v>14</v>
      </c>
    </row>
    <row r="191" spans="1:20" hidden="1" outlineLevel="1" x14ac:dyDescent="0.25">
      <c r="B191" t="s">
        <v>16</v>
      </c>
      <c r="C191" s="16">
        <v>60</v>
      </c>
      <c r="D191" s="16">
        <v>5</v>
      </c>
      <c r="E191" s="16">
        <v>62.5</v>
      </c>
      <c r="F191" s="16">
        <v>4</v>
      </c>
      <c r="G191" s="16">
        <v>40</v>
      </c>
      <c r="H191" s="16">
        <v>5</v>
      </c>
      <c r="I191" s="16">
        <v>60</v>
      </c>
      <c r="J191" s="16">
        <v>5</v>
      </c>
      <c r="K191" s="16">
        <v>50</v>
      </c>
      <c r="L191" s="16">
        <v>2</v>
      </c>
      <c r="M191" s="16">
        <v>75</v>
      </c>
      <c r="N191" s="16">
        <v>5</v>
      </c>
      <c r="O191" s="16">
        <v>75</v>
      </c>
      <c r="P191" s="16">
        <v>2</v>
      </c>
      <c r="Q191" s="16">
        <v>91.7</v>
      </c>
      <c r="R191" s="16">
        <v>3</v>
      </c>
      <c r="S191" s="16">
        <v>64.3</v>
      </c>
      <c r="T191" s="16">
        <v>7</v>
      </c>
    </row>
    <row r="192" spans="1:20" hidden="1" outlineLevel="1" x14ac:dyDescent="0.25">
      <c r="B192" t="s">
        <v>24</v>
      </c>
      <c r="C192" s="16">
        <v>61.4</v>
      </c>
      <c r="D192" s="16">
        <v>11</v>
      </c>
      <c r="E192" s="16">
        <v>72.2</v>
      </c>
      <c r="F192" s="16">
        <v>9</v>
      </c>
      <c r="G192" s="16">
        <v>66.2</v>
      </c>
      <c r="H192" s="16">
        <v>17</v>
      </c>
      <c r="I192" s="16">
        <v>80.900000000000006</v>
      </c>
      <c r="J192" s="16">
        <v>17</v>
      </c>
      <c r="K192" s="16">
        <v>72.900000000000006</v>
      </c>
      <c r="L192" s="16">
        <v>12</v>
      </c>
      <c r="M192" s="16">
        <v>87.5</v>
      </c>
      <c r="N192" s="16">
        <v>10</v>
      </c>
      <c r="O192" s="16">
        <v>84.4</v>
      </c>
      <c r="P192" s="16">
        <v>8</v>
      </c>
      <c r="Q192" s="16">
        <v>94.4</v>
      </c>
      <c r="R192" s="16">
        <v>9</v>
      </c>
      <c r="S192" s="16">
        <v>78.599999999999994</v>
      </c>
      <c r="T192" s="16">
        <v>7</v>
      </c>
    </row>
    <row r="193" spans="2:20" hidden="1" outlineLevel="1" x14ac:dyDescent="0.25">
      <c r="B193" t="s">
        <v>32</v>
      </c>
      <c r="C193" s="16">
        <v>52.8</v>
      </c>
      <c r="D193" s="16">
        <v>9</v>
      </c>
      <c r="E193" s="16">
        <v>75</v>
      </c>
      <c r="F193" s="16">
        <v>3</v>
      </c>
      <c r="G193" s="16">
        <v>62.5</v>
      </c>
      <c r="H193" s="16">
        <v>8</v>
      </c>
      <c r="I193" s="16">
        <v>59.4</v>
      </c>
      <c r="J193" s="16">
        <v>8</v>
      </c>
      <c r="K193" s="16">
        <v>66.7</v>
      </c>
      <c r="L193" s="16">
        <v>3</v>
      </c>
      <c r="M193" s="16">
        <v>59.4</v>
      </c>
      <c r="N193" s="16">
        <v>8</v>
      </c>
      <c r="O193" s="16">
        <v>58.3</v>
      </c>
      <c r="P193" s="16">
        <v>6</v>
      </c>
      <c r="Q193" s="16">
        <v>67.900000000000006</v>
      </c>
      <c r="R193" s="16">
        <v>7</v>
      </c>
      <c r="S193" s="16">
        <v>68.8</v>
      </c>
      <c r="T193" s="16">
        <v>8</v>
      </c>
    </row>
    <row r="194" spans="2:20" hidden="1" outlineLevel="1" x14ac:dyDescent="0.25">
      <c r="B194" t="s">
        <v>35</v>
      </c>
      <c r="C194" s="16">
        <v>50</v>
      </c>
      <c r="D194" s="16">
        <v>1</v>
      </c>
      <c r="E194" s="16">
        <v>0</v>
      </c>
      <c r="F194" s="16">
        <v>0</v>
      </c>
      <c r="G194" s="16">
        <v>68.8</v>
      </c>
      <c r="H194" s="16">
        <v>4</v>
      </c>
      <c r="I194" s="16">
        <v>100</v>
      </c>
      <c r="J194" s="16">
        <v>1</v>
      </c>
      <c r="K194" s="16">
        <v>37.5</v>
      </c>
      <c r="L194" s="16">
        <v>2</v>
      </c>
      <c r="M194" s="16">
        <v>82.1</v>
      </c>
      <c r="N194" s="16">
        <v>7</v>
      </c>
      <c r="O194" s="16">
        <v>50</v>
      </c>
      <c r="P194" s="16">
        <v>7</v>
      </c>
      <c r="Q194" s="16">
        <v>83.3</v>
      </c>
      <c r="R194" s="16">
        <v>3</v>
      </c>
      <c r="S194" s="16">
        <v>50</v>
      </c>
      <c r="T194" s="16">
        <v>1</v>
      </c>
    </row>
    <row r="195" spans="2:20" hidden="1" outlineLevel="1" x14ac:dyDescent="0.25">
      <c r="B195" t="s">
        <v>36</v>
      </c>
      <c r="C195" s="16">
        <v>53.6</v>
      </c>
      <c r="D195" s="16">
        <v>7</v>
      </c>
      <c r="E195" s="16">
        <v>68.8</v>
      </c>
      <c r="F195" s="16">
        <v>4</v>
      </c>
      <c r="G195" s="16">
        <v>66.7</v>
      </c>
      <c r="H195" s="16">
        <v>9</v>
      </c>
      <c r="I195" s="16">
        <v>38.9</v>
      </c>
      <c r="J195" s="16">
        <v>9</v>
      </c>
      <c r="K195" s="16">
        <v>75</v>
      </c>
      <c r="L195" s="16">
        <v>6</v>
      </c>
      <c r="M195" s="16">
        <v>83.3</v>
      </c>
      <c r="N195" s="16">
        <v>3</v>
      </c>
      <c r="O195" s="16">
        <v>70.5</v>
      </c>
      <c r="P195" s="16">
        <v>11</v>
      </c>
      <c r="Q195" s="16">
        <v>37.5</v>
      </c>
      <c r="R195" s="16">
        <v>2</v>
      </c>
      <c r="S195" s="16">
        <v>73.2</v>
      </c>
      <c r="T195" s="16">
        <v>14</v>
      </c>
    </row>
    <row r="196" spans="2:20" hidden="1" outlineLevel="1" x14ac:dyDescent="0.25">
      <c r="B196" t="s">
        <v>23</v>
      </c>
      <c r="C196" s="16">
        <v>65</v>
      </c>
      <c r="D196" s="16">
        <v>10</v>
      </c>
      <c r="E196" s="16">
        <v>50</v>
      </c>
      <c r="F196" s="16">
        <v>4</v>
      </c>
      <c r="G196" s="16">
        <v>67.5</v>
      </c>
      <c r="H196" s="16">
        <v>10</v>
      </c>
      <c r="I196" s="16">
        <v>87.5</v>
      </c>
      <c r="J196" s="16">
        <v>6</v>
      </c>
      <c r="K196" s="16">
        <v>79.599999999999994</v>
      </c>
      <c r="L196" s="16">
        <v>11</v>
      </c>
      <c r="M196" s="16">
        <v>75</v>
      </c>
      <c r="N196" s="16">
        <v>5</v>
      </c>
      <c r="O196" s="16">
        <v>82.5</v>
      </c>
      <c r="P196" s="16">
        <v>10</v>
      </c>
      <c r="Q196" s="16">
        <v>56.3</v>
      </c>
      <c r="R196" s="16">
        <v>8</v>
      </c>
      <c r="S196" s="16">
        <v>54.6</v>
      </c>
      <c r="T196" s="16">
        <v>11</v>
      </c>
    </row>
    <row r="197" spans="2:20" hidden="1" outlineLevel="1" x14ac:dyDescent="0.25">
      <c r="B197" t="s">
        <v>6</v>
      </c>
      <c r="C197" s="16">
        <v>100</v>
      </c>
      <c r="D197" s="16">
        <v>1</v>
      </c>
      <c r="E197" s="16">
        <v>0</v>
      </c>
      <c r="F197" s="16">
        <v>0</v>
      </c>
      <c r="G197" s="16">
        <v>83.3</v>
      </c>
      <c r="H197" s="16">
        <v>3</v>
      </c>
      <c r="I197" s="16">
        <v>75</v>
      </c>
      <c r="J197" s="16">
        <v>5</v>
      </c>
      <c r="K197" s="16">
        <v>0</v>
      </c>
      <c r="L197" s="16">
        <v>0</v>
      </c>
      <c r="M197" s="16">
        <v>80</v>
      </c>
      <c r="N197" s="16">
        <v>5</v>
      </c>
      <c r="O197" s="16">
        <v>0</v>
      </c>
      <c r="P197" s="16">
        <v>0</v>
      </c>
      <c r="Q197" s="16">
        <v>75</v>
      </c>
      <c r="R197" s="16">
        <v>3</v>
      </c>
      <c r="S197" s="16">
        <v>37.5</v>
      </c>
      <c r="T197" s="16">
        <v>2</v>
      </c>
    </row>
    <row r="198" spans="2:20" hidden="1" outlineLevel="1" x14ac:dyDescent="0.25">
      <c r="B198" t="s">
        <v>39</v>
      </c>
      <c r="C198" s="16">
        <v>50</v>
      </c>
      <c r="D198" s="16">
        <v>10</v>
      </c>
      <c r="E198" s="16">
        <v>60</v>
      </c>
      <c r="F198" s="16">
        <v>10</v>
      </c>
      <c r="G198" s="16">
        <v>65.599999999999994</v>
      </c>
      <c r="H198" s="16">
        <v>8</v>
      </c>
      <c r="I198" s="16">
        <v>64.3</v>
      </c>
      <c r="J198" s="16">
        <v>7</v>
      </c>
      <c r="K198" s="16">
        <v>100</v>
      </c>
      <c r="L198" s="16">
        <v>7</v>
      </c>
      <c r="M198" s="16">
        <v>82.1</v>
      </c>
      <c r="N198" s="16">
        <v>7</v>
      </c>
      <c r="O198" s="16">
        <v>95.8</v>
      </c>
      <c r="P198" s="16">
        <v>6</v>
      </c>
      <c r="Q198" s="16">
        <v>84.4</v>
      </c>
      <c r="R198" s="16">
        <v>8</v>
      </c>
      <c r="S198" s="16">
        <v>85.7</v>
      </c>
      <c r="T198" s="16">
        <v>7</v>
      </c>
    </row>
    <row r="199" spans="2:20" hidden="1" outlineLevel="1" x14ac:dyDescent="0.25">
      <c r="B199" t="s">
        <v>28</v>
      </c>
      <c r="C199" s="16">
        <v>75</v>
      </c>
      <c r="D199" s="16">
        <v>6</v>
      </c>
      <c r="E199" s="16">
        <v>62.5</v>
      </c>
      <c r="F199" s="16">
        <v>4</v>
      </c>
      <c r="G199" s="16">
        <v>65</v>
      </c>
      <c r="H199" s="16">
        <v>10</v>
      </c>
      <c r="I199" s="16">
        <v>77.5</v>
      </c>
      <c r="J199" s="16">
        <v>10</v>
      </c>
      <c r="K199" s="16">
        <v>79.2</v>
      </c>
      <c r="L199" s="16">
        <v>6</v>
      </c>
      <c r="M199" s="16">
        <v>35</v>
      </c>
      <c r="N199" s="16">
        <v>5</v>
      </c>
      <c r="O199" s="16">
        <v>42.9</v>
      </c>
      <c r="P199" s="16">
        <v>7</v>
      </c>
      <c r="Q199" s="16">
        <v>57.1</v>
      </c>
      <c r="R199" s="16">
        <v>7</v>
      </c>
      <c r="S199" s="16">
        <v>62.5</v>
      </c>
      <c r="T199" s="16">
        <v>8</v>
      </c>
    </row>
    <row r="200" spans="2:20" hidden="1" outlineLevel="1" x14ac:dyDescent="0.25">
      <c r="B200" t="s">
        <v>40</v>
      </c>
      <c r="C200" s="16">
        <v>21.9</v>
      </c>
      <c r="D200" s="16">
        <v>8</v>
      </c>
      <c r="E200" s="16">
        <v>62.5</v>
      </c>
      <c r="F200" s="16">
        <v>2</v>
      </c>
      <c r="G200" s="16">
        <v>80</v>
      </c>
      <c r="H200" s="16">
        <v>5</v>
      </c>
      <c r="I200" s="16">
        <v>25</v>
      </c>
      <c r="J200" s="16">
        <v>2</v>
      </c>
      <c r="K200" s="16">
        <v>68.8</v>
      </c>
      <c r="L200" s="16">
        <v>4</v>
      </c>
      <c r="M200" s="16">
        <v>64.599999999999994</v>
      </c>
      <c r="N200" s="16">
        <v>12</v>
      </c>
      <c r="O200" s="16">
        <v>69.400000000000006</v>
      </c>
      <c r="P200" s="16">
        <v>9</v>
      </c>
      <c r="Q200" s="16">
        <v>75</v>
      </c>
      <c r="R200" s="16">
        <v>8</v>
      </c>
      <c r="S200" s="16">
        <v>91.7</v>
      </c>
      <c r="T200" s="16">
        <v>3</v>
      </c>
    </row>
    <row r="201" spans="2:20" hidden="1" outlineLevel="1" x14ac:dyDescent="0.25">
      <c r="B201" t="s">
        <v>22</v>
      </c>
      <c r="C201" s="16">
        <v>61.1</v>
      </c>
      <c r="D201" s="16">
        <v>9</v>
      </c>
      <c r="E201" s="16">
        <v>50</v>
      </c>
      <c r="F201" s="16">
        <v>3</v>
      </c>
      <c r="G201" s="16">
        <v>60.4</v>
      </c>
      <c r="H201" s="16">
        <v>12</v>
      </c>
      <c r="I201" s="16">
        <v>50</v>
      </c>
      <c r="J201" s="16">
        <v>7</v>
      </c>
      <c r="K201" s="16">
        <v>87.5</v>
      </c>
      <c r="L201" s="16">
        <v>2</v>
      </c>
      <c r="M201" s="16">
        <v>60</v>
      </c>
      <c r="N201" s="16">
        <v>10</v>
      </c>
      <c r="O201" s="16">
        <v>62.5</v>
      </c>
      <c r="P201" s="16">
        <v>6</v>
      </c>
      <c r="Q201" s="16">
        <v>59.6</v>
      </c>
      <c r="R201" s="16">
        <v>13</v>
      </c>
      <c r="S201" s="16">
        <v>64.3</v>
      </c>
      <c r="T201" s="16">
        <v>7</v>
      </c>
    </row>
    <row r="202" spans="2:20" hidden="1" outlineLevel="1" x14ac:dyDescent="0.25">
      <c r="B202" t="s">
        <v>31</v>
      </c>
      <c r="C202" s="16">
        <v>40</v>
      </c>
      <c r="D202" s="16">
        <v>5</v>
      </c>
      <c r="E202" s="16">
        <v>37.5</v>
      </c>
      <c r="F202" s="16">
        <v>6</v>
      </c>
      <c r="G202" s="16">
        <v>78.599999999999994</v>
      </c>
      <c r="H202" s="16">
        <v>7</v>
      </c>
      <c r="I202" s="16">
        <v>73.099999999999994</v>
      </c>
      <c r="J202" s="16">
        <v>13</v>
      </c>
      <c r="K202" s="16">
        <v>52.5</v>
      </c>
      <c r="L202" s="16">
        <v>10</v>
      </c>
      <c r="M202" s="16">
        <v>55.6</v>
      </c>
      <c r="N202" s="16">
        <v>9</v>
      </c>
      <c r="O202" s="16">
        <v>50</v>
      </c>
      <c r="P202" s="16">
        <v>7</v>
      </c>
      <c r="Q202" s="16">
        <v>46.9</v>
      </c>
      <c r="R202" s="16">
        <v>8</v>
      </c>
      <c r="S202" s="16">
        <v>67.3</v>
      </c>
      <c r="T202" s="16">
        <v>13</v>
      </c>
    </row>
    <row r="203" spans="2:20" hidden="1" outlineLevel="1" x14ac:dyDescent="0.25">
      <c r="B203" t="s">
        <v>27</v>
      </c>
      <c r="C203" s="16">
        <v>55</v>
      </c>
      <c r="D203" s="16">
        <v>5</v>
      </c>
      <c r="E203" s="16">
        <v>83.3</v>
      </c>
      <c r="F203" s="16">
        <v>6</v>
      </c>
      <c r="G203" s="16">
        <v>50</v>
      </c>
      <c r="H203" s="16">
        <v>6</v>
      </c>
      <c r="I203" s="16">
        <v>77.5</v>
      </c>
      <c r="J203" s="16">
        <v>10</v>
      </c>
      <c r="K203" s="16">
        <v>75</v>
      </c>
      <c r="L203" s="16">
        <v>8</v>
      </c>
      <c r="M203" s="16">
        <v>60</v>
      </c>
      <c r="N203" s="16">
        <v>5</v>
      </c>
      <c r="O203" s="16">
        <v>75</v>
      </c>
      <c r="P203" s="16">
        <v>8</v>
      </c>
      <c r="Q203" s="16">
        <v>83.3</v>
      </c>
      <c r="R203" s="16">
        <v>15</v>
      </c>
      <c r="S203" s="16">
        <v>80</v>
      </c>
      <c r="T203" s="16">
        <v>5</v>
      </c>
    </row>
    <row r="204" spans="2:20" hidden="1" outlineLevel="1" x14ac:dyDescent="0.25">
      <c r="B204" t="s">
        <v>19</v>
      </c>
      <c r="C204" s="16">
        <v>25</v>
      </c>
      <c r="D204" s="16">
        <v>3</v>
      </c>
      <c r="E204" s="16">
        <v>18.8</v>
      </c>
      <c r="F204" s="16">
        <v>4</v>
      </c>
      <c r="G204" s="16">
        <v>58.3</v>
      </c>
      <c r="H204" s="16">
        <v>3</v>
      </c>
      <c r="I204" s="16">
        <v>59.4</v>
      </c>
      <c r="J204" s="16">
        <v>8</v>
      </c>
      <c r="K204" s="16">
        <v>75</v>
      </c>
      <c r="L204" s="16">
        <v>3</v>
      </c>
      <c r="M204" s="16">
        <v>53.6</v>
      </c>
      <c r="N204" s="16">
        <v>7</v>
      </c>
      <c r="O204" s="16">
        <v>55.6</v>
      </c>
      <c r="P204" s="16">
        <v>9</v>
      </c>
      <c r="Q204" s="16">
        <v>62.5</v>
      </c>
      <c r="R204" s="16">
        <v>6</v>
      </c>
      <c r="S204" s="16">
        <v>75</v>
      </c>
      <c r="T204" s="16">
        <v>8</v>
      </c>
    </row>
    <row r="205" spans="2:20" hidden="1" outlineLevel="1" x14ac:dyDescent="0.25">
      <c r="B205" t="s">
        <v>226</v>
      </c>
      <c r="C205" s="16">
        <v>0</v>
      </c>
      <c r="D205" s="16">
        <v>0</v>
      </c>
      <c r="E205" s="16">
        <v>0</v>
      </c>
      <c r="F205" s="16">
        <v>0</v>
      </c>
      <c r="G205" s="16">
        <v>0</v>
      </c>
      <c r="H205" s="16">
        <v>0</v>
      </c>
      <c r="I205" s="16">
        <v>57.5</v>
      </c>
      <c r="J205" s="16">
        <v>10</v>
      </c>
      <c r="K205" s="16">
        <v>68.2</v>
      </c>
      <c r="L205" s="16">
        <v>11</v>
      </c>
      <c r="M205" s="16">
        <v>61.5</v>
      </c>
      <c r="N205" s="16">
        <v>13</v>
      </c>
      <c r="O205" s="16">
        <v>64.599999999999994</v>
      </c>
      <c r="P205" s="16">
        <v>12</v>
      </c>
      <c r="Q205" s="16">
        <v>75</v>
      </c>
      <c r="R205" s="16">
        <v>6</v>
      </c>
      <c r="S205" s="16">
        <v>84.4</v>
      </c>
      <c r="T205" s="16">
        <v>8</v>
      </c>
    </row>
    <row r="206" spans="2:20" hidden="1" outlineLevel="1" x14ac:dyDescent="0.25">
      <c r="B206" t="s">
        <v>227</v>
      </c>
      <c r="C206" s="16">
        <v>0</v>
      </c>
      <c r="D206" s="16">
        <v>0</v>
      </c>
      <c r="E206" s="16">
        <v>0</v>
      </c>
      <c r="F206" s="16">
        <v>0</v>
      </c>
      <c r="G206" s="16">
        <v>0</v>
      </c>
      <c r="H206" s="16">
        <v>0</v>
      </c>
      <c r="I206" s="16">
        <v>100</v>
      </c>
      <c r="J206" s="16">
        <v>1</v>
      </c>
      <c r="K206" s="16">
        <v>0</v>
      </c>
      <c r="L206" s="16">
        <v>0</v>
      </c>
      <c r="M206" s="16">
        <v>0</v>
      </c>
      <c r="N206" s="16">
        <v>0</v>
      </c>
      <c r="O206" s="16">
        <v>0</v>
      </c>
      <c r="P206" s="16">
        <v>0</v>
      </c>
      <c r="Q206" s="16">
        <v>0</v>
      </c>
      <c r="R206" s="16">
        <v>0</v>
      </c>
      <c r="S206" s="16">
        <v>0</v>
      </c>
      <c r="T206" s="16">
        <v>0</v>
      </c>
    </row>
    <row r="207" spans="2:20" hidden="1" outlineLevel="1" x14ac:dyDescent="0.25">
      <c r="B207" t="s">
        <v>34</v>
      </c>
      <c r="C207" s="16">
        <v>50</v>
      </c>
      <c r="D207" s="16">
        <v>1</v>
      </c>
      <c r="E207" s="16">
        <v>50</v>
      </c>
      <c r="F207" s="16">
        <v>4</v>
      </c>
      <c r="G207" s="16">
        <v>75</v>
      </c>
      <c r="H207" s="16">
        <v>11</v>
      </c>
      <c r="I207" s="16">
        <v>75</v>
      </c>
      <c r="J207" s="16">
        <v>7</v>
      </c>
      <c r="K207" s="16">
        <v>75</v>
      </c>
      <c r="L207" s="16">
        <v>2</v>
      </c>
      <c r="M207" s="16">
        <v>25</v>
      </c>
      <c r="N207" s="16">
        <v>5</v>
      </c>
      <c r="O207" s="16">
        <v>84.4</v>
      </c>
      <c r="P207" s="16">
        <v>8</v>
      </c>
      <c r="Q207" s="16">
        <v>65.900000000000006</v>
      </c>
      <c r="R207" s="16">
        <v>11</v>
      </c>
      <c r="S207" s="16">
        <v>50</v>
      </c>
      <c r="T207" s="16">
        <v>3</v>
      </c>
    </row>
    <row r="208" spans="2:20" hidden="1" outlineLevel="1" x14ac:dyDescent="0.25">
      <c r="B208" t="s">
        <v>41</v>
      </c>
      <c r="C208" s="16">
        <v>58.3</v>
      </c>
      <c r="D208" s="16">
        <v>3</v>
      </c>
      <c r="E208" s="16">
        <v>55</v>
      </c>
      <c r="F208" s="16">
        <v>5</v>
      </c>
      <c r="G208" s="16">
        <v>84.4</v>
      </c>
      <c r="H208" s="16">
        <v>8</v>
      </c>
      <c r="I208" s="16">
        <v>87.5</v>
      </c>
      <c r="J208" s="16">
        <v>6</v>
      </c>
      <c r="K208" s="16">
        <v>75</v>
      </c>
      <c r="L208" s="16">
        <v>6</v>
      </c>
      <c r="M208" s="16">
        <v>93.8</v>
      </c>
      <c r="N208" s="16">
        <v>4</v>
      </c>
      <c r="O208" s="16">
        <v>75</v>
      </c>
      <c r="P208" s="16">
        <v>7</v>
      </c>
      <c r="Q208" s="16">
        <v>83.3</v>
      </c>
      <c r="R208" s="16">
        <v>3</v>
      </c>
      <c r="S208" s="16">
        <v>64.3</v>
      </c>
      <c r="T208" s="16">
        <v>7</v>
      </c>
    </row>
    <row r="209" spans="1:20" hidden="1" outlineLevel="1" x14ac:dyDescent="0.25">
      <c r="B209" t="s">
        <v>13</v>
      </c>
      <c r="C209" s="16">
        <v>83.3</v>
      </c>
      <c r="D209" s="16">
        <v>6</v>
      </c>
      <c r="E209" s="16">
        <v>59.4</v>
      </c>
      <c r="F209" s="16">
        <v>16</v>
      </c>
      <c r="G209" s="16">
        <v>65.900000000000006</v>
      </c>
      <c r="H209" s="16">
        <v>11</v>
      </c>
      <c r="I209" s="16">
        <v>64.7</v>
      </c>
      <c r="J209" s="16">
        <v>17</v>
      </c>
      <c r="K209" s="16">
        <v>87.5</v>
      </c>
      <c r="L209" s="16">
        <v>4</v>
      </c>
      <c r="M209" s="16">
        <v>69.099999999999994</v>
      </c>
      <c r="N209" s="16">
        <v>17</v>
      </c>
      <c r="O209" s="16">
        <v>90.9</v>
      </c>
      <c r="P209" s="16">
        <v>11</v>
      </c>
      <c r="Q209" s="16">
        <v>67.900000000000006</v>
      </c>
      <c r="R209" s="16">
        <v>14</v>
      </c>
      <c r="S209" s="16">
        <v>67.2</v>
      </c>
      <c r="T209" s="16">
        <v>16</v>
      </c>
    </row>
    <row r="210" spans="1:20" hidden="1" outlineLevel="1" x14ac:dyDescent="0.25">
      <c r="B210" t="s">
        <v>25</v>
      </c>
      <c r="C210" s="16">
        <v>45.8</v>
      </c>
      <c r="D210" s="16">
        <v>6</v>
      </c>
      <c r="E210" s="16">
        <v>71.900000000000006</v>
      </c>
      <c r="F210" s="16">
        <v>8</v>
      </c>
      <c r="G210" s="16">
        <v>72.5</v>
      </c>
      <c r="H210" s="16">
        <v>10</v>
      </c>
      <c r="I210" s="16">
        <v>80</v>
      </c>
      <c r="J210" s="16">
        <v>5</v>
      </c>
      <c r="K210" s="16">
        <v>64.3</v>
      </c>
      <c r="L210" s="16">
        <v>7</v>
      </c>
      <c r="M210" s="16">
        <v>58.3</v>
      </c>
      <c r="N210" s="16">
        <v>3</v>
      </c>
      <c r="O210" s="16">
        <v>100</v>
      </c>
      <c r="P210" s="16">
        <v>1</v>
      </c>
      <c r="Q210" s="16">
        <v>83.3</v>
      </c>
      <c r="R210" s="16">
        <v>3</v>
      </c>
      <c r="S210" s="16">
        <v>53.6</v>
      </c>
      <c r="T210" s="16">
        <v>7</v>
      </c>
    </row>
    <row r="211" spans="1:20" hidden="1" outlineLevel="1" x14ac:dyDescent="0.25">
      <c r="B211" t="s">
        <v>43</v>
      </c>
      <c r="C211" s="16">
        <v>9.1</v>
      </c>
      <c r="D211" s="16">
        <v>11</v>
      </c>
      <c r="E211" s="16">
        <v>66.7</v>
      </c>
      <c r="F211" s="16">
        <v>9</v>
      </c>
      <c r="G211" s="16">
        <v>47.6</v>
      </c>
      <c r="H211" s="16">
        <v>21</v>
      </c>
      <c r="I211" s="16">
        <v>45.8</v>
      </c>
      <c r="J211" s="16">
        <v>6</v>
      </c>
      <c r="K211" s="16">
        <v>60</v>
      </c>
      <c r="L211" s="16">
        <v>5</v>
      </c>
      <c r="M211" s="16">
        <v>45.8</v>
      </c>
      <c r="N211" s="16">
        <v>6</v>
      </c>
      <c r="O211" s="16">
        <v>75</v>
      </c>
      <c r="P211" s="16">
        <v>3</v>
      </c>
      <c r="Q211" s="16">
        <v>75</v>
      </c>
      <c r="R211" s="16">
        <v>1</v>
      </c>
      <c r="S211" s="16">
        <v>47.7</v>
      </c>
      <c r="T211" s="16">
        <v>11</v>
      </c>
    </row>
    <row r="212" spans="1:20" hidden="1" outlineLevel="1" x14ac:dyDescent="0.25">
      <c r="B212" t="s">
        <v>29</v>
      </c>
      <c r="C212" s="16">
        <v>21.4</v>
      </c>
      <c r="D212" s="16">
        <v>7</v>
      </c>
      <c r="E212" s="16">
        <v>75</v>
      </c>
      <c r="F212" s="16">
        <v>7</v>
      </c>
      <c r="G212" s="16">
        <v>66.7</v>
      </c>
      <c r="H212" s="16">
        <v>6</v>
      </c>
      <c r="I212" s="16">
        <v>75</v>
      </c>
      <c r="J212" s="16">
        <v>7</v>
      </c>
      <c r="K212" s="16">
        <v>87.5</v>
      </c>
      <c r="L212" s="16">
        <v>2</v>
      </c>
      <c r="M212" s="16">
        <v>68.8</v>
      </c>
      <c r="N212" s="16">
        <v>4</v>
      </c>
      <c r="O212" s="16">
        <v>50</v>
      </c>
      <c r="P212" s="16">
        <v>1</v>
      </c>
      <c r="Q212" s="16">
        <v>75</v>
      </c>
      <c r="R212" s="16">
        <v>6</v>
      </c>
      <c r="S212" s="16">
        <v>87.5</v>
      </c>
      <c r="T212" s="16">
        <v>4</v>
      </c>
    </row>
    <row r="213" spans="1:20" hidden="1" outlineLevel="1" x14ac:dyDescent="0.25">
      <c r="B213" t="s">
        <v>20</v>
      </c>
      <c r="C213" s="16">
        <v>85</v>
      </c>
      <c r="D213" s="16">
        <v>5</v>
      </c>
      <c r="E213" s="16">
        <v>70.8</v>
      </c>
      <c r="F213" s="16">
        <v>6</v>
      </c>
      <c r="G213" s="16">
        <v>64.7</v>
      </c>
      <c r="H213" s="16">
        <v>17</v>
      </c>
      <c r="I213" s="16">
        <v>75</v>
      </c>
      <c r="J213" s="16">
        <v>17</v>
      </c>
      <c r="K213" s="16">
        <v>75</v>
      </c>
      <c r="L213" s="16">
        <v>3</v>
      </c>
      <c r="M213" s="16">
        <v>70</v>
      </c>
      <c r="N213" s="16">
        <v>5</v>
      </c>
      <c r="O213" s="16">
        <v>87.5</v>
      </c>
      <c r="P213" s="16">
        <v>6</v>
      </c>
      <c r="Q213" s="16">
        <v>77.8</v>
      </c>
      <c r="R213" s="16">
        <v>9</v>
      </c>
      <c r="S213" s="16">
        <v>60.7</v>
      </c>
      <c r="T213" s="16">
        <v>7</v>
      </c>
    </row>
    <row r="214" spans="1:20" hidden="1" outlineLevel="1" x14ac:dyDescent="0.25">
      <c r="B214" t="s">
        <v>37</v>
      </c>
      <c r="C214" s="16">
        <v>61.5</v>
      </c>
      <c r="D214" s="16">
        <v>13</v>
      </c>
      <c r="E214" s="16">
        <v>52.5</v>
      </c>
      <c r="F214" s="16">
        <v>10</v>
      </c>
      <c r="G214" s="16">
        <v>65.3</v>
      </c>
      <c r="H214" s="16">
        <v>18</v>
      </c>
      <c r="I214" s="16">
        <v>67.2</v>
      </c>
      <c r="J214" s="16">
        <v>16</v>
      </c>
      <c r="K214" s="16">
        <v>0</v>
      </c>
      <c r="L214" s="16">
        <v>0</v>
      </c>
      <c r="M214" s="16">
        <v>75</v>
      </c>
      <c r="N214" s="16">
        <v>6</v>
      </c>
      <c r="O214" s="16">
        <v>63.3</v>
      </c>
      <c r="P214" s="16">
        <v>15</v>
      </c>
      <c r="Q214" s="16">
        <v>100</v>
      </c>
      <c r="R214" s="16">
        <v>1</v>
      </c>
      <c r="S214" s="16">
        <v>66.7</v>
      </c>
      <c r="T214" s="16">
        <v>6</v>
      </c>
    </row>
    <row r="215" spans="1:20" collapsed="1" x14ac:dyDescent="0.25">
      <c r="A215" t="s">
        <v>419</v>
      </c>
      <c r="C215" s="16">
        <v>1802.8999999999999</v>
      </c>
      <c r="D215" s="16">
        <v>203</v>
      </c>
      <c r="E215" s="16">
        <v>1828.6000000000001</v>
      </c>
      <c r="F215" s="16">
        <v>188</v>
      </c>
      <c r="G215" s="16">
        <v>2079.4</v>
      </c>
      <c r="H215" s="16">
        <v>300</v>
      </c>
      <c r="I215" s="16">
        <v>2352.6999999999998</v>
      </c>
      <c r="J215" s="16">
        <v>258</v>
      </c>
      <c r="K215" s="16">
        <v>2152.4</v>
      </c>
      <c r="L215" s="16">
        <v>171</v>
      </c>
      <c r="M215" s="16">
        <v>2149.2999999999993</v>
      </c>
      <c r="N215" s="16">
        <v>219</v>
      </c>
      <c r="O215" s="16">
        <v>2187.9</v>
      </c>
      <c r="P215" s="16">
        <v>237</v>
      </c>
      <c r="Q215" s="16">
        <v>2391.5000000000005</v>
      </c>
      <c r="R215" s="16">
        <v>231</v>
      </c>
      <c r="S215" s="16">
        <v>2204.7999999999997</v>
      </c>
      <c r="T215" s="16">
        <v>244</v>
      </c>
    </row>
    <row r="216" spans="1:20" x14ac:dyDescent="0.25">
      <c r="A216" t="s">
        <v>409</v>
      </c>
      <c r="C216" s="16">
        <v>13928.599999999993</v>
      </c>
      <c r="D216" s="16">
        <v>1209</v>
      </c>
      <c r="E216" s="16">
        <v>13765.599999999991</v>
      </c>
      <c r="F216" s="16">
        <v>1122</v>
      </c>
      <c r="G216" s="16">
        <v>14466.1</v>
      </c>
      <c r="H216" s="16">
        <v>1813</v>
      </c>
      <c r="I216" s="16">
        <v>15902</v>
      </c>
      <c r="J216" s="16">
        <v>1544</v>
      </c>
      <c r="K216" s="16">
        <v>13852.8</v>
      </c>
      <c r="L216" s="16">
        <v>1026</v>
      </c>
      <c r="M216" s="16">
        <v>15181.199999999984</v>
      </c>
      <c r="N216" s="16">
        <v>1302</v>
      </c>
      <c r="O216" s="16">
        <v>15042.599999999999</v>
      </c>
      <c r="P216" s="16">
        <v>1415</v>
      </c>
      <c r="Q216" s="16">
        <v>16176.299999999994</v>
      </c>
      <c r="R216" s="16">
        <v>1386</v>
      </c>
      <c r="S216" s="16">
        <v>15450.399999999996</v>
      </c>
      <c r="T216" s="16">
        <v>1447</v>
      </c>
    </row>
    <row r="220" spans="1:20" x14ac:dyDescent="0.25">
      <c r="D220">
        <f>SUM(Satisfaction!K9:K40)</f>
        <v>200</v>
      </c>
      <c r="F220">
        <f>SUM(Satisfaction!S9:S40)</f>
        <v>188</v>
      </c>
      <c r="H220">
        <f>SUM(Satisfaction!AA9:AA40)</f>
        <v>304</v>
      </c>
      <c r="J220">
        <f>SUM(Satisfaction!AI9:AI40)</f>
        <v>245</v>
      </c>
      <c r="L220">
        <f>SUM(Satisfaction!AQ9:AQ40)</f>
        <v>161</v>
      </c>
      <c r="N220">
        <f>SUM(Satisfaction!AY9:AY40)</f>
        <v>204</v>
      </c>
      <c r="P220">
        <f>SUM(Satisfaction!BG9:BG40)</f>
        <v>223</v>
      </c>
      <c r="R220">
        <f>SUM(Satisfaction!BO9:BO40)</f>
        <v>226</v>
      </c>
      <c r="T220">
        <f>SUM(Satisfaction!BW9:BW40)</f>
        <v>234</v>
      </c>
    </row>
    <row r="221" spans="1:20" x14ac:dyDescent="0.25">
      <c r="D221">
        <f>SUM(Satisfaction!K10:K41)</f>
        <v>193</v>
      </c>
      <c r="F221">
        <f>SUM(Satisfaction!S10:S41)</f>
        <v>184</v>
      </c>
      <c r="H221">
        <f>SUM(Satisfaction!AA10:AA41)</f>
        <v>290</v>
      </c>
      <c r="J221">
        <f>SUM(Satisfaction!AI10:AI41)</f>
        <v>252</v>
      </c>
      <c r="L221">
        <f>SUM(Satisfaction!AQ10:AQ41)</f>
        <v>170</v>
      </c>
      <c r="N221">
        <f>SUM(Satisfaction!AY10:AY41)</f>
        <v>212</v>
      </c>
      <c r="P221">
        <f>SUM(Satisfaction!BG10:BG41)</f>
        <v>227</v>
      </c>
      <c r="R221">
        <f>SUM(Satisfaction!BO10:BO41)</f>
        <v>226</v>
      </c>
      <c r="T221">
        <f>SUM(Satisfaction!BW10:BW41)</f>
        <v>237</v>
      </c>
    </row>
    <row r="222" spans="1:20" x14ac:dyDescent="0.25">
      <c r="D222">
        <f>SUM(Satisfaction!K11:K42)</f>
        <v>186</v>
      </c>
      <c r="F222">
        <f>SUM(Satisfaction!S11:S42)</f>
        <v>174</v>
      </c>
      <c r="H222">
        <f>SUM(Satisfaction!AA11:AA42)</f>
        <v>281</v>
      </c>
      <c r="J222">
        <f>SUM(Satisfaction!AI11:AI42)</f>
        <v>247</v>
      </c>
      <c r="L222">
        <f>SUM(Satisfaction!AQ11:AQ42)</f>
        <v>166</v>
      </c>
      <c r="N222">
        <f>SUM(Satisfaction!AY11:AY42)</f>
        <v>205</v>
      </c>
      <c r="P222">
        <f>SUM(Satisfaction!BG11:BG42)</f>
        <v>219</v>
      </c>
      <c r="R222">
        <f>SUM(Satisfaction!BO11:BO42)</f>
        <v>220</v>
      </c>
      <c r="T222">
        <f>SUM(Satisfaction!BW11:BW42)</f>
        <v>226</v>
      </c>
    </row>
    <row r="223" spans="1:20" x14ac:dyDescent="0.25">
      <c r="D223">
        <f>SUM(Satisfaction!K12:K43)</f>
        <v>185.25</v>
      </c>
      <c r="F223">
        <f>SUM(Satisfaction!S12:S43)</f>
        <v>174.26666666666668</v>
      </c>
      <c r="H223">
        <f>SUM(Satisfaction!AA12:AA43)</f>
        <v>281.80645161290323</v>
      </c>
      <c r="J223">
        <f>SUM(Satisfaction!AI12:AI43)</f>
        <v>247.75757575757575</v>
      </c>
      <c r="L223">
        <f>SUM(Satisfaction!AQ12:AQ43)</f>
        <v>163.73333333333332</v>
      </c>
      <c r="N223">
        <f>SUM(Satisfaction!AY12:AY43)</f>
        <v>205.78125</v>
      </c>
      <c r="P223">
        <f>SUM(Satisfaction!BG12:BG43)</f>
        <v>218.58064516129033</v>
      </c>
      <c r="R223">
        <f>SUM(Satisfaction!BO12:BO43)</f>
        <v>219.25</v>
      </c>
      <c r="T223">
        <f>SUM(Satisfaction!BW12:BW43)</f>
        <v>227.5625</v>
      </c>
    </row>
    <row r="224" spans="1:20" x14ac:dyDescent="0.25">
      <c r="D224">
        <f>SUM(Satisfaction!K13:K44)</f>
        <v>187.25</v>
      </c>
      <c r="F224">
        <f>SUM(Satisfaction!S13:S44)</f>
        <v>173.26666666666668</v>
      </c>
      <c r="H224">
        <f>SUM(Satisfaction!AA13:AA44)</f>
        <v>279.80645161290323</v>
      </c>
      <c r="J224">
        <f>SUM(Satisfaction!AI13:AI44)</f>
        <v>251.75757575757575</v>
      </c>
      <c r="L224">
        <f>SUM(Satisfaction!AQ13:AQ44)</f>
        <v>160.23333333333332</v>
      </c>
      <c r="N224">
        <f>SUM(Satisfaction!AY13:AY44)</f>
        <v>209.78125</v>
      </c>
      <c r="P224">
        <f>SUM(Satisfaction!BG13:BG44)</f>
        <v>224.58064516129033</v>
      </c>
      <c r="R224">
        <f>SUM(Satisfaction!BO13:BO44)</f>
        <v>220.25</v>
      </c>
      <c r="T224">
        <f>SUM(Satisfaction!BW13:BW44)</f>
        <v>226.5625</v>
      </c>
    </row>
    <row r="225" spans="4:20" x14ac:dyDescent="0.25">
      <c r="D225">
        <f>SUM(Satisfaction!K14:K46)</f>
        <v>380.25</v>
      </c>
      <c r="F225">
        <f>SUM(Satisfaction!S14:S46)</f>
        <v>355.26666666666665</v>
      </c>
      <c r="H225">
        <f>SUM(Satisfaction!AA14:AA46)</f>
        <v>571.80645161290317</v>
      </c>
      <c r="J225">
        <f>SUM(Satisfaction!AI14:AI46)</f>
        <v>498.75757575757575</v>
      </c>
      <c r="L225">
        <f>SUM(Satisfaction!AQ14:AQ46)</f>
        <v>328.23333333333335</v>
      </c>
      <c r="N225">
        <f>SUM(Satisfaction!AY14:AY46)</f>
        <v>420.78125</v>
      </c>
      <c r="P225">
        <f>SUM(Satisfaction!BG14:BG46)</f>
        <v>453.58064516129036</v>
      </c>
      <c r="R225">
        <f>SUM(Satisfaction!BO14:BO46)</f>
        <v>445.25</v>
      </c>
      <c r="T225">
        <f>SUM(Satisfaction!BW14:BW46)</f>
        <v>461.5625</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1699"/>
  <sheetViews>
    <sheetView zoomScale="80" zoomScaleNormal="80" workbookViewId="0">
      <pane ySplit="1" topLeftCell="A2" activePane="bottomLeft" state="frozen"/>
      <selection activeCell="K350" sqref="K350"/>
      <selection pane="bottomLeft" activeCell="D1699" sqref="D1699"/>
    </sheetView>
  </sheetViews>
  <sheetFormatPr defaultRowHeight="15" x14ac:dyDescent="0.25"/>
  <cols>
    <col min="1" max="2" width="9.140625" style="2"/>
    <col min="4" max="4" width="15" style="1" bestFit="1" customWidth="1"/>
    <col min="5" max="5" width="32.28515625" customWidth="1"/>
    <col min="6" max="6" width="32.85546875" bestFit="1" customWidth="1"/>
    <col min="7" max="7" width="12.42578125" bestFit="1" customWidth="1"/>
    <col min="8" max="8" width="12" bestFit="1" customWidth="1"/>
    <col min="9" max="9" width="11" bestFit="1" customWidth="1"/>
    <col min="10" max="10" width="15.7109375" bestFit="1" customWidth="1"/>
    <col min="11" max="11" width="17.28515625" bestFit="1" customWidth="1"/>
  </cols>
  <sheetData>
    <row r="1" spans="1:11" ht="15.75" thickBot="1" x14ac:dyDescent="0.3">
      <c r="A1" s="7" t="s">
        <v>102</v>
      </c>
      <c r="B1" s="7" t="s">
        <v>103</v>
      </c>
      <c r="C1" s="8" t="s">
        <v>104</v>
      </c>
      <c r="D1" s="39" t="s">
        <v>0</v>
      </c>
      <c r="E1" s="8" t="s">
        <v>1</v>
      </c>
      <c r="F1" s="8" t="s">
        <v>2</v>
      </c>
      <c r="G1" s="8" t="s">
        <v>3</v>
      </c>
      <c r="H1" s="8" t="s">
        <v>4</v>
      </c>
      <c r="I1" s="8" t="s">
        <v>5</v>
      </c>
      <c r="J1" s="8" t="s">
        <v>431</v>
      </c>
      <c r="K1" s="8" t="s">
        <v>432</v>
      </c>
    </row>
    <row r="2" spans="1:11" x14ac:dyDescent="0.25">
      <c r="A2" s="2">
        <v>2017</v>
      </c>
      <c r="B2" s="2" t="s">
        <v>105</v>
      </c>
      <c r="C2" t="s">
        <v>106</v>
      </c>
      <c r="D2" s="1">
        <v>130674</v>
      </c>
      <c r="E2" t="s">
        <v>6</v>
      </c>
      <c r="F2" t="s">
        <v>7</v>
      </c>
      <c r="G2">
        <v>100</v>
      </c>
      <c r="H2">
        <v>1</v>
      </c>
      <c r="I2">
        <v>99</v>
      </c>
      <c r="J2">
        <v>99</v>
      </c>
      <c r="K2">
        <v>99</v>
      </c>
    </row>
    <row r="3" spans="1:11" x14ac:dyDescent="0.25">
      <c r="A3" s="2">
        <v>2017</v>
      </c>
      <c r="B3" s="2" t="s">
        <v>105</v>
      </c>
      <c r="C3" t="s">
        <v>106</v>
      </c>
      <c r="D3" s="1">
        <v>130674</v>
      </c>
      <c r="E3" t="s">
        <v>6</v>
      </c>
      <c r="F3" t="s">
        <v>8</v>
      </c>
      <c r="G3">
        <v>100</v>
      </c>
      <c r="H3">
        <v>1</v>
      </c>
      <c r="I3">
        <v>99</v>
      </c>
      <c r="J3">
        <v>99</v>
      </c>
      <c r="K3">
        <v>99</v>
      </c>
    </row>
    <row r="4" spans="1:11" x14ac:dyDescent="0.25">
      <c r="A4" s="2">
        <v>2017</v>
      </c>
      <c r="B4" s="2" t="s">
        <v>105</v>
      </c>
      <c r="C4" t="s">
        <v>106</v>
      </c>
      <c r="D4" s="1">
        <v>130674</v>
      </c>
      <c r="E4" t="s">
        <v>6</v>
      </c>
      <c r="F4" t="s">
        <v>9</v>
      </c>
      <c r="G4">
        <v>100</v>
      </c>
      <c r="H4">
        <v>1</v>
      </c>
      <c r="I4">
        <v>99</v>
      </c>
      <c r="J4">
        <v>99</v>
      </c>
      <c r="K4">
        <v>99</v>
      </c>
    </row>
    <row r="5" spans="1:11" x14ac:dyDescent="0.25">
      <c r="A5" s="2">
        <v>2017</v>
      </c>
      <c r="B5" s="2" t="s">
        <v>105</v>
      </c>
      <c r="C5" t="s">
        <v>106</v>
      </c>
      <c r="D5" s="1">
        <v>130674</v>
      </c>
      <c r="E5" t="s">
        <v>6</v>
      </c>
      <c r="F5" t="s">
        <v>10</v>
      </c>
      <c r="G5">
        <v>100</v>
      </c>
      <c r="H5">
        <v>1</v>
      </c>
      <c r="I5">
        <v>99</v>
      </c>
      <c r="J5">
        <v>99</v>
      </c>
      <c r="K5">
        <v>99</v>
      </c>
    </row>
    <row r="6" spans="1:11" x14ac:dyDescent="0.25">
      <c r="A6" s="2">
        <v>2017</v>
      </c>
      <c r="B6" s="2" t="s">
        <v>105</v>
      </c>
      <c r="C6" t="s">
        <v>106</v>
      </c>
      <c r="D6" s="1">
        <v>130674</v>
      </c>
      <c r="E6" t="s">
        <v>6</v>
      </c>
      <c r="F6" t="s">
        <v>11</v>
      </c>
      <c r="G6">
        <v>100</v>
      </c>
      <c r="H6">
        <v>1</v>
      </c>
      <c r="I6">
        <v>99</v>
      </c>
      <c r="J6">
        <v>99</v>
      </c>
      <c r="K6">
        <v>99</v>
      </c>
    </row>
    <row r="7" spans="1:11" x14ac:dyDescent="0.25">
      <c r="A7" s="2">
        <v>2017</v>
      </c>
      <c r="B7" s="2" t="s">
        <v>105</v>
      </c>
      <c r="C7" t="s">
        <v>106</v>
      </c>
      <c r="D7" s="1">
        <v>130674</v>
      </c>
      <c r="E7" t="s">
        <v>6</v>
      </c>
      <c r="F7" t="s">
        <v>12</v>
      </c>
      <c r="G7">
        <v>100</v>
      </c>
      <c r="H7">
        <v>1</v>
      </c>
      <c r="I7">
        <v>99</v>
      </c>
      <c r="J7">
        <v>99</v>
      </c>
      <c r="K7">
        <v>99</v>
      </c>
    </row>
    <row r="8" spans="1:11" x14ac:dyDescent="0.25">
      <c r="A8" s="2">
        <v>2017</v>
      </c>
      <c r="B8" s="2" t="s">
        <v>105</v>
      </c>
      <c r="C8" t="s">
        <v>106</v>
      </c>
      <c r="D8" s="1">
        <v>177162</v>
      </c>
      <c r="E8" t="s">
        <v>13</v>
      </c>
      <c r="F8" t="s">
        <v>7</v>
      </c>
      <c r="G8">
        <v>97.9</v>
      </c>
      <c r="H8">
        <v>6</v>
      </c>
      <c r="I8">
        <v>99</v>
      </c>
      <c r="J8">
        <v>99</v>
      </c>
      <c r="K8">
        <v>99</v>
      </c>
    </row>
    <row r="9" spans="1:11" x14ac:dyDescent="0.25">
      <c r="A9" s="2">
        <v>2017</v>
      </c>
      <c r="B9" s="2" t="s">
        <v>105</v>
      </c>
      <c r="C9" t="s">
        <v>106</v>
      </c>
      <c r="D9" s="1">
        <v>177162</v>
      </c>
      <c r="E9" t="s">
        <v>13</v>
      </c>
      <c r="F9" t="s">
        <v>8</v>
      </c>
      <c r="G9">
        <v>100</v>
      </c>
      <c r="H9">
        <v>6</v>
      </c>
      <c r="I9">
        <v>99</v>
      </c>
      <c r="J9">
        <v>99</v>
      </c>
      <c r="K9">
        <v>99</v>
      </c>
    </row>
    <row r="10" spans="1:11" x14ac:dyDescent="0.25">
      <c r="A10" s="2">
        <v>2017</v>
      </c>
      <c r="B10" s="2" t="s">
        <v>105</v>
      </c>
      <c r="C10" t="s">
        <v>106</v>
      </c>
      <c r="D10" s="1">
        <v>177162</v>
      </c>
      <c r="E10" t="s">
        <v>13</v>
      </c>
      <c r="F10" t="s">
        <v>9</v>
      </c>
      <c r="G10">
        <v>91.7</v>
      </c>
      <c r="H10">
        <v>6</v>
      </c>
      <c r="I10">
        <v>99</v>
      </c>
      <c r="J10">
        <v>93</v>
      </c>
      <c r="K10">
        <v>88</v>
      </c>
    </row>
    <row r="11" spans="1:11" x14ac:dyDescent="0.25">
      <c r="A11" s="2">
        <v>2017</v>
      </c>
      <c r="B11" s="2" t="s">
        <v>105</v>
      </c>
      <c r="C11" t="s">
        <v>106</v>
      </c>
      <c r="D11" s="1">
        <v>177162</v>
      </c>
      <c r="E11" t="s">
        <v>13</v>
      </c>
      <c r="F11" t="s">
        <v>10</v>
      </c>
      <c r="G11">
        <v>100</v>
      </c>
      <c r="H11">
        <v>6</v>
      </c>
      <c r="I11">
        <v>99</v>
      </c>
      <c r="J11">
        <v>99</v>
      </c>
      <c r="K11">
        <v>99</v>
      </c>
    </row>
    <row r="12" spans="1:11" x14ac:dyDescent="0.25">
      <c r="A12" s="2">
        <v>2017</v>
      </c>
      <c r="B12" s="2" t="s">
        <v>105</v>
      </c>
      <c r="C12" t="s">
        <v>106</v>
      </c>
      <c r="D12" s="1">
        <v>177162</v>
      </c>
      <c r="E12" t="s">
        <v>13</v>
      </c>
      <c r="F12" t="s">
        <v>11</v>
      </c>
      <c r="G12">
        <v>100</v>
      </c>
      <c r="H12">
        <v>6</v>
      </c>
      <c r="I12">
        <v>99</v>
      </c>
      <c r="J12">
        <v>99</v>
      </c>
      <c r="K12">
        <v>99</v>
      </c>
    </row>
    <row r="13" spans="1:11" x14ac:dyDescent="0.25">
      <c r="A13" s="2">
        <v>2017</v>
      </c>
      <c r="B13" s="2" t="s">
        <v>105</v>
      </c>
      <c r="C13" t="s">
        <v>106</v>
      </c>
      <c r="D13" s="1">
        <v>177162</v>
      </c>
      <c r="E13" t="s">
        <v>13</v>
      </c>
      <c r="F13" t="s">
        <v>12</v>
      </c>
      <c r="G13">
        <v>83.3</v>
      </c>
      <c r="H13">
        <v>6</v>
      </c>
      <c r="I13">
        <v>92</v>
      </c>
      <c r="J13">
        <v>70</v>
      </c>
      <c r="K13">
        <v>68</v>
      </c>
    </row>
    <row r="14" spans="1:11" x14ac:dyDescent="0.25">
      <c r="A14" s="2">
        <v>2017</v>
      </c>
      <c r="B14" s="2" t="s">
        <v>105</v>
      </c>
      <c r="C14" t="s">
        <v>106</v>
      </c>
      <c r="D14" s="1">
        <v>99093</v>
      </c>
      <c r="E14" t="s">
        <v>14</v>
      </c>
      <c r="F14" t="s">
        <v>7</v>
      </c>
      <c r="G14">
        <v>93.8</v>
      </c>
      <c r="H14">
        <v>7</v>
      </c>
      <c r="I14">
        <v>99</v>
      </c>
      <c r="J14">
        <v>99</v>
      </c>
      <c r="K14">
        <v>96</v>
      </c>
    </row>
    <row r="15" spans="1:11" x14ac:dyDescent="0.25">
      <c r="A15" s="2">
        <v>2017</v>
      </c>
      <c r="B15" s="2" t="s">
        <v>105</v>
      </c>
      <c r="C15" t="s">
        <v>106</v>
      </c>
      <c r="D15" s="1">
        <v>99093</v>
      </c>
      <c r="E15" t="s">
        <v>14</v>
      </c>
      <c r="F15" t="s">
        <v>8</v>
      </c>
      <c r="G15">
        <v>92.9</v>
      </c>
      <c r="H15">
        <v>7</v>
      </c>
      <c r="I15">
        <v>99</v>
      </c>
      <c r="J15">
        <v>98</v>
      </c>
      <c r="K15">
        <v>95</v>
      </c>
    </row>
    <row r="16" spans="1:11" x14ac:dyDescent="0.25">
      <c r="A16" s="2">
        <v>2017</v>
      </c>
      <c r="B16" s="2" t="s">
        <v>105</v>
      </c>
      <c r="C16" t="s">
        <v>106</v>
      </c>
      <c r="D16" s="1">
        <v>99093</v>
      </c>
      <c r="E16" t="s">
        <v>14</v>
      </c>
      <c r="F16" t="s">
        <v>9</v>
      </c>
      <c r="G16">
        <v>92.9</v>
      </c>
      <c r="H16">
        <v>7</v>
      </c>
      <c r="I16">
        <v>99</v>
      </c>
      <c r="J16">
        <v>98</v>
      </c>
      <c r="K16">
        <v>93</v>
      </c>
    </row>
    <row r="17" spans="1:11" x14ac:dyDescent="0.25">
      <c r="A17" s="2">
        <v>2017</v>
      </c>
      <c r="B17" s="2" t="s">
        <v>105</v>
      </c>
      <c r="C17" t="s">
        <v>106</v>
      </c>
      <c r="D17" s="1">
        <v>99093</v>
      </c>
      <c r="E17" t="s">
        <v>14</v>
      </c>
      <c r="F17" t="s">
        <v>10</v>
      </c>
      <c r="G17">
        <v>96.4</v>
      </c>
      <c r="H17">
        <v>7</v>
      </c>
      <c r="I17">
        <v>99</v>
      </c>
      <c r="J17">
        <v>99</v>
      </c>
      <c r="K17">
        <v>99</v>
      </c>
    </row>
    <row r="18" spans="1:11" x14ac:dyDescent="0.25">
      <c r="A18" s="2">
        <v>2017</v>
      </c>
      <c r="B18" s="2" t="s">
        <v>105</v>
      </c>
      <c r="C18" t="s">
        <v>106</v>
      </c>
      <c r="D18" s="1">
        <v>99093</v>
      </c>
      <c r="E18" t="s">
        <v>14</v>
      </c>
      <c r="F18" t="s">
        <v>11</v>
      </c>
      <c r="G18">
        <v>92.9</v>
      </c>
      <c r="H18">
        <v>7</v>
      </c>
      <c r="I18">
        <v>99</v>
      </c>
      <c r="J18">
        <v>91</v>
      </c>
      <c r="K18">
        <v>87</v>
      </c>
    </row>
    <row r="19" spans="1:11" x14ac:dyDescent="0.25">
      <c r="A19" s="2">
        <v>2017</v>
      </c>
      <c r="B19" s="2" t="s">
        <v>105</v>
      </c>
      <c r="C19" t="s">
        <v>106</v>
      </c>
      <c r="D19" s="1">
        <v>99093</v>
      </c>
      <c r="E19" t="s">
        <v>14</v>
      </c>
      <c r="F19" t="s">
        <v>12</v>
      </c>
      <c r="G19">
        <v>75</v>
      </c>
      <c r="H19">
        <v>7</v>
      </c>
      <c r="I19">
        <v>57</v>
      </c>
      <c r="J19">
        <v>31</v>
      </c>
      <c r="K19">
        <v>25</v>
      </c>
    </row>
    <row r="20" spans="1:11" x14ac:dyDescent="0.25">
      <c r="A20" s="2">
        <v>2017</v>
      </c>
      <c r="B20" s="2" t="s">
        <v>105</v>
      </c>
      <c r="C20" t="s">
        <v>106</v>
      </c>
      <c r="D20" s="1">
        <v>89383</v>
      </c>
      <c r="E20" t="s">
        <v>15</v>
      </c>
      <c r="F20" t="s">
        <v>7</v>
      </c>
      <c r="G20">
        <v>87.5</v>
      </c>
      <c r="H20">
        <v>5</v>
      </c>
      <c r="I20">
        <v>81</v>
      </c>
      <c r="J20">
        <v>65</v>
      </c>
      <c r="K20">
        <v>59</v>
      </c>
    </row>
    <row r="21" spans="1:11" x14ac:dyDescent="0.25">
      <c r="A21" s="2">
        <v>2017</v>
      </c>
      <c r="B21" s="2" t="s">
        <v>105</v>
      </c>
      <c r="C21" t="s">
        <v>106</v>
      </c>
      <c r="D21" s="1">
        <v>89383</v>
      </c>
      <c r="E21" t="s">
        <v>15</v>
      </c>
      <c r="F21" t="s">
        <v>8</v>
      </c>
      <c r="G21">
        <v>85</v>
      </c>
      <c r="H21">
        <v>5</v>
      </c>
      <c r="I21">
        <v>66</v>
      </c>
      <c r="J21">
        <v>49</v>
      </c>
      <c r="K21">
        <v>45</v>
      </c>
    </row>
    <row r="22" spans="1:11" x14ac:dyDescent="0.25">
      <c r="A22" s="2">
        <v>2017</v>
      </c>
      <c r="B22" s="2" t="s">
        <v>105</v>
      </c>
      <c r="C22" t="s">
        <v>106</v>
      </c>
      <c r="D22" s="1">
        <v>89383</v>
      </c>
      <c r="E22" t="s">
        <v>15</v>
      </c>
      <c r="F22" t="s">
        <v>9</v>
      </c>
      <c r="G22">
        <v>95</v>
      </c>
      <c r="H22">
        <v>5</v>
      </c>
      <c r="I22">
        <v>99</v>
      </c>
      <c r="J22">
        <v>99</v>
      </c>
      <c r="K22">
        <v>98</v>
      </c>
    </row>
    <row r="23" spans="1:11" x14ac:dyDescent="0.25">
      <c r="A23" s="2">
        <v>2017</v>
      </c>
      <c r="B23" s="2" t="s">
        <v>105</v>
      </c>
      <c r="C23" t="s">
        <v>106</v>
      </c>
      <c r="D23" s="1">
        <v>89383</v>
      </c>
      <c r="E23" t="s">
        <v>15</v>
      </c>
      <c r="F23" t="s">
        <v>10</v>
      </c>
      <c r="G23">
        <v>80</v>
      </c>
      <c r="H23">
        <v>5</v>
      </c>
      <c r="I23">
        <v>23</v>
      </c>
      <c r="J23">
        <v>17</v>
      </c>
      <c r="K23">
        <v>12</v>
      </c>
    </row>
    <row r="24" spans="1:11" x14ac:dyDescent="0.25">
      <c r="A24" s="2">
        <v>2017</v>
      </c>
      <c r="B24" s="2" t="s">
        <v>105</v>
      </c>
      <c r="C24" t="s">
        <v>106</v>
      </c>
      <c r="D24" s="1">
        <v>89383</v>
      </c>
      <c r="E24" t="s">
        <v>15</v>
      </c>
      <c r="F24" t="s">
        <v>11</v>
      </c>
      <c r="G24">
        <v>90</v>
      </c>
      <c r="H24">
        <v>5</v>
      </c>
      <c r="I24">
        <v>81</v>
      </c>
      <c r="J24">
        <v>66</v>
      </c>
      <c r="K24">
        <v>62</v>
      </c>
    </row>
    <row r="25" spans="1:11" x14ac:dyDescent="0.25">
      <c r="A25" s="2">
        <v>2017</v>
      </c>
      <c r="B25" s="2" t="s">
        <v>105</v>
      </c>
      <c r="C25" t="s">
        <v>106</v>
      </c>
      <c r="D25" s="1">
        <v>89383</v>
      </c>
      <c r="E25" t="s">
        <v>15</v>
      </c>
      <c r="F25" t="s">
        <v>12</v>
      </c>
      <c r="G25">
        <v>65</v>
      </c>
      <c r="H25">
        <v>5</v>
      </c>
      <c r="I25">
        <v>17</v>
      </c>
      <c r="J25">
        <v>5</v>
      </c>
      <c r="K25">
        <v>4</v>
      </c>
    </row>
    <row r="26" spans="1:11" x14ac:dyDescent="0.25">
      <c r="A26" s="2">
        <v>2017</v>
      </c>
      <c r="B26" s="2" t="s">
        <v>105</v>
      </c>
      <c r="C26" t="s">
        <v>106</v>
      </c>
      <c r="D26" s="1">
        <v>58222</v>
      </c>
      <c r="E26" t="s">
        <v>16</v>
      </c>
      <c r="F26" t="s">
        <v>7</v>
      </c>
      <c r="G26">
        <v>89.1</v>
      </c>
      <c r="H26">
        <v>4</v>
      </c>
      <c r="I26">
        <v>94</v>
      </c>
      <c r="J26">
        <v>81</v>
      </c>
      <c r="K26">
        <v>74</v>
      </c>
    </row>
    <row r="27" spans="1:11" x14ac:dyDescent="0.25">
      <c r="A27" s="2">
        <v>2017</v>
      </c>
      <c r="B27" s="2" t="s">
        <v>105</v>
      </c>
      <c r="C27" t="s">
        <v>106</v>
      </c>
      <c r="D27" s="1">
        <v>58222</v>
      </c>
      <c r="E27" t="s">
        <v>16</v>
      </c>
      <c r="F27" t="s">
        <v>8</v>
      </c>
      <c r="G27">
        <v>81.3</v>
      </c>
      <c r="H27">
        <v>4</v>
      </c>
      <c r="I27">
        <v>36</v>
      </c>
      <c r="J27">
        <v>26</v>
      </c>
      <c r="K27">
        <v>19</v>
      </c>
    </row>
    <row r="28" spans="1:11" x14ac:dyDescent="0.25">
      <c r="A28" s="2">
        <v>2017</v>
      </c>
      <c r="B28" s="2" t="s">
        <v>105</v>
      </c>
      <c r="C28" t="s">
        <v>106</v>
      </c>
      <c r="D28" s="1">
        <v>58222</v>
      </c>
      <c r="E28" t="s">
        <v>16</v>
      </c>
      <c r="F28" t="s">
        <v>9</v>
      </c>
      <c r="G28">
        <v>87.5</v>
      </c>
      <c r="H28">
        <v>4</v>
      </c>
      <c r="I28">
        <v>76</v>
      </c>
      <c r="J28">
        <v>64</v>
      </c>
      <c r="K28">
        <v>56</v>
      </c>
    </row>
    <row r="29" spans="1:11" x14ac:dyDescent="0.25">
      <c r="A29" s="2">
        <v>2017</v>
      </c>
      <c r="B29" s="2" t="s">
        <v>105</v>
      </c>
      <c r="C29" t="s">
        <v>106</v>
      </c>
      <c r="D29" s="1">
        <v>58222</v>
      </c>
      <c r="E29" t="s">
        <v>16</v>
      </c>
      <c r="F29" t="s">
        <v>10</v>
      </c>
      <c r="G29">
        <v>93.8</v>
      </c>
      <c r="H29">
        <v>4</v>
      </c>
      <c r="I29">
        <v>99</v>
      </c>
      <c r="J29">
        <v>99</v>
      </c>
      <c r="K29">
        <v>97</v>
      </c>
    </row>
    <row r="30" spans="1:11" x14ac:dyDescent="0.25">
      <c r="A30" s="2">
        <v>2017</v>
      </c>
      <c r="B30" s="2" t="s">
        <v>105</v>
      </c>
      <c r="C30" t="s">
        <v>106</v>
      </c>
      <c r="D30" s="1">
        <v>58222</v>
      </c>
      <c r="E30" t="s">
        <v>16</v>
      </c>
      <c r="F30" t="s">
        <v>11</v>
      </c>
      <c r="G30">
        <v>93.8</v>
      </c>
      <c r="H30">
        <v>4</v>
      </c>
      <c r="I30">
        <v>99</v>
      </c>
      <c r="J30">
        <v>95</v>
      </c>
      <c r="K30">
        <v>91</v>
      </c>
    </row>
    <row r="31" spans="1:11" x14ac:dyDescent="0.25">
      <c r="A31" s="2">
        <v>2017</v>
      </c>
      <c r="B31" s="2" t="s">
        <v>105</v>
      </c>
      <c r="C31" t="s">
        <v>106</v>
      </c>
      <c r="D31" s="1">
        <v>58222</v>
      </c>
      <c r="E31" t="s">
        <v>16</v>
      </c>
      <c r="F31" t="s">
        <v>12</v>
      </c>
      <c r="G31">
        <v>60</v>
      </c>
      <c r="H31">
        <v>5</v>
      </c>
      <c r="I31">
        <v>6</v>
      </c>
      <c r="J31">
        <v>2</v>
      </c>
      <c r="K31">
        <v>1</v>
      </c>
    </row>
    <row r="32" spans="1:11" x14ac:dyDescent="0.25">
      <c r="A32" s="2">
        <v>2017</v>
      </c>
      <c r="B32" s="2" t="s">
        <v>105</v>
      </c>
      <c r="C32" t="s">
        <v>106</v>
      </c>
      <c r="D32" s="1">
        <v>22673</v>
      </c>
      <c r="E32" t="s">
        <v>17</v>
      </c>
      <c r="F32" t="s">
        <v>7</v>
      </c>
      <c r="G32">
        <v>87.5</v>
      </c>
      <c r="H32">
        <v>4</v>
      </c>
      <c r="I32">
        <v>81</v>
      </c>
      <c r="J32">
        <v>65</v>
      </c>
      <c r="K32">
        <v>59</v>
      </c>
    </row>
    <row r="33" spans="1:11" x14ac:dyDescent="0.25">
      <c r="A33" s="2">
        <v>2017</v>
      </c>
      <c r="B33" s="2" t="s">
        <v>105</v>
      </c>
      <c r="C33" t="s">
        <v>106</v>
      </c>
      <c r="D33" s="1">
        <v>22673</v>
      </c>
      <c r="E33" t="s">
        <v>17</v>
      </c>
      <c r="F33" t="s">
        <v>8</v>
      </c>
      <c r="G33">
        <v>81.3</v>
      </c>
      <c r="H33">
        <v>4</v>
      </c>
      <c r="I33">
        <v>36</v>
      </c>
      <c r="J33">
        <v>26</v>
      </c>
      <c r="K33">
        <v>19</v>
      </c>
    </row>
    <row r="34" spans="1:11" x14ac:dyDescent="0.25">
      <c r="A34" s="2">
        <v>2017</v>
      </c>
      <c r="B34" s="2" t="s">
        <v>105</v>
      </c>
      <c r="C34" t="s">
        <v>106</v>
      </c>
      <c r="D34" s="1">
        <v>22673</v>
      </c>
      <c r="E34" t="s">
        <v>17</v>
      </c>
      <c r="F34" t="s">
        <v>9</v>
      </c>
      <c r="G34">
        <v>87.5</v>
      </c>
      <c r="H34">
        <v>4</v>
      </c>
      <c r="I34">
        <v>76</v>
      </c>
      <c r="J34">
        <v>64</v>
      </c>
      <c r="K34">
        <v>56</v>
      </c>
    </row>
    <row r="35" spans="1:11" x14ac:dyDescent="0.25">
      <c r="A35" s="2">
        <v>2017</v>
      </c>
      <c r="B35" s="2" t="s">
        <v>105</v>
      </c>
      <c r="C35" t="s">
        <v>106</v>
      </c>
      <c r="D35" s="1">
        <v>22673</v>
      </c>
      <c r="E35" t="s">
        <v>17</v>
      </c>
      <c r="F35" t="s">
        <v>10</v>
      </c>
      <c r="G35">
        <v>87.5</v>
      </c>
      <c r="H35">
        <v>4</v>
      </c>
      <c r="I35">
        <v>94</v>
      </c>
      <c r="J35">
        <v>79</v>
      </c>
      <c r="K35">
        <v>69</v>
      </c>
    </row>
    <row r="36" spans="1:11" x14ac:dyDescent="0.25">
      <c r="A36" s="2">
        <v>2017</v>
      </c>
      <c r="B36" s="2" t="s">
        <v>105</v>
      </c>
      <c r="C36" t="s">
        <v>106</v>
      </c>
      <c r="D36" s="1">
        <v>22673</v>
      </c>
      <c r="E36" t="s">
        <v>17</v>
      </c>
      <c r="F36" t="s">
        <v>11</v>
      </c>
      <c r="G36">
        <v>93.8</v>
      </c>
      <c r="H36">
        <v>4</v>
      </c>
      <c r="I36">
        <v>99</v>
      </c>
      <c r="J36">
        <v>95</v>
      </c>
      <c r="K36">
        <v>91</v>
      </c>
    </row>
    <row r="37" spans="1:11" x14ac:dyDescent="0.25">
      <c r="A37" s="2">
        <v>2017</v>
      </c>
      <c r="B37" s="2" t="s">
        <v>105</v>
      </c>
      <c r="C37" t="s">
        <v>106</v>
      </c>
      <c r="D37" s="1">
        <v>22673</v>
      </c>
      <c r="E37" t="s">
        <v>17</v>
      </c>
      <c r="F37" t="s">
        <v>12</v>
      </c>
      <c r="G37">
        <v>62.5</v>
      </c>
      <c r="H37">
        <v>4</v>
      </c>
      <c r="I37">
        <v>10</v>
      </c>
      <c r="J37">
        <v>3</v>
      </c>
      <c r="K37">
        <v>2</v>
      </c>
    </row>
    <row r="38" spans="1:11" x14ac:dyDescent="0.25">
      <c r="A38" s="2">
        <v>2017</v>
      </c>
      <c r="B38" s="2" t="s">
        <v>105</v>
      </c>
      <c r="C38" t="s">
        <v>106</v>
      </c>
      <c r="D38" s="1">
        <v>110569</v>
      </c>
      <c r="E38" t="s">
        <v>18</v>
      </c>
      <c r="F38" t="s">
        <v>7</v>
      </c>
      <c r="G38">
        <v>91.4</v>
      </c>
      <c r="H38">
        <v>8</v>
      </c>
      <c r="I38">
        <v>99</v>
      </c>
      <c r="J38">
        <v>93</v>
      </c>
      <c r="K38">
        <v>88</v>
      </c>
    </row>
    <row r="39" spans="1:11" x14ac:dyDescent="0.25">
      <c r="A39" s="2">
        <v>2017</v>
      </c>
      <c r="B39" s="2" t="s">
        <v>105</v>
      </c>
      <c r="C39" t="s">
        <v>106</v>
      </c>
      <c r="D39" s="1">
        <v>110569</v>
      </c>
      <c r="E39" t="s">
        <v>18</v>
      </c>
      <c r="F39" t="s">
        <v>8</v>
      </c>
      <c r="G39">
        <v>87.5</v>
      </c>
      <c r="H39">
        <v>8</v>
      </c>
      <c r="I39">
        <v>91</v>
      </c>
      <c r="J39">
        <v>76</v>
      </c>
      <c r="K39">
        <v>70</v>
      </c>
    </row>
    <row r="40" spans="1:11" x14ac:dyDescent="0.25">
      <c r="A40" s="2">
        <v>2017</v>
      </c>
      <c r="B40" s="2" t="s">
        <v>105</v>
      </c>
      <c r="C40" t="s">
        <v>106</v>
      </c>
      <c r="D40" s="1">
        <v>110569</v>
      </c>
      <c r="E40" t="s">
        <v>18</v>
      </c>
      <c r="F40" t="s">
        <v>9</v>
      </c>
      <c r="G40">
        <v>90.6</v>
      </c>
      <c r="H40">
        <v>8</v>
      </c>
      <c r="I40">
        <v>99</v>
      </c>
      <c r="J40">
        <v>85</v>
      </c>
      <c r="K40">
        <v>83</v>
      </c>
    </row>
    <row r="41" spans="1:11" x14ac:dyDescent="0.25">
      <c r="A41" s="2">
        <v>2017</v>
      </c>
      <c r="B41" s="2" t="s">
        <v>105</v>
      </c>
      <c r="C41" t="s">
        <v>106</v>
      </c>
      <c r="D41" s="1">
        <v>110569</v>
      </c>
      <c r="E41" t="s">
        <v>18</v>
      </c>
      <c r="F41" t="s">
        <v>10</v>
      </c>
      <c r="G41">
        <v>93.8</v>
      </c>
      <c r="H41">
        <v>8</v>
      </c>
      <c r="I41">
        <v>99</v>
      </c>
      <c r="J41">
        <v>99</v>
      </c>
      <c r="K41">
        <v>97</v>
      </c>
    </row>
    <row r="42" spans="1:11" x14ac:dyDescent="0.25">
      <c r="A42" s="2">
        <v>2017</v>
      </c>
      <c r="B42" s="2" t="s">
        <v>105</v>
      </c>
      <c r="C42" t="s">
        <v>106</v>
      </c>
      <c r="D42" s="1">
        <v>110569</v>
      </c>
      <c r="E42" t="s">
        <v>18</v>
      </c>
      <c r="F42" t="s">
        <v>11</v>
      </c>
      <c r="G42">
        <v>93.8</v>
      </c>
      <c r="H42">
        <v>8</v>
      </c>
      <c r="I42">
        <v>99</v>
      </c>
      <c r="J42">
        <v>95</v>
      </c>
      <c r="K42">
        <v>91</v>
      </c>
    </row>
    <row r="43" spans="1:11" x14ac:dyDescent="0.25">
      <c r="A43" s="2">
        <v>2017</v>
      </c>
      <c r="B43" s="2" t="s">
        <v>105</v>
      </c>
      <c r="C43" t="s">
        <v>106</v>
      </c>
      <c r="D43" s="1">
        <v>110569</v>
      </c>
      <c r="E43" t="s">
        <v>18</v>
      </c>
      <c r="F43" t="s">
        <v>12</v>
      </c>
      <c r="G43">
        <v>65.599999999999994</v>
      </c>
      <c r="H43">
        <v>8</v>
      </c>
      <c r="I43">
        <v>17</v>
      </c>
      <c r="J43">
        <v>5</v>
      </c>
      <c r="K43">
        <v>5</v>
      </c>
    </row>
    <row r="44" spans="1:11" x14ac:dyDescent="0.25">
      <c r="A44" s="2">
        <v>2017</v>
      </c>
      <c r="B44" s="2" t="s">
        <v>105</v>
      </c>
      <c r="C44" t="s">
        <v>106</v>
      </c>
      <c r="D44" s="1">
        <v>70359</v>
      </c>
      <c r="E44" t="s">
        <v>19</v>
      </c>
      <c r="F44" t="s">
        <v>7</v>
      </c>
      <c r="G44">
        <v>81.3</v>
      </c>
      <c r="H44">
        <v>4</v>
      </c>
      <c r="I44">
        <v>20</v>
      </c>
      <c r="J44">
        <v>10</v>
      </c>
      <c r="K44">
        <v>11</v>
      </c>
    </row>
    <row r="45" spans="1:11" x14ac:dyDescent="0.25">
      <c r="A45" s="2">
        <v>2017</v>
      </c>
      <c r="B45" s="2" t="s">
        <v>105</v>
      </c>
      <c r="C45" t="s">
        <v>106</v>
      </c>
      <c r="D45" s="1">
        <v>70359</v>
      </c>
      <c r="E45" t="s">
        <v>19</v>
      </c>
      <c r="F45" t="s">
        <v>8</v>
      </c>
      <c r="G45">
        <v>75</v>
      </c>
      <c r="H45">
        <v>4</v>
      </c>
      <c r="I45">
        <v>4</v>
      </c>
      <c r="J45">
        <v>2</v>
      </c>
      <c r="K45">
        <v>2</v>
      </c>
    </row>
    <row r="46" spans="1:11" x14ac:dyDescent="0.25">
      <c r="A46" s="2">
        <v>2017</v>
      </c>
      <c r="B46" s="2" t="s">
        <v>105</v>
      </c>
      <c r="C46" t="s">
        <v>106</v>
      </c>
      <c r="D46" s="1">
        <v>70359</v>
      </c>
      <c r="E46" t="s">
        <v>19</v>
      </c>
      <c r="F46" t="s">
        <v>9</v>
      </c>
      <c r="G46">
        <v>75</v>
      </c>
      <c r="H46">
        <v>4</v>
      </c>
      <c r="I46">
        <v>1</v>
      </c>
      <c r="J46">
        <v>1</v>
      </c>
      <c r="K46">
        <v>1</v>
      </c>
    </row>
    <row r="47" spans="1:11" x14ac:dyDescent="0.25">
      <c r="A47" s="2">
        <v>2017</v>
      </c>
      <c r="B47" s="2" t="s">
        <v>105</v>
      </c>
      <c r="C47" t="s">
        <v>106</v>
      </c>
      <c r="D47" s="1">
        <v>70359</v>
      </c>
      <c r="E47" t="s">
        <v>19</v>
      </c>
      <c r="F47" t="s">
        <v>10</v>
      </c>
      <c r="G47">
        <v>81.3</v>
      </c>
      <c r="H47">
        <v>4</v>
      </c>
      <c r="I47">
        <v>31</v>
      </c>
      <c r="J47">
        <v>25</v>
      </c>
      <c r="K47">
        <v>19</v>
      </c>
    </row>
    <row r="48" spans="1:11" x14ac:dyDescent="0.25">
      <c r="A48" s="2">
        <v>2017</v>
      </c>
      <c r="B48" s="2" t="s">
        <v>105</v>
      </c>
      <c r="C48" t="s">
        <v>106</v>
      </c>
      <c r="D48" s="1">
        <v>70359</v>
      </c>
      <c r="E48" t="s">
        <v>19</v>
      </c>
      <c r="F48" t="s">
        <v>11</v>
      </c>
      <c r="G48">
        <v>93.8</v>
      </c>
      <c r="H48">
        <v>4</v>
      </c>
      <c r="I48">
        <v>99</v>
      </c>
      <c r="J48">
        <v>95</v>
      </c>
      <c r="K48">
        <v>91</v>
      </c>
    </row>
    <row r="49" spans="1:11" x14ac:dyDescent="0.25">
      <c r="A49" s="2">
        <v>2017</v>
      </c>
      <c r="B49" s="2" t="s">
        <v>105</v>
      </c>
      <c r="C49" t="s">
        <v>106</v>
      </c>
      <c r="D49" s="1">
        <v>70359</v>
      </c>
      <c r="E49" t="s">
        <v>19</v>
      </c>
      <c r="F49" t="s">
        <v>12</v>
      </c>
      <c r="G49">
        <v>25</v>
      </c>
      <c r="H49">
        <v>3</v>
      </c>
      <c r="I49">
        <v>1</v>
      </c>
      <c r="J49">
        <v>1</v>
      </c>
      <c r="K49">
        <v>1</v>
      </c>
    </row>
    <row r="50" spans="1:11" x14ac:dyDescent="0.25">
      <c r="A50" s="2">
        <v>2017</v>
      </c>
      <c r="B50" s="2" t="s">
        <v>105</v>
      </c>
      <c r="C50" t="s">
        <v>106</v>
      </c>
      <c r="D50" s="1">
        <v>104133</v>
      </c>
      <c r="E50" t="s">
        <v>20</v>
      </c>
      <c r="F50" t="s">
        <v>7</v>
      </c>
      <c r="G50">
        <v>85</v>
      </c>
      <c r="H50">
        <v>5</v>
      </c>
      <c r="I50">
        <v>50</v>
      </c>
      <c r="J50">
        <v>41</v>
      </c>
      <c r="K50">
        <v>35</v>
      </c>
    </row>
    <row r="51" spans="1:11" x14ac:dyDescent="0.25">
      <c r="A51" s="2">
        <v>2017</v>
      </c>
      <c r="B51" s="2" t="s">
        <v>105</v>
      </c>
      <c r="C51" t="s">
        <v>106</v>
      </c>
      <c r="D51" s="1">
        <v>104133</v>
      </c>
      <c r="E51" t="s">
        <v>20</v>
      </c>
      <c r="F51" t="s">
        <v>8</v>
      </c>
      <c r="G51">
        <v>80</v>
      </c>
      <c r="H51">
        <v>5</v>
      </c>
      <c r="I51">
        <v>25</v>
      </c>
      <c r="J51">
        <v>18</v>
      </c>
      <c r="K51">
        <v>13</v>
      </c>
    </row>
    <row r="52" spans="1:11" x14ac:dyDescent="0.25">
      <c r="A52" s="2">
        <v>2017</v>
      </c>
      <c r="B52" s="2" t="s">
        <v>105</v>
      </c>
      <c r="C52" t="s">
        <v>106</v>
      </c>
      <c r="D52" s="1">
        <v>104133</v>
      </c>
      <c r="E52" t="s">
        <v>20</v>
      </c>
      <c r="F52" t="s">
        <v>9</v>
      </c>
      <c r="G52">
        <v>85</v>
      </c>
      <c r="H52">
        <v>5</v>
      </c>
      <c r="I52">
        <v>48</v>
      </c>
      <c r="J52">
        <v>36</v>
      </c>
      <c r="K52">
        <v>32</v>
      </c>
    </row>
    <row r="53" spans="1:11" x14ac:dyDescent="0.25">
      <c r="A53" s="2">
        <v>2017</v>
      </c>
      <c r="B53" s="2" t="s">
        <v>105</v>
      </c>
      <c r="C53" t="s">
        <v>106</v>
      </c>
      <c r="D53" s="1">
        <v>104133</v>
      </c>
      <c r="E53" t="s">
        <v>20</v>
      </c>
      <c r="F53" t="s">
        <v>10</v>
      </c>
      <c r="G53">
        <v>85</v>
      </c>
      <c r="H53">
        <v>5</v>
      </c>
      <c r="I53">
        <v>61</v>
      </c>
      <c r="J53">
        <v>53</v>
      </c>
      <c r="K53">
        <v>45</v>
      </c>
    </row>
    <row r="54" spans="1:11" x14ac:dyDescent="0.25">
      <c r="A54" s="2">
        <v>2017</v>
      </c>
      <c r="B54" s="2" t="s">
        <v>105</v>
      </c>
      <c r="C54" t="s">
        <v>106</v>
      </c>
      <c r="D54" s="1">
        <v>104133</v>
      </c>
      <c r="E54" t="s">
        <v>20</v>
      </c>
      <c r="F54" t="s">
        <v>11</v>
      </c>
      <c r="G54">
        <v>90</v>
      </c>
      <c r="H54">
        <v>5</v>
      </c>
      <c r="I54">
        <v>81</v>
      </c>
      <c r="J54">
        <v>66</v>
      </c>
      <c r="K54">
        <v>62</v>
      </c>
    </row>
    <row r="55" spans="1:11" x14ac:dyDescent="0.25">
      <c r="A55" s="2">
        <v>2017</v>
      </c>
      <c r="B55" s="2" t="s">
        <v>105</v>
      </c>
      <c r="C55" t="s">
        <v>106</v>
      </c>
      <c r="D55" s="1">
        <v>104133</v>
      </c>
      <c r="E55" t="s">
        <v>20</v>
      </c>
      <c r="F55" t="s">
        <v>12</v>
      </c>
      <c r="G55">
        <v>85</v>
      </c>
      <c r="H55">
        <v>5</v>
      </c>
      <c r="I55">
        <v>99</v>
      </c>
      <c r="J55">
        <v>82</v>
      </c>
      <c r="K55">
        <v>75</v>
      </c>
    </row>
    <row r="56" spans="1:11" x14ac:dyDescent="0.25">
      <c r="A56" s="2">
        <v>2017</v>
      </c>
      <c r="B56" s="2" t="s">
        <v>105</v>
      </c>
      <c r="C56" t="s">
        <v>106</v>
      </c>
      <c r="D56" s="1">
        <v>36541</v>
      </c>
      <c r="E56" t="s">
        <v>21</v>
      </c>
      <c r="F56" t="s">
        <v>7</v>
      </c>
      <c r="G56">
        <v>87.5</v>
      </c>
      <c r="H56">
        <v>7</v>
      </c>
      <c r="I56">
        <v>81</v>
      </c>
      <c r="J56">
        <v>65</v>
      </c>
      <c r="K56">
        <v>59</v>
      </c>
    </row>
    <row r="57" spans="1:11" x14ac:dyDescent="0.25">
      <c r="A57" s="2">
        <v>2017</v>
      </c>
      <c r="B57" s="2" t="s">
        <v>105</v>
      </c>
      <c r="C57" t="s">
        <v>106</v>
      </c>
      <c r="D57" s="1">
        <v>36541</v>
      </c>
      <c r="E57" t="s">
        <v>21</v>
      </c>
      <c r="F57" t="s">
        <v>8</v>
      </c>
      <c r="G57">
        <v>85.7</v>
      </c>
      <c r="H57">
        <v>7</v>
      </c>
      <c r="I57">
        <v>76</v>
      </c>
      <c r="J57">
        <v>61</v>
      </c>
      <c r="K57">
        <v>53</v>
      </c>
    </row>
    <row r="58" spans="1:11" x14ac:dyDescent="0.25">
      <c r="A58" s="2">
        <v>2017</v>
      </c>
      <c r="B58" s="2" t="s">
        <v>105</v>
      </c>
      <c r="C58" t="s">
        <v>106</v>
      </c>
      <c r="D58" s="1">
        <v>36541</v>
      </c>
      <c r="E58" t="s">
        <v>21</v>
      </c>
      <c r="F58" t="s">
        <v>9</v>
      </c>
      <c r="G58">
        <v>89.3</v>
      </c>
      <c r="H58">
        <v>7</v>
      </c>
      <c r="I58">
        <v>92</v>
      </c>
      <c r="J58">
        <v>81</v>
      </c>
      <c r="K58">
        <v>74</v>
      </c>
    </row>
    <row r="59" spans="1:11" x14ac:dyDescent="0.25">
      <c r="A59" s="2">
        <v>2017</v>
      </c>
      <c r="B59" s="2" t="s">
        <v>105</v>
      </c>
      <c r="C59" t="s">
        <v>106</v>
      </c>
      <c r="D59" s="1">
        <v>36541</v>
      </c>
      <c r="E59" t="s">
        <v>21</v>
      </c>
      <c r="F59" t="s">
        <v>10</v>
      </c>
      <c r="G59">
        <v>89.3</v>
      </c>
      <c r="H59">
        <v>7</v>
      </c>
      <c r="I59">
        <v>98</v>
      </c>
      <c r="J59">
        <v>87</v>
      </c>
      <c r="K59">
        <v>81</v>
      </c>
    </row>
    <row r="60" spans="1:11" x14ac:dyDescent="0.25">
      <c r="A60" s="2">
        <v>2017</v>
      </c>
      <c r="B60" s="2" t="s">
        <v>105</v>
      </c>
      <c r="C60" t="s">
        <v>106</v>
      </c>
      <c r="D60" s="1">
        <v>36541</v>
      </c>
      <c r="E60" t="s">
        <v>21</v>
      </c>
      <c r="F60" t="s">
        <v>11</v>
      </c>
      <c r="G60">
        <v>85.7</v>
      </c>
      <c r="H60">
        <v>7</v>
      </c>
      <c r="I60">
        <v>35</v>
      </c>
      <c r="J60">
        <v>18</v>
      </c>
      <c r="K60">
        <v>21</v>
      </c>
    </row>
    <row r="61" spans="1:11" x14ac:dyDescent="0.25">
      <c r="A61" s="2">
        <v>2017</v>
      </c>
      <c r="B61" s="2" t="s">
        <v>105</v>
      </c>
      <c r="C61" t="s">
        <v>106</v>
      </c>
      <c r="D61" s="1">
        <v>36541</v>
      </c>
      <c r="E61" t="s">
        <v>21</v>
      </c>
      <c r="F61" t="s">
        <v>12</v>
      </c>
      <c r="G61">
        <v>71.400000000000006</v>
      </c>
      <c r="H61">
        <v>7</v>
      </c>
      <c r="I61">
        <v>35</v>
      </c>
      <c r="J61">
        <v>13</v>
      </c>
      <c r="K61">
        <v>14</v>
      </c>
    </row>
    <row r="62" spans="1:11" x14ac:dyDescent="0.25">
      <c r="A62" s="2">
        <v>2017</v>
      </c>
      <c r="B62" s="2" t="s">
        <v>105</v>
      </c>
      <c r="C62" t="s">
        <v>106</v>
      </c>
      <c r="D62" s="1">
        <v>59899</v>
      </c>
      <c r="E62" t="s">
        <v>22</v>
      </c>
      <c r="F62" t="s">
        <v>7</v>
      </c>
      <c r="G62">
        <v>81.3</v>
      </c>
      <c r="H62">
        <v>9</v>
      </c>
      <c r="I62">
        <v>20</v>
      </c>
      <c r="J62">
        <v>10</v>
      </c>
      <c r="K62">
        <v>11</v>
      </c>
    </row>
    <row r="63" spans="1:11" x14ac:dyDescent="0.25">
      <c r="A63" s="2">
        <v>2017</v>
      </c>
      <c r="B63" s="2" t="s">
        <v>105</v>
      </c>
      <c r="C63" t="s">
        <v>106</v>
      </c>
      <c r="D63" s="1">
        <v>59899</v>
      </c>
      <c r="E63" t="s">
        <v>22</v>
      </c>
      <c r="F63" t="s">
        <v>8</v>
      </c>
      <c r="G63">
        <v>77.8</v>
      </c>
      <c r="H63">
        <v>9</v>
      </c>
      <c r="I63">
        <v>14</v>
      </c>
      <c r="J63">
        <v>7</v>
      </c>
      <c r="K63">
        <v>6</v>
      </c>
    </row>
    <row r="64" spans="1:11" x14ac:dyDescent="0.25">
      <c r="A64" s="2">
        <v>2017</v>
      </c>
      <c r="B64" s="2" t="s">
        <v>105</v>
      </c>
      <c r="C64" t="s">
        <v>106</v>
      </c>
      <c r="D64" s="1">
        <v>59899</v>
      </c>
      <c r="E64" t="s">
        <v>22</v>
      </c>
      <c r="F64" t="s">
        <v>9</v>
      </c>
      <c r="G64">
        <v>77.8</v>
      </c>
      <c r="H64">
        <v>9</v>
      </c>
      <c r="I64">
        <v>4</v>
      </c>
      <c r="J64">
        <v>3</v>
      </c>
      <c r="K64">
        <v>3</v>
      </c>
    </row>
    <row r="65" spans="1:11" x14ac:dyDescent="0.25">
      <c r="A65" s="2">
        <v>2017</v>
      </c>
      <c r="B65" s="2" t="s">
        <v>105</v>
      </c>
      <c r="C65" t="s">
        <v>106</v>
      </c>
      <c r="D65" s="1">
        <v>59899</v>
      </c>
      <c r="E65" t="s">
        <v>22</v>
      </c>
      <c r="F65" t="s">
        <v>10</v>
      </c>
      <c r="G65">
        <v>80.599999999999994</v>
      </c>
      <c r="H65">
        <v>9</v>
      </c>
      <c r="I65">
        <v>28</v>
      </c>
      <c r="J65">
        <v>19</v>
      </c>
      <c r="K65">
        <v>15</v>
      </c>
    </row>
    <row r="66" spans="1:11" x14ac:dyDescent="0.25">
      <c r="A66" s="2">
        <v>2017</v>
      </c>
      <c r="B66" s="2" t="s">
        <v>105</v>
      </c>
      <c r="C66" t="s">
        <v>106</v>
      </c>
      <c r="D66" s="1">
        <v>59899</v>
      </c>
      <c r="E66" t="s">
        <v>22</v>
      </c>
      <c r="F66" t="s">
        <v>11</v>
      </c>
      <c r="G66">
        <v>88.9</v>
      </c>
      <c r="H66">
        <v>9</v>
      </c>
      <c r="I66">
        <v>67</v>
      </c>
      <c r="J66">
        <v>52</v>
      </c>
      <c r="K66">
        <v>49</v>
      </c>
    </row>
    <row r="67" spans="1:11" x14ac:dyDescent="0.25">
      <c r="A67" s="2">
        <v>2017</v>
      </c>
      <c r="B67" s="2" t="s">
        <v>105</v>
      </c>
      <c r="C67" t="s">
        <v>106</v>
      </c>
      <c r="D67" s="1">
        <v>59899</v>
      </c>
      <c r="E67" t="s">
        <v>22</v>
      </c>
      <c r="F67" t="s">
        <v>12</v>
      </c>
      <c r="G67">
        <v>61.1</v>
      </c>
      <c r="H67">
        <v>9</v>
      </c>
      <c r="I67">
        <v>6</v>
      </c>
      <c r="J67">
        <v>3</v>
      </c>
      <c r="K67">
        <v>2</v>
      </c>
    </row>
    <row r="68" spans="1:11" x14ac:dyDescent="0.25">
      <c r="A68" s="2">
        <v>2017</v>
      </c>
      <c r="B68" s="2" t="s">
        <v>105</v>
      </c>
      <c r="C68" t="s">
        <v>106</v>
      </c>
      <c r="D68" s="1">
        <v>117465</v>
      </c>
      <c r="E68" t="s">
        <v>23</v>
      </c>
      <c r="F68" t="s">
        <v>7</v>
      </c>
      <c r="G68">
        <v>86.4</v>
      </c>
      <c r="H68">
        <v>11</v>
      </c>
      <c r="I68">
        <v>65</v>
      </c>
      <c r="J68">
        <v>53</v>
      </c>
      <c r="K68">
        <v>47</v>
      </c>
    </row>
    <row r="69" spans="1:11" x14ac:dyDescent="0.25">
      <c r="A69" s="2">
        <v>2017</v>
      </c>
      <c r="B69" s="2" t="s">
        <v>105</v>
      </c>
      <c r="C69" t="s">
        <v>106</v>
      </c>
      <c r="D69" s="1">
        <v>117465</v>
      </c>
      <c r="E69" t="s">
        <v>23</v>
      </c>
      <c r="F69" t="s">
        <v>8</v>
      </c>
      <c r="G69">
        <v>84.1</v>
      </c>
      <c r="H69">
        <v>11</v>
      </c>
      <c r="I69">
        <v>54</v>
      </c>
      <c r="J69">
        <v>42</v>
      </c>
      <c r="K69">
        <v>38</v>
      </c>
    </row>
    <row r="70" spans="1:11" x14ac:dyDescent="0.25">
      <c r="A70" s="2">
        <v>2017</v>
      </c>
      <c r="B70" s="2" t="s">
        <v>105</v>
      </c>
      <c r="C70" t="s">
        <v>106</v>
      </c>
      <c r="D70" s="1">
        <v>117465</v>
      </c>
      <c r="E70" t="s">
        <v>23</v>
      </c>
      <c r="F70" t="s">
        <v>9</v>
      </c>
      <c r="G70">
        <v>86.4</v>
      </c>
      <c r="H70">
        <v>11</v>
      </c>
      <c r="I70">
        <v>60</v>
      </c>
      <c r="J70">
        <v>47</v>
      </c>
      <c r="K70">
        <v>44</v>
      </c>
    </row>
    <row r="71" spans="1:11" x14ac:dyDescent="0.25">
      <c r="A71" s="2">
        <v>2017</v>
      </c>
      <c r="B71" s="2" t="s">
        <v>105</v>
      </c>
      <c r="C71" t="s">
        <v>106</v>
      </c>
      <c r="D71" s="1">
        <v>117465</v>
      </c>
      <c r="E71" t="s">
        <v>23</v>
      </c>
      <c r="F71" t="s">
        <v>10</v>
      </c>
      <c r="G71">
        <v>88.6</v>
      </c>
      <c r="H71">
        <v>11</v>
      </c>
      <c r="I71">
        <v>96</v>
      </c>
      <c r="J71">
        <v>85</v>
      </c>
      <c r="K71">
        <v>77</v>
      </c>
    </row>
    <row r="72" spans="1:11" x14ac:dyDescent="0.25">
      <c r="A72" s="2">
        <v>2017</v>
      </c>
      <c r="B72" s="2" t="s">
        <v>105</v>
      </c>
      <c r="C72" t="s">
        <v>106</v>
      </c>
      <c r="D72" s="1">
        <v>117465</v>
      </c>
      <c r="E72" t="s">
        <v>23</v>
      </c>
      <c r="F72" t="s">
        <v>11</v>
      </c>
      <c r="G72">
        <v>86.4</v>
      </c>
      <c r="H72">
        <v>11</v>
      </c>
      <c r="I72">
        <v>40</v>
      </c>
      <c r="J72">
        <v>26</v>
      </c>
      <c r="K72">
        <v>26</v>
      </c>
    </row>
    <row r="73" spans="1:11" x14ac:dyDescent="0.25">
      <c r="A73" s="2">
        <v>2017</v>
      </c>
      <c r="B73" s="2" t="s">
        <v>105</v>
      </c>
      <c r="C73" t="s">
        <v>106</v>
      </c>
      <c r="D73" s="1">
        <v>117465</v>
      </c>
      <c r="E73" t="s">
        <v>23</v>
      </c>
      <c r="F73" t="s">
        <v>12</v>
      </c>
      <c r="G73">
        <v>65</v>
      </c>
      <c r="H73">
        <v>10</v>
      </c>
      <c r="I73">
        <v>17</v>
      </c>
      <c r="J73">
        <v>5</v>
      </c>
      <c r="K73">
        <v>4</v>
      </c>
    </row>
    <row r="74" spans="1:11" x14ac:dyDescent="0.25">
      <c r="A74" s="2">
        <v>2017</v>
      </c>
      <c r="B74" s="2" t="s">
        <v>105</v>
      </c>
      <c r="C74" t="s">
        <v>106</v>
      </c>
      <c r="D74" s="1">
        <v>70375</v>
      </c>
      <c r="E74" t="s">
        <v>24</v>
      </c>
      <c r="F74" t="s">
        <v>7</v>
      </c>
      <c r="G74">
        <v>81.3</v>
      </c>
      <c r="H74">
        <v>11</v>
      </c>
      <c r="I74">
        <v>20</v>
      </c>
      <c r="J74">
        <v>10</v>
      </c>
      <c r="K74">
        <v>11</v>
      </c>
    </row>
    <row r="75" spans="1:11" x14ac:dyDescent="0.25">
      <c r="A75" s="2">
        <v>2017</v>
      </c>
      <c r="B75" s="2" t="s">
        <v>105</v>
      </c>
      <c r="C75" t="s">
        <v>106</v>
      </c>
      <c r="D75" s="1">
        <v>70375</v>
      </c>
      <c r="E75" t="s">
        <v>24</v>
      </c>
      <c r="F75" t="s">
        <v>8</v>
      </c>
      <c r="G75">
        <v>79.599999999999994</v>
      </c>
      <c r="H75">
        <v>11</v>
      </c>
      <c r="I75">
        <v>19</v>
      </c>
      <c r="J75">
        <v>12</v>
      </c>
      <c r="K75">
        <v>11</v>
      </c>
    </row>
    <row r="76" spans="1:11" x14ac:dyDescent="0.25">
      <c r="A76" s="2">
        <v>2017</v>
      </c>
      <c r="B76" s="2" t="s">
        <v>105</v>
      </c>
      <c r="C76" t="s">
        <v>106</v>
      </c>
      <c r="D76" s="1">
        <v>70375</v>
      </c>
      <c r="E76" t="s">
        <v>24</v>
      </c>
      <c r="F76" t="s">
        <v>9</v>
      </c>
      <c r="G76">
        <v>81.8</v>
      </c>
      <c r="H76">
        <v>11</v>
      </c>
      <c r="I76">
        <v>19</v>
      </c>
      <c r="J76">
        <v>9</v>
      </c>
      <c r="K76">
        <v>13</v>
      </c>
    </row>
    <row r="77" spans="1:11" x14ac:dyDescent="0.25">
      <c r="A77" s="2">
        <v>2017</v>
      </c>
      <c r="B77" s="2" t="s">
        <v>105</v>
      </c>
      <c r="C77" t="s">
        <v>106</v>
      </c>
      <c r="D77" s="1">
        <v>70375</v>
      </c>
      <c r="E77" t="s">
        <v>24</v>
      </c>
      <c r="F77" t="s">
        <v>10</v>
      </c>
      <c r="G77">
        <v>75</v>
      </c>
      <c r="H77">
        <v>11</v>
      </c>
      <c r="I77">
        <v>4</v>
      </c>
      <c r="J77">
        <v>2</v>
      </c>
      <c r="K77">
        <v>2</v>
      </c>
    </row>
    <row r="78" spans="1:11" x14ac:dyDescent="0.25">
      <c r="A78" s="2">
        <v>2017</v>
      </c>
      <c r="B78" s="2" t="s">
        <v>105</v>
      </c>
      <c r="C78" t="s">
        <v>106</v>
      </c>
      <c r="D78" s="1">
        <v>70375</v>
      </c>
      <c r="E78" t="s">
        <v>24</v>
      </c>
      <c r="F78" t="s">
        <v>11</v>
      </c>
      <c r="G78">
        <v>88.6</v>
      </c>
      <c r="H78">
        <v>11</v>
      </c>
      <c r="I78">
        <v>61</v>
      </c>
      <c r="J78">
        <v>48</v>
      </c>
      <c r="K78">
        <v>46</v>
      </c>
    </row>
    <row r="79" spans="1:11" x14ac:dyDescent="0.25">
      <c r="A79" s="2">
        <v>2017</v>
      </c>
      <c r="B79" s="2" t="s">
        <v>105</v>
      </c>
      <c r="C79" t="s">
        <v>106</v>
      </c>
      <c r="D79" s="1">
        <v>70375</v>
      </c>
      <c r="E79" t="s">
        <v>24</v>
      </c>
      <c r="F79" t="s">
        <v>12</v>
      </c>
      <c r="G79">
        <v>61.4</v>
      </c>
      <c r="H79">
        <v>11</v>
      </c>
      <c r="I79">
        <v>6</v>
      </c>
      <c r="J79">
        <v>3</v>
      </c>
      <c r="K79">
        <v>2</v>
      </c>
    </row>
    <row r="80" spans="1:11" x14ac:dyDescent="0.25">
      <c r="A80" s="2">
        <v>2017</v>
      </c>
      <c r="B80" s="2" t="s">
        <v>105</v>
      </c>
      <c r="C80" t="s">
        <v>106</v>
      </c>
      <c r="D80" s="1">
        <v>117671</v>
      </c>
      <c r="E80" t="s">
        <v>25</v>
      </c>
      <c r="F80" t="s">
        <v>7</v>
      </c>
      <c r="G80">
        <v>82.3</v>
      </c>
      <c r="H80">
        <v>6</v>
      </c>
      <c r="I80">
        <v>30</v>
      </c>
      <c r="J80">
        <v>19</v>
      </c>
      <c r="K80">
        <v>17</v>
      </c>
    </row>
    <row r="81" spans="1:11" x14ac:dyDescent="0.25">
      <c r="A81" s="2">
        <v>2017</v>
      </c>
      <c r="B81" s="2" t="s">
        <v>105</v>
      </c>
      <c r="C81" t="s">
        <v>106</v>
      </c>
      <c r="D81" s="1">
        <v>117671</v>
      </c>
      <c r="E81" t="s">
        <v>25</v>
      </c>
      <c r="F81" t="s">
        <v>8</v>
      </c>
      <c r="G81">
        <v>79.2</v>
      </c>
      <c r="H81">
        <v>6</v>
      </c>
      <c r="I81">
        <v>17</v>
      </c>
      <c r="J81">
        <v>8</v>
      </c>
      <c r="K81">
        <v>10</v>
      </c>
    </row>
    <row r="82" spans="1:11" x14ac:dyDescent="0.25">
      <c r="A82" s="2">
        <v>2017</v>
      </c>
      <c r="B82" s="2" t="s">
        <v>105</v>
      </c>
      <c r="C82" t="s">
        <v>106</v>
      </c>
      <c r="D82" s="1">
        <v>117671</v>
      </c>
      <c r="E82" t="s">
        <v>25</v>
      </c>
      <c r="F82" t="s">
        <v>9</v>
      </c>
      <c r="G82">
        <v>83.3</v>
      </c>
      <c r="H82">
        <v>6</v>
      </c>
      <c r="I82">
        <v>34</v>
      </c>
      <c r="J82">
        <v>24</v>
      </c>
      <c r="K82">
        <v>21</v>
      </c>
    </row>
    <row r="83" spans="1:11" x14ac:dyDescent="0.25">
      <c r="A83" s="2">
        <v>2017</v>
      </c>
      <c r="B83" s="2" t="s">
        <v>105</v>
      </c>
      <c r="C83" t="s">
        <v>106</v>
      </c>
      <c r="D83" s="1">
        <v>117671</v>
      </c>
      <c r="E83" t="s">
        <v>25</v>
      </c>
      <c r="F83" t="s">
        <v>10</v>
      </c>
      <c r="G83">
        <v>79.2</v>
      </c>
      <c r="H83">
        <v>6</v>
      </c>
      <c r="I83">
        <v>17</v>
      </c>
      <c r="J83">
        <v>9</v>
      </c>
      <c r="K83">
        <v>9</v>
      </c>
    </row>
    <row r="84" spans="1:11" x14ac:dyDescent="0.25">
      <c r="A84" s="2">
        <v>2017</v>
      </c>
      <c r="B84" s="2" t="s">
        <v>105</v>
      </c>
      <c r="C84" t="s">
        <v>106</v>
      </c>
      <c r="D84" s="1">
        <v>117671</v>
      </c>
      <c r="E84" t="s">
        <v>25</v>
      </c>
      <c r="F84" t="s">
        <v>11</v>
      </c>
      <c r="G84">
        <v>87.5</v>
      </c>
      <c r="H84">
        <v>6</v>
      </c>
      <c r="I84">
        <v>52</v>
      </c>
      <c r="J84">
        <v>35</v>
      </c>
      <c r="K84">
        <v>35</v>
      </c>
    </row>
    <row r="85" spans="1:11" x14ac:dyDescent="0.25">
      <c r="A85" s="2">
        <v>2017</v>
      </c>
      <c r="B85" s="2" t="s">
        <v>105</v>
      </c>
      <c r="C85" t="s">
        <v>106</v>
      </c>
      <c r="D85" s="1">
        <v>117671</v>
      </c>
      <c r="E85" t="s">
        <v>25</v>
      </c>
      <c r="F85" t="s">
        <v>12</v>
      </c>
      <c r="G85">
        <v>45.8</v>
      </c>
      <c r="H85">
        <v>6</v>
      </c>
      <c r="I85">
        <v>1</v>
      </c>
      <c r="J85">
        <v>1</v>
      </c>
      <c r="K85">
        <v>1</v>
      </c>
    </row>
    <row r="86" spans="1:11" x14ac:dyDescent="0.25">
      <c r="A86" s="2">
        <v>2017</v>
      </c>
      <c r="B86" s="2" t="s">
        <v>105</v>
      </c>
      <c r="C86" t="s">
        <v>106</v>
      </c>
      <c r="D86" s="1">
        <v>103275</v>
      </c>
      <c r="E86" t="s">
        <v>26</v>
      </c>
      <c r="F86" t="s">
        <v>7</v>
      </c>
      <c r="G86">
        <v>82.1</v>
      </c>
      <c r="H86">
        <v>7</v>
      </c>
      <c r="I86">
        <v>28</v>
      </c>
      <c r="J86">
        <v>18</v>
      </c>
      <c r="K86">
        <v>16</v>
      </c>
    </row>
    <row r="87" spans="1:11" x14ac:dyDescent="0.25">
      <c r="A87" s="2">
        <v>2017</v>
      </c>
      <c r="B87" s="2" t="s">
        <v>105</v>
      </c>
      <c r="C87" t="s">
        <v>106</v>
      </c>
      <c r="D87" s="1">
        <v>103275</v>
      </c>
      <c r="E87" t="s">
        <v>26</v>
      </c>
      <c r="F87" t="s">
        <v>8</v>
      </c>
      <c r="G87">
        <v>78.599999999999994</v>
      </c>
      <c r="H87">
        <v>7</v>
      </c>
      <c r="I87">
        <v>15</v>
      </c>
      <c r="J87">
        <v>7</v>
      </c>
      <c r="K87">
        <v>8</v>
      </c>
    </row>
    <row r="88" spans="1:11" x14ac:dyDescent="0.25">
      <c r="A88" s="2">
        <v>2017</v>
      </c>
      <c r="B88" s="2" t="s">
        <v>105</v>
      </c>
      <c r="C88" t="s">
        <v>106</v>
      </c>
      <c r="D88" s="1">
        <v>103275</v>
      </c>
      <c r="E88" t="s">
        <v>26</v>
      </c>
      <c r="F88" t="s">
        <v>9</v>
      </c>
      <c r="G88">
        <v>85.7</v>
      </c>
      <c r="H88">
        <v>7</v>
      </c>
      <c r="I88">
        <v>54</v>
      </c>
      <c r="J88">
        <v>42</v>
      </c>
      <c r="K88">
        <v>39</v>
      </c>
    </row>
    <row r="89" spans="1:11" x14ac:dyDescent="0.25">
      <c r="A89" s="2">
        <v>2017</v>
      </c>
      <c r="B89" s="2" t="s">
        <v>105</v>
      </c>
      <c r="C89" t="s">
        <v>106</v>
      </c>
      <c r="D89" s="1">
        <v>103275</v>
      </c>
      <c r="E89" t="s">
        <v>26</v>
      </c>
      <c r="F89" t="s">
        <v>10</v>
      </c>
      <c r="G89">
        <v>78.599999999999994</v>
      </c>
      <c r="H89">
        <v>7</v>
      </c>
      <c r="I89">
        <v>15</v>
      </c>
      <c r="J89">
        <v>6</v>
      </c>
      <c r="K89">
        <v>7</v>
      </c>
    </row>
    <row r="90" spans="1:11" x14ac:dyDescent="0.25">
      <c r="A90" s="2">
        <v>2017</v>
      </c>
      <c r="B90" s="2" t="s">
        <v>105</v>
      </c>
      <c r="C90" t="s">
        <v>106</v>
      </c>
      <c r="D90" s="1">
        <v>103275</v>
      </c>
      <c r="E90" t="s">
        <v>26</v>
      </c>
      <c r="F90" t="s">
        <v>11</v>
      </c>
      <c r="G90">
        <v>85.7</v>
      </c>
      <c r="H90">
        <v>7</v>
      </c>
      <c r="I90">
        <v>35</v>
      </c>
      <c r="J90">
        <v>18</v>
      </c>
      <c r="K90">
        <v>21</v>
      </c>
    </row>
    <row r="91" spans="1:11" x14ac:dyDescent="0.25">
      <c r="A91" s="2">
        <v>2017</v>
      </c>
      <c r="B91" s="2" t="s">
        <v>105</v>
      </c>
      <c r="C91" t="s">
        <v>106</v>
      </c>
      <c r="D91" s="1">
        <v>103275</v>
      </c>
      <c r="E91" t="s">
        <v>26</v>
      </c>
      <c r="F91" t="s">
        <v>12</v>
      </c>
      <c r="G91">
        <v>60.7</v>
      </c>
      <c r="H91">
        <v>7</v>
      </c>
      <c r="I91">
        <v>6</v>
      </c>
      <c r="J91">
        <v>3</v>
      </c>
      <c r="K91">
        <v>2</v>
      </c>
    </row>
    <row r="92" spans="1:11" x14ac:dyDescent="0.25">
      <c r="A92" s="2">
        <v>2017</v>
      </c>
      <c r="B92" s="2" t="s">
        <v>105</v>
      </c>
      <c r="C92" t="s">
        <v>106</v>
      </c>
      <c r="D92" s="1">
        <v>89391</v>
      </c>
      <c r="E92" t="s">
        <v>27</v>
      </c>
      <c r="F92" t="s">
        <v>7</v>
      </c>
      <c r="G92">
        <v>83.8</v>
      </c>
      <c r="H92">
        <v>5</v>
      </c>
      <c r="I92">
        <v>40</v>
      </c>
      <c r="J92">
        <v>31</v>
      </c>
      <c r="K92">
        <v>25</v>
      </c>
    </row>
    <row r="93" spans="1:11" x14ac:dyDescent="0.25">
      <c r="A93" s="2">
        <v>2017</v>
      </c>
      <c r="B93" s="2" t="s">
        <v>105</v>
      </c>
      <c r="C93" t="s">
        <v>106</v>
      </c>
      <c r="D93" s="1">
        <v>89391</v>
      </c>
      <c r="E93" t="s">
        <v>27</v>
      </c>
      <c r="F93" t="s">
        <v>8</v>
      </c>
      <c r="G93">
        <v>85</v>
      </c>
      <c r="H93">
        <v>5</v>
      </c>
      <c r="I93">
        <v>66</v>
      </c>
      <c r="J93">
        <v>49</v>
      </c>
      <c r="K93">
        <v>45</v>
      </c>
    </row>
    <row r="94" spans="1:11" x14ac:dyDescent="0.25">
      <c r="A94" s="2">
        <v>2017</v>
      </c>
      <c r="B94" s="2" t="s">
        <v>105</v>
      </c>
      <c r="C94" t="s">
        <v>106</v>
      </c>
      <c r="D94" s="1">
        <v>89391</v>
      </c>
      <c r="E94" t="s">
        <v>27</v>
      </c>
      <c r="F94" t="s">
        <v>9</v>
      </c>
      <c r="G94">
        <v>85</v>
      </c>
      <c r="H94">
        <v>5</v>
      </c>
      <c r="I94">
        <v>48</v>
      </c>
      <c r="J94">
        <v>36</v>
      </c>
      <c r="K94">
        <v>32</v>
      </c>
    </row>
    <row r="95" spans="1:11" x14ac:dyDescent="0.25">
      <c r="A95" s="2">
        <v>2017</v>
      </c>
      <c r="B95" s="2" t="s">
        <v>105</v>
      </c>
      <c r="C95" t="s">
        <v>106</v>
      </c>
      <c r="D95" s="1">
        <v>89391</v>
      </c>
      <c r="E95" t="s">
        <v>27</v>
      </c>
      <c r="F95" t="s">
        <v>10</v>
      </c>
      <c r="G95">
        <v>80</v>
      </c>
      <c r="H95">
        <v>5</v>
      </c>
      <c r="I95">
        <v>23</v>
      </c>
      <c r="J95">
        <v>17</v>
      </c>
      <c r="K95">
        <v>12</v>
      </c>
    </row>
    <row r="96" spans="1:11" x14ac:dyDescent="0.25">
      <c r="A96" s="2">
        <v>2017</v>
      </c>
      <c r="B96" s="2" t="s">
        <v>105</v>
      </c>
      <c r="C96" t="s">
        <v>106</v>
      </c>
      <c r="D96" s="1">
        <v>89391</v>
      </c>
      <c r="E96" t="s">
        <v>27</v>
      </c>
      <c r="F96" t="s">
        <v>11</v>
      </c>
      <c r="G96">
        <v>85</v>
      </c>
      <c r="H96">
        <v>5</v>
      </c>
      <c r="I96">
        <v>29</v>
      </c>
      <c r="J96">
        <v>12</v>
      </c>
      <c r="K96">
        <v>16</v>
      </c>
    </row>
    <row r="97" spans="1:11" x14ac:dyDescent="0.25">
      <c r="A97" s="2">
        <v>2017</v>
      </c>
      <c r="B97" s="2" t="s">
        <v>105</v>
      </c>
      <c r="C97" t="s">
        <v>106</v>
      </c>
      <c r="D97" s="1">
        <v>89391</v>
      </c>
      <c r="E97" t="s">
        <v>27</v>
      </c>
      <c r="F97" t="s">
        <v>12</v>
      </c>
      <c r="G97">
        <v>55</v>
      </c>
      <c r="H97">
        <v>5</v>
      </c>
      <c r="I97">
        <v>1</v>
      </c>
      <c r="J97">
        <v>1</v>
      </c>
      <c r="K97">
        <v>1</v>
      </c>
    </row>
    <row r="98" spans="1:11" x14ac:dyDescent="0.25">
      <c r="A98" s="2">
        <v>2017</v>
      </c>
      <c r="B98" s="2" t="s">
        <v>105</v>
      </c>
      <c r="C98" t="s">
        <v>106</v>
      </c>
      <c r="D98" s="1">
        <v>152587</v>
      </c>
      <c r="E98" t="s">
        <v>28</v>
      </c>
      <c r="F98" t="s">
        <v>7</v>
      </c>
      <c r="G98">
        <v>74</v>
      </c>
      <c r="H98">
        <v>6</v>
      </c>
      <c r="I98">
        <v>1</v>
      </c>
      <c r="J98">
        <v>1</v>
      </c>
      <c r="K98">
        <v>1</v>
      </c>
    </row>
    <row r="99" spans="1:11" x14ac:dyDescent="0.25">
      <c r="A99" s="2">
        <v>2017</v>
      </c>
      <c r="B99" s="2" t="s">
        <v>105</v>
      </c>
      <c r="C99" t="s">
        <v>106</v>
      </c>
      <c r="D99" s="1">
        <v>152587</v>
      </c>
      <c r="E99" t="s">
        <v>28</v>
      </c>
      <c r="F99" t="s">
        <v>8</v>
      </c>
      <c r="G99">
        <v>70.8</v>
      </c>
      <c r="H99">
        <v>6</v>
      </c>
      <c r="I99">
        <v>1</v>
      </c>
      <c r="J99">
        <v>1</v>
      </c>
      <c r="K99">
        <v>1</v>
      </c>
    </row>
    <row r="100" spans="1:11" x14ac:dyDescent="0.25">
      <c r="A100" s="2">
        <v>2017</v>
      </c>
      <c r="B100" s="2" t="s">
        <v>105</v>
      </c>
      <c r="C100" t="s">
        <v>106</v>
      </c>
      <c r="D100" s="1">
        <v>152587</v>
      </c>
      <c r="E100" t="s">
        <v>28</v>
      </c>
      <c r="F100" t="s">
        <v>9</v>
      </c>
      <c r="G100">
        <v>75</v>
      </c>
      <c r="H100">
        <v>6</v>
      </c>
      <c r="I100">
        <v>1</v>
      </c>
      <c r="J100">
        <v>1</v>
      </c>
      <c r="K100">
        <v>1</v>
      </c>
    </row>
    <row r="101" spans="1:11" x14ac:dyDescent="0.25">
      <c r="A101" s="2">
        <v>2017</v>
      </c>
      <c r="B101" s="2" t="s">
        <v>105</v>
      </c>
      <c r="C101" t="s">
        <v>106</v>
      </c>
      <c r="D101" s="1">
        <v>152587</v>
      </c>
      <c r="E101" t="s">
        <v>28</v>
      </c>
      <c r="F101" t="s">
        <v>10</v>
      </c>
      <c r="G101">
        <v>66.7</v>
      </c>
      <c r="H101">
        <v>6</v>
      </c>
      <c r="I101">
        <v>1</v>
      </c>
      <c r="J101">
        <v>1</v>
      </c>
      <c r="K101">
        <v>1</v>
      </c>
    </row>
    <row r="102" spans="1:11" x14ac:dyDescent="0.25">
      <c r="A102" s="2">
        <v>2017</v>
      </c>
      <c r="B102" s="2" t="s">
        <v>105</v>
      </c>
      <c r="C102" t="s">
        <v>106</v>
      </c>
      <c r="D102" s="1">
        <v>152587</v>
      </c>
      <c r="E102" t="s">
        <v>28</v>
      </c>
      <c r="F102" t="s">
        <v>11</v>
      </c>
      <c r="G102">
        <v>83.3</v>
      </c>
      <c r="H102">
        <v>6</v>
      </c>
      <c r="I102">
        <v>15</v>
      </c>
      <c r="J102">
        <v>5</v>
      </c>
      <c r="K102">
        <v>9</v>
      </c>
    </row>
    <row r="103" spans="1:11" x14ac:dyDescent="0.25">
      <c r="A103" s="2">
        <v>2017</v>
      </c>
      <c r="B103" s="2" t="s">
        <v>105</v>
      </c>
      <c r="C103" t="s">
        <v>106</v>
      </c>
      <c r="D103" s="1">
        <v>152587</v>
      </c>
      <c r="E103" t="s">
        <v>28</v>
      </c>
      <c r="F103" t="s">
        <v>12</v>
      </c>
      <c r="G103">
        <v>75</v>
      </c>
      <c r="H103">
        <v>6</v>
      </c>
      <c r="I103">
        <v>57</v>
      </c>
      <c r="J103">
        <v>31</v>
      </c>
      <c r="K103">
        <v>25</v>
      </c>
    </row>
    <row r="104" spans="1:11" x14ac:dyDescent="0.25">
      <c r="A104" s="2">
        <v>2017</v>
      </c>
      <c r="B104" s="2" t="s">
        <v>105</v>
      </c>
      <c r="C104" t="s">
        <v>106</v>
      </c>
      <c r="D104" s="1">
        <v>121681</v>
      </c>
      <c r="E104" t="s">
        <v>29</v>
      </c>
      <c r="F104" t="s">
        <v>7</v>
      </c>
      <c r="G104">
        <v>78.599999999999994</v>
      </c>
      <c r="H104">
        <v>7</v>
      </c>
      <c r="I104">
        <v>10</v>
      </c>
      <c r="J104">
        <v>4</v>
      </c>
      <c r="K104">
        <v>4</v>
      </c>
    </row>
    <row r="105" spans="1:11" x14ac:dyDescent="0.25">
      <c r="A105" s="2">
        <v>2017</v>
      </c>
      <c r="B105" s="2" t="s">
        <v>105</v>
      </c>
      <c r="C105" t="s">
        <v>106</v>
      </c>
      <c r="D105" s="1">
        <v>121681</v>
      </c>
      <c r="E105" t="s">
        <v>29</v>
      </c>
      <c r="F105" t="s">
        <v>8</v>
      </c>
      <c r="G105">
        <v>83.3</v>
      </c>
      <c r="H105">
        <v>6</v>
      </c>
      <c r="I105">
        <v>49</v>
      </c>
      <c r="J105">
        <v>40</v>
      </c>
      <c r="K105">
        <v>32</v>
      </c>
    </row>
    <row r="106" spans="1:11" x14ac:dyDescent="0.25">
      <c r="A106" s="2">
        <v>2017</v>
      </c>
      <c r="B106" s="2" t="s">
        <v>105</v>
      </c>
      <c r="C106" t="s">
        <v>106</v>
      </c>
      <c r="D106" s="1">
        <v>121681</v>
      </c>
      <c r="E106" t="s">
        <v>29</v>
      </c>
      <c r="F106" t="s">
        <v>9</v>
      </c>
      <c r="G106">
        <v>71.400000000000006</v>
      </c>
      <c r="H106">
        <v>7</v>
      </c>
      <c r="I106">
        <v>1</v>
      </c>
      <c r="J106">
        <v>1</v>
      </c>
      <c r="K106">
        <v>1</v>
      </c>
    </row>
    <row r="107" spans="1:11" x14ac:dyDescent="0.25">
      <c r="A107" s="2">
        <v>2017</v>
      </c>
      <c r="B107" s="2" t="s">
        <v>105</v>
      </c>
      <c r="C107" t="s">
        <v>106</v>
      </c>
      <c r="D107" s="1">
        <v>121681</v>
      </c>
      <c r="E107" t="s">
        <v>29</v>
      </c>
      <c r="F107" t="s">
        <v>10</v>
      </c>
      <c r="G107">
        <v>75</v>
      </c>
      <c r="H107">
        <v>7</v>
      </c>
      <c r="I107">
        <v>4</v>
      </c>
      <c r="J107">
        <v>2</v>
      </c>
      <c r="K107">
        <v>2</v>
      </c>
    </row>
    <row r="108" spans="1:11" x14ac:dyDescent="0.25">
      <c r="A108" s="2">
        <v>2017</v>
      </c>
      <c r="B108" s="2" t="s">
        <v>105</v>
      </c>
      <c r="C108" t="s">
        <v>106</v>
      </c>
      <c r="D108" s="1">
        <v>121681</v>
      </c>
      <c r="E108" t="s">
        <v>29</v>
      </c>
      <c r="F108" t="s">
        <v>11</v>
      </c>
      <c r="G108">
        <v>82.1</v>
      </c>
      <c r="H108">
        <v>7</v>
      </c>
      <c r="I108">
        <v>10</v>
      </c>
      <c r="J108">
        <v>3</v>
      </c>
      <c r="K108">
        <v>6</v>
      </c>
    </row>
    <row r="109" spans="1:11" x14ac:dyDescent="0.25">
      <c r="A109" s="2">
        <v>2017</v>
      </c>
      <c r="B109" s="2" t="s">
        <v>105</v>
      </c>
      <c r="C109" t="s">
        <v>106</v>
      </c>
      <c r="D109" s="1">
        <v>121681</v>
      </c>
      <c r="E109" t="s">
        <v>29</v>
      </c>
      <c r="F109" t="s">
        <v>12</v>
      </c>
      <c r="G109">
        <v>21.4</v>
      </c>
      <c r="H109">
        <v>7</v>
      </c>
      <c r="I109">
        <v>1</v>
      </c>
      <c r="J109">
        <v>1</v>
      </c>
      <c r="K109">
        <v>1</v>
      </c>
    </row>
    <row r="110" spans="1:11" x14ac:dyDescent="0.25">
      <c r="A110" s="2">
        <v>2017</v>
      </c>
      <c r="B110" s="2" t="s">
        <v>105</v>
      </c>
      <c r="C110" t="s">
        <v>106</v>
      </c>
      <c r="D110" s="1">
        <v>150441</v>
      </c>
      <c r="E110" t="s">
        <v>30</v>
      </c>
      <c r="F110" t="s">
        <v>7</v>
      </c>
      <c r="G110">
        <v>78.599999999999994</v>
      </c>
      <c r="H110">
        <v>7</v>
      </c>
      <c r="I110">
        <v>10</v>
      </c>
      <c r="J110">
        <v>4</v>
      </c>
      <c r="K110">
        <v>4</v>
      </c>
    </row>
    <row r="111" spans="1:11" x14ac:dyDescent="0.25">
      <c r="A111" s="2">
        <v>2017</v>
      </c>
      <c r="B111" s="2" t="s">
        <v>105</v>
      </c>
      <c r="C111" t="s">
        <v>106</v>
      </c>
      <c r="D111" s="1">
        <v>150441</v>
      </c>
      <c r="E111" t="s">
        <v>30</v>
      </c>
      <c r="F111" t="s">
        <v>8</v>
      </c>
      <c r="G111">
        <v>71.400000000000006</v>
      </c>
      <c r="H111">
        <v>7</v>
      </c>
      <c r="I111">
        <v>1</v>
      </c>
      <c r="J111">
        <v>1</v>
      </c>
      <c r="K111">
        <v>1</v>
      </c>
    </row>
    <row r="112" spans="1:11" x14ac:dyDescent="0.25">
      <c r="A112" s="2">
        <v>2017</v>
      </c>
      <c r="B112" s="2" t="s">
        <v>105</v>
      </c>
      <c r="C112" t="s">
        <v>106</v>
      </c>
      <c r="D112" s="1">
        <v>150441</v>
      </c>
      <c r="E112" t="s">
        <v>30</v>
      </c>
      <c r="F112" t="s">
        <v>9</v>
      </c>
      <c r="G112">
        <v>82.1</v>
      </c>
      <c r="H112">
        <v>7</v>
      </c>
      <c r="I112">
        <v>23</v>
      </c>
      <c r="J112">
        <v>12</v>
      </c>
      <c r="K112">
        <v>14</v>
      </c>
    </row>
    <row r="113" spans="1:11" x14ac:dyDescent="0.25">
      <c r="A113" s="2">
        <v>2017</v>
      </c>
      <c r="B113" s="2" t="s">
        <v>105</v>
      </c>
      <c r="C113" t="s">
        <v>106</v>
      </c>
      <c r="D113" s="1">
        <v>150441</v>
      </c>
      <c r="E113" t="s">
        <v>30</v>
      </c>
      <c r="F113" t="s">
        <v>10</v>
      </c>
      <c r="G113">
        <v>78.599999999999994</v>
      </c>
      <c r="H113">
        <v>7</v>
      </c>
      <c r="I113">
        <v>15</v>
      </c>
      <c r="J113">
        <v>6</v>
      </c>
      <c r="K113">
        <v>7</v>
      </c>
    </row>
    <row r="114" spans="1:11" x14ac:dyDescent="0.25">
      <c r="A114" s="2">
        <v>2017</v>
      </c>
      <c r="B114" s="2" t="s">
        <v>105</v>
      </c>
      <c r="C114" t="s">
        <v>106</v>
      </c>
      <c r="D114" s="1">
        <v>150441</v>
      </c>
      <c r="E114" t="s">
        <v>30</v>
      </c>
      <c r="F114" t="s">
        <v>11</v>
      </c>
      <c r="G114">
        <v>82.1</v>
      </c>
      <c r="H114">
        <v>7</v>
      </c>
      <c r="I114">
        <v>10</v>
      </c>
      <c r="J114">
        <v>3</v>
      </c>
      <c r="K114">
        <v>6</v>
      </c>
    </row>
    <row r="115" spans="1:11" x14ac:dyDescent="0.25">
      <c r="A115" s="2">
        <v>2017</v>
      </c>
      <c r="B115" s="2" t="s">
        <v>105</v>
      </c>
      <c r="C115" t="s">
        <v>106</v>
      </c>
      <c r="D115" s="1">
        <v>150441</v>
      </c>
      <c r="E115" t="s">
        <v>30</v>
      </c>
      <c r="F115" t="s">
        <v>12</v>
      </c>
      <c r="G115">
        <v>64.3</v>
      </c>
      <c r="H115">
        <v>7</v>
      </c>
      <c r="I115">
        <v>16</v>
      </c>
      <c r="J115">
        <v>3</v>
      </c>
      <c r="K115">
        <v>4</v>
      </c>
    </row>
    <row r="116" spans="1:11" x14ac:dyDescent="0.25">
      <c r="A116" s="2">
        <v>2017</v>
      </c>
      <c r="B116" s="2" t="s">
        <v>105</v>
      </c>
      <c r="C116" t="s">
        <v>106</v>
      </c>
      <c r="D116" s="1">
        <v>23994</v>
      </c>
      <c r="E116" t="s">
        <v>31</v>
      </c>
      <c r="F116" t="s">
        <v>7</v>
      </c>
      <c r="G116">
        <v>79.7</v>
      </c>
      <c r="H116">
        <v>4</v>
      </c>
      <c r="I116">
        <v>14</v>
      </c>
      <c r="J116">
        <v>6</v>
      </c>
      <c r="K116">
        <v>6</v>
      </c>
    </row>
    <row r="117" spans="1:11" x14ac:dyDescent="0.25">
      <c r="A117" s="2">
        <v>2017</v>
      </c>
      <c r="B117" s="2" t="s">
        <v>105</v>
      </c>
      <c r="C117" t="s">
        <v>106</v>
      </c>
      <c r="D117" s="1">
        <v>23994</v>
      </c>
      <c r="E117" t="s">
        <v>31</v>
      </c>
      <c r="F117" t="s">
        <v>8</v>
      </c>
      <c r="G117">
        <v>81.3</v>
      </c>
      <c r="H117">
        <v>4</v>
      </c>
      <c r="I117">
        <v>36</v>
      </c>
      <c r="J117">
        <v>26</v>
      </c>
      <c r="K117">
        <v>19</v>
      </c>
    </row>
    <row r="118" spans="1:11" x14ac:dyDescent="0.25">
      <c r="A118" s="2">
        <v>2017</v>
      </c>
      <c r="B118" s="2" t="s">
        <v>105</v>
      </c>
      <c r="C118" t="s">
        <v>106</v>
      </c>
      <c r="D118" s="1">
        <v>23994</v>
      </c>
      <c r="E118" t="s">
        <v>31</v>
      </c>
      <c r="F118" t="s">
        <v>9</v>
      </c>
      <c r="G118">
        <v>75</v>
      </c>
      <c r="H118">
        <v>4</v>
      </c>
      <c r="I118">
        <v>1</v>
      </c>
      <c r="J118">
        <v>1</v>
      </c>
      <c r="K118">
        <v>1</v>
      </c>
    </row>
    <row r="119" spans="1:11" x14ac:dyDescent="0.25">
      <c r="A119" s="2">
        <v>2017</v>
      </c>
      <c r="B119" s="2" t="s">
        <v>105</v>
      </c>
      <c r="C119" t="s">
        <v>106</v>
      </c>
      <c r="D119" s="1">
        <v>23994</v>
      </c>
      <c r="E119" t="s">
        <v>31</v>
      </c>
      <c r="F119" t="s">
        <v>10</v>
      </c>
      <c r="G119">
        <v>75</v>
      </c>
      <c r="H119">
        <v>3</v>
      </c>
      <c r="I119">
        <v>4</v>
      </c>
      <c r="J119">
        <v>2</v>
      </c>
      <c r="K119">
        <v>2</v>
      </c>
    </row>
    <row r="120" spans="1:11" x14ac:dyDescent="0.25">
      <c r="A120" s="2">
        <v>2017</v>
      </c>
      <c r="B120" s="2" t="s">
        <v>105</v>
      </c>
      <c r="C120" t="s">
        <v>106</v>
      </c>
      <c r="D120" s="1">
        <v>23994</v>
      </c>
      <c r="E120" t="s">
        <v>31</v>
      </c>
      <c r="F120" t="s">
        <v>11</v>
      </c>
      <c r="G120">
        <v>81.3</v>
      </c>
      <c r="H120">
        <v>4</v>
      </c>
      <c r="I120">
        <v>6</v>
      </c>
      <c r="J120">
        <v>3</v>
      </c>
      <c r="K120">
        <v>4</v>
      </c>
    </row>
    <row r="121" spans="1:11" x14ac:dyDescent="0.25">
      <c r="A121" s="2">
        <v>2017</v>
      </c>
      <c r="B121" s="2" t="s">
        <v>105</v>
      </c>
      <c r="C121" t="s">
        <v>106</v>
      </c>
      <c r="D121" s="1">
        <v>23994</v>
      </c>
      <c r="E121" t="s">
        <v>31</v>
      </c>
      <c r="F121" t="s">
        <v>12</v>
      </c>
      <c r="G121">
        <v>40</v>
      </c>
      <c r="H121">
        <v>5</v>
      </c>
      <c r="I121">
        <v>1</v>
      </c>
      <c r="J121">
        <v>1</v>
      </c>
      <c r="K121">
        <v>1</v>
      </c>
    </row>
    <row r="122" spans="1:11" x14ac:dyDescent="0.25">
      <c r="A122" s="2">
        <v>2017</v>
      </c>
      <c r="B122" s="2" t="s">
        <v>105</v>
      </c>
      <c r="C122" t="s">
        <v>106</v>
      </c>
      <c r="D122" s="1">
        <v>117440</v>
      </c>
      <c r="E122" t="s">
        <v>32</v>
      </c>
      <c r="F122" t="s">
        <v>7</v>
      </c>
      <c r="G122">
        <v>72.900000000000006</v>
      </c>
      <c r="H122">
        <v>9</v>
      </c>
      <c r="I122">
        <v>1</v>
      </c>
      <c r="J122">
        <v>1</v>
      </c>
      <c r="K122">
        <v>1</v>
      </c>
    </row>
    <row r="123" spans="1:11" x14ac:dyDescent="0.25">
      <c r="A123" s="2">
        <v>2017</v>
      </c>
      <c r="B123" s="2" t="s">
        <v>105</v>
      </c>
      <c r="C123" t="s">
        <v>106</v>
      </c>
      <c r="D123" s="1">
        <v>117440</v>
      </c>
      <c r="E123" t="s">
        <v>32</v>
      </c>
      <c r="F123" t="s">
        <v>8</v>
      </c>
      <c r="G123">
        <v>71.900000000000006</v>
      </c>
      <c r="H123">
        <v>8</v>
      </c>
      <c r="I123">
        <v>1</v>
      </c>
      <c r="J123">
        <v>1</v>
      </c>
      <c r="K123">
        <v>1</v>
      </c>
    </row>
    <row r="124" spans="1:11" x14ac:dyDescent="0.25">
      <c r="A124" s="2">
        <v>2017</v>
      </c>
      <c r="B124" s="2" t="s">
        <v>105</v>
      </c>
      <c r="C124" t="s">
        <v>106</v>
      </c>
      <c r="D124" s="1">
        <v>117440</v>
      </c>
      <c r="E124" t="s">
        <v>32</v>
      </c>
      <c r="F124" t="s">
        <v>9</v>
      </c>
      <c r="G124">
        <v>72.2</v>
      </c>
      <c r="H124">
        <v>9</v>
      </c>
      <c r="I124">
        <v>1</v>
      </c>
      <c r="J124">
        <v>1</v>
      </c>
      <c r="K124">
        <v>1</v>
      </c>
    </row>
    <row r="125" spans="1:11" x14ac:dyDescent="0.25">
      <c r="A125" s="2">
        <v>2017</v>
      </c>
      <c r="B125" s="2" t="s">
        <v>105</v>
      </c>
      <c r="C125" t="s">
        <v>106</v>
      </c>
      <c r="D125" s="1">
        <v>117440</v>
      </c>
      <c r="E125" t="s">
        <v>32</v>
      </c>
      <c r="F125" t="s">
        <v>10</v>
      </c>
      <c r="G125">
        <v>65.599999999999994</v>
      </c>
      <c r="H125">
        <v>8</v>
      </c>
      <c r="I125">
        <v>1</v>
      </c>
      <c r="J125">
        <v>1</v>
      </c>
      <c r="K125">
        <v>1</v>
      </c>
    </row>
    <row r="126" spans="1:11" x14ac:dyDescent="0.25">
      <c r="A126" s="2">
        <v>2017</v>
      </c>
      <c r="B126" s="2" t="s">
        <v>105</v>
      </c>
      <c r="C126" t="s">
        <v>106</v>
      </c>
      <c r="D126" s="1">
        <v>117440</v>
      </c>
      <c r="E126" t="s">
        <v>32</v>
      </c>
      <c r="F126" t="s">
        <v>11</v>
      </c>
      <c r="G126">
        <v>80.599999999999994</v>
      </c>
      <c r="H126">
        <v>9</v>
      </c>
      <c r="I126">
        <v>3</v>
      </c>
      <c r="J126">
        <v>2</v>
      </c>
      <c r="K126">
        <v>4</v>
      </c>
    </row>
    <row r="127" spans="1:11" x14ac:dyDescent="0.25">
      <c r="A127" s="2">
        <v>2017</v>
      </c>
      <c r="B127" s="2" t="s">
        <v>105</v>
      </c>
      <c r="C127" t="s">
        <v>106</v>
      </c>
      <c r="D127" s="1">
        <v>117440</v>
      </c>
      <c r="E127" t="s">
        <v>32</v>
      </c>
      <c r="F127" t="s">
        <v>12</v>
      </c>
      <c r="G127">
        <v>52.8</v>
      </c>
      <c r="H127">
        <v>9</v>
      </c>
      <c r="I127">
        <v>1</v>
      </c>
      <c r="J127">
        <v>1</v>
      </c>
      <c r="K127">
        <v>1</v>
      </c>
    </row>
    <row r="128" spans="1:11" x14ac:dyDescent="0.25">
      <c r="A128" s="2">
        <v>2017</v>
      </c>
      <c r="B128" s="2" t="s">
        <v>105</v>
      </c>
      <c r="C128" t="s">
        <v>106</v>
      </c>
      <c r="D128" s="1">
        <v>99911</v>
      </c>
      <c r="E128" t="s">
        <v>33</v>
      </c>
      <c r="F128" t="s">
        <v>7</v>
      </c>
      <c r="G128">
        <v>75</v>
      </c>
      <c r="H128">
        <v>8</v>
      </c>
      <c r="I128">
        <v>1</v>
      </c>
      <c r="J128">
        <v>1</v>
      </c>
      <c r="K128">
        <v>1</v>
      </c>
    </row>
    <row r="129" spans="1:11" x14ac:dyDescent="0.25">
      <c r="A129" s="2">
        <v>2017</v>
      </c>
      <c r="B129" s="2" t="s">
        <v>105</v>
      </c>
      <c r="C129" t="s">
        <v>106</v>
      </c>
      <c r="D129" s="1">
        <v>99911</v>
      </c>
      <c r="E129" t="s">
        <v>33</v>
      </c>
      <c r="F129" t="s">
        <v>8</v>
      </c>
      <c r="G129">
        <v>75</v>
      </c>
      <c r="H129">
        <v>8</v>
      </c>
      <c r="I129">
        <v>4</v>
      </c>
      <c r="J129">
        <v>2</v>
      </c>
      <c r="K129">
        <v>2</v>
      </c>
    </row>
    <row r="130" spans="1:11" x14ac:dyDescent="0.25">
      <c r="A130" s="2">
        <v>2017</v>
      </c>
      <c r="B130" s="2" t="s">
        <v>105</v>
      </c>
      <c r="C130" t="s">
        <v>106</v>
      </c>
      <c r="D130" s="1">
        <v>99911</v>
      </c>
      <c r="E130" t="s">
        <v>33</v>
      </c>
      <c r="F130" t="s">
        <v>9</v>
      </c>
      <c r="G130">
        <v>75</v>
      </c>
      <c r="H130">
        <v>8</v>
      </c>
      <c r="I130">
        <v>1</v>
      </c>
      <c r="J130">
        <v>1</v>
      </c>
      <c r="K130">
        <v>1</v>
      </c>
    </row>
    <row r="131" spans="1:11" x14ac:dyDescent="0.25">
      <c r="A131" s="2">
        <v>2017</v>
      </c>
      <c r="B131" s="2" t="s">
        <v>105</v>
      </c>
      <c r="C131" t="s">
        <v>106</v>
      </c>
      <c r="D131" s="1">
        <v>99911</v>
      </c>
      <c r="E131" t="s">
        <v>33</v>
      </c>
      <c r="F131" t="s">
        <v>10</v>
      </c>
      <c r="G131">
        <v>71.900000000000006</v>
      </c>
      <c r="H131">
        <v>8</v>
      </c>
      <c r="I131">
        <v>1</v>
      </c>
      <c r="J131">
        <v>1</v>
      </c>
      <c r="K131">
        <v>1</v>
      </c>
    </row>
    <row r="132" spans="1:11" x14ac:dyDescent="0.25">
      <c r="A132" s="2">
        <v>2017</v>
      </c>
      <c r="B132" s="2" t="s">
        <v>105</v>
      </c>
      <c r="C132" t="s">
        <v>106</v>
      </c>
      <c r="D132" s="1">
        <v>99911</v>
      </c>
      <c r="E132" t="s">
        <v>33</v>
      </c>
      <c r="F132" t="s">
        <v>11</v>
      </c>
      <c r="G132">
        <v>78.099999999999994</v>
      </c>
      <c r="H132">
        <v>8</v>
      </c>
      <c r="I132">
        <v>1</v>
      </c>
      <c r="J132">
        <v>1</v>
      </c>
      <c r="K132">
        <v>1</v>
      </c>
    </row>
    <row r="133" spans="1:11" x14ac:dyDescent="0.25">
      <c r="A133" s="2">
        <v>2017</v>
      </c>
      <c r="B133" s="2" t="s">
        <v>105</v>
      </c>
      <c r="C133" t="s">
        <v>106</v>
      </c>
      <c r="D133" s="1">
        <v>99911</v>
      </c>
      <c r="E133" t="s">
        <v>33</v>
      </c>
      <c r="F133" t="s">
        <v>12</v>
      </c>
      <c r="G133">
        <v>59.4</v>
      </c>
      <c r="H133">
        <v>8</v>
      </c>
      <c r="I133">
        <v>4</v>
      </c>
      <c r="J133">
        <v>1</v>
      </c>
      <c r="K133">
        <v>1</v>
      </c>
    </row>
    <row r="134" spans="1:11" x14ac:dyDescent="0.25">
      <c r="A134" s="2">
        <v>2017</v>
      </c>
      <c r="B134" s="2" t="s">
        <v>105</v>
      </c>
      <c r="C134" t="s">
        <v>106</v>
      </c>
      <c r="D134" s="1">
        <v>88963</v>
      </c>
      <c r="E134" t="s">
        <v>34</v>
      </c>
      <c r="F134" t="s">
        <v>7</v>
      </c>
      <c r="G134">
        <v>75</v>
      </c>
      <c r="H134">
        <v>1</v>
      </c>
      <c r="I134">
        <v>1</v>
      </c>
      <c r="J134">
        <v>1</v>
      </c>
      <c r="K134">
        <v>1</v>
      </c>
    </row>
    <row r="135" spans="1:11" x14ac:dyDescent="0.25">
      <c r="A135" s="2">
        <v>2017</v>
      </c>
      <c r="B135" s="2" t="s">
        <v>105</v>
      </c>
      <c r="C135" t="s">
        <v>106</v>
      </c>
      <c r="D135" s="1">
        <v>88963</v>
      </c>
      <c r="E135" t="s">
        <v>34</v>
      </c>
      <c r="F135" t="s">
        <v>8</v>
      </c>
      <c r="G135">
        <v>75</v>
      </c>
      <c r="H135">
        <v>1</v>
      </c>
      <c r="I135">
        <v>4</v>
      </c>
      <c r="J135">
        <v>2</v>
      </c>
      <c r="K135">
        <v>2</v>
      </c>
    </row>
    <row r="136" spans="1:11" x14ac:dyDescent="0.25">
      <c r="A136" s="2">
        <v>2017</v>
      </c>
      <c r="B136" s="2" t="s">
        <v>105</v>
      </c>
      <c r="C136" t="s">
        <v>106</v>
      </c>
      <c r="D136" s="1">
        <v>88963</v>
      </c>
      <c r="E136" t="s">
        <v>34</v>
      </c>
      <c r="F136" t="s">
        <v>9</v>
      </c>
      <c r="G136">
        <v>75</v>
      </c>
      <c r="H136">
        <v>1</v>
      </c>
      <c r="I136">
        <v>1</v>
      </c>
      <c r="J136">
        <v>1</v>
      </c>
      <c r="K136">
        <v>1</v>
      </c>
    </row>
    <row r="137" spans="1:11" x14ac:dyDescent="0.25">
      <c r="A137" s="2">
        <v>2017</v>
      </c>
      <c r="B137" s="2" t="s">
        <v>105</v>
      </c>
      <c r="C137" t="s">
        <v>106</v>
      </c>
      <c r="D137" s="1">
        <v>88963</v>
      </c>
      <c r="E137" t="s">
        <v>34</v>
      </c>
      <c r="F137" t="s">
        <v>10</v>
      </c>
      <c r="G137">
        <v>75</v>
      </c>
      <c r="H137">
        <v>1</v>
      </c>
      <c r="I137">
        <v>4</v>
      </c>
      <c r="J137">
        <v>2</v>
      </c>
      <c r="K137">
        <v>2</v>
      </c>
    </row>
    <row r="138" spans="1:11" x14ac:dyDescent="0.25">
      <c r="A138" s="2">
        <v>2017</v>
      </c>
      <c r="B138" s="2" t="s">
        <v>105</v>
      </c>
      <c r="C138" t="s">
        <v>106</v>
      </c>
      <c r="D138" s="1">
        <v>88963</v>
      </c>
      <c r="E138" t="s">
        <v>34</v>
      </c>
      <c r="F138" t="s">
        <v>11</v>
      </c>
      <c r="G138">
        <v>75</v>
      </c>
      <c r="H138">
        <v>1</v>
      </c>
      <c r="I138">
        <v>1</v>
      </c>
      <c r="J138">
        <v>1</v>
      </c>
      <c r="K138">
        <v>1</v>
      </c>
    </row>
    <row r="139" spans="1:11" x14ac:dyDescent="0.25">
      <c r="A139" s="2">
        <v>2017</v>
      </c>
      <c r="B139" s="2" t="s">
        <v>105</v>
      </c>
      <c r="C139" t="s">
        <v>106</v>
      </c>
      <c r="D139" s="1">
        <v>88963</v>
      </c>
      <c r="E139" t="s">
        <v>34</v>
      </c>
      <c r="F139" t="s">
        <v>12</v>
      </c>
      <c r="G139">
        <v>50</v>
      </c>
      <c r="H139">
        <v>1</v>
      </c>
      <c r="I139">
        <v>1</v>
      </c>
      <c r="J139">
        <v>1</v>
      </c>
      <c r="K139">
        <v>1</v>
      </c>
    </row>
    <row r="140" spans="1:11" x14ac:dyDescent="0.25">
      <c r="A140" s="2">
        <v>2017</v>
      </c>
      <c r="B140" s="2" t="s">
        <v>105</v>
      </c>
      <c r="C140" t="s">
        <v>106</v>
      </c>
      <c r="D140" s="1">
        <v>149344</v>
      </c>
      <c r="E140" t="s">
        <v>35</v>
      </c>
      <c r="F140" t="s">
        <v>7</v>
      </c>
      <c r="G140">
        <v>62.5</v>
      </c>
      <c r="H140">
        <v>1</v>
      </c>
      <c r="I140">
        <v>1</v>
      </c>
      <c r="J140">
        <v>1</v>
      </c>
      <c r="K140">
        <v>1</v>
      </c>
    </row>
    <row r="141" spans="1:11" x14ac:dyDescent="0.25">
      <c r="A141" s="2">
        <v>2017</v>
      </c>
      <c r="B141" s="2" t="s">
        <v>105</v>
      </c>
      <c r="C141" t="s">
        <v>106</v>
      </c>
      <c r="D141" s="1">
        <v>149344</v>
      </c>
      <c r="E141" t="s">
        <v>35</v>
      </c>
      <c r="F141" t="s">
        <v>8</v>
      </c>
      <c r="G141">
        <v>50</v>
      </c>
      <c r="H141">
        <v>1</v>
      </c>
      <c r="I141">
        <v>1</v>
      </c>
      <c r="J141">
        <v>1</v>
      </c>
      <c r="K141">
        <v>1</v>
      </c>
    </row>
    <row r="142" spans="1:11" x14ac:dyDescent="0.25">
      <c r="A142" s="2">
        <v>2017</v>
      </c>
      <c r="B142" s="2" t="s">
        <v>105</v>
      </c>
      <c r="C142" t="s">
        <v>106</v>
      </c>
      <c r="D142" s="1">
        <v>149344</v>
      </c>
      <c r="E142" t="s">
        <v>35</v>
      </c>
      <c r="F142" t="s">
        <v>9</v>
      </c>
      <c r="G142">
        <v>50</v>
      </c>
      <c r="H142">
        <v>1</v>
      </c>
      <c r="I142">
        <v>1</v>
      </c>
      <c r="J142">
        <v>1</v>
      </c>
      <c r="K142">
        <v>1</v>
      </c>
    </row>
    <row r="143" spans="1:11" x14ac:dyDescent="0.25">
      <c r="A143" s="2">
        <v>2017</v>
      </c>
      <c r="B143" s="2" t="s">
        <v>105</v>
      </c>
      <c r="C143" t="s">
        <v>106</v>
      </c>
      <c r="D143" s="1">
        <v>149344</v>
      </c>
      <c r="E143" t="s">
        <v>35</v>
      </c>
      <c r="F143" t="s">
        <v>10</v>
      </c>
      <c r="G143">
        <v>75</v>
      </c>
      <c r="H143">
        <v>1</v>
      </c>
      <c r="I143">
        <v>4</v>
      </c>
      <c r="J143">
        <v>2</v>
      </c>
      <c r="K143">
        <v>2</v>
      </c>
    </row>
    <row r="144" spans="1:11" x14ac:dyDescent="0.25">
      <c r="A144" s="2">
        <v>2017</v>
      </c>
      <c r="B144" s="2" t="s">
        <v>105</v>
      </c>
      <c r="C144" t="s">
        <v>106</v>
      </c>
      <c r="D144" s="1">
        <v>149344</v>
      </c>
      <c r="E144" t="s">
        <v>35</v>
      </c>
      <c r="F144" t="s">
        <v>11</v>
      </c>
      <c r="G144">
        <v>75</v>
      </c>
      <c r="H144">
        <v>1</v>
      </c>
      <c r="I144">
        <v>1</v>
      </c>
      <c r="J144">
        <v>1</v>
      </c>
      <c r="K144">
        <v>1</v>
      </c>
    </row>
    <row r="145" spans="1:11" x14ac:dyDescent="0.25">
      <c r="A145" s="2">
        <v>2017</v>
      </c>
      <c r="B145" s="2" t="s">
        <v>105</v>
      </c>
      <c r="C145" t="s">
        <v>106</v>
      </c>
      <c r="D145" s="1">
        <v>149344</v>
      </c>
      <c r="E145" t="s">
        <v>35</v>
      </c>
      <c r="F145" t="s">
        <v>12</v>
      </c>
      <c r="G145">
        <v>50</v>
      </c>
      <c r="H145">
        <v>1</v>
      </c>
      <c r="I145">
        <v>1</v>
      </c>
      <c r="J145">
        <v>1</v>
      </c>
      <c r="K145">
        <v>1</v>
      </c>
    </row>
    <row r="146" spans="1:11" x14ac:dyDescent="0.25">
      <c r="A146" s="2">
        <v>2017</v>
      </c>
      <c r="B146" s="2" t="s">
        <v>105</v>
      </c>
      <c r="C146" t="s">
        <v>106</v>
      </c>
      <c r="D146" s="1">
        <v>114603</v>
      </c>
      <c r="E146" t="s">
        <v>36</v>
      </c>
      <c r="F146" t="s">
        <v>7</v>
      </c>
      <c r="G146">
        <v>67.900000000000006</v>
      </c>
      <c r="H146">
        <v>7</v>
      </c>
      <c r="I146">
        <v>1</v>
      </c>
      <c r="J146">
        <v>1</v>
      </c>
      <c r="K146">
        <v>1</v>
      </c>
    </row>
    <row r="147" spans="1:11" x14ac:dyDescent="0.25">
      <c r="A147" s="2">
        <v>2017</v>
      </c>
      <c r="B147" s="2" t="s">
        <v>105</v>
      </c>
      <c r="C147" t="s">
        <v>106</v>
      </c>
      <c r="D147" s="1">
        <v>114603</v>
      </c>
      <c r="E147" t="s">
        <v>36</v>
      </c>
      <c r="F147" t="s">
        <v>8</v>
      </c>
      <c r="G147">
        <v>67.900000000000006</v>
      </c>
      <c r="H147">
        <v>7</v>
      </c>
      <c r="I147">
        <v>1</v>
      </c>
      <c r="J147">
        <v>1</v>
      </c>
      <c r="K147">
        <v>1</v>
      </c>
    </row>
    <row r="148" spans="1:11" x14ac:dyDescent="0.25">
      <c r="A148" s="2">
        <v>2017</v>
      </c>
      <c r="B148" s="2" t="s">
        <v>105</v>
      </c>
      <c r="C148" t="s">
        <v>106</v>
      </c>
      <c r="D148" s="1">
        <v>114603</v>
      </c>
      <c r="E148" t="s">
        <v>36</v>
      </c>
      <c r="F148" t="s">
        <v>9</v>
      </c>
      <c r="G148">
        <v>71.400000000000006</v>
      </c>
      <c r="H148">
        <v>7</v>
      </c>
      <c r="I148">
        <v>1</v>
      </c>
      <c r="J148">
        <v>1</v>
      </c>
      <c r="K148">
        <v>1</v>
      </c>
    </row>
    <row r="149" spans="1:11" x14ac:dyDescent="0.25">
      <c r="A149" s="2">
        <v>2017</v>
      </c>
      <c r="B149" s="2" t="s">
        <v>105</v>
      </c>
      <c r="C149" t="s">
        <v>106</v>
      </c>
      <c r="D149" s="1">
        <v>114603</v>
      </c>
      <c r="E149" t="s">
        <v>36</v>
      </c>
      <c r="F149" t="s">
        <v>10</v>
      </c>
      <c r="G149">
        <v>60.7</v>
      </c>
      <c r="H149">
        <v>7</v>
      </c>
      <c r="I149">
        <v>1</v>
      </c>
      <c r="J149">
        <v>1</v>
      </c>
      <c r="K149">
        <v>1</v>
      </c>
    </row>
    <row r="150" spans="1:11" x14ac:dyDescent="0.25">
      <c r="A150" s="2">
        <v>2017</v>
      </c>
      <c r="B150" s="2" t="s">
        <v>105</v>
      </c>
      <c r="C150" t="s">
        <v>106</v>
      </c>
      <c r="D150" s="1">
        <v>114603</v>
      </c>
      <c r="E150" t="s">
        <v>36</v>
      </c>
      <c r="F150" t="s">
        <v>11</v>
      </c>
      <c r="G150">
        <v>71.400000000000006</v>
      </c>
      <c r="H150">
        <v>7</v>
      </c>
      <c r="I150">
        <v>1</v>
      </c>
      <c r="J150">
        <v>1</v>
      </c>
      <c r="K150">
        <v>1</v>
      </c>
    </row>
    <row r="151" spans="1:11" x14ac:dyDescent="0.25">
      <c r="A151" s="2">
        <v>2017</v>
      </c>
      <c r="B151" s="2" t="s">
        <v>105</v>
      </c>
      <c r="C151" t="s">
        <v>106</v>
      </c>
      <c r="D151" s="1">
        <v>114603</v>
      </c>
      <c r="E151" t="s">
        <v>36</v>
      </c>
      <c r="F151" t="s">
        <v>12</v>
      </c>
      <c r="G151">
        <v>53.6</v>
      </c>
      <c r="H151">
        <v>7</v>
      </c>
      <c r="I151">
        <v>1</v>
      </c>
      <c r="J151">
        <v>1</v>
      </c>
      <c r="K151">
        <v>1</v>
      </c>
    </row>
    <row r="152" spans="1:11" x14ac:dyDescent="0.25">
      <c r="A152" s="2">
        <v>2017</v>
      </c>
      <c r="B152" s="2" t="s">
        <v>105</v>
      </c>
      <c r="C152" t="s">
        <v>106</v>
      </c>
      <c r="D152" s="1">
        <v>64022</v>
      </c>
      <c r="E152" t="s">
        <v>37</v>
      </c>
      <c r="F152" t="s">
        <v>7</v>
      </c>
      <c r="G152">
        <v>69.2</v>
      </c>
      <c r="H152">
        <v>13</v>
      </c>
      <c r="I152">
        <v>1</v>
      </c>
      <c r="J152">
        <v>1</v>
      </c>
      <c r="K152">
        <v>1</v>
      </c>
    </row>
    <row r="153" spans="1:11" x14ac:dyDescent="0.25">
      <c r="A153" s="2">
        <v>2017</v>
      </c>
      <c r="B153" s="2" t="s">
        <v>105</v>
      </c>
      <c r="C153" t="s">
        <v>106</v>
      </c>
      <c r="D153" s="1">
        <v>64022</v>
      </c>
      <c r="E153" t="s">
        <v>37</v>
      </c>
      <c r="F153" t="s">
        <v>8</v>
      </c>
      <c r="G153">
        <v>67.3</v>
      </c>
      <c r="H153">
        <v>13</v>
      </c>
      <c r="I153">
        <v>1</v>
      </c>
      <c r="J153">
        <v>1</v>
      </c>
      <c r="K153">
        <v>1</v>
      </c>
    </row>
    <row r="154" spans="1:11" x14ac:dyDescent="0.25">
      <c r="A154" s="2">
        <v>2017</v>
      </c>
      <c r="B154" s="2" t="s">
        <v>105</v>
      </c>
      <c r="C154" t="s">
        <v>106</v>
      </c>
      <c r="D154" s="1">
        <v>64022</v>
      </c>
      <c r="E154" t="s">
        <v>37</v>
      </c>
      <c r="F154" t="s">
        <v>9</v>
      </c>
      <c r="G154">
        <v>71.2</v>
      </c>
      <c r="H154">
        <v>13</v>
      </c>
      <c r="I154">
        <v>1</v>
      </c>
      <c r="J154">
        <v>1</v>
      </c>
      <c r="K154">
        <v>1</v>
      </c>
    </row>
    <row r="155" spans="1:11" x14ac:dyDescent="0.25">
      <c r="A155" s="2">
        <v>2017</v>
      </c>
      <c r="B155" s="2" t="s">
        <v>105</v>
      </c>
      <c r="C155" t="s">
        <v>106</v>
      </c>
      <c r="D155" s="1">
        <v>64022</v>
      </c>
      <c r="E155" t="s">
        <v>37</v>
      </c>
      <c r="F155" t="s">
        <v>10</v>
      </c>
      <c r="G155">
        <v>67.3</v>
      </c>
      <c r="H155">
        <v>13</v>
      </c>
      <c r="I155">
        <v>1</v>
      </c>
      <c r="J155">
        <v>1</v>
      </c>
      <c r="K155">
        <v>1</v>
      </c>
    </row>
    <row r="156" spans="1:11" x14ac:dyDescent="0.25">
      <c r="A156" s="2">
        <v>2017</v>
      </c>
      <c r="B156" s="2" t="s">
        <v>105</v>
      </c>
      <c r="C156" t="s">
        <v>106</v>
      </c>
      <c r="D156" s="1">
        <v>64022</v>
      </c>
      <c r="E156" t="s">
        <v>37</v>
      </c>
      <c r="F156" t="s">
        <v>11</v>
      </c>
      <c r="G156">
        <v>71.2</v>
      </c>
      <c r="H156">
        <v>13</v>
      </c>
      <c r="I156">
        <v>1</v>
      </c>
      <c r="J156">
        <v>1</v>
      </c>
      <c r="K156">
        <v>1</v>
      </c>
    </row>
    <row r="157" spans="1:11" x14ac:dyDescent="0.25">
      <c r="A157" s="2">
        <v>2017</v>
      </c>
      <c r="B157" s="2" t="s">
        <v>105</v>
      </c>
      <c r="C157" t="s">
        <v>106</v>
      </c>
      <c r="D157" s="1">
        <v>64022</v>
      </c>
      <c r="E157" t="s">
        <v>37</v>
      </c>
      <c r="F157" t="s">
        <v>12</v>
      </c>
      <c r="G157">
        <v>61.5</v>
      </c>
      <c r="H157">
        <v>13</v>
      </c>
      <c r="I157">
        <v>7</v>
      </c>
      <c r="J157">
        <v>3</v>
      </c>
      <c r="K157">
        <v>2</v>
      </c>
    </row>
    <row r="158" spans="1:11" x14ac:dyDescent="0.25">
      <c r="A158" s="2">
        <v>2017</v>
      </c>
      <c r="B158" s="2" t="s">
        <v>105</v>
      </c>
      <c r="C158" t="s">
        <v>106</v>
      </c>
      <c r="D158" s="1">
        <v>153700</v>
      </c>
      <c r="E158" t="s">
        <v>38</v>
      </c>
      <c r="F158" t="s">
        <v>7</v>
      </c>
      <c r="G158">
        <v>65.599999999999994</v>
      </c>
      <c r="H158">
        <v>4</v>
      </c>
      <c r="I158">
        <v>1</v>
      </c>
      <c r="J158">
        <v>1</v>
      </c>
      <c r="K158">
        <v>1</v>
      </c>
    </row>
    <row r="159" spans="1:11" x14ac:dyDescent="0.25">
      <c r="A159" s="2">
        <v>2017</v>
      </c>
      <c r="B159" s="2" t="s">
        <v>105</v>
      </c>
      <c r="C159" t="s">
        <v>106</v>
      </c>
      <c r="D159" s="1">
        <v>153700</v>
      </c>
      <c r="E159" t="s">
        <v>38</v>
      </c>
      <c r="F159" t="s">
        <v>8</v>
      </c>
      <c r="G159">
        <v>62.5</v>
      </c>
      <c r="H159">
        <v>4</v>
      </c>
      <c r="I159">
        <v>1</v>
      </c>
      <c r="J159">
        <v>1</v>
      </c>
      <c r="K159">
        <v>1</v>
      </c>
    </row>
    <row r="160" spans="1:11" x14ac:dyDescent="0.25">
      <c r="A160" s="2">
        <v>2017</v>
      </c>
      <c r="B160" s="2" t="s">
        <v>105</v>
      </c>
      <c r="C160" t="s">
        <v>106</v>
      </c>
      <c r="D160" s="1">
        <v>153700</v>
      </c>
      <c r="E160" t="s">
        <v>38</v>
      </c>
      <c r="F160" t="s">
        <v>9</v>
      </c>
      <c r="G160">
        <v>68.8</v>
      </c>
      <c r="H160">
        <v>4</v>
      </c>
      <c r="I160">
        <v>1</v>
      </c>
      <c r="J160">
        <v>1</v>
      </c>
      <c r="K160">
        <v>1</v>
      </c>
    </row>
    <row r="161" spans="1:11" x14ac:dyDescent="0.25">
      <c r="A161" s="2">
        <v>2017</v>
      </c>
      <c r="B161" s="2" t="s">
        <v>105</v>
      </c>
      <c r="C161" t="s">
        <v>106</v>
      </c>
      <c r="D161" s="1">
        <v>153700</v>
      </c>
      <c r="E161" t="s">
        <v>38</v>
      </c>
      <c r="F161" t="s">
        <v>10</v>
      </c>
      <c r="G161">
        <v>62.5</v>
      </c>
      <c r="H161">
        <v>4</v>
      </c>
      <c r="I161">
        <v>1</v>
      </c>
      <c r="J161">
        <v>1</v>
      </c>
      <c r="K161">
        <v>1</v>
      </c>
    </row>
    <row r="162" spans="1:11" x14ac:dyDescent="0.25">
      <c r="A162" s="2">
        <v>2017</v>
      </c>
      <c r="B162" s="2" t="s">
        <v>105</v>
      </c>
      <c r="C162" t="s">
        <v>106</v>
      </c>
      <c r="D162" s="1">
        <v>153700</v>
      </c>
      <c r="E162" t="s">
        <v>38</v>
      </c>
      <c r="F162" t="s">
        <v>11</v>
      </c>
      <c r="G162">
        <v>68.8</v>
      </c>
      <c r="H162">
        <v>4</v>
      </c>
      <c r="I162">
        <v>1</v>
      </c>
      <c r="J162">
        <v>1</v>
      </c>
      <c r="K162">
        <v>1</v>
      </c>
    </row>
    <row r="163" spans="1:11" x14ac:dyDescent="0.25">
      <c r="A163" s="2">
        <v>2017</v>
      </c>
      <c r="B163" s="2" t="s">
        <v>105</v>
      </c>
      <c r="C163" t="s">
        <v>106</v>
      </c>
      <c r="D163" s="1">
        <v>153700</v>
      </c>
      <c r="E163" t="s">
        <v>38</v>
      </c>
      <c r="F163" t="s">
        <v>12</v>
      </c>
      <c r="G163">
        <v>50</v>
      </c>
      <c r="H163">
        <v>4</v>
      </c>
      <c r="I163">
        <v>1</v>
      </c>
      <c r="J163">
        <v>1</v>
      </c>
      <c r="K163">
        <v>1</v>
      </c>
    </row>
    <row r="164" spans="1:11" x14ac:dyDescent="0.25">
      <c r="A164" s="2">
        <v>2017</v>
      </c>
      <c r="B164" s="2" t="s">
        <v>105</v>
      </c>
      <c r="C164" t="s">
        <v>106</v>
      </c>
      <c r="D164" s="1">
        <v>91405</v>
      </c>
      <c r="E164" t="s">
        <v>39</v>
      </c>
      <c r="F164" t="s">
        <v>7</v>
      </c>
      <c r="G164">
        <v>54.6</v>
      </c>
      <c r="H164">
        <v>11</v>
      </c>
      <c r="I164">
        <v>1</v>
      </c>
      <c r="J164">
        <v>1</v>
      </c>
      <c r="K164">
        <v>1</v>
      </c>
    </row>
    <row r="165" spans="1:11" x14ac:dyDescent="0.25">
      <c r="A165" s="2">
        <v>2017</v>
      </c>
      <c r="B165" s="2" t="s">
        <v>105</v>
      </c>
      <c r="C165" t="s">
        <v>106</v>
      </c>
      <c r="D165" s="1">
        <v>91405</v>
      </c>
      <c r="E165" t="s">
        <v>39</v>
      </c>
      <c r="F165" t="s">
        <v>8</v>
      </c>
      <c r="G165">
        <v>47.7</v>
      </c>
      <c r="H165">
        <v>11</v>
      </c>
      <c r="I165">
        <v>1</v>
      </c>
      <c r="J165">
        <v>1</v>
      </c>
      <c r="K165">
        <v>1</v>
      </c>
    </row>
    <row r="166" spans="1:11" x14ac:dyDescent="0.25">
      <c r="A166" s="2">
        <v>2017</v>
      </c>
      <c r="B166" s="2" t="s">
        <v>105</v>
      </c>
      <c r="C166" t="s">
        <v>106</v>
      </c>
      <c r="D166" s="1">
        <v>91405</v>
      </c>
      <c r="E166" t="s">
        <v>39</v>
      </c>
      <c r="F166" t="s">
        <v>9</v>
      </c>
      <c r="G166">
        <v>59.1</v>
      </c>
      <c r="H166">
        <v>11</v>
      </c>
      <c r="I166">
        <v>1</v>
      </c>
      <c r="J166">
        <v>1</v>
      </c>
      <c r="K166">
        <v>1</v>
      </c>
    </row>
    <row r="167" spans="1:11" x14ac:dyDescent="0.25">
      <c r="A167" s="2">
        <v>2017</v>
      </c>
      <c r="B167" s="2" t="s">
        <v>105</v>
      </c>
      <c r="C167" t="s">
        <v>106</v>
      </c>
      <c r="D167" s="1">
        <v>91405</v>
      </c>
      <c r="E167" t="s">
        <v>39</v>
      </c>
      <c r="F167" t="s">
        <v>10</v>
      </c>
      <c r="G167">
        <v>50</v>
      </c>
      <c r="H167">
        <v>11</v>
      </c>
      <c r="I167">
        <v>1</v>
      </c>
      <c r="J167">
        <v>1</v>
      </c>
      <c r="K167">
        <v>1</v>
      </c>
    </row>
    <row r="168" spans="1:11" x14ac:dyDescent="0.25">
      <c r="A168" s="2">
        <v>2017</v>
      </c>
      <c r="B168" s="2" t="s">
        <v>105</v>
      </c>
      <c r="C168" t="s">
        <v>106</v>
      </c>
      <c r="D168" s="1">
        <v>91405</v>
      </c>
      <c r="E168" t="s">
        <v>39</v>
      </c>
      <c r="F168" t="s">
        <v>11</v>
      </c>
      <c r="G168">
        <v>61.4</v>
      </c>
      <c r="H168">
        <v>11</v>
      </c>
      <c r="I168">
        <v>1</v>
      </c>
      <c r="J168">
        <v>1</v>
      </c>
      <c r="K168">
        <v>1</v>
      </c>
    </row>
    <row r="169" spans="1:11" x14ac:dyDescent="0.25">
      <c r="A169" s="2">
        <v>2017</v>
      </c>
      <c r="B169" s="2" t="s">
        <v>105</v>
      </c>
      <c r="C169" t="s">
        <v>106</v>
      </c>
      <c r="D169" s="1">
        <v>91405</v>
      </c>
      <c r="E169" t="s">
        <v>39</v>
      </c>
      <c r="F169" t="s">
        <v>12</v>
      </c>
      <c r="G169">
        <v>50</v>
      </c>
      <c r="H169">
        <v>10</v>
      </c>
      <c r="I169">
        <v>1</v>
      </c>
      <c r="J169">
        <v>1</v>
      </c>
      <c r="K169">
        <v>1</v>
      </c>
    </row>
    <row r="170" spans="1:11" x14ac:dyDescent="0.25">
      <c r="A170" s="2">
        <v>2017</v>
      </c>
      <c r="B170" s="2" t="s">
        <v>105</v>
      </c>
      <c r="C170" t="s">
        <v>106</v>
      </c>
      <c r="D170" s="1">
        <v>58321</v>
      </c>
      <c r="E170" t="s">
        <v>40</v>
      </c>
      <c r="F170" t="s">
        <v>7</v>
      </c>
      <c r="G170">
        <v>53.1</v>
      </c>
      <c r="H170">
        <v>8</v>
      </c>
      <c r="I170">
        <v>1</v>
      </c>
      <c r="J170">
        <v>1</v>
      </c>
      <c r="K170">
        <v>1</v>
      </c>
    </row>
    <row r="171" spans="1:11" x14ac:dyDescent="0.25">
      <c r="A171" s="2">
        <v>2017</v>
      </c>
      <c r="B171" s="2" t="s">
        <v>105</v>
      </c>
      <c r="C171" t="s">
        <v>106</v>
      </c>
      <c r="D171" s="1">
        <v>58321</v>
      </c>
      <c r="E171" t="s">
        <v>40</v>
      </c>
      <c r="F171" t="s">
        <v>8</v>
      </c>
      <c r="G171">
        <v>53.1</v>
      </c>
      <c r="H171">
        <v>8</v>
      </c>
      <c r="I171">
        <v>1</v>
      </c>
      <c r="J171">
        <v>1</v>
      </c>
      <c r="K171">
        <v>1</v>
      </c>
    </row>
    <row r="172" spans="1:11" x14ac:dyDescent="0.25">
      <c r="A172" s="2">
        <v>2017</v>
      </c>
      <c r="B172" s="2" t="s">
        <v>105</v>
      </c>
      <c r="C172" t="s">
        <v>106</v>
      </c>
      <c r="D172" s="1">
        <v>58321</v>
      </c>
      <c r="E172" t="s">
        <v>40</v>
      </c>
      <c r="F172" t="s">
        <v>9</v>
      </c>
      <c r="G172">
        <v>50</v>
      </c>
      <c r="H172">
        <v>8</v>
      </c>
      <c r="I172">
        <v>1</v>
      </c>
      <c r="J172">
        <v>1</v>
      </c>
      <c r="K172">
        <v>1</v>
      </c>
    </row>
    <row r="173" spans="1:11" x14ac:dyDescent="0.25">
      <c r="A173" s="2">
        <v>2017</v>
      </c>
      <c r="B173" s="2" t="s">
        <v>105</v>
      </c>
      <c r="C173" t="s">
        <v>106</v>
      </c>
      <c r="D173" s="1">
        <v>58321</v>
      </c>
      <c r="E173" t="s">
        <v>40</v>
      </c>
      <c r="F173" t="s">
        <v>10</v>
      </c>
      <c r="G173">
        <v>50</v>
      </c>
      <c r="H173">
        <v>8</v>
      </c>
      <c r="I173">
        <v>1</v>
      </c>
      <c r="J173">
        <v>1</v>
      </c>
      <c r="K173">
        <v>1</v>
      </c>
    </row>
    <row r="174" spans="1:11" x14ac:dyDescent="0.25">
      <c r="A174" s="2">
        <v>2017</v>
      </c>
      <c r="B174" s="2" t="s">
        <v>105</v>
      </c>
      <c r="C174" t="s">
        <v>106</v>
      </c>
      <c r="D174" s="1">
        <v>58321</v>
      </c>
      <c r="E174" t="s">
        <v>40</v>
      </c>
      <c r="F174" t="s">
        <v>11</v>
      </c>
      <c r="G174">
        <v>59.4</v>
      </c>
      <c r="H174">
        <v>8</v>
      </c>
      <c r="I174">
        <v>1</v>
      </c>
      <c r="J174">
        <v>1</v>
      </c>
      <c r="K174">
        <v>1</v>
      </c>
    </row>
    <row r="175" spans="1:11" x14ac:dyDescent="0.25">
      <c r="A175" s="2">
        <v>2017</v>
      </c>
      <c r="B175" s="2" t="s">
        <v>105</v>
      </c>
      <c r="C175" t="s">
        <v>106</v>
      </c>
      <c r="D175" s="1">
        <v>58321</v>
      </c>
      <c r="E175" t="s">
        <v>40</v>
      </c>
      <c r="F175" t="s">
        <v>12</v>
      </c>
      <c r="G175">
        <v>21.9</v>
      </c>
      <c r="H175">
        <v>8</v>
      </c>
      <c r="I175">
        <v>1</v>
      </c>
      <c r="J175">
        <v>1</v>
      </c>
      <c r="K175">
        <v>1</v>
      </c>
    </row>
    <row r="176" spans="1:11" x14ac:dyDescent="0.25">
      <c r="A176" s="2">
        <v>2017</v>
      </c>
      <c r="B176" s="2" t="s">
        <v>105</v>
      </c>
      <c r="C176" t="s">
        <v>106</v>
      </c>
      <c r="D176" s="1">
        <v>91397</v>
      </c>
      <c r="E176" t="s">
        <v>41</v>
      </c>
      <c r="F176" t="s">
        <v>7</v>
      </c>
      <c r="G176">
        <v>58.3</v>
      </c>
      <c r="H176">
        <v>3</v>
      </c>
      <c r="I176">
        <v>1</v>
      </c>
      <c r="J176">
        <v>1</v>
      </c>
      <c r="K176">
        <v>1</v>
      </c>
    </row>
    <row r="177" spans="1:11" x14ac:dyDescent="0.25">
      <c r="A177" s="2">
        <v>2017</v>
      </c>
      <c r="B177" s="2" t="s">
        <v>105</v>
      </c>
      <c r="C177" t="s">
        <v>106</v>
      </c>
      <c r="D177" s="1">
        <v>91397</v>
      </c>
      <c r="E177" t="s">
        <v>41</v>
      </c>
      <c r="F177" t="s">
        <v>8</v>
      </c>
      <c r="G177">
        <v>58.3</v>
      </c>
      <c r="H177">
        <v>3</v>
      </c>
      <c r="I177">
        <v>1</v>
      </c>
      <c r="J177">
        <v>1</v>
      </c>
      <c r="K177">
        <v>1</v>
      </c>
    </row>
    <row r="178" spans="1:11" x14ac:dyDescent="0.25">
      <c r="A178" s="2">
        <v>2017</v>
      </c>
      <c r="B178" s="2" t="s">
        <v>105</v>
      </c>
      <c r="C178" t="s">
        <v>106</v>
      </c>
      <c r="D178" s="1">
        <v>91397</v>
      </c>
      <c r="E178" t="s">
        <v>41</v>
      </c>
      <c r="F178" t="s">
        <v>9</v>
      </c>
      <c r="G178">
        <v>58.3</v>
      </c>
      <c r="H178">
        <v>3</v>
      </c>
      <c r="I178">
        <v>1</v>
      </c>
      <c r="J178">
        <v>1</v>
      </c>
      <c r="K178">
        <v>1</v>
      </c>
    </row>
    <row r="179" spans="1:11" x14ac:dyDescent="0.25">
      <c r="A179" s="2">
        <v>2017</v>
      </c>
      <c r="B179" s="2" t="s">
        <v>105</v>
      </c>
      <c r="C179" t="s">
        <v>106</v>
      </c>
      <c r="D179" s="1">
        <v>91397</v>
      </c>
      <c r="E179" t="s">
        <v>41</v>
      </c>
      <c r="F179" t="s">
        <v>10</v>
      </c>
      <c r="G179">
        <v>58.3</v>
      </c>
      <c r="H179">
        <v>3</v>
      </c>
      <c r="I179">
        <v>1</v>
      </c>
      <c r="J179">
        <v>1</v>
      </c>
      <c r="K179">
        <v>1</v>
      </c>
    </row>
    <row r="180" spans="1:11" x14ac:dyDescent="0.25">
      <c r="A180" s="2">
        <v>2017</v>
      </c>
      <c r="B180" s="2" t="s">
        <v>105</v>
      </c>
      <c r="C180" t="s">
        <v>106</v>
      </c>
      <c r="D180" s="1">
        <v>91397</v>
      </c>
      <c r="E180" t="s">
        <v>41</v>
      </c>
      <c r="F180" t="s">
        <v>11</v>
      </c>
      <c r="G180">
        <v>58.3</v>
      </c>
      <c r="H180">
        <v>3</v>
      </c>
      <c r="I180">
        <v>1</v>
      </c>
      <c r="J180">
        <v>1</v>
      </c>
      <c r="K180">
        <v>1</v>
      </c>
    </row>
    <row r="181" spans="1:11" x14ac:dyDescent="0.25">
      <c r="A181" s="2">
        <v>2017</v>
      </c>
      <c r="B181" s="2" t="s">
        <v>105</v>
      </c>
      <c r="C181" t="s">
        <v>106</v>
      </c>
      <c r="D181" s="1">
        <v>91397</v>
      </c>
      <c r="E181" t="s">
        <v>41</v>
      </c>
      <c r="F181" t="s">
        <v>12</v>
      </c>
      <c r="G181">
        <v>58.3</v>
      </c>
      <c r="H181">
        <v>3</v>
      </c>
      <c r="I181">
        <v>2</v>
      </c>
      <c r="J181">
        <v>1</v>
      </c>
      <c r="K181">
        <v>1</v>
      </c>
    </row>
    <row r="182" spans="1:11" x14ac:dyDescent="0.25">
      <c r="A182" s="2">
        <v>2017</v>
      </c>
      <c r="B182" s="2" t="s">
        <v>105</v>
      </c>
      <c r="C182" t="s">
        <v>106</v>
      </c>
      <c r="D182" s="1">
        <v>60707</v>
      </c>
      <c r="E182" t="s">
        <v>42</v>
      </c>
      <c r="F182" t="s">
        <v>7</v>
      </c>
      <c r="G182">
        <v>51.6</v>
      </c>
      <c r="H182">
        <v>4</v>
      </c>
      <c r="I182">
        <v>1</v>
      </c>
      <c r="J182">
        <v>1</v>
      </c>
      <c r="K182">
        <v>1</v>
      </c>
    </row>
    <row r="183" spans="1:11" x14ac:dyDescent="0.25">
      <c r="A183" s="2">
        <v>2017</v>
      </c>
      <c r="B183" s="2" t="s">
        <v>105</v>
      </c>
      <c r="C183" t="s">
        <v>106</v>
      </c>
      <c r="D183" s="1">
        <v>60707</v>
      </c>
      <c r="E183" t="s">
        <v>42</v>
      </c>
      <c r="F183" t="s">
        <v>8</v>
      </c>
      <c r="G183">
        <v>50</v>
      </c>
      <c r="H183">
        <v>4</v>
      </c>
      <c r="I183">
        <v>1</v>
      </c>
      <c r="J183">
        <v>1</v>
      </c>
      <c r="K183">
        <v>1</v>
      </c>
    </row>
    <row r="184" spans="1:11" x14ac:dyDescent="0.25">
      <c r="A184" s="2">
        <v>2017</v>
      </c>
      <c r="B184" s="2" t="s">
        <v>105</v>
      </c>
      <c r="C184" t="s">
        <v>106</v>
      </c>
      <c r="D184" s="1">
        <v>60707</v>
      </c>
      <c r="E184" t="s">
        <v>42</v>
      </c>
      <c r="F184" t="s">
        <v>9</v>
      </c>
      <c r="G184">
        <v>56.3</v>
      </c>
      <c r="H184">
        <v>4</v>
      </c>
      <c r="I184">
        <v>1</v>
      </c>
      <c r="J184">
        <v>1</v>
      </c>
      <c r="K184">
        <v>1</v>
      </c>
    </row>
    <row r="185" spans="1:11" x14ac:dyDescent="0.25">
      <c r="A185" s="2">
        <v>2017</v>
      </c>
      <c r="B185" s="2" t="s">
        <v>105</v>
      </c>
      <c r="C185" t="s">
        <v>106</v>
      </c>
      <c r="D185" s="1">
        <v>60707</v>
      </c>
      <c r="E185" t="s">
        <v>42</v>
      </c>
      <c r="F185" t="s">
        <v>10</v>
      </c>
      <c r="G185">
        <v>50</v>
      </c>
      <c r="H185">
        <v>4</v>
      </c>
      <c r="I185">
        <v>1</v>
      </c>
      <c r="J185">
        <v>1</v>
      </c>
      <c r="K185">
        <v>1</v>
      </c>
    </row>
    <row r="186" spans="1:11" x14ac:dyDescent="0.25">
      <c r="A186" s="2">
        <v>2017</v>
      </c>
      <c r="B186" s="2" t="s">
        <v>105</v>
      </c>
      <c r="C186" t="s">
        <v>106</v>
      </c>
      <c r="D186" s="1">
        <v>60707</v>
      </c>
      <c r="E186" t="s">
        <v>42</v>
      </c>
      <c r="F186" t="s">
        <v>11</v>
      </c>
      <c r="G186">
        <v>50</v>
      </c>
      <c r="H186">
        <v>4</v>
      </c>
      <c r="I186">
        <v>1</v>
      </c>
      <c r="J186">
        <v>1</v>
      </c>
      <c r="K186">
        <v>1</v>
      </c>
    </row>
    <row r="187" spans="1:11" x14ac:dyDescent="0.25">
      <c r="A187" s="2">
        <v>2017</v>
      </c>
      <c r="B187" s="2" t="s">
        <v>105</v>
      </c>
      <c r="C187" t="s">
        <v>106</v>
      </c>
      <c r="D187" s="1">
        <v>60707</v>
      </c>
      <c r="E187" t="s">
        <v>42</v>
      </c>
      <c r="F187" t="s">
        <v>12</v>
      </c>
      <c r="G187">
        <v>43.8</v>
      </c>
      <c r="H187">
        <v>4</v>
      </c>
      <c r="I187">
        <v>1</v>
      </c>
      <c r="J187">
        <v>1</v>
      </c>
      <c r="K187">
        <v>1</v>
      </c>
    </row>
    <row r="188" spans="1:11" x14ac:dyDescent="0.25">
      <c r="A188" s="2">
        <v>2017</v>
      </c>
      <c r="B188" s="2" t="s">
        <v>105</v>
      </c>
      <c r="C188" t="s">
        <v>106</v>
      </c>
      <c r="D188" s="1">
        <v>101071</v>
      </c>
      <c r="E188" t="s">
        <v>43</v>
      </c>
      <c r="F188" t="s">
        <v>7</v>
      </c>
      <c r="G188">
        <v>12.5</v>
      </c>
      <c r="H188">
        <v>9</v>
      </c>
      <c r="I188">
        <v>1</v>
      </c>
      <c r="J188">
        <v>1</v>
      </c>
      <c r="K188">
        <v>1</v>
      </c>
    </row>
    <row r="189" spans="1:11" x14ac:dyDescent="0.25">
      <c r="A189" s="2">
        <v>2017</v>
      </c>
      <c r="B189" s="2" t="s">
        <v>105</v>
      </c>
      <c r="C189" t="s">
        <v>106</v>
      </c>
      <c r="D189" s="1">
        <v>101071</v>
      </c>
      <c r="E189" t="s">
        <v>43</v>
      </c>
      <c r="F189" t="s">
        <v>8</v>
      </c>
      <c r="G189">
        <v>11.1</v>
      </c>
      <c r="H189">
        <v>9</v>
      </c>
      <c r="I189">
        <v>1</v>
      </c>
      <c r="J189">
        <v>1</v>
      </c>
      <c r="K189">
        <v>1</v>
      </c>
    </row>
    <row r="190" spans="1:11" x14ac:dyDescent="0.25">
      <c r="A190" s="2">
        <v>2017</v>
      </c>
      <c r="B190" s="2" t="s">
        <v>105</v>
      </c>
      <c r="C190" t="s">
        <v>106</v>
      </c>
      <c r="D190" s="1">
        <v>101071</v>
      </c>
      <c r="E190" t="s">
        <v>43</v>
      </c>
      <c r="F190" t="s">
        <v>9</v>
      </c>
      <c r="G190">
        <v>11.1</v>
      </c>
      <c r="H190">
        <v>9</v>
      </c>
      <c r="I190">
        <v>1</v>
      </c>
      <c r="J190">
        <v>1</v>
      </c>
      <c r="K190">
        <v>1</v>
      </c>
    </row>
    <row r="191" spans="1:11" x14ac:dyDescent="0.25">
      <c r="A191" s="2">
        <v>2017</v>
      </c>
      <c r="B191" s="2" t="s">
        <v>105</v>
      </c>
      <c r="C191" t="s">
        <v>106</v>
      </c>
      <c r="D191" s="1">
        <v>101071</v>
      </c>
      <c r="E191" t="s">
        <v>43</v>
      </c>
      <c r="F191" t="s">
        <v>10</v>
      </c>
      <c r="G191">
        <v>11.1</v>
      </c>
      <c r="H191">
        <v>9</v>
      </c>
      <c r="I191">
        <v>1</v>
      </c>
      <c r="J191">
        <v>1</v>
      </c>
      <c r="K191">
        <v>1</v>
      </c>
    </row>
    <row r="192" spans="1:11" x14ac:dyDescent="0.25">
      <c r="A192" s="2">
        <v>2017</v>
      </c>
      <c r="B192" s="2" t="s">
        <v>105</v>
      </c>
      <c r="C192" t="s">
        <v>106</v>
      </c>
      <c r="D192" s="1">
        <v>101071</v>
      </c>
      <c r="E192" t="s">
        <v>43</v>
      </c>
      <c r="F192" t="s">
        <v>11</v>
      </c>
      <c r="G192">
        <v>16.7</v>
      </c>
      <c r="H192">
        <v>9</v>
      </c>
      <c r="I192">
        <v>1</v>
      </c>
      <c r="J192">
        <v>1</v>
      </c>
      <c r="K192">
        <v>1</v>
      </c>
    </row>
    <row r="193" spans="1:11" x14ac:dyDescent="0.25">
      <c r="A193" s="2">
        <v>2017</v>
      </c>
      <c r="B193" s="2" t="s">
        <v>105</v>
      </c>
      <c r="C193" t="s">
        <v>106</v>
      </c>
      <c r="D193" s="1">
        <v>101071</v>
      </c>
      <c r="E193" t="s">
        <v>43</v>
      </c>
      <c r="F193" t="s">
        <v>12</v>
      </c>
      <c r="G193">
        <v>9.1</v>
      </c>
      <c r="H193">
        <v>11</v>
      </c>
      <c r="I193">
        <v>1</v>
      </c>
      <c r="J193">
        <v>1</v>
      </c>
      <c r="K193">
        <v>1</v>
      </c>
    </row>
    <row r="194" spans="1:11" x14ac:dyDescent="0.25">
      <c r="A194" s="2">
        <v>2017</v>
      </c>
      <c r="B194" s="2" t="s">
        <v>160</v>
      </c>
      <c r="C194" t="s">
        <v>106</v>
      </c>
      <c r="D194" s="1">
        <v>117671</v>
      </c>
      <c r="E194" t="s">
        <v>25</v>
      </c>
      <c r="F194" t="s">
        <v>12</v>
      </c>
      <c r="G194">
        <v>71.900000000000006</v>
      </c>
      <c r="H194">
        <v>8</v>
      </c>
      <c r="I194">
        <v>33</v>
      </c>
      <c r="J194">
        <v>15</v>
      </c>
      <c r="K194">
        <v>13</v>
      </c>
    </row>
    <row r="195" spans="1:11" x14ac:dyDescent="0.25">
      <c r="A195" s="2">
        <v>2017</v>
      </c>
      <c r="B195" s="2" t="s">
        <v>160</v>
      </c>
      <c r="C195" t="s">
        <v>106</v>
      </c>
      <c r="D195" s="1">
        <v>117671</v>
      </c>
      <c r="E195" t="s">
        <v>25</v>
      </c>
      <c r="F195" t="s">
        <v>7</v>
      </c>
      <c r="G195">
        <v>82</v>
      </c>
      <c r="H195">
        <v>8</v>
      </c>
      <c r="I195">
        <v>26</v>
      </c>
      <c r="J195">
        <v>13</v>
      </c>
      <c r="K195">
        <v>15</v>
      </c>
    </row>
    <row r="196" spans="1:11" x14ac:dyDescent="0.25">
      <c r="A196" s="2">
        <v>2017</v>
      </c>
      <c r="B196" s="2" t="s">
        <v>160</v>
      </c>
      <c r="C196" t="s">
        <v>106</v>
      </c>
      <c r="D196" s="1">
        <v>117671</v>
      </c>
      <c r="E196" t="s">
        <v>25</v>
      </c>
      <c r="F196" t="s">
        <v>11</v>
      </c>
      <c r="G196">
        <v>87.5</v>
      </c>
      <c r="H196">
        <v>8</v>
      </c>
      <c r="I196">
        <v>47</v>
      </c>
      <c r="J196">
        <v>42</v>
      </c>
      <c r="K196">
        <v>35</v>
      </c>
    </row>
    <row r="197" spans="1:11" x14ac:dyDescent="0.25">
      <c r="A197" s="2">
        <v>2017</v>
      </c>
      <c r="B197" s="2" t="s">
        <v>160</v>
      </c>
      <c r="C197" t="s">
        <v>106</v>
      </c>
      <c r="D197" s="1">
        <v>117671</v>
      </c>
      <c r="E197" t="s">
        <v>25</v>
      </c>
      <c r="F197" t="s">
        <v>9</v>
      </c>
      <c r="G197">
        <v>81.3</v>
      </c>
      <c r="H197">
        <v>8</v>
      </c>
      <c r="I197">
        <v>16</v>
      </c>
      <c r="J197">
        <v>8</v>
      </c>
      <c r="K197">
        <v>10</v>
      </c>
    </row>
    <row r="198" spans="1:11" x14ac:dyDescent="0.25">
      <c r="A198" s="2">
        <v>2017</v>
      </c>
      <c r="B198" s="2" t="s">
        <v>160</v>
      </c>
      <c r="C198" t="s">
        <v>106</v>
      </c>
      <c r="D198" s="1">
        <v>117671</v>
      </c>
      <c r="E198" t="s">
        <v>25</v>
      </c>
      <c r="F198" t="s">
        <v>8</v>
      </c>
      <c r="G198">
        <v>78.099999999999994</v>
      </c>
      <c r="H198">
        <v>8</v>
      </c>
      <c r="I198">
        <v>13</v>
      </c>
      <c r="J198">
        <v>8</v>
      </c>
      <c r="K198">
        <v>7</v>
      </c>
    </row>
    <row r="199" spans="1:11" x14ac:dyDescent="0.25">
      <c r="A199" s="2">
        <v>2017</v>
      </c>
      <c r="B199" s="2" t="s">
        <v>160</v>
      </c>
      <c r="C199" t="s">
        <v>106</v>
      </c>
      <c r="D199" s="1">
        <v>117671</v>
      </c>
      <c r="E199" t="s">
        <v>25</v>
      </c>
      <c r="F199" t="s">
        <v>10</v>
      </c>
      <c r="G199">
        <v>81.3</v>
      </c>
      <c r="H199">
        <v>8</v>
      </c>
      <c r="I199">
        <v>34</v>
      </c>
      <c r="J199">
        <v>25</v>
      </c>
      <c r="K199">
        <v>18</v>
      </c>
    </row>
    <row r="200" spans="1:11" x14ac:dyDescent="0.25">
      <c r="A200" s="2">
        <v>2017</v>
      </c>
      <c r="B200" s="2" t="s">
        <v>160</v>
      </c>
      <c r="C200" t="s">
        <v>106</v>
      </c>
      <c r="D200" s="1">
        <v>104133</v>
      </c>
      <c r="E200" t="s">
        <v>20</v>
      </c>
      <c r="F200" t="s">
        <v>12</v>
      </c>
      <c r="G200">
        <v>70.8</v>
      </c>
      <c r="H200">
        <v>6</v>
      </c>
      <c r="I200">
        <v>30</v>
      </c>
      <c r="J200">
        <v>12</v>
      </c>
      <c r="K200">
        <v>11</v>
      </c>
    </row>
    <row r="201" spans="1:11" x14ac:dyDescent="0.25">
      <c r="A201" s="2">
        <v>2017</v>
      </c>
      <c r="B201" s="2" t="s">
        <v>160</v>
      </c>
      <c r="C201" t="s">
        <v>106</v>
      </c>
      <c r="D201" s="1">
        <v>104133</v>
      </c>
      <c r="E201" t="s">
        <v>20</v>
      </c>
      <c r="F201" t="s">
        <v>7</v>
      </c>
      <c r="G201">
        <v>81.3</v>
      </c>
      <c r="H201">
        <v>6</v>
      </c>
      <c r="I201">
        <v>18</v>
      </c>
      <c r="J201">
        <v>8</v>
      </c>
      <c r="K201">
        <v>11</v>
      </c>
    </row>
    <row r="202" spans="1:11" x14ac:dyDescent="0.25">
      <c r="A202" s="2">
        <v>2017</v>
      </c>
      <c r="B202" s="2" t="s">
        <v>160</v>
      </c>
      <c r="C202" t="s">
        <v>106</v>
      </c>
      <c r="D202" s="1">
        <v>104133</v>
      </c>
      <c r="E202" t="s">
        <v>20</v>
      </c>
      <c r="F202" t="s">
        <v>11</v>
      </c>
      <c r="G202">
        <v>87.5</v>
      </c>
      <c r="H202">
        <v>6</v>
      </c>
      <c r="I202">
        <v>47</v>
      </c>
      <c r="J202">
        <v>42</v>
      </c>
      <c r="K202">
        <v>35</v>
      </c>
    </row>
    <row r="203" spans="1:11" x14ac:dyDescent="0.25">
      <c r="A203" s="2">
        <v>2017</v>
      </c>
      <c r="B203" s="2" t="s">
        <v>160</v>
      </c>
      <c r="C203" t="s">
        <v>106</v>
      </c>
      <c r="D203" s="1">
        <v>104133</v>
      </c>
      <c r="E203" t="s">
        <v>20</v>
      </c>
      <c r="F203" t="s">
        <v>9</v>
      </c>
      <c r="G203">
        <v>87.5</v>
      </c>
      <c r="H203">
        <v>6</v>
      </c>
      <c r="I203">
        <v>75</v>
      </c>
      <c r="J203">
        <v>64</v>
      </c>
      <c r="K203">
        <v>56</v>
      </c>
    </row>
    <row r="204" spans="1:11" x14ac:dyDescent="0.25">
      <c r="A204" s="2">
        <v>2017</v>
      </c>
      <c r="B204" s="2" t="s">
        <v>160</v>
      </c>
      <c r="C204" t="s">
        <v>106</v>
      </c>
      <c r="D204" s="1">
        <v>104133</v>
      </c>
      <c r="E204" t="s">
        <v>20</v>
      </c>
      <c r="F204" t="s">
        <v>8</v>
      </c>
      <c r="G204">
        <v>75</v>
      </c>
      <c r="H204">
        <v>6</v>
      </c>
      <c r="I204">
        <v>5</v>
      </c>
      <c r="J204">
        <v>2</v>
      </c>
      <c r="K204">
        <v>2</v>
      </c>
    </row>
    <row r="205" spans="1:11" x14ac:dyDescent="0.25">
      <c r="A205" s="2">
        <v>2017</v>
      </c>
      <c r="B205" s="2" t="s">
        <v>160</v>
      </c>
      <c r="C205" t="s">
        <v>106</v>
      </c>
      <c r="D205" s="1">
        <v>104133</v>
      </c>
      <c r="E205" t="s">
        <v>20</v>
      </c>
      <c r="F205" t="s">
        <v>10</v>
      </c>
      <c r="G205">
        <v>75</v>
      </c>
      <c r="H205">
        <v>6</v>
      </c>
      <c r="I205">
        <v>4</v>
      </c>
      <c r="J205">
        <v>1</v>
      </c>
      <c r="K205">
        <v>2</v>
      </c>
    </row>
    <row r="206" spans="1:11" x14ac:dyDescent="0.25">
      <c r="A206" s="2">
        <v>2017</v>
      </c>
      <c r="B206" s="2" t="s">
        <v>160</v>
      </c>
      <c r="C206" t="s">
        <v>106</v>
      </c>
      <c r="D206" s="1">
        <v>114603</v>
      </c>
      <c r="E206" t="s">
        <v>36</v>
      </c>
      <c r="F206" t="s">
        <v>12</v>
      </c>
      <c r="G206">
        <v>68.8</v>
      </c>
      <c r="H206">
        <v>4</v>
      </c>
      <c r="I206">
        <v>22</v>
      </c>
      <c r="J206">
        <v>8</v>
      </c>
      <c r="K206">
        <v>7</v>
      </c>
    </row>
    <row r="207" spans="1:11" x14ac:dyDescent="0.25">
      <c r="A207" s="2">
        <v>2017</v>
      </c>
      <c r="B207" s="2" t="s">
        <v>160</v>
      </c>
      <c r="C207" t="s">
        <v>106</v>
      </c>
      <c r="D207" s="1">
        <v>114603</v>
      </c>
      <c r="E207" t="s">
        <v>36</v>
      </c>
      <c r="F207" t="s">
        <v>7</v>
      </c>
      <c r="G207">
        <v>90.6</v>
      </c>
      <c r="H207">
        <v>4</v>
      </c>
      <c r="I207">
        <v>98</v>
      </c>
      <c r="J207">
        <v>93</v>
      </c>
      <c r="K207">
        <v>84</v>
      </c>
    </row>
    <row r="208" spans="1:11" x14ac:dyDescent="0.25">
      <c r="A208" s="2">
        <v>2017</v>
      </c>
      <c r="B208" s="2" t="s">
        <v>160</v>
      </c>
      <c r="C208" t="s">
        <v>106</v>
      </c>
      <c r="D208" s="1">
        <v>114603</v>
      </c>
      <c r="E208" t="s">
        <v>36</v>
      </c>
      <c r="F208" t="s">
        <v>11</v>
      </c>
      <c r="G208">
        <v>93.8</v>
      </c>
      <c r="H208">
        <v>4</v>
      </c>
      <c r="I208">
        <v>99</v>
      </c>
      <c r="J208">
        <v>97</v>
      </c>
      <c r="K208">
        <v>91</v>
      </c>
    </row>
    <row r="209" spans="1:11" x14ac:dyDescent="0.25">
      <c r="A209" s="2">
        <v>2017</v>
      </c>
      <c r="B209" s="2" t="s">
        <v>160</v>
      </c>
      <c r="C209" t="s">
        <v>106</v>
      </c>
      <c r="D209" s="1">
        <v>114603</v>
      </c>
      <c r="E209" t="s">
        <v>36</v>
      </c>
      <c r="F209" t="s">
        <v>9</v>
      </c>
      <c r="G209">
        <v>87.5</v>
      </c>
      <c r="H209">
        <v>4</v>
      </c>
      <c r="I209">
        <v>75</v>
      </c>
      <c r="J209">
        <v>64</v>
      </c>
      <c r="K209">
        <v>56</v>
      </c>
    </row>
    <row r="210" spans="1:11" x14ac:dyDescent="0.25">
      <c r="A210" s="2">
        <v>2017</v>
      </c>
      <c r="B210" s="2" t="s">
        <v>160</v>
      </c>
      <c r="C210" t="s">
        <v>106</v>
      </c>
      <c r="D210" s="1">
        <v>114603</v>
      </c>
      <c r="E210" t="s">
        <v>36</v>
      </c>
      <c r="F210" t="s">
        <v>8</v>
      </c>
      <c r="G210">
        <v>93.8</v>
      </c>
      <c r="H210">
        <v>4</v>
      </c>
      <c r="I210">
        <v>99</v>
      </c>
      <c r="J210">
        <v>99</v>
      </c>
      <c r="K210">
        <v>96</v>
      </c>
    </row>
    <row r="211" spans="1:11" x14ac:dyDescent="0.25">
      <c r="A211" s="2">
        <v>2017</v>
      </c>
      <c r="B211" s="2" t="s">
        <v>160</v>
      </c>
      <c r="C211" t="s">
        <v>106</v>
      </c>
      <c r="D211" s="1">
        <v>114603</v>
      </c>
      <c r="E211" t="s">
        <v>36</v>
      </c>
      <c r="F211" t="s">
        <v>10</v>
      </c>
      <c r="G211">
        <v>87.5</v>
      </c>
      <c r="H211">
        <v>4</v>
      </c>
      <c r="I211">
        <v>91</v>
      </c>
      <c r="J211">
        <v>76</v>
      </c>
      <c r="K211">
        <v>68</v>
      </c>
    </row>
    <row r="212" spans="1:11" x14ac:dyDescent="0.25">
      <c r="A212" s="2">
        <v>2017</v>
      </c>
      <c r="B212" s="2" t="s">
        <v>160</v>
      </c>
      <c r="C212" t="s">
        <v>106</v>
      </c>
      <c r="D212" s="1">
        <v>101071</v>
      </c>
      <c r="E212" t="s">
        <v>43</v>
      </c>
      <c r="F212" t="s">
        <v>12</v>
      </c>
      <c r="G212">
        <v>66.7</v>
      </c>
      <c r="H212">
        <v>9</v>
      </c>
      <c r="I212">
        <v>16</v>
      </c>
      <c r="J212">
        <v>5</v>
      </c>
      <c r="K212">
        <v>4</v>
      </c>
    </row>
    <row r="213" spans="1:11" x14ac:dyDescent="0.25">
      <c r="A213" s="2">
        <v>2017</v>
      </c>
      <c r="B213" s="2" t="s">
        <v>160</v>
      </c>
      <c r="C213" t="s">
        <v>106</v>
      </c>
      <c r="D213" s="1">
        <v>101071</v>
      </c>
      <c r="E213" t="s">
        <v>43</v>
      </c>
      <c r="F213" t="s">
        <v>7</v>
      </c>
      <c r="G213">
        <v>68.8</v>
      </c>
      <c r="H213">
        <v>9</v>
      </c>
      <c r="I213">
        <v>1</v>
      </c>
      <c r="J213">
        <v>1</v>
      </c>
      <c r="K213">
        <v>1</v>
      </c>
    </row>
    <row r="214" spans="1:11" x14ac:dyDescent="0.25">
      <c r="A214" s="2">
        <v>2017</v>
      </c>
      <c r="B214" s="2" t="s">
        <v>160</v>
      </c>
      <c r="C214" t="s">
        <v>106</v>
      </c>
      <c r="D214" s="1">
        <v>101071</v>
      </c>
      <c r="E214" t="s">
        <v>43</v>
      </c>
      <c r="F214" t="s">
        <v>11</v>
      </c>
      <c r="G214">
        <v>69.400000000000006</v>
      </c>
      <c r="H214">
        <v>9</v>
      </c>
      <c r="I214">
        <v>1</v>
      </c>
      <c r="J214">
        <v>1</v>
      </c>
      <c r="K214">
        <v>1</v>
      </c>
    </row>
    <row r="215" spans="1:11" x14ac:dyDescent="0.25">
      <c r="A215" s="2">
        <v>2017</v>
      </c>
      <c r="B215" s="2" t="s">
        <v>160</v>
      </c>
      <c r="C215" t="s">
        <v>106</v>
      </c>
      <c r="D215" s="1">
        <v>101071</v>
      </c>
      <c r="E215" t="s">
        <v>43</v>
      </c>
      <c r="F215" t="s">
        <v>9</v>
      </c>
      <c r="G215">
        <v>69.400000000000006</v>
      </c>
      <c r="H215">
        <v>9</v>
      </c>
      <c r="I215">
        <v>1</v>
      </c>
      <c r="J215">
        <v>1</v>
      </c>
      <c r="K215">
        <v>1</v>
      </c>
    </row>
    <row r="216" spans="1:11" x14ac:dyDescent="0.25">
      <c r="A216" s="2">
        <v>2017</v>
      </c>
      <c r="B216" s="2" t="s">
        <v>160</v>
      </c>
      <c r="C216" t="s">
        <v>106</v>
      </c>
      <c r="D216" s="1">
        <v>101071</v>
      </c>
      <c r="E216" t="s">
        <v>43</v>
      </c>
      <c r="F216" t="s">
        <v>8</v>
      </c>
      <c r="G216">
        <v>66.7</v>
      </c>
      <c r="H216">
        <v>9</v>
      </c>
      <c r="I216">
        <v>1</v>
      </c>
      <c r="J216">
        <v>1</v>
      </c>
      <c r="K216">
        <v>1</v>
      </c>
    </row>
    <row r="217" spans="1:11" x14ac:dyDescent="0.25">
      <c r="A217" s="2">
        <v>2017</v>
      </c>
      <c r="B217" s="2" t="s">
        <v>160</v>
      </c>
      <c r="C217" t="s">
        <v>106</v>
      </c>
      <c r="D217" s="1">
        <v>101071</v>
      </c>
      <c r="E217" t="s">
        <v>43</v>
      </c>
      <c r="F217" t="s">
        <v>10</v>
      </c>
      <c r="G217">
        <v>69.400000000000006</v>
      </c>
      <c r="H217">
        <v>9</v>
      </c>
      <c r="I217">
        <v>1</v>
      </c>
      <c r="J217">
        <v>1</v>
      </c>
      <c r="K217">
        <v>1</v>
      </c>
    </row>
    <row r="218" spans="1:11" x14ac:dyDescent="0.25">
      <c r="A218" s="2">
        <v>2017</v>
      </c>
      <c r="B218" s="2" t="s">
        <v>160</v>
      </c>
      <c r="C218" t="s">
        <v>106</v>
      </c>
      <c r="D218" s="1">
        <v>110569</v>
      </c>
      <c r="E218" t="s">
        <v>18</v>
      </c>
      <c r="F218" t="s">
        <v>12</v>
      </c>
      <c r="G218">
        <v>57.5</v>
      </c>
      <c r="H218">
        <v>10</v>
      </c>
      <c r="I218">
        <v>1</v>
      </c>
      <c r="J218">
        <v>1</v>
      </c>
      <c r="K218">
        <v>1</v>
      </c>
    </row>
    <row r="219" spans="1:11" x14ac:dyDescent="0.25">
      <c r="A219" s="2">
        <v>2017</v>
      </c>
      <c r="B219" s="2" t="s">
        <v>160</v>
      </c>
      <c r="C219" t="s">
        <v>106</v>
      </c>
      <c r="D219" s="1">
        <v>110569</v>
      </c>
      <c r="E219" t="s">
        <v>18</v>
      </c>
      <c r="F219" t="s">
        <v>7</v>
      </c>
      <c r="G219">
        <v>67.400000000000006</v>
      </c>
      <c r="H219">
        <v>9</v>
      </c>
      <c r="I219">
        <v>1</v>
      </c>
      <c r="J219">
        <v>1</v>
      </c>
      <c r="K219">
        <v>1</v>
      </c>
    </row>
    <row r="220" spans="1:11" x14ac:dyDescent="0.25">
      <c r="A220" s="2">
        <v>2017</v>
      </c>
      <c r="B220" s="2" t="s">
        <v>160</v>
      </c>
      <c r="C220" t="s">
        <v>106</v>
      </c>
      <c r="D220" s="1">
        <v>110569</v>
      </c>
      <c r="E220" t="s">
        <v>18</v>
      </c>
      <c r="F220" t="s">
        <v>11</v>
      </c>
      <c r="G220">
        <v>75</v>
      </c>
      <c r="H220">
        <v>9</v>
      </c>
      <c r="I220">
        <v>1</v>
      </c>
      <c r="J220">
        <v>1</v>
      </c>
      <c r="K220">
        <v>1</v>
      </c>
    </row>
    <row r="221" spans="1:11" x14ac:dyDescent="0.25">
      <c r="A221" s="2">
        <v>2017</v>
      </c>
      <c r="B221" s="2" t="s">
        <v>160</v>
      </c>
      <c r="C221" t="s">
        <v>106</v>
      </c>
      <c r="D221" s="1">
        <v>110569</v>
      </c>
      <c r="E221" t="s">
        <v>18</v>
      </c>
      <c r="F221" t="s">
        <v>9</v>
      </c>
      <c r="G221">
        <v>63.9</v>
      </c>
      <c r="H221">
        <v>9</v>
      </c>
      <c r="I221">
        <v>1</v>
      </c>
      <c r="J221">
        <v>1</v>
      </c>
      <c r="K221">
        <v>1</v>
      </c>
    </row>
    <row r="222" spans="1:11" x14ac:dyDescent="0.25">
      <c r="A222" s="2">
        <v>2017</v>
      </c>
      <c r="B222" s="2" t="s">
        <v>160</v>
      </c>
      <c r="C222" t="s">
        <v>106</v>
      </c>
      <c r="D222" s="1">
        <v>110569</v>
      </c>
      <c r="E222" t="s">
        <v>18</v>
      </c>
      <c r="F222" t="s">
        <v>8</v>
      </c>
      <c r="G222">
        <v>63.9</v>
      </c>
      <c r="H222">
        <v>9</v>
      </c>
      <c r="I222">
        <v>1</v>
      </c>
      <c r="J222">
        <v>1</v>
      </c>
      <c r="K222">
        <v>1</v>
      </c>
    </row>
    <row r="223" spans="1:11" x14ac:dyDescent="0.25">
      <c r="A223" s="2">
        <v>2017</v>
      </c>
      <c r="B223" s="2" t="s">
        <v>160</v>
      </c>
      <c r="C223" t="s">
        <v>106</v>
      </c>
      <c r="D223" s="1">
        <v>110569</v>
      </c>
      <c r="E223" t="s">
        <v>18</v>
      </c>
      <c r="F223" t="s">
        <v>10</v>
      </c>
      <c r="G223">
        <v>62.5</v>
      </c>
      <c r="H223">
        <v>8</v>
      </c>
      <c r="I223">
        <v>1</v>
      </c>
      <c r="J223">
        <v>1</v>
      </c>
      <c r="K223">
        <v>1</v>
      </c>
    </row>
    <row r="224" spans="1:11" x14ac:dyDescent="0.25">
      <c r="A224" s="2">
        <v>2017</v>
      </c>
      <c r="B224" s="2" t="s">
        <v>160</v>
      </c>
      <c r="C224" t="s">
        <v>106</v>
      </c>
      <c r="D224" s="1">
        <v>117465</v>
      </c>
      <c r="E224" t="s">
        <v>23</v>
      </c>
      <c r="F224" t="s">
        <v>12</v>
      </c>
      <c r="G224">
        <v>50</v>
      </c>
      <c r="H224">
        <v>4</v>
      </c>
      <c r="I224">
        <v>1</v>
      </c>
      <c r="J224">
        <v>1</v>
      </c>
      <c r="K224">
        <v>1</v>
      </c>
    </row>
    <row r="225" spans="1:11" x14ac:dyDescent="0.25">
      <c r="A225" s="2">
        <v>2017</v>
      </c>
      <c r="B225" s="2" t="s">
        <v>160</v>
      </c>
      <c r="C225" t="s">
        <v>106</v>
      </c>
      <c r="D225" s="1">
        <v>117465</v>
      </c>
      <c r="E225" t="s">
        <v>23</v>
      </c>
      <c r="F225" t="s">
        <v>7</v>
      </c>
      <c r="G225">
        <v>100</v>
      </c>
      <c r="H225">
        <v>4</v>
      </c>
      <c r="I225">
        <v>99</v>
      </c>
      <c r="J225">
        <v>99</v>
      </c>
      <c r="K225">
        <v>99</v>
      </c>
    </row>
    <row r="226" spans="1:11" x14ac:dyDescent="0.25">
      <c r="A226" s="2">
        <v>2017</v>
      </c>
      <c r="B226" s="2" t="s">
        <v>160</v>
      </c>
      <c r="C226" t="s">
        <v>106</v>
      </c>
      <c r="D226" s="1">
        <v>117465</v>
      </c>
      <c r="E226" t="s">
        <v>23</v>
      </c>
      <c r="F226" t="s">
        <v>11</v>
      </c>
      <c r="G226">
        <v>100</v>
      </c>
      <c r="H226">
        <v>4</v>
      </c>
      <c r="I226">
        <v>99</v>
      </c>
      <c r="J226">
        <v>99</v>
      </c>
      <c r="K226">
        <v>99</v>
      </c>
    </row>
    <row r="227" spans="1:11" x14ac:dyDescent="0.25">
      <c r="A227" s="2">
        <v>2017</v>
      </c>
      <c r="B227" s="2" t="s">
        <v>160</v>
      </c>
      <c r="C227" t="s">
        <v>106</v>
      </c>
      <c r="D227" s="1">
        <v>117465</v>
      </c>
      <c r="E227" t="s">
        <v>23</v>
      </c>
      <c r="F227" t="s">
        <v>9</v>
      </c>
      <c r="G227">
        <v>100</v>
      </c>
      <c r="H227">
        <v>4</v>
      </c>
      <c r="I227">
        <v>99</v>
      </c>
      <c r="J227">
        <v>99</v>
      </c>
      <c r="K227">
        <v>99</v>
      </c>
    </row>
    <row r="228" spans="1:11" x14ac:dyDescent="0.25">
      <c r="A228" s="2">
        <v>2017</v>
      </c>
      <c r="B228" s="2" t="s">
        <v>160</v>
      </c>
      <c r="C228" t="s">
        <v>106</v>
      </c>
      <c r="D228" s="1">
        <v>117465</v>
      </c>
      <c r="E228" t="s">
        <v>23</v>
      </c>
      <c r="F228" t="s">
        <v>8</v>
      </c>
      <c r="G228">
        <v>100</v>
      </c>
      <c r="H228">
        <v>4</v>
      </c>
      <c r="I228">
        <v>99</v>
      </c>
      <c r="J228">
        <v>99</v>
      </c>
      <c r="K228">
        <v>99</v>
      </c>
    </row>
    <row r="229" spans="1:11" x14ac:dyDescent="0.25">
      <c r="A229" s="2">
        <v>2017</v>
      </c>
      <c r="B229" s="2" t="s">
        <v>160</v>
      </c>
      <c r="C229" t="s">
        <v>106</v>
      </c>
      <c r="D229" s="1">
        <v>117465</v>
      </c>
      <c r="E229" t="s">
        <v>23</v>
      </c>
      <c r="F229" t="s">
        <v>10</v>
      </c>
      <c r="G229">
        <v>100</v>
      </c>
      <c r="H229">
        <v>4</v>
      </c>
      <c r="I229">
        <v>99</v>
      </c>
      <c r="J229">
        <v>99</v>
      </c>
      <c r="K229">
        <v>99</v>
      </c>
    </row>
    <row r="230" spans="1:11" x14ac:dyDescent="0.25">
      <c r="A230" s="2">
        <v>2017</v>
      </c>
      <c r="B230" s="2" t="s">
        <v>160</v>
      </c>
      <c r="C230" t="s">
        <v>106</v>
      </c>
      <c r="D230" s="1">
        <v>121681</v>
      </c>
      <c r="E230" t="s">
        <v>29</v>
      </c>
      <c r="F230" t="s">
        <v>12</v>
      </c>
      <c r="G230">
        <v>75</v>
      </c>
      <c r="H230">
        <v>7</v>
      </c>
      <c r="I230">
        <v>53</v>
      </c>
      <c r="J230">
        <v>27</v>
      </c>
      <c r="K230">
        <v>23</v>
      </c>
    </row>
    <row r="231" spans="1:11" x14ac:dyDescent="0.25">
      <c r="A231" s="2">
        <v>2017</v>
      </c>
      <c r="B231" s="2" t="s">
        <v>160</v>
      </c>
      <c r="C231" t="s">
        <v>106</v>
      </c>
      <c r="D231" s="1">
        <v>121681</v>
      </c>
      <c r="E231" t="s">
        <v>29</v>
      </c>
      <c r="F231" t="s">
        <v>7</v>
      </c>
      <c r="G231">
        <v>70.5</v>
      </c>
      <c r="H231">
        <v>7</v>
      </c>
      <c r="I231">
        <v>1</v>
      </c>
      <c r="J231">
        <v>1</v>
      </c>
      <c r="K231">
        <v>1</v>
      </c>
    </row>
    <row r="232" spans="1:11" x14ac:dyDescent="0.25">
      <c r="A232" s="2">
        <v>2017</v>
      </c>
      <c r="B232" s="2" t="s">
        <v>160</v>
      </c>
      <c r="C232" t="s">
        <v>106</v>
      </c>
      <c r="D232" s="1">
        <v>121681</v>
      </c>
      <c r="E232" t="s">
        <v>29</v>
      </c>
      <c r="F232" t="s">
        <v>11</v>
      </c>
      <c r="G232">
        <v>71.400000000000006</v>
      </c>
      <c r="H232">
        <v>7</v>
      </c>
      <c r="I232">
        <v>1</v>
      </c>
      <c r="J232">
        <v>1</v>
      </c>
      <c r="K232">
        <v>1</v>
      </c>
    </row>
    <row r="233" spans="1:11" x14ac:dyDescent="0.25">
      <c r="A233" s="2">
        <v>2017</v>
      </c>
      <c r="B233" s="2" t="s">
        <v>160</v>
      </c>
      <c r="C233" t="s">
        <v>106</v>
      </c>
      <c r="D233" s="1">
        <v>121681</v>
      </c>
      <c r="E233" t="s">
        <v>29</v>
      </c>
      <c r="F233" t="s">
        <v>9</v>
      </c>
      <c r="G233">
        <v>67.900000000000006</v>
      </c>
      <c r="H233">
        <v>7</v>
      </c>
      <c r="I233">
        <v>1</v>
      </c>
      <c r="J233">
        <v>1</v>
      </c>
      <c r="K233">
        <v>1</v>
      </c>
    </row>
    <row r="234" spans="1:11" x14ac:dyDescent="0.25">
      <c r="A234" s="2">
        <v>2017</v>
      </c>
      <c r="B234" s="2" t="s">
        <v>160</v>
      </c>
      <c r="C234" t="s">
        <v>106</v>
      </c>
      <c r="D234" s="1">
        <v>121681</v>
      </c>
      <c r="E234" t="s">
        <v>29</v>
      </c>
      <c r="F234" t="s">
        <v>8</v>
      </c>
      <c r="G234">
        <v>71.400000000000006</v>
      </c>
      <c r="H234">
        <v>7</v>
      </c>
      <c r="I234">
        <v>1</v>
      </c>
      <c r="J234">
        <v>1</v>
      </c>
      <c r="K234">
        <v>1</v>
      </c>
    </row>
    <row r="235" spans="1:11" x14ac:dyDescent="0.25">
      <c r="A235" s="2">
        <v>2017</v>
      </c>
      <c r="B235" s="2" t="s">
        <v>160</v>
      </c>
      <c r="C235" t="s">
        <v>106</v>
      </c>
      <c r="D235" s="1">
        <v>121681</v>
      </c>
      <c r="E235" t="s">
        <v>29</v>
      </c>
      <c r="F235" t="s">
        <v>10</v>
      </c>
      <c r="G235">
        <v>66.7</v>
      </c>
      <c r="H235">
        <v>6</v>
      </c>
      <c r="I235">
        <v>1</v>
      </c>
      <c r="J235">
        <v>1</v>
      </c>
      <c r="K235">
        <v>1</v>
      </c>
    </row>
    <row r="236" spans="1:11" x14ac:dyDescent="0.25">
      <c r="A236" s="2">
        <v>2017</v>
      </c>
      <c r="B236" s="2" t="s">
        <v>160</v>
      </c>
      <c r="C236" t="s">
        <v>106</v>
      </c>
      <c r="D236" s="1">
        <v>103275</v>
      </c>
      <c r="E236" t="s">
        <v>26</v>
      </c>
      <c r="F236" t="s">
        <v>12</v>
      </c>
      <c r="G236">
        <v>60.7</v>
      </c>
      <c r="H236">
        <v>7</v>
      </c>
      <c r="I236">
        <v>4</v>
      </c>
      <c r="J236">
        <v>2</v>
      </c>
      <c r="K236">
        <v>1</v>
      </c>
    </row>
    <row r="237" spans="1:11" x14ac:dyDescent="0.25">
      <c r="A237" s="2">
        <v>2017</v>
      </c>
      <c r="B237" s="2" t="s">
        <v>160</v>
      </c>
      <c r="C237" t="s">
        <v>106</v>
      </c>
      <c r="D237" s="1">
        <v>103275</v>
      </c>
      <c r="E237" t="s">
        <v>26</v>
      </c>
      <c r="F237" t="s">
        <v>7</v>
      </c>
      <c r="G237">
        <v>79.2</v>
      </c>
      <c r="H237">
        <v>6</v>
      </c>
      <c r="I237">
        <v>12</v>
      </c>
      <c r="J237">
        <v>6</v>
      </c>
      <c r="K237">
        <v>6</v>
      </c>
    </row>
    <row r="238" spans="1:11" x14ac:dyDescent="0.25">
      <c r="A238" s="2">
        <v>2017</v>
      </c>
      <c r="B238" s="2" t="s">
        <v>160</v>
      </c>
      <c r="C238" t="s">
        <v>106</v>
      </c>
      <c r="D238" s="1">
        <v>103275</v>
      </c>
      <c r="E238" t="s">
        <v>26</v>
      </c>
      <c r="F238" t="s">
        <v>11</v>
      </c>
      <c r="G238">
        <v>79.2</v>
      </c>
      <c r="H238">
        <v>6</v>
      </c>
      <c r="I238">
        <v>1</v>
      </c>
      <c r="J238">
        <v>1</v>
      </c>
      <c r="K238">
        <v>2</v>
      </c>
    </row>
    <row r="239" spans="1:11" x14ac:dyDescent="0.25">
      <c r="A239" s="2">
        <v>2017</v>
      </c>
      <c r="B239" s="2" t="s">
        <v>160</v>
      </c>
      <c r="C239" t="s">
        <v>106</v>
      </c>
      <c r="D239" s="1">
        <v>103275</v>
      </c>
      <c r="E239" t="s">
        <v>26</v>
      </c>
      <c r="F239" t="s">
        <v>9</v>
      </c>
      <c r="G239">
        <v>83.3</v>
      </c>
      <c r="H239">
        <v>6</v>
      </c>
      <c r="I239">
        <v>34</v>
      </c>
      <c r="J239">
        <v>25</v>
      </c>
      <c r="K239">
        <v>20</v>
      </c>
    </row>
    <row r="240" spans="1:11" x14ac:dyDescent="0.25">
      <c r="A240" s="2">
        <v>2017</v>
      </c>
      <c r="B240" s="2" t="s">
        <v>160</v>
      </c>
      <c r="C240" t="s">
        <v>106</v>
      </c>
      <c r="D240" s="1">
        <v>103275</v>
      </c>
      <c r="E240" t="s">
        <v>26</v>
      </c>
      <c r="F240" t="s">
        <v>8</v>
      </c>
      <c r="G240">
        <v>79.2</v>
      </c>
      <c r="H240">
        <v>6</v>
      </c>
      <c r="I240">
        <v>18</v>
      </c>
      <c r="J240">
        <v>10</v>
      </c>
      <c r="K240">
        <v>10</v>
      </c>
    </row>
    <row r="241" spans="1:11" x14ac:dyDescent="0.25">
      <c r="A241" s="2">
        <v>2017</v>
      </c>
      <c r="B241" s="2" t="s">
        <v>160</v>
      </c>
      <c r="C241" t="s">
        <v>106</v>
      </c>
      <c r="D241" s="1">
        <v>103275</v>
      </c>
      <c r="E241" t="s">
        <v>26</v>
      </c>
      <c r="F241" t="s">
        <v>10</v>
      </c>
      <c r="G241">
        <v>75</v>
      </c>
      <c r="H241">
        <v>6</v>
      </c>
      <c r="I241">
        <v>4</v>
      </c>
      <c r="J241">
        <v>1</v>
      </c>
      <c r="K241">
        <v>2</v>
      </c>
    </row>
    <row r="242" spans="1:11" x14ac:dyDescent="0.25">
      <c r="A242" s="2">
        <v>2017</v>
      </c>
      <c r="B242" s="2" t="s">
        <v>160</v>
      </c>
      <c r="C242" t="s">
        <v>106</v>
      </c>
      <c r="D242" s="1">
        <v>150441</v>
      </c>
      <c r="E242" t="s">
        <v>30</v>
      </c>
      <c r="F242" t="s">
        <v>12</v>
      </c>
      <c r="G242">
        <v>83.3</v>
      </c>
      <c r="H242">
        <v>9</v>
      </c>
      <c r="I242">
        <v>90</v>
      </c>
      <c r="J242">
        <v>66</v>
      </c>
      <c r="K242">
        <v>66</v>
      </c>
    </row>
    <row r="243" spans="1:11" x14ac:dyDescent="0.25">
      <c r="A243" s="2">
        <v>2017</v>
      </c>
      <c r="B243" s="2" t="s">
        <v>160</v>
      </c>
      <c r="C243" t="s">
        <v>106</v>
      </c>
      <c r="D243" s="1">
        <v>150441</v>
      </c>
      <c r="E243" t="s">
        <v>30</v>
      </c>
      <c r="F243" t="s">
        <v>7</v>
      </c>
      <c r="G243">
        <v>93.8</v>
      </c>
      <c r="H243">
        <v>10</v>
      </c>
      <c r="I243">
        <v>99</v>
      </c>
      <c r="J243">
        <v>99</v>
      </c>
      <c r="K243">
        <v>95</v>
      </c>
    </row>
    <row r="244" spans="1:11" x14ac:dyDescent="0.25">
      <c r="A244" s="2">
        <v>2017</v>
      </c>
      <c r="B244" s="2" t="s">
        <v>160</v>
      </c>
      <c r="C244" t="s">
        <v>106</v>
      </c>
      <c r="D244" s="1">
        <v>150441</v>
      </c>
      <c r="E244" t="s">
        <v>30</v>
      </c>
      <c r="F244" t="s">
        <v>11</v>
      </c>
      <c r="G244">
        <v>92.5</v>
      </c>
      <c r="H244">
        <v>10</v>
      </c>
      <c r="I244">
        <v>99</v>
      </c>
      <c r="J244">
        <v>94</v>
      </c>
      <c r="K244">
        <v>84</v>
      </c>
    </row>
    <row r="245" spans="1:11" x14ac:dyDescent="0.25">
      <c r="A245" s="2">
        <v>2017</v>
      </c>
      <c r="B245" s="2" t="s">
        <v>160</v>
      </c>
      <c r="C245" t="s">
        <v>106</v>
      </c>
      <c r="D245" s="1">
        <v>150441</v>
      </c>
      <c r="E245" t="s">
        <v>30</v>
      </c>
      <c r="F245" t="s">
        <v>9</v>
      </c>
      <c r="G245">
        <v>92.5</v>
      </c>
      <c r="H245">
        <v>10</v>
      </c>
      <c r="I245">
        <v>99</v>
      </c>
      <c r="J245">
        <v>97</v>
      </c>
      <c r="K245">
        <v>92</v>
      </c>
    </row>
    <row r="246" spans="1:11" x14ac:dyDescent="0.25">
      <c r="A246" s="2">
        <v>2017</v>
      </c>
      <c r="B246" s="2" t="s">
        <v>160</v>
      </c>
      <c r="C246" t="s">
        <v>106</v>
      </c>
      <c r="D246" s="1">
        <v>150441</v>
      </c>
      <c r="E246" t="s">
        <v>30</v>
      </c>
      <c r="F246" t="s">
        <v>8</v>
      </c>
      <c r="G246">
        <v>95</v>
      </c>
      <c r="H246">
        <v>10</v>
      </c>
      <c r="I246">
        <v>99</v>
      </c>
      <c r="J246">
        <v>99</v>
      </c>
      <c r="K246">
        <v>98</v>
      </c>
    </row>
    <row r="247" spans="1:11" x14ac:dyDescent="0.25">
      <c r="A247" s="2">
        <v>2017</v>
      </c>
      <c r="B247" s="2" t="s">
        <v>160</v>
      </c>
      <c r="C247" t="s">
        <v>106</v>
      </c>
      <c r="D247" s="1">
        <v>150441</v>
      </c>
      <c r="E247" t="s">
        <v>30</v>
      </c>
      <c r="F247" t="s">
        <v>10</v>
      </c>
      <c r="G247">
        <v>95</v>
      </c>
      <c r="H247">
        <v>10</v>
      </c>
      <c r="I247">
        <v>99</v>
      </c>
      <c r="J247">
        <v>99</v>
      </c>
      <c r="K247">
        <v>98</v>
      </c>
    </row>
    <row r="248" spans="1:11" x14ac:dyDescent="0.25">
      <c r="A248" s="2">
        <v>2017</v>
      </c>
      <c r="B248" s="2" t="s">
        <v>160</v>
      </c>
      <c r="C248" t="s">
        <v>106</v>
      </c>
      <c r="D248" s="1">
        <v>152587</v>
      </c>
      <c r="E248" t="s">
        <v>28</v>
      </c>
      <c r="F248" t="s">
        <v>12</v>
      </c>
      <c r="G248">
        <v>62.5</v>
      </c>
      <c r="H248">
        <v>4</v>
      </c>
      <c r="I248">
        <v>9</v>
      </c>
      <c r="J248">
        <v>3</v>
      </c>
      <c r="K248">
        <v>2</v>
      </c>
    </row>
    <row r="249" spans="1:11" x14ac:dyDescent="0.25">
      <c r="A249" s="2">
        <v>2017</v>
      </c>
      <c r="B249" s="2" t="s">
        <v>160</v>
      </c>
      <c r="C249" t="s">
        <v>106</v>
      </c>
      <c r="D249" s="1">
        <v>152587</v>
      </c>
      <c r="E249" t="s">
        <v>28</v>
      </c>
      <c r="F249" t="s">
        <v>7</v>
      </c>
      <c r="G249">
        <v>36.299999999999997</v>
      </c>
      <c r="H249">
        <v>5</v>
      </c>
      <c r="I249">
        <v>1</v>
      </c>
      <c r="J249">
        <v>1</v>
      </c>
      <c r="K249">
        <v>1</v>
      </c>
    </row>
    <row r="250" spans="1:11" x14ac:dyDescent="0.25">
      <c r="A250" s="2">
        <v>2017</v>
      </c>
      <c r="B250" s="2" t="s">
        <v>160</v>
      </c>
      <c r="C250" t="s">
        <v>106</v>
      </c>
      <c r="D250" s="1">
        <v>152587</v>
      </c>
      <c r="E250" t="s">
        <v>28</v>
      </c>
      <c r="F250" t="s">
        <v>11</v>
      </c>
      <c r="G250">
        <v>50</v>
      </c>
      <c r="H250">
        <v>5</v>
      </c>
      <c r="I250">
        <v>1</v>
      </c>
      <c r="J250">
        <v>1</v>
      </c>
      <c r="K250">
        <v>1</v>
      </c>
    </row>
    <row r="251" spans="1:11" x14ac:dyDescent="0.25">
      <c r="A251" s="2">
        <v>2017</v>
      </c>
      <c r="B251" s="2" t="s">
        <v>160</v>
      </c>
      <c r="C251" t="s">
        <v>106</v>
      </c>
      <c r="D251" s="1">
        <v>152587</v>
      </c>
      <c r="E251" t="s">
        <v>28</v>
      </c>
      <c r="F251" t="s">
        <v>9</v>
      </c>
      <c r="G251">
        <v>35</v>
      </c>
      <c r="H251">
        <v>5</v>
      </c>
      <c r="I251">
        <v>1</v>
      </c>
      <c r="J251">
        <v>1</v>
      </c>
      <c r="K251">
        <v>1</v>
      </c>
    </row>
    <row r="252" spans="1:11" x14ac:dyDescent="0.25">
      <c r="A252" s="2">
        <v>2017</v>
      </c>
      <c r="B252" s="2" t="s">
        <v>160</v>
      </c>
      <c r="C252" t="s">
        <v>106</v>
      </c>
      <c r="D252" s="1">
        <v>152587</v>
      </c>
      <c r="E252" t="s">
        <v>28</v>
      </c>
      <c r="F252" t="s">
        <v>8</v>
      </c>
      <c r="G252">
        <v>30</v>
      </c>
      <c r="H252">
        <v>5</v>
      </c>
      <c r="I252">
        <v>1</v>
      </c>
      <c r="J252">
        <v>1</v>
      </c>
      <c r="K252">
        <v>1</v>
      </c>
    </row>
    <row r="253" spans="1:11" x14ac:dyDescent="0.25">
      <c r="A253" s="2">
        <v>2017</v>
      </c>
      <c r="B253" s="2" t="s">
        <v>160</v>
      </c>
      <c r="C253" t="s">
        <v>106</v>
      </c>
      <c r="D253" s="1">
        <v>152587</v>
      </c>
      <c r="E253" t="s">
        <v>28</v>
      </c>
      <c r="F253" t="s">
        <v>10</v>
      </c>
      <c r="G253">
        <v>30</v>
      </c>
      <c r="H253">
        <v>5</v>
      </c>
      <c r="I253">
        <v>1</v>
      </c>
      <c r="J253">
        <v>1</v>
      </c>
      <c r="K253">
        <v>1</v>
      </c>
    </row>
    <row r="254" spans="1:11" x14ac:dyDescent="0.25">
      <c r="A254" s="2">
        <v>2017</v>
      </c>
      <c r="B254" s="2" t="s">
        <v>160</v>
      </c>
      <c r="C254" t="s">
        <v>106</v>
      </c>
      <c r="D254" s="1">
        <v>117440</v>
      </c>
      <c r="E254" t="s">
        <v>32</v>
      </c>
      <c r="F254" t="s">
        <v>12</v>
      </c>
      <c r="G254">
        <v>75</v>
      </c>
      <c r="H254">
        <v>3</v>
      </c>
      <c r="I254">
        <v>53</v>
      </c>
      <c r="J254">
        <v>27</v>
      </c>
      <c r="K254">
        <v>23</v>
      </c>
    </row>
    <row r="255" spans="1:11" x14ac:dyDescent="0.25">
      <c r="A255" s="2">
        <v>2017</v>
      </c>
      <c r="B255" s="2" t="s">
        <v>160</v>
      </c>
      <c r="C255" t="s">
        <v>106</v>
      </c>
      <c r="D255" s="1">
        <v>117440</v>
      </c>
      <c r="E255" t="s">
        <v>32</v>
      </c>
      <c r="F255" t="s">
        <v>7</v>
      </c>
      <c r="G255">
        <v>100</v>
      </c>
      <c r="H255">
        <v>3</v>
      </c>
      <c r="I255">
        <v>99</v>
      </c>
      <c r="J255">
        <v>99</v>
      </c>
      <c r="K255">
        <v>99</v>
      </c>
    </row>
    <row r="256" spans="1:11" x14ac:dyDescent="0.25">
      <c r="A256" s="2">
        <v>2017</v>
      </c>
      <c r="B256" s="2" t="s">
        <v>160</v>
      </c>
      <c r="C256" t="s">
        <v>106</v>
      </c>
      <c r="D256" s="1">
        <v>117440</v>
      </c>
      <c r="E256" t="s">
        <v>32</v>
      </c>
      <c r="F256" t="s">
        <v>11</v>
      </c>
      <c r="G256">
        <v>100</v>
      </c>
      <c r="H256">
        <v>3</v>
      </c>
      <c r="I256">
        <v>99</v>
      </c>
      <c r="J256">
        <v>99</v>
      </c>
      <c r="K256">
        <v>99</v>
      </c>
    </row>
    <row r="257" spans="1:11" x14ac:dyDescent="0.25">
      <c r="A257" s="2">
        <v>2017</v>
      </c>
      <c r="B257" s="2" t="s">
        <v>160</v>
      </c>
      <c r="C257" t="s">
        <v>106</v>
      </c>
      <c r="D257" s="1">
        <v>117440</v>
      </c>
      <c r="E257" t="s">
        <v>32</v>
      </c>
      <c r="F257" t="s">
        <v>9</v>
      </c>
      <c r="G257">
        <v>100</v>
      </c>
      <c r="H257">
        <v>3</v>
      </c>
      <c r="I257">
        <v>99</v>
      </c>
      <c r="J257">
        <v>99</v>
      </c>
      <c r="K257">
        <v>99</v>
      </c>
    </row>
    <row r="258" spans="1:11" x14ac:dyDescent="0.25">
      <c r="A258" s="2">
        <v>2017</v>
      </c>
      <c r="B258" s="2" t="s">
        <v>160</v>
      </c>
      <c r="C258" t="s">
        <v>106</v>
      </c>
      <c r="D258" s="1">
        <v>117440</v>
      </c>
      <c r="E258" t="s">
        <v>32</v>
      </c>
      <c r="F258" t="s">
        <v>8</v>
      </c>
      <c r="G258">
        <v>100</v>
      </c>
      <c r="H258">
        <v>3</v>
      </c>
      <c r="I258">
        <v>99</v>
      </c>
      <c r="J258">
        <v>99</v>
      </c>
      <c r="K258">
        <v>99</v>
      </c>
    </row>
    <row r="259" spans="1:11" x14ac:dyDescent="0.25">
      <c r="A259" s="2">
        <v>2017</v>
      </c>
      <c r="B259" s="2" t="s">
        <v>160</v>
      </c>
      <c r="C259" t="s">
        <v>106</v>
      </c>
      <c r="D259" s="1">
        <v>117440</v>
      </c>
      <c r="E259" t="s">
        <v>32</v>
      </c>
      <c r="F259" t="s">
        <v>10</v>
      </c>
      <c r="G259">
        <v>100</v>
      </c>
      <c r="H259">
        <v>3</v>
      </c>
      <c r="I259">
        <v>99</v>
      </c>
      <c r="J259">
        <v>99</v>
      </c>
      <c r="K259">
        <v>99</v>
      </c>
    </row>
    <row r="260" spans="1:11" x14ac:dyDescent="0.25">
      <c r="A260" s="2">
        <v>2017</v>
      </c>
      <c r="B260" s="2" t="s">
        <v>160</v>
      </c>
      <c r="C260" t="s">
        <v>106</v>
      </c>
      <c r="D260" s="1">
        <v>153700</v>
      </c>
      <c r="E260" t="s">
        <v>38</v>
      </c>
      <c r="F260" t="s">
        <v>12</v>
      </c>
      <c r="G260">
        <v>64.3</v>
      </c>
      <c r="H260">
        <v>7</v>
      </c>
      <c r="I260">
        <v>12</v>
      </c>
      <c r="J260">
        <v>4</v>
      </c>
      <c r="K260">
        <v>3</v>
      </c>
    </row>
    <row r="261" spans="1:11" x14ac:dyDescent="0.25">
      <c r="A261" s="2">
        <v>2017</v>
      </c>
      <c r="B261" s="2" t="s">
        <v>160</v>
      </c>
      <c r="C261" t="s">
        <v>106</v>
      </c>
      <c r="D261" s="1">
        <v>153700</v>
      </c>
      <c r="E261" t="s">
        <v>38</v>
      </c>
      <c r="F261" t="s">
        <v>7</v>
      </c>
      <c r="G261">
        <v>88.4</v>
      </c>
      <c r="H261">
        <v>7</v>
      </c>
      <c r="I261">
        <v>91</v>
      </c>
      <c r="J261">
        <v>72</v>
      </c>
      <c r="K261">
        <v>67</v>
      </c>
    </row>
    <row r="262" spans="1:11" x14ac:dyDescent="0.25">
      <c r="A262" s="2">
        <v>2017</v>
      </c>
      <c r="B262" s="2" t="s">
        <v>160</v>
      </c>
      <c r="C262" t="s">
        <v>106</v>
      </c>
      <c r="D262" s="1">
        <v>153700</v>
      </c>
      <c r="E262" t="s">
        <v>38</v>
      </c>
      <c r="F262" t="s">
        <v>11</v>
      </c>
      <c r="G262">
        <v>92.9</v>
      </c>
      <c r="H262">
        <v>7</v>
      </c>
      <c r="I262">
        <v>99</v>
      </c>
      <c r="J262">
        <v>95</v>
      </c>
      <c r="K262">
        <v>87</v>
      </c>
    </row>
    <row r="263" spans="1:11" x14ac:dyDescent="0.25">
      <c r="A263" s="2">
        <v>2017</v>
      </c>
      <c r="B263" s="2" t="s">
        <v>160</v>
      </c>
      <c r="C263" t="s">
        <v>106</v>
      </c>
      <c r="D263" s="1">
        <v>153700</v>
      </c>
      <c r="E263" t="s">
        <v>38</v>
      </c>
      <c r="F263" t="s">
        <v>9</v>
      </c>
      <c r="G263">
        <v>85.7</v>
      </c>
      <c r="H263">
        <v>7</v>
      </c>
      <c r="I263">
        <v>53</v>
      </c>
      <c r="J263">
        <v>45</v>
      </c>
      <c r="K263">
        <v>38</v>
      </c>
    </row>
    <row r="264" spans="1:11" x14ac:dyDescent="0.25">
      <c r="A264" s="2">
        <v>2017</v>
      </c>
      <c r="B264" s="2" t="s">
        <v>160</v>
      </c>
      <c r="C264" t="s">
        <v>106</v>
      </c>
      <c r="D264" s="1">
        <v>153700</v>
      </c>
      <c r="E264" t="s">
        <v>38</v>
      </c>
      <c r="F264" t="s">
        <v>8</v>
      </c>
      <c r="G264">
        <v>85.7</v>
      </c>
      <c r="H264">
        <v>7</v>
      </c>
      <c r="I264">
        <v>77</v>
      </c>
      <c r="J264">
        <v>59</v>
      </c>
      <c r="K264">
        <v>54</v>
      </c>
    </row>
    <row r="265" spans="1:11" x14ac:dyDescent="0.25">
      <c r="A265" s="2">
        <v>2017</v>
      </c>
      <c r="B265" s="2" t="s">
        <v>160</v>
      </c>
      <c r="C265" t="s">
        <v>106</v>
      </c>
      <c r="D265" s="1">
        <v>153700</v>
      </c>
      <c r="E265" t="s">
        <v>38</v>
      </c>
      <c r="F265" t="s">
        <v>10</v>
      </c>
      <c r="G265">
        <v>85</v>
      </c>
      <c r="H265">
        <v>5</v>
      </c>
      <c r="I265">
        <v>61</v>
      </c>
      <c r="J265">
        <v>50</v>
      </c>
      <c r="K265">
        <v>45</v>
      </c>
    </row>
    <row r="266" spans="1:11" x14ac:dyDescent="0.25">
      <c r="A266" s="2">
        <v>2017</v>
      </c>
      <c r="B266" s="2" t="s">
        <v>160</v>
      </c>
      <c r="C266" t="s">
        <v>106</v>
      </c>
      <c r="D266" s="1">
        <v>59899</v>
      </c>
      <c r="E266" t="s">
        <v>22</v>
      </c>
      <c r="F266" t="s">
        <v>12</v>
      </c>
      <c r="G266">
        <v>50</v>
      </c>
      <c r="H266">
        <v>3</v>
      </c>
      <c r="I266">
        <v>1</v>
      </c>
      <c r="J266">
        <v>1</v>
      </c>
      <c r="K266">
        <v>1</v>
      </c>
    </row>
    <row r="267" spans="1:11" x14ac:dyDescent="0.25">
      <c r="A267" s="2">
        <v>2017</v>
      </c>
      <c r="B267" s="2" t="s">
        <v>160</v>
      </c>
      <c r="C267" t="s">
        <v>106</v>
      </c>
      <c r="D267" s="1">
        <v>59899</v>
      </c>
      <c r="E267" t="s">
        <v>22</v>
      </c>
      <c r="F267" t="s">
        <v>7</v>
      </c>
      <c r="G267">
        <v>93.8</v>
      </c>
      <c r="H267">
        <v>3</v>
      </c>
      <c r="I267">
        <v>99</v>
      </c>
      <c r="J267">
        <v>99</v>
      </c>
      <c r="K267">
        <v>95</v>
      </c>
    </row>
    <row r="268" spans="1:11" x14ac:dyDescent="0.25">
      <c r="A268" s="2">
        <v>2017</v>
      </c>
      <c r="B268" s="2" t="s">
        <v>160</v>
      </c>
      <c r="C268" t="s">
        <v>106</v>
      </c>
      <c r="D268" s="1">
        <v>59899</v>
      </c>
      <c r="E268" t="s">
        <v>22</v>
      </c>
      <c r="F268" t="s">
        <v>11</v>
      </c>
      <c r="G268">
        <v>100</v>
      </c>
      <c r="H268">
        <v>3</v>
      </c>
      <c r="I268">
        <v>99</v>
      </c>
      <c r="J268">
        <v>99</v>
      </c>
      <c r="K268">
        <v>99</v>
      </c>
    </row>
    <row r="269" spans="1:11" x14ac:dyDescent="0.25">
      <c r="A269" s="2">
        <v>2017</v>
      </c>
      <c r="B269" s="2" t="s">
        <v>160</v>
      </c>
      <c r="C269" t="s">
        <v>106</v>
      </c>
      <c r="D269" s="1">
        <v>59899</v>
      </c>
      <c r="E269" t="s">
        <v>22</v>
      </c>
      <c r="F269" t="s">
        <v>9</v>
      </c>
      <c r="G269">
        <v>91.7</v>
      </c>
      <c r="H269">
        <v>3</v>
      </c>
      <c r="I269">
        <v>99</v>
      </c>
      <c r="J269">
        <v>94</v>
      </c>
      <c r="K269">
        <v>89</v>
      </c>
    </row>
    <row r="270" spans="1:11" x14ac:dyDescent="0.25">
      <c r="A270" s="2">
        <v>2017</v>
      </c>
      <c r="B270" s="2" t="s">
        <v>160</v>
      </c>
      <c r="C270" t="s">
        <v>106</v>
      </c>
      <c r="D270" s="1">
        <v>59899</v>
      </c>
      <c r="E270" t="s">
        <v>22</v>
      </c>
      <c r="F270" t="s">
        <v>8</v>
      </c>
      <c r="G270">
        <v>91.7</v>
      </c>
      <c r="H270">
        <v>3</v>
      </c>
      <c r="I270">
        <v>99</v>
      </c>
      <c r="J270">
        <v>97</v>
      </c>
      <c r="K270">
        <v>92</v>
      </c>
    </row>
    <row r="271" spans="1:11" x14ac:dyDescent="0.25">
      <c r="A271" s="2">
        <v>2017</v>
      </c>
      <c r="B271" s="2" t="s">
        <v>160</v>
      </c>
      <c r="C271" t="s">
        <v>106</v>
      </c>
      <c r="D271" s="1">
        <v>59899</v>
      </c>
      <c r="E271" t="s">
        <v>22</v>
      </c>
      <c r="F271" t="s">
        <v>10</v>
      </c>
      <c r="G271">
        <v>91.7</v>
      </c>
      <c r="H271">
        <v>3</v>
      </c>
      <c r="I271">
        <v>99</v>
      </c>
      <c r="J271">
        <v>96</v>
      </c>
      <c r="K271">
        <v>92</v>
      </c>
    </row>
    <row r="272" spans="1:11" x14ac:dyDescent="0.25">
      <c r="A272" s="2">
        <v>2017</v>
      </c>
      <c r="B272" s="2" t="s">
        <v>160</v>
      </c>
      <c r="C272" t="s">
        <v>106</v>
      </c>
      <c r="D272" s="1">
        <v>99093</v>
      </c>
      <c r="E272" t="s">
        <v>14</v>
      </c>
      <c r="F272" t="s">
        <v>12</v>
      </c>
      <c r="G272">
        <v>83.3</v>
      </c>
      <c r="H272">
        <v>6</v>
      </c>
      <c r="I272">
        <v>90</v>
      </c>
      <c r="J272">
        <v>66</v>
      </c>
      <c r="K272">
        <v>66</v>
      </c>
    </row>
    <row r="273" spans="1:11" x14ac:dyDescent="0.25">
      <c r="A273" s="2">
        <v>2017</v>
      </c>
      <c r="B273" s="2" t="s">
        <v>160</v>
      </c>
      <c r="C273" t="s">
        <v>106</v>
      </c>
      <c r="D273" s="1">
        <v>99093</v>
      </c>
      <c r="E273" t="s">
        <v>14</v>
      </c>
      <c r="F273" t="s">
        <v>7</v>
      </c>
      <c r="G273">
        <v>91.7</v>
      </c>
      <c r="H273">
        <v>6</v>
      </c>
      <c r="I273">
        <v>99</v>
      </c>
      <c r="J273">
        <v>96</v>
      </c>
      <c r="K273">
        <v>89</v>
      </c>
    </row>
    <row r="274" spans="1:11" x14ac:dyDescent="0.25">
      <c r="A274" s="2">
        <v>2017</v>
      </c>
      <c r="B274" s="2" t="s">
        <v>160</v>
      </c>
      <c r="C274" t="s">
        <v>106</v>
      </c>
      <c r="D274" s="1">
        <v>99093</v>
      </c>
      <c r="E274" t="s">
        <v>14</v>
      </c>
      <c r="F274" t="s">
        <v>11</v>
      </c>
      <c r="G274">
        <v>91.7</v>
      </c>
      <c r="H274">
        <v>6</v>
      </c>
      <c r="I274">
        <v>95</v>
      </c>
      <c r="J274">
        <v>81</v>
      </c>
      <c r="K274">
        <v>77</v>
      </c>
    </row>
    <row r="275" spans="1:11" x14ac:dyDescent="0.25">
      <c r="A275" s="2">
        <v>2017</v>
      </c>
      <c r="B275" s="2" t="s">
        <v>160</v>
      </c>
      <c r="C275" t="s">
        <v>106</v>
      </c>
      <c r="D275" s="1">
        <v>99093</v>
      </c>
      <c r="E275" t="s">
        <v>14</v>
      </c>
      <c r="F275" t="s">
        <v>9</v>
      </c>
      <c r="G275">
        <v>91.7</v>
      </c>
      <c r="H275">
        <v>6</v>
      </c>
      <c r="I275">
        <v>99</v>
      </c>
      <c r="J275">
        <v>94</v>
      </c>
      <c r="K275">
        <v>89</v>
      </c>
    </row>
    <row r="276" spans="1:11" x14ac:dyDescent="0.25">
      <c r="A276" s="2">
        <v>2017</v>
      </c>
      <c r="B276" s="2" t="s">
        <v>160</v>
      </c>
      <c r="C276" t="s">
        <v>106</v>
      </c>
      <c r="D276" s="1">
        <v>99093</v>
      </c>
      <c r="E276" t="s">
        <v>14</v>
      </c>
      <c r="F276" t="s">
        <v>8</v>
      </c>
      <c r="G276">
        <v>91.7</v>
      </c>
      <c r="H276">
        <v>6</v>
      </c>
      <c r="I276">
        <v>99</v>
      </c>
      <c r="J276">
        <v>97</v>
      </c>
      <c r="K276">
        <v>92</v>
      </c>
    </row>
    <row r="277" spans="1:11" x14ac:dyDescent="0.25">
      <c r="A277" s="2">
        <v>2017</v>
      </c>
      <c r="B277" s="2" t="s">
        <v>160</v>
      </c>
      <c r="C277" t="s">
        <v>106</v>
      </c>
      <c r="D277" s="1">
        <v>99093</v>
      </c>
      <c r="E277" t="s">
        <v>14</v>
      </c>
      <c r="F277" t="s">
        <v>10</v>
      </c>
      <c r="G277">
        <v>91.7</v>
      </c>
      <c r="H277">
        <v>6</v>
      </c>
      <c r="I277">
        <v>99</v>
      </c>
      <c r="J277">
        <v>96</v>
      </c>
      <c r="K277">
        <v>92</v>
      </c>
    </row>
    <row r="278" spans="1:11" x14ac:dyDescent="0.25">
      <c r="A278" s="2">
        <v>2017</v>
      </c>
      <c r="B278" s="2" t="s">
        <v>160</v>
      </c>
      <c r="C278" t="s">
        <v>106</v>
      </c>
      <c r="D278" s="1">
        <v>70375</v>
      </c>
      <c r="E278" t="s">
        <v>24</v>
      </c>
      <c r="F278" t="s">
        <v>12</v>
      </c>
      <c r="G278">
        <v>72.2</v>
      </c>
      <c r="H278">
        <v>9</v>
      </c>
      <c r="I278">
        <v>36</v>
      </c>
      <c r="J278">
        <v>16</v>
      </c>
      <c r="K278">
        <v>14</v>
      </c>
    </row>
    <row r="279" spans="1:11" x14ac:dyDescent="0.25">
      <c r="A279" s="2">
        <v>2017</v>
      </c>
      <c r="B279" s="2" t="s">
        <v>160</v>
      </c>
      <c r="C279" t="s">
        <v>106</v>
      </c>
      <c r="D279" s="1">
        <v>70375</v>
      </c>
      <c r="E279" t="s">
        <v>24</v>
      </c>
      <c r="F279" t="s">
        <v>7</v>
      </c>
      <c r="G279">
        <v>86.1</v>
      </c>
      <c r="H279">
        <v>9</v>
      </c>
      <c r="I279">
        <v>61</v>
      </c>
      <c r="J279">
        <v>49</v>
      </c>
      <c r="K279">
        <v>45</v>
      </c>
    </row>
    <row r="280" spans="1:11" x14ac:dyDescent="0.25">
      <c r="A280" s="2">
        <v>2017</v>
      </c>
      <c r="B280" s="2" t="s">
        <v>160</v>
      </c>
      <c r="C280" t="s">
        <v>106</v>
      </c>
      <c r="D280" s="1">
        <v>70375</v>
      </c>
      <c r="E280" t="s">
        <v>24</v>
      </c>
      <c r="F280" t="s">
        <v>11</v>
      </c>
      <c r="G280">
        <v>86.1</v>
      </c>
      <c r="H280">
        <v>9</v>
      </c>
      <c r="I280">
        <v>36</v>
      </c>
      <c r="J280">
        <v>20</v>
      </c>
      <c r="K280">
        <v>23</v>
      </c>
    </row>
    <row r="281" spans="1:11" x14ac:dyDescent="0.25">
      <c r="A281" s="2">
        <v>2017</v>
      </c>
      <c r="B281" s="2" t="s">
        <v>160</v>
      </c>
      <c r="C281" t="s">
        <v>106</v>
      </c>
      <c r="D281" s="1">
        <v>70375</v>
      </c>
      <c r="E281" t="s">
        <v>24</v>
      </c>
      <c r="F281" t="s">
        <v>9</v>
      </c>
      <c r="G281">
        <v>86.1</v>
      </c>
      <c r="H281">
        <v>9</v>
      </c>
      <c r="I281">
        <v>58</v>
      </c>
      <c r="J281">
        <v>47</v>
      </c>
      <c r="K281">
        <v>42</v>
      </c>
    </row>
    <row r="282" spans="1:11" x14ac:dyDescent="0.25">
      <c r="A282" s="2">
        <v>2017</v>
      </c>
      <c r="B282" s="2" t="s">
        <v>160</v>
      </c>
      <c r="C282" t="s">
        <v>106</v>
      </c>
      <c r="D282" s="1">
        <v>70375</v>
      </c>
      <c r="E282" t="s">
        <v>24</v>
      </c>
      <c r="F282" t="s">
        <v>8</v>
      </c>
      <c r="G282">
        <v>86.1</v>
      </c>
      <c r="H282">
        <v>9</v>
      </c>
      <c r="I282">
        <v>82</v>
      </c>
      <c r="J282">
        <v>64</v>
      </c>
      <c r="K282">
        <v>58</v>
      </c>
    </row>
    <row r="283" spans="1:11" x14ac:dyDescent="0.25">
      <c r="A283" s="2">
        <v>2017</v>
      </c>
      <c r="B283" s="2" t="s">
        <v>160</v>
      </c>
      <c r="C283" t="s">
        <v>106</v>
      </c>
      <c r="D283" s="1">
        <v>70375</v>
      </c>
      <c r="E283" t="s">
        <v>24</v>
      </c>
      <c r="F283" t="s">
        <v>10</v>
      </c>
      <c r="G283">
        <v>86.1</v>
      </c>
      <c r="H283">
        <v>9</v>
      </c>
      <c r="I283">
        <v>78</v>
      </c>
      <c r="J283">
        <v>64</v>
      </c>
      <c r="K283">
        <v>56</v>
      </c>
    </row>
    <row r="284" spans="1:11" x14ac:dyDescent="0.25">
      <c r="A284" s="2">
        <v>2017</v>
      </c>
      <c r="B284" s="2" t="s">
        <v>160</v>
      </c>
      <c r="C284" t="s">
        <v>106</v>
      </c>
      <c r="D284" s="1">
        <v>70359</v>
      </c>
      <c r="E284" t="s">
        <v>19</v>
      </c>
      <c r="F284" t="s">
        <v>12</v>
      </c>
      <c r="G284">
        <v>18.8</v>
      </c>
      <c r="H284">
        <v>4</v>
      </c>
      <c r="I284">
        <v>1</v>
      </c>
      <c r="J284">
        <v>1</v>
      </c>
      <c r="K284">
        <v>1</v>
      </c>
    </row>
    <row r="285" spans="1:11" x14ac:dyDescent="0.25">
      <c r="A285" s="2">
        <v>2017</v>
      </c>
      <c r="B285" s="2" t="s">
        <v>160</v>
      </c>
      <c r="C285" t="s">
        <v>106</v>
      </c>
      <c r="D285" s="1">
        <v>70359</v>
      </c>
      <c r="E285" t="s">
        <v>19</v>
      </c>
      <c r="F285" t="s">
        <v>7</v>
      </c>
      <c r="G285">
        <v>76.599999999999994</v>
      </c>
      <c r="H285">
        <v>4</v>
      </c>
      <c r="I285">
        <v>4</v>
      </c>
      <c r="J285">
        <v>1</v>
      </c>
      <c r="K285">
        <v>3</v>
      </c>
    </row>
    <row r="286" spans="1:11" x14ac:dyDescent="0.25">
      <c r="A286" s="2">
        <v>2017</v>
      </c>
      <c r="B286" s="2" t="s">
        <v>160</v>
      </c>
      <c r="C286" t="s">
        <v>106</v>
      </c>
      <c r="D286" s="1">
        <v>70359</v>
      </c>
      <c r="E286" t="s">
        <v>19</v>
      </c>
      <c r="F286" t="s">
        <v>11</v>
      </c>
      <c r="G286">
        <v>75</v>
      </c>
      <c r="H286">
        <v>4</v>
      </c>
      <c r="I286">
        <v>1</v>
      </c>
      <c r="J286">
        <v>1</v>
      </c>
      <c r="K286">
        <v>1</v>
      </c>
    </row>
    <row r="287" spans="1:11" x14ac:dyDescent="0.25">
      <c r="A287" s="2">
        <v>2017</v>
      </c>
      <c r="B287" s="2" t="s">
        <v>160</v>
      </c>
      <c r="C287" t="s">
        <v>106</v>
      </c>
      <c r="D287" s="1">
        <v>70359</v>
      </c>
      <c r="E287" t="s">
        <v>19</v>
      </c>
      <c r="F287" t="s">
        <v>9</v>
      </c>
      <c r="G287">
        <v>75</v>
      </c>
      <c r="H287">
        <v>4</v>
      </c>
      <c r="I287">
        <v>1</v>
      </c>
      <c r="J287">
        <v>1</v>
      </c>
      <c r="K287">
        <v>1</v>
      </c>
    </row>
    <row r="288" spans="1:11" x14ac:dyDescent="0.25">
      <c r="A288" s="2">
        <v>2017</v>
      </c>
      <c r="B288" s="2" t="s">
        <v>160</v>
      </c>
      <c r="C288" t="s">
        <v>106</v>
      </c>
      <c r="D288" s="1">
        <v>70359</v>
      </c>
      <c r="E288" t="s">
        <v>19</v>
      </c>
      <c r="F288" t="s">
        <v>8</v>
      </c>
      <c r="G288">
        <v>75</v>
      </c>
      <c r="H288">
        <v>4</v>
      </c>
      <c r="I288">
        <v>5</v>
      </c>
      <c r="J288">
        <v>2</v>
      </c>
      <c r="K288">
        <v>2</v>
      </c>
    </row>
    <row r="289" spans="1:11" x14ac:dyDescent="0.25">
      <c r="A289" s="2">
        <v>2017</v>
      </c>
      <c r="B289" s="2" t="s">
        <v>160</v>
      </c>
      <c r="C289" t="s">
        <v>106</v>
      </c>
      <c r="D289" s="1">
        <v>70359</v>
      </c>
      <c r="E289" t="s">
        <v>19</v>
      </c>
      <c r="F289" t="s">
        <v>10</v>
      </c>
      <c r="G289">
        <v>81.3</v>
      </c>
      <c r="H289">
        <v>4</v>
      </c>
      <c r="I289">
        <v>34</v>
      </c>
      <c r="J289">
        <v>25</v>
      </c>
      <c r="K289">
        <v>18</v>
      </c>
    </row>
    <row r="290" spans="1:11" x14ac:dyDescent="0.25">
      <c r="A290" s="2">
        <v>2017</v>
      </c>
      <c r="B290" s="2" t="s">
        <v>160</v>
      </c>
      <c r="C290" t="s">
        <v>106</v>
      </c>
      <c r="D290" s="1">
        <v>99911</v>
      </c>
      <c r="E290" t="s">
        <v>33</v>
      </c>
      <c r="F290" t="s">
        <v>12</v>
      </c>
      <c r="G290">
        <v>50</v>
      </c>
      <c r="H290">
        <v>5</v>
      </c>
      <c r="I290">
        <v>1</v>
      </c>
      <c r="J290">
        <v>1</v>
      </c>
      <c r="K290">
        <v>1</v>
      </c>
    </row>
    <row r="291" spans="1:11" x14ac:dyDescent="0.25">
      <c r="A291" s="2">
        <v>2017</v>
      </c>
      <c r="B291" s="2" t="s">
        <v>160</v>
      </c>
      <c r="C291" t="s">
        <v>106</v>
      </c>
      <c r="D291" s="1">
        <v>99911</v>
      </c>
      <c r="E291" t="s">
        <v>33</v>
      </c>
      <c r="F291" t="s">
        <v>7</v>
      </c>
      <c r="G291">
        <v>68.8</v>
      </c>
      <c r="H291">
        <v>5</v>
      </c>
      <c r="I291">
        <v>1</v>
      </c>
      <c r="J291">
        <v>1</v>
      </c>
      <c r="K291">
        <v>1</v>
      </c>
    </row>
    <row r="292" spans="1:11" x14ac:dyDescent="0.25">
      <c r="A292" s="2">
        <v>2017</v>
      </c>
      <c r="B292" s="2" t="s">
        <v>160</v>
      </c>
      <c r="C292" t="s">
        <v>106</v>
      </c>
      <c r="D292" s="1">
        <v>99911</v>
      </c>
      <c r="E292" t="s">
        <v>33</v>
      </c>
      <c r="F292" t="s">
        <v>11</v>
      </c>
      <c r="G292">
        <v>68.8</v>
      </c>
      <c r="H292">
        <v>4</v>
      </c>
      <c r="I292">
        <v>1</v>
      </c>
      <c r="J292">
        <v>1</v>
      </c>
      <c r="K292">
        <v>1</v>
      </c>
    </row>
    <row r="293" spans="1:11" x14ac:dyDescent="0.25">
      <c r="A293" s="2">
        <v>2017</v>
      </c>
      <c r="B293" s="2" t="s">
        <v>160</v>
      </c>
      <c r="C293" t="s">
        <v>106</v>
      </c>
      <c r="D293" s="1">
        <v>99911</v>
      </c>
      <c r="E293" t="s">
        <v>33</v>
      </c>
      <c r="F293" t="s">
        <v>9</v>
      </c>
      <c r="G293">
        <v>70</v>
      </c>
      <c r="H293">
        <v>5</v>
      </c>
      <c r="I293">
        <v>1</v>
      </c>
      <c r="J293">
        <v>1</v>
      </c>
      <c r="K293">
        <v>1</v>
      </c>
    </row>
    <row r="294" spans="1:11" x14ac:dyDescent="0.25">
      <c r="A294" s="2">
        <v>2017</v>
      </c>
      <c r="B294" s="2" t="s">
        <v>160</v>
      </c>
      <c r="C294" t="s">
        <v>106</v>
      </c>
      <c r="D294" s="1">
        <v>99911</v>
      </c>
      <c r="E294" t="s">
        <v>33</v>
      </c>
      <c r="F294" t="s">
        <v>8</v>
      </c>
      <c r="G294">
        <v>65</v>
      </c>
      <c r="H294">
        <v>5</v>
      </c>
      <c r="I294">
        <v>1</v>
      </c>
      <c r="J294">
        <v>1</v>
      </c>
      <c r="K294">
        <v>1</v>
      </c>
    </row>
    <row r="295" spans="1:11" x14ac:dyDescent="0.25">
      <c r="A295" s="2">
        <v>2017</v>
      </c>
      <c r="B295" s="2" t="s">
        <v>160</v>
      </c>
      <c r="C295" t="s">
        <v>106</v>
      </c>
      <c r="D295" s="1">
        <v>99911</v>
      </c>
      <c r="E295" t="s">
        <v>33</v>
      </c>
      <c r="F295" t="s">
        <v>10</v>
      </c>
      <c r="G295">
        <v>65</v>
      </c>
      <c r="H295">
        <v>5</v>
      </c>
      <c r="I295">
        <v>1</v>
      </c>
      <c r="J295">
        <v>1</v>
      </c>
      <c r="K295">
        <v>1</v>
      </c>
    </row>
    <row r="296" spans="1:11" x14ac:dyDescent="0.25">
      <c r="A296" s="2">
        <v>2017</v>
      </c>
      <c r="B296" s="2" t="s">
        <v>160</v>
      </c>
      <c r="C296" t="s">
        <v>106</v>
      </c>
      <c r="D296" s="1">
        <v>177162</v>
      </c>
      <c r="E296" t="s">
        <v>13</v>
      </c>
      <c r="F296" t="s">
        <v>12</v>
      </c>
      <c r="G296">
        <v>59.4</v>
      </c>
      <c r="H296">
        <v>16</v>
      </c>
      <c r="I296">
        <v>2</v>
      </c>
      <c r="J296">
        <v>1</v>
      </c>
      <c r="K296">
        <v>1</v>
      </c>
    </row>
    <row r="297" spans="1:11" x14ac:dyDescent="0.25">
      <c r="A297" s="2">
        <v>2017</v>
      </c>
      <c r="B297" s="2" t="s">
        <v>160</v>
      </c>
      <c r="C297" t="s">
        <v>106</v>
      </c>
      <c r="D297" s="1">
        <v>177162</v>
      </c>
      <c r="E297" t="s">
        <v>13</v>
      </c>
      <c r="F297" t="s">
        <v>7</v>
      </c>
      <c r="G297">
        <v>79.3</v>
      </c>
      <c r="H297">
        <v>16</v>
      </c>
      <c r="I297">
        <v>12</v>
      </c>
      <c r="J297">
        <v>6</v>
      </c>
      <c r="K297">
        <v>6</v>
      </c>
    </row>
    <row r="298" spans="1:11" x14ac:dyDescent="0.25">
      <c r="A298" s="2">
        <v>2017</v>
      </c>
      <c r="B298" s="2" t="s">
        <v>160</v>
      </c>
      <c r="C298" t="s">
        <v>106</v>
      </c>
      <c r="D298" s="1">
        <v>177162</v>
      </c>
      <c r="E298" t="s">
        <v>13</v>
      </c>
      <c r="F298" t="s">
        <v>11</v>
      </c>
      <c r="G298">
        <v>79.7</v>
      </c>
      <c r="H298">
        <v>16</v>
      </c>
      <c r="I298">
        <v>1</v>
      </c>
      <c r="J298">
        <v>1</v>
      </c>
      <c r="K298">
        <v>2</v>
      </c>
    </row>
    <row r="299" spans="1:11" x14ac:dyDescent="0.25">
      <c r="A299" s="2">
        <v>2017</v>
      </c>
      <c r="B299" s="2" t="s">
        <v>160</v>
      </c>
      <c r="C299" t="s">
        <v>106</v>
      </c>
      <c r="D299" s="1">
        <v>177162</v>
      </c>
      <c r="E299" t="s">
        <v>13</v>
      </c>
      <c r="F299" t="s">
        <v>9</v>
      </c>
      <c r="G299">
        <v>81.3</v>
      </c>
      <c r="H299">
        <v>16</v>
      </c>
      <c r="I299">
        <v>16</v>
      </c>
      <c r="J299">
        <v>8</v>
      </c>
      <c r="K299">
        <v>10</v>
      </c>
    </row>
    <row r="300" spans="1:11" x14ac:dyDescent="0.25">
      <c r="A300" s="2">
        <v>2017</v>
      </c>
      <c r="B300" s="2" t="s">
        <v>160</v>
      </c>
      <c r="C300" t="s">
        <v>106</v>
      </c>
      <c r="D300" s="1">
        <v>177162</v>
      </c>
      <c r="E300" t="s">
        <v>13</v>
      </c>
      <c r="F300" t="s">
        <v>8</v>
      </c>
      <c r="G300">
        <v>78.099999999999994</v>
      </c>
      <c r="H300">
        <v>16</v>
      </c>
      <c r="I300">
        <v>13</v>
      </c>
      <c r="J300">
        <v>8</v>
      </c>
      <c r="K300">
        <v>7</v>
      </c>
    </row>
    <row r="301" spans="1:11" x14ac:dyDescent="0.25">
      <c r="A301" s="2">
        <v>2017</v>
      </c>
      <c r="B301" s="2" t="s">
        <v>160</v>
      </c>
      <c r="C301" t="s">
        <v>106</v>
      </c>
      <c r="D301" s="1">
        <v>177162</v>
      </c>
      <c r="E301" t="s">
        <v>13</v>
      </c>
      <c r="F301" t="s">
        <v>10</v>
      </c>
      <c r="G301">
        <v>78.3</v>
      </c>
      <c r="H301">
        <v>15</v>
      </c>
      <c r="I301">
        <v>12</v>
      </c>
      <c r="J301">
        <v>8</v>
      </c>
      <c r="K301">
        <v>7</v>
      </c>
    </row>
    <row r="302" spans="1:11" x14ac:dyDescent="0.25">
      <c r="A302" s="2">
        <v>2017</v>
      </c>
      <c r="B302" s="2" t="s">
        <v>160</v>
      </c>
      <c r="C302" t="s">
        <v>106</v>
      </c>
      <c r="D302" s="1">
        <v>60707</v>
      </c>
      <c r="E302" t="s">
        <v>42</v>
      </c>
      <c r="F302" t="s">
        <v>12</v>
      </c>
      <c r="G302">
        <v>25</v>
      </c>
      <c r="H302">
        <v>9</v>
      </c>
      <c r="I302">
        <v>1</v>
      </c>
      <c r="J302">
        <v>1</v>
      </c>
      <c r="K302">
        <v>1</v>
      </c>
    </row>
    <row r="303" spans="1:11" x14ac:dyDescent="0.25">
      <c r="A303" s="2">
        <v>2017</v>
      </c>
      <c r="B303" s="2" t="s">
        <v>160</v>
      </c>
      <c r="C303" t="s">
        <v>106</v>
      </c>
      <c r="D303" s="1">
        <v>60707</v>
      </c>
      <c r="E303" t="s">
        <v>42</v>
      </c>
      <c r="F303" t="s">
        <v>7</v>
      </c>
      <c r="G303">
        <v>42.5</v>
      </c>
      <c r="H303">
        <v>10</v>
      </c>
      <c r="I303">
        <v>1</v>
      </c>
      <c r="J303">
        <v>1</v>
      </c>
      <c r="K303">
        <v>1</v>
      </c>
    </row>
    <row r="304" spans="1:11" x14ac:dyDescent="0.25">
      <c r="A304" s="2">
        <v>2017</v>
      </c>
      <c r="B304" s="2" t="s">
        <v>160</v>
      </c>
      <c r="C304" t="s">
        <v>106</v>
      </c>
      <c r="D304" s="1">
        <v>60707</v>
      </c>
      <c r="E304" t="s">
        <v>42</v>
      </c>
      <c r="F304" t="s">
        <v>11</v>
      </c>
      <c r="G304">
        <v>55</v>
      </c>
      <c r="H304">
        <v>10</v>
      </c>
      <c r="I304">
        <v>1</v>
      </c>
      <c r="J304">
        <v>1</v>
      </c>
      <c r="K304">
        <v>1</v>
      </c>
    </row>
    <row r="305" spans="1:11" x14ac:dyDescent="0.25">
      <c r="A305" s="2">
        <v>2017</v>
      </c>
      <c r="B305" s="2" t="s">
        <v>160</v>
      </c>
      <c r="C305" t="s">
        <v>106</v>
      </c>
      <c r="D305" s="1">
        <v>60707</v>
      </c>
      <c r="E305" t="s">
        <v>42</v>
      </c>
      <c r="F305" t="s">
        <v>9</v>
      </c>
      <c r="G305">
        <v>45</v>
      </c>
      <c r="H305">
        <v>10</v>
      </c>
      <c r="I305">
        <v>1</v>
      </c>
      <c r="J305">
        <v>1</v>
      </c>
      <c r="K305">
        <v>1</v>
      </c>
    </row>
    <row r="306" spans="1:11" x14ac:dyDescent="0.25">
      <c r="A306" s="2">
        <v>2017</v>
      </c>
      <c r="B306" s="2" t="s">
        <v>160</v>
      </c>
      <c r="C306" t="s">
        <v>106</v>
      </c>
      <c r="D306" s="1">
        <v>60707</v>
      </c>
      <c r="E306" t="s">
        <v>42</v>
      </c>
      <c r="F306" t="s">
        <v>8</v>
      </c>
      <c r="G306">
        <v>35</v>
      </c>
      <c r="H306">
        <v>10</v>
      </c>
      <c r="I306">
        <v>1</v>
      </c>
      <c r="J306">
        <v>1</v>
      </c>
      <c r="K306">
        <v>1</v>
      </c>
    </row>
    <row r="307" spans="1:11" x14ac:dyDescent="0.25">
      <c r="A307" s="2">
        <v>2017</v>
      </c>
      <c r="B307" s="2" t="s">
        <v>160</v>
      </c>
      <c r="C307" t="s">
        <v>106</v>
      </c>
      <c r="D307" s="1">
        <v>60707</v>
      </c>
      <c r="E307" t="s">
        <v>42</v>
      </c>
      <c r="F307" t="s">
        <v>10</v>
      </c>
      <c r="G307">
        <v>35</v>
      </c>
      <c r="H307">
        <v>10</v>
      </c>
      <c r="I307">
        <v>1</v>
      </c>
      <c r="J307">
        <v>1</v>
      </c>
      <c r="K307">
        <v>1</v>
      </c>
    </row>
    <row r="308" spans="1:11" x14ac:dyDescent="0.25">
      <c r="A308" s="2">
        <v>2017</v>
      </c>
      <c r="B308" s="2" t="s">
        <v>160</v>
      </c>
      <c r="C308" t="s">
        <v>106</v>
      </c>
      <c r="D308" s="1">
        <v>58222</v>
      </c>
      <c r="E308" t="s">
        <v>16</v>
      </c>
      <c r="F308" t="s">
        <v>12</v>
      </c>
      <c r="G308">
        <v>62.5</v>
      </c>
      <c r="H308">
        <v>4</v>
      </c>
      <c r="I308">
        <v>9</v>
      </c>
      <c r="J308">
        <v>3</v>
      </c>
      <c r="K308">
        <v>2</v>
      </c>
    </row>
    <row r="309" spans="1:11" x14ac:dyDescent="0.25">
      <c r="A309" s="2">
        <v>2017</v>
      </c>
      <c r="B309" s="2" t="s">
        <v>160</v>
      </c>
      <c r="C309" t="s">
        <v>106</v>
      </c>
      <c r="D309" s="1">
        <v>58222</v>
      </c>
      <c r="E309" t="s">
        <v>16</v>
      </c>
      <c r="F309" t="s">
        <v>7</v>
      </c>
      <c r="G309">
        <v>90.6</v>
      </c>
      <c r="H309">
        <v>4</v>
      </c>
      <c r="I309">
        <v>98</v>
      </c>
      <c r="J309">
        <v>93</v>
      </c>
      <c r="K309">
        <v>84</v>
      </c>
    </row>
    <row r="310" spans="1:11" x14ac:dyDescent="0.25">
      <c r="A310" s="2">
        <v>2017</v>
      </c>
      <c r="B310" s="2" t="s">
        <v>160</v>
      </c>
      <c r="C310" t="s">
        <v>106</v>
      </c>
      <c r="D310" s="1">
        <v>58222</v>
      </c>
      <c r="E310" t="s">
        <v>16</v>
      </c>
      <c r="F310" t="s">
        <v>11</v>
      </c>
      <c r="G310">
        <v>100</v>
      </c>
      <c r="H310">
        <v>4</v>
      </c>
      <c r="I310">
        <v>99</v>
      </c>
      <c r="J310">
        <v>99</v>
      </c>
      <c r="K310">
        <v>99</v>
      </c>
    </row>
    <row r="311" spans="1:11" x14ac:dyDescent="0.25">
      <c r="A311" s="2">
        <v>2017</v>
      </c>
      <c r="B311" s="2" t="s">
        <v>160</v>
      </c>
      <c r="C311" t="s">
        <v>106</v>
      </c>
      <c r="D311" s="1">
        <v>58222</v>
      </c>
      <c r="E311" t="s">
        <v>16</v>
      </c>
      <c r="F311" t="s">
        <v>9</v>
      </c>
      <c r="G311">
        <v>100</v>
      </c>
      <c r="H311">
        <v>4</v>
      </c>
      <c r="I311">
        <v>99</v>
      </c>
      <c r="J311">
        <v>99</v>
      </c>
      <c r="K311">
        <v>99</v>
      </c>
    </row>
    <row r="312" spans="1:11" x14ac:dyDescent="0.25">
      <c r="A312" s="2">
        <v>2017</v>
      </c>
      <c r="B312" s="2" t="s">
        <v>160</v>
      </c>
      <c r="C312" t="s">
        <v>106</v>
      </c>
      <c r="D312" s="1">
        <v>58222</v>
      </c>
      <c r="E312" t="s">
        <v>16</v>
      </c>
      <c r="F312" t="s">
        <v>8</v>
      </c>
      <c r="G312">
        <v>81.3</v>
      </c>
      <c r="H312">
        <v>4</v>
      </c>
      <c r="I312">
        <v>34</v>
      </c>
      <c r="J312">
        <v>25</v>
      </c>
      <c r="K312">
        <v>19</v>
      </c>
    </row>
    <row r="313" spans="1:11" x14ac:dyDescent="0.25">
      <c r="A313" s="2">
        <v>2017</v>
      </c>
      <c r="B313" s="2" t="s">
        <v>160</v>
      </c>
      <c r="C313" t="s">
        <v>106</v>
      </c>
      <c r="D313" s="1">
        <v>58222</v>
      </c>
      <c r="E313" t="s">
        <v>16</v>
      </c>
      <c r="F313" t="s">
        <v>10</v>
      </c>
      <c r="G313">
        <v>81.3</v>
      </c>
      <c r="H313">
        <v>4</v>
      </c>
      <c r="I313">
        <v>34</v>
      </c>
      <c r="J313">
        <v>25</v>
      </c>
      <c r="K313">
        <v>18</v>
      </c>
    </row>
    <row r="314" spans="1:11" x14ac:dyDescent="0.25">
      <c r="A314" s="2">
        <v>2017</v>
      </c>
      <c r="B314" s="2" t="s">
        <v>160</v>
      </c>
      <c r="C314" t="s">
        <v>106</v>
      </c>
      <c r="D314" s="1">
        <v>89391</v>
      </c>
      <c r="E314" t="s">
        <v>27</v>
      </c>
      <c r="F314" t="s">
        <v>12</v>
      </c>
      <c r="G314">
        <v>83.3</v>
      </c>
      <c r="H314">
        <v>6</v>
      </c>
      <c r="I314">
        <v>90</v>
      </c>
      <c r="J314">
        <v>66</v>
      </c>
      <c r="K314">
        <v>66</v>
      </c>
    </row>
    <row r="315" spans="1:11" x14ac:dyDescent="0.25">
      <c r="A315" s="2">
        <v>2017</v>
      </c>
      <c r="B315" s="2" t="s">
        <v>160</v>
      </c>
      <c r="C315" t="s">
        <v>106</v>
      </c>
      <c r="D315" s="1">
        <v>89391</v>
      </c>
      <c r="E315" t="s">
        <v>27</v>
      </c>
      <c r="F315" t="s">
        <v>7</v>
      </c>
      <c r="G315">
        <v>100</v>
      </c>
      <c r="H315">
        <v>6</v>
      </c>
      <c r="I315">
        <v>99</v>
      </c>
      <c r="J315">
        <v>99</v>
      </c>
      <c r="K315">
        <v>99</v>
      </c>
    </row>
    <row r="316" spans="1:11" x14ac:dyDescent="0.25">
      <c r="A316" s="2">
        <v>2017</v>
      </c>
      <c r="B316" s="2" t="s">
        <v>160</v>
      </c>
      <c r="C316" t="s">
        <v>106</v>
      </c>
      <c r="D316" s="1">
        <v>89391</v>
      </c>
      <c r="E316" t="s">
        <v>27</v>
      </c>
      <c r="F316" t="s">
        <v>11</v>
      </c>
      <c r="G316">
        <v>100</v>
      </c>
      <c r="H316">
        <v>6</v>
      </c>
      <c r="I316">
        <v>99</v>
      </c>
      <c r="J316">
        <v>99</v>
      </c>
      <c r="K316">
        <v>99</v>
      </c>
    </row>
    <row r="317" spans="1:11" x14ac:dyDescent="0.25">
      <c r="A317" s="2">
        <v>2017</v>
      </c>
      <c r="B317" s="2" t="s">
        <v>160</v>
      </c>
      <c r="C317" t="s">
        <v>106</v>
      </c>
      <c r="D317" s="1">
        <v>89391</v>
      </c>
      <c r="E317" t="s">
        <v>27</v>
      </c>
      <c r="F317" t="s">
        <v>9</v>
      </c>
      <c r="G317">
        <v>100</v>
      </c>
      <c r="H317">
        <v>6</v>
      </c>
      <c r="I317">
        <v>99</v>
      </c>
      <c r="J317">
        <v>99</v>
      </c>
      <c r="K317">
        <v>99</v>
      </c>
    </row>
    <row r="318" spans="1:11" x14ac:dyDescent="0.25">
      <c r="A318" s="2">
        <v>2017</v>
      </c>
      <c r="B318" s="2" t="s">
        <v>160</v>
      </c>
      <c r="C318" t="s">
        <v>106</v>
      </c>
      <c r="D318" s="1">
        <v>89391</v>
      </c>
      <c r="E318" t="s">
        <v>27</v>
      </c>
      <c r="F318" t="s">
        <v>8</v>
      </c>
      <c r="G318">
        <v>100</v>
      </c>
      <c r="H318">
        <v>6</v>
      </c>
      <c r="I318">
        <v>99</v>
      </c>
      <c r="J318">
        <v>99</v>
      </c>
      <c r="K318">
        <v>99</v>
      </c>
    </row>
    <row r="319" spans="1:11" x14ac:dyDescent="0.25">
      <c r="A319" s="2">
        <v>2017</v>
      </c>
      <c r="B319" s="2" t="s">
        <v>160</v>
      </c>
      <c r="C319" t="s">
        <v>106</v>
      </c>
      <c r="D319" s="1">
        <v>89391</v>
      </c>
      <c r="E319" t="s">
        <v>27</v>
      </c>
      <c r="F319" t="s">
        <v>10</v>
      </c>
      <c r="G319">
        <v>100</v>
      </c>
      <c r="H319">
        <v>6</v>
      </c>
      <c r="I319">
        <v>99</v>
      </c>
      <c r="J319">
        <v>99</v>
      </c>
      <c r="K319">
        <v>99</v>
      </c>
    </row>
    <row r="320" spans="1:11" x14ac:dyDescent="0.25">
      <c r="A320" s="2">
        <v>2017</v>
      </c>
      <c r="B320" s="2" t="s">
        <v>160</v>
      </c>
      <c r="C320" t="s">
        <v>106</v>
      </c>
      <c r="D320" s="1">
        <v>36541</v>
      </c>
      <c r="E320" t="s">
        <v>21</v>
      </c>
      <c r="F320" t="s">
        <v>12</v>
      </c>
      <c r="G320">
        <v>68.8</v>
      </c>
      <c r="H320">
        <v>4</v>
      </c>
      <c r="I320">
        <v>22</v>
      </c>
      <c r="J320">
        <v>8</v>
      </c>
      <c r="K320">
        <v>7</v>
      </c>
    </row>
    <row r="321" spans="1:11" x14ac:dyDescent="0.25">
      <c r="A321" s="2">
        <v>2017</v>
      </c>
      <c r="B321" s="2" t="s">
        <v>160</v>
      </c>
      <c r="C321" t="s">
        <v>106</v>
      </c>
      <c r="D321" s="1">
        <v>36541</v>
      </c>
      <c r="E321" t="s">
        <v>21</v>
      </c>
      <c r="F321" t="s">
        <v>7</v>
      </c>
      <c r="G321">
        <v>81.3</v>
      </c>
      <c r="H321">
        <v>4</v>
      </c>
      <c r="I321">
        <v>18</v>
      </c>
      <c r="J321">
        <v>8</v>
      </c>
      <c r="K321">
        <v>11</v>
      </c>
    </row>
    <row r="322" spans="1:11" x14ac:dyDescent="0.25">
      <c r="A322" s="2">
        <v>2017</v>
      </c>
      <c r="B322" s="2" t="s">
        <v>160</v>
      </c>
      <c r="C322" t="s">
        <v>106</v>
      </c>
      <c r="D322" s="1">
        <v>36541</v>
      </c>
      <c r="E322" t="s">
        <v>21</v>
      </c>
      <c r="F322" t="s">
        <v>11</v>
      </c>
      <c r="G322">
        <v>87.5</v>
      </c>
      <c r="H322">
        <v>4</v>
      </c>
      <c r="I322">
        <v>47</v>
      </c>
      <c r="J322">
        <v>42</v>
      </c>
      <c r="K322">
        <v>35</v>
      </c>
    </row>
    <row r="323" spans="1:11" x14ac:dyDescent="0.25">
      <c r="A323" s="2">
        <v>2017</v>
      </c>
      <c r="B323" s="2" t="s">
        <v>160</v>
      </c>
      <c r="C323" t="s">
        <v>106</v>
      </c>
      <c r="D323" s="1">
        <v>36541</v>
      </c>
      <c r="E323" t="s">
        <v>21</v>
      </c>
      <c r="F323" t="s">
        <v>9</v>
      </c>
      <c r="G323">
        <v>81.3</v>
      </c>
      <c r="H323">
        <v>4</v>
      </c>
      <c r="I323">
        <v>16</v>
      </c>
      <c r="J323">
        <v>8</v>
      </c>
      <c r="K323">
        <v>10</v>
      </c>
    </row>
    <row r="324" spans="1:11" x14ac:dyDescent="0.25">
      <c r="A324" s="2">
        <v>2017</v>
      </c>
      <c r="B324" s="2" t="s">
        <v>160</v>
      </c>
      <c r="C324" t="s">
        <v>106</v>
      </c>
      <c r="D324" s="1">
        <v>36541</v>
      </c>
      <c r="E324" t="s">
        <v>21</v>
      </c>
      <c r="F324" t="s">
        <v>8</v>
      </c>
      <c r="G324">
        <v>81.3</v>
      </c>
      <c r="H324">
        <v>4</v>
      </c>
      <c r="I324">
        <v>34</v>
      </c>
      <c r="J324">
        <v>25</v>
      </c>
      <c r="K324">
        <v>19</v>
      </c>
    </row>
    <row r="325" spans="1:11" x14ac:dyDescent="0.25">
      <c r="A325" s="2">
        <v>2017</v>
      </c>
      <c r="B325" s="2" t="s">
        <v>160</v>
      </c>
      <c r="C325" t="s">
        <v>106</v>
      </c>
      <c r="D325" s="1">
        <v>36541</v>
      </c>
      <c r="E325" t="s">
        <v>21</v>
      </c>
      <c r="F325" t="s">
        <v>10</v>
      </c>
      <c r="G325">
        <v>75</v>
      </c>
      <c r="H325">
        <v>4</v>
      </c>
      <c r="I325">
        <v>4</v>
      </c>
      <c r="J325">
        <v>1</v>
      </c>
      <c r="K325">
        <v>2</v>
      </c>
    </row>
    <row r="326" spans="1:11" x14ac:dyDescent="0.25">
      <c r="A326" s="2">
        <v>2017</v>
      </c>
      <c r="B326" s="2" t="s">
        <v>160</v>
      </c>
      <c r="C326" t="s">
        <v>106</v>
      </c>
      <c r="D326" s="1">
        <v>91405</v>
      </c>
      <c r="E326" t="s">
        <v>39</v>
      </c>
      <c r="F326" t="s">
        <v>12</v>
      </c>
      <c r="G326">
        <v>60</v>
      </c>
      <c r="H326">
        <v>10</v>
      </c>
      <c r="I326">
        <v>4</v>
      </c>
      <c r="J326">
        <v>1</v>
      </c>
      <c r="K326">
        <v>1</v>
      </c>
    </row>
    <row r="327" spans="1:11" x14ac:dyDescent="0.25">
      <c r="A327" s="2">
        <v>2017</v>
      </c>
      <c r="B327" s="2" t="s">
        <v>160</v>
      </c>
      <c r="C327" t="s">
        <v>106</v>
      </c>
      <c r="D327" s="1">
        <v>91405</v>
      </c>
      <c r="E327" t="s">
        <v>39</v>
      </c>
      <c r="F327" t="s">
        <v>7</v>
      </c>
      <c r="G327">
        <v>71.3</v>
      </c>
      <c r="H327">
        <v>10</v>
      </c>
      <c r="I327">
        <v>1</v>
      </c>
      <c r="J327">
        <v>1</v>
      </c>
      <c r="K327">
        <v>1</v>
      </c>
    </row>
    <row r="328" spans="1:11" x14ac:dyDescent="0.25">
      <c r="A328" s="2">
        <v>2017</v>
      </c>
      <c r="B328" s="2" t="s">
        <v>160</v>
      </c>
      <c r="C328" t="s">
        <v>106</v>
      </c>
      <c r="D328" s="1">
        <v>91405</v>
      </c>
      <c r="E328" t="s">
        <v>39</v>
      </c>
      <c r="F328" t="s">
        <v>11</v>
      </c>
      <c r="G328">
        <v>77.5</v>
      </c>
      <c r="H328">
        <v>10</v>
      </c>
      <c r="I328">
        <v>1</v>
      </c>
      <c r="J328">
        <v>1</v>
      </c>
      <c r="K328">
        <v>1</v>
      </c>
    </row>
    <row r="329" spans="1:11" x14ac:dyDescent="0.25">
      <c r="A329" s="2">
        <v>2017</v>
      </c>
      <c r="B329" s="2" t="s">
        <v>160</v>
      </c>
      <c r="C329" t="s">
        <v>106</v>
      </c>
      <c r="D329" s="1">
        <v>91405</v>
      </c>
      <c r="E329" t="s">
        <v>39</v>
      </c>
      <c r="F329" t="s">
        <v>9</v>
      </c>
      <c r="G329">
        <v>70</v>
      </c>
      <c r="H329">
        <v>10</v>
      </c>
      <c r="I329">
        <v>1</v>
      </c>
      <c r="J329">
        <v>1</v>
      </c>
      <c r="K329">
        <v>1</v>
      </c>
    </row>
    <row r="330" spans="1:11" x14ac:dyDescent="0.25">
      <c r="A330" s="2">
        <v>2017</v>
      </c>
      <c r="B330" s="2" t="s">
        <v>160</v>
      </c>
      <c r="C330" t="s">
        <v>106</v>
      </c>
      <c r="D330" s="1">
        <v>91405</v>
      </c>
      <c r="E330" t="s">
        <v>39</v>
      </c>
      <c r="F330" t="s">
        <v>8</v>
      </c>
      <c r="G330">
        <v>70</v>
      </c>
      <c r="H330">
        <v>10</v>
      </c>
      <c r="I330">
        <v>1</v>
      </c>
      <c r="J330">
        <v>1</v>
      </c>
      <c r="K330">
        <v>1</v>
      </c>
    </row>
    <row r="331" spans="1:11" x14ac:dyDescent="0.25">
      <c r="A331" s="2">
        <v>2017</v>
      </c>
      <c r="B331" s="2" t="s">
        <v>160</v>
      </c>
      <c r="C331" t="s">
        <v>106</v>
      </c>
      <c r="D331" s="1">
        <v>91405</v>
      </c>
      <c r="E331" t="s">
        <v>39</v>
      </c>
      <c r="F331" t="s">
        <v>10</v>
      </c>
      <c r="G331">
        <v>67.5</v>
      </c>
      <c r="H331">
        <v>10</v>
      </c>
      <c r="I331">
        <v>1</v>
      </c>
      <c r="J331">
        <v>1</v>
      </c>
      <c r="K331">
        <v>1</v>
      </c>
    </row>
    <row r="332" spans="1:11" x14ac:dyDescent="0.25">
      <c r="A332" s="2">
        <v>2017</v>
      </c>
      <c r="B332" s="2" t="s">
        <v>160</v>
      </c>
      <c r="C332" t="s">
        <v>106</v>
      </c>
      <c r="D332" s="1">
        <v>58321</v>
      </c>
      <c r="E332" t="s">
        <v>40</v>
      </c>
      <c r="F332" t="s">
        <v>12</v>
      </c>
      <c r="G332">
        <v>62.5</v>
      </c>
      <c r="H332">
        <v>2</v>
      </c>
      <c r="I332">
        <v>9</v>
      </c>
      <c r="J332">
        <v>3</v>
      </c>
      <c r="K332">
        <v>2</v>
      </c>
    </row>
    <row r="333" spans="1:11" x14ac:dyDescent="0.25">
      <c r="A333" s="2">
        <v>2017</v>
      </c>
      <c r="B333" s="2" t="s">
        <v>160</v>
      </c>
      <c r="C333" t="s">
        <v>106</v>
      </c>
      <c r="D333" s="1">
        <v>58321</v>
      </c>
      <c r="E333" t="s">
        <v>40</v>
      </c>
      <c r="F333" t="s">
        <v>7</v>
      </c>
      <c r="G333">
        <v>78.099999999999994</v>
      </c>
      <c r="H333">
        <v>2</v>
      </c>
      <c r="I333">
        <v>9</v>
      </c>
      <c r="J333">
        <v>4</v>
      </c>
      <c r="K333">
        <v>4</v>
      </c>
    </row>
    <row r="334" spans="1:11" x14ac:dyDescent="0.25">
      <c r="A334" s="2">
        <v>2017</v>
      </c>
      <c r="B334" s="2" t="s">
        <v>160</v>
      </c>
      <c r="C334" t="s">
        <v>106</v>
      </c>
      <c r="D334" s="1">
        <v>58321</v>
      </c>
      <c r="E334" t="s">
        <v>40</v>
      </c>
      <c r="F334" t="s">
        <v>11</v>
      </c>
      <c r="G334">
        <v>87.5</v>
      </c>
      <c r="H334">
        <v>2</v>
      </c>
      <c r="I334">
        <v>47</v>
      </c>
      <c r="J334">
        <v>42</v>
      </c>
      <c r="K334">
        <v>35</v>
      </c>
    </row>
    <row r="335" spans="1:11" x14ac:dyDescent="0.25">
      <c r="A335" s="2">
        <v>2017</v>
      </c>
      <c r="B335" s="2" t="s">
        <v>160</v>
      </c>
      <c r="C335" t="s">
        <v>106</v>
      </c>
      <c r="D335" s="1">
        <v>58321</v>
      </c>
      <c r="E335" t="s">
        <v>40</v>
      </c>
      <c r="F335" t="s">
        <v>9</v>
      </c>
      <c r="G335">
        <v>62.5</v>
      </c>
      <c r="H335">
        <v>2</v>
      </c>
      <c r="I335">
        <v>1</v>
      </c>
      <c r="J335">
        <v>1</v>
      </c>
      <c r="K335">
        <v>1</v>
      </c>
    </row>
    <row r="336" spans="1:11" x14ac:dyDescent="0.25">
      <c r="A336" s="2">
        <v>2017</v>
      </c>
      <c r="B336" s="2" t="s">
        <v>160</v>
      </c>
      <c r="C336" t="s">
        <v>106</v>
      </c>
      <c r="D336" s="1">
        <v>58321</v>
      </c>
      <c r="E336" t="s">
        <v>40</v>
      </c>
      <c r="F336" t="s">
        <v>8</v>
      </c>
      <c r="G336">
        <v>62.5</v>
      </c>
      <c r="H336">
        <v>2</v>
      </c>
      <c r="I336">
        <v>1</v>
      </c>
      <c r="J336">
        <v>1</v>
      </c>
      <c r="K336">
        <v>1</v>
      </c>
    </row>
    <row r="337" spans="1:11" x14ac:dyDescent="0.25">
      <c r="A337" s="2">
        <v>2017</v>
      </c>
      <c r="B337" s="2" t="s">
        <v>160</v>
      </c>
      <c r="C337" t="s">
        <v>106</v>
      </c>
      <c r="D337" s="1">
        <v>58321</v>
      </c>
      <c r="E337" t="s">
        <v>40</v>
      </c>
      <c r="F337" t="s">
        <v>10</v>
      </c>
      <c r="G337">
        <v>100</v>
      </c>
      <c r="H337">
        <v>2</v>
      </c>
      <c r="I337">
        <v>99</v>
      </c>
      <c r="J337">
        <v>99</v>
      </c>
      <c r="K337">
        <v>99</v>
      </c>
    </row>
    <row r="338" spans="1:11" x14ac:dyDescent="0.25">
      <c r="A338" s="2">
        <v>2017</v>
      </c>
      <c r="B338" s="2" t="s">
        <v>160</v>
      </c>
      <c r="C338" t="s">
        <v>106</v>
      </c>
      <c r="D338" s="1">
        <v>23994</v>
      </c>
      <c r="E338" t="s">
        <v>31</v>
      </c>
      <c r="F338" t="s">
        <v>12</v>
      </c>
      <c r="G338">
        <v>37.5</v>
      </c>
      <c r="H338">
        <v>6</v>
      </c>
      <c r="I338">
        <v>1</v>
      </c>
      <c r="J338">
        <v>1</v>
      </c>
      <c r="K338">
        <v>1</v>
      </c>
    </row>
    <row r="339" spans="1:11" x14ac:dyDescent="0.25">
      <c r="A339" s="2">
        <v>2017</v>
      </c>
      <c r="B339" s="2" t="s">
        <v>160</v>
      </c>
      <c r="C339" t="s">
        <v>106</v>
      </c>
      <c r="D339" s="1">
        <v>23994</v>
      </c>
      <c r="E339" t="s">
        <v>31</v>
      </c>
      <c r="F339" t="s">
        <v>7</v>
      </c>
      <c r="G339">
        <v>63.5</v>
      </c>
      <c r="H339">
        <v>6</v>
      </c>
      <c r="I339">
        <v>1</v>
      </c>
      <c r="J339">
        <v>1</v>
      </c>
      <c r="K339">
        <v>1</v>
      </c>
    </row>
    <row r="340" spans="1:11" x14ac:dyDescent="0.25">
      <c r="A340" s="2">
        <v>2017</v>
      </c>
      <c r="B340" s="2" t="s">
        <v>160</v>
      </c>
      <c r="C340" t="s">
        <v>106</v>
      </c>
      <c r="D340" s="1">
        <v>23994</v>
      </c>
      <c r="E340" t="s">
        <v>31</v>
      </c>
      <c r="F340" t="s">
        <v>11</v>
      </c>
      <c r="G340">
        <v>75</v>
      </c>
      <c r="H340">
        <v>6</v>
      </c>
      <c r="I340">
        <v>1</v>
      </c>
      <c r="J340">
        <v>1</v>
      </c>
      <c r="K340">
        <v>1</v>
      </c>
    </row>
    <row r="341" spans="1:11" x14ac:dyDescent="0.25">
      <c r="A341" s="2">
        <v>2017</v>
      </c>
      <c r="B341" s="2" t="s">
        <v>160</v>
      </c>
      <c r="C341" t="s">
        <v>106</v>
      </c>
      <c r="D341" s="1">
        <v>23994</v>
      </c>
      <c r="E341" t="s">
        <v>31</v>
      </c>
      <c r="F341" t="s">
        <v>9</v>
      </c>
      <c r="G341">
        <v>70.8</v>
      </c>
      <c r="H341">
        <v>6</v>
      </c>
      <c r="I341">
        <v>1</v>
      </c>
      <c r="J341">
        <v>1</v>
      </c>
      <c r="K341">
        <v>1</v>
      </c>
    </row>
    <row r="342" spans="1:11" x14ac:dyDescent="0.25">
      <c r="A342" s="2">
        <v>2017</v>
      </c>
      <c r="B342" s="2" t="s">
        <v>160</v>
      </c>
      <c r="C342" t="s">
        <v>106</v>
      </c>
      <c r="D342" s="1">
        <v>23994</v>
      </c>
      <c r="E342" t="s">
        <v>31</v>
      </c>
      <c r="F342" t="s">
        <v>8</v>
      </c>
      <c r="G342">
        <v>54.2</v>
      </c>
      <c r="H342">
        <v>6</v>
      </c>
      <c r="I342">
        <v>1</v>
      </c>
      <c r="J342">
        <v>1</v>
      </c>
      <c r="K342">
        <v>1</v>
      </c>
    </row>
    <row r="343" spans="1:11" x14ac:dyDescent="0.25">
      <c r="A343" s="2">
        <v>2017</v>
      </c>
      <c r="B343" s="2" t="s">
        <v>160</v>
      </c>
      <c r="C343" t="s">
        <v>106</v>
      </c>
      <c r="D343" s="1">
        <v>23994</v>
      </c>
      <c r="E343" t="s">
        <v>31</v>
      </c>
      <c r="F343" t="s">
        <v>10</v>
      </c>
      <c r="G343">
        <v>54.2</v>
      </c>
      <c r="H343">
        <v>6</v>
      </c>
      <c r="I343">
        <v>1</v>
      </c>
      <c r="J343">
        <v>1</v>
      </c>
      <c r="K343">
        <v>1</v>
      </c>
    </row>
    <row r="344" spans="1:11" x14ac:dyDescent="0.25">
      <c r="A344" s="2">
        <v>2017</v>
      </c>
      <c r="B344" s="2" t="s">
        <v>160</v>
      </c>
      <c r="C344" t="s">
        <v>106</v>
      </c>
      <c r="D344" s="1">
        <v>22673</v>
      </c>
      <c r="E344" t="s">
        <v>17</v>
      </c>
      <c r="F344" t="s">
        <v>12</v>
      </c>
      <c r="G344">
        <v>81.3</v>
      </c>
      <c r="H344">
        <v>4</v>
      </c>
      <c r="I344">
        <v>82</v>
      </c>
      <c r="J344">
        <v>55</v>
      </c>
      <c r="K344">
        <v>55</v>
      </c>
    </row>
    <row r="345" spans="1:11" x14ac:dyDescent="0.25">
      <c r="A345" s="2">
        <v>2017</v>
      </c>
      <c r="B345" s="2" t="s">
        <v>160</v>
      </c>
      <c r="C345" t="s">
        <v>106</v>
      </c>
      <c r="D345" s="1">
        <v>22673</v>
      </c>
      <c r="E345" t="s">
        <v>17</v>
      </c>
      <c r="F345" t="s">
        <v>7</v>
      </c>
      <c r="G345">
        <v>87.5</v>
      </c>
      <c r="H345">
        <v>3</v>
      </c>
      <c r="I345">
        <v>82</v>
      </c>
      <c r="J345">
        <v>66</v>
      </c>
      <c r="K345">
        <v>59</v>
      </c>
    </row>
    <row r="346" spans="1:11" x14ac:dyDescent="0.25">
      <c r="A346" s="2">
        <v>2017</v>
      </c>
      <c r="B346" s="2" t="s">
        <v>160</v>
      </c>
      <c r="C346" t="s">
        <v>106</v>
      </c>
      <c r="D346" s="1">
        <v>22673</v>
      </c>
      <c r="E346" t="s">
        <v>17</v>
      </c>
      <c r="F346" t="s">
        <v>11</v>
      </c>
      <c r="G346">
        <v>91.7</v>
      </c>
      <c r="H346">
        <v>3</v>
      </c>
      <c r="I346">
        <v>95</v>
      </c>
      <c r="J346">
        <v>81</v>
      </c>
      <c r="K346">
        <v>77</v>
      </c>
    </row>
    <row r="347" spans="1:11" x14ac:dyDescent="0.25">
      <c r="A347" s="2">
        <v>2017</v>
      </c>
      <c r="B347" s="2" t="s">
        <v>160</v>
      </c>
      <c r="C347" t="s">
        <v>106</v>
      </c>
      <c r="D347" s="1">
        <v>22673</v>
      </c>
      <c r="E347" t="s">
        <v>17</v>
      </c>
      <c r="F347" t="s">
        <v>9</v>
      </c>
      <c r="G347">
        <v>83.3</v>
      </c>
      <c r="H347">
        <v>3</v>
      </c>
      <c r="I347">
        <v>34</v>
      </c>
      <c r="J347">
        <v>25</v>
      </c>
      <c r="K347">
        <v>20</v>
      </c>
    </row>
    <row r="348" spans="1:11" x14ac:dyDescent="0.25">
      <c r="A348" s="2">
        <v>2017</v>
      </c>
      <c r="B348" s="2" t="s">
        <v>160</v>
      </c>
      <c r="C348" t="s">
        <v>106</v>
      </c>
      <c r="D348" s="1">
        <v>22673</v>
      </c>
      <c r="E348" t="s">
        <v>17</v>
      </c>
      <c r="F348" t="s">
        <v>8</v>
      </c>
      <c r="G348">
        <v>83.3</v>
      </c>
      <c r="H348">
        <v>3</v>
      </c>
      <c r="I348">
        <v>49</v>
      </c>
      <c r="J348">
        <v>41</v>
      </c>
      <c r="K348">
        <v>32</v>
      </c>
    </row>
    <row r="349" spans="1:11" x14ac:dyDescent="0.25">
      <c r="A349" s="2">
        <v>2017</v>
      </c>
      <c r="B349" s="2" t="s">
        <v>160</v>
      </c>
      <c r="C349" t="s">
        <v>106</v>
      </c>
      <c r="D349" s="1">
        <v>22673</v>
      </c>
      <c r="E349" t="s">
        <v>17</v>
      </c>
      <c r="F349" t="s">
        <v>10</v>
      </c>
      <c r="G349">
        <v>91.7</v>
      </c>
      <c r="H349">
        <v>3</v>
      </c>
      <c r="I349">
        <v>99</v>
      </c>
      <c r="J349">
        <v>96</v>
      </c>
      <c r="K349">
        <v>92</v>
      </c>
    </row>
    <row r="350" spans="1:11" x14ac:dyDescent="0.25">
      <c r="A350" s="2">
        <v>2017</v>
      </c>
      <c r="B350" s="2" t="s">
        <v>160</v>
      </c>
      <c r="C350" t="s">
        <v>106</v>
      </c>
      <c r="D350" s="1">
        <v>91397</v>
      </c>
      <c r="E350" t="s">
        <v>41</v>
      </c>
      <c r="F350" t="s">
        <v>12</v>
      </c>
      <c r="G350">
        <v>55</v>
      </c>
      <c r="H350">
        <v>5</v>
      </c>
      <c r="I350">
        <v>1</v>
      </c>
      <c r="J350">
        <v>1</v>
      </c>
      <c r="K350">
        <v>1</v>
      </c>
    </row>
    <row r="351" spans="1:11" x14ac:dyDescent="0.25">
      <c r="A351" s="2">
        <v>2017</v>
      </c>
      <c r="B351" s="2" t="s">
        <v>160</v>
      </c>
      <c r="C351" t="s">
        <v>106</v>
      </c>
      <c r="D351" s="1">
        <v>91397</v>
      </c>
      <c r="E351" t="s">
        <v>41</v>
      </c>
      <c r="F351" t="s">
        <v>7</v>
      </c>
      <c r="G351">
        <v>67.5</v>
      </c>
      <c r="H351">
        <v>5</v>
      </c>
      <c r="I351">
        <v>1</v>
      </c>
      <c r="J351">
        <v>1</v>
      </c>
      <c r="K351">
        <v>1</v>
      </c>
    </row>
    <row r="352" spans="1:11" x14ac:dyDescent="0.25">
      <c r="A352" s="2">
        <v>2017</v>
      </c>
      <c r="B352" s="2" t="s">
        <v>160</v>
      </c>
      <c r="C352" t="s">
        <v>106</v>
      </c>
      <c r="D352" s="1">
        <v>91397</v>
      </c>
      <c r="E352" t="s">
        <v>41</v>
      </c>
      <c r="F352" t="s">
        <v>11</v>
      </c>
      <c r="G352">
        <v>65</v>
      </c>
      <c r="H352">
        <v>5</v>
      </c>
      <c r="I352">
        <v>1</v>
      </c>
      <c r="J352">
        <v>1</v>
      </c>
      <c r="K352">
        <v>1</v>
      </c>
    </row>
    <row r="353" spans="1:11" x14ac:dyDescent="0.25">
      <c r="A353" s="2">
        <v>2017</v>
      </c>
      <c r="B353" s="2" t="s">
        <v>160</v>
      </c>
      <c r="C353" t="s">
        <v>106</v>
      </c>
      <c r="D353" s="1">
        <v>91397</v>
      </c>
      <c r="E353" t="s">
        <v>41</v>
      </c>
      <c r="F353" t="s">
        <v>9</v>
      </c>
      <c r="G353">
        <v>65</v>
      </c>
      <c r="H353">
        <v>5</v>
      </c>
      <c r="I353">
        <v>1</v>
      </c>
      <c r="J353">
        <v>1</v>
      </c>
      <c r="K353">
        <v>1</v>
      </c>
    </row>
    <row r="354" spans="1:11" x14ac:dyDescent="0.25">
      <c r="A354" s="2">
        <v>2017</v>
      </c>
      <c r="B354" s="2" t="s">
        <v>160</v>
      </c>
      <c r="C354" t="s">
        <v>106</v>
      </c>
      <c r="D354" s="1">
        <v>91397</v>
      </c>
      <c r="E354" t="s">
        <v>41</v>
      </c>
      <c r="F354" t="s">
        <v>8</v>
      </c>
      <c r="G354">
        <v>80</v>
      </c>
      <c r="H354">
        <v>5</v>
      </c>
      <c r="I354">
        <v>22</v>
      </c>
      <c r="J354">
        <v>13</v>
      </c>
      <c r="K354">
        <v>13</v>
      </c>
    </row>
    <row r="355" spans="1:11" x14ac:dyDescent="0.25">
      <c r="A355" s="2">
        <v>2017</v>
      </c>
      <c r="B355" s="2" t="s">
        <v>160</v>
      </c>
      <c r="C355" t="s">
        <v>106</v>
      </c>
      <c r="D355" s="1">
        <v>91397</v>
      </c>
      <c r="E355" t="s">
        <v>41</v>
      </c>
      <c r="F355" t="s">
        <v>10</v>
      </c>
      <c r="G355">
        <v>60</v>
      </c>
      <c r="H355">
        <v>5</v>
      </c>
      <c r="I355">
        <v>1</v>
      </c>
      <c r="J355">
        <v>1</v>
      </c>
      <c r="K355">
        <v>1</v>
      </c>
    </row>
    <row r="356" spans="1:11" x14ac:dyDescent="0.25">
      <c r="A356" s="2">
        <v>2017</v>
      </c>
      <c r="B356" s="2" t="s">
        <v>160</v>
      </c>
      <c r="C356" t="s">
        <v>106</v>
      </c>
      <c r="D356" s="1">
        <v>89383</v>
      </c>
      <c r="E356" t="s">
        <v>15</v>
      </c>
      <c r="F356" t="s">
        <v>12</v>
      </c>
      <c r="G356">
        <v>50</v>
      </c>
      <c r="H356">
        <v>3</v>
      </c>
      <c r="I356">
        <v>1</v>
      </c>
      <c r="J356">
        <v>1</v>
      </c>
      <c r="K356">
        <v>1</v>
      </c>
    </row>
    <row r="357" spans="1:11" x14ac:dyDescent="0.25">
      <c r="A357" s="2">
        <v>2017</v>
      </c>
      <c r="B357" s="2" t="s">
        <v>160</v>
      </c>
      <c r="C357" t="s">
        <v>106</v>
      </c>
      <c r="D357" s="1">
        <v>89383</v>
      </c>
      <c r="E357" t="s">
        <v>15</v>
      </c>
      <c r="F357" t="s">
        <v>7</v>
      </c>
      <c r="G357">
        <v>79.2</v>
      </c>
      <c r="H357">
        <v>3</v>
      </c>
      <c r="I357">
        <v>12</v>
      </c>
      <c r="J357">
        <v>6</v>
      </c>
      <c r="K357">
        <v>6</v>
      </c>
    </row>
    <row r="358" spans="1:11" x14ac:dyDescent="0.25">
      <c r="A358" s="2">
        <v>2017</v>
      </c>
      <c r="B358" s="2" t="s">
        <v>160</v>
      </c>
      <c r="C358" t="s">
        <v>106</v>
      </c>
      <c r="D358" s="1">
        <v>89383</v>
      </c>
      <c r="E358" t="s">
        <v>15</v>
      </c>
      <c r="F358" t="s">
        <v>11</v>
      </c>
      <c r="G358">
        <v>83.3</v>
      </c>
      <c r="H358">
        <v>3</v>
      </c>
      <c r="I358">
        <v>16</v>
      </c>
      <c r="J358">
        <v>6</v>
      </c>
      <c r="K358">
        <v>9</v>
      </c>
    </row>
    <row r="359" spans="1:11" x14ac:dyDescent="0.25">
      <c r="A359" s="2">
        <v>2017</v>
      </c>
      <c r="B359" s="2" t="s">
        <v>160</v>
      </c>
      <c r="C359" t="s">
        <v>106</v>
      </c>
      <c r="D359" s="1">
        <v>89383</v>
      </c>
      <c r="E359" t="s">
        <v>15</v>
      </c>
      <c r="F359" t="s">
        <v>9</v>
      </c>
      <c r="G359">
        <v>75</v>
      </c>
      <c r="H359">
        <v>3</v>
      </c>
      <c r="I359">
        <v>1</v>
      </c>
      <c r="J359">
        <v>1</v>
      </c>
      <c r="K359">
        <v>1</v>
      </c>
    </row>
    <row r="360" spans="1:11" x14ac:dyDescent="0.25">
      <c r="A360" s="2">
        <v>2017</v>
      </c>
      <c r="B360" s="2" t="s">
        <v>160</v>
      </c>
      <c r="C360" t="s">
        <v>106</v>
      </c>
      <c r="D360" s="1">
        <v>89383</v>
      </c>
      <c r="E360" t="s">
        <v>15</v>
      </c>
      <c r="F360" t="s">
        <v>8</v>
      </c>
      <c r="G360">
        <v>83.3</v>
      </c>
      <c r="H360">
        <v>3</v>
      </c>
      <c r="I360">
        <v>49</v>
      </c>
      <c r="J360">
        <v>41</v>
      </c>
      <c r="K360">
        <v>32</v>
      </c>
    </row>
    <row r="361" spans="1:11" x14ac:dyDescent="0.25">
      <c r="A361" s="2">
        <v>2017</v>
      </c>
      <c r="B361" s="2" t="s">
        <v>160</v>
      </c>
      <c r="C361" t="s">
        <v>106</v>
      </c>
      <c r="D361" s="1">
        <v>89383</v>
      </c>
      <c r="E361" t="s">
        <v>15</v>
      </c>
      <c r="F361" t="s">
        <v>10</v>
      </c>
      <c r="G361">
        <v>75</v>
      </c>
      <c r="H361">
        <v>3</v>
      </c>
      <c r="I361">
        <v>4</v>
      </c>
      <c r="J361">
        <v>1</v>
      </c>
      <c r="K361">
        <v>2</v>
      </c>
    </row>
    <row r="362" spans="1:11" x14ac:dyDescent="0.25">
      <c r="A362" s="2">
        <v>2017</v>
      </c>
      <c r="B362" s="2" t="s">
        <v>160</v>
      </c>
      <c r="C362" t="s">
        <v>106</v>
      </c>
      <c r="D362" s="1">
        <v>64022</v>
      </c>
      <c r="E362" t="s">
        <v>37</v>
      </c>
      <c r="F362" t="s">
        <v>12</v>
      </c>
      <c r="G362">
        <v>52.5</v>
      </c>
      <c r="H362">
        <v>10</v>
      </c>
      <c r="I362">
        <v>1</v>
      </c>
      <c r="J362">
        <v>1</v>
      </c>
      <c r="K362">
        <v>1</v>
      </c>
    </row>
    <row r="363" spans="1:11" x14ac:dyDescent="0.25">
      <c r="A363" s="2">
        <v>2017</v>
      </c>
      <c r="B363" s="2" t="s">
        <v>160</v>
      </c>
      <c r="C363" t="s">
        <v>106</v>
      </c>
      <c r="D363" s="1">
        <v>64022</v>
      </c>
      <c r="E363" t="s">
        <v>37</v>
      </c>
      <c r="F363" t="s">
        <v>7</v>
      </c>
      <c r="G363">
        <v>83.1</v>
      </c>
      <c r="H363">
        <v>10</v>
      </c>
      <c r="I363">
        <v>36</v>
      </c>
      <c r="J363">
        <v>26</v>
      </c>
      <c r="K363">
        <v>21</v>
      </c>
    </row>
    <row r="364" spans="1:11" x14ac:dyDescent="0.25">
      <c r="A364" s="2">
        <v>2017</v>
      </c>
      <c r="B364" s="2" t="s">
        <v>160</v>
      </c>
      <c r="C364" t="s">
        <v>106</v>
      </c>
      <c r="D364" s="1">
        <v>64022</v>
      </c>
      <c r="E364" t="s">
        <v>37</v>
      </c>
      <c r="F364" t="s">
        <v>11</v>
      </c>
      <c r="G364">
        <v>85</v>
      </c>
      <c r="H364">
        <v>10</v>
      </c>
      <c r="I364">
        <v>27</v>
      </c>
      <c r="J364">
        <v>11</v>
      </c>
      <c r="K364">
        <v>16</v>
      </c>
    </row>
    <row r="365" spans="1:11" x14ac:dyDescent="0.25">
      <c r="A365" s="2">
        <v>2017</v>
      </c>
      <c r="B365" s="2" t="s">
        <v>160</v>
      </c>
      <c r="C365" t="s">
        <v>106</v>
      </c>
      <c r="D365" s="1">
        <v>64022</v>
      </c>
      <c r="E365" t="s">
        <v>37</v>
      </c>
      <c r="F365" t="s">
        <v>9</v>
      </c>
      <c r="G365">
        <v>85</v>
      </c>
      <c r="H365">
        <v>10</v>
      </c>
      <c r="I365">
        <v>47</v>
      </c>
      <c r="J365">
        <v>39</v>
      </c>
      <c r="K365">
        <v>32</v>
      </c>
    </row>
    <row r="366" spans="1:11" x14ac:dyDescent="0.25">
      <c r="A366" s="2">
        <v>2017</v>
      </c>
      <c r="B366" s="2" t="s">
        <v>160</v>
      </c>
      <c r="C366" t="s">
        <v>106</v>
      </c>
      <c r="D366" s="1">
        <v>64022</v>
      </c>
      <c r="E366" t="s">
        <v>37</v>
      </c>
      <c r="F366" t="s">
        <v>8</v>
      </c>
      <c r="G366">
        <v>82.5</v>
      </c>
      <c r="H366">
        <v>10</v>
      </c>
      <c r="I366">
        <v>39</v>
      </c>
      <c r="J366">
        <v>36</v>
      </c>
      <c r="K366">
        <v>26</v>
      </c>
    </row>
    <row r="367" spans="1:11" x14ac:dyDescent="0.25">
      <c r="A367" s="2">
        <v>2017</v>
      </c>
      <c r="B367" s="2" t="s">
        <v>160</v>
      </c>
      <c r="C367" t="s">
        <v>106</v>
      </c>
      <c r="D367" s="1">
        <v>64022</v>
      </c>
      <c r="E367" t="s">
        <v>37</v>
      </c>
      <c r="F367" t="s">
        <v>10</v>
      </c>
      <c r="G367">
        <v>80</v>
      </c>
      <c r="H367">
        <v>10</v>
      </c>
      <c r="I367">
        <v>22</v>
      </c>
      <c r="J367">
        <v>13</v>
      </c>
      <c r="K367">
        <v>12</v>
      </c>
    </row>
    <row r="368" spans="1:11" x14ac:dyDescent="0.25">
      <c r="A368" s="2">
        <v>2017</v>
      </c>
      <c r="B368" s="2" t="s">
        <v>160</v>
      </c>
      <c r="C368" t="s">
        <v>106</v>
      </c>
      <c r="D368" s="1">
        <v>88963</v>
      </c>
      <c r="E368" t="s">
        <v>34</v>
      </c>
      <c r="F368" t="s">
        <v>12</v>
      </c>
      <c r="G368">
        <v>50</v>
      </c>
      <c r="H368">
        <v>4</v>
      </c>
      <c r="I368">
        <v>1</v>
      </c>
      <c r="J368">
        <v>1</v>
      </c>
      <c r="K368">
        <v>1</v>
      </c>
    </row>
    <row r="369" spans="1:11" x14ac:dyDescent="0.25">
      <c r="A369" s="2">
        <v>2017</v>
      </c>
      <c r="B369" s="2" t="s">
        <v>160</v>
      </c>
      <c r="C369" t="s">
        <v>106</v>
      </c>
      <c r="D369" s="1">
        <v>88963</v>
      </c>
      <c r="E369" t="s">
        <v>34</v>
      </c>
      <c r="F369" t="s">
        <v>7</v>
      </c>
      <c r="G369">
        <v>92.2</v>
      </c>
      <c r="H369">
        <v>4</v>
      </c>
      <c r="I369">
        <v>99</v>
      </c>
      <c r="J369">
        <v>97</v>
      </c>
      <c r="K369">
        <v>91</v>
      </c>
    </row>
    <row r="370" spans="1:11" x14ac:dyDescent="0.25">
      <c r="A370" s="2">
        <v>2017</v>
      </c>
      <c r="B370" s="2" t="s">
        <v>160</v>
      </c>
      <c r="C370" t="s">
        <v>106</v>
      </c>
      <c r="D370" s="1">
        <v>88963</v>
      </c>
      <c r="E370" t="s">
        <v>34</v>
      </c>
      <c r="F370" t="s">
        <v>11</v>
      </c>
      <c r="G370">
        <v>93.8</v>
      </c>
      <c r="H370">
        <v>4</v>
      </c>
      <c r="I370">
        <v>99</v>
      </c>
      <c r="J370">
        <v>97</v>
      </c>
      <c r="K370">
        <v>91</v>
      </c>
    </row>
    <row r="371" spans="1:11" x14ac:dyDescent="0.25">
      <c r="A371" s="2">
        <v>2017</v>
      </c>
      <c r="B371" s="2" t="s">
        <v>160</v>
      </c>
      <c r="C371" t="s">
        <v>106</v>
      </c>
      <c r="D371" s="1">
        <v>88963</v>
      </c>
      <c r="E371" t="s">
        <v>34</v>
      </c>
      <c r="F371" t="s">
        <v>9</v>
      </c>
      <c r="G371">
        <v>93.8</v>
      </c>
      <c r="H371">
        <v>4</v>
      </c>
      <c r="I371">
        <v>99</v>
      </c>
      <c r="J371">
        <v>99</v>
      </c>
      <c r="K371">
        <v>95</v>
      </c>
    </row>
    <row r="372" spans="1:11" x14ac:dyDescent="0.25">
      <c r="A372" s="2">
        <v>2017</v>
      </c>
      <c r="B372" s="2" t="s">
        <v>160</v>
      </c>
      <c r="C372" t="s">
        <v>106</v>
      </c>
      <c r="D372" s="1">
        <v>88963</v>
      </c>
      <c r="E372" t="s">
        <v>34</v>
      </c>
      <c r="F372" t="s">
        <v>8</v>
      </c>
      <c r="G372">
        <v>93.8</v>
      </c>
      <c r="H372">
        <v>4</v>
      </c>
      <c r="I372">
        <v>99</v>
      </c>
      <c r="J372">
        <v>99</v>
      </c>
      <c r="K372">
        <v>96</v>
      </c>
    </row>
    <row r="373" spans="1:11" x14ac:dyDescent="0.25">
      <c r="A373" s="2">
        <v>2017</v>
      </c>
      <c r="B373" s="2" t="s">
        <v>160</v>
      </c>
      <c r="C373" t="s">
        <v>106</v>
      </c>
      <c r="D373" s="1">
        <v>88963</v>
      </c>
      <c r="E373" t="s">
        <v>34</v>
      </c>
      <c r="F373" t="s">
        <v>10</v>
      </c>
      <c r="G373">
        <v>87.5</v>
      </c>
      <c r="H373">
        <v>4</v>
      </c>
      <c r="I373">
        <v>91</v>
      </c>
      <c r="J373">
        <v>76</v>
      </c>
      <c r="K373">
        <v>68</v>
      </c>
    </row>
    <row r="374" spans="1:11" x14ac:dyDescent="0.25">
      <c r="A374" s="2">
        <v>2017</v>
      </c>
      <c r="B374" s="2" t="s">
        <v>222</v>
      </c>
      <c r="C374" t="s">
        <v>106</v>
      </c>
      <c r="D374" s="1">
        <v>117671</v>
      </c>
      <c r="E374" t="s">
        <v>25</v>
      </c>
      <c r="F374" t="s">
        <v>12</v>
      </c>
      <c r="G374">
        <v>72.5</v>
      </c>
      <c r="H374">
        <v>10</v>
      </c>
      <c r="I374">
        <v>35</v>
      </c>
      <c r="J374">
        <v>13</v>
      </c>
      <c r="K374">
        <v>15</v>
      </c>
    </row>
    <row r="375" spans="1:11" x14ac:dyDescent="0.25">
      <c r="A375" s="2">
        <v>2017</v>
      </c>
      <c r="B375" s="2" t="s">
        <v>222</v>
      </c>
      <c r="C375" t="s">
        <v>106</v>
      </c>
      <c r="D375" s="1">
        <v>117671</v>
      </c>
      <c r="E375" t="s">
        <v>25</v>
      </c>
      <c r="F375" t="s">
        <v>7</v>
      </c>
      <c r="G375">
        <v>79.400000000000006</v>
      </c>
      <c r="H375">
        <v>10</v>
      </c>
      <c r="I375">
        <v>10</v>
      </c>
      <c r="J375">
        <v>5</v>
      </c>
      <c r="K375">
        <v>6</v>
      </c>
    </row>
    <row r="376" spans="1:11" x14ac:dyDescent="0.25">
      <c r="A376" s="2">
        <v>2017</v>
      </c>
      <c r="B376" s="2" t="s">
        <v>222</v>
      </c>
      <c r="C376" t="s">
        <v>106</v>
      </c>
      <c r="D376" s="1">
        <v>117671</v>
      </c>
      <c r="E376" t="s">
        <v>25</v>
      </c>
      <c r="F376" t="s">
        <v>11</v>
      </c>
      <c r="G376">
        <v>82.5</v>
      </c>
      <c r="H376">
        <v>10</v>
      </c>
      <c r="I376">
        <v>12</v>
      </c>
      <c r="J376">
        <v>5</v>
      </c>
      <c r="K376">
        <v>7</v>
      </c>
    </row>
    <row r="377" spans="1:11" x14ac:dyDescent="0.25">
      <c r="A377" s="2">
        <v>2017</v>
      </c>
      <c r="B377" s="2" t="s">
        <v>222</v>
      </c>
      <c r="C377" t="s">
        <v>106</v>
      </c>
      <c r="D377" s="1">
        <v>117671</v>
      </c>
      <c r="E377" t="s">
        <v>25</v>
      </c>
      <c r="F377" t="s">
        <v>9</v>
      </c>
      <c r="G377">
        <v>80</v>
      </c>
      <c r="H377">
        <v>10</v>
      </c>
      <c r="I377">
        <v>10</v>
      </c>
      <c r="J377">
        <v>5</v>
      </c>
      <c r="K377">
        <v>7</v>
      </c>
    </row>
    <row r="378" spans="1:11" x14ac:dyDescent="0.25">
      <c r="A378" s="2">
        <v>2017</v>
      </c>
      <c r="B378" s="2" t="s">
        <v>222</v>
      </c>
      <c r="C378" t="s">
        <v>106</v>
      </c>
      <c r="D378" s="1">
        <v>117671</v>
      </c>
      <c r="E378" t="s">
        <v>25</v>
      </c>
      <c r="F378" t="s">
        <v>8</v>
      </c>
      <c r="G378">
        <v>80</v>
      </c>
      <c r="H378">
        <v>10</v>
      </c>
      <c r="I378">
        <v>18</v>
      </c>
      <c r="J378">
        <v>14</v>
      </c>
      <c r="K378">
        <v>12</v>
      </c>
    </row>
    <row r="379" spans="1:11" x14ac:dyDescent="0.25">
      <c r="A379" s="2">
        <v>2017</v>
      </c>
      <c r="B379" s="2" t="s">
        <v>222</v>
      </c>
      <c r="C379" t="s">
        <v>106</v>
      </c>
      <c r="D379" s="1">
        <v>117671</v>
      </c>
      <c r="E379" t="s">
        <v>25</v>
      </c>
      <c r="F379" t="s">
        <v>10</v>
      </c>
      <c r="G379">
        <v>75</v>
      </c>
      <c r="H379">
        <v>10</v>
      </c>
      <c r="I379">
        <v>5</v>
      </c>
      <c r="J379">
        <v>1</v>
      </c>
      <c r="K379">
        <v>3</v>
      </c>
    </row>
    <row r="380" spans="1:11" x14ac:dyDescent="0.25">
      <c r="A380" s="2">
        <v>2017</v>
      </c>
      <c r="B380" s="2" t="s">
        <v>222</v>
      </c>
      <c r="C380" t="s">
        <v>106</v>
      </c>
      <c r="D380" s="1">
        <v>104133</v>
      </c>
      <c r="E380" t="s">
        <v>20</v>
      </c>
      <c r="F380" t="s">
        <v>12</v>
      </c>
      <c r="G380">
        <v>64.7</v>
      </c>
      <c r="H380">
        <v>17</v>
      </c>
      <c r="I380">
        <v>12</v>
      </c>
      <c r="J380">
        <v>3</v>
      </c>
      <c r="K380">
        <v>3</v>
      </c>
    </row>
    <row r="381" spans="1:11" x14ac:dyDescent="0.25">
      <c r="A381" s="2">
        <v>2017</v>
      </c>
      <c r="B381" s="2" t="s">
        <v>222</v>
      </c>
      <c r="C381" t="s">
        <v>106</v>
      </c>
      <c r="D381" s="1">
        <v>104133</v>
      </c>
      <c r="E381" t="s">
        <v>20</v>
      </c>
      <c r="F381" t="s">
        <v>7</v>
      </c>
      <c r="G381">
        <v>78.7</v>
      </c>
      <c r="H381">
        <v>17</v>
      </c>
      <c r="I381">
        <v>9</v>
      </c>
      <c r="J381">
        <v>5</v>
      </c>
      <c r="K381">
        <v>5</v>
      </c>
    </row>
    <row r="382" spans="1:11" x14ac:dyDescent="0.25">
      <c r="A382" s="2">
        <v>2017</v>
      </c>
      <c r="B382" s="2" t="s">
        <v>222</v>
      </c>
      <c r="C382" t="s">
        <v>106</v>
      </c>
      <c r="D382" s="1">
        <v>104133</v>
      </c>
      <c r="E382" t="s">
        <v>20</v>
      </c>
      <c r="F382" t="s">
        <v>11</v>
      </c>
      <c r="G382">
        <v>83.8</v>
      </c>
      <c r="H382">
        <v>17</v>
      </c>
      <c r="I382">
        <v>18</v>
      </c>
      <c r="J382">
        <v>10</v>
      </c>
      <c r="K382">
        <v>11</v>
      </c>
    </row>
    <row r="383" spans="1:11" x14ac:dyDescent="0.25">
      <c r="A383" s="2">
        <v>2017</v>
      </c>
      <c r="B383" s="2" t="s">
        <v>222</v>
      </c>
      <c r="C383" t="s">
        <v>106</v>
      </c>
      <c r="D383" s="1">
        <v>104133</v>
      </c>
      <c r="E383" t="s">
        <v>20</v>
      </c>
      <c r="F383" t="s">
        <v>9</v>
      </c>
      <c r="G383">
        <v>82.4</v>
      </c>
      <c r="H383">
        <v>17</v>
      </c>
      <c r="I383">
        <v>22</v>
      </c>
      <c r="J383">
        <v>17</v>
      </c>
      <c r="K383">
        <v>15</v>
      </c>
    </row>
    <row r="384" spans="1:11" x14ac:dyDescent="0.25">
      <c r="A384" s="2">
        <v>2017</v>
      </c>
      <c r="B384" s="2" t="s">
        <v>222</v>
      </c>
      <c r="C384" t="s">
        <v>106</v>
      </c>
      <c r="D384" s="1">
        <v>104133</v>
      </c>
      <c r="E384" t="s">
        <v>20</v>
      </c>
      <c r="F384" t="s">
        <v>8</v>
      </c>
      <c r="G384">
        <v>73.5</v>
      </c>
      <c r="H384">
        <v>17</v>
      </c>
      <c r="I384">
        <v>4</v>
      </c>
      <c r="J384">
        <v>1</v>
      </c>
      <c r="K384">
        <v>2</v>
      </c>
    </row>
    <row r="385" spans="1:11" x14ac:dyDescent="0.25">
      <c r="A385" s="2">
        <v>2017</v>
      </c>
      <c r="B385" s="2" t="s">
        <v>222</v>
      </c>
      <c r="C385" t="s">
        <v>106</v>
      </c>
      <c r="D385" s="1">
        <v>104133</v>
      </c>
      <c r="E385" t="s">
        <v>20</v>
      </c>
      <c r="F385" t="s">
        <v>10</v>
      </c>
      <c r="G385">
        <v>75</v>
      </c>
      <c r="H385">
        <v>17</v>
      </c>
      <c r="I385">
        <v>5</v>
      </c>
      <c r="J385">
        <v>1</v>
      </c>
      <c r="K385">
        <v>3</v>
      </c>
    </row>
    <row r="386" spans="1:11" x14ac:dyDescent="0.25">
      <c r="A386" s="2">
        <v>2017</v>
      </c>
      <c r="B386" s="2" t="s">
        <v>222</v>
      </c>
      <c r="C386" t="s">
        <v>106</v>
      </c>
      <c r="D386" s="1">
        <v>114603</v>
      </c>
      <c r="E386" t="s">
        <v>36</v>
      </c>
      <c r="F386" t="s">
        <v>12</v>
      </c>
      <c r="G386">
        <v>66.7</v>
      </c>
      <c r="H386">
        <v>9</v>
      </c>
      <c r="I386">
        <v>16</v>
      </c>
      <c r="J386">
        <v>5</v>
      </c>
      <c r="K386">
        <v>4</v>
      </c>
    </row>
    <row r="387" spans="1:11" x14ac:dyDescent="0.25">
      <c r="A387" s="2">
        <v>2017</v>
      </c>
      <c r="B387" s="2" t="s">
        <v>222</v>
      </c>
      <c r="C387" t="s">
        <v>106</v>
      </c>
      <c r="D387" s="1">
        <v>114603</v>
      </c>
      <c r="E387" t="s">
        <v>36</v>
      </c>
      <c r="F387" t="s">
        <v>7</v>
      </c>
      <c r="G387">
        <v>90.3</v>
      </c>
      <c r="H387">
        <v>9</v>
      </c>
      <c r="I387">
        <v>99</v>
      </c>
      <c r="J387">
        <v>87</v>
      </c>
      <c r="K387">
        <v>81</v>
      </c>
    </row>
    <row r="388" spans="1:11" x14ac:dyDescent="0.25">
      <c r="A388" s="2">
        <v>2017</v>
      </c>
      <c r="B388" s="2" t="s">
        <v>222</v>
      </c>
      <c r="C388" t="s">
        <v>106</v>
      </c>
      <c r="D388" s="1">
        <v>114603</v>
      </c>
      <c r="E388" t="s">
        <v>36</v>
      </c>
      <c r="F388" t="s">
        <v>11</v>
      </c>
      <c r="G388">
        <v>94.4</v>
      </c>
      <c r="H388">
        <v>9</v>
      </c>
      <c r="I388">
        <v>99</v>
      </c>
      <c r="J388">
        <v>98</v>
      </c>
      <c r="K388">
        <v>93</v>
      </c>
    </row>
    <row r="389" spans="1:11" x14ac:dyDescent="0.25">
      <c r="A389" s="2">
        <v>2017</v>
      </c>
      <c r="B389" s="2" t="s">
        <v>222</v>
      </c>
      <c r="C389" t="s">
        <v>106</v>
      </c>
      <c r="D389" s="1">
        <v>114603</v>
      </c>
      <c r="E389" t="s">
        <v>36</v>
      </c>
      <c r="F389" t="s">
        <v>9</v>
      </c>
      <c r="G389">
        <v>94.4</v>
      </c>
      <c r="H389">
        <v>9</v>
      </c>
      <c r="I389">
        <v>99</v>
      </c>
      <c r="J389">
        <v>99</v>
      </c>
      <c r="K389">
        <v>97</v>
      </c>
    </row>
    <row r="390" spans="1:11" x14ac:dyDescent="0.25">
      <c r="A390" s="2">
        <v>2017</v>
      </c>
      <c r="B390" s="2" t="s">
        <v>222</v>
      </c>
      <c r="C390" t="s">
        <v>106</v>
      </c>
      <c r="D390" s="1">
        <v>114603</v>
      </c>
      <c r="E390" t="s">
        <v>36</v>
      </c>
      <c r="F390" t="s">
        <v>8</v>
      </c>
      <c r="G390">
        <v>86.1</v>
      </c>
      <c r="H390">
        <v>9</v>
      </c>
      <c r="I390">
        <v>78</v>
      </c>
      <c r="J390">
        <v>59</v>
      </c>
      <c r="K390">
        <v>54</v>
      </c>
    </row>
    <row r="391" spans="1:11" x14ac:dyDescent="0.25">
      <c r="A391" s="2">
        <v>2017</v>
      </c>
      <c r="B391" s="2" t="s">
        <v>222</v>
      </c>
      <c r="C391" t="s">
        <v>106</v>
      </c>
      <c r="D391" s="1">
        <v>114603</v>
      </c>
      <c r="E391" t="s">
        <v>36</v>
      </c>
      <c r="F391" t="s">
        <v>10</v>
      </c>
      <c r="G391">
        <v>86.1</v>
      </c>
      <c r="H391">
        <v>9</v>
      </c>
      <c r="I391">
        <v>74</v>
      </c>
      <c r="J391">
        <v>57</v>
      </c>
      <c r="K391">
        <v>53</v>
      </c>
    </row>
    <row r="392" spans="1:11" x14ac:dyDescent="0.25">
      <c r="A392" s="2">
        <v>2017</v>
      </c>
      <c r="B392" s="2" t="s">
        <v>222</v>
      </c>
      <c r="C392" t="s">
        <v>106</v>
      </c>
      <c r="D392" s="1">
        <v>101071</v>
      </c>
      <c r="E392" t="s">
        <v>43</v>
      </c>
      <c r="F392" t="s">
        <v>12</v>
      </c>
      <c r="G392">
        <v>47.6</v>
      </c>
      <c r="H392">
        <v>21</v>
      </c>
      <c r="I392">
        <v>1</v>
      </c>
      <c r="J392">
        <v>1</v>
      </c>
      <c r="K392">
        <v>1</v>
      </c>
    </row>
    <row r="393" spans="1:11" x14ac:dyDescent="0.25">
      <c r="A393" s="2">
        <v>2017</v>
      </c>
      <c r="B393" s="2" t="s">
        <v>222</v>
      </c>
      <c r="C393" t="s">
        <v>106</v>
      </c>
      <c r="D393" s="1">
        <v>101071</v>
      </c>
      <c r="E393" t="s">
        <v>43</v>
      </c>
      <c r="F393" t="s">
        <v>7</v>
      </c>
      <c r="G393">
        <v>62.2</v>
      </c>
      <c r="H393">
        <v>19</v>
      </c>
      <c r="I393">
        <v>1</v>
      </c>
      <c r="J393">
        <v>1</v>
      </c>
      <c r="K393">
        <v>1</v>
      </c>
    </row>
    <row r="394" spans="1:11" x14ac:dyDescent="0.25">
      <c r="A394" s="2">
        <v>2017</v>
      </c>
      <c r="B394" s="2" t="s">
        <v>222</v>
      </c>
      <c r="C394" t="s">
        <v>106</v>
      </c>
      <c r="D394" s="1">
        <v>101071</v>
      </c>
      <c r="E394" t="s">
        <v>43</v>
      </c>
      <c r="F394" t="s">
        <v>11</v>
      </c>
      <c r="G394">
        <v>63.2</v>
      </c>
      <c r="H394">
        <v>19</v>
      </c>
      <c r="I394">
        <v>1</v>
      </c>
      <c r="J394">
        <v>1</v>
      </c>
      <c r="K394">
        <v>1</v>
      </c>
    </row>
    <row r="395" spans="1:11" x14ac:dyDescent="0.25">
      <c r="A395" s="2">
        <v>2017</v>
      </c>
      <c r="B395" s="2" t="s">
        <v>222</v>
      </c>
      <c r="C395" t="s">
        <v>106</v>
      </c>
      <c r="D395" s="1">
        <v>101071</v>
      </c>
      <c r="E395" t="s">
        <v>43</v>
      </c>
      <c r="F395" t="s">
        <v>9</v>
      </c>
      <c r="G395">
        <v>64.5</v>
      </c>
      <c r="H395">
        <v>19</v>
      </c>
      <c r="I395">
        <v>1</v>
      </c>
      <c r="J395">
        <v>1</v>
      </c>
      <c r="K395">
        <v>1</v>
      </c>
    </row>
    <row r="396" spans="1:11" x14ac:dyDescent="0.25">
      <c r="A396" s="2">
        <v>2017</v>
      </c>
      <c r="B396" s="2" t="s">
        <v>222</v>
      </c>
      <c r="C396" t="s">
        <v>106</v>
      </c>
      <c r="D396" s="1">
        <v>101071</v>
      </c>
      <c r="E396" t="s">
        <v>43</v>
      </c>
      <c r="F396" t="s">
        <v>8</v>
      </c>
      <c r="G396">
        <v>61.8</v>
      </c>
      <c r="H396">
        <v>19</v>
      </c>
      <c r="I396">
        <v>1</v>
      </c>
      <c r="J396">
        <v>1</v>
      </c>
      <c r="K396">
        <v>1</v>
      </c>
    </row>
    <row r="397" spans="1:11" x14ac:dyDescent="0.25">
      <c r="A397" s="2">
        <v>2017</v>
      </c>
      <c r="B397" s="2" t="s">
        <v>222</v>
      </c>
      <c r="C397" t="s">
        <v>106</v>
      </c>
      <c r="D397" s="1">
        <v>101071</v>
      </c>
      <c r="E397" t="s">
        <v>43</v>
      </c>
      <c r="F397" t="s">
        <v>10</v>
      </c>
      <c r="G397">
        <v>59.2</v>
      </c>
      <c r="H397">
        <v>19</v>
      </c>
      <c r="I397">
        <v>1</v>
      </c>
      <c r="J397">
        <v>1</v>
      </c>
      <c r="K397">
        <v>1</v>
      </c>
    </row>
    <row r="398" spans="1:11" x14ac:dyDescent="0.25">
      <c r="A398" s="2">
        <v>2017</v>
      </c>
      <c r="B398" s="2" t="s">
        <v>222</v>
      </c>
      <c r="C398" t="s">
        <v>106</v>
      </c>
      <c r="D398" s="1">
        <v>110569</v>
      </c>
      <c r="E398" t="s">
        <v>18</v>
      </c>
      <c r="F398" t="s">
        <v>12</v>
      </c>
      <c r="G398">
        <v>67.3</v>
      </c>
      <c r="H398">
        <v>13</v>
      </c>
      <c r="I398">
        <v>19</v>
      </c>
      <c r="J398">
        <v>5</v>
      </c>
      <c r="K398">
        <v>5</v>
      </c>
    </row>
    <row r="399" spans="1:11" x14ac:dyDescent="0.25">
      <c r="A399" s="2">
        <v>2017</v>
      </c>
      <c r="B399" s="2" t="s">
        <v>222</v>
      </c>
      <c r="C399" t="s">
        <v>106</v>
      </c>
      <c r="D399" s="1">
        <v>110569</v>
      </c>
      <c r="E399" t="s">
        <v>18</v>
      </c>
      <c r="F399" t="s">
        <v>7</v>
      </c>
      <c r="G399">
        <v>77.900000000000006</v>
      </c>
      <c r="H399">
        <v>13</v>
      </c>
      <c r="I399">
        <v>8</v>
      </c>
      <c r="J399">
        <v>1</v>
      </c>
      <c r="K399">
        <v>4</v>
      </c>
    </row>
    <row r="400" spans="1:11" x14ac:dyDescent="0.25">
      <c r="A400" s="2">
        <v>2017</v>
      </c>
      <c r="B400" s="2" t="s">
        <v>222</v>
      </c>
      <c r="C400" t="s">
        <v>106</v>
      </c>
      <c r="D400" s="1">
        <v>110569</v>
      </c>
      <c r="E400" t="s">
        <v>18</v>
      </c>
      <c r="F400" t="s">
        <v>11</v>
      </c>
      <c r="G400">
        <v>80.8</v>
      </c>
      <c r="H400">
        <v>13</v>
      </c>
      <c r="I400">
        <v>7</v>
      </c>
      <c r="J400">
        <v>1</v>
      </c>
      <c r="K400">
        <v>4</v>
      </c>
    </row>
    <row r="401" spans="1:11" x14ac:dyDescent="0.25">
      <c r="A401" s="2">
        <v>2017</v>
      </c>
      <c r="B401" s="2" t="s">
        <v>222</v>
      </c>
      <c r="C401" t="s">
        <v>106</v>
      </c>
      <c r="D401" s="1">
        <v>110569</v>
      </c>
      <c r="E401" t="s">
        <v>18</v>
      </c>
      <c r="F401" t="s">
        <v>9</v>
      </c>
      <c r="G401">
        <v>76.900000000000006</v>
      </c>
      <c r="H401">
        <v>13</v>
      </c>
      <c r="I401">
        <v>4</v>
      </c>
      <c r="J401">
        <v>1</v>
      </c>
      <c r="K401">
        <v>2</v>
      </c>
    </row>
    <row r="402" spans="1:11" x14ac:dyDescent="0.25">
      <c r="A402" s="2">
        <v>2017</v>
      </c>
      <c r="B402" s="2" t="s">
        <v>222</v>
      </c>
      <c r="C402" t="s">
        <v>106</v>
      </c>
      <c r="D402" s="1">
        <v>110569</v>
      </c>
      <c r="E402" t="s">
        <v>18</v>
      </c>
      <c r="F402" t="s">
        <v>8</v>
      </c>
      <c r="G402">
        <v>76.900000000000006</v>
      </c>
      <c r="H402">
        <v>13</v>
      </c>
      <c r="I402">
        <v>9</v>
      </c>
      <c r="J402">
        <v>5</v>
      </c>
      <c r="K402">
        <v>5</v>
      </c>
    </row>
    <row r="403" spans="1:11" x14ac:dyDescent="0.25">
      <c r="A403" s="2">
        <v>2017</v>
      </c>
      <c r="B403" s="2" t="s">
        <v>222</v>
      </c>
      <c r="C403" t="s">
        <v>106</v>
      </c>
      <c r="D403" s="1">
        <v>110569</v>
      </c>
      <c r="E403" t="s">
        <v>18</v>
      </c>
      <c r="F403" t="s">
        <v>10</v>
      </c>
      <c r="G403">
        <v>76.900000000000006</v>
      </c>
      <c r="H403">
        <v>13</v>
      </c>
      <c r="I403">
        <v>10</v>
      </c>
      <c r="J403">
        <v>5</v>
      </c>
      <c r="K403">
        <v>5</v>
      </c>
    </row>
    <row r="404" spans="1:11" x14ac:dyDescent="0.25">
      <c r="A404" s="2">
        <v>2017</v>
      </c>
      <c r="B404" s="2" t="s">
        <v>222</v>
      </c>
      <c r="C404" t="s">
        <v>106</v>
      </c>
      <c r="D404" s="1">
        <v>117465</v>
      </c>
      <c r="E404" t="s">
        <v>23</v>
      </c>
      <c r="F404" t="s">
        <v>12</v>
      </c>
      <c r="G404">
        <v>67.5</v>
      </c>
      <c r="H404">
        <v>10</v>
      </c>
      <c r="I404">
        <v>20</v>
      </c>
      <c r="J404">
        <v>5</v>
      </c>
      <c r="K404">
        <v>5</v>
      </c>
    </row>
    <row r="405" spans="1:11" x14ac:dyDescent="0.25">
      <c r="A405" s="2">
        <v>2017</v>
      </c>
      <c r="B405" s="2" t="s">
        <v>222</v>
      </c>
      <c r="C405" t="s">
        <v>106</v>
      </c>
      <c r="D405" s="1">
        <v>117465</v>
      </c>
      <c r="E405" t="s">
        <v>23</v>
      </c>
      <c r="F405" t="s">
        <v>7</v>
      </c>
      <c r="G405">
        <v>63.8</v>
      </c>
      <c r="H405">
        <v>10</v>
      </c>
      <c r="I405">
        <v>1</v>
      </c>
      <c r="J405">
        <v>1</v>
      </c>
      <c r="K405">
        <v>1</v>
      </c>
    </row>
    <row r="406" spans="1:11" x14ac:dyDescent="0.25">
      <c r="A406" s="2">
        <v>2017</v>
      </c>
      <c r="B406" s="2" t="s">
        <v>222</v>
      </c>
      <c r="C406" t="s">
        <v>106</v>
      </c>
      <c r="D406" s="1">
        <v>117465</v>
      </c>
      <c r="E406" t="s">
        <v>23</v>
      </c>
      <c r="F406" t="s">
        <v>11</v>
      </c>
      <c r="G406">
        <v>67.5</v>
      </c>
      <c r="H406">
        <v>10</v>
      </c>
      <c r="I406">
        <v>1</v>
      </c>
      <c r="J406">
        <v>1</v>
      </c>
      <c r="K406">
        <v>1</v>
      </c>
    </row>
    <row r="407" spans="1:11" x14ac:dyDescent="0.25">
      <c r="A407" s="2">
        <v>2017</v>
      </c>
      <c r="B407" s="2" t="s">
        <v>222</v>
      </c>
      <c r="C407" t="s">
        <v>106</v>
      </c>
      <c r="D407" s="1">
        <v>117465</v>
      </c>
      <c r="E407" t="s">
        <v>23</v>
      </c>
      <c r="F407" t="s">
        <v>9</v>
      </c>
      <c r="G407">
        <v>67.5</v>
      </c>
      <c r="H407">
        <v>10</v>
      </c>
      <c r="I407">
        <v>1</v>
      </c>
      <c r="J407">
        <v>1</v>
      </c>
      <c r="K407">
        <v>1</v>
      </c>
    </row>
    <row r="408" spans="1:11" x14ac:dyDescent="0.25">
      <c r="A408" s="2">
        <v>2017</v>
      </c>
      <c r="B408" s="2" t="s">
        <v>222</v>
      </c>
      <c r="C408" t="s">
        <v>106</v>
      </c>
      <c r="D408" s="1">
        <v>117465</v>
      </c>
      <c r="E408" t="s">
        <v>23</v>
      </c>
      <c r="F408" t="s">
        <v>8</v>
      </c>
      <c r="G408">
        <v>60</v>
      </c>
      <c r="H408">
        <v>10</v>
      </c>
      <c r="I408">
        <v>1</v>
      </c>
      <c r="J408">
        <v>1</v>
      </c>
      <c r="K408">
        <v>1</v>
      </c>
    </row>
    <row r="409" spans="1:11" x14ac:dyDescent="0.25">
      <c r="A409" s="2">
        <v>2017</v>
      </c>
      <c r="B409" s="2" t="s">
        <v>222</v>
      </c>
      <c r="C409" t="s">
        <v>106</v>
      </c>
      <c r="D409" s="1">
        <v>117465</v>
      </c>
      <c r="E409" t="s">
        <v>23</v>
      </c>
      <c r="F409" t="s">
        <v>10</v>
      </c>
      <c r="G409">
        <v>60</v>
      </c>
      <c r="H409">
        <v>10</v>
      </c>
      <c r="I409">
        <v>1</v>
      </c>
      <c r="J409">
        <v>1</v>
      </c>
      <c r="K409">
        <v>1</v>
      </c>
    </row>
    <row r="410" spans="1:11" x14ac:dyDescent="0.25">
      <c r="A410" s="2">
        <v>2017</v>
      </c>
      <c r="B410" s="2" t="s">
        <v>222</v>
      </c>
      <c r="C410" t="s">
        <v>106</v>
      </c>
      <c r="D410" s="1">
        <v>121681</v>
      </c>
      <c r="E410" t="s">
        <v>29</v>
      </c>
      <c r="F410" t="s">
        <v>12</v>
      </c>
      <c r="G410">
        <v>66.7</v>
      </c>
      <c r="H410">
        <v>6</v>
      </c>
      <c r="I410">
        <v>16</v>
      </c>
      <c r="J410">
        <v>5</v>
      </c>
      <c r="K410">
        <v>4</v>
      </c>
    </row>
    <row r="411" spans="1:11" x14ac:dyDescent="0.25">
      <c r="A411" s="2">
        <v>2017</v>
      </c>
      <c r="B411" s="2" t="s">
        <v>222</v>
      </c>
      <c r="C411" t="s">
        <v>106</v>
      </c>
      <c r="D411" s="1">
        <v>121681</v>
      </c>
      <c r="E411" t="s">
        <v>29</v>
      </c>
      <c r="F411" t="s">
        <v>7</v>
      </c>
      <c r="G411">
        <v>77.400000000000006</v>
      </c>
      <c r="H411">
        <v>6</v>
      </c>
      <c r="I411">
        <v>6</v>
      </c>
      <c r="J411">
        <v>1</v>
      </c>
      <c r="K411">
        <v>3</v>
      </c>
    </row>
    <row r="412" spans="1:11" x14ac:dyDescent="0.25">
      <c r="A412" s="2">
        <v>2017</v>
      </c>
      <c r="B412" s="2" t="s">
        <v>222</v>
      </c>
      <c r="C412" t="s">
        <v>106</v>
      </c>
      <c r="D412" s="1">
        <v>121681</v>
      </c>
      <c r="E412" t="s">
        <v>29</v>
      </c>
      <c r="F412" t="s">
        <v>11</v>
      </c>
      <c r="G412">
        <v>85</v>
      </c>
      <c r="H412">
        <v>5</v>
      </c>
      <c r="I412">
        <v>24</v>
      </c>
      <c r="J412">
        <v>15</v>
      </c>
      <c r="K412">
        <v>16</v>
      </c>
    </row>
    <row r="413" spans="1:11" x14ac:dyDescent="0.25">
      <c r="A413" s="2">
        <v>2017</v>
      </c>
      <c r="B413" s="2" t="s">
        <v>222</v>
      </c>
      <c r="C413" t="s">
        <v>106</v>
      </c>
      <c r="D413" s="1">
        <v>121681</v>
      </c>
      <c r="E413" t="s">
        <v>29</v>
      </c>
      <c r="F413" t="s">
        <v>9</v>
      </c>
      <c r="G413">
        <v>83.3</v>
      </c>
      <c r="H413">
        <v>6</v>
      </c>
      <c r="I413">
        <v>26</v>
      </c>
      <c r="J413">
        <v>23</v>
      </c>
      <c r="K413">
        <v>19</v>
      </c>
    </row>
    <row r="414" spans="1:11" x14ac:dyDescent="0.25">
      <c r="A414" s="2">
        <v>2017</v>
      </c>
      <c r="B414" s="2" t="s">
        <v>222</v>
      </c>
      <c r="C414" t="s">
        <v>106</v>
      </c>
      <c r="D414" s="1">
        <v>121681</v>
      </c>
      <c r="E414" t="s">
        <v>29</v>
      </c>
      <c r="F414" t="s">
        <v>8</v>
      </c>
      <c r="G414">
        <v>70.8</v>
      </c>
      <c r="H414">
        <v>6</v>
      </c>
      <c r="I414">
        <v>1</v>
      </c>
      <c r="J414">
        <v>1</v>
      </c>
      <c r="K414">
        <v>1</v>
      </c>
    </row>
    <row r="415" spans="1:11" x14ac:dyDescent="0.25">
      <c r="A415" s="2">
        <v>2017</v>
      </c>
      <c r="B415" s="2" t="s">
        <v>222</v>
      </c>
      <c r="C415" t="s">
        <v>106</v>
      </c>
      <c r="D415" s="1">
        <v>121681</v>
      </c>
      <c r="E415" t="s">
        <v>29</v>
      </c>
      <c r="F415" t="s">
        <v>10</v>
      </c>
      <c r="G415">
        <v>70.8</v>
      </c>
      <c r="H415">
        <v>6</v>
      </c>
      <c r="I415">
        <v>1</v>
      </c>
      <c r="J415">
        <v>1</v>
      </c>
      <c r="K415">
        <v>1</v>
      </c>
    </row>
    <row r="416" spans="1:11" x14ac:dyDescent="0.25">
      <c r="A416" s="2">
        <v>2017</v>
      </c>
      <c r="B416" s="2" t="s">
        <v>222</v>
      </c>
      <c r="C416" t="s">
        <v>106</v>
      </c>
      <c r="D416" s="1">
        <v>103275</v>
      </c>
      <c r="E416" t="s">
        <v>26</v>
      </c>
      <c r="F416" t="s">
        <v>12</v>
      </c>
      <c r="G416">
        <v>56.3</v>
      </c>
      <c r="H416">
        <v>12</v>
      </c>
      <c r="I416">
        <v>1</v>
      </c>
      <c r="J416">
        <v>1</v>
      </c>
      <c r="K416">
        <v>1</v>
      </c>
    </row>
    <row r="417" spans="1:11" x14ac:dyDescent="0.25">
      <c r="A417" s="2">
        <v>2017</v>
      </c>
      <c r="B417" s="2" t="s">
        <v>222</v>
      </c>
      <c r="C417" t="s">
        <v>106</v>
      </c>
      <c r="D417" s="1">
        <v>103275</v>
      </c>
      <c r="E417" t="s">
        <v>26</v>
      </c>
      <c r="F417" t="s">
        <v>7</v>
      </c>
      <c r="G417">
        <v>77.599999999999994</v>
      </c>
      <c r="H417">
        <v>12</v>
      </c>
      <c r="I417">
        <v>6</v>
      </c>
      <c r="J417">
        <v>1</v>
      </c>
      <c r="K417">
        <v>3</v>
      </c>
    </row>
    <row r="418" spans="1:11" x14ac:dyDescent="0.25">
      <c r="A418" s="2">
        <v>2017</v>
      </c>
      <c r="B418" s="2" t="s">
        <v>222</v>
      </c>
      <c r="C418" t="s">
        <v>106</v>
      </c>
      <c r="D418" s="1">
        <v>103275</v>
      </c>
      <c r="E418" t="s">
        <v>26</v>
      </c>
      <c r="F418" t="s">
        <v>11</v>
      </c>
      <c r="G418">
        <v>89.6</v>
      </c>
      <c r="H418">
        <v>12</v>
      </c>
      <c r="I418">
        <v>71</v>
      </c>
      <c r="J418">
        <v>55</v>
      </c>
      <c r="K418">
        <v>54</v>
      </c>
    </row>
    <row r="419" spans="1:11" x14ac:dyDescent="0.25">
      <c r="A419" s="2">
        <v>2017</v>
      </c>
      <c r="B419" s="2" t="s">
        <v>222</v>
      </c>
      <c r="C419" t="s">
        <v>106</v>
      </c>
      <c r="D419" s="1">
        <v>103275</v>
      </c>
      <c r="E419" t="s">
        <v>26</v>
      </c>
      <c r="F419" t="s">
        <v>9</v>
      </c>
      <c r="G419">
        <v>81.3</v>
      </c>
      <c r="H419">
        <v>12</v>
      </c>
      <c r="I419">
        <v>15</v>
      </c>
      <c r="J419">
        <v>12</v>
      </c>
      <c r="K419">
        <v>10</v>
      </c>
    </row>
    <row r="420" spans="1:11" x14ac:dyDescent="0.25">
      <c r="A420" s="2">
        <v>2017</v>
      </c>
      <c r="B420" s="2" t="s">
        <v>222</v>
      </c>
      <c r="C420" t="s">
        <v>106</v>
      </c>
      <c r="D420" s="1">
        <v>103275</v>
      </c>
      <c r="E420" t="s">
        <v>26</v>
      </c>
      <c r="F420" t="s">
        <v>8</v>
      </c>
      <c r="G420">
        <v>70.8</v>
      </c>
      <c r="H420">
        <v>12</v>
      </c>
      <c r="I420">
        <v>1</v>
      </c>
      <c r="J420">
        <v>1</v>
      </c>
      <c r="K420">
        <v>1</v>
      </c>
    </row>
    <row r="421" spans="1:11" x14ac:dyDescent="0.25">
      <c r="A421" s="2">
        <v>2017</v>
      </c>
      <c r="B421" s="2" t="s">
        <v>222</v>
      </c>
      <c r="C421" t="s">
        <v>106</v>
      </c>
      <c r="D421" s="1">
        <v>103275</v>
      </c>
      <c r="E421" t="s">
        <v>26</v>
      </c>
      <c r="F421" t="s">
        <v>10</v>
      </c>
      <c r="G421">
        <v>68.8</v>
      </c>
      <c r="H421">
        <v>12</v>
      </c>
      <c r="I421">
        <v>1</v>
      </c>
      <c r="J421">
        <v>1</v>
      </c>
      <c r="K421">
        <v>1</v>
      </c>
    </row>
    <row r="422" spans="1:11" x14ac:dyDescent="0.25">
      <c r="A422" s="2">
        <v>2017</v>
      </c>
      <c r="B422" s="2" t="s">
        <v>222</v>
      </c>
      <c r="C422" t="s">
        <v>106</v>
      </c>
      <c r="D422" s="1">
        <v>150441</v>
      </c>
      <c r="E422" t="s">
        <v>30</v>
      </c>
      <c r="F422" t="s">
        <v>12</v>
      </c>
      <c r="G422">
        <v>83.3</v>
      </c>
      <c r="H422">
        <v>9</v>
      </c>
      <c r="I422">
        <v>90</v>
      </c>
      <c r="J422">
        <v>66</v>
      </c>
      <c r="K422">
        <v>65</v>
      </c>
    </row>
    <row r="423" spans="1:11" x14ac:dyDescent="0.25">
      <c r="A423" s="2">
        <v>2017</v>
      </c>
      <c r="B423" s="2" t="s">
        <v>222</v>
      </c>
      <c r="C423" t="s">
        <v>106</v>
      </c>
      <c r="D423" s="1">
        <v>150441</v>
      </c>
      <c r="E423" t="s">
        <v>30</v>
      </c>
      <c r="F423" t="s">
        <v>7</v>
      </c>
      <c r="G423">
        <v>83.3</v>
      </c>
      <c r="H423">
        <v>9</v>
      </c>
      <c r="I423">
        <v>36</v>
      </c>
      <c r="J423">
        <v>24</v>
      </c>
      <c r="K423">
        <v>21</v>
      </c>
    </row>
    <row r="424" spans="1:11" x14ac:dyDescent="0.25">
      <c r="A424" s="2">
        <v>2017</v>
      </c>
      <c r="B424" s="2" t="s">
        <v>222</v>
      </c>
      <c r="C424" t="s">
        <v>106</v>
      </c>
      <c r="D424" s="1">
        <v>150441</v>
      </c>
      <c r="E424" t="s">
        <v>30</v>
      </c>
      <c r="F424" t="s">
        <v>11</v>
      </c>
      <c r="G424">
        <v>83.3</v>
      </c>
      <c r="H424">
        <v>9</v>
      </c>
      <c r="I424">
        <v>12</v>
      </c>
      <c r="J424">
        <v>5</v>
      </c>
      <c r="K424">
        <v>9</v>
      </c>
    </row>
    <row r="425" spans="1:11" x14ac:dyDescent="0.25">
      <c r="A425" s="2">
        <v>2017</v>
      </c>
      <c r="B425" s="2" t="s">
        <v>222</v>
      </c>
      <c r="C425" t="s">
        <v>106</v>
      </c>
      <c r="D425" s="1">
        <v>150441</v>
      </c>
      <c r="E425" t="s">
        <v>30</v>
      </c>
      <c r="F425" t="s">
        <v>9</v>
      </c>
      <c r="G425">
        <v>83.3</v>
      </c>
      <c r="H425">
        <v>9</v>
      </c>
      <c r="I425">
        <v>26</v>
      </c>
      <c r="J425">
        <v>23</v>
      </c>
      <c r="K425">
        <v>19</v>
      </c>
    </row>
    <row r="426" spans="1:11" x14ac:dyDescent="0.25">
      <c r="A426" s="2">
        <v>2017</v>
      </c>
      <c r="B426" s="2" t="s">
        <v>222</v>
      </c>
      <c r="C426" t="s">
        <v>106</v>
      </c>
      <c r="D426" s="1">
        <v>150441</v>
      </c>
      <c r="E426" t="s">
        <v>30</v>
      </c>
      <c r="F426" t="s">
        <v>8</v>
      </c>
      <c r="G426">
        <v>83.3</v>
      </c>
      <c r="H426">
        <v>9</v>
      </c>
      <c r="I426">
        <v>48</v>
      </c>
      <c r="J426">
        <v>38</v>
      </c>
      <c r="K426">
        <v>31</v>
      </c>
    </row>
    <row r="427" spans="1:11" x14ac:dyDescent="0.25">
      <c r="A427" s="2">
        <v>2017</v>
      </c>
      <c r="B427" s="2" t="s">
        <v>222</v>
      </c>
      <c r="C427" t="s">
        <v>106</v>
      </c>
      <c r="D427" s="1">
        <v>150441</v>
      </c>
      <c r="E427" t="s">
        <v>30</v>
      </c>
      <c r="F427" t="s">
        <v>10</v>
      </c>
      <c r="G427">
        <v>83.3</v>
      </c>
      <c r="H427">
        <v>9</v>
      </c>
      <c r="I427">
        <v>51</v>
      </c>
      <c r="J427">
        <v>39</v>
      </c>
      <c r="K427">
        <v>30</v>
      </c>
    </row>
    <row r="428" spans="1:11" x14ac:dyDescent="0.25">
      <c r="A428" s="2">
        <v>2017</v>
      </c>
      <c r="B428" s="2" t="s">
        <v>222</v>
      </c>
      <c r="C428" t="s">
        <v>106</v>
      </c>
      <c r="D428" s="1">
        <v>152587</v>
      </c>
      <c r="E428" t="s">
        <v>28</v>
      </c>
      <c r="F428" t="s">
        <v>12</v>
      </c>
      <c r="G428">
        <v>65</v>
      </c>
      <c r="H428">
        <v>10</v>
      </c>
      <c r="I428">
        <v>12</v>
      </c>
      <c r="J428">
        <v>3</v>
      </c>
      <c r="K428">
        <v>3</v>
      </c>
    </row>
    <row r="429" spans="1:11" x14ac:dyDescent="0.25">
      <c r="A429" s="2">
        <v>2017</v>
      </c>
      <c r="B429" s="2" t="s">
        <v>222</v>
      </c>
      <c r="C429" t="s">
        <v>106</v>
      </c>
      <c r="D429" s="1">
        <v>152587</v>
      </c>
      <c r="E429" t="s">
        <v>28</v>
      </c>
      <c r="F429" t="s">
        <v>7</v>
      </c>
      <c r="G429">
        <v>73.099999999999994</v>
      </c>
      <c r="H429">
        <v>10</v>
      </c>
      <c r="I429">
        <v>1</v>
      </c>
      <c r="J429">
        <v>1</v>
      </c>
      <c r="K429">
        <v>1</v>
      </c>
    </row>
    <row r="430" spans="1:11" x14ac:dyDescent="0.25">
      <c r="A430" s="2">
        <v>2017</v>
      </c>
      <c r="B430" s="2" t="s">
        <v>222</v>
      </c>
      <c r="C430" t="s">
        <v>106</v>
      </c>
      <c r="D430" s="1">
        <v>152587</v>
      </c>
      <c r="E430" t="s">
        <v>28</v>
      </c>
      <c r="F430" t="s">
        <v>11</v>
      </c>
      <c r="G430">
        <v>80</v>
      </c>
      <c r="H430">
        <v>10</v>
      </c>
      <c r="I430">
        <v>4</v>
      </c>
      <c r="J430">
        <v>1</v>
      </c>
      <c r="K430">
        <v>3</v>
      </c>
    </row>
    <row r="431" spans="1:11" x14ac:dyDescent="0.25">
      <c r="A431" s="2">
        <v>2017</v>
      </c>
      <c r="B431" s="2" t="s">
        <v>222</v>
      </c>
      <c r="C431" t="s">
        <v>106</v>
      </c>
      <c r="D431" s="1">
        <v>152587</v>
      </c>
      <c r="E431" t="s">
        <v>28</v>
      </c>
      <c r="F431" t="s">
        <v>9</v>
      </c>
      <c r="G431">
        <v>75</v>
      </c>
      <c r="H431">
        <v>10</v>
      </c>
      <c r="I431">
        <v>2</v>
      </c>
      <c r="J431">
        <v>1</v>
      </c>
      <c r="K431">
        <v>2</v>
      </c>
    </row>
    <row r="432" spans="1:11" x14ac:dyDescent="0.25">
      <c r="A432" s="2">
        <v>2017</v>
      </c>
      <c r="B432" s="2" t="s">
        <v>222</v>
      </c>
      <c r="C432" t="s">
        <v>106</v>
      </c>
      <c r="D432" s="1">
        <v>152587</v>
      </c>
      <c r="E432" t="s">
        <v>28</v>
      </c>
      <c r="F432" t="s">
        <v>8</v>
      </c>
      <c r="G432">
        <v>65</v>
      </c>
      <c r="H432">
        <v>10</v>
      </c>
      <c r="I432">
        <v>1</v>
      </c>
      <c r="J432">
        <v>1</v>
      </c>
      <c r="K432">
        <v>1</v>
      </c>
    </row>
    <row r="433" spans="1:11" x14ac:dyDescent="0.25">
      <c r="A433" s="2">
        <v>2017</v>
      </c>
      <c r="B433" s="2" t="s">
        <v>222</v>
      </c>
      <c r="C433" t="s">
        <v>106</v>
      </c>
      <c r="D433" s="1">
        <v>152587</v>
      </c>
      <c r="E433" t="s">
        <v>28</v>
      </c>
      <c r="F433" t="s">
        <v>10</v>
      </c>
      <c r="G433">
        <v>72.5</v>
      </c>
      <c r="H433">
        <v>10</v>
      </c>
      <c r="I433">
        <v>2</v>
      </c>
      <c r="J433">
        <v>1</v>
      </c>
      <c r="K433">
        <v>1</v>
      </c>
    </row>
    <row r="434" spans="1:11" x14ac:dyDescent="0.25">
      <c r="A434" s="2">
        <v>2017</v>
      </c>
      <c r="B434" s="2" t="s">
        <v>222</v>
      </c>
      <c r="C434" t="s">
        <v>106</v>
      </c>
      <c r="D434" s="1">
        <v>149344</v>
      </c>
      <c r="E434" t="s">
        <v>35</v>
      </c>
      <c r="F434" t="s">
        <v>12</v>
      </c>
      <c r="G434">
        <v>68.8</v>
      </c>
      <c r="H434">
        <v>4</v>
      </c>
      <c r="I434">
        <v>24</v>
      </c>
      <c r="J434">
        <v>7</v>
      </c>
      <c r="K434">
        <v>7</v>
      </c>
    </row>
    <row r="435" spans="1:11" x14ac:dyDescent="0.25">
      <c r="A435" s="2">
        <v>2017</v>
      </c>
      <c r="B435" s="2" t="s">
        <v>222</v>
      </c>
      <c r="C435" t="s">
        <v>106</v>
      </c>
      <c r="D435" s="1">
        <v>149344</v>
      </c>
      <c r="E435" t="s">
        <v>35</v>
      </c>
      <c r="F435" t="s">
        <v>7</v>
      </c>
      <c r="G435">
        <v>74</v>
      </c>
      <c r="H435">
        <v>4</v>
      </c>
      <c r="I435">
        <v>1</v>
      </c>
      <c r="J435">
        <v>1</v>
      </c>
      <c r="K435">
        <v>1</v>
      </c>
    </row>
    <row r="436" spans="1:11" x14ac:dyDescent="0.25">
      <c r="A436" s="2">
        <v>2017</v>
      </c>
      <c r="B436" s="2" t="s">
        <v>222</v>
      </c>
      <c r="C436" t="s">
        <v>106</v>
      </c>
      <c r="D436" s="1">
        <v>149344</v>
      </c>
      <c r="E436" t="s">
        <v>35</v>
      </c>
      <c r="F436" t="s">
        <v>11</v>
      </c>
      <c r="G436">
        <v>81.3</v>
      </c>
      <c r="H436">
        <v>4</v>
      </c>
      <c r="I436">
        <v>7</v>
      </c>
      <c r="J436">
        <v>1</v>
      </c>
      <c r="K436">
        <v>4</v>
      </c>
    </row>
    <row r="437" spans="1:11" x14ac:dyDescent="0.25">
      <c r="A437" s="2">
        <v>2017</v>
      </c>
      <c r="B437" s="2" t="s">
        <v>222</v>
      </c>
      <c r="C437" t="s">
        <v>106</v>
      </c>
      <c r="D437" s="1">
        <v>149344</v>
      </c>
      <c r="E437" t="s">
        <v>35</v>
      </c>
      <c r="F437" t="s">
        <v>9</v>
      </c>
      <c r="G437">
        <v>83.3</v>
      </c>
      <c r="H437">
        <v>3</v>
      </c>
      <c r="I437">
        <v>26</v>
      </c>
      <c r="J437">
        <v>23</v>
      </c>
      <c r="K437">
        <v>19</v>
      </c>
    </row>
    <row r="438" spans="1:11" x14ac:dyDescent="0.25">
      <c r="A438" s="2">
        <v>2017</v>
      </c>
      <c r="B438" s="2" t="s">
        <v>222</v>
      </c>
      <c r="C438" t="s">
        <v>106</v>
      </c>
      <c r="D438" s="1">
        <v>149344</v>
      </c>
      <c r="E438" t="s">
        <v>35</v>
      </c>
      <c r="F438" t="s">
        <v>8</v>
      </c>
      <c r="G438">
        <v>68.8</v>
      </c>
      <c r="H438">
        <v>4</v>
      </c>
      <c r="I438">
        <v>1</v>
      </c>
      <c r="J438">
        <v>1</v>
      </c>
      <c r="K438">
        <v>1</v>
      </c>
    </row>
    <row r="439" spans="1:11" x14ac:dyDescent="0.25">
      <c r="A439" s="2">
        <v>2017</v>
      </c>
      <c r="B439" s="2" t="s">
        <v>222</v>
      </c>
      <c r="C439" t="s">
        <v>106</v>
      </c>
      <c r="D439" s="1">
        <v>149344</v>
      </c>
      <c r="E439" t="s">
        <v>35</v>
      </c>
      <c r="F439" t="s">
        <v>10</v>
      </c>
      <c r="G439">
        <v>68.8</v>
      </c>
      <c r="H439">
        <v>4</v>
      </c>
      <c r="I439">
        <v>1</v>
      </c>
      <c r="J439">
        <v>1</v>
      </c>
      <c r="K439">
        <v>1</v>
      </c>
    </row>
    <row r="440" spans="1:11" x14ac:dyDescent="0.25">
      <c r="A440" s="2">
        <v>2017</v>
      </c>
      <c r="B440" s="2" t="s">
        <v>222</v>
      </c>
      <c r="C440" t="s">
        <v>106</v>
      </c>
      <c r="D440" s="1">
        <v>117440</v>
      </c>
      <c r="E440" t="s">
        <v>32</v>
      </c>
      <c r="F440" t="s">
        <v>12</v>
      </c>
      <c r="G440">
        <v>62.5</v>
      </c>
      <c r="H440">
        <v>8</v>
      </c>
      <c r="I440">
        <v>5</v>
      </c>
      <c r="J440">
        <v>3</v>
      </c>
      <c r="K440">
        <v>2</v>
      </c>
    </row>
    <row r="441" spans="1:11" x14ac:dyDescent="0.25">
      <c r="A441" s="2">
        <v>2017</v>
      </c>
      <c r="B441" s="2" t="s">
        <v>222</v>
      </c>
      <c r="C441" t="s">
        <v>106</v>
      </c>
      <c r="D441" s="1">
        <v>117440</v>
      </c>
      <c r="E441" t="s">
        <v>32</v>
      </c>
      <c r="F441" t="s">
        <v>7</v>
      </c>
      <c r="G441">
        <v>58.6</v>
      </c>
      <c r="H441">
        <v>8</v>
      </c>
      <c r="I441">
        <v>1</v>
      </c>
      <c r="J441">
        <v>1</v>
      </c>
      <c r="K441">
        <v>1</v>
      </c>
    </row>
    <row r="442" spans="1:11" x14ac:dyDescent="0.25">
      <c r="A442" s="2">
        <v>2017</v>
      </c>
      <c r="B442" s="2" t="s">
        <v>222</v>
      </c>
      <c r="C442" t="s">
        <v>106</v>
      </c>
      <c r="D442" s="1">
        <v>117440</v>
      </c>
      <c r="E442" t="s">
        <v>32</v>
      </c>
      <c r="F442" t="s">
        <v>11</v>
      </c>
      <c r="G442">
        <v>59.4</v>
      </c>
      <c r="H442">
        <v>8</v>
      </c>
      <c r="I442">
        <v>1</v>
      </c>
      <c r="J442">
        <v>1</v>
      </c>
      <c r="K442">
        <v>1</v>
      </c>
    </row>
    <row r="443" spans="1:11" x14ac:dyDescent="0.25">
      <c r="A443" s="2">
        <v>2017</v>
      </c>
      <c r="B443" s="2" t="s">
        <v>222</v>
      </c>
      <c r="C443" t="s">
        <v>106</v>
      </c>
      <c r="D443" s="1">
        <v>117440</v>
      </c>
      <c r="E443" t="s">
        <v>32</v>
      </c>
      <c r="F443" t="s">
        <v>9</v>
      </c>
      <c r="G443">
        <v>59.4</v>
      </c>
      <c r="H443">
        <v>8</v>
      </c>
      <c r="I443">
        <v>1</v>
      </c>
      <c r="J443">
        <v>1</v>
      </c>
      <c r="K443">
        <v>1</v>
      </c>
    </row>
    <row r="444" spans="1:11" x14ac:dyDescent="0.25">
      <c r="A444" s="2">
        <v>2017</v>
      </c>
      <c r="B444" s="2" t="s">
        <v>222</v>
      </c>
      <c r="C444" t="s">
        <v>106</v>
      </c>
      <c r="D444" s="1">
        <v>117440</v>
      </c>
      <c r="E444" t="s">
        <v>32</v>
      </c>
      <c r="F444" t="s">
        <v>8</v>
      </c>
      <c r="G444">
        <v>59.4</v>
      </c>
      <c r="H444">
        <v>8</v>
      </c>
      <c r="I444">
        <v>1</v>
      </c>
      <c r="J444">
        <v>1</v>
      </c>
      <c r="K444">
        <v>1</v>
      </c>
    </row>
    <row r="445" spans="1:11" x14ac:dyDescent="0.25">
      <c r="A445" s="2">
        <v>2017</v>
      </c>
      <c r="B445" s="2" t="s">
        <v>222</v>
      </c>
      <c r="C445" t="s">
        <v>106</v>
      </c>
      <c r="D445" s="1">
        <v>117440</v>
      </c>
      <c r="E445" t="s">
        <v>32</v>
      </c>
      <c r="F445" t="s">
        <v>10</v>
      </c>
      <c r="G445">
        <v>56.3</v>
      </c>
      <c r="H445">
        <v>8</v>
      </c>
      <c r="I445">
        <v>1</v>
      </c>
      <c r="J445">
        <v>1</v>
      </c>
      <c r="K445">
        <v>1</v>
      </c>
    </row>
    <row r="446" spans="1:11" x14ac:dyDescent="0.25">
      <c r="A446" s="2">
        <v>2017</v>
      </c>
      <c r="B446" s="2" t="s">
        <v>222</v>
      </c>
      <c r="C446" t="s">
        <v>106</v>
      </c>
      <c r="D446" s="1">
        <v>153700</v>
      </c>
      <c r="E446" t="s">
        <v>38</v>
      </c>
      <c r="F446" t="s">
        <v>12</v>
      </c>
      <c r="G446">
        <v>54.6</v>
      </c>
      <c r="H446">
        <v>11</v>
      </c>
      <c r="I446">
        <v>1</v>
      </c>
      <c r="J446">
        <v>1</v>
      </c>
      <c r="K446">
        <v>1</v>
      </c>
    </row>
    <row r="447" spans="1:11" x14ac:dyDescent="0.25">
      <c r="A447" s="2">
        <v>2017</v>
      </c>
      <c r="B447" s="2" t="s">
        <v>222</v>
      </c>
      <c r="C447" t="s">
        <v>106</v>
      </c>
      <c r="D447" s="1">
        <v>153700</v>
      </c>
      <c r="E447" t="s">
        <v>38</v>
      </c>
      <c r="F447" t="s">
        <v>7</v>
      </c>
      <c r="G447">
        <v>80.099999999999994</v>
      </c>
      <c r="H447">
        <v>11</v>
      </c>
      <c r="I447">
        <v>13</v>
      </c>
      <c r="J447">
        <v>7</v>
      </c>
      <c r="K447">
        <v>8</v>
      </c>
    </row>
    <row r="448" spans="1:11" x14ac:dyDescent="0.25">
      <c r="A448" s="2">
        <v>2017</v>
      </c>
      <c r="B448" s="2" t="s">
        <v>222</v>
      </c>
      <c r="C448" t="s">
        <v>106</v>
      </c>
      <c r="D448" s="1">
        <v>153700</v>
      </c>
      <c r="E448" t="s">
        <v>38</v>
      </c>
      <c r="F448" t="s">
        <v>11</v>
      </c>
      <c r="G448">
        <v>86.4</v>
      </c>
      <c r="H448">
        <v>11</v>
      </c>
      <c r="I448">
        <v>40</v>
      </c>
      <c r="J448">
        <v>26</v>
      </c>
      <c r="K448">
        <v>25</v>
      </c>
    </row>
    <row r="449" spans="1:11" x14ac:dyDescent="0.25">
      <c r="A449" s="2">
        <v>2017</v>
      </c>
      <c r="B449" s="2" t="s">
        <v>222</v>
      </c>
      <c r="C449" t="s">
        <v>106</v>
      </c>
      <c r="D449" s="1">
        <v>153700</v>
      </c>
      <c r="E449" t="s">
        <v>38</v>
      </c>
      <c r="F449" t="s">
        <v>9</v>
      </c>
      <c r="G449">
        <v>81.8</v>
      </c>
      <c r="H449">
        <v>11</v>
      </c>
      <c r="I449">
        <v>19</v>
      </c>
      <c r="J449">
        <v>13</v>
      </c>
      <c r="K449">
        <v>13</v>
      </c>
    </row>
    <row r="450" spans="1:11" x14ac:dyDescent="0.25">
      <c r="A450" s="2">
        <v>2017</v>
      </c>
      <c r="B450" s="2" t="s">
        <v>222</v>
      </c>
      <c r="C450" t="s">
        <v>106</v>
      </c>
      <c r="D450" s="1">
        <v>153700</v>
      </c>
      <c r="E450" t="s">
        <v>38</v>
      </c>
      <c r="F450" t="s">
        <v>8</v>
      </c>
      <c r="G450">
        <v>77.3</v>
      </c>
      <c r="H450">
        <v>11</v>
      </c>
      <c r="I450">
        <v>9</v>
      </c>
      <c r="J450">
        <v>6</v>
      </c>
      <c r="K450">
        <v>5</v>
      </c>
    </row>
    <row r="451" spans="1:11" x14ac:dyDescent="0.25">
      <c r="A451" s="2">
        <v>2017</v>
      </c>
      <c r="B451" s="2" t="s">
        <v>222</v>
      </c>
      <c r="C451" t="s">
        <v>106</v>
      </c>
      <c r="D451" s="1">
        <v>153700</v>
      </c>
      <c r="E451" t="s">
        <v>38</v>
      </c>
      <c r="F451" t="s">
        <v>10</v>
      </c>
      <c r="G451">
        <v>75</v>
      </c>
      <c r="H451">
        <v>11</v>
      </c>
      <c r="I451">
        <v>5</v>
      </c>
      <c r="J451">
        <v>1</v>
      </c>
      <c r="K451">
        <v>3</v>
      </c>
    </row>
    <row r="452" spans="1:11" x14ac:dyDescent="0.25">
      <c r="A452" s="2">
        <v>2017</v>
      </c>
      <c r="B452" s="2" t="s">
        <v>222</v>
      </c>
      <c r="C452" t="s">
        <v>106</v>
      </c>
      <c r="D452" s="1">
        <v>130674</v>
      </c>
      <c r="E452" t="s">
        <v>6</v>
      </c>
      <c r="F452" t="s">
        <v>12</v>
      </c>
      <c r="G452">
        <v>83.3</v>
      </c>
      <c r="H452">
        <v>3</v>
      </c>
      <c r="I452">
        <v>90</v>
      </c>
      <c r="J452">
        <v>66</v>
      </c>
      <c r="K452">
        <v>65</v>
      </c>
    </row>
    <row r="453" spans="1:11" x14ac:dyDescent="0.25">
      <c r="A453" s="2">
        <v>2017</v>
      </c>
      <c r="B453" s="2" t="s">
        <v>222</v>
      </c>
      <c r="C453" t="s">
        <v>106</v>
      </c>
      <c r="D453" s="1">
        <v>130674</v>
      </c>
      <c r="E453" t="s">
        <v>6</v>
      </c>
      <c r="F453" t="s">
        <v>7</v>
      </c>
      <c r="G453">
        <v>87.5</v>
      </c>
      <c r="H453">
        <v>3</v>
      </c>
      <c r="I453">
        <v>77</v>
      </c>
      <c r="J453">
        <v>59</v>
      </c>
      <c r="K453">
        <v>56</v>
      </c>
    </row>
    <row r="454" spans="1:11" x14ac:dyDescent="0.25">
      <c r="A454" s="2">
        <v>2017</v>
      </c>
      <c r="B454" s="2" t="s">
        <v>222</v>
      </c>
      <c r="C454" t="s">
        <v>106</v>
      </c>
      <c r="D454" s="1">
        <v>130674</v>
      </c>
      <c r="E454" t="s">
        <v>6</v>
      </c>
      <c r="F454" t="s">
        <v>11</v>
      </c>
      <c r="G454">
        <v>91.7</v>
      </c>
      <c r="H454">
        <v>3</v>
      </c>
      <c r="I454">
        <v>95</v>
      </c>
      <c r="J454">
        <v>80</v>
      </c>
      <c r="K454">
        <v>76</v>
      </c>
    </row>
    <row r="455" spans="1:11" x14ac:dyDescent="0.25">
      <c r="A455" s="2">
        <v>2017</v>
      </c>
      <c r="B455" s="2" t="s">
        <v>222</v>
      </c>
      <c r="C455" t="s">
        <v>106</v>
      </c>
      <c r="D455" s="1">
        <v>130674</v>
      </c>
      <c r="E455" t="s">
        <v>6</v>
      </c>
      <c r="F455" t="s">
        <v>9</v>
      </c>
      <c r="G455">
        <v>83.3</v>
      </c>
      <c r="H455">
        <v>3</v>
      </c>
      <c r="I455">
        <v>26</v>
      </c>
      <c r="J455">
        <v>23</v>
      </c>
      <c r="K455">
        <v>19</v>
      </c>
    </row>
    <row r="456" spans="1:11" x14ac:dyDescent="0.25">
      <c r="A456" s="2">
        <v>2017</v>
      </c>
      <c r="B456" s="2" t="s">
        <v>222</v>
      </c>
      <c r="C456" t="s">
        <v>106</v>
      </c>
      <c r="D456" s="1">
        <v>130674</v>
      </c>
      <c r="E456" t="s">
        <v>6</v>
      </c>
      <c r="F456" t="s">
        <v>8</v>
      </c>
      <c r="G456">
        <v>83.3</v>
      </c>
      <c r="H456">
        <v>3</v>
      </c>
      <c r="I456">
        <v>48</v>
      </c>
      <c r="J456">
        <v>38</v>
      </c>
      <c r="K456">
        <v>31</v>
      </c>
    </row>
    <row r="457" spans="1:11" x14ac:dyDescent="0.25">
      <c r="A457" s="2">
        <v>2017</v>
      </c>
      <c r="B457" s="2" t="s">
        <v>222</v>
      </c>
      <c r="C457" t="s">
        <v>106</v>
      </c>
      <c r="D457" s="1">
        <v>130674</v>
      </c>
      <c r="E457" t="s">
        <v>6</v>
      </c>
      <c r="F457" t="s">
        <v>10</v>
      </c>
      <c r="G457">
        <v>91.7</v>
      </c>
      <c r="H457">
        <v>3</v>
      </c>
      <c r="I457">
        <v>99</v>
      </c>
      <c r="J457">
        <v>97</v>
      </c>
      <c r="K457">
        <v>91</v>
      </c>
    </row>
    <row r="458" spans="1:11" x14ac:dyDescent="0.25">
      <c r="A458" s="2">
        <v>2017</v>
      </c>
      <c r="B458" s="2" t="s">
        <v>222</v>
      </c>
      <c r="C458" t="s">
        <v>106</v>
      </c>
      <c r="D458" s="1">
        <v>59899</v>
      </c>
      <c r="E458" t="s">
        <v>22</v>
      </c>
      <c r="F458" t="s">
        <v>12</v>
      </c>
      <c r="G458">
        <v>60.4</v>
      </c>
      <c r="H458">
        <v>12</v>
      </c>
      <c r="I458">
        <v>3</v>
      </c>
      <c r="J458">
        <v>2</v>
      </c>
      <c r="K458">
        <v>1</v>
      </c>
    </row>
    <row r="459" spans="1:11" x14ac:dyDescent="0.25">
      <c r="A459" s="2">
        <v>2017</v>
      </c>
      <c r="B459" s="2" t="s">
        <v>222</v>
      </c>
      <c r="C459" t="s">
        <v>106</v>
      </c>
      <c r="D459" s="1">
        <v>59899</v>
      </c>
      <c r="E459" t="s">
        <v>22</v>
      </c>
      <c r="F459" t="s">
        <v>7</v>
      </c>
      <c r="G459">
        <v>85.9</v>
      </c>
      <c r="H459">
        <v>12</v>
      </c>
      <c r="I459">
        <v>61</v>
      </c>
      <c r="J459">
        <v>48</v>
      </c>
      <c r="K459">
        <v>41</v>
      </c>
    </row>
    <row r="460" spans="1:11" x14ac:dyDescent="0.25">
      <c r="A460" s="2">
        <v>2017</v>
      </c>
      <c r="B460" s="2" t="s">
        <v>222</v>
      </c>
      <c r="C460" t="s">
        <v>106</v>
      </c>
      <c r="D460" s="1">
        <v>59899</v>
      </c>
      <c r="E460" t="s">
        <v>22</v>
      </c>
      <c r="F460" t="s">
        <v>11</v>
      </c>
      <c r="G460">
        <v>91.7</v>
      </c>
      <c r="H460">
        <v>12</v>
      </c>
      <c r="I460">
        <v>95</v>
      </c>
      <c r="J460">
        <v>80</v>
      </c>
      <c r="K460">
        <v>76</v>
      </c>
    </row>
    <row r="461" spans="1:11" x14ac:dyDescent="0.25">
      <c r="A461" s="2">
        <v>2017</v>
      </c>
      <c r="B461" s="2" t="s">
        <v>222</v>
      </c>
      <c r="C461" t="s">
        <v>106</v>
      </c>
      <c r="D461" s="1">
        <v>59899</v>
      </c>
      <c r="E461" t="s">
        <v>22</v>
      </c>
      <c r="F461" t="s">
        <v>9</v>
      </c>
      <c r="G461">
        <v>87.5</v>
      </c>
      <c r="H461">
        <v>12</v>
      </c>
      <c r="I461">
        <v>72</v>
      </c>
      <c r="J461">
        <v>58</v>
      </c>
      <c r="K461">
        <v>53</v>
      </c>
    </row>
    <row r="462" spans="1:11" x14ac:dyDescent="0.25">
      <c r="A462" s="2">
        <v>2017</v>
      </c>
      <c r="B462" s="2" t="s">
        <v>222</v>
      </c>
      <c r="C462" t="s">
        <v>106</v>
      </c>
      <c r="D462" s="1">
        <v>59899</v>
      </c>
      <c r="E462" t="s">
        <v>22</v>
      </c>
      <c r="F462" t="s">
        <v>8</v>
      </c>
      <c r="G462">
        <v>79.2</v>
      </c>
      <c r="H462">
        <v>12</v>
      </c>
      <c r="I462">
        <v>15</v>
      </c>
      <c r="J462">
        <v>10</v>
      </c>
      <c r="K462">
        <v>10</v>
      </c>
    </row>
    <row r="463" spans="1:11" x14ac:dyDescent="0.25">
      <c r="A463" s="2">
        <v>2017</v>
      </c>
      <c r="B463" s="2" t="s">
        <v>222</v>
      </c>
      <c r="C463" t="s">
        <v>106</v>
      </c>
      <c r="D463" s="1">
        <v>59899</v>
      </c>
      <c r="E463" t="s">
        <v>22</v>
      </c>
      <c r="F463" t="s">
        <v>10</v>
      </c>
      <c r="G463">
        <v>85.4</v>
      </c>
      <c r="H463">
        <v>12</v>
      </c>
      <c r="I463">
        <v>66</v>
      </c>
      <c r="J463">
        <v>50</v>
      </c>
      <c r="K463">
        <v>47</v>
      </c>
    </row>
    <row r="464" spans="1:11" x14ac:dyDescent="0.25">
      <c r="A464" s="2">
        <v>2017</v>
      </c>
      <c r="B464" s="2" t="s">
        <v>222</v>
      </c>
      <c r="C464" t="s">
        <v>106</v>
      </c>
      <c r="D464" s="1">
        <v>99093</v>
      </c>
      <c r="E464" t="s">
        <v>14</v>
      </c>
      <c r="F464" t="s">
        <v>12</v>
      </c>
      <c r="G464">
        <v>77.8</v>
      </c>
      <c r="H464">
        <v>9</v>
      </c>
      <c r="I464">
        <v>66</v>
      </c>
      <c r="J464">
        <v>36</v>
      </c>
      <c r="K464">
        <v>36</v>
      </c>
    </row>
    <row r="465" spans="1:11" x14ac:dyDescent="0.25">
      <c r="A465" s="2">
        <v>2017</v>
      </c>
      <c r="B465" s="2" t="s">
        <v>222</v>
      </c>
      <c r="C465" t="s">
        <v>106</v>
      </c>
      <c r="D465" s="1">
        <v>99093</v>
      </c>
      <c r="E465" t="s">
        <v>14</v>
      </c>
      <c r="F465" t="s">
        <v>7</v>
      </c>
      <c r="G465">
        <v>85.4</v>
      </c>
      <c r="H465">
        <v>9</v>
      </c>
      <c r="I465">
        <v>56</v>
      </c>
      <c r="J465">
        <v>44</v>
      </c>
      <c r="K465">
        <v>37</v>
      </c>
    </row>
    <row r="466" spans="1:11" x14ac:dyDescent="0.25">
      <c r="A466" s="2">
        <v>2017</v>
      </c>
      <c r="B466" s="2" t="s">
        <v>222</v>
      </c>
      <c r="C466" t="s">
        <v>106</v>
      </c>
      <c r="D466" s="1">
        <v>99093</v>
      </c>
      <c r="E466" t="s">
        <v>14</v>
      </c>
      <c r="F466" t="s">
        <v>11</v>
      </c>
      <c r="G466">
        <v>86.1</v>
      </c>
      <c r="H466">
        <v>9</v>
      </c>
      <c r="I466">
        <v>38</v>
      </c>
      <c r="J466">
        <v>24</v>
      </c>
      <c r="K466">
        <v>23</v>
      </c>
    </row>
    <row r="467" spans="1:11" x14ac:dyDescent="0.25">
      <c r="A467" s="2">
        <v>2017</v>
      </c>
      <c r="B467" s="2" t="s">
        <v>222</v>
      </c>
      <c r="C467" t="s">
        <v>106</v>
      </c>
      <c r="D467" s="1">
        <v>99093</v>
      </c>
      <c r="E467" t="s">
        <v>14</v>
      </c>
      <c r="F467" t="s">
        <v>9</v>
      </c>
      <c r="G467">
        <v>81.3</v>
      </c>
      <c r="H467">
        <v>8</v>
      </c>
      <c r="I467">
        <v>15</v>
      </c>
      <c r="J467">
        <v>12</v>
      </c>
      <c r="K467">
        <v>10</v>
      </c>
    </row>
    <row r="468" spans="1:11" x14ac:dyDescent="0.25">
      <c r="A468" s="2">
        <v>2017</v>
      </c>
      <c r="B468" s="2" t="s">
        <v>222</v>
      </c>
      <c r="C468" t="s">
        <v>106</v>
      </c>
      <c r="D468" s="1">
        <v>99093</v>
      </c>
      <c r="E468" t="s">
        <v>14</v>
      </c>
      <c r="F468" t="s">
        <v>8</v>
      </c>
      <c r="G468">
        <v>86.1</v>
      </c>
      <c r="H468">
        <v>9</v>
      </c>
      <c r="I468">
        <v>78</v>
      </c>
      <c r="J468">
        <v>59</v>
      </c>
      <c r="K468">
        <v>54</v>
      </c>
    </row>
    <row r="469" spans="1:11" x14ac:dyDescent="0.25">
      <c r="A469" s="2">
        <v>2017</v>
      </c>
      <c r="B469" s="2" t="s">
        <v>222</v>
      </c>
      <c r="C469" t="s">
        <v>106</v>
      </c>
      <c r="D469" s="1">
        <v>99093</v>
      </c>
      <c r="E469" t="s">
        <v>14</v>
      </c>
      <c r="F469" t="s">
        <v>10</v>
      </c>
      <c r="G469">
        <v>86.1</v>
      </c>
      <c r="H469">
        <v>9</v>
      </c>
      <c r="I469">
        <v>74</v>
      </c>
      <c r="J469">
        <v>57</v>
      </c>
      <c r="K469">
        <v>53</v>
      </c>
    </row>
    <row r="470" spans="1:11" x14ac:dyDescent="0.25">
      <c r="A470" s="2">
        <v>2017</v>
      </c>
      <c r="B470" s="2" t="s">
        <v>222</v>
      </c>
      <c r="C470" t="s">
        <v>106</v>
      </c>
      <c r="D470" s="1">
        <v>70375</v>
      </c>
      <c r="E470" t="s">
        <v>24</v>
      </c>
      <c r="F470" t="s">
        <v>12</v>
      </c>
      <c r="G470">
        <v>66.2</v>
      </c>
      <c r="H470">
        <v>17</v>
      </c>
      <c r="I470">
        <v>16</v>
      </c>
      <c r="J470">
        <v>4</v>
      </c>
      <c r="K470">
        <v>4</v>
      </c>
    </row>
    <row r="471" spans="1:11" x14ac:dyDescent="0.25">
      <c r="A471" s="2">
        <v>2017</v>
      </c>
      <c r="B471" s="2" t="s">
        <v>222</v>
      </c>
      <c r="C471" t="s">
        <v>106</v>
      </c>
      <c r="D471" s="1">
        <v>70375</v>
      </c>
      <c r="E471" t="s">
        <v>24</v>
      </c>
      <c r="F471" t="s">
        <v>7</v>
      </c>
      <c r="G471">
        <v>80.599999999999994</v>
      </c>
      <c r="H471">
        <v>18</v>
      </c>
      <c r="I471">
        <v>14</v>
      </c>
      <c r="J471">
        <v>9</v>
      </c>
      <c r="K471">
        <v>9</v>
      </c>
    </row>
    <row r="472" spans="1:11" x14ac:dyDescent="0.25">
      <c r="A472" s="2">
        <v>2017</v>
      </c>
      <c r="B472" s="2" t="s">
        <v>222</v>
      </c>
      <c r="C472" t="s">
        <v>106</v>
      </c>
      <c r="D472" s="1">
        <v>70375</v>
      </c>
      <c r="E472" t="s">
        <v>24</v>
      </c>
      <c r="F472" t="s">
        <v>11</v>
      </c>
      <c r="G472">
        <v>84.7</v>
      </c>
      <c r="H472">
        <v>18</v>
      </c>
      <c r="I472">
        <v>22</v>
      </c>
      <c r="J472">
        <v>15</v>
      </c>
      <c r="K472">
        <v>15</v>
      </c>
    </row>
    <row r="473" spans="1:11" x14ac:dyDescent="0.25">
      <c r="A473" s="2">
        <v>2017</v>
      </c>
      <c r="B473" s="2" t="s">
        <v>222</v>
      </c>
      <c r="C473" t="s">
        <v>106</v>
      </c>
      <c r="D473" s="1">
        <v>70375</v>
      </c>
      <c r="E473" t="s">
        <v>24</v>
      </c>
      <c r="F473" t="s">
        <v>9</v>
      </c>
      <c r="G473">
        <v>83.3</v>
      </c>
      <c r="H473">
        <v>18</v>
      </c>
      <c r="I473">
        <v>26</v>
      </c>
      <c r="J473">
        <v>23</v>
      </c>
      <c r="K473">
        <v>19</v>
      </c>
    </row>
    <row r="474" spans="1:11" x14ac:dyDescent="0.25">
      <c r="A474" s="2">
        <v>2017</v>
      </c>
      <c r="B474" s="2" t="s">
        <v>222</v>
      </c>
      <c r="C474" t="s">
        <v>106</v>
      </c>
      <c r="D474" s="1">
        <v>70375</v>
      </c>
      <c r="E474" t="s">
        <v>24</v>
      </c>
      <c r="F474" t="s">
        <v>8</v>
      </c>
      <c r="G474">
        <v>76.400000000000006</v>
      </c>
      <c r="H474">
        <v>18</v>
      </c>
      <c r="I474">
        <v>9</v>
      </c>
      <c r="J474">
        <v>4</v>
      </c>
      <c r="K474">
        <v>4</v>
      </c>
    </row>
    <row r="475" spans="1:11" x14ac:dyDescent="0.25">
      <c r="A475" s="2">
        <v>2017</v>
      </c>
      <c r="B475" s="2" t="s">
        <v>222</v>
      </c>
      <c r="C475" t="s">
        <v>106</v>
      </c>
      <c r="D475" s="1">
        <v>70375</v>
      </c>
      <c r="E475" t="s">
        <v>24</v>
      </c>
      <c r="F475" t="s">
        <v>10</v>
      </c>
      <c r="G475">
        <v>77.8</v>
      </c>
      <c r="H475">
        <v>18</v>
      </c>
      <c r="I475">
        <v>11</v>
      </c>
      <c r="J475">
        <v>5</v>
      </c>
      <c r="K475">
        <v>6</v>
      </c>
    </row>
    <row r="476" spans="1:11" x14ac:dyDescent="0.25">
      <c r="A476" s="2">
        <v>2017</v>
      </c>
      <c r="B476" s="2" t="s">
        <v>222</v>
      </c>
      <c r="C476" t="s">
        <v>106</v>
      </c>
      <c r="D476" s="1">
        <v>70359</v>
      </c>
      <c r="E476" t="s">
        <v>19</v>
      </c>
      <c r="F476" t="s">
        <v>12</v>
      </c>
      <c r="G476">
        <v>58.3</v>
      </c>
      <c r="H476">
        <v>3</v>
      </c>
      <c r="I476">
        <v>1</v>
      </c>
      <c r="J476">
        <v>2</v>
      </c>
      <c r="K476">
        <v>1</v>
      </c>
    </row>
    <row r="477" spans="1:11" x14ac:dyDescent="0.25">
      <c r="A477" s="2">
        <v>2017</v>
      </c>
      <c r="B477" s="2" t="s">
        <v>222</v>
      </c>
      <c r="C477" t="s">
        <v>106</v>
      </c>
      <c r="D477" s="1">
        <v>70359</v>
      </c>
      <c r="E477" t="s">
        <v>19</v>
      </c>
      <c r="F477" t="s">
        <v>7</v>
      </c>
      <c r="G477">
        <v>100</v>
      </c>
      <c r="H477">
        <v>3</v>
      </c>
      <c r="I477">
        <v>99</v>
      </c>
      <c r="J477">
        <v>99</v>
      </c>
      <c r="K477">
        <v>99</v>
      </c>
    </row>
    <row r="478" spans="1:11" x14ac:dyDescent="0.25">
      <c r="A478" s="2">
        <v>2017</v>
      </c>
      <c r="B478" s="2" t="s">
        <v>222</v>
      </c>
      <c r="C478" t="s">
        <v>106</v>
      </c>
      <c r="D478" s="1">
        <v>70359</v>
      </c>
      <c r="E478" t="s">
        <v>19</v>
      </c>
      <c r="F478" t="s">
        <v>11</v>
      </c>
      <c r="G478">
        <v>100</v>
      </c>
      <c r="H478">
        <v>3</v>
      </c>
      <c r="I478">
        <v>99</v>
      </c>
      <c r="J478">
        <v>99</v>
      </c>
      <c r="K478">
        <v>99</v>
      </c>
    </row>
    <row r="479" spans="1:11" x14ac:dyDescent="0.25">
      <c r="A479" s="2">
        <v>2017</v>
      </c>
      <c r="B479" s="2" t="s">
        <v>222</v>
      </c>
      <c r="C479" t="s">
        <v>106</v>
      </c>
      <c r="D479" s="1">
        <v>70359</v>
      </c>
      <c r="E479" t="s">
        <v>19</v>
      </c>
      <c r="F479" t="s">
        <v>9</v>
      </c>
      <c r="G479">
        <v>100</v>
      </c>
      <c r="H479">
        <v>3</v>
      </c>
      <c r="I479">
        <v>99</v>
      </c>
      <c r="J479">
        <v>99</v>
      </c>
      <c r="K479">
        <v>99</v>
      </c>
    </row>
    <row r="480" spans="1:11" x14ac:dyDescent="0.25">
      <c r="A480" s="2">
        <v>2017</v>
      </c>
      <c r="B480" s="2" t="s">
        <v>222</v>
      </c>
      <c r="C480" t="s">
        <v>106</v>
      </c>
      <c r="D480" s="1">
        <v>70359</v>
      </c>
      <c r="E480" t="s">
        <v>19</v>
      </c>
      <c r="F480" t="s">
        <v>8</v>
      </c>
      <c r="G480">
        <v>100</v>
      </c>
      <c r="H480">
        <v>3</v>
      </c>
      <c r="I480">
        <v>99</v>
      </c>
      <c r="J480">
        <v>99</v>
      </c>
      <c r="K480">
        <v>99</v>
      </c>
    </row>
    <row r="481" spans="1:11" x14ac:dyDescent="0.25">
      <c r="A481" s="2">
        <v>2017</v>
      </c>
      <c r="B481" s="2" t="s">
        <v>222</v>
      </c>
      <c r="C481" t="s">
        <v>106</v>
      </c>
      <c r="D481" s="1">
        <v>70359</v>
      </c>
      <c r="E481" t="s">
        <v>19</v>
      </c>
      <c r="F481" t="s">
        <v>10</v>
      </c>
      <c r="G481">
        <v>100</v>
      </c>
      <c r="H481">
        <v>3</v>
      </c>
      <c r="I481">
        <v>99</v>
      </c>
      <c r="J481">
        <v>99</v>
      </c>
      <c r="K481">
        <v>99</v>
      </c>
    </row>
    <row r="482" spans="1:11" x14ac:dyDescent="0.25">
      <c r="A482" s="2">
        <v>2017</v>
      </c>
      <c r="B482" s="2" t="s">
        <v>222</v>
      </c>
      <c r="C482" t="s">
        <v>106</v>
      </c>
      <c r="D482" s="1">
        <v>99911</v>
      </c>
      <c r="E482" t="s">
        <v>33</v>
      </c>
      <c r="F482" t="s">
        <v>12</v>
      </c>
      <c r="G482">
        <v>81.8</v>
      </c>
      <c r="H482">
        <v>11</v>
      </c>
      <c r="I482">
        <v>82</v>
      </c>
      <c r="J482">
        <v>56</v>
      </c>
      <c r="K482">
        <v>57</v>
      </c>
    </row>
    <row r="483" spans="1:11" x14ac:dyDescent="0.25">
      <c r="A483" s="2">
        <v>2017</v>
      </c>
      <c r="B483" s="2" t="s">
        <v>222</v>
      </c>
      <c r="C483" t="s">
        <v>106</v>
      </c>
      <c r="D483" s="1">
        <v>99911</v>
      </c>
      <c r="E483" t="s">
        <v>33</v>
      </c>
      <c r="F483" t="s">
        <v>7</v>
      </c>
      <c r="G483">
        <v>79</v>
      </c>
      <c r="H483">
        <v>12</v>
      </c>
      <c r="I483">
        <v>10</v>
      </c>
      <c r="J483">
        <v>5</v>
      </c>
      <c r="K483">
        <v>5</v>
      </c>
    </row>
    <row r="484" spans="1:11" x14ac:dyDescent="0.25">
      <c r="A484" s="2">
        <v>2017</v>
      </c>
      <c r="B484" s="2" t="s">
        <v>222</v>
      </c>
      <c r="C484" t="s">
        <v>106</v>
      </c>
      <c r="D484" s="1">
        <v>99911</v>
      </c>
      <c r="E484" t="s">
        <v>33</v>
      </c>
      <c r="F484" t="s">
        <v>11</v>
      </c>
      <c r="G484">
        <v>85.4</v>
      </c>
      <c r="H484">
        <v>12</v>
      </c>
      <c r="I484">
        <v>30</v>
      </c>
      <c r="J484">
        <v>17</v>
      </c>
      <c r="K484">
        <v>18</v>
      </c>
    </row>
    <row r="485" spans="1:11" x14ac:dyDescent="0.25">
      <c r="A485" s="2">
        <v>2017</v>
      </c>
      <c r="B485" s="2" t="s">
        <v>222</v>
      </c>
      <c r="C485" t="s">
        <v>106</v>
      </c>
      <c r="D485" s="1">
        <v>99911</v>
      </c>
      <c r="E485" t="s">
        <v>33</v>
      </c>
      <c r="F485" t="s">
        <v>9</v>
      </c>
      <c r="G485">
        <v>79.2</v>
      </c>
      <c r="H485">
        <v>12</v>
      </c>
      <c r="I485">
        <v>9</v>
      </c>
      <c r="J485">
        <v>5</v>
      </c>
      <c r="K485">
        <v>6</v>
      </c>
    </row>
    <row r="486" spans="1:11" x14ac:dyDescent="0.25">
      <c r="A486" s="2">
        <v>2017</v>
      </c>
      <c r="B486" s="2" t="s">
        <v>222</v>
      </c>
      <c r="C486" t="s">
        <v>106</v>
      </c>
      <c r="D486" s="1">
        <v>99911</v>
      </c>
      <c r="E486" t="s">
        <v>33</v>
      </c>
      <c r="F486" t="s">
        <v>8</v>
      </c>
      <c r="G486">
        <v>77.099999999999994</v>
      </c>
      <c r="H486">
        <v>12</v>
      </c>
      <c r="I486">
        <v>9</v>
      </c>
      <c r="J486">
        <v>5</v>
      </c>
      <c r="K486">
        <v>5</v>
      </c>
    </row>
    <row r="487" spans="1:11" x14ac:dyDescent="0.25">
      <c r="A487" s="2">
        <v>2017</v>
      </c>
      <c r="B487" s="2" t="s">
        <v>222</v>
      </c>
      <c r="C487" t="s">
        <v>106</v>
      </c>
      <c r="D487" s="1">
        <v>99911</v>
      </c>
      <c r="E487" t="s">
        <v>33</v>
      </c>
      <c r="F487" t="s">
        <v>10</v>
      </c>
      <c r="G487">
        <v>75</v>
      </c>
      <c r="H487">
        <v>11</v>
      </c>
      <c r="I487">
        <v>5</v>
      </c>
      <c r="J487">
        <v>1</v>
      </c>
      <c r="K487">
        <v>3</v>
      </c>
    </row>
    <row r="488" spans="1:11" x14ac:dyDescent="0.25">
      <c r="A488" s="2">
        <v>2017</v>
      </c>
      <c r="B488" s="2" t="s">
        <v>222</v>
      </c>
      <c r="C488" t="s">
        <v>106</v>
      </c>
      <c r="D488" s="1">
        <v>177162</v>
      </c>
      <c r="E488" t="s">
        <v>13</v>
      </c>
      <c r="F488" t="s">
        <v>12</v>
      </c>
      <c r="G488">
        <v>65.900000000000006</v>
      </c>
      <c r="H488">
        <v>11</v>
      </c>
      <c r="I488">
        <v>16</v>
      </c>
      <c r="J488">
        <v>4</v>
      </c>
      <c r="K488">
        <v>4</v>
      </c>
    </row>
    <row r="489" spans="1:11" x14ac:dyDescent="0.25">
      <c r="A489" s="2">
        <v>2017</v>
      </c>
      <c r="B489" s="2" t="s">
        <v>222</v>
      </c>
      <c r="C489" t="s">
        <v>106</v>
      </c>
      <c r="D489" s="1">
        <v>177162</v>
      </c>
      <c r="E489" t="s">
        <v>13</v>
      </c>
      <c r="F489" t="s">
        <v>7</v>
      </c>
      <c r="G489">
        <v>91.2</v>
      </c>
      <c r="H489">
        <v>12</v>
      </c>
      <c r="I489">
        <v>99</v>
      </c>
      <c r="J489">
        <v>92</v>
      </c>
      <c r="K489">
        <v>85</v>
      </c>
    </row>
    <row r="490" spans="1:11" x14ac:dyDescent="0.25">
      <c r="A490" s="2">
        <v>2017</v>
      </c>
      <c r="B490" s="2" t="s">
        <v>222</v>
      </c>
      <c r="C490" t="s">
        <v>106</v>
      </c>
      <c r="D490" s="1">
        <v>177162</v>
      </c>
      <c r="E490" t="s">
        <v>13</v>
      </c>
      <c r="F490" t="s">
        <v>11</v>
      </c>
      <c r="G490">
        <v>91.7</v>
      </c>
      <c r="H490">
        <v>12</v>
      </c>
      <c r="I490">
        <v>95</v>
      </c>
      <c r="J490">
        <v>80</v>
      </c>
      <c r="K490">
        <v>76</v>
      </c>
    </row>
    <row r="491" spans="1:11" x14ac:dyDescent="0.25">
      <c r="A491" s="2">
        <v>2017</v>
      </c>
      <c r="B491" s="2" t="s">
        <v>222</v>
      </c>
      <c r="C491" t="s">
        <v>106</v>
      </c>
      <c r="D491" s="1">
        <v>177162</v>
      </c>
      <c r="E491" t="s">
        <v>13</v>
      </c>
      <c r="F491" t="s">
        <v>9</v>
      </c>
      <c r="G491">
        <v>89.6</v>
      </c>
      <c r="H491">
        <v>12</v>
      </c>
      <c r="I491">
        <v>91</v>
      </c>
      <c r="J491">
        <v>78</v>
      </c>
      <c r="K491">
        <v>74</v>
      </c>
    </row>
    <row r="492" spans="1:11" x14ac:dyDescent="0.25">
      <c r="A492" s="2">
        <v>2017</v>
      </c>
      <c r="B492" s="2" t="s">
        <v>222</v>
      </c>
      <c r="C492" t="s">
        <v>106</v>
      </c>
      <c r="D492" s="1">
        <v>177162</v>
      </c>
      <c r="E492" t="s">
        <v>13</v>
      </c>
      <c r="F492" t="s">
        <v>8</v>
      </c>
      <c r="G492">
        <v>93.8</v>
      </c>
      <c r="H492">
        <v>12</v>
      </c>
      <c r="I492">
        <v>99</v>
      </c>
      <c r="J492">
        <v>99</v>
      </c>
      <c r="K492">
        <v>97</v>
      </c>
    </row>
    <row r="493" spans="1:11" x14ac:dyDescent="0.25">
      <c r="A493" s="2">
        <v>2017</v>
      </c>
      <c r="B493" s="2" t="s">
        <v>222</v>
      </c>
      <c r="C493" t="s">
        <v>106</v>
      </c>
      <c r="D493" s="1">
        <v>177162</v>
      </c>
      <c r="E493" t="s">
        <v>13</v>
      </c>
      <c r="F493" t="s">
        <v>10</v>
      </c>
      <c r="G493">
        <v>89.6</v>
      </c>
      <c r="H493">
        <v>12</v>
      </c>
      <c r="I493">
        <v>99</v>
      </c>
      <c r="J493">
        <v>89</v>
      </c>
      <c r="K493">
        <v>81</v>
      </c>
    </row>
    <row r="494" spans="1:11" x14ac:dyDescent="0.25">
      <c r="A494" s="2">
        <v>2017</v>
      </c>
      <c r="B494" s="2" t="s">
        <v>222</v>
      </c>
      <c r="C494" t="s">
        <v>106</v>
      </c>
      <c r="D494" s="1">
        <v>60707</v>
      </c>
      <c r="E494" t="s">
        <v>42</v>
      </c>
      <c r="F494" t="s">
        <v>12</v>
      </c>
      <c r="G494">
        <v>30</v>
      </c>
      <c r="H494">
        <v>5</v>
      </c>
      <c r="I494">
        <v>1</v>
      </c>
      <c r="J494">
        <v>1</v>
      </c>
      <c r="K494">
        <v>1</v>
      </c>
    </row>
    <row r="495" spans="1:11" x14ac:dyDescent="0.25">
      <c r="A495" s="2">
        <v>2017</v>
      </c>
      <c r="B495" s="2" t="s">
        <v>222</v>
      </c>
      <c r="C495" t="s">
        <v>106</v>
      </c>
      <c r="D495" s="1">
        <v>60707</v>
      </c>
      <c r="E495" t="s">
        <v>42</v>
      </c>
      <c r="F495" t="s">
        <v>7</v>
      </c>
      <c r="G495">
        <v>70</v>
      </c>
      <c r="H495">
        <v>5</v>
      </c>
      <c r="I495">
        <v>1</v>
      </c>
      <c r="J495">
        <v>1</v>
      </c>
      <c r="K495">
        <v>1</v>
      </c>
    </row>
    <row r="496" spans="1:11" x14ac:dyDescent="0.25">
      <c r="A496" s="2">
        <v>2017</v>
      </c>
      <c r="B496" s="2" t="s">
        <v>222</v>
      </c>
      <c r="C496" t="s">
        <v>106</v>
      </c>
      <c r="D496" s="1">
        <v>60707</v>
      </c>
      <c r="E496" t="s">
        <v>42</v>
      </c>
      <c r="F496" t="s">
        <v>11</v>
      </c>
      <c r="G496">
        <v>75</v>
      </c>
      <c r="H496">
        <v>5</v>
      </c>
      <c r="I496">
        <v>1</v>
      </c>
      <c r="J496">
        <v>1</v>
      </c>
      <c r="K496">
        <v>1</v>
      </c>
    </row>
    <row r="497" spans="1:11" x14ac:dyDescent="0.25">
      <c r="A497" s="2">
        <v>2017</v>
      </c>
      <c r="B497" s="2" t="s">
        <v>222</v>
      </c>
      <c r="C497" t="s">
        <v>106</v>
      </c>
      <c r="D497" s="1">
        <v>60707</v>
      </c>
      <c r="E497" t="s">
        <v>42</v>
      </c>
      <c r="F497" t="s">
        <v>9</v>
      </c>
      <c r="G497">
        <v>70</v>
      </c>
      <c r="H497">
        <v>5</v>
      </c>
      <c r="I497">
        <v>1</v>
      </c>
      <c r="J497">
        <v>1</v>
      </c>
      <c r="K497">
        <v>1</v>
      </c>
    </row>
    <row r="498" spans="1:11" x14ac:dyDescent="0.25">
      <c r="A498" s="2">
        <v>2017</v>
      </c>
      <c r="B498" s="2" t="s">
        <v>222</v>
      </c>
      <c r="C498" t="s">
        <v>106</v>
      </c>
      <c r="D498" s="1">
        <v>60707</v>
      </c>
      <c r="E498" t="s">
        <v>42</v>
      </c>
      <c r="F498" t="s">
        <v>8</v>
      </c>
      <c r="G498">
        <v>70</v>
      </c>
      <c r="H498">
        <v>5</v>
      </c>
      <c r="I498">
        <v>1</v>
      </c>
      <c r="J498">
        <v>1</v>
      </c>
      <c r="K498">
        <v>1</v>
      </c>
    </row>
    <row r="499" spans="1:11" x14ac:dyDescent="0.25">
      <c r="A499" s="2">
        <v>2017</v>
      </c>
      <c r="B499" s="2" t="s">
        <v>222</v>
      </c>
      <c r="C499" t="s">
        <v>106</v>
      </c>
      <c r="D499" s="1">
        <v>60707</v>
      </c>
      <c r="E499" t="s">
        <v>42</v>
      </c>
      <c r="F499" t="s">
        <v>10</v>
      </c>
      <c r="G499">
        <v>65</v>
      </c>
      <c r="H499">
        <v>5</v>
      </c>
      <c r="I499">
        <v>1</v>
      </c>
      <c r="J499">
        <v>1</v>
      </c>
      <c r="K499">
        <v>1</v>
      </c>
    </row>
    <row r="500" spans="1:11" x14ac:dyDescent="0.25">
      <c r="A500" s="2">
        <v>2017</v>
      </c>
      <c r="B500" s="2" t="s">
        <v>222</v>
      </c>
      <c r="C500" t="s">
        <v>106</v>
      </c>
      <c r="D500" s="1">
        <v>58222</v>
      </c>
      <c r="E500" t="s">
        <v>16</v>
      </c>
      <c r="F500" t="s">
        <v>12</v>
      </c>
      <c r="G500">
        <v>40</v>
      </c>
      <c r="H500">
        <v>5</v>
      </c>
      <c r="I500">
        <v>1</v>
      </c>
      <c r="J500">
        <v>1</v>
      </c>
      <c r="K500">
        <v>1</v>
      </c>
    </row>
    <row r="501" spans="1:11" x14ac:dyDescent="0.25">
      <c r="A501" s="2">
        <v>2017</v>
      </c>
      <c r="B501" s="2" t="s">
        <v>222</v>
      </c>
      <c r="C501" t="s">
        <v>106</v>
      </c>
      <c r="D501" s="1">
        <v>58222</v>
      </c>
      <c r="E501" t="s">
        <v>16</v>
      </c>
      <c r="F501" t="s">
        <v>7</v>
      </c>
      <c r="G501">
        <v>86.3</v>
      </c>
      <c r="H501">
        <v>5</v>
      </c>
      <c r="I501">
        <v>62</v>
      </c>
      <c r="J501">
        <v>49</v>
      </c>
      <c r="K501">
        <v>44</v>
      </c>
    </row>
    <row r="502" spans="1:11" x14ac:dyDescent="0.25">
      <c r="A502" s="2">
        <v>2017</v>
      </c>
      <c r="B502" s="2" t="s">
        <v>222</v>
      </c>
      <c r="C502" t="s">
        <v>106</v>
      </c>
      <c r="D502" s="1">
        <v>58222</v>
      </c>
      <c r="E502" t="s">
        <v>16</v>
      </c>
      <c r="F502" t="s">
        <v>11</v>
      </c>
      <c r="G502">
        <v>95</v>
      </c>
      <c r="H502">
        <v>5</v>
      </c>
      <c r="I502">
        <v>99</v>
      </c>
      <c r="J502">
        <v>99</v>
      </c>
      <c r="K502">
        <v>96</v>
      </c>
    </row>
    <row r="503" spans="1:11" x14ac:dyDescent="0.25">
      <c r="A503" s="2">
        <v>2017</v>
      </c>
      <c r="B503" s="2" t="s">
        <v>222</v>
      </c>
      <c r="C503" t="s">
        <v>106</v>
      </c>
      <c r="D503" s="1">
        <v>58222</v>
      </c>
      <c r="E503" t="s">
        <v>16</v>
      </c>
      <c r="F503" t="s">
        <v>9</v>
      </c>
      <c r="G503">
        <v>90</v>
      </c>
      <c r="H503">
        <v>5</v>
      </c>
      <c r="I503">
        <v>97</v>
      </c>
      <c r="J503">
        <v>82</v>
      </c>
      <c r="K503">
        <v>77</v>
      </c>
    </row>
    <row r="504" spans="1:11" x14ac:dyDescent="0.25">
      <c r="A504" s="2">
        <v>2017</v>
      </c>
      <c r="B504" s="2" t="s">
        <v>222</v>
      </c>
      <c r="C504" t="s">
        <v>106</v>
      </c>
      <c r="D504" s="1">
        <v>58222</v>
      </c>
      <c r="E504" t="s">
        <v>16</v>
      </c>
      <c r="F504" t="s">
        <v>8</v>
      </c>
      <c r="G504">
        <v>80</v>
      </c>
      <c r="H504">
        <v>5</v>
      </c>
      <c r="I504">
        <v>18</v>
      </c>
      <c r="J504">
        <v>14</v>
      </c>
      <c r="K504">
        <v>12</v>
      </c>
    </row>
    <row r="505" spans="1:11" x14ac:dyDescent="0.25">
      <c r="A505" s="2">
        <v>2017</v>
      </c>
      <c r="B505" s="2" t="s">
        <v>222</v>
      </c>
      <c r="C505" t="s">
        <v>106</v>
      </c>
      <c r="D505" s="1">
        <v>58222</v>
      </c>
      <c r="E505" t="s">
        <v>16</v>
      </c>
      <c r="F505" t="s">
        <v>10</v>
      </c>
      <c r="G505">
        <v>80</v>
      </c>
      <c r="H505">
        <v>5</v>
      </c>
      <c r="I505">
        <v>21</v>
      </c>
      <c r="J505">
        <v>15</v>
      </c>
      <c r="K505">
        <v>12</v>
      </c>
    </row>
    <row r="506" spans="1:11" x14ac:dyDescent="0.25">
      <c r="A506" s="2">
        <v>2017</v>
      </c>
      <c r="B506" s="2" t="s">
        <v>222</v>
      </c>
      <c r="C506" t="s">
        <v>106</v>
      </c>
      <c r="D506" s="1">
        <v>89391</v>
      </c>
      <c r="E506" t="s">
        <v>27</v>
      </c>
      <c r="F506" t="s">
        <v>12</v>
      </c>
      <c r="G506">
        <v>50</v>
      </c>
      <c r="H506">
        <v>6</v>
      </c>
      <c r="I506">
        <v>1</v>
      </c>
      <c r="J506">
        <v>1</v>
      </c>
      <c r="K506">
        <v>1</v>
      </c>
    </row>
    <row r="507" spans="1:11" x14ac:dyDescent="0.25">
      <c r="A507" s="2">
        <v>2017</v>
      </c>
      <c r="B507" s="2" t="s">
        <v>222</v>
      </c>
      <c r="C507" t="s">
        <v>106</v>
      </c>
      <c r="D507" s="1">
        <v>89391</v>
      </c>
      <c r="E507" t="s">
        <v>27</v>
      </c>
      <c r="F507" t="s">
        <v>7</v>
      </c>
      <c r="G507">
        <v>72.900000000000006</v>
      </c>
      <c r="H507">
        <v>6</v>
      </c>
      <c r="I507">
        <v>1</v>
      </c>
      <c r="J507">
        <v>1</v>
      </c>
      <c r="K507">
        <v>1</v>
      </c>
    </row>
    <row r="508" spans="1:11" x14ac:dyDescent="0.25">
      <c r="A508" s="2">
        <v>2017</v>
      </c>
      <c r="B508" s="2" t="s">
        <v>222</v>
      </c>
      <c r="C508" t="s">
        <v>106</v>
      </c>
      <c r="D508" s="1">
        <v>89391</v>
      </c>
      <c r="E508" t="s">
        <v>27</v>
      </c>
      <c r="F508" t="s">
        <v>11</v>
      </c>
      <c r="G508">
        <v>75</v>
      </c>
      <c r="H508">
        <v>6</v>
      </c>
      <c r="I508">
        <v>1</v>
      </c>
      <c r="J508">
        <v>1</v>
      </c>
      <c r="K508">
        <v>1</v>
      </c>
    </row>
    <row r="509" spans="1:11" x14ac:dyDescent="0.25">
      <c r="A509" s="2">
        <v>2017</v>
      </c>
      <c r="B509" s="2" t="s">
        <v>222</v>
      </c>
      <c r="C509" t="s">
        <v>106</v>
      </c>
      <c r="D509" s="1">
        <v>89391</v>
      </c>
      <c r="E509" t="s">
        <v>27</v>
      </c>
      <c r="F509" t="s">
        <v>9</v>
      </c>
      <c r="G509">
        <v>75</v>
      </c>
      <c r="H509">
        <v>6</v>
      </c>
      <c r="I509">
        <v>2</v>
      </c>
      <c r="J509">
        <v>1</v>
      </c>
      <c r="K509">
        <v>2</v>
      </c>
    </row>
    <row r="510" spans="1:11" x14ac:dyDescent="0.25">
      <c r="A510" s="2">
        <v>2017</v>
      </c>
      <c r="B510" s="2" t="s">
        <v>222</v>
      </c>
      <c r="C510" t="s">
        <v>106</v>
      </c>
      <c r="D510" s="1">
        <v>89391</v>
      </c>
      <c r="E510" t="s">
        <v>27</v>
      </c>
      <c r="F510" t="s">
        <v>8</v>
      </c>
      <c r="G510">
        <v>70.8</v>
      </c>
      <c r="H510">
        <v>6</v>
      </c>
      <c r="I510">
        <v>1</v>
      </c>
      <c r="J510">
        <v>1</v>
      </c>
      <c r="K510">
        <v>1</v>
      </c>
    </row>
    <row r="511" spans="1:11" x14ac:dyDescent="0.25">
      <c r="A511" s="2">
        <v>2017</v>
      </c>
      <c r="B511" s="2" t="s">
        <v>222</v>
      </c>
      <c r="C511" t="s">
        <v>106</v>
      </c>
      <c r="D511" s="1">
        <v>89391</v>
      </c>
      <c r="E511" t="s">
        <v>27</v>
      </c>
      <c r="F511" t="s">
        <v>10</v>
      </c>
      <c r="G511">
        <v>70.8</v>
      </c>
      <c r="H511">
        <v>6</v>
      </c>
      <c r="I511">
        <v>1</v>
      </c>
      <c r="J511">
        <v>1</v>
      </c>
      <c r="K511">
        <v>1</v>
      </c>
    </row>
    <row r="512" spans="1:11" x14ac:dyDescent="0.25">
      <c r="A512" s="2">
        <v>2017</v>
      </c>
      <c r="B512" s="2" t="s">
        <v>222</v>
      </c>
      <c r="C512" t="s">
        <v>106</v>
      </c>
      <c r="D512" s="1">
        <v>36541</v>
      </c>
      <c r="E512" t="s">
        <v>21</v>
      </c>
      <c r="F512" t="s">
        <v>12</v>
      </c>
      <c r="G512">
        <v>82.7</v>
      </c>
      <c r="H512">
        <v>13</v>
      </c>
      <c r="I512">
        <v>85</v>
      </c>
      <c r="J512">
        <v>59</v>
      </c>
      <c r="K512">
        <v>61</v>
      </c>
    </row>
    <row r="513" spans="1:11" x14ac:dyDescent="0.25">
      <c r="A513" s="2">
        <v>2017</v>
      </c>
      <c r="B513" s="2" t="s">
        <v>222</v>
      </c>
      <c r="C513" t="s">
        <v>106</v>
      </c>
      <c r="D513" s="1">
        <v>36541</v>
      </c>
      <c r="E513" t="s">
        <v>21</v>
      </c>
      <c r="F513" t="s">
        <v>7</v>
      </c>
      <c r="G513">
        <v>88.4</v>
      </c>
      <c r="H513">
        <v>14</v>
      </c>
      <c r="I513">
        <v>87</v>
      </c>
      <c r="J513">
        <v>68</v>
      </c>
      <c r="K513">
        <v>65</v>
      </c>
    </row>
    <row r="514" spans="1:11" x14ac:dyDescent="0.25">
      <c r="A514" s="2">
        <v>2017</v>
      </c>
      <c r="B514" s="2" t="s">
        <v>222</v>
      </c>
      <c r="C514" t="s">
        <v>106</v>
      </c>
      <c r="D514" s="1">
        <v>36541</v>
      </c>
      <c r="E514" t="s">
        <v>21</v>
      </c>
      <c r="F514" t="s">
        <v>11</v>
      </c>
      <c r="G514">
        <v>91.1</v>
      </c>
      <c r="H514">
        <v>14</v>
      </c>
      <c r="I514">
        <v>91</v>
      </c>
      <c r="J514">
        <v>73</v>
      </c>
      <c r="K514">
        <v>71</v>
      </c>
    </row>
    <row r="515" spans="1:11" x14ac:dyDescent="0.25">
      <c r="A515" s="2">
        <v>2017</v>
      </c>
      <c r="B515" s="2" t="s">
        <v>222</v>
      </c>
      <c r="C515" t="s">
        <v>106</v>
      </c>
      <c r="D515" s="1">
        <v>36541</v>
      </c>
      <c r="E515" t="s">
        <v>21</v>
      </c>
      <c r="F515" t="s">
        <v>9</v>
      </c>
      <c r="G515">
        <v>87.5</v>
      </c>
      <c r="H515">
        <v>14</v>
      </c>
      <c r="I515">
        <v>72</v>
      </c>
      <c r="J515">
        <v>58</v>
      </c>
      <c r="K515">
        <v>53</v>
      </c>
    </row>
    <row r="516" spans="1:11" x14ac:dyDescent="0.25">
      <c r="A516" s="2">
        <v>2017</v>
      </c>
      <c r="B516" s="2" t="s">
        <v>222</v>
      </c>
      <c r="C516" t="s">
        <v>106</v>
      </c>
      <c r="D516" s="1">
        <v>36541</v>
      </c>
      <c r="E516" t="s">
        <v>21</v>
      </c>
      <c r="F516" t="s">
        <v>8</v>
      </c>
      <c r="G516">
        <v>87.5</v>
      </c>
      <c r="H516">
        <v>14</v>
      </c>
      <c r="I516">
        <v>88</v>
      </c>
      <c r="J516">
        <v>68</v>
      </c>
      <c r="K516">
        <v>66</v>
      </c>
    </row>
    <row r="517" spans="1:11" x14ac:dyDescent="0.25">
      <c r="A517" s="2">
        <v>2017</v>
      </c>
      <c r="B517" s="2" t="s">
        <v>222</v>
      </c>
      <c r="C517" t="s">
        <v>106</v>
      </c>
      <c r="D517" s="1">
        <v>36541</v>
      </c>
      <c r="E517" t="s">
        <v>21</v>
      </c>
      <c r="F517" t="s">
        <v>10</v>
      </c>
      <c r="G517">
        <v>87.5</v>
      </c>
      <c r="H517">
        <v>14</v>
      </c>
      <c r="I517">
        <v>88</v>
      </c>
      <c r="J517">
        <v>72</v>
      </c>
      <c r="K517">
        <v>65</v>
      </c>
    </row>
    <row r="518" spans="1:11" x14ac:dyDescent="0.25">
      <c r="A518" s="2">
        <v>2017</v>
      </c>
      <c r="B518" s="2" t="s">
        <v>222</v>
      </c>
      <c r="C518" t="s">
        <v>106</v>
      </c>
      <c r="D518" s="1">
        <v>91405</v>
      </c>
      <c r="E518" t="s">
        <v>39</v>
      </c>
      <c r="F518" t="s">
        <v>12</v>
      </c>
      <c r="G518">
        <v>65.599999999999994</v>
      </c>
      <c r="H518">
        <v>8</v>
      </c>
      <c r="I518">
        <v>14</v>
      </c>
      <c r="J518">
        <v>4</v>
      </c>
      <c r="K518">
        <v>3</v>
      </c>
    </row>
    <row r="519" spans="1:11" x14ac:dyDescent="0.25">
      <c r="A519" s="2">
        <v>2017</v>
      </c>
      <c r="B519" s="2" t="s">
        <v>222</v>
      </c>
      <c r="C519" t="s">
        <v>106</v>
      </c>
      <c r="D519" s="1">
        <v>91405</v>
      </c>
      <c r="E519" t="s">
        <v>39</v>
      </c>
      <c r="F519" t="s">
        <v>7</v>
      </c>
      <c r="G519">
        <v>62.5</v>
      </c>
      <c r="H519">
        <v>8</v>
      </c>
      <c r="I519">
        <v>1</v>
      </c>
      <c r="J519">
        <v>1</v>
      </c>
      <c r="K519">
        <v>1</v>
      </c>
    </row>
    <row r="520" spans="1:11" x14ac:dyDescent="0.25">
      <c r="A520" s="2">
        <v>2017</v>
      </c>
      <c r="B520" s="2" t="s">
        <v>222</v>
      </c>
      <c r="C520" t="s">
        <v>106</v>
      </c>
      <c r="D520" s="1">
        <v>91405</v>
      </c>
      <c r="E520" t="s">
        <v>39</v>
      </c>
      <c r="F520" t="s">
        <v>11</v>
      </c>
      <c r="G520">
        <v>65.599999999999994</v>
      </c>
      <c r="H520">
        <v>8</v>
      </c>
      <c r="I520">
        <v>1</v>
      </c>
      <c r="J520">
        <v>1</v>
      </c>
      <c r="K520">
        <v>1</v>
      </c>
    </row>
    <row r="521" spans="1:11" x14ac:dyDescent="0.25">
      <c r="A521" s="2">
        <v>2017</v>
      </c>
      <c r="B521" s="2" t="s">
        <v>222</v>
      </c>
      <c r="C521" t="s">
        <v>106</v>
      </c>
      <c r="D521" s="1">
        <v>91405</v>
      </c>
      <c r="E521" t="s">
        <v>39</v>
      </c>
      <c r="F521" t="s">
        <v>9</v>
      </c>
      <c r="G521">
        <v>62.5</v>
      </c>
      <c r="H521">
        <v>8</v>
      </c>
      <c r="I521">
        <v>1</v>
      </c>
      <c r="J521">
        <v>1</v>
      </c>
      <c r="K521">
        <v>1</v>
      </c>
    </row>
    <row r="522" spans="1:11" x14ac:dyDescent="0.25">
      <c r="A522" s="2">
        <v>2017</v>
      </c>
      <c r="B522" s="2" t="s">
        <v>222</v>
      </c>
      <c r="C522" t="s">
        <v>106</v>
      </c>
      <c r="D522" s="1">
        <v>91405</v>
      </c>
      <c r="E522" t="s">
        <v>39</v>
      </c>
      <c r="F522" t="s">
        <v>8</v>
      </c>
      <c r="G522">
        <v>62.5</v>
      </c>
      <c r="H522">
        <v>8</v>
      </c>
      <c r="I522">
        <v>1</v>
      </c>
      <c r="J522">
        <v>1</v>
      </c>
      <c r="K522">
        <v>1</v>
      </c>
    </row>
    <row r="523" spans="1:11" x14ac:dyDescent="0.25">
      <c r="A523" s="2">
        <v>2017</v>
      </c>
      <c r="B523" s="2" t="s">
        <v>222</v>
      </c>
      <c r="C523" t="s">
        <v>106</v>
      </c>
      <c r="D523" s="1">
        <v>91405</v>
      </c>
      <c r="E523" t="s">
        <v>39</v>
      </c>
      <c r="F523" t="s">
        <v>10</v>
      </c>
      <c r="G523">
        <v>59.4</v>
      </c>
      <c r="H523">
        <v>8</v>
      </c>
      <c r="I523">
        <v>1</v>
      </c>
      <c r="J523">
        <v>1</v>
      </c>
      <c r="K523">
        <v>1</v>
      </c>
    </row>
    <row r="524" spans="1:11" x14ac:dyDescent="0.25">
      <c r="A524" s="2">
        <v>2017</v>
      </c>
      <c r="B524" s="2" t="s">
        <v>222</v>
      </c>
      <c r="C524" t="s">
        <v>106</v>
      </c>
      <c r="D524" s="1">
        <v>58321</v>
      </c>
      <c r="E524" t="s">
        <v>40</v>
      </c>
      <c r="F524" t="s">
        <v>12</v>
      </c>
      <c r="G524">
        <v>80</v>
      </c>
      <c r="H524">
        <v>5</v>
      </c>
      <c r="I524">
        <v>76</v>
      </c>
      <c r="J524">
        <v>47</v>
      </c>
      <c r="K524">
        <v>47</v>
      </c>
    </row>
    <row r="525" spans="1:11" x14ac:dyDescent="0.25">
      <c r="A525" s="2">
        <v>2017</v>
      </c>
      <c r="B525" s="2" t="s">
        <v>222</v>
      </c>
      <c r="C525" t="s">
        <v>106</v>
      </c>
      <c r="D525" s="1">
        <v>58321</v>
      </c>
      <c r="E525" t="s">
        <v>40</v>
      </c>
      <c r="F525" t="s">
        <v>7</v>
      </c>
      <c r="G525">
        <v>86.3</v>
      </c>
      <c r="H525">
        <v>5</v>
      </c>
      <c r="I525">
        <v>62</v>
      </c>
      <c r="J525">
        <v>49</v>
      </c>
      <c r="K525">
        <v>44</v>
      </c>
    </row>
    <row r="526" spans="1:11" x14ac:dyDescent="0.25">
      <c r="A526" s="2">
        <v>2017</v>
      </c>
      <c r="B526" s="2" t="s">
        <v>222</v>
      </c>
      <c r="C526" t="s">
        <v>106</v>
      </c>
      <c r="D526" s="1">
        <v>58321</v>
      </c>
      <c r="E526" t="s">
        <v>40</v>
      </c>
      <c r="F526" t="s">
        <v>11</v>
      </c>
      <c r="G526">
        <v>90</v>
      </c>
      <c r="H526">
        <v>5</v>
      </c>
      <c r="I526">
        <v>78</v>
      </c>
      <c r="J526">
        <v>59</v>
      </c>
      <c r="K526">
        <v>59</v>
      </c>
    </row>
    <row r="527" spans="1:11" x14ac:dyDescent="0.25">
      <c r="A527" s="2">
        <v>2017</v>
      </c>
      <c r="B527" s="2" t="s">
        <v>222</v>
      </c>
      <c r="C527" t="s">
        <v>106</v>
      </c>
      <c r="D527" s="1">
        <v>58321</v>
      </c>
      <c r="E527" t="s">
        <v>40</v>
      </c>
      <c r="F527" t="s">
        <v>9</v>
      </c>
      <c r="G527">
        <v>85</v>
      </c>
      <c r="H527">
        <v>5</v>
      </c>
      <c r="I527">
        <v>47</v>
      </c>
      <c r="J527">
        <v>39</v>
      </c>
      <c r="K527">
        <v>31</v>
      </c>
    </row>
    <row r="528" spans="1:11" x14ac:dyDescent="0.25">
      <c r="A528" s="2">
        <v>2017</v>
      </c>
      <c r="B528" s="2" t="s">
        <v>222</v>
      </c>
      <c r="C528" t="s">
        <v>106</v>
      </c>
      <c r="D528" s="1">
        <v>58321</v>
      </c>
      <c r="E528" t="s">
        <v>40</v>
      </c>
      <c r="F528" t="s">
        <v>8</v>
      </c>
      <c r="G528">
        <v>85</v>
      </c>
      <c r="H528">
        <v>5</v>
      </c>
      <c r="I528">
        <v>67</v>
      </c>
      <c r="J528">
        <v>50</v>
      </c>
      <c r="K528">
        <v>45</v>
      </c>
    </row>
    <row r="529" spans="1:11" x14ac:dyDescent="0.25">
      <c r="A529" s="2">
        <v>2017</v>
      </c>
      <c r="B529" s="2" t="s">
        <v>222</v>
      </c>
      <c r="C529" t="s">
        <v>106</v>
      </c>
      <c r="D529" s="1">
        <v>58321</v>
      </c>
      <c r="E529" t="s">
        <v>40</v>
      </c>
      <c r="F529" t="s">
        <v>10</v>
      </c>
      <c r="G529">
        <v>85</v>
      </c>
      <c r="H529">
        <v>5</v>
      </c>
      <c r="I529">
        <v>62</v>
      </c>
      <c r="J529">
        <v>47</v>
      </c>
      <c r="K529">
        <v>44</v>
      </c>
    </row>
    <row r="530" spans="1:11" x14ac:dyDescent="0.25">
      <c r="A530" s="2">
        <v>2017</v>
      </c>
      <c r="B530" s="2" t="s">
        <v>222</v>
      </c>
      <c r="C530" t="s">
        <v>106</v>
      </c>
      <c r="D530" s="1">
        <v>23994</v>
      </c>
      <c r="E530" t="s">
        <v>31</v>
      </c>
      <c r="F530" t="s">
        <v>12</v>
      </c>
      <c r="G530">
        <v>78.599999999999994</v>
      </c>
      <c r="H530">
        <v>7</v>
      </c>
      <c r="I530">
        <v>69</v>
      </c>
      <c r="J530">
        <v>39</v>
      </c>
      <c r="K530">
        <v>40</v>
      </c>
    </row>
    <row r="531" spans="1:11" x14ac:dyDescent="0.25">
      <c r="A531" s="2">
        <v>2017</v>
      </c>
      <c r="B531" s="2" t="s">
        <v>222</v>
      </c>
      <c r="C531" t="s">
        <v>106</v>
      </c>
      <c r="D531" s="1">
        <v>23994</v>
      </c>
      <c r="E531" t="s">
        <v>31</v>
      </c>
      <c r="F531" t="s">
        <v>7</v>
      </c>
      <c r="G531">
        <v>97.6</v>
      </c>
      <c r="H531">
        <v>7</v>
      </c>
      <c r="I531">
        <v>99</v>
      </c>
      <c r="J531">
        <v>99</v>
      </c>
      <c r="K531">
        <v>99</v>
      </c>
    </row>
    <row r="532" spans="1:11" x14ac:dyDescent="0.25">
      <c r="A532" s="2">
        <v>2017</v>
      </c>
      <c r="B532" s="2" t="s">
        <v>222</v>
      </c>
      <c r="C532" t="s">
        <v>106</v>
      </c>
      <c r="D532" s="1">
        <v>23994</v>
      </c>
      <c r="E532" t="s">
        <v>31</v>
      </c>
      <c r="F532" t="s">
        <v>11</v>
      </c>
      <c r="G532">
        <v>100</v>
      </c>
      <c r="H532">
        <v>7</v>
      </c>
      <c r="I532">
        <v>99</v>
      </c>
      <c r="J532">
        <v>99</v>
      </c>
      <c r="K532">
        <v>99</v>
      </c>
    </row>
    <row r="533" spans="1:11" x14ac:dyDescent="0.25">
      <c r="A533" s="2">
        <v>2017</v>
      </c>
      <c r="B533" s="2" t="s">
        <v>222</v>
      </c>
      <c r="C533" t="s">
        <v>106</v>
      </c>
      <c r="D533" s="1">
        <v>23994</v>
      </c>
      <c r="E533" t="s">
        <v>31</v>
      </c>
      <c r="F533" t="s">
        <v>9</v>
      </c>
      <c r="G533">
        <v>96.4</v>
      </c>
      <c r="H533">
        <v>7</v>
      </c>
      <c r="I533">
        <v>99</v>
      </c>
      <c r="J533">
        <v>99</v>
      </c>
      <c r="K533">
        <v>99</v>
      </c>
    </row>
    <row r="534" spans="1:11" x14ac:dyDescent="0.25">
      <c r="A534" s="2">
        <v>2017</v>
      </c>
      <c r="B534" s="2" t="s">
        <v>222</v>
      </c>
      <c r="C534" t="s">
        <v>106</v>
      </c>
      <c r="D534" s="1">
        <v>23994</v>
      </c>
      <c r="E534" t="s">
        <v>31</v>
      </c>
      <c r="F534" t="s">
        <v>8</v>
      </c>
      <c r="G534">
        <v>96.4</v>
      </c>
      <c r="H534">
        <v>7</v>
      </c>
      <c r="I534">
        <v>99</v>
      </c>
      <c r="J534">
        <v>99</v>
      </c>
      <c r="K534">
        <v>99</v>
      </c>
    </row>
    <row r="535" spans="1:11" x14ac:dyDescent="0.25">
      <c r="A535" s="2">
        <v>2017</v>
      </c>
      <c r="B535" s="2" t="s">
        <v>222</v>
      </c>
      <c r="C535" t="s">
        <v>106</v>
      </c>
      <c r="D535" s="1">
        <v>23994</v>
      </c>
      <c r="E535" t="s">
        <v>31</v>
      </c>
      <c r="F535" t="s">
        <v>10</v>
      </c>
      <c r="G535">
        <v>100</v>
      </c>
      <c r="H535">
        <v>6</v>
      </c>
      <c r="I535">
        <v>99</v>
      </c>
      <c r="J535">
        <v>99</v>
      </c>
      <c r="K535">
        <v>99</v>
      </c>
    </row>
    <row r="536" spans="1:11" x14ac:dyDescent="0.25">
      <c r="A536" s="2">
        <v>2017</v>
      </c>
      <c r="B536" s="2" t="s">
        <v>222</v>
      </c>
      <c r="C536" t="s">
        <v>106</v>
      </c>
      <c r="D536" s="1">
        <v>22673</v>
      </c>
      <c r="E536" t="s">
        <v>17</v>
      </c>
      <c r="F536" t="s">
        <v>12</v>
      </c>
      <c r="G536">
        <v>90.6</v>
      </c>
      <c r="H536">
        <v>8</v>
      </c>
      <c r="I536">
        <v>99</v>
      </c>
      <c r="J536">
        <v>98</v>
      </c>
      <c r="K536">
        <v>93</v>
      </c>
    </row>
    <row r="537" spans="1:11" x14ac:dyDescent="0.25">
      <c r="A537" s="2">
        <v>2017</v>
      </c>
      <c r="B537" s="2" t="s">
        <v>222</v>
      </c>
      <c r="C537" t="s">
        <v>106</v>
      </c>
      <c r="D537" s="1">
        <v>22673</v>
      </c>
      <c r="E537" t="s">
        <v>17</v>
      </c>
      <c r="F537" t="s">
        <v>7</v>
      </c>
      <c r="G537">
        <v>95.3</v>
      </c>
      <c r="H537">
        <v>8</v>
      </c>
      <c r="I537">
        <v>99</v>
      </c>
      <c r="J537">
        <v>99</v>
      </c>
      <c r="K537">
        <v>98</v>
      </c>
    </row>
    <row r="538" spans="1:11" x14ac:dyDescent="0.25">
      <c r="A538" s="2">
        <v>2017</v>
      </c>
      <c r="B538" s="2" t="s">
        <v>222</v>
      </c>
      <c r="C538" t="s">
        <v>106</v>
      </c>
      <c r="D538" s="1">
        <v>22673</v>
      </c>
      <c r="E538" t="s">
        <v>17</v>
      </c>
      <c r="F538" t="s">
        <v>11</v>
      </c>
      <c r="G538">
        <v>96.9</v>
      </c>
      <c r="H538">
        <v>8</v>
      </c>
      <c r="I538">
        <v>99</v>
      </c>
      <c r="J538">
        <v>99</v>
      </c>
      <c r="K538">
        <v>99</v>
      </c>
    </row>
    <row r="539" spans="1:11" x14ac:dyDescent="0.25">
      <c r="A539" s="2">
        <v>2017</v>
      </c>
      <c r="B539" s="2" t="s">
        <v>222</v>
      </c>
      <c r="C539" t="s">
        <v>106</v>
      </c>
      <c r="D539" s="1">
        <v>22673</v>
      </c>
      <c r="E539" t="s">
        <v>17</v>
      </c>
      <c r="F539" t="s">
        <v>9</v>
      </c>
      <c r="G539">
        <v>96.9</v>
      </c>
      <c r="H539">
        <v>8</v>
      </c>
      <c r="I539">
        <v>99</v>
      </c>
      <c r="J539">
        <v>99</v>
      </c>
      <c r="K539">
        <v>99</v>
      </c>
    </row>
    <row r="540" spans="1:11" x14ac:dyDescent="0.25">
      <c r="A540" s="2">
        <v>2017</v>
      </c>
      <c r="B540" s="2" t="s">
        <v>222</v>
      </c>
      <c r="C540" t="s">
        <v>106</v>
      </c>
      <c r="D540" s="1">
        <v>22673</v>
      </c>
      <c r="E540" t="s">
        <v>17</v>
      </c>
      <c r="F540" t="s">
        <v>8</v>
      </c>
      <c r="G540">
        <v>96.9</v>
      </c>
      <c r="H540">
        <v>8</v>
      </c>
      <c r="I540">
        <v>99</v>
      </c>
      <c r="J540">
        <v>99</v>
      </c>
      <c r="K540">
        <v>99</v>
      </c>
    </row>
    <row r="541" spans="1:11" x14ac:dyDescent="0.25">
      <c r="A541" s="2">
        <v>2017</v>
      </c>
      <c r="B541" s="2" t="s">
        <v>222</v>
      </c>
      <c r="C541" t="s">
        <v>106</v>
      </c>
      <c r="D541" s="1">
        <v>22673</v>
      </c>
      <c r="E541" t="s">
        <v>17</v>
      </c>
      <c r="F541" t="s">
        <v>10</v>
      </c>
      <c r="G541">
        <v>90.6</v>
      </c>
      <c r="H541">
        <v>8</v>
      </c>
      <c r="I541">
        <v>99</v>
      </c>
      <c r="J541">
        <v>94</v>
      </c>
      <c r="K541">
        <v>86</v>
      </c>
    </row>
    <row r="542" spans="1:11" x14ac:dyDescent="0.25">
      <c r="A542" s="2">
        <v>2017</v>
      </c>
      <c r="B542" s="2" t="s">
        <v>222</v>
      </c>
      <c r="C542" t="s">
        <v>106</v>
      </c>
      <c r="D542" s="1">
        <v>91397</v>
      </c>
      <c r="E542" t="s">
        <v>41</v>
      </c>
      <c r="F542" t="s">
        <v>12</v>
      </c>
      <c r="G542">
        <v>84.4</v>
      </c>
      <c r="H542">
        <v>8</v>
      </c>
      <c r="I542">
        <v>94</v>
      </c>
      <c r="J542">
        <v>73</v>
      </c>
      <c r="K542">
        <v>71</v>
      </c>
    </row>
    <row r="543" spans="1:11" x14ac:dyDescent="0.25">
      <c r="A543" s="2">
        <v>2017</v>
      </c>
      <c r="B543" s="2" t="s">
        <v>222</v>
      </c>
      <c r="C543" t="s">
        <v>106</v>
      </c>
      <c r="D543" s="1">
        <v>91397</v>
      </c>
      <c r="E543" t="s">
        <v>41</v>
      </c>
      <c r="F543" t="s">
        <v>7</v>
      </c>
      <c r="G543">
        <v>85.2</v>
      </c>
      <c r="H543">
        <v>8</v>
      </c>
      <c r="I543">
        <v>53</v>
      </c>
      <c r="J543">
        <v>41</v>
      </c>
      <c r="K543">
        <v>35</v>
      </c>
    </row>
    <row r="544" spans="1:11" x14ac:dyDescent="0.25">
      <c r="A544" s="2">
        <v>2017</v>
      </c>
      <c r="B544" s="2" t="s">
        <v>222</v>
      </c>
      <c r="C544" t="s">
        <v>106</v>
      </c>
      <c r="D544" s="1">
        <v>91397</v>
      </c>
      <c r="E544" t="s">
        <v>41</v>
      </c>
      <c r="F544" t="s">
        <v>11</v>
      </c>
      <c r="G544">
        <v>84.4</v>
      </c>
      <c r="H544">
        <v>8</v>
      </c>
      <c r="I544">
        <v>20</v>
      </c>
      <c r="J544">
        <v>11</v>
      </c>
      <c r="K544">
        <v>13</v>
      </c>
    </row>
    <row r="545" spans="1:11" x14ac:dyDescent="0.25">
      <c r="A545" s="2">
        <v>2017</v>
      </c>
      <c r="B545" s="2" t="s">
        <v>222</v>
      </c>
      <c r="C545" t="s">
        <v>106</v>
      </c>
      <c r="D545" s="1">
        <v>91397</v>
      </c>
      <c r="E545" t="s">
        <v>41</v>
      </c>
      <c r="F545" t="s">
        <v>9</v>
      </c>
      <c r="G545">
        <v>84.4</v>
      </c>
      <c r="H545">
        <v>8</v>
      </c>
      <c r="I545">
        <v>41</v>
      </c>
      <c r="J545">
        <v>32</v>
      </c>
      <c r="K545">
        <v>26</v>
      </c>
    </row>
    <row r="546" spans="1:11" x14ac:dyDescent="0.25">
      <c r="A546" s="2">
        <v>2017</v>
      </c>
      <c r="B546" s="2" t="s">
        <v>222</v>
      </c>
      <c r="C546" t="s">
        <v>106</v>
      </c>
      <c r="D546" s="1">
        <v>91397</v>
      </c>
      <c r="E546" t="s">
        <v>41</v>
      </c>
      <c r="F546" t="s">
        <v>8</v>
      </c>
      <c r="G546">
        <v>84.4</v>
      </c>
      <c r="H546">
        <v>8</v>
      </c>
      <c r="I546">
        <v>58</v>
      </c>
      <c r="J546">
        <v>46</v>
      </c>
      <c r="K546">
        <v>39</v>
      </c>
    </row>
    <row r="547" spans="1:11" x14ac:dyDescent="0.25">
      <c r="A547" s="2">
        <v>2017</v>
      </c>
      <c r="B547" s="2" t="s">
        <v>222</v>
      </c>
      <c r="C547" t="s">
        <v>106</v>
      </c>
      <c r="D547" s="1">
        <v>91397</v>
      </c>
      <c r="E547" t="s">
        <v>41</v>
      </c>
      <c r="F547" t="s">
        <v>10</v>
      </c>
      <c r="G547">
        <v>92.9</v>
      </c>
      <c r="H547">
        <v>7</v>
      </c>
      <c r="I547">
        <v>99</v>
      </c>
      <c r="J547">
        <v>98</v>
      </c>
      <c r="K547">
        <v>95</v>
      </c>
    </row>
    <row r="548" spans="1:11" x14ac:dyDescent="0.25">
      <c r="A548" s="2">
        <v>2017</v>
      </c>
      <c r="B548" s="2" t="s">
        <v>222</v>
      </c>
      <c r="C548" t="s">
        <v>106</v>
      </c>
      <c r="D548" s="1">
        <v>64022</v>
      </c>
      <c r="E548" t="s">
        <v>37</v>
      </c>
      <c r="F548" t="s">
        <v>12</v>
      </c>
      <c r="G548">
        <v>65.3</v>
      </c>
      <c r="H548">
        <v>18</v>
      </c>
      <c r="I548">
        <v>13</v>
      </c>
      <c r="J548">
        <v>4</v>
      </c>
      <c r="K548">
        <v>3</v>
      </c>
    </row>
    <row r="549" spans="1:11" x14ac:dyDescent="0.25">
      <c r="A549" s="2">
        <v>2017</v>
      </c>
      <c r="B549" s="2" t="s">
        <v>222</v>
      </c>
      <c r="C549" t="s">
        <v>106</v>
      </c>
      <c r="D549" s="1">
        <v>64022</v>
      </c>
      <c r="E549" t="s">
        <v>37</v>
      </c>
      <c r="F549" t="s">
        <v>7</v>
      </c>
      <c r="G549">
        <v>70.400000000000006</v>
      </c>
      <c r="H549">
        <v>19</v>
      </c>
      <c r="I549">
        <v>1</v>
      </c>
      <c r="J549">
        <v>1</v>
      </c>
      <c r="K549">
        <v>1</v>
      </c>
    </row>
    <row r="550" spans="1:11" x14ac:dyDescent="0.25">
      <c r="A550" s="2">
        <v>2017</v>
      </c>
      <c r="B550" s="2" t="s">
        <v>222</v>
      </c>
      <c r="C550" t="s">
        <v>106</v>
      </c>
      <c r="D550" s="1">
        <v>64022</v>
      </c>
      <c r="E550" t="s">
        <v>37</v>
      </c>
      <c r="F550" t="s">
        <v>11</v>
      </c>
      <c r="G550">
        <v>75</v>
      </c>
      <c r="H550">
        <v>19</v>
      </c>
      <c r="I550">
        <v>1</v>
      </c>
      <c r="J550">
        <v>1</v>
      </c>
      <c r="K550">
        <v>1</v>
      </c>
    </row>
    <row r="551" spans="1:11" x14ac:dyDescent="0.25">
      <c r="A551" s="2">
        <v>2017</v>
      </c>
      <c r="B551" s="2" t="s">
        <v>222</v>
      </c>
      <c r="C551" t="s">
        <v>106</v>
      </c>
      <c r="D551" s="1">
        <v>64022</v>
      </c>
      <c r="E551" t="s">
        <v>37</v>
      </c>
      <c r="F551" t="s">
        <v>9</v>
      </c>
      <c r="G551">
        <v>75</v>
      </c>
      <c r="H551">
        <v>19</v>
      </c>
      <c r="I551">
        <v>2</v>
      </c>
      <c r="J551">
        <v>1</v>
      </c>
      <c r="K551">
        <v>2</v>
      </c>
    </row>
    <row r="552" spans="1:11" x14ac:dyDescent="0.25">
      <c r="A552" s="2">
        <v>2017</v>
      </c>
      <c r="B552" s="2" t="s">
        <v>222</v>
      </c>
      <c r="C552" t="s">
        <v>106</v>
      </c>
      <c r="D552" s="1">
        <v>64022</v>
      </c>
      <c r="E552" t="s">
        <v>37</v>
      </c>
      <c r="F552" t="s">
        <v>8</v>
      </c>
      <c r="G552">
        <v>64.5</v>
      </c>
      <c r="H552">
        <v>19</v>
      </c>
      <c r="I552">
        <v>1</v>
      </c>
      <c r="J552">
        <v>1</v>
      </c>
      <c r="K552">
        <v>1</v>
      </c>
    </row>
    <row r="553" spans="1:11" x14ac:dyDescent="0.25">
      <c r="A553" s="2">
        <v>2017</v>
      </c>
      <c r="B553" s="2" t="s">
        <v>222</v>
      </c>
      <c r="C553" t="s">
        <v>106</v>
      </c>
      <c r="D553" s="1">
        <v>64022</v>
      </c>
      <c r="E553" t="s">
        <v>37</v>
      </c>
      <c r="F553" t="s">
        <v>10</v>
      </c>
      <c r="G553">
        <v>67.099999999999994</v>
      </c>
      <c r="H553">
        <v>19</v>
      </c>
      <c r="I553">
        <v>1</v>
      </c>
      <c r="J553">
        <v>1</v>
      </c>
      <c r="K553">
        <v>1</v>
      </c>
    </row>
    <row r="554" spans="1:11" x14ac:dyDescent="0.25">
      <c r="A554" s="2">
        <v>2017</v>
      </c>
      <c r="B554" s="2" t="s">
        <v>222</v>
      </c>
      <c r="C554" t="s">
        <v>106</v>
      </c>
      <c r="D554" s="1">
        <v>88963</v>
      </c>
      <c r="E554" t="s">
        <v>34</v>
      </c>
      <c r="F554" t="s">
        <v>12</v>
      </c>
      <c r="G554">
        <v>75</v>
      </c>
      <c r="H554">
        <v>11</v>
      </c>
      <c r="I554">
        <v>48</v>
      </c>
      <c r="J554">
        <v>23</v>
      </c>
      <c r="K554">
        <v>23</v>
      </c>
    </row>
    <row r="555" spans="1:11" x14ac:dyDescent="0.25">
      <c r="A555" s="2">
        <v>2017</v>
      </c>
      <c r="B555" s="2" t="s">
        <v>222</v>
      </c>
      <c r="C555" t="s">
        <v>106</v>
      </c>
      <c r="D555" s="1">
        <v>88963</v>
      </c>
      <c r="E555" t="s">
        <v>34</v>
      </c>
      <c r="F555" t="s">
        <v>7</v>
      </c>
      <c r="G555">
        <v>74.5</v>
      </c>
      <c r="H555">
        <v>12</v>
      </c>
      <c r="I555">
        <v>1</v>
      </c>
      <c r="J555">
        <v>1</v>
      </c>
      <c r="K555">
        <v>1</v>
      </c>
    </row>
    <row r="556" spans="1:11" x14ac:dyDescent="0.25">
      <c r="A556" s="2">
        <v>2017</v>
      </c>
      <c r="B556" s="2" t="s">
        <v>222</v>
      </c>
      <c r="C556" t="s">
        <v>106</v>
      </c>
      <c r="D556" s="1">
        <v>88963</v>
      </c>
      <c r="E556" t="s">
        <v>34</v>
      </c>
      <c r="F556" t="s">
        <v>11</v>
      </c>
      <c r="G556">
        <v>79.2</v>
      </c>
      <c r="H556">
        <v>12</v>
      </c>
      <c r="I556">
        <v>2</v>
      </c>
      <c r="J556">
        <v>1</v>
      </c>
      <c r="K556">
        <v>2</v>
      </c>
    </row>
    <row r="557" spans="1:11" x14ac:dyDescent="0.25">
      <c r="A557" s="2">
        <v>2017</v>
      </c>
      <c r="B557" s="2" t="s">
        <v>222</v>
      </c>
      <c r="C557" t="s">
        <v>106</v>
      </c>
      <c r="D557" s="1">
        <v>88963</v>
      </c>
      <c r="E557" t="s">
        <v>34</v>
      </c>
      <c r="F557" t="s">
        <v>9</v>
      </c>
      <c r="G557">
        <v>70.8</v>
      </c>
      <c r="H557">
        <v>12</v>
      </c>
      <c r="I557">
        <v>1</v>
      </c>
      <c r="J557">
        <v>1</v>
      </c>
      <c r="K557">
        <v>1</v>
      </c>
    </row>
    <row r="558" spans="1:11" x14ac:dyDescent="0.25">
      <c r="A558" s="2">
        <v>2017</v>
      </c>
      <c r="B558" s="2" t="s">
        <v>222</v>
      </c>
      <c r="C558" t="s">
        <v>106</v>
      </c>
      <c r="D558" s="1">
        <v>88963</v>
      </c>
      <c r="E558" t="s">
        <v>34</v>
      </c>
      <c r="F558" t="s">
        <v>8</v>
      </c>
      <c r="G558">
        <v>72.900000000000006</v>
      </c>
      <c r="H558">
        <v>12</v>
      </c>
      <c r="I558">
        <v>3</v>
      </c>
      <c r="J558">
        <v>1</v>
      </c>
      <c r="K558">
        <v>2</v>
      </c>
    </row>
    <row r="559" spans="1:11" x14ac:dyDescent="0.25">
      <c r="A559" s="2">
        <v>2017</v>
      </c>
      <c r="B559" s="2" t="s">
        <v>222</v>
      </c>
      <c r="C559" t="s">
        <v>106</v>
      </c>
      <c r="D559" s="1">
        <v>88963</v>
      </c>
      <c r="E559" t="s">
        <v>34</v>
      </c>
      <c r="F559" t="s">
        <v>10</v>
      </c>
      <c r="G559">
        <v>72.7</v>
      </c>
      <c r="H559">
        <v>11</v>
      </c>
      <c r="I559">
        <v>2</v>
      </c>
      <c r="J559">
        <v>1</v>
      </c>
      <c r="K559">
        <v>1</v>
      </c>
    </row>
    <row r="560" spans="1:11" x14ac:dyDescent="0.25">
      <c r="A560" s="2">
        <v>2017</v>
      </c>
      <c r="B560" s="2" t="s">
        <v>223</v>
      </c>
      <c r="C560" t="s">
        <v>106</v>
      </c>
      <c r="D560" s="1">
        <v>117671</v>
      </c>
      <c r="E560" t="s">
        <v>25</v>
      </c>
      <c r="F560" t="s">
        <v>12</v>
      </c>
      <c r="G560">
        <v>80</v>
      </c>
      <c r="H560">
        <v>5</v>
      </c>
      <c r="I560">
        <v>74</v>
      </c>
      <c r="J560">
        <v>39</v>
      </c>
      <c r="K560">
        <v>45</v>
      </c>
    </row>
    <row r="561" spans="1:11" x14ac:dyDescent="0.25">
      <c r="A561" s="2">
        <v>2017</v>
      </c>
      <c r="B561" s="2" t="s">
        <v>223</v>
      </c>
      <c r="C561" t="s">
        <v>106</v>
      </c>
      <c r="D561" s="1">
        <v>117671</v>
      </c>
      <c r="E561" t="s">
        <v>25</v>
      </c>
      <c r="F561" t="s">
        <v>7</v>
      </c>
      <c r="G561">
        <v>81.3</v>
      </c>
      <c r="H561">
        <v>5</v>
      </c>
      <c r="I561">
        <v>17</v>
      </c>
      <c r="J561">
        <v>9</v>
      </c>
      <c r="K561">
        <v>10</v>
      </c>
    </row>
    <row r="562" spans="1:11" x14ac:dyDescent="0.25">
      <c r="A562" s="2">
        <v>2017</v>
      </c>
      <c r="B562" s="2" t="s">
        <v>223</v>
      </c>
      <c r="C562" t="s">
        <v>106</v>
      </c>
      <c r="D562" s="1">
        <v>117671</v>
      </c>
      <c r="E562" t="s">
        <v>25</v>
      </c>
      <c r="F562" t="s">
        <v>11</v>
      </c>
      <c r="G562">
        <v>85</v>
      </c>
      <c r="H562">
        <v>5</v>
      </c>
      <c r="I562">
        <v>20</v>
      </c>
      <c r="J562">
        <v>15</v>
      </c>
      <c r="K562">
        <v>15</v>
      </c>
    </row>
    <row r="563" spans="1:11" x14ac:dyDescent="0.25">
      <c r="A563" s="2">
        <v>2017</v>
      </c>
      <c r="B563" s="2" t="s">
        <v>223</v>
      </c>
      <c r="C563" t="s">
        <v>106</v>
      </c>
      <c r="D563" s="1">
        <v>117671</v>
      </c>
      <c r="E563" t="s">
        <v>25</v>
      </c>
      <c r="F563" t="s">
        <v>9</v>
      </c>
      <c r="G563">
        <v>80</v>
      </c>
      <c r="H563">
        <v>5</v>
      </c>
      <c r="I563">
        <v>13</v>
      </c>
      <c r="J563">
        <v>6</v>
      </c>
      <c r="K563">
        <v>7</v>
      </c>
    </row>
    <row r="564" spans="1:11" x14ac:dyDescent="0.25">
      <c r="A564" s="2">
        <v>2017</v>
      </c>
      <c r="B564" s="2" t="s">
        <v>223</v>
      </c>
      <c r="C564" t="s">
        <v>106</v>
      </c>
      <c r="D564" s="1">
        <v>117671</v>
      </c>
      <c r="E564" t="s">
        <v>25</v>
      </c>
      <c r="F564" t="s">
        <v>8</v>
      </c>
      <c r="G564">
        <v>80</v>
      </c>
      <c r="H564">
        <v>5</v>
      </c>
      <c r="I564">
        <v>19</v>
      </c>
      <c r="J564">
        <v>12</v>
      </c>
      <c r="K564">
        <v>11</v>
      </c>
    </row>
    <row r="565" spans="1:11" x14ac:dyDescent="0.25">
      <c r="A565" s="2">
        <v>2017</v>
      </c>
      <c r="B565" s="2" t="s">
        <v>223</v>
      </c>
      <c r="C565" t="s">
        <v>106</v>
      </c>
      <c r="D565" s="1">
        <v>117671</v>
      </c>
      <c r="E565" t="s">
        <v>25</v>
      </c>
      <c r="F565" t="s">
        <v>10</v>
      </c>
      <c r="G565">
        <v>80</v>
      </c>
      <c r="H565">
        <v>5</v>
      </c>
      <c r="I565">
        <v>17</v>
      </c>
      <c r="J565">
        <v>10</v>
      </c>
      <c r="K565">
        <v>11</v>
      </c>
    </row>
    <row r="566" spans="1:11" x14ac:dyDescent="0.25">
      <c r="A566" s="2">
        <v>2017</v>
      </c>
      <c r="B566" s="2" t="s">
        <v>223</v>
      </c>
      <c r="C566" t="s">
        <v>106</v>
      </c>
      <c r="D566" s="1">
        <v>104133</v>
      </c>
      <c r="E566" t="s">
        <v>20</v>
      </c>
      <c r="F566" t="s">
        <v>12</v>
      </c>
      <c r="G566">
        <v>75</v>
      </c>
      <c r="H566">
        <v>17</v>
      </c>
      <c r="I566">
        <v>47</v>
      </c>
      <c r="J566">
        <v>14</v>
      </c>
      <c r="K566">
        <v>21</v>
      </c>
    </row>
    <row r="567" spans="1:11" x14ac:dyDescent="0.25">
      <c r="A567" s="2">
        <v>2017</v>
      </c>
      <c r="B567" s="2" t="s">
        <v>223</v>
      </c>
      <c r="C567" t="s">
        <v>106</v>
      </c>
      <c r="D567" s="1">
        <v>104133</v>
      </c>
      <c r="E567" t="s">
        <v>20</v>
      </c>
      <c r="F567" t="s">
        <v>7</v>
      </c>
      <c r="G567">
        <v>85.7</v>
      </c>
      <c r="H567">
        <v>17</v>
      </c>
      <c r="I567">
        <v>57</v>
      </c>
      <c r="J567">
        <v>41</v>
      </c>
      <c r="K567">
        <v>37</v>
      </c>
    </row>
    <row r="568" spans="1:11" x14ac:dyDescent="0.25">
      <c r="A568" s="2">
        <v>2017</v>
      </c>
      <c r="B568" s="2" t="s">
        <v>223</v>
      </c>
      <c r="C568" t="s">
        <v>106</v>
      </c>
      <c r="D568" s="1">
        <v>104133</v>
      </c>
      <c r="E568" t="s">
        <v>20</v>
      </c>
      <c r="F568" t="s">
        <v>11</v>
      </c>
      <c r="G568">
        <v>89.7</v>
      </c>
      <c r="H568">
        <v>17</v>
      </c>
      <c r="I568">
        <v>76</v>
      </c>
      <c r="J568">
        <v>56</v>
      </c>
      <c r="K568">
        <v>55</v>
      </c>
    </row>
    <row r="569" spans="1:11" x14ac:dyDescent="0.25">
      <c r="A569" s="2">
        <v>2017</v>
      </c>
      <c r="B569" s="2" t="s">
        <v>223</v>
      </c>
      <c r="C569" t="s">
        <v>106</v>
      </c>
      <c r="D569" s="1">
        <v>104133</v>
      </c>
      <c r="E569" t="s">
        <v>20</v>
      </c>
      <c r="F569" t="s">
        <v>9</v>
      </c>
      <c r="G569">
        <v>88.2</v>
      </c>
      <c r="H569">
        <v>17</v>
      </c>
      <c r="I569">
        <v>84</v>
      </c>
      <c r="J569">
        <v>63</v>
      </c>
      <c r="K569">
        <v>60</v>
      </c>
    </row>
    <row r="570" spans="1:11" x14ac:dyDescent="0.25">
      <c r="A570" s="2">
        <v>2017</v>
      </c>
      <c r="B570" s="2" t="s">
        <v>223</v>
      </c>
      <c r="C570" t="s">
        <v>106</v>
      </c>
      <c r="D570" s="1">
        <v>104133</v>
      </c>
      <c r="E570" t="s">
        <v>20</v>
      </c>
      <c r="F570" t="s">
        <v>8</v>
      </c>
      <c r="G570">
        <v>83.8</v>
      </c>
      <c r="H570">
        <v>17</v>
      </c>
      <c r="I570">
        <v>49</v>
      </c>
      <c r="J570">
        <v>38</v>
      </c>
      <c r="K570">
        <v>33</v>
      </c>
    </row>
    <row r="571" spans="1:11" x14ac:dyDescent="0.25">
      <c r="A571" s="2">
        <v>2017</v>
      </c>
      <c r="B571" s="2" t="s">
        <v>223</v>
      </c>
      <c r="C571" t="s">
        <v>106</v>
      </c>
      <c r="D571" s="1">
        <v>104133</v>
      </c>
      <c r="E571" t="s">
        <v>20</v>
      </c>
      <c r="F571" t="s">
        <v>10</v>
      </c>
      <c r="G571">
        <v>80.900000000000006</v>
      </c>
      <c r="H571">
        <v>17</v>
      </c>
      <c r="I571">
        <v>20</v>
      </c>
      <c r="J571">
        <v>16</v>
      </c>
      <c r="K571">
        <v>15</v>
      </c>
    </row>
    <row r="572" spans="1:11" x14ac:dyDescent="0.25">
      <c r="A572" s="2">
        <v>2017</v>
      </c>
      <c r="B572" s="2" t="s">
        <v>223</v>
      </c>
      <c r="C572" t="s">
        <v>106</v>
      </c>
      <c r="D572" s="1">
        <v>114603</v>
      </c>
      <c r="E572" t="s">
        <v>36</v>
      </c>
      <c r="F572" t="s">
        <v>12</v>
      </c>
      <c r="G572">
        <v>38.9</v>
      </c>
      <c r="H572">
        <v>9</v>
      </c>
      <c r="I572">
        <v>1</v>
      </c>
      <c r="J572">
        <v>1</v>
      </c>
      <c r="K572">
        <v>1</v>
      </c>
    </row>
    <row r="573" spans="1:11" x14ac:dyDescent="0.25">
      <c r="A573" s="2">
        <v>2017</v>
      </c>
      <c r="B573" s="2" t="s">
        <v>223</v>
      </c>
      <c r="C573" t="s">
        <v>106</v>
      </c>
      <c r="D573" s="1">
        <v>114603</v>
      </c>
      <c r="E573" t="s">
        <v>36</v>
      </c>
      <c r="F573" t="s">
        <v>7</v>
      </c>
      <c r="G573">
        <v>57.6</v>
      </c>
      <c r="H573">
        <v>9</v>
      </c>
      <c r="I573">
        <v>1</v>
      </c>
      <c r="J573">
        <v>1</v>
      </c>
      <c r="K573">
        <v>1</v>
      </c>
    </row>
    <row r="574" spans="1:11" x14ac:dyDescent="0.25">
      <c r="A574" s="2">
        <v>2017</v>
      </c>
      <c r="B574" s="2" t="s">
        <v>223</v>
      </c>
      <c r="C574" t="s">
        <v>106</v>
      </c>
      <c r="D574" s="1">
        <v>114603</v>
      </c>
      <c r="E574" t="s">
        <v>36</v>
      </c>
      <c r="F574" t="s">
        <v>11</v>
      </c>
      <c r="G574">
        <v>66.7</v>
      </c>
      <c r="H574">
        <v>9</v>
      </c>
      <c r="I574">
        <v>1</v>
      </c>
      <c r="J574">
        <v>1</v>
      </c>
      <c r="K574">
        <v>1</v>
      </c>
    </row>
    <row r="575" spans="1:11" x14ac:dyDescent="0.25">
      <c r="A575" s="2">
        <v>2017</v>
      </c>
      <c r="B575" s="2" t="s">
        <v>223</v>
      </c>
      <c r="C575" t="s">
        <v>106</v>
      </c>
      <c r="D575" s="1">
        <v>114603</v>
      </c>
      <c r="E575" t="s">
        <v>36</v>
      </c>
      <c r="F575" t="s">
        <v>9</v>
      </c>
      <c r="G575">
        <v>58.3</v>
      </c>
      <c r="H575">
        <v>9</v>
      </c>
      <c r="I575">
        <v>1</v>
      </c>
      <c r="J575">
        <v>1</v>
      </c>
      <c r="K575">
        <v>1</v>
      </c>
    </row>
    <row r="576" spans="1:11" x14ac:dyDescent="0.25">
      <c r="A576" s="2">
        <v>2017</v>
      </c>
      <c r="B576" s="2" t="s">
        <v>223</v>
      </c>
      <c r="C576" t="s">
        <v>106</v>
      </c>
      <c r="D576" s="1">
        <v>114603</v>
      </c>
      <c r="E576" t="s">
        <v>36</v>
      </c>
      <c r="F576" t="s">
        <v>8</v>
      </c>
      <c r="G576">
        <v>61.1</v>
      </c>
      <c r="H576">
        <v>9</v>
      </c>
      <c r="I576">
        <v>1</v>
      </c>
      <c r="J576">
        <v>1</v>
      </c>
      <c r="K576">
        <v>1</v>
      </c>
    </row>
    <row r="577" spans="1:11" x14ac:dyDescent="0.25">
      <c r="A577" s="2">
        <v>2017</v>
      </c>
      <c r="B577" s="2" t="s">
        <v>223</v>
      </c>
      <c r="C577" t="s">
        <v>106</v>
      </c>
      <c r="D577" s="1">
        <v>114603</v>
      </c>
      <c r="E577" t="s">
        <v>36</v>
      </c>
      <c r="F577" t="s">
        <v>10</v>
      </c>
      <c r="G577">
        <v>44.4</v>
      </c>
      <c r="H577">
        <v>9</v>
      </c>
      <c r="I577">
        <v>1</v>
      </c>
      <c r="J577">
        <v>1</v>
      </c>
      <c r="K577">
        <v>1</v>
      </c>
    </row>
    <row r="578" spans="1:11" x14ac:dyDescent="0.25">
      <c r="A578" s="2">
        <v>2017</v>
      </c>
      <c r="B578" s="2" t="s">
        <v>223</v>
      </c>
      <c r="C578" t="s">
        <v>106</v>
      </c>
      <c r="D578" s="1">
        <v>101071</v>
      </c>
      <c r="E578" t="s">
        <v>43</v>
      </c>
      <c r="F578" t="s">
        <v>12</v>
      </c>
      <c r="G578">
        <v>45.8</v>
      </c>
      <c r="H578">
        <v>6</v>
      </c>
      <c r="I578">
        <v>1</v>
      </c>
      <c r="J578">
        <v>1</v>
      </c>
      <c r="K578">
        <v>1</v>
      </c>
    </row>
    <row r="579" spans="1:11" x14ac:dyDescent="0.25">
      <c r="A579" s="2">
        <v>2017</v>
      </c>
      <c r="B579" s="2" t="s">
        <v>223</v>
      </c>
      <c r="C579" t="s">
        <v>106</v>
      </c>
      <c r="D579" s="1">
        <v>101071</v>
      </c>
      <c r="E579" t="s">
        <v>43</v>
      </c>
      <c r="F579" t="s">
        <v>7</v>
      </c>
      <c r="G579">
        <v>63.8</v>
      </c>
      <c r="H579">
        <v>5</v>
      </c>
      <c r="I579">
        <v>1</v>
      </c>
      <c r="J579">
        <v>1</v>
      </c>
      <c r="K579">
        <v>1</v>
      </c>
    </row>
    <row r="580" spans="1:11" x14ac:dyDescent="0.25">
      <c r="A580" s="2">
        <v>2017</v>
      </c>
      <c r="B580" s="2" t="s">
        <v>223</v>
      </c>
      <c r="C580" t="s">
        <v>106</v>
      </c>
      <c r="D580" s="1">
        <v>101071</v>
      </c>
      <c r="E580" t="s">
        <v>43</v>
      </c>
      <c r="F580" t="s">
        <v>11</v>
      </c>
      <c r="G580">
        <v>70</v>
      </c>
      <c r="H580">
        <v>5</v>
      </c>
      <c r="I580">
        <v>1</v>
      </c>
      <c r="J580">
        <v>1</v>
      </c>
      <c r="K580">
        <v>1</v>
      </c>
    </row>
    <row r="581" spans="1:11" x14ac:dyDescent="0.25">
      <c r="A581" s="2">
        <v>2017</v>
      </c>
      <c r="B581" s="2" t="s">
        <v>223</v>
      </c>
      <c r="C581" t="s">
        <v>106</v>
      </c>
      <c r="D581" s="1">
        <v>101071</v>
      </c>
      <c r="E581" t="s">
        <v>43</v>
      </c>
      <c r="F581" t="s">
        <v>9</v>
      </c>
      <c r="G581">
        <v>55</v>
      </c>
      <c r="H581">
        <v>5</v>
      </c>
      <c r="I581">
        <v>1</v>
      </c>
      <c r="J581">
        <v>1</v>
      </c>
      <c r="K581">
        <v>1</v>
      </c>
    </row>
    <row r="582" spans="1:11" x14ac:dyDescent="0.25">
      <c r="A582" s="2">
        <v>2017</v>
      </c>
      <c r="B582" s="2" t="s">
        <v>223</v>
      </c>
      <c r="C582" t="s">
        <v>106</v>
      </c>
      <c r="D582" s="1">
        <v>101071</v>
      </c>
      <c r="E582" t="s">
        <v>43</v>
      </c>
      <c r="F582" t="s">
        <v>8</v>
      </c>
      <c r="G582">
        <v>65</v>
      </c>
      <c r="H582">
        <v>5</v>
      </c>
      <c r="I582">
        <v>1</v>
      </c>
      <c r="J582">
        <v>1</v>
      </c>
      <c r="K582">
        <v>1</v>
      </c>
    </row>
    <row r="583" spans="1:11" x14ac:dyDescent="0.25">
      <c r="A583" s="2">
        <v>2017</v>
      </c>
      <c r="B583" s="2" t="s">
        <v>223</v>
      </c>
      <c r="C583" t="s">
        <v>106</v>
      </c>
      <c r="D583" s="1">
        <v>101071</v>
      </c>
      <c r="E583" t="s">
        <v>43</v>
      </c>
      <c r="F583" t="s">
        <v>10</v>
      </c>
      <c r="G583">
        <v>65</v>
      </c>
      <c r="H583">
        <v>5</v>
      </c>
      <c r="I583">
        <v>1</v>
      </c>
      <c r="J583">
        <v>1</v>
      </c>
      <c r="K583">
        <v>1</v>
      </c>
    </row>
    <row r="584" spans="1:11" x14ac:dyDescent="0.25">
      <c r="A584" s="2">
        <v>2017</v>
      </c>
      <c r="B584" s="2" t="s">
        <v>223</v>
      </c>
      <c r="C584" t="s">
        <v>106</v>
      </c>
      <c r="D584" s="1">
        <v>110569</v>
      </c>
      <c r="E584" t="s">
        <v>18</v>
      </c>
      <c r="F584" t="s">
        <v>12</v>
      </c>
      <c r="G584">
        <v>87.5</v>
      </c>
      <c r="H584">
        <v>10</v>
      </c>
      <c r="I584">
        <v>99</v>
      </c>
      <c r="J584">
        <v>86</v>
      </c>
      <c r="K584">
        <v>83</v>
      </c>
    </row>
    <row r="585" spans="1:11" x14ac:dyDescent="0.25">
      <c r="A585" s="2">
        <v>2017</v>
      </c>
      <c r="B585" s="2" t="s">
        <v>223</v>
      </c>
      <c r="C585" t="s">
        <v>106</v>
      </c>
      <c r="D585" s="1">
        <v>110569</v>
      </c>
      <c r="E585" t="s">
        <v>18</v>
      </c>
      <c r="F585" t="s">
        <v>7</v>
      </c>
      <c r="G585">
        <v>94.4</v>
      </c>
      <c r="H585">
        <v>10</v>
      </c>
      <c r="I585">
        <v>99</v>
      </c>
      <c r="J585">
        <v>99</v>
      </c>
      <c r="K585">
        <v>97</v>
      </c>
    </row>
    <row r="586" spans="1:11" x14ac:dyDescent="0.25">
      <c r="A586" s="2">
        <v>2017</v>
      </c>
      <c r="B586" s="2" t="s">
        <v>223</v>
      </c>
      <c r="C586" t="s">
        <v>106</v>
      </c>
      <c r="D586" s="1">
        <v>110569</v>
      </c>
      <c r="E586" t="s">
        <v>18</v>
      </c>
      <c r="F586" t="s">
        <v>11</v>
      </c>
      <c r="G586">
        <v>100</v>
      </c>
      <c r="H586">
        <v>10</v>
      </c>
      <c r="I586">
        <v>99</v>
      </c>
      <c r="J586">
        <v>99</v>
      </c>
      <c r="K586">
        <v>99</v>
      </c>
    </row>
    <row r="587" spans="1:11" x14ac:dyDescent="0.25">
      <c r="A587" s="2">
        <v>2017</v>
      </c>
      <c r="B587" s="2" t="s">
        <v>223</v>
      </c>
      <c r="C587" t="s">
        <v>106</v>
      </c>
      <c r="D587" s="1">
        <v>110569</v>
      </c>
      <c r="E587" t="s">
        <v>18</v>
      </c>
      <c r="F587" t="s">
        <v>9</v>
      </c>
      <c r="G587">
        <v>95</v>
      </c>
      <c r="H587">
        <v>10</v>
      </c>
      <c r="I587">
        <v>99</v>
      </c>
      <c r="J587">
        <v>99</v>
      </c>
      <c r="K587">
        <v>98</v>
      </c>
    </row>
    <row r="588" spans="1:11" x14ac:dyDescent="0.25">
      <c r="A588" s="2">
        <v>2017</v>
      </c>
      <c r="B588" s="2" t="s">
        <v>223</v>
      </c>
      <c r="C588" t="s">
        <v>106</v>
      </c>
      <c r="D588" s="1">
        <v>110569</v>
      </c>
      <c r="E588" t="s">
        <v>18</v>
      </c>
      <c r="F588" t="s">
        <v>8</v>
      </c>
      <c r="G588">
        <v>95</v>
      </c>
      <c r="H588">
        <v>10</v>
      </c>
      <c r="I588">
        <v>99</v>
      </c>
      <c r="J588">
        <v>99</v>
      </c>
      <c r="K588">
        <v>98</v>
      </c>
    </row>
    <row r="589" spans="1:11" x14ac:dyDescent="0.25">
      <c r="A589" s="2">
        <v>2017</v>
      </c>
      <c r="B589" s="2" t="s">
        <v>223</v>
      </c>
      <c r="C589" t="s">
        <v>106</v>
      </c>
      <c r="D589" s="1">
        <v>110569</v>
      </c>
      <c r="E589" t="s">
        <v>18</v>
      </c>
      <c r="F589" t="s">
        <v>10</v>
      </c>
      <c r="G589">
        <v>87.5</v>
      </c>
      <c r="H589">
        <v>10</v>
      </c>
      <c r="I589">
        <v>86</v>
      </c>
      <c r="J589">
        <v>67</v>
      </c>
      <c r="K589">
        <v>64</v>
      </c>
    </row>
    <row r="590" spans="1:11" x14ac:dyDescent="0.25">
      <c r="A590" s="2">
        <v>2017</v>
      </c>
      <c r="B590" s="2" t="s">
        <v>223</v>
      </c>
      <c r="C590" t="s">
        <v>106</v>
      </c>
      <c r="D590" s="1">
        <v>117465</v>
      </c>
      <c r="E590" t="s">
        <v>23</v>
      </c>
      <c r="F590" t="s">
        <v>12</v>
      </c>
      <c r="G590">
        <v>87.5</v>
      </c>
      <c r="H590">
        <v>6</v>
      </c>
      <c r="I590">
        <v>99</v>
      </c>
      <c r="J590">
        <v>86</v>
      </c>
      <c r="K590">
        <v>83</v>
      </c>
    </row>
    <row r="591" spans="1:11" x14ac:dyDescent="0.25">
      <c r="A591" s="2">
        <v>2017</v>
      </c>
      <c r="B591" s="2" t="s">
        <v>223</v>
      </c>
      <c r="C591" t="s">
        <v>106</v>
      </c>
      <c r="D591" s="1">
        <v>117465</v>
      </c>
      <c r="E591" t="s">
        <v>23</v>
      </c>
      <c r="F591" t="s">
        <v>7</v>
      </c>
      <c r="G591">
        <v>80.2</v>
      </c>
      <c r="H591">
        <v>6</v>
      </c>
      <c r="I591">
        <v>14</v>
      </c>
      <c r="J591">
        <v>5</v>
      </c>
      <c r="K591">
        <v>7</v>
      </c>
    </row>
    <row r="592" spans="1:11" x14ac:dyDescent="0.25">
      <c r="A592" s="2">
        <v>2017</v>
      </c>
      <c r="B592" s="2" t="s">
        <v>223</v>
      </c>
      <c r="C592" t="s">
        <v>106</v>
      </c>
      <c r="D592" s="1">
        <v>117465</v>
      </c>
      <c r="E592" t="s">
        <v>23</v>
      </c>
      <c r="F592" t="s">
        <v>11</v>
      </c>
      <c r="G592">
        <v>87.5</v>
      </c>
      <c r="H592">
        <v>6</v>
      </c>
      <c r="I592">
        <v>45</v>
      </c>
      <c r="J592">
        <v>32</v>
      </c>
      <c r="K592">
        <v>32</v>
      </c>
    </row>
    <row r="593" spans="1:11" x14ac:dyDescent="0.25">
      <c r="A593" s="2">
        <v>2017</v>
      </c>
      <c r="B593" s="2" t="s">
        <v>223</v>
      </c>
      <c r="C593" t="s">
        <v>106</v>
      </c>
      <c r="D593" s="1">
        <v>117465</v>
      </c>
      <c r="E593" t="s">
        <v>23</v>
      </c>
      <c r="F593" t="s">
        <v>9</v>
      </c>
      <c r="G593">
        <v>87.5</v>
      </c>
      <c r="H593">
        <v>6</v>
      </c>
      <c r="I593">
        <v>74</v>
      </c>
      <c r="J593">
        <v>54</v>
      </c>
      <c r="K593">
        <v>52</v>
      </c>
    </row>
    <row r="594" spans="1:11" x14ac:dyDescent="0.25">
      <c r="A594" s="2">
        <v>2017</v>
      </c>
      <c r="B594" s="2" t="s">
        <v>223</v>
      </c>
      <c r="C594" t="s">
        <v>106</v>
      </c>
      <c r="D594" s="1">
        <v>117465</v>
      </c>
      <c r="E594" t="s">
        <v>23</v>
      </c>
      <c r="F594" t="s">
        <v>8</v>
      </c>
      <c r="G594">
        <v>70.8</v>
      </c>
      <c r="H594">
        <v>6</v>
      </c>
      <c r="I594">
        <v>1</v>
      </c>
      <c r="J594">
        <v>1</v>
      </c>
      <c r="K594">
        <v>1</v>
      </c>
    </row>
    <row r="595" spans="1:11" x14ac:dyDescent="0.25">
      <c r="A595" s="2">
        <v>2017</v>
      </c>
      <c r="B595" s="2" t="s">
        <v>223</v>
      </c>
      <c r="C595" t="s">
        <v>106</v>
      </c>
      <c r="D595" s="1">
        <v>117465</v>
      </c>
      <c r="E595" t="s">
        <v>23</v>
      </c>
      <c r="F595" t="s">
        <v>10</v>
      </c>
      <c r="G595">
        <v>75</v>
      </c>
      <c r="H595">
        <v>6</v>
      </c>
      <c r="I595">
        <v>5</v>
      </c>
      <c r="J595">
        <v>1</v>
      </c>
      <c r="K595">
        <v>2</v>
      </c>
    </row>
    <row r="596" spans="1:11" x14ac:dyDescent="0.25">
      <c r="A596" s="2">
        <v>2017</v>
      </c>
      <c r="B596" s="2" t="s">
        <v>223</v>
      </c>
      <c r="C596" t="s">
        <v>106</v>
      </c>
      <c r="D596" s="1">
        <v>121681</v>
      </c>
      <c r="E596" t="s">
        <v>29</v>
      </c>
      <c r="F596" t="s">
        <v>12</v>
      </c>
      <c r="G596">
        <v>75</v>
      </c>
      <c r="H596">
        <v>7</v>
      </c>
      <c r="I596">
        <v>47</v>
      </c>
      <c r="J596">
        <v>14</v>
      </c>
      <c r="K596">
        <v>21</v>
      </c>
    </row>
    <row r="597" spans="1:11" x14ac:dyDescent="0.25">
      <c r="A597" s="2">
        <v>2017</v>
      </c>
      <c r="B597" s="2" t="s">
        <v>223</v>
      </c>
      <c r="C597" t="s">
        <v>106</v>
      </c>
      <c r="D597" s="1">
        <v>121681</v>
      </c>
      <c r="E597" t="s">
        <v>29</v>
      </c>
      <c r="F597" t="s">
        <v>7</v>
      </c>
      <c r="G597">
        <v>83</v>
      </c>
      <c r="H597">
        <v>7</v>
      </c>
      <c r="I597">
        <v>26</v>
      </c>
      <c r="J597">
        <v>19</v>
      </c>
      <c r="K597">
        <v>18</v>
      </c>
    </row>
    <row r="598" spans="1:11" x14ac:dyDescent="0.25">
      <c r="A598" s="2">
        <v>2017</v>
      </c>
      <c r="B598" s="2" t="s">
        <v>223</v>
      </c>
      <c r="C598" t="s">
        <v>106</v>
      </c>
      <c r="D598" s="1">
        <v>121681</v>
      </c>
      <c r="E598" t="s">
        <v>29</v>
      </c>
      <c r="F598" t="s">
        <v>11</v>
      </c>
      <c r="G598">
        <v>89.3</v>
      </c>
      <c r="H598">
        <v>7</v>
      </c>
      <c r="I598">
        <v>70</v>
      </c>
      <c r="J598">
        <v>52</v>
      </c>
      <c r="K598">
        <v>51</v>
      </c>
    </row>
    <row r="599" spans="1:11" x14ac:dyDescent="0.25">
      <c r="A599" s="2">
        <v>2017</v>
      </c>
      <c r="B599" s="2" t="s">
        <v>223</v>
      </c>
      <c r="C599" t="s">
        <v>106</v>
      </c>
      <c r="D599" s="1">
        <v>121681</v>
      </c>
      <c r="E599" t="s">
        <v>29</v>
      </c>
      <c r="F599" t="s">
        <v>9</v>
      </c>
      <c r="G599">
        <v>82.1</v>
      </c>
      <c r="H599">
        <v>7</v>
      </c>
      <c r="I599">
        <v>20</v>
      </c>
      <c r="J599">
        <v>16</v>
      </c>
      <c r="K599">
        <v>13</v>
      </c>
    </row>
    <row r="600" spans="1:11" x14ac:dyDescent="0.25">
      <c r="A600" s="2">
        <v>2017</v>
      </c>
      <c r="B600" s="2" t="s">
        <v>223</v>
      </c>
      <c r="C600" t="s">
        <v>106</v>
      </c>
      <c r="D600" s="1">
        <v>121681</v>
      </c>
      <c r="E600" t="s">
        <v>29</v>
      </c>
      <c r="F600" t="s">
        <v>8</v>
      </c>
      <c r="G600">
        <v>82.1</v>
      </c>
      <c r="H600">
        <v>7</v>
      </c>
      <c r="I600">
        <v>33</v>
      </c>
      <c r="J600">
        <v>22</v>
      </c>
      <c r="K600">
        <v>21</v>
      </c>
    </row>
    <row r="601" spans="1:11" x14ac:dyDescent="0.25">
      <c r="A601" s="2">
        <v>2017</v>
      </c>
      <c r="B601" s="2" t="s">
        <v>223</v>
      </c>
      <c r="C601" t="s">
        <v>106</v>
      </c>
      <c r="D601" s="1">
        <v>121681</v>
      </c>
      <c r="E601" t="s">
        <v>29</v>
      </c>
      <c r="F601" t="s">
        <v>10</v>
      </c>
      <c r="G601">
        <v>78.599999999999994</v>
      </c>
      <c r="H601">
        <v>7</v>
      </c>
      <c r="I601">
        <v>14</v>
      </c>
      <c r="J601">
        <v>5</v>
      </c>
      <c r="K601">
        <v>7</v>
      </c>
    </row>
    <row r="602" spans="1:11" x14ac:dyDescent="0.25">
      <c r="A602" s="2">
        <v>2017</v>
      </c>
      <c r="B602" s="2" t="s">
        <v>223</v>
      </c>
      <c r="C602" t="s">
        <v>106</v>
      </c>
      <c r="D602" s="1">
        <v>103275</v>
      </c>
      <c r="E602" t="s">
        <v>26</v>
      </c>
      <c r="F602" t="s">
        <v>12</v>
      </c>
      <c r="G602">
        <v>72.2</v>
      </c>
      <c r="H602">
        <v>9</v>
      </c>
      <c r="I602">
        <v>33</v>
      </c>
      <c r="J602">
        <v>7</v>
      </c>
      <c r="K602">
        <v>13</v>
      </c>
    </row>
    <row r="603" spans="1:11" x14ac:dyDescent="0.25">
      <c r="A603" s="2">
        <v>2017</v>
      </c>
      <c r="B603" s="2" t="s">
        <v>223</v>
      </c>
      <c r="C603" t="s">
        <v>106</v>
      </c>
      <c r="D603" s="1">
        <v>103275</v>
      </c>
      <c r="E603" t="s">
        <v>26</v>
      </c>
      <c r="F603" t="s">
        <v>7</v>
      </c>
      <c r="G603">
        <v>88.9</v>
      </c>
      <c r="H603">
        <v>9</v>
      </c>
      <c r="I603">
        <v>89</v>
      </c>
      <c r="J603">
        <v>69</v>
      </c>
      <c r="K603">
        <v>68</v>
      </c>
    </row>
    <row r="604" spans="1:11" x14ac:dyDescent="0.25">
      <c r="A604" s="2">
        <v>2017</v>
      </c>
      <c r="B604" s="2" t="s">
        <v>223</v>
      </c>
      <c r="C604" t="s">
        <v>106</v>
      </c>
      <c r="D604" s="1">
        <v>103275</v>
      </c>
      <c r="E604" t="s">
        <v>26</v>
      </c>
      <c r="F604" t="s">
        <v>11</v>
      </c>
      <c r="G604">
        <v>94.4</v>
      </c>
      <c r="H604">
        <v>9</v>
      </c>
      <c r="I604">
        <v>99</v>
      </c>
      <c r="J604">
        <v>98</v>
      </c>
      <c r="K604">
        <v>94</v>
      </c>
    </row>
    <row r="605" spans="1:11" x14ac:dyDescent="0.25">
      <c r="A605" s="2">
        <v>2017</v>
      </c>
      <c r="B605" s="2" t="s">
        <v>223</v>
      </c>
      <c r="C605" t="s">
        <v>106</v>
      </c>
      <c r="D605" s="1">
        <v>103275</v>
      </c>
      <c r="E605" t="s">
        <v>26</v>
      </c>
      <c r="F605" t="s">
        <v>9</v>
      </c>
      <c r="G605">
        <v>88.9</v>
      </c>
      <c r="H605">
        <v>9</v>
      </c>
      <c r="I605">
        <v>85</v>
      </c>
      <c r="J605">
        <v>67</v>
      </c>
      <c r="K605">
        <v>65</v>
      </c>
    </row>
    <row r="606" spans="1:11" x14ac:dyDescent="0.25">
      <c r="A606" s="2">
        <v>2017</v>
      </c>
      <c r="B606" s="2" t="s">
        <v>223</v>
      </c>
      <c r="C606" t="s">
        <v>106</v>
      </c>
      <c r="D606" s="1">
        <v>103275</v>
      </c>
      <c r="E606" t="s">
        <v>26</v>
      </c>
      <c r="F606" t="s">
        <v>8</v>
      </c>
      <c r="G606">
        <v>86.1</v>
      </c>
      <c r="H606">
        <v>9</v>
      </c>
      <c r="I606">
        <v>79</v>
      </c>
      <c r="J606">
        <v>53</v>
      </c>
      <c r="K606">
        <v>53</v>
      </c>
    </row>
    <row r="607" spans="1:11" x14ac:dyDescent="0.25">
      <c r="A607" s="2">
        <v>2017</v>
      </c>
      <c r="B607" s="2" t="s">
        <v>223</v>
      </c>
      <c r="C607" t="s">
        <v>106</v>
      </c>
      <c r="D607" s="1">
        <v>103275</v>
      </c>
      <c r="E607" t="s">
        <v>26</v>
      </c>
      <c r="F607" t="s">
        <v>10</v>
      </c>
      <c r="G607">
        <v>86.1</v>
      </c>
      <c r="H607">
        <v>9</v>
      </c>
      <c r="I607">
        <v>77</v>
      </c>
      <c r="J607">
        <v>57</v>
      </c>
      <c r="K607">
        <v>52</v>
      </c>
    </row>
    <row r="608" spans="1:11" x14ac:dyDescent="0.25">
      <c r="A608" s="2">
        <v>2017</v>
      </c>
      <c r="B608" s="2" t="s">
        <v>223</v>
      </c>
      <c r="C608" t="s">
        <v>106</v>
      </c>
      <c r="D608" s="1">
        <v>150441</v>
      </c>
      <c r="E608" t="s">
        <v>30</v>
      </c>
      <c r="F608" t="s">
        <v>12</v>
      </c>
      <c r="G608">
        <v>100</v>
      </c>
      <c r="H608">
        <v>6</v>
      </c>
      <c r="I608">
        <v>99</v>
      </c>
      <c r="J608">
        <v>99</v>
      </c>
      <c r="K608">
        <v>99</v>
      </c>
    </row>
    <row r="609" spans="1:11" x14ac:dyDescent="0.25">
      <c r="A609" s="2">
        <v>2017</v>
      </c>
      <c r="B609" s="2" t="s">
        <v>223</v>
      </c>
      <c r="C609" t="s">
        <v>106</v>
      </c>
      <c r="D609" s="1">
        <v>150441</v>
      </c>
      <c r="E609" t="s">
        <v>30</v>
      </c>
      <c r="F609" t="s">
        <v>7</v>
      </c>
      <c r="G609">
        <v>100</v>
      </c>
      <c r="H609">
        <v>6</v>
      </c>
      <c r="I609">
        <v>99</v>
      </c>
      <c r="J609">
        <v>99</v>
      </c>
      <c r="K609">
        <v>99</v>
      </c>
    </row>
    <row r="610" spans="1:11" x14ac:dyDescent="0.25">
      <c r="A610" s="2">
        <v>2017</v>
      </c>
      <c r="B610" s="2" t="s">
        <v>223</v>
      </c>
      <c r="C610" t="s">
        <v>106</v>
      </c>
      <c r="D610" s="1">
        <v>150441</v>
      </c>
      <c r="E610" t="s">
        <v>30</v>
      </c>
      <c r="F610" t="s">
        <v>11</v>
      </c>
      <c r="G610">
        <v>100</v>
      </c>
      <c r="H610">
        <v>6</v>
      </c>
      <c r="I610">
        <v>99</v>
      </c>
      <c r="J610">
        <v>99</v>
      </c>
      <c r="K610">
        <v>99</v>
      </c>
    </row>
    <row r="611" spans="1:11" x14ac:dyDescent="0.25">
      <c r="A611" s="2">
        <v>2017</v>
      </c>
      <c r="B611" s="2" t="s">
        <v>223</v>
      </c>
      <c r="C611" t="s">
        <v>106</v>
      </c>
      <c r="D611" s="1">
        <v>150441</v>
      </c>
      <c r="E611" t="s">
        <v>30</v>
      </c>
      <c r="F611" t="s">
        <v>9</v>
      </c>
      <c r="G611">
        <v>100</v>
      </c>
      <c r="H611">
        <v>6</v>
      </c>
      <c r="I611">
        <v>99</v>
      </c>
      <c r="J611">
        <v>99</v>
      </c>
      <c r="K611">
        <v>99</v>
      </c>
    </row>
    <row r="612" spans="1:11" x14ac:dyDescent="0.25">
      <c r="A612" s="2">
        <v>2017</v>
      </c>
      <c r="B612" s="2" t="s">
        <v>223</v>
      </c>
      <c r="C612" t="s">
        <v>106</v>
      </c>
      <c r="D612" s="1">
        <v>150441</v>
      </c>
      <c r="E612" t="s">
        <v>30</v>
      </c>
      <c r="F612" t="s">
        <v>8</v>
      </c>
      <c r="G612">
        <v>100</v>
      </c>
      <c r="H612">
        <v>6</v>
      </c>
      <c r="I612">
        <v>99</v>
      </c>
      <c r="J612">
        <v>99</v>
      </c>
      <c r="K612">
        <v>99</v>
      </c>
    </row>
    <row r="613" spans="1:11" x14ac:dyDescent="0.25">
      <c r="A613" s="2">
        <v>2017</v>
      </c>
      <c r="B613" s="2" t="s">
        <v>223</v>
      </c>
      <c r="C613" t="s">
        <v>106</v>
      </c>
      <c r="D613" s="1">
        <v>150441</v>
      </c>
      <c r="E613" t="s">
        <v>30</v>
      </c>
      <c r="F613" t="s">
        <v>10</v>
      </c>
      <c r="G613">
        <v>100</v>
      </c>
      <c r="H613">
        <v>6</v>
      </c>
      <c r="I613">
        <v>99</v>
      </c>
      <c r="J613">
        <v>99</v>
      </c>
      <c r="K613">
        <v>99</v>
      </c>
    </row>
    <row r="614" spans="1:11" x14ac:dyDescent="0.25">
      <c r="A614" s="2">
        <v>2017</v>
      </c>
      <c r="B614" s="2" t="s">
        <v>223</v>
      </c>
      <c r="C614" t="s">
        <v>106</v>
      </c>
      <c r="D614" s="1">
        <v>152587</v>
      </c>
      <c r="E614" t="s">
        <v>28</v>
      </c>
      <c r="F614" t="s">
        <v>12</v>
      </c>
      <c r="G614">
        <v>77.5</v>
      </c>
      <c r="H614">
        <v>10</v>
      </c>
      <c r="I614">
        <v>62</v>
      </c>
      <c r="J614">
        <v>23</v>
      </c>
      <c r="K614">
        <v>32</v>
      </c>
    </row>
    <row r="615" spans="1:11" x14ac:dyDescent="0.25">
      <c r="A615" s="2">
        <v>2017</v>
      </c>
      <c r="B615" s="2" t="s">
        <v>223</v>
      </c>
      <c r="C615" t="s">
        <v>106</v>
      </c>
      <c r="D615" s="1">
        <v>152587</v>
      </c>
      <c r="E615" t="s">
        <v>28</v>
      </c>
      <c r="F615" t="s">
        <v>7</v>
      </c>
      <c r="G615">
        <v>86.9</v>
      </c>
      <c r="H615">
        <v>10</v>
      </c>
      <c r="I615">
        <v>69</v>
      </c>
      <c r="J615">
        <v>49</v>
      </c>
      <c r="K615">
        <v>49</v>
      </c>
    </row>
    <row r="616" spans="1:11" x14ac:dyDescent="0.25">
      <c r="A616" s="2">
        <v>2017</v>
      </c>
      <c r="B616" s="2" t="s">
        <v>223</v>
      </c>
      <c r="C616" t="s">
        <v>106</v>
      </c>
      <c r="D616" s="1">
        <v>152587</v>
      </c>
      <c r="E616" t="s">
        <v>28</v>
      </c>
      <c r="F616" t="s">
        <v>11</v>
      </c>
      <c r="G616">
        <v>92.5</v>
      </c>
      <c r="H616">
        <v>10</v>
      </c>
      <c r="I616">
        <v>99</v>
      </c>
      <c r="J616">
        <v>87</v>
      </c>
      <c r="K616">
        <v>81</v>
      </c>
    </row>
    <row r="617" spans="1:11" x14ac:dyDescent="0.25">
      <c r="A617" s="2">
        <v>2017</v>
      </c>
      <c r="B617" s="2" t="s">
        <v>223</v>
      </c>
      <c r="C617" t="s">
        <v>106</v>
      </c>
      <c r="D617" s="1">
        <v>152587</v>
      </c>
      <c r="E617" t="s">
        <v>28</v>
      </c>
      <c r="F617" t="s">
        <v>9</v>
      </c>
      <c r="G617">
        <v>90</v>
      </c>
      <c r="H617">
        <v>10</v>
      </c>
      <c r="I617">
        <v>93</v>
      </c>
      <c r="J617">
        <v>77</v>
      </c>
      <c r="K617">
        <v>75</v>
      </c>
    </row>
    <row r="618" spans="1:11" x14ac:dyDescent="0.25">
      <c r="A618" s="2">
        <v>2017</v>
      </c>
      <c r="B618" s="2" t="s">
        <v>223</v>
      </c>
      <c r="C618" t="s">
        <v>106</v>
      </c>
      <c r="D618" s="1">
        <v>152587</v>
      </c>
      <c r="E618" t="s">
        <v>28</v>
      </c>
      <c r="F618" t="s">
        <v>8</v>
      </c>
      <c r="G618">
        <v>82.5</v>
      </c>
      <c r="H618">
        <v>10</v>
      </c>
      <c r="I618">
        <v>38</v>
      </c>
      <c r="J618">
        <v>24</v>
      </c>
      <c r="K618">
        <v>23</v>
      </c>
    </row>
    <row r="619" spans="1:11" x14ac:dyDescent="0.25">
      <c r="A619" s="2">
        <v>2017</v>
      </c>
      <c r="B619" s="2" t="s">
        <v>223</v>
      </c>
      <c r="C619" t="s">
        <v>106</v>
      </c>
      <c r="D619" s="1">
        <v>152587</v>
      </c>
      <c r="E619" t="s">
        <v>28</v>
      </c>
      <c r="F619" t="s">
        <v>10</v>
      </c>
      <c r="G619">
        <v>82.5</v>
      </c>
      <c r="H619">
        <v>10</v>
      </c>
      <c r="I619">
        <v>38</v>
      </c>
      <c r="J619">
        <v>26</v>
      </c>
      <c r="K619">
        <v>23</v>
      </c>
    </row>
    <row r="620" spans="1:11" x14ac:dyDescent="0.25">
      <c r="A620" s="2">
        <v>2017</v>
      </c>
      <c r="B620" s="2" t="s">
        <v>223</v>
      </c>
      <c r="C620" t="s">
        <v>106</v>
      </c>
      <c r="D620" s="1">
        <v>149344</v>
      </c>
      <c r="E620" t="s">
        <v>35</v>
      </c>
      <c r="F620" t="s">
        <v>12</v>
      </c>
      <c r="G620">
        <v>100</v>
      </c>
      <c r="H620">
        <v>1</v>
      </c>
      <c r="I620">
        <v>99</v>
      </c>
      <c r="J620">
        <v>99</v>
      </c>
      <c r="K620">
        <v>99</v>
      </c>
    </row>
    <row r="621" spans="1:11" x14ac:dyDescent="0.25">
      <c r="A621" s="2">
        <v>2017</v>
      </c>
      <c r="B621" s="2" t="s">
        <v>223</v>
      </c>
      <c r="C621" t="s">
        <v>106</v>
      </c>
      <c r="D621" s="1">
        <v>149344</v>
      </c>
      <c r="E621" t="s">
        <v>35</v>
      </c>
      <c r="F621" t="s">
        <v>7</v>
      </c>
      <c r="G621">
        <v>62.5</v>
      </c>
      <c r="H621">
        <v>1</v>
      </c>
      <c r="I621">
        <v>1</v>
      </c>
      <c r="J621">
        <v>1</v>
      </c>
      <c r="K621">
        <v>1</v>
      </c>
    </row>
    <row r="622" spans="1:11" x14ac:dyDescent="0.25">
      <c r="A622" s="2">
        <v>2017</v>
      </c>
      <c r="B622" s="2" t="s">
        <v>223</v>
      </c>
      <c r="C622" t="s">
        <v>106</v>
      </c>
      <c r="D622" s="1">
        <v>149344</v>
      </c>
      <c r="E622" t="s">
        <v>35</v>
      </c>
      <c r="F622" t="s">
        <v>11</v>
      </c>
      <c r="G622">
        <v>100</v>
      </c>
      <c r="H622">
        <v>1</v>
      </c>
      <c r="I622">
        <v>99</v>
      </c>
      <c r="J622">
        <v>99</v>
      </c>
      <c r="K622">
        <v>99</v>
      </c>
    </row>
    <row r="623" spans="1:11" x14ac:dyDescent="0.25">
      <c r="A623" s="2">
        <v>2017</v>
      </c>
      <c r="B623" s="2" t="s">
        <v>223</v>
      </c>
      <c r="C623" t="s">
        <v>106</v>
      </c>
      <c r="D623" s="1">
        <v>149344</v>
      </c>
      <c r="E623" t="s">
        <v>35</v>
      </c>
      <c r="F623" t="s">
        <v>9</v>
      </c>
      <c r="G623">
        <v>50</v>
      </c>
      <c r="H623">
        <v>1</v>
      </c>
      <c r="I623">
        <v>1</v>
      </c>
      <c r="J623">
        <v>1</v>
      </c>
      <c r="K623">
        <v>1</v>
      </c>
    </row>
    <row r="624" spans="1:11" x14ac:dyDescent="0.25">
      <c r="A624" s="2">
        <v>2017</v>
      </c>
      <c r="B624" s="2" t="s">
        <v>223</v>
      </c>
      <c r="C624" t="s">
        <v>106</v>
      </c>
      <c r="D624" s="1">
        <v>149344</v>
      </c>
      <c r="E624" t="s">
        <v>35</v>
      </c>
      <c r="F624" t="s">
        <v>8</v>
      </c>
      <c r="G624">
        <v>50</v>
      </c>
      <c r="H624">
        <v>1</v>
      </c>
      <c r="I624">
        <v>1</v>
      </c>
      <c r="J624">
        <v>1</v>
      </c>
      <c r="K624">
        <v>1</v>
      </c>
    </row>
    <row r="625" spans="1:11" x14ac:dyDescent="0.25">
      <c r="A625" s="2">
        <v>2017</v>
      </c>
      <c r="B625" s="2" t="s">
        <v>223</v>
      </c>
      <c r="C625" t="s">
        <v>106</v>
      </c>
      <c r="D625" s="1">
        <v>149344</v>
      </c>
      <c r="E625" t="s">
        <v>35</v>
      </c>
      <c r="F625" t="s">
        <v>10</v>
      </c>
      <c r="G625">
        <v>50</v>
      </c>
      <c r="H625">
        <v>1</v>
      </c>
      <c r="I625">
        <v>1</v>
      </c>
      <c r="J625">
        <v>1</v>
      </c>
      <c r="K625">
        <v>1</v>
      </c>
    </row>
    <row r="626" spans="1:11" x14ac:dyDescent="0.25">
      <c r="A626" s="2">
        <v>2017</v>
      </c>
      <c r="B626" s="2" t="s">
        <v>223</v>
      </c>
      <c r="C626" t="s">
        <v>106</v>
      </c>
      <c r="D626" s="1">
        <v>117440</v>
      </c>
      <c r="E626" t="s">
        <v>32</v>
      </c>
      <c r="F626" t="s">
        <v>12</v>
      </c>
      <c r="G626">
        <v>59.4</v>
      </c>
      <c r="H626">
        <v>8</v>
      </c>
      <c r="I626">
        <v>3</v>
      </c>
      <c r="J626">
        <v>1</v>
      </c>
      <c r="K626">
        <v>1</v>
      </c>
    </row>
    <row r="627" spans="1:11" x14ac:dyDescent="0.25">
      <c r="A627" s="2">
        <v>2017</v>
      </c>
      <c r="B627" s="2" t="s">
        <v>223</v>
      </c>
      <c r="C627" t="s">
        <v>106</v>
      </c>
      <c r="D627" s="1">
        <v>117440</v>
      </c>
      <c r="E627" t="s">
        <v>32</v>
      </c>
      <c r="F627" t="s">
        <v>7</v>
      </c>
      <c r="G627">
        <v>75</v>
      </c>
      <c r="H627">
        <v>8</v>
      </c>
      <c r="I627">
        <v>3</v>
      </c>
      <c r="J627">
        <v>1</v>
      </c>
      <c r="K627">
        <v>2</v>
      </c>
    </row>
    <row r="628" spans="1:11" x14ac:dyDescent="0.25">
      <c r="A628" s="2">
        <v>2017</v>
      </c>
      <c r="B628" s="2" t="s">
        <v>223</v>
      </c>
      <c r="C628" t="s">
        <v>106</v>
      </c>
      <c r="D628" s="1">
        <v>117440</v>
      </c>
      <c r="E628" t="s">
        <v>32</v>
      </c>
      <c r="F628" t="s">
        <v>11</v>
      </c>
      <c r="G628">
        <v>78.099999999999994</v>
      </c>
      <c r="H628">
        <v>8</v>
      </c>
      <c r="I628">
        <v>1</v>
      </c>
      <c r="J628">
        <v>1</v>
      </c>
      <c r="K628">
        <v>1</v>
      </c>
    </row>
    <row r="629" spans="1:11" x14ac:dyDescent="0.25">
      <c r="A629" s="2">
        <v>2017</v>
      </c>
      <c r="B629" s="2" t="s">
        <v>223</v>
      </c>
      <c r="C629" t="s">
        <v>106</v>
      </c>
      <c r="D629" s="1">
        <v>117440</v>
      </c>
      <c r="E629" t="s">
        <v>32</v>
      </c>
      <c r="F629" t="s">
        <v>9</v>
      </c>
      <c r="G629">
        <v>75</v>
      </c>
      <c r="H629">
        <v>8</v>
      </c>
      <c r="I629">
        <v>2</v>
      </c>
      <c r="J629">
        <v>1</v>
      </c>
      <c r="K629">
        <v>1</v>
      </c>
    </row>
    <row r="630" spans="1:11" x14ac:dyDescent="0.25">
      <c r="A630" s="2">
        <v>2017</v>
      </c>
      <c r="B630" s="2" t="s">
        <v>223</v>
      </c>
      <c r="C630" t="s">
        <v>106</v>
      </c>
      <c r="D630" s="1">
        <v>117440</v>
      </c>
      <c r="E630" t="s">
        <v>32</v>
      </c>
      <c r="F630" t="s">
        <v>8</v>
      </c>
      <c r="G630">
        <v>75</v>
      </c>
      <c r="H630">
        <v>8</v>
      </c>
      <c r="I630">
        <v>7</v>
      </c>
      <c r="J630">
        <v>1</v>
      </c>
      <c r="K630">
        <v>2</v>
      </c>
    </row>
    <row r="631" spans="1:11" x14ac:dyDescent="0.25">
      <c r="A631" s="2">
        <v>2017</v>
      </c>
      <c r="B631" s="2" t="s">
        <v>223</v>
      </c>
      <c r="C631" t="s">
        <v>106</v>
      </c>
      <c r="D631" s="1">
        <v>117440</v>
      </c>
      <c r="E631" t="s">
        <v>32</v>
      </c>
      <c r="F631" t="s">
        <v>10</v>
      </c>
      <c r="G631">
        <v>71.900000000000006</v>
      </c>
      <c r="H631">
        <v>8</v>
      </c>
      <c r="I631">
        <v>1</v>
      </c>
      <c r="J631">
        <v>1</v>
      </c>
      <c r="K631">
        <v>1</v>
      </c>
    </row>
    <row r="632" spans="1:11" x14ac:dyDescent="0.25">
      <c r="A632" s="2">
        <v>2017</v>
      </c>
      <c r="B632" s="2" t="s">
        <v>223</v>
      </c>
      <c r="C632" t="s">
        <v>106</v>
      </c>
      <c r="D632" s="1">
        <v>153700</v>
      </c>
      <c r="E632" t="s">
        <v>38</v>
      </c>
      <c r="F632" t="s">
        <v>12</v>
      </c>
      <c r="G632">
        <v>75</v>
      </c>
      <c r="H632">
        <v>5</v>
      </c>
      <c r="I632">
        <v>47</v>
      </c>
      <c r="J632">
        <v>14</v>
      </c>
      <c r="K632">
        <v>21</v>
      </c>
    </row>
    <row r="633" spans="1:11" x14ac:dyDescent="0.25">
      <c r="A633" s="2">
        <v>2017</v>
      </c>
      <c r="B633" s="2" t="s">
        <v>223</v>
      </c>
      <c r="C633" t="s">
        <v>106</v>
      </c>
      <c r="D633" s="1">
        <v>153700</v>
      </c>
      <c r="E633" t="s">
        <v>38</v>
      </c>
      <c r="F633" t="s">
        <v>7</v>
      </c>
      <c r="G633">
        <v>77.5</v>
      </c>
      <c r="H633">
        <v>5</v>
      </c>
      <c r="I633">
        <v>7</v>
      </c>
      <c r="J633">
        <v>1</v>
      </c>
      <c r="K633">
        <v>4</v>
      </c>
    </row>
    <row r="634" spans="1:11" x14ac:dyDescent="0.25">
      <c r="A634" s="2">
        <v>2017</v>
      </c>
      <c r="B634" s="2" t="s">
        <v>223</v>
      </c>
      <c r="C634" t="s">
        <v>106</v>
      </c>
      <c r="D634" s="1">
        <v>153700</v>
      </c>
      <c r="E634" t="s">
        <v>38</v>
      </c>
      <c r="F634" t="s">
        <v>11</v>
      </c>
      <c r="G634">
        <v>75</v>
      </c>
      <c r="H634">
        <v>5</v>
      </c>
      <c r="I634">
        <v>1</v>
      </c>
      <c r="J634">
        <v>1</v>
      </c>
      <c r="K634">
        <v>1</v>
      </c>
    </row>
    <row r="635" spans="1:11" x14ac:dyDescent="0.25">
      <c r="A635" s="2">
        <v>2017</v>
      </c>
      <c r="B635" s="2" t="s">
        <v>223</v>
      </c>
      <c r="C635" t="s">
        <v>106</v>
      </c>
      <c r="D635" s="1">
        <v>153700</v>
      </c>
      <c r="E635" t="s">
        <v>38</v>
      </c>
      <c r="F635" t="s">
        <v>9</v>
      </c>
      <c r="G635">
        <v>75</v>
      </c>
      <c r="H635">
        <v>5</v>
      </c>
      <c r="I635">
        <v>2</v>
      </c>
      <c r="J635">
        <v>1</v>
      </c>
      <c r="K635">
        <v>1</v>
      </c>
    </row>
    <row r="636" spans="1:11" x14ac:dyDescent="0.25">
      <c r="A636" s="2">
        <v>2017</v>
      </c>
      <c r="B636" s="2" t="s">
        <v>223</v>
      </c>
      <c r="C636" t="s">
        <v>106</v>
      </c>
      <c r="D636" s="1">
        <v>153700</v>
      </c>
      <c r="E636" t="s">
        <v>38</v>
      </c>
      <c r="F636" t="s">
        <v>8</v>
      </c>
      <c r="G636">
        <v>68.8</v>
      </c>
      <c r="H636">
        <v>4</v>
      </c>
      <c r="I636">
        <v>1</v>
      </c>
      <c r="J636">
        <v>1</v>
      </c>
      <c r="K636">
        <v>1</v>
      </c>
    </row>
    <row r="637" spans="1:11" x14ac:dyDescent="0.25">
      <c r="A637" s="2">
        <v>2017</v>
      </c>
      <c r="B637" s="2" t="s">
        <v>223</v>
      </c>
      <c r="C637" t="s">
        <v>106</v>
      </c>
      <c r="D637" s="1">
        <v>153700</v>
      </c>
      <c r="E637" t="s">
        <v>38</v>
      </c>
      <c r="F637" t="s">
        <v>10</v>
      </c>
      <c r="G637">
        <v>85</v>
      </c>
      <c r="H637">
        <v>5</v>
      </c>
      <c r="I637">
        <v>64</v>
      </c>
      <c r="J637">
        <v>45</v>
      </c>
      <c r="K637">
        <v>41</v>
      </c>
    </row>
    <row r="638" spans="1:11" x14ac:dyDescent="0.25">
      <c r="A638" s="2">
        <v>2017</v>
      </c>
      <c r="B638" s="2" t="s">
        <v>223</v>
      </c>
      <c r="C638" t="s">
        <v>106</v>
      </c>
      <c r="D638" s="1">
        <v>130674</v>
      </c>
      <c r="E638" t="s">
        <v>6</v>
      </c>
      <c r="F638" t="s">
        <v>12</v>
      </c>
      <c r="G638">
        <v>75</v>
      </c>
      <c r="H638">
        <v>5</v>
      </c>
      <c r="I638">
        <v>47</v>
      </c>
      <c r="J638">
        <v>14</v>
      </c>
      <c r="K638">
        <v>21</v>
      </c>
    </row>
    <row r="639" spans="1:11" x14ac:dyDescent="0.25">
      <c r="A639" s="2">
        <v>2017</v>
      </c>
      <c r="B639" s="2" t="s">
        <v>223</v>
      </c>
      <c r="C639" t="s">
        <v>106</v>
      </c>
      <c r="D639" s="1">
        <v>130674</v>
      </c>
      <c r="E639" t="s">
        <v>6</v>
      </c>
      <c r="F639" t="s">
        <v>7</v>
      </c>
      <c r="G639">
        <v>85</v>
      </c>
      <c r="H639">
        <v>5</v>
      </c>
      <c r="I639">
        <v>48</v>
      </c>
      <c r="J639">
        <v>32</v>
      </c>
      <c r="K639">
        <v>31</v>
      </c>
    </row>
    <row r="640" spans="1:11" x14ac:dyDescent="0.25">
      <c r="A640" s="2">
        <v>2017</v>
      </c>
      <c r="B640" s="2" t="s">
        <v>223</v>
      </c>
      <c r="C640" t="s">
        <v>106</v>
      </c>
      <c r="D640" s="1">
        <v>130674</v>
      </c>
      <c r="E640" t="s">
        <v>6</v>
      </c>
      <c r="F640" t="s">
        <v>11</v>
      </c>
      <c r="G640">
        <v>90</v>
      </c>
      <c r="H640">
        <v>5</v>
      </c>
      <c r="I640">
        <v>77</v>
      </c>
      <c r="J640">
        <v>57</v>
      </c>
      <c r="K640">
        <v>57</v>
      </c>
    </row>
    <row r="641" spans="1:11" x14ac:dyDescent="0.25">
      <c r="A641" s="2">
        <v>2017</v>
      </c>
      <c r="B641" s="2" t="s">
        <v>223</v>
      </c>
      <c r="C641" t="s">
        <v>106</v>
      </c>
      <c r="D641" s="1">
        <v>130674</v>
      </c>
      <c r="E641" t="s">
        <v>6</v>
      </c>
      <c r="F641" t="s">
        <v>9</v>
      </c>
      <c r="G641">
        <v>80</v>
      </c>
      <c r="H641">
        <v>5</v>
      </c>
      <c r="I641">
        <v>13</v>
      </c>
      <c r="J641">
        <v>6</v>
      </c>
      <c r="K641">
        <v>7</v>
      </c>
    </row>
    <row r="642" spans="1:11" x14ac:dyDescent="0.25">
      <c r="A642" s="2">
        <v>2017</v>
      </c>
      <c r="B642" s="2" t="s">
        <v>223</v>
      </c>
      <c r="C642" t="s">
        <v>106</v>
      </c>
      <c r="D642" s="1">
        <v>130674</v>
      </c>
      <c r="E642" t="s">
        <v>6</v>
      </c>
      <c r="F642" t="s">
        <v>8</v>
      </c>
      <c r="G642">
        <v>80</v>
      </c>
      <c r="H642">
        <v>5</v>
      </c>
      <c r="I642">
        <v>19</v>
      </c>
      <c r="J642">
        <v>12</v>
      </c>
      <c r="K642">
        <v>11</v>
      </c>
    </row>
    <row r="643" spans="1:11" x14ac:dyDescent="0.25">
      <c r="A643" s="2">
        <v>2017</v>
      </c>
      <c r="B643" s="2" t="s">
        <v>223</v>
      </c>
      <c r="C643" t="s">
        <v>106</v>
      </c>
      <c r="D643" s="1">
        <v>130674</v>
      </c>
      <c r="E643" t="s">
        <v>6</v>
      </c>
      <c r="F643" t="s">
        <v>10</v>
      </c>
      <c r="G643">
        <v>90</v>
      </c>
      <c r="H643">
        <v>5</v>
      </c>
      <c r="I643">
        <v>99</v>
      </c>
      <c r="J643">
        <v>89</v>
      </c>
      <c r="K643">
        <v>83</v>
      </c>
    </row>
    <row r="644" spans="1:11" x14ac:dyDescent="0.25">
      <c r="A644" s="2">
        <v>2017</v>
      </c>
      <c r="B644" s="2" t="s">
        <v>223</v>
      </c>
      <c r="C644" t="s">
        <v>106</v>
      </c>
      <c r="D644" s="1">
        <v>59899</v>
      </c>
      <c r="E644" t="s">
        <v>22</v>
      </c>
      <c r="F644" t="s">
        <v>12</v>
      </c>
      <c r="G644">
        <v>50</v>
      </c>
      <c r="H644">
        <v>7</v>
      </c>
      <c r="I644">
        <v>1</v>
      </c>
      <c r="J644">
        <v>1</v>
      </c>
      <c r="K644">
        <v>1</v>
      </c>
    </row>
    <row r="645" spans="1:11" x14ac:dyDescent="0.25">
      <c r="A645" s="2">
        <v>2017</v>
      </c>
      <c r="B645" s="2" t="s">
        <v>223</v>
      </c>
      <c r="C645" t="s">
        <v>106</v>
      </c>
      <c r="D645" s="1">
        <v>59899</v>
      </c>
      <c r="E645" t="s">
        <v>22</v>
      </c>
      <c r="F645" t="s">
        <v>7</v>
      </c>
      <c r="G645">
        <v>73.2</v>
      </c>
      <c r="H645">
        <v>7</v>
      </c>
      <c r="I645">
        <v>1</v>
      </c>
      <c r="J645">
        <v>1</v>
      </c>
      <c r="K645">
        <v>1</v>
      </c>
    </row>
    <row r="646" spans="1:11" x14ac:dyDescent="0.25">
      <c r="A646" s="2">
        <v>2017</v>
      </c>
      <c r="B646" s="2" t="s">
        <v>223</v>
      </c>
      <c r="C646" t="s">
        <v>106</v>
      </c>
      <c r="D646" s="1">
        <v>59899</v>
      </c>
      <c r="E646" t="s">
        <v>22</v>
      </c>
      <c r="F646" t="s">
        <v>11</v>
      </c>
      <c r="G646">
        <v>78.599999999999994</v>
      </c>
      <c r="H646">
        <v>7</v>
      </c>
      <c r="I646">
        <v>1</v>
      </c>
      <c r="J646">
        <v>1</v>
      </c>
      <c r="K646">
        <v>2</v>
      </c>
    </row>
    <row r="647" spans="1:11" x14ac:dyDescent="0.25">
      <c r="A647" s="2">
        <v>2017</v>
      </c>
      <c r="B647" s="2" t="s">
        <v>223</v>
      </c>
      <c r="C647" t="s">
        <v>106</v>
      </c>
      <c r="D647" s="1">
        <v>59899</v>
      </c>
      <c r="E647" t="s">
        <v>22</v>
      </c>
      <c r="F647" t="s">
        <v>9</v>
      </c>
      <c r="G647">
        <v>75</v>
      </c>
      <c r="H647">
        <v>7</v>
      </c>
      <c r="I647">
        <v>2</v>
      </c>
      <c r="J647">
        <v>1</v>
      </c>
      <c r="K647">
        <v>1</v>
      </c>
    </row>
    <row r="648" spans="1:11" x14ac:dyDescent="0.25">
      <c r="A648" s="2">
        <v>2017</v>
      </c>
      <c r="B648" s="2" t="s">
        <v>223</v>
      </c>
      <c r="C648" t="s">
        <v>106</v>
      </c>
      <c r="D648" s="1">
        <v>59899</v>
      </c>
      <c r="E648" t="s">
        <v>22</v>
      </c>
      <c r="F648" t="s">
        <v>8</v>
      </c>
      <c r="G648">
        <v>67.900000000000006</v>
      </c>
      <c r="H648">
        <v>7</v>
      </c>
      <c r="I648">
        <v>1</v>
      </c>
      <c r="J648">
        <v>1</v>
      </c>
      <c r="K648">
        <v>1</v>
      </c>
    </row>
    <row r="649" spans="1:11" x14ac:dyDescent="0.25">
      <c r="A649" s="2">
        <v>2017</v>
      </c>
      <c r="B649" s="2" t="s">
        <v>223</v>
      </c>
      <c r="C649" t="s">
        <v>106</v>
      </c>
      <c r="D649" s="1">
        <v>59899</v>
      </c>
      <c r="E649" t="s">
        <v>22</v>
      </c>
      <c r="F649" t="s">
        <v>10</v>
      </c>
      <c r="G649">
        <v>71.400000000000006</v>
      </c>
      <c r="H649">
        <v>7</v>
      </c>
      <c r="I649">
        <v>1</v>
      </c>
      <c r="J649">
        <v>1</v>
      </c>
      <c r="K649">
        <v>1</v>
      </c>
    </row>
    <row r="650" spans="1:11" x14ac:dyDescent="0.25">
      <c r="A650" s="2">
        <v>2017</v>
      </c>
      <c r="B650" s="2" t="s">
        <v>223</v>
      </c>
      <c r="C650" t="s">
        <v>106</v>
      </c>
      <c r="D650" s="1">
        <v>99093</v>
      </c>
      <c r="E650" t="s">
        <v>14</v>
      </c>
      <c r="F650" t="s">
        <v>12</v>
      </c>
      <c r="G650">
        <v>89.3</v>
      </c>
      <c r="H650">
        <v>7</v>
      </c>
      <c r="I650">
        <v>99</v>
      </c>
      <c r="J650">
        <v>95</v>
      </c>
      <c r="K650">
        <v>90</v>
      </c>
    </row>
    <row r="651" spans="1:11" x14ac:dyDescent="0.25">
      <c r="A651" s="2">
        <v>2017</v>
      </c>
      <c r="B651" s="2" t="s">
        <v>223</v>
      </c>
      <c r="C651" t="s">
        <v>106</v>
      </c>
      <c r="D651" s="1">
        <v>99093</v>
      </c>
      <c r="E651" t="s">
        <v>14</v>
      </c>
      <c r="F651" t="s">
        <v>7</v>
      </c>
      <c r="G651">
        <v>97.6</v>
      </c>
      <c r="H651">
        <v>7</v>
      </c>
      <c r="I651">
        <v>99</v>
      </c>
      <c r="J651">
        <v>99</v>
      </c>
      <c r="K651">
        <v>99</v>
      </c>
    </row>
    <row r="652" spans="1:11" x14ac:dyDescent="0.25">
      <c r="A652" s="2">
        <v>2017</v>
      </c>
      <c r="B652" s="2" t="s">
        <v>223</v>
      </c>
      <c r="C652" t="s">
        <v>106</v>
      </c>
      <c r="D652" s="1">
        <v>99093</v>
      </c>
      <c r="E652" t="s">
        <v>14</v>
      </c>
      <c r="F652" t="s">
        <v>11</v>
      </c>
      <c r="G652">
        <v>100</v>
      </c>
      <c r="H652">
        <v>7</v>
      </c>
      <c r="I652">
        <v>99</v>
      </c>
      <c r="J652">
        <v>99</v>
      </c>
      <c r="K652">
        <v>99</v>
      </c>
    </row>
    <row r="653" spans="1:11" x14ac:dyDescent="0.25">
      <c r="A653" s="2">
        <v>2017</v>
      </c>
      <c r="B653" s="2" t="s">
        <v>223</v>
      </c>
      <c r="C653" t="s">
        <v>106</v>
      </c>
      <c r="D653" s="1">
        <v>99093</v>
      </c>
      <c r="E653" t="s">
        <v>14</v>
      </c>
      <c r="F653" t="s">
        <v>9</v>
      </c>
      <c r="G653">
        <v>96.4</v>
      </c>
      <c r="H653">
        <v>7</v>
      </c>
      <c r="I653">
        <v>99</v>
      </c>
      <c r="J653">
        <v>99</v>
      </c>
      <c r="K653">
        <v>99</v>
      </c>
    </row>
    <row r="654" spans="1:11" x14ac:dyDescent="0.25">
      <c r="A654" s="2">
        <v>2017</v>
      </c>
      <c r="B654" s="2" t="s">
        <v>223</v>
      </c>
      <c r="C654" t="s">
        <v>106</v>
      </c>
      <c r="D654" s="1">
        <v>99093</v>
      </c>
      <c r="E654" t="s">
        <v>14</v>
      </c>
      <c r="F654" t="s">
        <v>8</v>
      </c>
      <c r="G654">
        <v>96.4</v>
      </c>
      <c r="H654">
        <v>7</v>
      </c>
      <c r="I654">
        <v>99</v>
      </c>
      <c r="J654">
        <v>99</v>
      </c>
      <c r="K654">
        <v>99</v>
      </c>
    </row>
    <row r="655" spans="1:11" x14ac:dyDescent="0.25">
      <c r="A655" s="2">
        <v>2017</v>
      </c>
      <c r="B655" s="2" t="s">
        <v>223</v>
      </c>
      <c r="C655" t="s">
        <v>106</v>
      </c>
      <c r="D655" s="1">
        <v>99093</v>
      </c>
      <c r="E655" t="s">
        <v>14</v>
      </c>
      <c r="F655" t="s">
        <v>10</v>
      </c>
      <c r="G655">
        <v>100</v>
      </c>
      <c r="H655">
        <v>6</v>
      </c>
      <c r="I655">
        <v>99</v>
      </c>
      <c r="J655">
        <v>99</v>
      </c>
      <c r="K655">
        <v>99</v>
      </c>
    </row>
    <row r="656" spans="1:11" x14ac:dyDescent="0.25">
      <c r="A656" s="2">
        <v>2017</v>
      </c>
      <c r="B656" s="2" t="s">
        <v>223</v>
      </c>
      <c r="C656" t="s">
        <v>106</v>
      </c>
      <c r="D656" s="1">
        <v>70375</v>
      </c>
      <c r="E656" t="s">
        <v>24</v>
      </c>
      <c r="F656" t="s">
        <v>12</v>
      </c>
      <c r="G656">
        <v>80.900000000000006</v>
      </c>
      <c r="H656">
        <v>17</v>
      </c>
      <c r="I656">
        <v>76</v>
      </c>
      <c r="J656">
        <v>43</v>
      </c>
      <c r="K656">
        <v>49</v>
      </c>
    </row>
    <row r="657" spans="1:11" x14ac:dyDescent="0.25">
      <c r="A657" s="2">
        <v>2017</v>
      </c>
      <c r="B657" s="2" t="s">
        <v>223</v>
      </c>
      <c r="C657" t="s">
        <v>106</v>
      </c>
      <c r="D657" s="1">
        <v>70375</v>
      </c>
      <c r="E657" t="s">
        <v>24</v>
      </c>
      <c r="F657" t="s">
        <v>7</v>
      </c>
      <c r="G657">
        <v>85.2</v>
      </c>
      <c r="H657">
        <v>16</v>
      </c>
      <c r="I657">
        <v>48</v>
      </c>
      <c r="J657">
        <v>33</v>
      </c>
      <c r="K657">
        <v>33</v>
      </c>
    </row>
    <row r="658" spans="1:11" x14ac:dyDescent="0.25">
      <c r="A658" s="2">
        <v>2017</v>
      </c>
      <c r="B658" s="2" t="s">
        <v>223</v>
      </c>
      <c r="C658" t="s">
        <v>106</v>
      </c>
      <c r="D658" s="1">
        <v>70375</v>
      </c>
      <c r="E658" t="s">
        <v>24</v>
      </c>
      <c r="F658" t="s">
        <v>11</v>
      </c>
      <c r="G658">
        <v>89.1</v>
      </c>
      <c r="H658">
        <v>16</v>
      </c>
      <c r="I658">
        <v>68</v>
      </c>
      <c r="J658">
        <v>47</v>
      </c>
      <c r="K658">
        <v>48</v>
      </c>
    </row>
    <row r="659" spans="1:11" x14ac:dyDescent="0.25">
      <c r="A659" s="2">
        <v>2017</v>
      </c>
      <c r="B659" s="2" t="s">
        <v>223</v>
      </c>
      <c r="C659" t="s">
        <v>106</v>
      </c>
      <c r="D659" s="1">
        <v>70375</v>
      </c>
      <c r="E659" t="s">
        <v>24</v>
      </c>
      <c r="F659" t="s">
        <v>9</v>
      </c>
      <c r="G659">
        <v>85.9</v>
      </c>
      <c r="H659">
        <v>16</v>
      </c>
      <c r="I659">
        <v>51</v>
      </c>
      <c r="J659">
        <v>39</v>
      </c>
      <c r="K659">
        <v>37</v>
      </c>
    </row>
    <row r="660" spans="1:11" x14ac:dyDescent="0.25">
      <c r="A660" s="2">
        <v>2017</v>
      </c>
      <c r="B660" s="2" t="s">
        <v>223</v>
      </c>
      <c r="C660" t="s">
        <v>106</v>
      </c>
      <c r="D660" s="1">
        <v>70375</v>
      </c>
      <c r="E660" t="s">
        <v>24</v>
      </c>
      <c r="F660" t="s">
        <v>8</v>
      </c>
      <c r="G660">
        <v>81.3</v>
      </c>
      <c r="H660">
        <v>16</v>
      </c>
      <c r="I660">
        <v>25</v>
      </c>
      <c r="J660">
        <v>17</v>
      </c>
      <c r="K660">
        <v>15</v>
      </c>
    </row>
    <row r="661" spans="1:11" x14ac:dyDescent="0.25">
      <c r="A661" s="2">
        <v>2017</v>
      </c>
      <c r="B661" s="2" t="s">
        <v>223</v>
      </c>
      <c r="C661" t="s">
        <v>106</v>
      </c>
      <c r="D661" s="1">
        <v>70375</v>
      </c>
      <c r="E661" t="s">
        <v>24</v>
      </c>
      <c r="F661" t="s">
        <v>10</v>
      </c>
      <c r="G661">
        <v>84.4</v>
      </c>
      <c r="H661">
        <v>16</v>
      </c>
      <c r="I661">
        <v>59</v>
      </c>
      <c r="J661">
        <v>41</v>
      </c>
      <c r="K661">
        <v>37</v>
      </c>
    </row>
    <row r="662" spans="1:11" x14ac:dyDescent="0.25">
      <c r="A662" s="2">
        <v>2017</v>
      </c>
      <c r="B662" s="2" t="s">
        <v>223</v>
      </c>
      <c r="C662" t="s">
        <v>106</v>
      </c>
      <c r="D662" s="1">
        <v>70359</v>
      </c>
      <c r="E662" t="s">
        <v>19</v>
      </c>
      <c r="F662" t="s">
        <v>12</v>
      </c>
      <c r="G662">
        <v>59.4</v>
      </c>
      <c r="H662">
        <v>8</v>
      </c>
      <c r="I662">
        <v>3</v>
      </c>
      <c r="J662">
        <v>1</v>
      </c>
      <c r="K662">
        <v>1</v>
      </c>
    </row>
    <row r="663" spans="1:11" x14ac:dyDescent="0.25">
      <c r="A663" s="2">
        <v>2017</v>
      </c>
      <c r="B663" s="2" t="s">
        <v>223</v>
      </c>
      <c r="C663" t="s">
        <v>106</v>
      </c>
      <c r="D663" s="1">
        <v>70359</v>
      </c>
      <c r="E663" t="s">
        <v>19</v>
      </c>
      <c r="F663" t="s">
        <v>7</v>
      </c>
      <c r="G663">
        <v>85.9</v>
      </c>
      <c r="H663">
        <v>8</v>
      </c>
      <c r="I663">
        <v>60</v>
      </c>
      <c r="J663">
        <v>42</v>
      </c>
      <c r="K663">
        <v>40</v>
      </c>
    </row>
    <row r="664" spans="1:11" x14ac:dyDescent="0.25">
      <c r="A664" s="2">
        <v>2017</v>
      </c>
      <c r="B664" s="2" t="s">
        <v>223</v>
      </c>
      <c r="C664" t="s">
        <v>106</v>
      </c>
      <c r="D664" s="1">
        <v>70359</v>
      </c>
      <c r="E664" t="s">
        <v>19</v>
      </c>
      <c r="F664" t="s">
        <v>11</v>
      </c>
      <c r="G664">
        <v>90.6</v>
      </c>
      <c r="H664">
        <v>8</v>
      </c>
      <c r="I664">
        <v>81</v>
      </c>
      <c r="J664">
        <v>61</v>
      </c>
      <c r="K664">
        <v>64</v>
      </c>
    </row>
    <row r="665" spans="1:11" x14ac:dyDescent="0.25">
      <c r="A665" s="2">
        <v>2017</v>
      </c>
      <c r="B665" s="2" t="s">
        <v>223</v>
      </c>
      <c r="C665" t="s">
        <v>106</v>
      </c>
      <c r="D665" s="1">
        <v>70359</v>
      </c>
      <c r="E665" t="s">
        <v>19</v>
      </c>
      <c r="F665" t="s">
        <v>9</v>
      </c>
      <c r="G665">
        <v>90.6</v>
      </c>
      <c r="H665">
        <v>8</v>
      </c>
      <c r="I665">
        <v>98</v>
      </c>
      <c r="J665">
        <v>84</v>
      </c>
      <c r="K665">
        <v>80</v>
      </c>
    </row>
    <row r="666" spans="1:11" x14ac:dyDescent="0.25">
      <c r="A666" s="2">
        <v>2017</v>
      </c>
      <c r="B666" s="2" t="s">
        <v>223</v>
      </c>
      <c r="C666" t="s">
        <v>106</v>
      </c>
      <c r="D666" s="1">
        <v>70359</v>
      </c>
      <c r="E666" t="s">
        <v>19</v>
      </c>
      <c r="F666" t="s">
        <v>8</v>
      </c>
      <c r="G666">
        <v>81.3</v>
      </c>
      <c r="H666">
        <v>8</v>
      </c>
      <c r="I666">
        <v>25</v>
      </c>
      <c r="J666">
        <v>17</v>
      </c>
      <c r="K666">
        <v>15</v>
      </c>
    </row>
    <row r="667" spans="1:11" x14ac:dyDescent="0.25">
      <c r="A667" s="2">
        <v>2017</v>
      </c>
      <c r="B667" s="2" t="s">
        <v>223</v>
      </c>
      <c r="C667" t="s">
        <v>106</v>
      </c>
      <c r="D667" s="1">
        <v>70359</v>
      </c>
      <c r="E667" t="s">
        <v>19</v>
      </c>
      <c r="F667" t="s">
        <v>10</v>
      </c>
      <c r="G667">
        <v>81.3</v>
      </c>
      <c r="H667">
        <v>8</v>
      </c>
      <c r="I667">
        <v>23</v>
      </c>
      <c r="J667">
        <v>18</v>
      </c>
      <c r="K667">
        <v>16</v>
      </c>
    </row>
    <row r="668" spans="1:11" x14ac:dyDescent="0.25">
      <c r="A668" s="2">
        <v>2017</v>
      </c>
      <c r="B668" s="2" t="s">
        <v>223</v>
      </c>
      <c r="C668" t="s">
        <v>106</v>
      </c>
      <c r="D668" s="1">
        <v>99911</v>
      </c>
      <c r="E668" t="s">
        <v>33</v>
      </c>
      <c r="F668" t="s">
        <v>12</v>
      </c>
      <c r="G668">
        <v>69.400000000000006</v>
      </c>
      <c r="H668">
        <v>9</v>
      </c>
      <c r="I668">
        <v>26</v>
      </c>
      <c r="J668">
        <v>6</v>
      </c>
      <c r="K668">
        <v>7</v>
      </c>
    </row>
    <row r="669" spans="1:11" x14ac:dyDescent="0.25">
      <c r="A669" s="2">
        <v>2017</v>
      </c>
      <c r="B669" s="2" t="s">
        <v>223</v>
      </c>
      <c r="C669" t="s">
        <v>106</v>
      </c>
      <c r="D669" s="1">
        <v>99911</v>
      </c>
      <c r="E669" t="s">
        <v>33</v>
      </c>
      <c r="F669" t="s">
        <v>7</v>
      </c>
      <c r="G669">
        <v>92.4</v>
      </c>
      <c r="H669">
        <v>9</v>
      </c>
      <c r="I669">
        <v>99</v>
      </c>
      <c r="J669">
        <v>96</v>
      </c>
      <c r="K669">
        <v>91</v>
      </c>
    </row>
    <row r="670" spans="1:11" x14ac:dyDescent="0.25">
      <c r="A670" s="2">
        <v>2017</v>
      </c>
      <c r="B670" s="2" t="s">
        <v>223</v>
      </c>
      <c r="C670" t="s">
        <v>106</v>
      </c>
      <c r="D670" s="1">
        <v>99911</v>
      </c>
      <c r="E670" t="s">
        <v>33</v>
      </c>
      <c r="F670" t="s">
        <v>11</v>
      </c>
      <c r="G670">
        <v>91.7</v>
      </c>
      <c r="H670">
        <v>9</v>
      </c>
      <c r="I670">
        <v>95</v>
      </c>
      <c r="J670">
        <v>77</v>
      </c>
      <c r="K670">
        <v>75</v>
      </c>
    </row>
    <row r="671" spans="1:11" x14ac:dyDescent="0.25">
      <c r="A671" s="2">
        <v>2017</v>
      </c>
      <c r="B671" s="2" t="s">
        <v>223</v>
      </c>
      <c r="C671" t="s">
        <v>106</v>
      </c>
      <c r="D671" s="1">
        <v>99911</v>
      </c>
      <c r="E671" t="s">
        <v>33</v>
      </c>
      <c r="F671" t="s">
        <v>9</v>
      </c>
      <c r="G671">
        <v>91.7</v>
      </c>
      <c r="H671">
        <v>9</v>
      </c>
      <c r="I671">
        <v>99</v>
      </c>
      <c r="J671">
        <v>93</v>
      </c>
      <c r="K671">
        <v>87</v>
      </c>
    </row>
    <row r="672" spans="1:11" x14ac:dyDescent="0.25">
      <c r="A672" s="2">
        <v>2017</v>
      </c>
      <c r="B672" s="2" t="s">
        <v>223</v>
      </c>
      <c r="C672" t="s">
        <v>106</v>
      </c>
      <c r="D672" s="1">
        <v>99911</v>
      </c>
      <c r="E672" t="s">
        <v>33</v>
      </c>
      <c r="F672" t="s">
        <v>8</v>
      </c>
      <c r="G672">
        <v>91.7</v>
      </c>
      <c r="H672">
        <v>9</v>
      </c>
      <c r="I672">
        <v>99</v>
      </c>
      <c r="J672">
        <v>96</v>
      </c>
      <c r="K672">
        <v>91</v>
      </c>
    </row>
    <row r="673" spans="1:11" x14ac:dyDescent="0.25">
      <c r="A673" s="2">
        <v>2017</v>
      </c>
      <c r="B673" s="2" t="s">
        <v>223</v>
      </c>
      <c r="C673" t="s">
        <v>106</v>
      </c>
      <c r="D673" s="1">
        <v>99911</v>
      </c>
      <c r="E673" t="s">
        <v>33</v>
      </c>
      <c r="F673" t="s">
        <v>10</v>
      </c>
      <c r="G673">
        <v>94.4</v>
      </c>
      <c r="H673">
        <v>9</v>
      </c>
      <c r="I673">
        <v>99</v>
      </c>
      <c r="J673">
        <v>99</v>
      </c>
      <c r="K673">
        <v>98</v>
      </c>
    </row>
    <row r="674" spans="1:11" x14ac:dyDescent="0.25">
      <c r="A674" s="2">
        <v>2017</v>
      </c>
      <c r="B674" s="2" t="s">
        <v>223</v>
      </c>
      <c r="C674" t="s">
        <v>106</v>
      </c>
      <c r="D674" s="1">
        <v>177162</v>
      </c>
      <c r="E674" t="s">
        <v>13</v>
      </c>
      <c r="F674" t="s">
        <v>12</v>
      </c>
      <c r="G674">
        <v>64.7</v>
      </c>
      <c r="H674">
        <v>17</v>
      </c>
      <c r="I674">
        <v>10</v>
      </c>
      <c r="J674">
        <v>2</v>
      </c>
      <c r="K674">
        <v>2</v>
      </c>
    </row>
    <row r="675" spans="1:11" x14ac:dyDescent="0.25">
      <c r="A675" s="2">
        <v>2017</v>
      </c>
      <c r="B675" s="2" t="s">
        <v>223</v>
      </c>
      <c r="C675" t="s">
        <v>106</v>
      </c>
      <c r="D675" s="1">
        <v>177162</v>
      </c>
      <c r="E675" t="s">
        <v>13</v>
      </c>
      <c r="F675" t="s">
        <v>7</v>
      </c>
      <c r="G675">
        <v>86.4</v>
      </c>
      <c r="H675">
        <v>17</v>
      </c>
      <c r="I675">
        <v>65</v>
      </c>
      <c r="J675">
        <v>45</v>
      </c>
      <c r="K675">
        <v>44</v>
      </c>
    </row>
    <row r="676" spans="1:11" x14ac:dyDescent="0.25">
      <c r="A676" s="2">
        <v>2017</v>
      </c>
      <c r="B676" s="2" t="s">
        <v>223</v>
      </c>
      <c r="C676" t="s">
        <v>106</v>
      </c>
      <c r="D676" s="1">
        <v>177162</v>
      </c>
      <c r="E676" t="s">
        <v>13</v>
      </c>
      <c r="F676" t="s">
        <v>11</v>
      </c>
      <c r="G676">
        <v>88.2</v>
      </c>
      <c r="H676">
        <v>17</v>
      </c>
      <c r="I676">
        <v>57</v>
      </c>
      <c r="J676">
        <v>40</v>
      </c>
      <c r="K676">
        <v>39</v>
      </c>
    </row>
    <row r="677" spans="1:11" x14ac:dyDescent="0.25">
      <c r="A677" s="2">
        <v>2017</v>
      </c>
      <c r="B677" s="2" t="s">
        <v>223</v>
      </c>
      <c r="C677" t="s">
        <v>106</v>
      </c>
      <c r="D677" s="1">
        <v>177162</v>
      </c>
      <c r="E677" t="s">
        <v>13</v>
      </c>
      <c r="F677" t="s">
        <v>9</v>
      </c>
      <c r="G677">
        <v>88.2</v>
      </c>
      <c r="H677">
        <v>17</v>
      </c>
      <c r="I677">
        <v>84</v>
      </c>
      <c r="J677">
        <v>63</v>
      </c>
      <c r="K677">
        <v>60</v>
      </c>
    </row>
    <row r="678" spans="1:11" x14ac:dyDescent="0.25">
      <c r="A678" s="2">
        <v>2017</v>
      </c>
      <c r="B678" s="2" t="s">
        <v>223</v>
      </c>
      <c r="C678" t="s">
        <v>106</v>
      </c>
      <c r="D678" s="1">
        <v>177162</v>
      </c>
      <c r="E678" t="s">
        <v>13</v>
      </c>
      <c r="F678" t="s">
        <v>8</v>
      </c>
      <c r="G678">
        <v>82.8</v>
      </c>
      <c r="H678">
        <v>16</v>
      </c>
      <c r="I678">
        <v>39</v>
      </c>
      <c r="J678">
        <v>26</v>
      </c>
      <c r="K678">
        <v>25</v>
      </c>
    </row>
    <row r="679" spans="1:11" x14ac:dyDescent="0.25">
      <c r="A679" s="2">
        <v>2017</v>
      </c>
      <c r="B679" s="2" t="s">
        <v>223</v>
      </c>
      <c r="C679" t="s">
        <v>106</v>
      </c>
      <c r="D679" s="1">
        <v>177162</v>
      </c>
      <c r="E679" t="s">
        <v>13</v>
      </c>
      <c r="F679" t="s">
        <v>10</v>
      </c>
      <c r="G679">
        <v>85.3</v>
      </c>
      <c r="H679">
        <v>17</v>
      </c>
      <c r="I679">
        <v>67</v>
      </c>
      <c r="J679">
        <v>47</v>
      </c>
      <c r="K679">
        <v>44</v>
      </c>
    </row>
    <row r="680" spans="1:11" x14ac:dyDescent="0.25">
      <c r="A680" s="2">
        <v>2017</v>
      </c>
      <c r="B680" s="2" t="s">
        <v>223</v>
      </c>
      <c r="C680" t="s">
        <v>106</v>
      </c>
      <c r="D680" s="1">
        <v>60707</v>
      </c>
      <c r="E680" t="s">
        <v>42</v>
      </c>
      <c r="F680" t="s">
        <v>12</v>
      </c>
      <c r="G680">
        <v>25</v>
      </c>
      <c r="H680">
        <v>1</v>
      </c>
      <c r="I680">
        <v>1</v>
      </c>
      <c r="J680">
        <v>1</v>
      </c>
      <c r="K680">
        <v>1</v>
      </c>
    </row>
    <row r="681" spans="1:11" x14ac:dyDescent="0.25">
      <c r="A681" s="2">
        <v>2017</v>
      </c>
      <c r="B681" s="2" t="s">
        <v>223</v>
      </c>
      <c r="C681" t="s">
        <v>106</v>
      </c>
      <c r="D681" s="1">
        <v>60707</v>
      </c>
      <c r="E681" t="s">
        <v>42</v>
      </c>
      <c r="F681" t="s">
        <v>7</v>
      </c>
      <c r="G681">
        <v>75</v>
      </c>
      <c r="H681">
        <v>1</v>
      </c>
      <c r="I681">
        <v>3</v>
      </c>
      <c r="J681">
        <v>1</v>
      </c>
      <c r="K681">
        <v>2</v>
      </c>
    </row>
    <row r="682" spans="1:11" x14ac:dyDescent="0.25">
      <c r="A682" s="2">
        <v>2017</v>
      </c>
      <c r="B682" s="2" t="s">
        <v>223</v>
      </c>
      <c r="C682" t="s">
        <v>106</v>
      </c>
      <c r="D682" s="1">
        <v>60707</v>
      </c>
      <c r="E682" t="s">
        <v>42</v>
      </c>
      <c r="F682" t="s">
        <v>11</v>
      </c>
      <c r="G682">
        <v>75</v>
      </c>
      <c r="H682">
        <v>1</v>
      </c>
      <c r="I682">
        <v>1</v>
      </c>
      <c r="J682">
        <v>1</v>
      </c>
      <c r="K682">
        <v>1</v>
      </c>
    </row>
    <row r="683" spans="1:11" x14ac:dyDescent="0.25">
      <c r="A683" s="2">
        <v>2017</v>
      </c>
      <c r="B683" s="2" t="s">
        <v>223</v>
      </c>
      <c r="C683" t="s">
        <v>106</v>
      </c>
      <c r="D683" s="1">
        <v>60707</v>
      </c>
      <c r="E683" t="s">
        <v>42</v>
      </c>
      <c r="F683" t="s">
        <v>9</v>
      </c>
      <c r="G683">
        <v>75</v>
      </c>
      <c r="H683">
        <v>1</v>
      </c>
      <c r="I683">
        <v>2</v>
      </c>
      <c r="J683">
        <v>1</v>
      </c>
      <c r="K683">
        <v>1</v>
      </c>
    </row>
    <row r="684" spans="1:11" x14ac:dyDescent="0.25">
      <c r="A684" s="2">
        <v>2017</v>
      </c>
      <c r="B684" s="2" t="s">
        <v>223</v>
      </c>
      <c r="C684" t="s">
        <v>106</v>
      </c>
      <c r="D684" s="1">
        <v>60707</v>
      </c>
      <c r="E684" t="s">
        <v>42</v>
      </c>
      <c r="F684" t="s">
        <v>8</v>
      </c>
      <c r="G684">
        <v>75</v>
      </c>
      <c r="H684">
        <v>1</v>
      </c>
      <c r="I684">
        <v>7</v>
      </c>
      <c r="J684">
        <v>1</v>
      </c>
      <c r="K684">
        <v>2</v>
      </c>
    </row>
    <row r="685" spans="1:11" x14ac:dyDescent="0.25">
      <c r="A685" s="2">
        <v>2017</v>
      </c>
      <c r="B685" s="2" t="s">
        <v>223</v>
      </c>
      <c r="C685" t="s">
        <v>106</v>
      </c>
      <c r="D685" s="1">
        <v>60707</v>
      </c>
      <c r="E685" t="s">
        <v>42</v>
      </c>
      <c r="F685" t="s">
        <v>10</v>
      </c>
      <c r="G685">
        <v>75</v>
      </c>
      <c r="H685">
        <v>1</v>
      </c>
      <c r="I685">
        <v>5</v>
      </c>
      <c r="J685">
        <v>1</v>
      </c>
      <c r="K685">
        <v>2</v>
      </c>
    </row>
    <row r="686" spans="1:11" x14ac:dyDescent="0.25">
      <c r="A686" s="2">
        <v>2017</v>
      </c>
      <c r="B686" s="2" t="s">
        <v>223</v>
      </c>
      <c r="C686" t="s">
        <v>106</v>
      </c>
      <c r="D686" s="1">
        <v>58222</v>
      </c>
      <c r="E686" t="s">
        <v>16</v>
      </c>
      <c r="F686" t="s">
        <v>12</v>
      </c>
      <c r="G686">
        <v>60</v>
      </c>
      <c r="H686">
        <v>5</v>
      </c>
      <c r="I686">
        <v>3</v>
      </c>
      <c r="J686">
        <v>2</v>
      </c>
      <c r="K686">
        <v>1</v>
      </c>
    </row>
    <row r="687" spans="1:11" x14ac:dyDescent="0.25">
      <c r="A687" s="2">
        <v>2017</v>
      </c>
      <c r="B687" s="2" t="s">
        <v>223</v>
      </c>
      <c r="C687" t="s">
        <v>106</v>
      </c>
      <c r="D687" s="1">
        <v>58222</v>
      </c>
      <c r="E687" t="s">
        <v>16</v>
      </c>
      <c r="F687" t="s">
        <v>7</v>
      </c>
      <c r="G687">
        <v>93.8</v>
      </c>
      <c r="H687">
        <v>4</v>
      </c>
      <c r="I687">
        <v>99</v>
      </c>
      <c r="J687">
        <v>99</v>
      </c>
      <c r="K687">
        <v>96</v>
      </c>
    </row>
    <row r="688" spans="1:11" x14ac:dyDescent="0.25">
      <c r="A688" s="2">
        <v>2017</v>
      </c>
      <c r="B688" s="2" t="s">
        <v>223</v>
      </c>
      <c r="C688" t="s">
        <v>106</v>
      </c>
      <c r="D688" s="1">
        <v>58222</v>
      </c>
      <c r="E688" t="s">
        <v>16</v>
      </c>
      <c r="F688" t="s">
        <v>11</v>
      </c>
      <c r="G688">
        <v>93.8</v>
      </c>
      <c r="H688">
        <v>4</v>
      </c>
      <c r="I688">
        <v>99</v>
      </c>
      <c r="J688">
        <v>95</v>
      </c>
      <c r="K688">
        <v>90</v>
      </c>
    </row>
    <row r="689" spans="1:11" x14ac:dyDescent="0.25">
      <c r="A689" s="2">
        <v>2017</v>
      </c>
      <c r="B689" s="2" t="s">
        <v>223</v>
      </c>
      <c r="C689" t="s">
        <v>106</v>
      </c>
      <c r="D689" s="1">
        <v>58222</v>
      </c>
      <c r="E689" t="s">
        <v>16</v>
      </c>
      <c r="F689" t="s">
        <v>9</v>
      </c>
      <c r="G689">
        <v>93.8</v>
      </c>
      <c r="H689">
        <v>4</v>
      </c>
      <c r="I689">
        <v>99</v>
      </c>
      <c r="J689">
        <v>97</v>
      </c>
      <c r="K689">
        <v>95</v>
      </c>
    </row>
    <row r="690" spans="1:11" x14ac:dyDescent="0.25">
      <c r="A690" s="2">
        <v>2017</v>
      </c>
      <c r="B690" s="2" t="s">
        <v>223</v>
      </c>
      <c r="C690" t="s">
        <v>106</v>
      </c>
      <c r="D690" s="1">
        <v>58222</v>
      </c>
      <c r="E690" t="s">
        <v>16</v>
      </c>
      <c r="F690" t="s">
        <v>8</v>
      </c>
      <c r="G690">
        <v>93.8</v>
      </c>
      <c r="H690">
        <v>4</v>
      </c>
      <c r="I690">
        <v>99</v>
      </c>
      <c r="J690">
        <v>99</v>
      </c>
      <c r="K690">
        <v>96</v>
      </c>
    </row>
    <row r="691" spans="1:11" x14ac:dyDescent="0.25">
      <c r="A691" s="2">
        <v>2017</v>
      </c>
      <c r="B691" s="2" t="s">
        <v>223</v>
      </c>
      <c r="C691" t="s">
        <v>106</v>
      </c>
      <c r="D691" s="1">
        <v>58222</v>
      </c>
      <c r="E691" t="s">
        <v>16</v>
      </c>
      <c r="F691" t="s">
        <v>10</v>
      </c>
      <c r="G691">
        <v>93.8</v>
      </c>
      <c r="H691">
        <v>4</v>
      </c>
      <c r="I691">
        <v>99</v>
      </c>
      <c r="J691">
        <v>99</v>
      </c>
      <c r="K691">
        <v>96</v>
      </c>
    </row>
    <row r="692" spans="1:11" x14ac:dyDescent="0.25">
      <c r="A692" s="2">
        <v>2017</v>
      </c>
      <c r="B692" s="2" t="s">
        <v>223</v>
      </c>
      <c r="C692" t="s">
        <v>106</v>
      </c>
      <c r="D692" s="1">
        <v>89391</v>
      </c>
      <c r="E692" t="s">
        <v>27</v>
      </c>
      <c r="F692" t="s">
        <v>12</v>
      </c>
      <c r="G692">
        <v>77.5</v>
      </c>
      <c r="H692">
        <v>10</v>
      </c>
      <c r="I692">
        <v>62</v>
      </c>
      <c r="J692">
        <v>23</v>
      </c>
      <c r="K692">
        <v>32</v>
      </c>
    </row>
    <row r="693" spans="1:11" x14ac:dyDescent="0.25">
      <c r="A693" s="2">
        <v>2017</v>
      </c>
      <c r="B693" s="2" t="s">
        <v>223</v>
      </c>
      <c r="C693" t="s">
        <v>106</v>
      </c>
      <c r="D693" s="1">
        <v>89391</v>
      </c>
      <c r="E693" t="s">
        <v>27</v>
      </c>
      <c r="F693" t="s">
        <v>7</v>
      </c>
      <c r="G693">
        <v>89.4</v>
      </c>
      <c r="H693">
        <v>10</v>
      </c>
      <c r="I693">
        <v>94</v>
      </c>
      <c r="J693">
        <v>76</v>
      </c>
      <c r="K693">
        <v>72</v>
      </c>
    </row>
    <row r="694" spans="1:11" x14ac:dyDescent="0.25">
      <c r="A694" s="2">
        <v>2017</v>
      </c>
      <c r="B694" s="2" t="s">
        <v>223</v>
      </c>
      <c r="C694" t="s">
        <v>106</v>
      </c>
      <c r="D694" s="1">
        <v>89391</v>
      </c>
      <c r="E694" t="s">
        <v>27</v>
      </c>
      <c r="F694" t="s">
        <v>11</v>
      </c>
      <c r="G694">
        <v>92.5</v>
      </c>
      <c r="H694">
        <v>10</v>
      </c>
      <c r="I694">
        <v>99</v>
      </c>
      <c r="J694">
        <v>87</v>
      </c>
      <c r="K694">
        <v>81</v>
      </c>
    </row>
    <row r="695" spans="1:11" x14ac:dyDescent="0.25">
      <c r="A695" s="2">
        <v>2017</v>
      </c>
      <c r="B695" s="2" t="s">
        <v>223</v>
      </c>
      <c r="C695" t="s">
        <v>106</v>
      </c>
      <c r="D695" s="1">
        <v>89391</v>
      </c>
      <c r="E695" t="s">
        <v>27</v>
      </c>
      <c r="F695" t="s">
        <v>9</v>
      </c>
      <c r="G695">
        <v>87.5</v>
      </c>
      <c r="H695">
        <v>10</v>
      </c>
      <c r="I695">
        <v>74</v>
      </c>
      <c r="J695">
        <v>54</v>
      </c>
      <c r="K695">
        <v>52</v>
      </c>
    </row>
    <row r="696" spans="1:11" x14ac:dyDescent="0.25">
      <c r="A696" s="2">
        <v>2017</v>
      </c>
      <c r="B696" s="2" t="s">
        <v>223</v>
      </c>
      <c r="C696" t="s">
        <v>106</v>
      </c>
      <c r="D696" s="1">
        <v>89391</v>
      </c>
      <c r="E696" t="s">
        <v>27</v>
      </c>
      <c r="F696" t="s">
        <v>8</v>
      </c>
      <c r="G696">
        <v>90</v>
      </c>
      <c r="H696">
        <v>10</v>
      </c>
      <c r="I696">
        <v>99</v>
      </c>
      <c r="J696">
        <v>88</v>
      </c>
      <c r="K696">
        <v>84</v>
      </c>
    </row>
    <row r="697" spans="1:11" x14ac:dyDescent="0.25">
      <c r="A697" s="2">
        <v>2017</v>
      </c>
      <c r="B697" s="2" t="s">
        <v>223</v>
      </c>
      <c r="C697" t="s">
        <v>106</v>
      </c>
      <c r="D697" s="1">
        <v>89391</v>
      </c>
      <c r="E697" t="s">
        <v>27</v>
      </c>
      <c r="F697" t="s">
        <v>10</v>
      </c>
      <c r="G697">
        <v>87.5</v>
      </c>
      <c r="H697">
        <v>10</v>
      </c>
      <c r="I697">
        <v>86</v>
      </c>
      <c r="J697">
        <v>67</v>
      </c>
      <c r="K697">
        <v>64</v>
      </c>
    </row>
    <row r="698" spans="1:11" x14ac:dyDescent="0.25">
      <c r="A698" s="2">
        <v>2017</v>
      </c>
      <c r="B698" s="2" t="s">
        <v>223</v>
      </c>
      <c r="C698" t="s">
        <v>106</v>
      </c>
      <c r="D698" s="1">
        <v>36541</v>
      </c>
      <c r="E698" t="s">
        <v>21</v>
      </c>
      <c r="F698" t="s">
        <v>12</v>
      </c>
      <c r="G698">
        <v>100</v>
      </c>
      <c r="H698">
        <v>3</v>
      </c>
      <c r="I698">
        <v>99</v>
      </c>
      <c r="J698">
        <v>99</v>
      </c>
      <c r="K698">
        <v>99</v>
      </c>
    </row>
    <row r="699" spans="1:11" x14ac:dyDescent="0.25">
      <c r="A699" s="2">
        <v>2017</v>
      </c>
      <c r="B699" s="2" t="s">
        <v>223</v>
      </c>
      <c r="C699" t="s">
        <v>106</v>
      </c>
      <c r="D699" s="1">
        <v>36541</v>
      </c>
      <c r="E699" t="s">
        <v>21</v>
      </c>
      <c r="F699" t="s">
        <v>7</v>
      </c>
      <c r="G699">
        <v>100</v>
      </c>
      <c r="H699">
        <v>3</v>
      </c>
      <c r="I699">
        <v>99</v>
      </c>
      <c r="J699">
        <v>99</v>
      </c>
      <c r="K699">
        <v>99</v>
      </c>
    </row>
    <row r="700" spans="1:11" x14ac:dyDescent="0.25">
      <c r="A700" s="2">
        <v>2017</v>
      </c>
      <c r="B700" s="2" t="s">
        <v>223</v>
      </c>
      <c r="C700" t="s">
        <v>106</v>
      </c>
      <c r="D700" s="1">
        <v>36541</v>
      </c>
      <c r="E700" t="s">
        <v>21</v>
      </c>
      <c r="F700" t="s">
        <v>11</v>
      </c>
      <c r="G700">
        <v>100</v>
      </c>
      <c r="H700">
        <v>3</v>
      </c>
      <c r="I700">
        <v>99</v>
      </c>
      <c r="J700">
        <v>99</v>
      </c>
      <c r="K700">
        <v>99</v>
      </c>
    </row>
    <row r="701" spans="1:11" x14ac:dyDescent="0.25">
      <c r="A701" s="2">
        <v>2017</v>
      </c>
      <c r="B701" s="2" t="s">
        <v>223</v>
      </c>
      <c r="C701" t="s">
        <v>106</v>
      </c>
      <c r="D701" s="1">
        <v>36541</v>
      </c>
      <c r="E701" t="s">
        <v>21</v>
      </c>
      <c r="F701" t="s">
        <v>9</v>
      </c>
      <c r="G701">
        <v>100</v>
      </c>
      <c r="H701">
        <v>3</v>
      </c>
      <c r="I701">
        <v>99</v>
      </c>
      <c r="J701">
        <v>99</v>
      </c>
      <c r="K701">
        <v>99</v>
      </c>
    </row>
    <row r="702" spans="1:11" x14ac:dyDescent="0.25">
      <c r="A702" s="2">
        <v>2017</v>
      </c>
      <c r="B702" s="2" t="s">
        <v>223</v>
      </c>
      <c r="C702" t="s">
        <v>106</v>
      </c>
      <c r="D702" s="1">
        <v>36541</v>
      </c>
      <c r="E702" t="s">
        <v>21</v>
      </c>
      <c r="F702" t="s">
        <v>8</v>
      </c>
      <c r="G702">
        <v>100</v>
      </c>
      <c r="H702">
        <v>3</v>
      </c>
      <c r="I702">
        <v>99</v>
      </c>
      <c r="J702">
        <v>99</v>
      </c>
      <c r="K702">
        <v>99</v>
      </c>
    </row>
    <row r="703" spans="1:11" x14ac:dyDescent="0.25">
      <c r="A703" s="2">
        <v>2017</v>
      </c>
      <c r="B703" s="2" t="s">
        <v>223</v>
      </c>
      <c r="C703" t="s">
        <v>106</v>
      </c>
      <c r="D703" s="1">
        <v>36541</v>
      </c>
      <c r="E703" t="s">
        <v>21</v>
      </c>
      <c r="F703" t="s">
        <v>10</v>
      </c>
      <c r="G703">
        <v>100</v>
      </c>
      <c r="H703">
        <v>3</v>
      </c>
      <c r="I703">
        <v>99</v>
      </c>
      <c r="J703">
        <v>99</v>
      </c>
      <c r="K703">
        <v>99</v>
      </c>
    </row>
    <row r="704" spans="1:11" x14ac:dyDescent="0.25">
      <c r="A704" s="2">
        <v>2017</v>
      </c>
      <c r="B704" s="2" t="s">
        <v>223</v>
      </c>
      <c r="C704" t="s">
        <v>106</v>
      </c>
      <c r="D704" s="1">
        <v>91405</v>
      </c>
      <c r="E704" t="s">
        <v>39</v>
      </c>
      <c r="F704" t="s">
        <v>12</v>
      </c>
      <c r="G704">
        <v>64.3</v>
      </c>
      <c r="H704">
        <v>7</v>
      </c>
      <c r="I704">
        <v>8</v>
      </c>
      <c r="J704">
        <v>2</v>
      </c>
      <c r="K704">
        <v>2</v>
      </c>
    </row>
    <row r="705" spans="1:11" x14ac:dyDescent="0.25">
      <c r="A705" s="2">
        <v>2017</v>
      </c>
      <c r="B705" s="2" t="s">
        <v>223</v>
      </c>
      <c r="C705" t="s">
        <v>106</v>
      </c>
      <c r="D705" s="1">
        <v>91405</v>
      </c>
      <c r="E705" t="s">
        <v>39</v>
      </c>
      <c r="F705" t="s">
        <v>7</v>
      </c>
      <c r="G705">
        <v>66.400000000000006</v>
      </c>
      <c r="H705">
        <v>8</v>
      </c>
      <c r="I705">
        <v>1</v>
      </c>
      <c r="J705">
        <v>1</v>
      </c>
      <c r="K705">
        <v>1</v>
      </c>
    </row>
    <row r="706" spans="1:11" x14ac:dyDescent="0.25">
      <c r="A706" s="2">
        <v>2017</v>
      </c>
      <c r="B706" s="2" t="s">
        <v>223</v>
      </c>
      <c r="C706" t="s">
        <v>106</v>
      </c>
      <c r="D706" s="1">
        <v>91405</v>
      </c>
      <c r="E706" t="s">
        <v>39</v>
      </c>
      <c r="F706" t="s">
        <v>11</v>
      </c>
      <c r="G706">
        <v>68.8</v>
      </c>
      <c r="H706">
        <v>8</v>
      </c>
      <c r="I706">
        <v>1</v>
      </c>
      <c r="J706">
        <v>1</v>
      </c>
      <c r="K706">
        <v>1</v>
      </c>
    </row>
    <row r="707" spans="1:11" x14ac:dyDescent="0.25">
      <c r="A707" s="2">
        <v>2017</v>
      </c>
      <c r="B707" s="2" t="s">
        <v>223</v>
      </c>
      <c r="C707" t="s">
        <v>106</v>
      </c>
      <c r="D707" s="1">
        <v>91405</v>
      </c>
      <c r="E707" t="s">
        <v>39</v>
      </c>
      <c r="F707" t="s">
        <v>9</v>
      </c>
      <c r="G707">
        <v>65.599999999999994</v>
      </c>
      <c r="H707">
        <v>8</v>
      </c>
      <c r="I707">
        <v>1</v>
      </c>
      <c r="J707">
        <v>1</v>
      </c>
      <c r="K707">
        <v>1</v>
      </c>
    </row>
    <row r="708" spans="1:11" x14ac:dyDescent="0.25">
      <c r="A708" s="2">
        <v>2017</v>
      </c>
      <c r="B708" s="2" t="s">
        <v>223</v>
      </c>
      <c r="C708" t="s">
        <v>106</v>
      </c>
      <c r="D708" s="1">
        <v>91405</v>
      </c>
      <c r="E708" t="s">
        <v>39</v>
      </c>
      <c r="F708" t="s">
        <v>8</v>
      </c>
      <c r="G708">
        <v>65.599999999999994</v>
      </c>
      <c r="H708">
        <v>8</v>
      </c>
      <c r="I708">
        <v>1</v>
      </c>
      <c r="J708">
        <v>1</v>
      </c>
      <c r="K708">
        <v>1</v>
      </c>
    </row>
    <row r="709" spans="1:11" x14ac:dyDescent="0.25">
      <c r="A709" s="2">
        <v>2017</v>
      </c>
      <c r="B709" s="2" t="s">
        <v>223</v>
      </c>
      <c r="C709" t="s">
        <v>106</v>
      </c>
      <c r="D709" s="1">
        <v>91405</v>
      </c>
      <c r="E709" t="s">
        <v>39</v>
      </c>
      <c r="F709" t="s">
        <v>10</v>
      </c>
      <c r="G709">
        <v>65.599999999999994</v>
      </c>
      <c r="H709">
        <v>8</v>
      </c>
      <c r="I709">
        <v>1</v>
      </c>
      <c r="J709">
        <v>1</v>
      </c>
      <c r="K709">
        <v>1</v>
      </c>
    </row>
    <row r="710" spans="1:11" x14ac:dyDescent="0.25">
      <c r="A710" s="2">
        <v>2017</v>
      </c>
      <c r="B710" s="2" t="s">
        <v>223</v>
      </c>
      <c r="C710" t="s">
        <v>106</v>
      </c>
      <c r="D710" s="1">
        <v>58321</v>
      </c>
      <c r="E710" t="s">
        <v>40</v>
      </c>
      <c r="F710" t="s">
        <v>12</v>
      </c>
      <c r="G710">
        <v>25</v>
      </c>
      <c r="H710">
        <v>2</v>
      </c>
      <c r="I710">
        <v>1</v>
      </c>
      <c r="J710">
        <v>1</v>
      </c>
      <c r="K710">
        <v>1</v>
      </c>
    </row>
    <row r="711" spans="1:11" x14ac:dyDescent="0.25">
      <c r="A711" s="2">
        <v>2017</v>
      </c>
      <c r="B711" s="2" t="s">
        <v>223</v>
      </c>
      <c r="C711" t="s">
        <v>106</v>
      </c>
      <c r="D711" s="1">
        <v>58321</v>
      </c>
      <c r="E711" t="s">
        <v>40</v>
      </c>
      <c r="F711" t="s">
        <v>7</v>
      </c>
      <c r="G711">
        <v>58.3</v>
      </c>
      <c r="H711">
        <v>3</v>
      </c>
      <c r="I711">
        <v>1</v>
      </c>
      <c r="J711">
        <v>1</v>
      </c>
      <c r="K711">
        <v>1</v>
      </c>
    </row>
    <row r="712" spans="1:11" x14ac:dyDescent="0.25">
      <c r="A712" s="2">
        <v>2017</v>
      </c>
      <c r="B712" s="2" t="s">
        <v>223</v>
      </c>
      <c r="C712" t="s">
        <v>106</v>
      </c>
      <c r="D712" s="1">
        <v>58321</v>
      </c>
      <c r="E712" t="s">
        <v>40</v>
      </c>
      <c r="F712" t="s">
        <v>11</v>
      </c>
      <c r="G712">
        <v>75</v>
      </c>
      <c r="H712">
        <v>3</v>
      </c>
      <c r="I712">
        <v>1</v>
      </c>
      <c r="J712">
        <v>1</v>
      </c>
      <c r="K712">
        <v>1</v>
      </c>
    </row>
    <row r="713" spans="1:11" x14ac:dyDescent="0.25">
      <c r="A713" s="2">
        <v>2017</v>
      </c>
      <c r="B713" s="2" t="s">
        <v>223</v>
      </c>
      <c r="C713" t="s">
        <v>106</v>
      </c>
      <c r="D713" s="1">
        <v>58321</v>
      </c>
      <c r="E713" t="s">
        <v>40</v>
      </c>
      <c r="F713" t="s">
        <v>9</v>
      </c>
      <c r="G713">
        <v>58.3</v>
      </c>
      <c r="H713">
        <v>3</v>
      </c>
      <c r="I713">
        <v>1</v>
      </c>
      <c r="J713">
        <v>1</v>
      </c>
      <c r="K713">
        <v>1</v>
      </c>
    </row>
    <row r="714" spans="1:11" x14ac:dyDescent="0.25">
      <c r="A714" s="2">
        <v>2017</v>
      </c>
      <c r="B714" s="2" t="s">
        <v>223</v>
      </c>
      <c r="C714" t="s">
        <v>106</v>
      </c>
      <c r="D714" s="1">
        <v>58321</v>
      </c>
      <c r="E714" t="s">
        <v>40</v>
      </c>
      <c r="F714" t="s">
        <v>8</v>
      </c>
      <c r="G714">
        <v>41.7</v>
      </c>
      <c r="H714">
        <v>3</v>
      </c>
      <c r="I714">
        <v>1</v>
      </c>
      <c r="J714">
        <v>1</v>
      </c>
      <c r="K714">
        <v>1</v>
      </c>
    </row>
    <row r="715" spans="1:11" x14ac:dyDescent="0.25">
      <c r="A715" s="2">
        <v>2017</v>
      </c>
      <c r="B715" s="2" t="s">
        <v>223</v>
      </c>
      <c r="C715" t="s">
        <v>106</v>
      </c>
      <c r="D715" s="1">
        <v>58321</v>
      </c>
      <c r="E715" t="s">
        <v>40</v>
      </c>
      <c r="F715" t="s">
        <v>10</v>
      </c>
      <c r="G715">
        <v>58.3</v>
      </c>
      <c r="H715">
        <v>3</v>
      </c>
      <c r="I715">
        <v>1</v>
      </c>
      <c r="J715">
        <v>1</v>
      </c>
      <c r="K715">
        <v>1</v>
      </c>
    </row>
    <row r="716" spans="1:11" x14ac:dyDescent="0.25">
      <c r="A716" s="2">
        <v>2017</v>
      </c>
      <c r="B716" s="2" t="s">
        <v>223</v>
      </c>
      <c r="C716" t="s">
        <v>106</v>
      </c>
      <c r="D716" s="1">
        <v>23994</v>
      </c>
      <c r="E716" t="s">
        <v>31</v>
      </c>
      <c r="F716" t="s">
        <v>12</v>
      </c>
      <c r="G716">
        <v>73.099999999999994</v>
      </c>
      <c r="H716">
        <v>13</v>
      </c>
      <c r="I716">
        <v>37</v>
      </c>
      <c r="J716">
        <v>9</v>
      </c>
      <c r="K716">
        <v>15</v>
      </c>
    </row>
    <row r="717" spans="1:11" x14ac:dyDescent="0.25">
      <c r="A717" s="2">
        <v>2017</v>
      </c>
      <c r="B717" s="2" t="s">
        <v>223</v>
      </c>
      <c r="C717" t="s">
        <v>106</v>
      </c>
      <c r="D717" s="1">
        <v>23994</v>
      </c>
      <c r="E717" t="s">
        <v>31</v>
      </c>
      <c r="F717" t="s">
        <v>7</v>
      </c>
      <c r="G717">
        <v>87.5</v>
      </c>
      <c r="H717">
        <v>13</v>
      </c>
      <c r="I717">
        <v>80</v>
      </c>
      <c r="J717">
        <v>58</v>
      </c>
      <c r="K717">
        <v>55</v>
      </c>
    </row>
    <row r="718" spans="1:11" x14ac:dyDescent="0.25">
      <c r="A718" s="2">
        <v>2017</v>
      </c>
      <c r="B718" s="2" t="s">
        <v>223</v>
      </c>
      <c r="C718" t="s">
        <v>106</v>
      </c>
      <c r="D718" s="1">
        <v>23994</v>
      </c>
      <c r="E718" t="s">
        <v>31</v>
      </c>
      <c r="F718" t="s">
        <v>11</v>
      </c>
      <c r="G718">
        <v>89.6</v>
      </c>
      <c r="H718">
        <v>12</v>
      </c>
      <c r="I718">
        <v>73</v>
      </c>
      <c r="J718">
        <v>53</v>
      </c>
      <c r="K718">
        <v>53</v>
      </c>
    </row>
    <row r="719" spans="1:11" x14ac:dyDescent="0.25">
      <c r="A719" s="2">
        <v>2017</v>
      </c>
      <c r="B719" s="2" t="s">
        <v>223</v>
      </c>
      <c r="C719" t="s">
        <v>106</v>
      </c>
      <c r="D719" s="1">
        <v>23994</v>
      </c>
      <c r="E719" t="s">
        <v>31</v>
      </c>
      <c r="F719" t="s">
        <v>9</v>
      </c>
      <c r="G719">
        <v>88.5</v>
      </c>
      <c r="H719">
        <v>13</v>
      </c>
      <c r="I719">
        <v>84</v>
      </c>
      <c r="J719">
        <v>65</v>
      </c>
      <c r="K719">
        <v>62</v>
      </c>
    </row>
    <row r="720" spans="1:11" x14ac:dyDescent="0.25">
      <c r="A720" s="2">
        <v>2017</v>
      </c>
      <c r="B720" s="2" t="s">
        <v>223</v>
      </c>
      <c r="C720" t="s">
        <v>106</v>
      </c>
      <c r="D720" s="1">
        <v>23994</v>
      </c>
      <c r="E720" t="s">
        <v>31</v>
      </c>
      <c r="F720" t="s">
        <v>8</v>
      </c>
      <c r="G720">
        <v>86.5</v>
      </c>
      <c r="H720">
        <v>13</v>
      </c>
      <c r="I720">
        <v>82</v>
      </c>
      <c r="J720">
        <v>59</v>
      </c>
      <c r="K720">
        <v>57</v>
      </c>
    </row>
    <row r="721" spans="1:11" x14ac:dyDescent="0.25">
      <c r="A721" s="2">
        <v>2017</v>
      </c>
      <c r="B721" s="2" t="s">
        <v>223</v>
      </c>
      <c r="C721" t="s">
        <v>106</v>
      </c>
      <c r="D721" s="1">
        <v>23994</v>
      </c>
      <c r="E721" t="s">
        <v>31</v>
      </c>
      <c r="F721" t="s">
        <v>10</v>
      </c>
      <c r="G721">
        <v>86.5</v>
      </c>
      <c r="H721">
        <v>13</v>
      </c>
      <c r="I721">
        <v>80</v>
      </c>
      <c r="J721">
        <v>59</v>
      </c>
      <c r="K721">
        <v>56</v>
      </c>
    </row>
    <row r="722" spans="1:11" x14ac:dyDescent="0.25">
      <c r="A722" s="2">
        <v>2017</v>
      </c>
      <c r="B722" s="2" t="s">
        <v>223</v>
      </c>
      <c r="C722" t="s">
        <v>106</v>
      </c>
      <c r="D722" s="1">
        <v>22673</v>
      </c>
      <c r="E722" t="s">
        <v>17</v>
      </c>
      <c r="F722" t="s">
        <v>12</v>
      </c>
      <c r="G722">
        <v>78.099999999999994</v>
      </c>
      <c r="H722">
        <v>8</v>
      </c>
      <c r="I722">
        <v>67</v>
      </c>
      <c r="J722">
        <v>26</v>
      </c>
      <c r="K722">
        <v>34</v>
      </c>
    </row>
    <row r="723" spans="1:11" x14ac:dyDescent="0.25">
      <c r="A723" s="2">
        <v>2017</v>
      </c>
      <c r="B723" s="2" t="s">
        <v>223</v>
      </c>
      <c r="C723" t="s">
        <v>106</v>
      </c>
      <c r="D723" s="1">
        <v>22673</v>
      </c>
      <c r="E723" t="s">
        <v>17</v>
      </c>
      <c r="F723" t="s">
        <v>7</v>
      </c>
      <c r="G723">
        <v>90.6</v>
      </c>
      <c r="H723">
        <v>8</v>
      </c>
      <c r="I723">
        <v>99</v>
      </c>
      <c r="J723">
        <v>87</v>
      </c>
      <c r="K723">
        <v>82</v>
      </c>
    </row>
    <row r="724" spans="1:11" x14ac:dyDescent="0.25">
      <c r="A724" s="2">
        <v>2017</v>
      </c>
      <c r="B724" s="2" t="s">
        <v>223</v>
      </c>
      <c r="C724" t="s">
        <v>106</v>
      </c>
      <c r="D724" s="1">
        <v>22673</v>
      </c>
      <c r="E724" t="s">
        <v>17</v>
      </c>
      <c r="F724" t="s">
        <v>11</v>
      </c>
      <c r="G724">
        <v>90.6</v>
      </c>
      <c r="H724">
        <v>8</v>
      </c>
      <c r="I724">
        <v>81</v>
      </c>
      <c r="J724">
        <v>61</v>
      </c>
      <c r="K724">
        <v>64</v>
      </c>
    </row>
    <row r="725" spans="1:11" x14ac:dyDescent="0.25">
      <c r="A725" s="2">
        <v>2017</v>
      </c>
      <c r="B725" s="2" t="s">
        <v>223</v>
      </c>
      <c r="C725" t="s">
        <v>106</v>
      </c>
      <c r="D725" s="1">
        <v>22673</v>
      </c>
      <c r="E725" t="s">
        <v>17</v>
      </c>
      <c r="F725" t="s">
        <v>9</v>
      </c>
      <c r="G725">
        <v>90.6</v>
      </c>
      <c r="H725">
        <v>8</v>
      </c>
      <c r="I725">
        <v>98</v>
      </c>
      <c r="J725">
        <v>84</v>
      </c>
      <c r="K725">
        <v>80</v>
      </c>
    </row>
    <row r="726" spans="1:11" x14ac:dyDescent="0.25">
      <c r="A726" s="2">
        <v>2017</v>
      </c>
      <c r="B726" s="2" t="s">
        <v>223</v>
      </c>
      <c r="C726" t="s">
        <v>106</v>
      </c>
      <c r="D726" s="1">
        <v>22673</v>
      </c>
      <c r="E726" t="s">
        <v>17</v>
      </c>
      <c r="F726" t="s">
        <v>8</v>
      </c>
      <c r="G726">
        <v>90.6</v>
      </c>
      <c r="H726">
        <v>8</v>
      </c>
      <c r="I726">
        <v>99</v>
      </c>
      <c r="J726">
        <v>94</v>
      </c>
      <c r="K726">
        <v>86</v>
      </c>
    </row>
    <row r="727" spans="1:11" x14ac:dyDescent="0.25">
      <c r="A727" s="2">
        <v>2017</v>
      </c>
      <c r="B727" s="2" t="s">
        <v>223</v>
      </c>
      <c r="C727" t="s">
        <v>106</v>
      </c>
      <c r="D727" s="1">
        <v>22673</v>
      </c>
      <c r="E727" t="s">
        <v>17</v>
      </c>
      <c r="F727" t="s">
        <v>10</v>
      </c>
      <c r="G727">
        <v>90.6</v>
      </c>
      <c r="H727">
        <v>8</v>
      </c>
      <c r="I727">
        <v>99</v>
      </c>
      <c r="J727">
        <v>94</v>
      </c>
      <c r="K727">
        <v>87</v>
      </c>
    </row>
    <row r="728" spans="1:11" x14ac:dyDescent="0.25">
      <c r="A728" s="2">
        <v>2017</v>
      </c>
      <c r="B728" s="2" t="s">
        <v>223</v>
      </c>
      <c r="C728" t="s">
        <v>106</v>
      </c>
      <c r="D728" s="1">
        <v>91397</v>
      </c>
      <c r="E728" t="s">
        <v>41</v>
      </c>
      <c r="F728" t="s">
        <v>12</v>
      </c>
      <c r="G728">
        <v>87.5</v>
      </c>
      <c r="H728">
        <v>6</v>
      </c>
      <c r="I728">
        <v>99</v>
      </c>
      <c r="J728">
        <v>86</v>
      </c>
      <c r="K728">
        <v>83</v>
      </c>
    </row>
    <row r="729" spans="1:11" x14ac:dyDescent="0.25">
      <c r="A729" s="2">
        <v>2017</v>
      </c>
      <c r="B729" s="2" t="s">
        <v>223</v>
      </c>
      <c r="C729" t="s">
        <v>106</v>
      </c>
      <c r="D729" s="1">
        <v>91397</v>
      </c>
      <c r="E729" t="s">
        <v>41</v>
      </c>
      <c r="F729" t="s">
        <v>7</v>
      </c>
      <c r="G729">
        <v>95.8</v>
      </c>
      <c r="H729">
        <v>6</v>
      </c>
      <c r="I729">
        <v>99</v>
      </c>
      <c r="J729">
        <v>99</v>
      </c>
      <c r="K729">
        <v>99</v>
      </c>
    </row>
    <row r="730" spans="1:11" x14ac:dyDescent="0.25">
      <c r="A730" s="2">
        <v>2017</v>
      </c>
      <c r="B730" s="2" t="s">
        <v>223</v>
      </c>
      <c r="C730" t="s">
        <v>106</v>
      </c>
      <c r="D730" s="1">
        <v>91397</v>
      </c>
      <c r="E730" t="s">
        <v>41</v>
      </c>
      <c r="F730" t="s">
        <v>11</v>
      </c>
      <c r="G730">
        <v>95.8</v>
      </c>
      <c r="H730">
        <v>6</v>
      </c>
      <c r="I730">
        <v>99</v>
      </c>
      <c r="J730">
        <v>99</v>
      </c>
      <c r="K730">
        <v>97</v>
      </c>
    </row>
    <row r="731" spans="1:11" x14ac:dyDescent="0.25">
      <c r="A731" s="2">
        <v>2017</v>
      </c>
      <c r="B731" s="2" t="s">
        <v>223</v>
      </c>
      <c r="C731" t="s">
        <v>106</v>
      </c>
      <c r="D731" s="1">
        <v>91397</v>
      </c>
      <c r="E731" t="s">
        <v>41</v>
      </c>
      <c r="F731" t="s">
        <v>9</v>
      </c>
      <c r="G731">
        <v>95.8</v>
      </c>
      <c r="H731">
        <v>6</v>
      </c>
      <c r="I731">
        <v>99</v>
      </c>
      <c r="J731">
        <v>99</v>
      </c>
      <c r="K731">
        <v>99</v>
      </c>
    </row>
    <row r="732" spans="1:11" x14ac:dyDescent="0.25">
      <c r="A732" s="2">
        <v>2017</v>
      </c>
      <c r="B732" s="2" t="s">
        <v>223</v>
      </c>
      <c r="C732" t="s">
        <v>106</v>
      </c>
      <c r="D732" s="1">
        <v>91397</v>
      </c>
      <c r="E732" t="s">
        <v>41</v>
      </c>
      <c r="F732" t="s">
        <v>8</v>
      </c>
      <c r="G732">
        <v>95.8</v>
      </c>
      <c r="H732">
        <v>6</v>
      </c>
      <c r="I732">
        <v>99</v>
      </c>
      <c r="J732">
        <v>99</v>
      </c>
      <c r="K732">
        <v>99</v>
      </c>
    </row>
    <row r="733" spans="1:11" x14ac:dyDescent="0.25">
      <c r="A733" s="2">
        <v>2017</v>
      </c>
      <c r="B733" s="2" t="s">
        <v>223</v>
      </c>
      <c r="C733" t="s">
        <v>106</v>
      </c>
      <c r="D733" s="1">
        <v>91397</v>
      </c>
      <c r="E733" t="s">
        <v>41</v>
      </c>
      <c r="F733" t="s">
        <v>10</v>
      </c>
      <c r="G733">
        <v>95.8</v>
      </c>
      <c r="H733">
        <v>6</v>
      </c>
      <c r="I733">
        <v>99</v>
      </c>
      <c r="J733">
        <v>99</v>
      </c>
      <c r="K733">
        <v>99</v>
      </c>
    </row>
    <row r="734" spans="1:11" x14ac:dyDescent="0.25">
      <c r="A734" s="2">
        <v>2017</v>
      </c>
      <c r="B734" s="2" t="s">
        <v>223</v>
      </c>
      <c r="C734" t="s">
        <v>106</v>
      </c>
      <c r="D734" s="1">
        <v>64022</v>
      </c>
      <c r="E734" t="s">
        <v>37</v>
      </c>
      <c r="F734" t="s">
        <v>12</v>
      </c>
      <c r="G734">
        <v>67.2</v>
      </c>
      <c r="H734">
        <v>16</v>
      </c>
      <c r="I734">
        <v>20</v>
      </c>
      <c r="J734">
        <v>4</v>
      </c>
      <c r="K734">
        <v>5</v>
      </c>
    </row>
    <row r="735" spans="1:11" x14ac:dyDescent="0.25">
      <c r="A735" s="2">
        <v>2017</v>
      </c>
      <c r="B735" s="2" t="s">
        <v>223</v>
      </c>
      <c r="C735" t="s">
        <v>106</v>
      </c>
      <c r="D735" s="1">
        <v>64022</v>
      </c>
      <c r="E735" t="s">
        <v>37</v>
      </c>
      <c r="F735" t="s">
        <v>7</v>
      </c>
      <c r="G735">
        <v>74.2</v>
      </c>
      <c r="H735">
        <v>16</v>
      </c>
      <c r="I735">
        <v>2</v>
      </c>
      <c r="J735">
        <v>1</v>
      </c>
      <c r="K735">
        <v>1</v>
      </c>
    </row>
    <row r="736" spans="1:11" x14ac:dyDescent="0.25">
      <c r="A736" s="2">
        <v>2017</v>
      </c>
      <c r="B736" s="2" t="s">
        <v>223</v>
      </c>
      <c r="C736" t="s">
        <v>106</v>
      </c>
      <c r="D736" s="1">
        <v>64022</v>
      </c>
      <c r="E736" t="s">
        <v>37</v>
      </c>
      <c r="F736" t="s">
        <v>11</v>
      </c>
      <c r="G736">
        <v>78.099999999999994</v>
      </c>
      <c r="H736">
        <v>16</v>
      </c>
      <c r="I736">
        <v>1</v>
      </c>
      <c r="J736">
        <v>1</v>
      </c>
      <c r="K736">
        <v>1</v>
      </c>
    </row>
    <row r="737" spans="1:11" x14ac:dyDescent="0.25">
      <c r="A737" s="2">
        <v>2017</v>
      </c>
      <c r="B737" s="2" t="s">
        <v>223</v>
      </c>
      <c r="C737" t="s">
        <v>106</v>
      </c>
      <c r="D737" s="1">
        <v>64022</v>
      </c>
      <c r="E737" t="s">
        <v>37</v>
      </c>
      <c r="F737" t="s">
        <v>9</v>
      </c>
      <c r="G737">
        <v>76.599999999999994</v>
      </c>
      <c r="H737">
        <v>16</v>
      </c>
      <c r="I737">
        <v>3</v>
      </c>
      <c r="J737">
        <v>1</v>
      </c>
      <c r="K737">
        <v>3</v>
      </c>
    </row>
    <row r="738" spans="1:11" x14ac:dyDescent="0.25">
      <c r="A738" s="2">
        <v>2017</v>
      </c>
      <c r="B738" s="2" t="s">
        <v>223</v>
      </c>
      <c r="C738" t="s">
        <v>106</v>
      </c>
      <c r="D738" s="1">
        <v>64022</v>
      </c>
      <c r="E738" t="s">
        <v>37</v>
      </c>
      <c r="F738" t="s">
        <v>8</v>
      </c>
      <c r="G738">
        <v>68.8</v>
      </c>
      <c r="H738">
        <v>16</v>
      </c>
      <c r="I738">
        <v>1</v>
      </c>
      <c r="J738">
        <v>1</v>
      </c>
      <c r="K738">
        <v>1</v>
      </c>
    </row>
    <row r="739" spans="1:11" x14ac:dyDescent="0.25">
      <c r="A739" s="2">
        <v>2017</v>
      </c>
      <c r="B739" s="2" t="s">
        <v>223</v>
      </c>
      <c r="C739" t="s">
        <v>106</v>
      </c>
      <c r="D739" s="1">
        <v>64022</v>
      </c>
      <c r="E739" t="s">
        <v>37</v>
      </c>
      <c r="F739" t="s">
        <v>10</v>
      </c>
      <c r="G739">
        <v>73.400000000000006</v>
      </c>
      <c r="H739">
        <v>16</v>
      </c>
      <c r="I739">
        <v>4</v>
      </c>
      <c r="J739">
        <v>1</v>
      </c>
      <c r="K739">
        <v>2</v>
      </c>
    </row>
    <row r="740" spans="1:11" x14ac:dyDescent="0.25">
      <c r="A740" s="2">
        <v>2017</v>
      </c>
      <c r="B740" s="2" t="s">
        <v>223</v>
      </c>
      <c r="C740" t="s">
        <v>106</v>
      </c>
      <c r="D740" s="1">
        <v>88963</v>
      </c>
      <c r="E740" t="s">
        <v>34</v>
      </c>
      <c r="F740" t="s">
        <v>12</v>
      </c>
      <c r="G740">
        <v>75</v>
      </c>
      <c r="H740">
        <v>7</v>
      </c>
      <c r="I740">
        <v>47</v>
      </c>
      <c r="J740">
        <v>14</v>
      </c>
      <c r="K740">
        <v>21</v>
      </c>
    </row>
    <row r="741" spans="1:11" x14ac:dyDescent="0.25">
      <c r="A741" s="2">
        <v>2017</v>
      </c>
      <c r="B741" s="2" t="s">
        <v>223</v>
      </c>
      <c r="C741" t="s">
        <v>106</v>
      </c>
      <c r="D741" s="1">
        <v>88963</v>
      </c>
      <c r="E741" t="s">
        <v>34</v>
      </c>
      <c r="F741" t="s">
        <v>7</v>
      </c>
      <c r="G741">
        <v>92.2</v>
      </c>
      <c r="H741">
        <v>8</v>
      </c>
      <c r="I741">
        <v>99</v>
      </c>
      <c r="J741">
        <v>96</v>
      </c>
      <c r="K741">
        <v>90</v>
      </c>
    </row>
    <row r="742" spans="1:11" x14ac:dyDescent="0.25">
      <c r="A742" s="2">
        <v>2017</v>
      </c>
      <c r="B742" s="2" t="s">
        <v>223</v>
      </c>
      <c r="C742" t="s">
        <v>106</v>
      </c>
      <c r="D742" s="1">
        <v>88963</v>
      </c>
      <c r="E742" t="s">
        <v>34</v>
      </c>
      <c r="F742" t="s">
        <v>11</v>
      </c>
      <c r="G742">
        <v>93.8</v>
      </c>
      <c r="H742">
        <v>8</v>
      </c>
      <c r="I742">
        <v>99</v>
      </c>
      <c r="J742">
        <v>95</v>
      </c>
      <c r="K742">
        <v>90</v>
      </c>
    </row>
    <row r="743" spans="1:11" x14ac:dyDescent="0.25">
      <c r="A743" s="2">
        <v>2017</v>
      </c>
      <c r="B743" s="2" t="s">
        <v>223</v>
      </c>
      <c r="C743" t="s">
        <v>106</v>
      </c>
      <c r="D743" s="1">
        <v>88963</v>
      </c>
      <c r="E743" t="s">
        <v>34</v>
      </c>
      <c r="F743" t="s">
        <v>9</v>
      </c>
      <c r="G743">
        <v>93.8</v>
      </c>
      <c r="H743">
        <v>8</v>
      </c>
      <c r="I743">
        <v>99</v>
      </c>
      <c r="J743">
        <v>97</v>
      </c>
      <c r="K743">
        <v>95</v>
      </c>
    </row>
    <row r="744" spans="1:11" x14ac:dyDescent="0.25">
      <c r="A744" s="2">
        <v>2017</v>
      </c>
      <c r="B744" s="2" t="s">
        <v>223</v>
      </c>
      <c r="C744" t="s">
        <v>106</v>
      </c>
      <c r="D744" s="1">
        <v>88963</v>
      </c>
      <c r="E744" t="s">
        <v>34</v>
      </c>
      <c r="F744" t="s">
        <v>8</v>
      </c>
      <c r="G744">
        <v>90.6</v>
      </c>
      <c r="H744">
        <v>8</v>
      </c>
      <c r="I744">
        <v>99</v>
      </c>
      <c r="J744">
        <v>94</v>
      </c>
      <c r="K744">
        <v>86</v>
      </c>
    </row>
    <row r="745" spans="1:11" x14ac:dyDescent="0.25">
      <c r="A745" s="2">
        <v>2017</v>
      </c>
      <c r="B745" s="2" t="s">
        <v>223</v>
      </c>
      <c r="C745" t="s">
        <v>106</v>
      </c>
      <c r="D745" s="1">
        <v>88963</v>
      </c>
      <c r="E745" t="s">
        <v>34</v>
      </c>
      <c r="F745" t="s">
        <v>10</v>
      </c>
      <c r="G745">
        <v>90.6</v>
      </c>
      <c r="H745">
        <v>8</v>
      </c>
      <c r="I745">
        <v>99</v>
      </c>
      <c r="J745">
        <v>94</v>
      </c>
      <c r="K745">
        <v>87</v>
      </c>
    </row>
    <row r="746" spans="1:11" x14ac:dyDescent="0.25">
      <c r="A746" s="2">
        <v>2017</v>
      </c>
      <c r="B746" s="2" t="s">
        <v>223</v>
      </c>
      <c r="C746" t="s">
        <v>106</v>
      </c>
      <c r="D746" s="1">
        <v>8888</v>
      </c>
      <c r="E746" t="s">
        <v>226</v>
      </c>
      <c r="F746" t="s">
        <v>12</v>
      </c>
      <c r="G746">
        <v>57.5</v>
      </c>
      <c r="H746">
        <v>10</v>
      </c>
      <c r="I746">
        <v>1</v>
      </c>
      <c r="J746">
        <v>1</v>
      </c>
      <c r="K746">
        <v>1</v>
      </c>
    </row>
    <row r="747" spans="1:11" x14ac:dyDescent="0.25">
      <c r="A747" s="2">
        <v>2017</v>
      </c>
      <c r="B747" s="2" t="s">
        <v>223</v>
      </c>
      <c r="C747" t="s">
        <v>106</v>
      </c>
      <c r="D747" s="1">
        <v>8888</v>
      </c>
      <c r="E747" t="s">
        <v>226</v>
      </c>
      <c r="F747" t="s">
        <v>7</v>
      </c>
      <c r="G747">
        <v>63.8</v>
      </c>
      <c r="H747">
        <v>10</v>
      </c>
      <c r="I747">
        <v>1</v>
      </c>
      <c r="J747">
        <v>1</v>
      </c>
      <c r="K747">
        <v>1</v>
      </c>
    </row>
    <row r="748" spans="1:11" x14ac:dyDescent="0.25">
      <c r="A748" s="2">
        <v>2017</v>
      </c>
      <c r="B748" s="2" t="s">
        <v>223</v>
      </c>
      <c r="C748" t="s">
        <v>106</v>
      </c>
      <c r="D748" s="1">
        <v>8888</v>
      </c>
      <c r="E748" t="s">
        <v>226</v>
      </c>
      <c r="F748" t="s">
        <v>11</v>
      </c>
      <c r="G748">
        <v>62.5</v>
      </c>
      <c r="H748">
        <v>10</v>
      </c>
      <c r="I748">
        <v>1</v>
      </c>
      <c r="J748">
        <v>1</v>
      </c>
      <c r="K748">
        <v>1</v>
      </c>
    </row>
    <row r="749" spans="1:11" x14ac:dyDescent="0.25">
      <c r="A749" s="2">
        <v>2017</v>
      </c>
      <c r="B749" s="2" t="s">
        <v>223</v>
      </c>
      <c r="C749" t="s">
        <v>106</v>
      </c>
      <c r="D749" s="1">
        <v>8888</v>
      </c>
      <c r="E749" t="s">
        <v>226</v>
      </c>
      <c r="F749" t="s">
        <v>9</v>
      </c>
      <c r="G749">
        <v>65</v>
      </c>
      <c r="H749">
        <v>10</v>
      </c>
      <c r="I749">
        <v>1</v>
      </c>
      <c r="J749">
        <v>1</v>
      </c>
      <c r="K749">
        <v>1</v>
      </c>
    </row>
    <row r="750" spans="1:11" x14ac:dyDescent="0.25">
      <c r="A750" s="2">
        <v>2017</v>
      </c>
      <c r="B750" s="2" t="s">
        <v>223</v>
      </c>
      <c r="C750" t="s">
        <v>106</v>
      </c>
      <c r="D750" s="1">
        <v>8888</v>
      </c>
      <c r="E750" t="s">
        <v>226</v>
      </c>
      <c r="F750" t="s">
        <v>8</v>
      </c>
      <c r="G750">
        <v>62.5</v>
      </c>
      <c r="H750">
        <v>10</v>
      </c>
      <c r="I750">
        <v>1</v>
      </c>
      <c r="J750">
        <v>1</v>
      </c>
      <c r="K750">
        <v>1</v>
      </c>
    </row>
    <row r="751" spans="1:11" x14ac:dyDescent="0.25">
      <c r="A751" s="2">
        <v>2017</v>
      </c>
      <c r="B751" s="2" t="s">
        <v>223</v>
      </c>
      <c r="C751" t="s">
        <v>106</v>
      </c>
      <c r="D751" s="1">
        <v>8888</v>
      </c>
      <c r="E751" t="s">
        <v>226</v>
      </c>
      <c r="F751" t="s">
        <v>10</v>
      </c>
      <c r="G751">
        <v>65</v>
      </c>
      <c r="H751">
        <v>10</v>
      </c>
      <c r="I751">
        <v>1</v>
      </c>
      <c r="J751">
        <v>1</v>
      </c>
      <c r="K751">
        <v>1</v>
      </c>
    </row>
    <row r="752" spans="1:11" x14ac:dyDescent="0.25">
      <c r="A752" s="2">
        <v>2017</v>
      </c>
      <c r="B752" s="2" t="s">
        <v>223</v>
      </c>
      <c r="C752" t="s">
        <v>106</v>
      </c>
      <c r="D752" s="1">
        <v>84707</v>
      </c>
      <c r="E752" t="s">
        <v>227</v>
      </c>
      <c r="F752" t="s">
        <v>12</v>
      </c>
      <c r="G752">
        <v>100</v>
      </c>
      <c r="H752">
        <v>1</v>
      </c>
      <c r="I752">
        <v>99</v>
      </c>
      <c r="J752">
        <v>99</v>
      </c>
      <c r="K752">
        <v>99</v>
      </c>
    </row>
    <row r="753" spans="1:11" x14ac:dyDescent="0.25">
      <c r="A753" s="2">
        <v>2017</v>
      </c>
      <c r="B753" s="2" t="s">
        <v>223</v>
      </c>
      <c r="C753" t="s">
        <v>106</v>
      </c>
      <c r="D753" s="1">
        <v>84707</v>
      </c>
      <c r="E753" t="s">
        <v>227</v>
      </c>
      <c r="F753" t="s">
        <v>7</v>
      </c>
      <c r="G753">
        <v>81.3</v>
      </c>
      <c r="H753">
        <v>1</v>
      </c>
      <c r="I753">
        <v>17</v>
      </c>
      <c r="J753">
        <v>9</v>
      </c>
      <c r="K753">
        <v>10</v>
      </c>
    </row>
    <row r="754" spans="1:11" x14ac:dyDescent="0.25">
      <c r="A754" s="2">
        <v>2017</v>
      </c>
      <c r="B754" s="2" t="s">
        <v>223</v>
      </c>
      <c r="C754" t="s">
        <v>106</v>
      </c>
      <c r="D754" s="1">
        <v>84707</v>
      </c>
      <c r="E754" t="s">
        <v>227</v>
      </c>
      <c r="F754" t="s">
        <v>11</v>
      </c>
      <c r="G754">
        <v>100</v>
      </c>
      <c r="H754">
        <v>1</v>
      </c>
      <c r="I754">
        <v>99</v>
      </c>
      <c r="J754">
        <v>99</v>
      </c>
      <c r="K754">
        <v>99</v>
      </c>
    </row>
    <row r="755" spans="1:11" x14ac:dyDescent="0.25">
      <c r="A755" s="2">
        <v>2017</v>
      </c>
      <c r="B755" s="2" t="s">
        <v>223</v>
      </c>
      <c r="C755" t="s">
        <v>106</v>
      </c>
      <c r="D755" s="1">
        <v>84707</v>
      </c>
      <c r="E755" t="s">
        <v>227</v>
      </c>
      <c r="F755" t="s">
        <v>9</v>
      </c>
      <c r="G755">
        <v>75</v>
      </c>
      <c r="H755">
        <v>1</v>
      </c>
      <c r="I755">
        <v>2</v>
      </c>
      <c r="J755">
        <v>1</v>
      </c>
      <c r="K755">
        <v>1</v>
      </c>
    </row>
    <row r="756" spans="1:11" x14ac:dyDescent="0.25">
      <c r="A756" s="2">
        <v>2017</v>
      </c>
      <c r="B756" s="2" t="s">
        <v>223</v>
      </c>
      <c r="C756" t="s">
        <v>106</v>
      </c>
      <c r="D756" s="1">
        <v>84707</v>
      </c>
      <c r="E756" t="s">
        <v>227</v>
      </c>
      <c r="F756" t="s">
        <v>8</v>
      </c>
      <c r="G756">
        <v>75</v>
      </c>
      <c r="H756">
        <v>1</v>
      </c>
      <c r="I756">
        <v>7</v>
      </c>
      <c r="J756">
        <v>1</v>
      </c>
      <c r="K756">
        <v>2</v>
      </c>
    </row>
    <row r="757" spans="1:11" x14ac:dyDescent="0.25">
      <c r="A757" s="2">
        <v>2017</v>
      </c>
      <c r="B757" s="2" t="s">
        <v>223</v>
      </c>
      <c r="C757" t="s">
        <v>106</v>
      </c>
      <c r="D757" s="1">
        <v>84707</v>
      </c>
      <c r="E757" t="s">
        <v>227</v>
      </c>
      <c r="F757" t="s">
        <v>10</v>
      </c>
      <c r="G757">
        <v>75</v>
      </c>
      <c r="H757">
        <v>1</v>
      </c>
      <c r="I757">
        <v>5</v>
      </c>
      <c r="J757">
        <v>1</v>
      </c>
      <c r="K757">
        <v>2</v>
      </c>
    </row>
    <row r="758" spans="1:11" x14ac:dyDescent="0.25">
      <c r="A758" s="2">
        <v>2017</v>
      </c>
      <c r="B758" s="2" t="s">
        <v>225</v>
      </c>
      <c r="C758" t="s">
        <v>106</v>
      </c>
      <c r="D758" s="1">
        <v>117671</v>
      </c>
      <c r="E758" t="s">
        <v>25</v>
      </c>
      <c r="F758" t="s">
        <v>12</v>
      </c>
      <c r="G758">
        <v>64.3</v>
      </c>
      <c r="H758">
        <v>7</v>
      </c>
      <c r="I758">
        <v>8</v>
      </c>
      <c r="J758">
        <v>5</v>
      </c>
      <c r="K758">
        <v>2</v>
      </c>
    </row>
    <row r="759" spans="1:11" x14ac:dyDescent="0.25">
      <c r="A759" s="2">
        <v>2017</v>
      </c>
      <c r="B759" s="2" t="s">
        <v>225</v>
      </c>
      <c r="C759" t="s">
        <v>106</v>
      </c>
      <c r="D759" s="1">
        <v>117671</v>
      </c>
      <c r="E759" t="s">
        <v>25</v>
      </c>
      <c r="F759" t="s">
        <v>7</v>
      </c>
      <c r="G759">
        <v>69.599999999999994</v>
      </c>
      <c r="H759">
        <v>7</v>
      </c>
      <c r="I759">
        <v>1</v>
      </c>
      <c r="J759">
        <v>1</v>
      </c>
      <c r="K759">
        <v>1</v>
      </c>
    </row>
    <row r="760" spans="1:11" x14ac:dyDescent="0.25">
      <c r="A760" s="2">
        <v>2017</v>
      </c>
      <c r="B760" s="2" t="s">
        <v>225</v>
      </c>
      <c r="C760" t="s">
        <v>106</v>
      </c>
      <c r="D760" s="1">
        <v>117671</v>
      </c>
      <c r="E760" t="s">
        <v>25</v>
      </c>
      <c r="F760" t="s">
        <v>11</v>
      </c>
      <c r="G760">
        <v>67.900000000000006</v>
      </c>
      <c r="H760">
        <v>7</v>
      </c>
      <c r="I760">
        <v>1</v>
      </c>
      <c r="J760">
        <v>1</v>
      </c>
      <c r="K760">
        <v>1</v>
      </c>
    </row>
    <row r="761" spans="1:11" x14ac:dyDescent="0.25">
      <c r="A761" s="2">
        <v>2017</v>
      </c>
      <c r="B761" s="2" t="s">
        <v>225</v>
      </c>
      <c r="C761" t="s">
        <v>106</v>
      </c>
      <c r="D761" s="1">
        <v>117671</v>
      </c>
      <c r="E761" t="s">
        <v>25</v>
      </c>
      <c r="F761" t="s">
        <v>9</v>
      </c>
      <c r="G761">
        <v>71.400000000000006</v>
      </c>
      <c r="H761">
        <v>7</v>
      </c>
      <c r="I761">
        <v>1</v>
      </c>
      <c r="J761">
        <v>1</v>
      </c>
      <c r="K761">
        <v>1</v>
      </c>
    </row>
    <row r="762" spans="1:11" x14ac:dyDescent="0.25">
      <c r="A762" s="2">
        <v>2017</v>
      </c>
      <c r="B762" s="2" t="s">
        <v>225</v>
      </c>
      <c r="C762" t="s">
        <v>106</v>
      </c>
      <c r="D762" s="1">
        <v>117671</v>
      </c>
      <c r="E762" t="s">
        <v>25</v>
      </c>
      <c r="F762" t="s">
        <v>8</v>
      </c>
      <c r="G762">
        <v>71.400000000000006</v>
      </c>
      <c r="H762">
        <v>7</v>
      </c>
      <c r="I762">
        <v>1</v>
      </c>
      <c r="J762">
        <v>1</v>
      </c>
      <c r="K762">
        <v>1</v>
      </c>
    </row>
    <row r="763" spans="1:11" x14ac:dyDescent="0.25">
      <c r="A763" s="2">
        <v>2017</v>
      </c>
      <c r="B763" s="2" t="s">
        <v>225</v>
      </c>
      <c r="C763" t="s">
        <v>106</v>
      </c>
      <c r="D763" s="1">
        <v>117671</v>
      </c>
      <c r="E763" t="s">
        <v>25</v>
      </c>
      <c r="F763" t="s">
        <v>10</v>
      </c>
      <c r="G763">
        <v>67.900000000000006</v>
      </c>
      <c r="H763">
        <v>7</v>
      </c>
      <c r="I763">
        <v>1</v>
      </c>
      <c r="J763">
        <v>1</v>
      </c>
      <c r="K763">
        <v>1</v>
      </c>
    </row>
    <row r="764" spans="1:11" x14ac:dyDescent="0.25">
      <c r="A764" s="2">
        <v>2017</v>
      </c>
      <c r="B764" s="2" t="s">
        <v>225</v>
      </c>
      <c r="C764" t="s">
        <v>106</v>
      </c>
      <c r="D764" s="1">
        <v>104133</v>
      </c>
      <c r="E764" t="s">
        <v>20</v>
      </c>
      <c r="F764" t="s">
        <v>12</v>
      </c>
      <c r="G764">
        <v>75</v>
      </c>
      <c r="H764">
        <v>3</v>
      </c>
      <c r="I764">
        <v>43</v>
      </c>
      <c r="J764">
        <v>10</v>
      </c>
      <c r="K764">
        <v>20</v>
      </c>
    </row>
    <row r="765" spans="1:11" x14ac:dyDescent="0.25">
      <c r="A765" s="2">
        <v>2017</v>
      </c>
      <c r="B765" s="2" t="s">
        <v>225</v>
      </c>
      <c r="C765" t="s">
        <v>106</v>
      </c>
      <c r="D765" s="1">
        <v>104133</v>
      </c>
      <c r="E765" t="s">
        <v>20</v>
      </c>
      <c r="F765" t="s">
        <v>7</v>
      </c>
      <c r="G765">
        <v>81.3</v>
      </c>
      <c r="H765">
        <v>3</v>
      </c>
      <c r="I765">
        <v>10</v>
      </c>
      <c r="J765">
        <v>9</v>
      </c>
      <c r="K765">
        <v>10</v>
      </c>
    </row>
    <row r="766" spans="1:11" x14ac:dyDescent="0.25">
      <c r="A766" s="2">
        <v>2017</v>
      </c>
      <c r="B766" s="2" t="s">
        <v>225</v>
      </c>
      <c r="C766" t="s">
        <v>106</v>
      </c>
      <c r="D766" s="1">
        <v>104133</v>
      </c>
      <c r="E766" t="s">
        <v>20</v>
      </c>
      <c r="F766" t="s">
        <v>11</v>
      </c>
      <c r="G766">
        <v>91.7</v>
      </c>
      <c r="H766">
        <v>3</v>
      </c>
      <c r="I766">
        <v>89</v>
      </c>
      <c r="J766">
        <v>68</v>
      </c>
      <c r="K766">
        <v>73</v>
      </c>
    </row>
    <row r="767" spans="1:11" x14ac:dyDescent="0.25">
      <c r="A767" s="2">
        <v>2017</v>
      </c>
      <c r="B767" s="2" t="s">
        <v>225</v>
      </c>
      <c r="C767" t="s">
        <v>106</v>
      </c>
      <c r="D767" s="1">
        <v>104133</v>
      </c>
      <c r="E767" t="s">
        <v>20</v>
      </c>
      <c r="F767" t="s">
        <v>9</v>
      </c>
      <c r="G767">
        <v>83.3</v>
      </c>
      <c r="H767">
        <v>3</v>
      </c>
      <c r="I767">
        <v>18</v>
      </c>
      <c r="J767">
        <v>12</v>
      </c>
      <c r="K767">
        <v>18</v>
      </c>
    </row>
    <row r="768" spans="1:11" x14ac:dyDescent="0.25">
      <c r="A768" s="2">
        <v>2017</v>
      </c>
      <c r="B768" s="2" t="s">
        <v>225</v>
      </c>
      <c r="C768" t="s">
        <v>106</v>
      </c>
      <c r="D768" s="1">
        <v>104133</v>
      </c>
      <c r="E768" t="s">
        <v>20</v>
      </c>
      <c r="F768" t="s">
        <v>8</v>
      </c>
      <c r="G768">
        <v>75</v>
      </c>
      <c r="H768">
        <v>3</v>
      </c>
      <c r="I768">
        <v>2</v>
      </c>
      <c r="J768">
        <v>3</v>
      </c>
      <c r="K768">
        <v>2</v>
      </c>
    </row>
    <row r="769" spans="1:11" x14ac:dyDescent="0.25">
      <c r="A769" s="2">
        <v>2017</v>
      </c>
      <c r="B769" s="2" t="s">
        <v>225</v>
      </c>
      <c r="C769" t="s">
        <v>106</v>
      </c>
      <c r="D769" s="1">
        <v>104133</v>
      </c>
      <c r="E769" t="s">
        <v>20</v>
      </c>
      <c r="F769" t="s">
        <v>10</v>
      </c>
      <c r="G769">
        <v>75</v>
      </c>
      <c r="H769">
        <v>3</v>
      </c>
      <c r="I769">
        <v>3</v>
      </c>
      <c r="J769">
        <v>2</v>
      </c>
      <c r="K769">
        <v>2</v>
      </c>
    </row>
    <row r="770" spans="1:11" x14ac:dyDescent="0.25">
      <c r="A770" s="2">
        <v>2017</v>
      </c>
      <c r="B770" s="2" t="s">
        <v>225</v>
      </c>
      <c r="C770" t="s">
        <v>106</v>
      </c>
      <c r="D770" s="1">
        <v>114603</v>
      </c>
      <c r="E770" t="s">
        <v>36</v>
      </c>
      <c r="F770" t="s">
        <v>12</v>
      </c>
      <c r="G770">
        <v>75</v>
      </c>
      <c r="H770">
        <v>6</v>
      </c>
      <c r="I770">
        <v>43</v>
      </c>
      <c r="J770">
        <v>10</v>
      </c>
      <c r="K770">
        <v>20</v>
      </c>
    </row>
    <row r="771" spans="1:11" x14ac:dyDescent="0.25">
      <c r="A771" s="2">
        <v>2017</v>
      </c>
      <c r="B771" s="2" t="s">
        <v>225</v>
      </c>
      <c r="C771" t="s">
        <v>106</v>
      </c>
      <c r="D771" s="1">
        <v>114603</v>
      </c>
      <c r="E771" t="s">
        <v>36</v>
      </c>
      <c r="F771" t="s">
        <v>7</v>
      </c>
      <c r="G771">
        <v>63.5</v>
      </c>
      <c r="H771">
        <v>6</v>
      </c>
      <c r="I771">
        <v>1</v>
      </c>
      <c r="J771">
        <v>1</v>
      </c>
      <c r="K771">
        <v>1</v>
      </c>
    </row>
    <row r="772" spans="1:11" x14ac:dyDescent="0.25">
      <c r="A772" s="2">
        <v>2017</v>
      </c>
      <c r="B772" s="2" t="s">
        <v>225</v>
      </c>
      <c r="C772" t="s">
        <v>106</v>
      </c>
      <c r="D772" s="1">
        <v>114603</v>
      </c>
      <c r="E772" t="s">
        <v>36</v>
      </c>
      <c r="F772" t="s">
        <v>11</v>
      </c>
      <c r="G772">
        <v>62.5</v>
      </c>
      <c r="H772">
        <v>6</v>
      </c>
      <c r="I772">
        <v>1</v>
      </c>
      <c r="J772">
        <v>1</v>
      </c>
      <c r="K772">
        <v>1</v>
      </c>
    </row>
    <row r="773" spans="1:11" x14ac:dyDescent="0.25">
      <c r="A773" s="2">
        <v>2017</v>
      </c>
      <c r="B773" s="2" t="s">
        <v>225</v>
      </c>
      <c r="C773" t="s">
        <v>106</v>
      </c>
      <c r="D773" s="1">
        <v>114603</v>
      </c>
      <c r="E773" t="s">
        <v>36</v>
      </c>
      <c r="F773" t="s">
        <v>9</v>
      </c>
      <c r="G773">
        <v>66.7</v>
      </c>
      <c r="H773">
        <v>6</v>
      </c>
      <c r="I773">
        <v>1</v>
      </c>
      <c r="J773">
        <v>1</v>
      </c>
      <c r="K773">
        <v>1</v>
      </c>
    </row>
    <row r="774" spans="1:11" x14ac:dyDescent="0.25">
      <c r="A774" s="2">
        <v>2017</v>
      </c>
      <c r="B774" s="2" t="s">
        <v>225</v>
      </c>
      <c r="C774" t="s">
        <v>106</v>
      </c>
      <c r="D774" s="1">
        <v>114603</v>
      </c>
      <c r="E774" t="s">
        <v>36</v>
      </c>
      <c r="F774" t="s">
        <v>8</v>
      </c>
      <c r="G774">
        <v>66.7</v>
      </c>
      <c r="H774">
        <v>6</v>
      </c>
      <c r="I774">
        <v>1</v>
      </c>
      <c r="J774">
        <v>1</v>
      </c>
      <c r="K774">
        <v>1</v>
      </c>
    </row>
    <row r="775" spans="1:11" x14ac:dyDescent="0.25">
      <c r="A775" s="2">
        <v>2017</v>
      </c>
      <c r="B775" s="2" t="s">
        <v>225</v>
      </c>
      <c r="C775" t="s">
        <v>106</v>
      </c>
      <c r="D775" s="1">
        <v>114603</v>
      </c>
      <c r="E775" t="s">
        <v>36</v>
      </c>
      <c r="F775" t="s">
        <v>10</v>
      </c>
      <c r="G775">
        <v>58.3</v>
      </c>
      <c r="H775">
        <v>6</v>
      </c>
      <c r="I775">
        <v>1</v>
      </c>
      <c r="J775">
        <v>1</v>
      </c>
      <c r="K775">
        <v>1</v>
      </c>
    </row>
    <row r="776" spans="1:11" x14ac:dyDescent="0.25">
      <c r="A776" s="2">
        <v>2017</v>
      </c>
      <c r="B776" s="2" t="s">
        <v>225</v>
      </c>
      <c r="C776" t="s">
        <v>106</v>
      </c>
      <c r="D776" s="1">
        <v>101071</v>
      </c>
      <c r="E776" t="s">
        <v>43</v>
      </c>
      <c r="F776" t="s">
        <v>12</v>
      </c>
      <c r="G776">
        <v>60</v>
      </c>
      <c r="H776">
        <v>5</v>
      </c>
      <c r="I776">
        <v>1</v>
      </c>
      <c r="J776">
        <v>2</v>
      </c>
      <c r="K776">
        <v>1</v>
      </c>
    </row>
    <row r="777" spans="1:11" x14ac:dyDescent="0.25">
      <c r="A777" s="2">
        <v>2017</v>
      </c>
      <c r="B777" s="2" t="s">
        <v>225</v>
      </c>
      <c r="C777" t="s">
        <v>106</v>
      </c>
      <c r="D777" s="1">
        <v>101071</v>
      </c>
      <c r="E777" t="s">
        <v>43</v>
      </c>
      <c r="F777" t="s">
        <v>7</v>
      </c>
      <c r="G777">
        <v>85</v>
      </c>
      <c r="H777">
        <v>5</v>
      </c>
      <c r="I777">
        <v>34</v>
      </c>
      <c r="J777">
        <v>18</v>
      </c>
      <c r="K777">
        <v>30</v>
      </c>
    </row>
    <row r="778" spans="1:11" x14ac:dyDescent="0.25">
      <c r="A778" s="2">
        <v>2017</v>
      </c>
      <c r="B778" s="2" t="s">
        <v>225</v>
      </c>
      <c r="C778" t="s">
        <v>106</v>
      </c>
      <c r="D778" s="1">
        <v>101071</v>
      </c>
      <c r="E778" t="s">
        <v>43</v>
      </c>
      <c r="F778" t="s">
        <v>11</v>
      </c>
      <c r="G778">
        <v>85</v>
      </c>
      <c r="H778">
        <v>5</v>
      </c>
      <c r="I778">
        <v>14</v>
      </c>
      <c r="J778">
        <v>8</v>
      </c>
      <c r="K778">
        <v>14</v>
      </c>
    </row>
    <row r="779" spans="1:11" x14ac:dyDescent="0.25">
      <c r="A779" s="2">
        <v>2017</v>
      </c>
      <c r="B779" s="2" t="s">
        <v>225</v>
      </c>
      <c r="C779" t="s">
        <v>106</v>
      </c>
      <c r="D779" s="1">
        <v>101071</v>
      </c>
      <c r="E779" t="s">
        <v>43</v>
      </c>
      <c r="F779" t="s">
        <v>9</v>
      </c>
      <c r="G779">
        <v>85</v>
      </c>
      <c r="H779">
        <v>5</v>
      </c>
      <c r="I779">
        <v>28</v>
      </c>
      <c r="J779">
        <v>17</v>
      </c>
      <c r="K779">
        <v>28</v>
      </c>
    </row>
    <row r="780" spans="1:11" x14ac:dyDescent="0.25">
      <c r="A780" s="2">
        <v>2017</v>
      </c>
      <c r="B780" s="2" t="s">
        <v>225</v>
      </c>
      <c r="C780" t="s">
        <v>106</v>
      </c>
      <c r="D780" s="1">
        <v>101071</v>
      </c>
      <c r="E780" t="s">
        <v>43</v>
      </c>
      <c r="F780" t="s">
        <v>8</v>
      </c>
      <c r="G780">
        <v>85</v>
      </c>
      <c r="H780">
        <v>5</v>
      </c>
      <c r="I780">
        <v>57</v>
      </c>
      <c r="J780">
        <v>35</v>
      </c>
      <c r="K780">
        <v>42</v>
      </c>
    </row>
    <row r="781" spans="1:11" x14ac:dyDescent="0.25">
      <c r="A781" s="2">
        <v>2017</v>
      </c>
      <c r="B781" s="2" t="s">
        <v>225</v>
      </c>
      <c r="C781" t="s">
        <v>106</v>
      </c>
      <c r="D781" s="1">
        <v>101071</v>
      </c>
      <c r="E781" t="s">
        <v>43</v>
      </c>
      <c r="F781" t="s">
        <v>10</v>
      </c>
      <c r="G781">
        <v>85</v>
      </c>
      <c r="H781">
        <v>5</v>
      </c>
      <c r="I781">
        <v>51</v>
      </c>
      <c r="J781">
        <v>31</v>
      </c>
      <c r="K781">
        <v>40</v>
      </c>
    </row>
    <row r="782" spans="1:11" x14ac:dyDescent="0.25">
      <c r="A782" s="2">
        <v>2017</v>
      </c>
      <c r="B782" s="2" t="s">
        <v>225</v>
      </c>
      <c r="C782" t="s">
        <v>106</v>
      </c>
      <c r="D782" s="1">
        <v>110569</v>
      </c>
      <c r="E782" t="s">
        <v>18</v>
      </c>
      <c r="F782" t="s">
        <v>12</v>
      </c>
      <c r="G782">
        <v>87.5</v>
      </c>
      <c r="H782">
        <v>8</v>
      </c>
      <c r="I782">
        <v>99</v>
      </c>
      <c r="J782">
        <v>80</v>
      </c>
      <c r="K782">
        <v>83</v>
      </c>
    </row>
    <row r="783" spans="1:11" x14ac:dyDescent="0.25">
      <c r="A783" s="2">
        <v>2017</v>
      </c>
      <c r="B783" s="2" t="s">
        <v>225</v>
      </c>
      <c r="C783" t="s">
        <v>106</v>
      </c>
      <c r="D783" s="1">
        <v>110569</v>
      </c>
      <c r="E783" t="s">
        <v>18</v>
      </c>
      <c r="F783" t="s">
        <v>7</v>
      </c>
      <c r="G783">
        <v>99.2</v>
      </c>
      <c r="H783">
        <v>8</v>
      </c>
      <c r="I783">
        <v>99</v>
      </c>
      <c r="J783">
        <v>99</v>
      </c>
      <c r="K783">
        <v>99</v>
      </c>
    </row>
    <row r="784" spans="1:11" x14ac:dyDescent="0.25">
      <c r="A784" s="2">
        <v>2017</v>
      </c>
      <c r="B784" s="2" t="s">
        <v>225</v>
      </c>
      <c r="C784" t="s">
        <v>106</v>
      </c>
      <c r="D784" s="1">
        <v>110569</v>
      </c>
      <c r="E784" t="s">
        <v>18</v>
      </c>
      <c r="F784" t="s">
        <v>11</v>
      </c>
      <c r="G784">
        <v>100</v>
      </c>
      <c r="H784">
        <v>8</v>
      </c>
      <c r="I784">
        <v>99</v>
      </c>
      <c r="J784">
        <v>99</v>
      </c>
      <c r="K784">
        <v>99</v>
      </c>
    </row>
    <row r="785" spans="1:11" x14ac:dyDescent="0.25">
      <c r="A785" s="2">
        <v>2017</v>
      </c>
      <c r="B785" s="2" t="s">
        <v>225</v>
      </c>
      <c r="C785" t="s">
        <v>106</v>
      </c>
      <c r="D785" s="1">
        <v>110569</v>
      </c>
      <c r="E785" t="s">
        <v>18</v>
      </c>
      <c r="F785" t="s">
        <v>9</v>
      </c>
      <c r="G785">
        <v>100</v>
      </c>
      <c r="H785">
        <v>8</v>
      </c>
      <c r="I785">
        <v>99</v>
      </c>
      <c r="J785">
        <v>99</v>
      </c>
      <c r="K785">
        <v>99</v>
      </c>
    </row>
    <row r="786" spans="1:11" x14ac:dyDescent="0.25">
      <c r="A786" s="2">
        <v>2017</v>
      </c>
      <c r="B786" s="2" t="s">
        <v>225</v>
      </c>
      <c r="C786" t="s">
        <v>106</v>
      </c>
      <c r="D786" s="1">
        <v>110569</v>
      </c>
      <c r="E786" t="s">
        <v>18</v>
      </c>
      <c r="F786" t="s">
        <v>8</v>
      </c>
      <c r="G786">
        <v>96.9</v>
      </c>
      <c r="H786">
        <v>8</v>
      </c>
      <c r="I786">
        <v>99</v>
      </c>
      <c r="J786">
        <v>99</v>
      </c>
      <c r="K786">
        <v>99</v>
      </c>
    </row>
    <row r="787" spans="1:11" x14ac:dyDescent="0.25">
      <c r="A787" s="2">
        <v>2017</v>
      </c>
      <c r="B787" s="2" t="s">
        <v>225</v>
      </c>
      <c r="C787" t="s">
        <v>106</v>
      </c>
      <c r="D787" s="1">
        <v>110569</v>
      </c>
      <c r="E787" t="s">
        <v>18</v>
      </c>
      <c r="F787" t="s">
        <v>10</v>
      </c>
      <c r="G787">
        <v>100</v>
      </c>
      <c r="H787">
        <v>8</v>
      </c>
      <c r="I787">
        <v>99</v>
      </c>
      <c r="J787">
        <v>99</v>
      </c>
      <c r="K787">
        <v>99</v>
      </c>
    </row>
    <row r="788" spans="1:11" x14ac:dyDescent="0.25">
      <c r="A788" s="2">
        <v>2017</v>
      </c>
      <c r="B788" s="2" t="s">
        <v>225</v>
      </c>
      <c r="C788" t="s">
        <v>106</v>
      </c>
      <c r="D788" s="1">
        <v>117465</v>
      </c>
      <c r="E788" t="s">
        <v>23</v>
      </c>
      <c r="F788" t="s">
        <v>12</v>
      </c>
      <c r="G788">
        <v>79.599999999999994</v>
      </c>
      <c r="H788">
        <v>11</v>
      </c>
      <c r="I788">
        <v>71</v>
      </c>
      <c r="J788">
        <v>26</v>
      </c>
      <c r="K788">
        <v>41</v>
      </c>
    </row>
    <row r="789" spans="1:11" x14ac:dyDescent="0.25">
      <c r="A789" s="2">
        <v>2017</v>
      </c>
      <c r="B789" s="2" t="s">
        <v>225</v>
      </c>
      <c r="C789" t="s">
        <v>106</v>
      </c>
      <c r="D789" s="1">
        <v>117465</v>
      </c>
      <c r="E789" t="s">
        <v>23</v>
      </c>
      <c r="F789" t="s">
        <v>7</v>
      </c>
      <c r="G789">
        <v>82.4</v>
      </c>
      <c r="H789">
        <v>11</v>
      </c>
      <c r="I789">
        <v>15</v>
      </c>
      <c r="J789">
        <v>10</v>
      </c>
      <c r="K789">
        <v>15</v>
      </c>
    </row>
    <row r="790" spans="1:11" x14ac:dyDescent="0.25">
      <c r="A790" s="2">
        <v>2017</v>
      </c>
      <c r="B790" s="2" t="s">
        <v>225</v>
      </c>
      <c r="C790" t="s">
        <v>106</v>
      </c>
      <c r="D790" s="1">
        <v>117465</v>
      </c>
      <c r="E790" t="s">
        <v>23</v>
      </c>
      <c r="F790" t="s">
        <v>11</v>
      </c>
      <c r="G790">
        <v>88.6</v>
      </c>
      <c r="H790">
        <v>11</v>
      </c>
      <c r="I790">
        <v>49</v>
      </c>
      <c r="J790">
        <v>32</v>
      </c>
      <c r="K790">
        <v>41</v>
      </c>
    </row>
    <row r="791" spans="1:11" x14ac:dyDescent="0.25">
      <c r="A791" s="2">
        <v>2017</v>
      </c>
      <c r="B791" s="2" t="s">
        <v>225</v>
      </c>
      <c r="C791" t="s">
        <v>106</v>
      </c>
      <c r="D791" s="1">
        <v>117465</v>
      </c>
      <c r="E791" t="s">
        <v>23</v>
      </c>
      <c r="F791" t="s">
        <v>9</v>
      </c>
      <c r="G791">
        <v>84.1</v>
      </c>
      <c r="H791">
        <v>11</v>
      </c>
      <c r="I791">
        <v>24</v>
      </c>
      <c r="J791">
        <v>12</v>
      </c>
      <c r="K791">
        <v>22</v>
      </c>
    </row>
    <row r="792" spans="1:11" x14ac:dyDescent="0.25">
      <c r="A792" s="2">
        <v>2017</v>
      </c>
      <c r="B792" s="2" t="s">
        <v>225</v>
      </c>
      <c r="C792" t="s">
        <v>106</v>
      </c>
      <c r="D792" s="1">
        <v>117465</v>
      </c>
      <c r="E792" t="s">
        <v>23</v>
      </c>
      <c r="F792" t="s">
        <v>8</v>
      </c>
      <c r="G792">
        <v>75</v>
      </c>
      <c r="H792">
        <v>11</v>
      </c>
      <c r="I792">
        <v>2</v>
      </c>
      <c r="J792">
        <v>3</v>
      </c>
      <c r="K792">
        <v>2</v>
      </c>
    </row>
    <row r="793" spans="1:11" x14ac:dyDescent="0.25">
      <c r="A793" s="2">
        <v>2017</v>
      </c>
      <c r="B793" s="2" t="s">
        <v>225</v>
      </c>
      <c r="C793" t="s">
        <v>106</v>
      </c>
      <c r="D793" s="1">
        <v>117465</v>
      </c>
      <c r="E793" t="s">
        <v>23</v>
      </c>
      <c r="F793" t="s">
        <v>10</v>
      </c>
      <c r="G793">
        <v>81.8</v>
      </c>
      <c r="H793">
        <v>11</v>
      </c>
      <c r="I793">
        <v>23</v>
      </c>
      <c r="J793">
        <v>12</v>
      </c>
      <c r="K793">
        <v>19</v>
      </c>
    </row>
    <row r="794" spans="1:11" x14ac:dyDescent="0.25">
      <c r="A794" s="2">
        <v>2017</v>
      </c>
      <c r="B794" s="2" t="s">
        <v>225</v>
      </c>
      <c r="C794" t="s">
        <v>106</v>
      </c>
      <c r="D794" s="1">
        <v>121681</v>
      </c>
      <c r="E794" t="s">
        <v>29</v>
      </c>
      <c r="F794" t="s">
        <v>12</v>
      </c>
      <c r="G794">
        <v>87.5</v>
      </c>
      <c r="H794">
        <v>2</v>
      </c>
      <c r="I794">
        <v>99</v>
      </c>
      <c r="J794">
        <v>80</v>
      </c>
      <c r="K794">
        <v>83</v>
      </c>
    </row>
    <row r="795" spans="1:11" x14ac:dyDescent="0.25">
      <c r="A795" s="2">
        <v>2017</v>
      </c>
      <c r="B795" s="2" t="s">
        <v>225</v>
      </c>
      <c r="C795" t="s">
        <v>106</v>
      </c>
      <c r="D795" s="1">
        <v>121681</v>
      </c>
      <c r="E795" t="s">
        <v>29</v>
      </c>
      <c r="F795" t="s">
        <v>7</v>
      </c>
      <c r="G795">
        <v>100</v>
      </c>
      <c r="H795">
        <v>2</v>
      </c>
      <c r="I795">
        <v>99</v>
      </c>
      <c r="J795">
        <v>99</v>
      </c>
      <c r="K795">
        <v>99</v>
      </c>
    </row>
    <row r="796" spans="1:11" x14ac:dyDescent="0.25">
      <c r="A796" s="2">
        <v>2017</v>
      </c>
      <c r="B796" s="2" t="s">
        <v>225</v>
      </c>
      <c r="C796" t="s">
        <v>106</v>
      </c>
      <c r="D796" s="1">
        <v>121681</v>
      </c>
      <c r="E796" t="s">
        <v>29</v>
      </c>
      <c r="F796" t="s">
        <v>11</v>
      </c>
      <c r="G796">
        <v>100</v>
      </c>
      <c r="H796">
        <v>2</v>
      </c>
      <c r="I796">
        <v>99</v>
      </c>
      <c r="J796">
        <v>99</v>
      </c>
      <c r="K796">
        <v>99</v>
      </c>
    </row>
    <row r="797" spans="1:11" x14ac:dyDescent="0.25">
      <c r="A797" s="2">
        <v>2017</v>
      </c>
      <c r="B797" s="2" t="s">
        <v>225</v>
      </c>
      <c r="C797" t="s">
        <v>106</v>
      </c>
      <c r="D797" s="1">
        <v>121681</v>
      </c>
      <c r="E797" t="s">
        <v>29</v>
      </c>
      <c r="F797" t="s">
        <v>9</v>
      </c>
      <c r="G797">
        <v>100</v>
      </c>
      <c r="H797">
        <v>2</v>
      </c>
      <c r="I797">
        <v>99</v>
      </c>
      <c r="J797">
        <v>99</v>
      </c>
      <c r="K797">
        <v>99</v>
      </c>
    </row>
    <row r="798" spans="1:11" x14ac:dyDescent="0.25">
      <c r="A798" s="2">
        <v>2017</v>
      </c>
      <c r="B798" s="2" t="s">
        <v>225</v>
      </c>
      <c r="C798" t="s">
        <v>106</v>
      </c>
      <c r="D798" s="1">
        <v>121681</v>
      </c>
      <c r="E798" t="s">
        <v>29</v>
      </c>
      <c r="F798" t="s">
        <v>8</v>
      </c>
      <c r="G798">
        <v>100</v>
      </c>
      <c r="H798">
        <v>2</v>
      </c>
      <c r="I798">
        <v>99</v>
      </c>
      <c r="J798">
        <v>99</v>
      </c>
      <c r="K798">
        <v>99</v>
      </c>
    </row>
    <row r="799" spans="1:11" x14ac:dyDescent="0.25">
      <c r="A799" s="2">
        <v>2017</v>
      </c>
      <c r="B799" s="2" t="s">
        <v>225</v>
      </c>
      <c r="C799" t="s">
        <v>106</v>
      </c>
      <c r="D799" s="1">
        <v>121681</v>
      </c>
      <c r="E799" t="s">
        <v>29</v>
      </c>
      <c r="F799" t="s">
        <v>10</v>
      </c>
      <c r="G799">
        <v>100</v>
      </c>
      <c r="H799">
        <v>2</v>
      </c>
      <c r="I799">
        <v>99</v>
      </c>
      <c r="J799">
        <v>99</v>
      </c>
      <c r="K799">
        <v>99</v>
      </c>
    </row>
    <row r="800" spans="1:11" x14ac:dyDescent="0.25">
      <c r="A800" s="2">
        <v>2017</v>
      </c>
      <c r="B800" s="2" t="s">
        <v>225</v>
      </c>
      <c r="C800" t="s">
        <v>106</v>
      </c>
      <c r="D800" s="1">
        <v>103275</v>
      </c>
      <c r="E800" t="s">
        <v>26</v>
      </c>
      <c r="F800" t="s">
        <v>12</v>
      </c>
      <c r="G800">
        <v>83.3</v>
      </c>
      <c r="H800">
        <v>3</v>
      </c>
      <c r="I800">
        <v>89</v>
      </c>
      <c r="J800">
        <v>54</v>
      </c>
      <c r="K800">
        <v>62</v>
      </c>
    </row>
    <row r="801" spans="1:11" x14ac:dyDescent="0.25">
      <c r="A801" s="2">
        <v>2017</v>
      </c>
      <c r="B801" s="2" t="s">
        <v>225</v>
      </c>
      <c r="C801" t="s">
        <v>106</v>
      </c>
      <c r="D801" s="1">
        <v>103275</v>
      </c>
      <c r="E801" t="s">
        <v>26</v>
      </c>
      <c r="F801" t="s">
        <v>7</v>
      </c>
      <c r="G801">
        <v>100</v>
      </c>
      <c r="H801">
        <v>4</v>
      </c>
      <c r="I801">
        <v>99</v>
      </c>
      <c r="J801">
        <v>99</v>
      </c>
      <c r="K801">
        <v>99</v>
      </c>
    </row>
    <row r="802" spans="1:11" x14ac:dyDescent="0.25">
      <c r="A802" s="2">
        <v>2017</v>
      </c>
      <c r="B802" s="2" t="s">
        <v>225</v>
      </c>
      <c r="C802" t="s">
        <v>106</v>
      </c>
      <c r="D802" s="1">
        <v>103275</v>
      </c>
      <c r="E802" t="s">
        <v>26</v>
      </c>
      <c r="F802" t="s">
        <v>11</v>
      </c>
      <c r="G802">
        <v>100</v>
      </c>
      <c r="H802">
        <v>4</v>
      </c>
      <c r="I802">
        <v>99</v>
      </c>
      <c r="J802">
        <v>99</v>
      </c>
      <c r="K802">
        <v>99</v>
      </c>
    </row>
    <row r="803" spans="1:11" x14ac:dyDescent="0.25">
      <c r="A803" s="2">
        <v>2017</v>
      </c>
      <c r="B803" s="2" t="s">
        <v>225</v>
      </c>
      <c r="C803" t="s">
        <v>106</v>
      </c>
      <c r="D803" s="1">
        <v>103275</v>
      </c>
      <c r="E803" t="s">
        <v>26</v>
      </c>
      <c r="F803" t="s">
        <v>9</v>
      </c>
      <c r="G803">
        <v>100</v>
      </c>
      <c r="H803">
        <v>4</v>
      </c>
      <c r="I803">
        <v>99</v>
      </c>
      <c r="J803">
        <v>99</v>
      </c>
      <c r="K803">
        <v>99</v>
      </c>
    </row>
    <row r="804" spans="1:11" x14ac:dyDescent="0.25">
      <c r="A804" s="2">
        <v>2017</v>
      </c>
      <c r="B804" s="2" t="s">
        <v>225</v>
      </c>
      <c r="C804" t="s">
        <v>106</v>
      </c>
      <c r="D804" s="1">
        <v>103275</v>
      </c>
      <c r="E804" t="s">
        <v>26</v>
      </c>
      <c r="F804" t="s">
        <v>8</v>
      </c>
      <c r="G804">
        <v>100</v>
      </c>
      <c r="H804">
        <v>4</v>
      </c>
      <c r="I804">
        <v>99</v>
      </c>
      <c r="J804">
        <v>99</v>
      </c>
      <c r="K804">
        <v>99</v>
      </c>
    </row>
    <row r="805" spans="1:11" x14ac:dyDescent="0.25">
      <c r="A805" s="2">
        <v>2017</v>
      </c>
      <c r="B805" s="2" t="s">
        <v>225</v>
      </c>
      <c r="C805" t="s">
        <v>106</v>
      </c>
      <c r="D805" s="1">
        <v>103275</v>
      </c>
      <c r="E805" t="s">
        <v>26</v>
      </c>
      <c r="F805" t="s">
        <v>10</v>
      </c>
      <c r="G805">
        <v>100</v>
      </c>
      <c r="H805">
        <v>4</v>
      </c>
      <c r="I805">
        <v>99</v>
      </c>
      <c r="J805">
        <v>99</v>
      </c>
      <c r="K805">
        <v>99</v>
      </c>
    </row>
    <row r="806" spans="1:11" x14ac:dyDescent="0.25">
      <c r="A806" s="2">
        <v>2017</v>
      </c>
      <c r="B806" s="2" t="s">
        <v>225</v>
      </c>
      <c r="C806" t="s">
        <v>106</v>
      </c>
      <c r="D806" s="1">
        <v>150441</v>
      </c>
      <c r="E806" t="s">
        <v>30</v>
      </c>
      <c r="F806" t="s">
        <v>12</v>
      </c>
      <c r="G806">
        <v>62.5</v>
      </c>
      <c r="H806">
        <v>4</v>
      </c>
      <c r="I806">
        <v>3</v>
      </c>
      <c r="J806">
        <v>5</v>
      </c>
      <c r="K806">
        <v>2</v>
      </c>
    </row>
    <row r="807" spans="1:11" x14ac:dyDescent="0.25">
      <c r="A807" s="2">
        <v>2017</v>
      </c>
      <c r="B807" s="2" t="s">
        <v>225</v>
      </c>
      <c r="C807" t="s">
        <v>106</v>
      </c>
      <c r="D807" s="1">
        <v>150441</v>
      </c>
      <c r="E807" t="s">
        <v>30</v>
      </c>
      <c r="F807" t="s">
        <v>7</v>
      </c>
      <c r="G807">
        <v>37.5</v>
      </c>
      <c r="H807">
        <v>4</v>
      </c>
      <c r="I807">
        <v>1</v>
      </c>
      <c r="J807">
        <v>1</v>
      </c>
      <c r="K807">
        <v>1</v>
      </c>
    </row>
    <row r="808" spans="1:11" x14ac:dyDescent="0.25">
      <c r="A808" s="2">
        <v>2017</v>
      </c>
      <c r="B808" s="2" t="s">
        <v>225</v>
      </c>
      <c r="C808" t="s">
        <v>106</v>
      </c>
      <c r="D808" s="1">
        <v>150441</v>
      </c>
      <c r="E808" t="s">
        <v>30</v>
      </c>
      <c r="F808" t="s">
        <v>11</v>
      </c>
      <c r="G808">
        <v>43.8</v>
      </c>
      <c r="H808">
        <v>4</v>
      </c>
      <c r="I808">
        <v>1</v>
      </c>
      <c r="J808">
        <v>1</v>
      </c>
      <c r="K808">
        <v>1</v>
      </c>
    </row>
    <row r="809" spans="1:11" x14ac:dyDescent="0.25">
      <c r="A809" s="2">
        <v>2017</v>
      </c>
      <c r="B809" s="2" t="s">
        <v>225</v>
      </c>
      <c r="C809" t="s">
        <v>106</v>
      </c>
      <c r="D809" s="1">
        <v>150441</v>
      </c>
      <c r="E809" t="s">
        <v>30</v>
      </c>
      <c r="F809" t="s">
        <v>9</v>
      </c>
      <c r="G809">
        <v>31.3</v>
      </c>
      <c r="H809">
        <v>4</v>
      </c>
      <c r="I809">
        <v>1</v>
      </c>
      <c r="J809">
        <v>1</v>
      </c>
      <c r="K809">
        <v>1</v>
      </c>
    </row>
    <row r="810" spans="1:11" x14ac:dyDescent="0.25">
      <c r="A810" s="2">
        <v>2017</v>
      </c>
      <c r="B810" s="2" t="s">
        <v>225</v>
      </c>
      <c r="C810" t="s">
        <v>106</v>
      </c>
      <c r="D810" s="1">
        <v>150441</v>
      </c>
      <c r="E810" t="s">
        <v>30</v>
      </c>
      <c r="F810" t="s">
        <v>8</v>
      </c>
      <c r="G810">
        <v>37.5</v>
      </c>
      <c r="H810">
        <v>4</v>
      </c>
      <c r="I810">
        <v>1</v>
      </c>
      <c r="J810">
        <v>1</v>
      </c>
      <c r="K810">
        <v>1</v>
      </c>
    </row>
    <row r="811" spans="1:11" x14ac:dyDescent="0.25">
      <c r="A811" s="2">
        <v>2017</v>
      </c>
      <c r="B811" s="2" t="s">
        <v>225</v>
      </c>
      <c r="C811" t="s">
        <v>106</v>
      </c>
      <c r="D811" s="1">
        <v>150441</v>
      </c>
      <c r="E811" t="s">
        <v>30</v>
      </c>
      <c r="F811" t="s">
        <v>10</v>
      </c>
      <c r="G811">
        <v>37.5</v>
      </c>
      <c r="H811">
        <v>4</v>
      </c>
      <c r="I811">
        <v>1</v>
      </c>
      <c r="J811">
        <v>1</v>
      </c>
      <c r="K811">
        <v>1</v>
      </c>
    </row>
    <row r="812" spans="1:11" x14ac:dyDescent="0.25">
      <c r="A812" s="2">
        <v>2017</v>
      </c>
      <c r="B812" s="2" t="s">
        <v>225</v>
      </c>
      <c r="C812" t="s">
        <v>106</v>
      </c>
      <c r="D812" s="1">
        <v>152587</v>
      </c>
      <c r="E812" t="s">
        <v>28</v>
      </c>
      <c r="F812" t="s">
        <v>12</v>
      </c>
      <c r="G812">
        <v>79.2</v>
      </c>
      <c r="H812">
        <v>6</v>
      </c>
      <c r="I812">
        <v>70</v>
      </c>
      <c r="J812">
        <v>26</v>
      </c>
      <c r="K812">
        <v>39</v>
      </c>
    </row>
    <row r="813" spans="1:11" x14ac:dyDescent="0.25">
      <c r="A813" s="2">
        <v>2017</v>
      </c>
      <c r="B813" s="2" t="s">
        <v>225</v>
      </c>
      <c r="C813" t="s">
        <v>106</v>
      </c>
      <c r="D813" s="1">
        <v>152587</v>
      </c>
      <c r="E813" t="s">
        <v>28</v>
      </c>
      <c r="F813" t="s">
        <v>7</v>
      </c>
      <c r="G813">
        <v>70.099999999999994</v>
      </c>
      <c r="H813">
        <v>6</v>
      </c>
      <c r="I813">
        <v>1</v>
      </c>
      <c r="J813">
        <v>1</v>
      </c>
      <c r="K813">
        <v>1</v>
      </c>
    </row>
    <row r="814" spans="1:11" x14ac:dyDescent="0.25">
      <c r="A814" s="2">
        <v>2017</v>
      </c>
      <c r="B814" s="2" t="s">
        <v>225</v>
      </c>
      <c r="C814" t="s">
        <v>106</v>
      </c>
      <c r="D814" s="1">
        <v>152587</v>
      </c>
      <c r="E814" t="s">
        <v>28</v>
      </c>
      <c r="F814" t="s">
        <v>11</v>
      </c>
      <c r="G814">
        <v>80</v>
      </c>
      <c r="H814">
        <v>5</v>
      </c>
      <c r="I814">
        <v>2</v>
      </c>
      <c r="J814">
        <v>1</v>
      </c>
      <c r="K814">
        <v>2</v>
      </c>
    </row>
    <row r="815" spans="1:11" x14ac:dyDescent="0.25">
      <c r="A815" s="2">
        <v>2017</v>
      </c>
      <c r="B815" s="2" t="s">
        <v>225</v>
      </c>
      <c r="C815" t="s">
        <v>106</v>
      </c>
      <c r="D815" s="1">
        <v>152587</v>
      </c>
      <c r="E815" t="s">
        <v>28</v>
      </c>
      <c r="F815" t="s">
        <v>9</v>
      </c>
      <c r="G815">
        <v>75</v>
      </c>
      <c r="H815">
        <v>6</v>
      </c>
      <c r="I815">
        <v>1</v>
      </c>
      <c r="J815">
        <v>1</v>
      </c>
      <c r="K815">
        <v>1</v>
      </c>
    </row>
    <row r="816" spans="1:11" x14ac:dyDescent="0.25">
      <c r="A816" s="2">
        <v>2017</v>
      </c>
      <c r="B816" s="2" t="s">
        <v>225</v>
      </c>
      <c r="C816" t="s">
        <v>106</v>
      </c>
      <c r="D816" s="1">
        <v>152587</v>
      </c>
      <c r="E816" t="s">
        <v>28</v>
      </c>
      <c r="F816" t="s">
        <v>8</v>
      </c>
      <c r="G816">
        <v>66.7</v>
      </c>
      <c r="H816">
        <v>6</v>
      </c>
      <c r="I816">
        <v>1</v>
      </c>
      <c r="J816">
        <v>1</v>
      </c>
      <c r="K816">
        <v>1</v>
      </c>
    </row>
    <row r="817" spans="1:11" x14ac:dyDescent="0.25">
      <c r="A817" s="2">
        <v>2017</v>
      </c>
      <c r="B817" s="2" t="s">
        <v>225</v>
      </c>
      <c r="C817" t="s">
        <v>106</v>
      </c>
      <c r="D817" s="1">
        <v>152587</v>
      </c>
      <c r="E817" t="s">
        <v>28</v>
      </c>
      <c r="F817" t="s">
        <v>10</v>
      </c>
      <c r="G817">
        <v>66.7</v>
      </c>
      <c r="H817">
        <v>6</v>
      </c>
      <c r="I817">
        <v>1</v>
      </c>
      <c r="J817">
        <v>1</v>
      </c>
      <c r="K817">
        <v>1</v>
      </c>
    </row>
    <row r="818" spans="1:11" x14ac:dyDescent="0.25">
      <c r="A818" s="2">
        <v>2017</v>
      </c>
      <c r="B818" s="2" t="s">
        <v>225</v>
      </c>
      <c r="C818" t="s">
        <v>106</v>
      </c>
      <c r="D818" s="1">
        <v>149344</v>
      </c>
      <c r="E818" t="s">
        <v>35</v>
      </c>
      <c r="F818" t="s">
        <v>12</v>
      </c>
      <c r="G818">
        <v>37.5</v>
      </c>
      <c r="H818">
        <v>2</v>
      </c>
      <c r="I818">
        <v>1</v>
      </c>
      <c r="J818">
        <v>1</v>
      </c>
      <c r="K818">
        <v>1</v>
      </c>
    </row>
    <row r="819" spans="1:11" x14ac:dyDescent="0.25">
      <c r="A819" s="2">
        <v>2017</v>
      </c>
      <c r="B819" s="2" t="s">
        <v>225</v>
      </c>
      <c r="C819" t="s">
        <v>106</v>
      </c>
      <c r="D819" s="1">
        <v>149344</v>
      </c>
      <c r="E819" t="s">
        <v>35</v>
      </c>
      <c r="F819" t="s">
        <v>7</v>
      </c>
      <c r="G819">
        <v>53.1</v>
      </c>
      <c r="H819">
        <v>2</v>
      </c>
      <c r="I819">
        <v>1</v>
      </c>
      <c r="J819">
        <v>1</v>
      </c>
      <c r="K819">
        <v>1</v>
      </c>
    </row>
    <row r="820" spans="1:11" x14ac:dyDescent="0.25">
      <c r="A820" s="2">
        <v>2017</v>
      </c>
      <c r="B820" s="2" t="s">
        <v>225</v>
      </c>
      <c r="C820" t="s">
        <v>106</v>
      </c>
      <c r="D820" s="1">
        <v>149344</v>
      </c>
      <c r="E820" t="s">
        <v>35</v>
      </c>
      <c r="F820" t="s">
        <v>11</v>
      </c>
      <c r="G820">
        <v>62.5</v>
      </c>
      <c r="H820">
        <v>2</v>
      </c>
      <c r="I820">
        <v>1</v>
      </c>
      <c r="J820">
        <v>1</v>
      </c>
      <c r="K820">
        <v>1</v>
      </c>
    </row>
    <row r="821" spans="1:11" x14ac:dyDescent="0.25">
      <c r="A821" s="2">
        <v>2017</v>
      </c>
      <c r="B821" s="2" t="s">
        <v>225</v>
      </c>
      <c r="C821" t="s">
        <v>106</v>
      </c>
      <c r="D821" s="1">
        <v>149344</v>
      </c>
      <c r="E821" t="s">
        <v>35</v>
      </c>
      <c r="F821" t="s">
        <v>9</v>
      </c>
      <c r="G821">
        <v>50</v>
      </c>
      <c r="H821">
        <v>2</v>
      </c>
      <c r="I821">
        <v>1</v>
      </c>
      <c r="J821">
        <v>1</v>
      </c>
      <c r="K821">
        <v>1</v>
      </c>
    </row>
    <row r="822" spans="1:11" x14ac:dyDescent="0.25">
      <c r="A822" s="2">
        <v>2017</v>
      </c>
      <c r="B822" s="2" t="s">
        <v>225</v>
      </c>
      <c r="C822" t="s">
        <v>106</v>
      </c>
      <c r="D822" s="1">
        <v>149344</v>
      </c>
      <c r="E822" t="s">
        <v>35</v>
      </c>
      <c r="F822" t="s">
        <v>8</v>
      </c>
      <c r="G822">
        <v>50</v>
      </c>
      <c r="H822">
        <v>2</v>
      </c>
      <c r="I822">
        <v>1</v>
      </c>
      <c r="J822">
        <v>1</v>
      </c>
      <c r="K822">
        <v>1</v>
      </c>
    </row>
    <row r="823" spans="1:11" x14ac:dyDescent="0.25">
      <c r="A823" s="2">
        <v>2017</v>
      </c>
      <c r="B823" s="2" t="s">
        <v>225</v>
      </c>
      <c r="C823" t="s">
        <v>106</v>
      </c>
      <c r="D823" s="1">
        <v>149344</v>
      </c>
      <c r="E823" t="s">
        <v>35</v>
      </c>
      <c r="F823" t="s">
        <v>10</v>
      </c>
      <c r="G823">
        <v>25</v>
      </c>
      <c r="H823">
        <v>1</v>
      </c>
      <c r="I823">
        <v>1</v>
      </c>
      <c r="J823">
        <v>1</v>
      </c>
      <c r="K823">
        <v>1</v>
      </c>
    </row>
    <row r="824" spans="1:11" x14ac:dyDescent="0.25">
      <c r="A824" s="2">
        <v>2017</v>
      </c>
      <c r="B824" s="2" t="s">
        <v>225</v>
      </c>
      <c r="C824" t="s">
        <v>106</v>
      </c>
      <c r="D824" s="1">
        <v>117440</v>
      </c>
      <c r="E824" t="s">
        <v>32</v>
      </c>
      <c r="F824" t="s">
        <v>12</v>
      </c>
      <c r="G824">
        <v>66.7</v>
      </c>
      <c r="H824">
        <v>3</v>
      </c>
      <c r="I824">
        <v>12</v>
      </c>
      <c r="J824">
        <v>5</v>
      </c>
      <c r="K824">
        <v>4</v>
      </c>
    </row>
    <row r="825" spans="1:11" x14ac:dyDescent="0.25">
      <c r="A825" s="2">
        <v>2017</v>
      </c>
      <c r="B825" s="2" t="s">
        <v>225</v>
      </c>
      <c r="C825" t="s">
        <v>106</v>
      </c>
      <c r="D825" s="1">
        <v>117440</v>
      </c>
      <c r="E825" t="s">
        <v>32</v>
      </c>
      <c r="F825" t="s">
        <v>7</v>
      </c>
      <c r="G825">
        <v>77.099999999999994</v>
      </c>
      <c r="H825">
        <v>3</v>
      </c>
      <c r="I825">
        <v>2</v>
      </c>
      <c r="J825">
        <v>3</v>
      </c>
      <c r="K825">
        <v>3</v>
      </c>
    </row>
    <row r="826" spans="1:11" x14ac:dyDescent="0.25">
      <c r="A826" s="2">
        <v>2017</v>
      </c>
      <c r="B826" s="2" t="s">
        <v>225</v>
      </c>
      <c r="C826" t="s">
        <v>106</v>
      </c>
      <c r="D826" s="1">
        <v>117440</v>
      </c>
      <c r="E826" t="s">
        <v>32</v>
      </c>
      <c r="F826" t="s">
        <v>11</v>
      </c>
      <c r="G826">
        <v>83.3</v>
      </c>
      <c r="H826">
        <v>3</v>
      </c>
      <c r="I826">
        <v>8</v>
      </c>
      <c r="J826">
        <v>6</v>
      </c>
      <c r="K826">
        <v>8</v>
      </c>
    </row>
    <row r="827" spans="1:11" x14ac:dyDescent="0.25">
      <c r="A827" s="2">
        <v>2017</v>
      </c>
      <c r="B827" s="2" t="s">
        <v>225</v>
      </c>
      <c r="C827" t="s">
        <v>106</v>
      </c>
      <c r="D827" s="1">
        <v>117440</v>
      </c>
      <c r="E827" t="s">
        <v>32</v>
      </c>
      <c r="F827" t="s">
        <v>9</v>
      </c>
      <c r="G827">
        <v>83.3</v>
      </c>
      <c r="H827">
        <v>3</v>
      </c>
      <c r="I827">
        <v>18</v>
      </c>
      <c r="J827">
        <v>12</v>
      </c>
      <c r="K827">
        <v>18</v>
      </c>
    </row>
    <row r="828" spans="1:11" x14ac:dyDescent="0.25">
      <c r="A828" s="2">
        <v>2017</v>
      </c>
      <c r="B828" s="2" t="s">
        <v>225</v>
      </c>
      <c r="C828" t="s">
        <v>106</v>
      </c>
      <c r="D828" s="1">
        <v>117440</v>
      </c>
      <c r="E828" t="s">
        <v>32</v>
      </c>
      <c r="F828" t="s">
        <v>8</v>
      </c>
      <c r="G828">
        <v>66.7</v>
      </c>
      <c r="H828">
        <v>3</v>
      </c>
      <c r="I828">
        <v>1</v>
      </c>
      <c r="J828">
        <v>1</v>
      </c>
      <c r="K828">
        <v>1</v>
      </c>
    </row>
    <row r="829" spans="1:11" x14ac:dyDescent="0.25">
      <c r="A829" s="2">
        <v>2017</v>
      </c>
      <c r="B829" s="2" t="s">
        <v>225</v>
      </c>
      <c r="C829" t="s">
        <v>106</v>
      </c>
      <c r="D829" s="1">
        <v>117440</v>
      </c>
      <c r="E829" t="s">
        <v>32</v>
      </c>
      <c r="F829" t="s">
        <v>10</v>
      </c>
      <c r="G829">
        <v>75</v>
      </c>
      <c r="H829">
        <v>3</v>
      </c>
      <c r="I829">
        <v>3</v>
      </c>
      <c r="J829">
        <v>2</v>
      </c>
      <c r="K829">
        <v>2</v>
      </c>
    </row>
    <row r="830" spans="1:11" x14ac:dyDescent="0.25">
      <c r="A830" s="2">
        <v>2017</v>
      </c>
      <c r="B830" s="2" t="s">
        <v>225</v>
      </c>
      <c r="C830" t="s">
        <v>106</v>
      </c>
      <c r="D830" s="1">
        <v>153700</v>
      </c>
      <c r="E830" t="s">
        <v>38</v>
      </c>
      <c r="F830" t="s">
        <v>12</v>
      </c>
      <c r="G830">
        <v>52.8</v>
      </c>
      <c r="H830">
        <v>9</v>
      </c>
      <c r="I830">
        <v>1</v>
      </c>
      <c r="J830">
        <v>1</v>
      </c>
      <c r="K830">
        <v>1</v>
      </c>
    </row>
    <row r="831" spans="1:11" x14ac:dyDescent="0.25">
      <c r="A831" s="2">
        <v>2017</v>
      </c>
      <c r="B831" s="2" t="s">
        <v>225</v>
      </c>
      <c r="C831" t="s">
        <v>106</v>
      </c>
      <c r="D831" s="1">
        <v>153700</v>
      </c>
      <c r="E831" t="s">
        <v>38</v>
      </c>
      <c r="F831" t="s">
        <v>7</v>
      </c>
      <c r="G831">
        <v>86.1</v>
      </c>
      <c r="H831">
        <v>9</v>
      </c>
      <c r="I831">
        <v>49</v>
      </c>
      <c r="J831">
        <v>32</v>
      </c>
      <c r="K831">
        <v>40</v>
      </c>
    </row>
    <row r="832" spans="1:11" x14ac:dyDescent="0.25">
      <c r="A832" s="2">
        <v>2017</v>
      </c>
      <c r="B832" s="2" t="s">
        <v>225</v>
      </c>
      <c r="C832" t="s">
        <v>106</v>
      </c>
      <c r="D832" s="1">
        <v>153700</v>
      </c>
      <c r="E832" t="s">
        <v>38</v>
      </c>
      <c r="F832" t="s">
        <v>11</v>
      </c>
      <c r="G832">
        <v>91.7</v>
      </c>
      <c r="H832">
        <v>9</v>
      </c>
      <c r="I832">
        <v>89</v>
      </c>
      <c r="J832">
        <v>68</v>
      </c>
      <c r="K832">
        <v>73</v>
      </c>
    </row>
    <row r="833" spans="1:11" x14ac:dyDescent="0.25">
      <c r="A833" s="2">
        <v>2017</v>
      </c>
      <c r="B833" s="2" t="s">
        <v>225</v>
      </c>
      <c r="C833" t="s">
        <v>106</v>
      </c>
      <c r="D833" s="1">
        <v>153700</v>
      </c>
      <c r="E833" t="s">
        <v>38</v>
      </c>
      <c r="F833" t="s">
        <v>9</v>
      </c>
      <c r="G833">
        <v>88.9</v>
      </c>
      <c r="H833">
        <v>9</v>
      </c>
      <c r="I833">
        <v>84</v>
      </c>
      <c r="J833">
        <v>53</v>
      </c>
      <c r="K833">
        <v>64</v>
      </c>
    </row>
    <row r="834" spans="1:11" x14ac:dyDescent="0.25">
      <c r="A834" s="2">
        <v>2017</v>
      </c>
      <c r="B834" s="2" t="s">
        <v>225</v>
      </c>
      <c r="C834" t="s">
        <v>106</v>
      </c>
      <c r="D834" s="1">
        <v>153700</v>
      </c>
      <c r="E834" t="s">
        <v>38</v>
      </c>
      <c r="F834" t="s">
        <v>8</v>
      </c>
      <c r="G834">
        <v>77.8</v>
      </c>
      <c r="H834">
        <v>9</v>
      </c>
      <c r="I834">
        <v>4</v>
      </c>
      <c r="J834">
        <v>7</v>
      </c>
      <c r="K834">
        <v>5</v>
      </c>
    </row>
    <row r="835" spans="1:11" x14ac:dyDescent="0.25">
      <c r="A835" s="2">
        <v>2017</v>
      </c>
      <c r="B835" s="2" t="s">
        <v>225</v>
      </c>
      <c r="C835" t="s">
        <v>106</v>
      </c>
      <c r="D835" s="1">
        <v>153700</v>
      </c>
      <c r="E835" t="s">
        <v>38</v>
      </c>
      <c r="F835" t="s">
        <v>10</v>
      </c>
      <c r="G835">
        <v>86.1</v>
      </c>
      <c r="H835">
        <v>9</v>
      </c>
      <c r="I835">
        <v>67</v>
      </c>
      <c r="J835">
        <v>40</v>
      </c>
      <c r="K835">
        <v>50</v>
      </c>
    </row>
    <row r="836" spans="1:11" x14ac:dyDescent="0.25">
      <c r="A836" s="2">
        <v>2017</v>
      </c>
      <c r="B836" s="2" t="s">
        <v>225</v>
      </c>
      <c r="C836" t="s">
        <v>106</v>
      </c>
      <c r="D836" s="1">
        <v>59899</v>
      </c>
      <c r="E836" t="s">
        <v>22</v>
      </c>
      <c r="F836" t="s">
        <v>12</v>
      </c>
      <c r="G836">
        <v>87.5</v>
      </c>
      <c r="H836">
        <v>2</v>
      </c>
      <c r="I836">
        <v>99</v>
      </c>
      <c r="J836">
        <v>80</v>
      </c>
      <c r="K836">
        <v>83</v>
      </c>
    </row>
    <row r="837" spans="1:11" x14ac:dyDescent="0.25">
      <c r="A837" s="2">
        <v>2017</v>
      </c>
      <c r="B837" s="2" t="s">
        <v>225</v>
      </c>
      <c r="C837" t="s">
        <v>106</v>
      </c>
      <c r="D837" s="1">
        <v>59899</v>
      </c>
      <c r="E837" t="s">
        <v>22</v>
      </c>
      <c r="F837" t="s">
        <v>7</v>
      </c>
      <c r="G837">
        <v>87.5</v>
      </c>
      <c r="H837">
        <v>2</v>
      </c>
      <c r="I837">
        <v>68</v>
      </c>
      <c r="J837">
        <v>40</v>
      </c>
      <c r="K837">
        <v>53</v>
      </c>
    </row>
    <row r="838" spans="1:11" x14ac:dyDescent="0.25">
      <c r="A838" s="2">
        <v>2017</v>
      </c>
      <c r="B838" s="2" t="s">
        <v>225</v>
      </c>
      <c r="C838" t="s">
        <v>106</v>
      </c>
      <c r="D838" s="1">
        <v>59899</v>
      </c>
      <c r="E838" t="s">
        <v>22</v>
      </c>
      <c r="F838" t="s">
        <v>11</v>
      </c>
      <c r="G838">
        <v>87.5</v>
      </c>
      <c r="H838">
        <v>2</v>
      </c>
      <c r="I838">
        <v>35</v>
      </c>
      <c r="J838">
        <v>17</v>
      </c>
      <c r="K838">
        <v>30</v>
      </c>
    </row>
    <row r="839" spans="1:11" x14ac:dyDescent="0.25">
      <c r="A839" s="2">
        <v>2017</v>
      </c>
      <c r="B839" s="2" t="s">
        <v>225</v>
      </c>
      <c r="C839" t="s">
        <v>106</v>
      </c>
      <c r="D839" s="1">
        <v>59899</v>
      </c>
      <c r="E839" t="s">
        <v>22</v>
      </c>
      <c r="F839" t="s">
        <v>9</v>
      </c>
      <c r="G839">
        <v>87.5</v>
      </c>
      <c r="H839">
        <v>2</v>
      </c>
      <c r="I839">
        <v>64</v>
      </c>
      <c r="J839">
        <v>40</v>
      </c>
      <c r="K839">
        <v>50</v>
      </c>
    </row>
    <row r="840" spans="1:11" x14ac:dyDescent="0.25">
      <c r="A840" s="2">
        <v>2017</v>
      </c>
      <c r="B840" s="2" t="s">
        <v>225</v>
      </c>
      <c r="C840" t="s">
        <v>106</v>
      </c>
      <c r="D840" s="1">
        <v>59899</v>
      </c>
      <c r="E840" t="s">
        <v>22</v>
      </c>
      <c r="F840" t="s">
        <v>8</v>
      </c>
      <c r="G840">
        <v>87.5</v>
      </c>
      <c r="H840">
        <v>2</v>
      </c>
      <c r="I840">
        <v>87</v>
      </c>
      <c r="J840">
        <v>57</v>
      </c>
      <c r="K840">
        <v>62</v>
      </c>
    </row>
    <row r="841" spans="1:11" x14ac:dyDescent="0.25">
      <c r="A841" s="2">
        <v>2017</v>
      </c>
      <c r="B841" s="2" t="s">
        <v>225</v>
      </c>
      <c r="C841" t="s">
        <v>106</v>
      </c>
      <c r="D841" s="1">
        <v>59899</v>
      </c>
      <c r="E841" t="s">
        <v>22</v>
      </c>
      <c r="F841" t="s">
        <v>10</v>
      </c>
      <c r="G841">
        <v>87.5</v>
      </c>
      <c r="H841">
        <v>2</v>
      </c>
      <c r="I841">
        <v>87</v>
      </c>
      <c r="J841">
        <v>59</v>
      </c>
      <c r="K841">
        <v>62</v>
      </c>
    </row>
    <row r="842" spans="1:11" x14ac:dyDescent="0.25">
      <c r="A842" s="2">
        <v>2017</v>
      </c>
      <c r="B842" s="2" t="s">
        <v>225</v>
      </c>
      <c r="C842" t="s">
        <v>106</v>
      </c>
      <c r="D842" s="1">
        <v>99093</v>
      </c>
      <c r="E842" t="s">
        <v>14</v>
      </c>
      <c r="F842" t="s">
        <v>12</v>
      </c>
      <c r="G842">
        <v>62.5</v>
      </c>
      <c r="H842">
        <v>8</v>
      </c>
      <c r="I842">
        <v>3</v>
      </c>
      <c r="J842">
        <v>5</v>
      </c>
      <c r="K842">
        <v>2</v>
      </c>
    </row>
    <row r="843" spans="1:11" x14ac:dyDescent="0.25">
      <c r="A843" s="2">
        <v>2017</v>
      </c>
      <c r="B843" s="2" t="s">
        <v>225</v>
      </c>
      <c r="C843" t="s">
        <v>106</v>
      </c>
      <c r="D843" s="1">
        <v>99093</v>
      </c>
      <c r="E843" t="s">
        <v>14</v>
      </c>
      <c r="F843" t="s">
        <v>7</v>
      </c>
      <c r="G843">
        <v>68.8</v>
      </c>
      <c r="H843">
        <v>8</v>
      </c>
      <c r="I843">
        <v>1</v>
      </c>
      <c r="J843">
        <v>1</v>
      </c>
      <c r="K843">
        <v>1</v>
      </c>
    </row>
    <row r="844" spans="1:11" x14ac:dyDescent="0.25">
      <c r="A844" s="2">
        <v>2017</v>
      </c>
      <c r="B844" s="2" t="s">
        <v>225</v>
      </c>
      <c r="C844" t="s">
        <v>106</v>
      </c>
      <c r="D844" s="1">
        <v>99093</v>
      </c>
      <c r="E844" t="s">
        <v>14</v>
      </c>
      <c r="F844" t="s">
        <v>11</v>
      </c>
      <c r="G844">
        <v>71.900000000000006</v>
      </c>
      <c r="H844">
        <v>8</v>
      </c>
      <c r="I844">
        <v>1</v>
      </c>
      <c r="J844">
        <v>1</v>
      </c>
      <c r="K844">
        <v>1</v>
      </c>
    </row>
    <row r="845" spans="1:11" x14ac:dyDescent="0.25">
      <c r="A845" s="2">
        <v>2017</v>
      </c>
      <c r="B845" s="2" t="s">
        <v>225</v>
      </c>
      <c r="C845" t="s">
        <v>106</v>
      </c>
      <c r="D845" s="1">
        <v>99093</v>
      </c>
      <c r="E845" t="s">
        <v>14</v>
      </c>
      <c r="F845" t="s">
        <v>9</v>
      </c>
      <c r="G845">
        <v>68.8</v>
      </c>
      <c r="H845">
        <v>8</v>
      </c>
      <c r="I845">
        <v>1</v>
      </c>
      <c r="J845">
        <v>1</v>
      </c>
      <c r="K845">
        <v>1</v>
      </c>
    </row>
    <row r="846" spans="1:11" x14ac:dyDescent="0.25">
      <c r="A846" s="2">
        <v>2017</v>
      </c>
      <c r="B846" s="2" t="s">
        <v>225</v>
      </c>
      <c r="C846" t="s">
        <v>106</v>
      </c>
      <c r="D846" s="1">
        <v>99093</v>
      </c>
      <c r="E846" t="s">
        <v>14</v>
      </c>
      <c r="F846" t="s">
        <v>8</v>
      </c>
      <c r="G846">
        <v>71.900000000000006</v>
      </c>
      <c r="H846">
        <v>8</v>
      </c>
      <c r="I846">
        <v>1</v>
      </c>
      <c r="J846">
        <v>1</v>
      </c>
      <c r="K846">
        <v>1</v>
      </c>
    </row>
    <row r="847" spans="1:11" x14ac:dyDescent="0.25">
      <c r="A847" s="2">
        <v>2017</v>
      </c>
      <c r="B847" s="2" t="s">
        <v>225</v>
      </c>
      <c r="C847" t="s">
        <v>106</v>
      </c>
      <c r="D847" s="1">
        <v>99093</v>
      </c>
      <c r="E847" t="s">
        <v>14</v>
      </c>
      <c r="F847" t="s">
        <v>10</v>
      </c>
      <c r="G847">
        <v>57.1</v>
      </c>
      <c r="H847">
        <v>7</v>
      </c>
      <c r="I847">
        <v>1</v>
      </c>
      <c r="J847">
        <v>1</v>
      </c>
      <c r="K847">
        <v>1</v>
      </c>
    </row>
    <row r="848" spans="1:11" x14ac:dyDescent="0.25">
      <c r="A848" s="2">
        <v>2017</v>
      </c>
      <c r="B848" s="2" t="s">
        <v>225</v>
      </c>
      <c r="C848" t="s">
        <v>106</v>
      </c>
      <c r="D848" s="1">
        <v>70375</v>
      </c>
      <c r="E848" t="s">
        <v>24</v>
      </c>
      <c r="F848" t="s">
        <v>12</v>
      </c>
      <c r="G848">
        <v>72.900000000000006</v>
      </c>
      <c r="H848">
        <v>12</v>
      </c>
      <c r="I848">
        <v>34</v>
      </c>
      <c r="J848">
        <v>8</v>
      </c>
      <c r="K848">
        <v>14</v>
      </c>
    </row>
    <row r="849" spans="1:11" x14ac:dyDescent="0.25">
      <c r="A849" s="2">
        <v>2017</v>
      </c>
      <c r="B849" s="2" t="s">
        <v>225</v>
      </c>
      <c r="C849" t="s">
        <v>106</v>
      </c>
      <c r="D849" s="1">
        <v>70375</v>
      </c>
      <c r="E849" t="s">
        <v>24</v>
      </c>
      <c r="F849" t="s">
        <v>7</v>
      </c>
      <c r="G849">
        <v>85.4</v>
      </c>
      <c r="H849">
        <v>12</v>
      </c>
      <c r="I849">
        <v>43</v>
      </c>
      <c r="J849">
        <v>22</v>
      </c>
      <c r="K849">
        <v>34</v>
      </c>
    </row>
    <row r="850" spans="1:11" x14ac:dyDescent="0.25">
      <c r="A850" s="2">
        <v>2017</v>
      </c>
      <c r="B850" s="2" t="s">
        <v>225</v>
      </c>
      <c r="C850" t="s">
        <v>106</v>
      </c>
      <c r="D850" s="1">
        <v>70375</v>
      </c>
      <c r="E850" t="s">
        <v>24</v>
      </c>
      <c r="F850" t="s">
        <v>11</v>
      </c>
      <c r="G850">
        <v>89.6</v>
      </c>
      <c r="H850">
        <v>12</v>
      </c>
      <c r="I850">
        <v>60</v>
      </c>
      <c r="J850">
        <v>42</v>
      </c>
      <c r="K850">
        <v>51</v>
      </c>
    </row>
    <row r="851" spans="1:11" x14ac:dyDescent="0.25">
      <c r="A851" s="2">
        <v>2017</v>
      </c>
      <c r="B851" s="2" t="s">
        <v>225</v>
      </c>
      <c r="C851" t="s">
        <v>106</v>
      </c>
      <c r="D851" s="1">
        <v>70375</v>
      </c>
      <c r="E851" t="s">
        <v>24</v>
      </c>
      <c r="F851" t="s">
        <v>9</v>
      </c>
      <c r="G851">
        <v>87.5</v>
      </c>
      <c r="H851">
        <v>12</v>
      </c>
      <c r="I851">
        <v>64</v>
      </c>
      <c r="J851">
        <v>40</v>
      </c>
      <c r="K851">
        <v>50</v>
      </c>
    </row>
    <row r="852" spans="1:11" x14ac:dyDescent="0.25">
      <c r="A852" s="2">
        <v>2017</v>
      </c>
      <c r="B852" s="2" t="s">
        <v>225</v>
      </c>
      <c r="C852" t="s">
        <v>106</v>
      </c>
      <c r="D852" s="1">
        <v>70375</v>
      </c>
      <c r="E852" t="s">
        <v>24</v>
      </c>
      <c r="F852" t="s">
        <v>8</v>
      </c>
      <c r="G852">
        <v>83.3</v>
      </c>
      <c r="H852">
        <v>12</v>
      </c>
      <c r="I852">
        <v>35</v>
      </c>
      <c r="J852">
        <v>20</v>
      </c>
      <c r="K852">
        <v>28</v>
      </c>
    </row>
    <row r="853" spans="1:11" x14ac:dyDescent="0.25">
      <c r="A853" s="2">
        <v>2017</v>
      </c>
      <c r="B853" s="2" t="s">
        <v>225</v>
      </c>
      <c r="C853" t="s">
        <v>106</v>
      </c>
      <c r="D853" s="1">
        <v>70375</v>
      </c>
      <c r="E853" t="s">
        <v>24</v>
      </c>
      <c r="F853" t="s">
        <v>10</v>
      </c>
      <c r="G853">
        <v>81.3</v>
      </c>
      <c r="H853">
        <v>12</v>
      </c>
      <c r="I853">
        <v>20</v>
      </c>
      <c r="J853">
        <v>11</v>
      </c>
      <c r="K853">
        <v>16</v>
      </c>
    </row>
    <row r="854" spans="1:11" x14ac:dyDescent="0.25">
      <c r="A854" s="2">
        <v>2017</v>
      </c>
      <c r="B854" s="2" t="s">
        <v>225</v>
      </c>
      <c r="C854" t="s">
        <v>106</v>
      </c>
      <c r="D854" s="1">
        <v>70359</v>
      </c>
      <c r="E854" t="s">
        <v>19</v>
      </c>
      <c r="F854" t="s">
        <v>12</v>
      </c>
      <c r="G854">
        <v>75</v>
      </c>
      <c r="H854">
        <v>3</v>
      </c>
      <c r="I854">
        <v>43</v>
      </c>
      <c r="J854">
        <v>10</v>
      </c>
      <c r="K854">
        <v>20</v>
      </c>
    </row>
    <row r="855" spans="1:11" x14ac:dyDescent="0.25">
      <c r="A855" s="2">
        <v>2017</v>
      </c>
      <c r="B855" s="2" t="s">
        <v>225</v>
      </c>
      <c r="C855" t="s">
        <v>106</v>
      </c>
      <c r="D855" s="1">
        <v>70359</v>
      </c>
      <c r="E855" t="s">
        <v>19</v>
      </c>
      <c r="F855" t="s">
        <v>7</v>
      </c>
      <c r="G855">
        <v>29.2</v>
      </c>
      <c r="H855">
        <v>3</v>
      </c>
      <c r="I855">
        <v>1</v>
      </c>
      <c r="J855">
        <v>1</v>
      </c>
      <c r="K855">
        <v>1</v>
      </c>
    </row>
    <row r="856" spans="1:11" x14ac:dyDescent="0.25">
      <c r="A856" s="2">
        <v>2017</v>
      </c>
      <c r="B856" s="2" t="s">
        <v>225</v>
      </c>
      <c r="C856" t="s">
        <v>106</v>
      </c>
      <c r="D856" s="1">
        <v>70359</v>
      </c>
      <c r="E856" t="s">
        <v>19</v>
      </c>
      <c r="F856" t="s">
        <v>11</v>
      </c>
      <c r="G856">
        <v>33.299999999999997</v>
      </c>
      <c r="H856">
        <v>3</v>
      </c>
      <c r="I856">
        <v>1</v>
      </c>
      <c r="J856">
        <v>1</v>
      </c>
      <c r="K856">
        <v>1</v>
      </c>
    </row>
    <row r="857" spans="1:11" x14ac:dyDescent="0.25">
      <c r="A857" s="2">
        <v>2017</v>
      </c>
      <c r="B857" s="2" t="s">
        <v>225</v>
      </c>
      <c r="C857" t="s">
        <v>106</v>
      </c>
      <c r="D857" s="1">
        <v>70359</v>
      </c>
      <c r="E857" t="s">
        <v>19</v>
      </c>
      <c r="F857" t="s">
        <v>9</v>
      </c>
      <c r="G857">
        <v>25</v>
      </c>
      <c r="H857">
        <v>3</v>
      </c>
      <c r="I857">
        <v>1</v>
      </c>
      <c r="J857">
        <v>1</v>
      </c>
      <c r="K857">
        <v>1</v>
      </c>
    </row>
    <row r="858" spans="1:11" x14ac:dyDescent="0.25">
      <c r="A858" s="2">
        <v>2017</v>
      </c>
      <c r="B858" s="2" t="s">
        <v>225</v>
      </c>
      <c r="C858" t="s">
        <v>106</v>
      </c>
      <c r="D858" s="1">
        <v>70359</v>
      </c>
      <c r="E858" t="s">
        <v>19</v>
      </c>
      <c r="F858" t="s">
        <v>8</v>
      </c>
      <c r="G858">
        <v>25</v>
      </c>
      <c r="H858">
        <v>3</v>
      </c>
      <c r="I858">
        <v>1</v>
      </c>
      <c r="J858">
        <v>1</v>
      </c>
      <c r="K858">
        <v>1</v>
      </c>
    </row>
    <row r="859" spans="1:11" x14ac:dyDescent="0.25">
      <c r="A859" s="2">
        <v>2017</v>
      </c>
      <c r="B859" s="2" t="s">
        <v>225</v>
      </c>
      <c r="C859" t="s">
        <v>106</v>
      </c>
      <c r="D859" s="1">
        <v>70359</v>
      </c>
      <c r="E859" t="s">
        <v>19</v>
      </c>
      <c r="F859" t="s">
        <v>10</v>
      </c>
      <c r="G859">
        <v>33.299999999999997</v>
      </c>
      <c r="H859">
        <v>3</v>
      </c>
      <c r="I859">
        <v>1</v>
      </c>
      <c r="J859">
        <v>1</v>
      </c>
      <c r="K859">
        <v>1</v>
      </c>
    </row>
    <row r="860" spans="1:11" x14ac:dyDescent="0.25">
      <c r="A860" s="2">
        <v>2017</v>
      </c>
      <c r="B860" s="2" t="s">
        <v>225</v>
      </c>
      <c r="C860" t="s">
        <v>106</v>
      </c>
      <c r="D860" s="1">
        <v>99911</v>
      </c>
      <c r="E860" t="s">
        <v>33</v>
      </c>
      <c r="F860" t="s">
        <v>12</v>
      </c>
      <c r="G860">
        <v>70.8</v>
      </c>
      <c r="H860">
        <v>12</v>
      </c>
      <c r="I860">
        <v>27</v>
      </c>
      <c r="J860">
        <v>7</v>
      </c>
      <c r="K860">
        <v>9</v>
      </c>
    </row>
    <row r="861" spans="1:11" x14ac:dyDescent="0.25">
      <c r="A861" s="2">
        <v>2017</v>
      </c>
      <c r="B861" s="2" t="s">
        <v>225</v>
      </c>
      <c r="C861" t="s">
        <v>106</v>
      </c>
      <c r="D861" s="1">
        <v>99911</v>
      </c>
      <c r="E861" t="s">
        <v>33</v>
      </c>
      <c r="F861" t="s">
        <v>7</v>
      </c>
      <c r="G861">
        <v>83.9</v>
      </c>
      <c r="H861">
        <v>12</v>
      </c>
      <c r="I861">
        <v>25</v>
      </c>
      <c r="J861">
        <v>12</v>
      </c>
      <c r="K861">
        <v>22</v>
      </c>
    </row>
    <row r="862" spans="1:11" x14ac:dyDescent="0.25">
      <c r="A862" s="2">
        <v>2017</v>
      </c>
      <c r="B862" s="2" t="s">
        <v>225</v>
      </c>
      <c r="C862" t="s">
        <v>106</v>
      </c>
      <c r="D862" s="1">
        <v>99911</v>
      </c>
      <c r="E862" t="s">
        <v>33</v>
      </c>
      <c r="F862" t="s">
        <v>11</v>
      </c>
      <c r="G862">
        <v>89.6</v>
      </c>
      <c r="H862">
        <v>12</v>
      </c>
      <c r="I862">
        <v>60</v>
      </c>
      <c r="J862">
        <v>42</v>
      </c>
      <c r="K862">
        <v>51</v>
      </c>
    </row>
    <row r="863" spans="1:11" x14ac:dyDescent="0.25">
      <c r="A863" s="2">
        <v>2017</v>
      </c>
      <c r="B863" s="2" t="s">
        <v>225</v>
      </c>
      <c r="C863" t="s">
        <v>106</v>
      </c>
      <c r="D863" s="1">
        <v>99911</v>
      </c>
      <c r="E863" t="s">
        <v>33</v>
      </c>
      <c r="F863" t="s">
        <v>9</v>
      </c>
      <c r="G863">
        <v>81.3</v>
      </c>
      <c r="H863">
        <v>12</v>
      </c>
      <c r="I863">
        <v>8</v>
      </c>
      <c r="J863">
        <v>8</v>
      </c>
      <c r="K863">
        <v>9</v>
      </c>
    </row>
    <row r="864" spans="1:11" x14ac:dyDescent="0.25">
      <c r="A864" s="2">
        <v>2017</v>
      </c>
      <c r="B864" s="2" t="s">
        <v>225</v>
      </c>
      <c r="C864" t="s">
        <v>106</v>
      </c>
      <c r="D864" s="1">
        <v>99911</v>
      </c>
      <c r="E864" t="s">
        <v>33</v>
      </c>
      <c r="F864" t="s">
        <v>8</v>
      </c>
      <c r="G864">
        <v>81.3</v>
      </c>
      <c r="H864">
        <v>12</v>
      </c>
      <c r="I864">
        <v>17</v>
      </c>
      <c r="J864">
        <v>10</v>
      </c>
      <c r="K864">
        <v>16</v>
      </c>
    </row>
    <row r="865" spans="1:11" x14ac:dyDescent="0.25">
      <c r="A865" s="2">
        <v>2017</v>
      </c>
      <c r="B865" s="2" t="s">
        <v>225</v>
      </c>
      <c r="C865" t="s">
        <v>106</v>
      </c>
      <c r="D865" s="1">
        <v>99911</v>
      </c>
      <c r="E865" t="s">
        <v>33</v>
      </c>
      <c r="F865" t="s">
        <v>10</v>
      </c>
      <c r="G865">
        <v>83.3</v>
      </c>
      <c r="H865">
        <v>12</v>
      </c>
      <c r="I865">
        <v>32</v>
      </c>
      <c r="J865">
        <v>19</v>
      </c>
      <c r="K865">
        <v>27</v>
      </c>
    </row>
    <row r="866" spans="1:11" x14ac:dyDescent="0.25">
      <c r="A866" s="2">
        <v>2017</v>
      </c>
      <c r="B866" s="2" t="s">
        <v>225</v>
      </c>
      <c r="C866" t="s">
        <v>106</v>
      </c>
      <c r="D866" s="1">
        <v>177162</v>
      </c>
      <c r="E866" t="s">
        <v>13</v>
      </c>
      <c r="F866" t="s">
        <v>12</v>
      </c>
      <c r="G866">
        <v>87.5</v>
      </c>
      <c r="H866">
        <v>4</v>
      </c>
      <c r="I866">
        <v>99</v>
      </c>
      <c r="J866">
        <v>80</v>
      </c>
      <c r="K866">
        <v>83</v>
      </c>
    </row>
    <row r="867" spans="1:11" x14ac:dyDescent="0.25">
      <c r="A867" s="2">
        <v>2017</v>
      </c>
      <c r="B867" s="2" t="s">
        <v>225</v>
      </c>
      <c r="C867" t="s">
        <v>106</v>
      </c>
      <c r="D867" s="1">
        <v>177162</v>
      </c>
      <c r="E867" t="s">
        <v>13</v>
      </c>
      <c r="F867" t="s">
        <v>7</v>
      </c>
      <c r="G867">
        <v>100</v>
      </c>
      <c r="H867">
        <v>4</v>
      </c>
      <c r="I867">
        <v>99</v>
      </c>
      <c r="J867">
        <v>99</v>
      </c>
      <c r="K867">
        <v>99</v>
      </c>
    </row>
    <row r="868" spans="1:11" x14ac:dyDescent="0.25">
      <c r="A868" s="2">
        <v>2017</v>
      </c>
      <c r="B868" s="2" t="s">
        <v>225</v>
      </c>
      <c r="C868" t="s">
        <v>106</v>
      </c>
      <c r="D868" s="1">
        <v>177162</v>
      </c>
      <c r="E868" t="s">
        <v>13</v>
      </c>
      <c r="F868" t="s">
        <v>11</v>
      </c>
      <c r="G868">
        <v>100</v>
      </c>
      <c r="H868">
        <v>4</v>
      </c>
      <c r="I868">
        <v>99</v>
      </c>
      <c r="J868">
        <v>99</v>
      </c>
      <c r="K868">
        <v>99</v>
      </c>
    </row>
    <row r="869" spans="1:11" x14ac:dyDescent="0.25">
      <c r="A869" s="2">
        <v>2017</v>
      </c>
      <c r="B869" s="2" t="s">
        <v>225</v>
      </c>
      <c r="C869" t="s">
        <v>106</v>
      </c>
      <c r="D869" s="1">
        <v>177162</v>
      </c>
      <c r="E869" t="s">
        <v>13</v>
      </c>
      <c r="F869" t="s">
        <v>9</v>
      </c>
      <c r="G869">
        <v>100</v>
      </c>
      <c r="H869">
        <v>4</v>
      </c>
      <c r="I869">
        <v>99</v>
      </c>
      <c r="J869">
        <v>99</v>
      </c>
      <c r="K869">
        <v>99</v>
      </c>
    </row>
    <row r="870" spans="1:11" x14ac:dyDescent="0.25">
      <c r="A870" s="2">
        <v>2017</v>
      </c>
      <c r="B870" s="2" t="s">
        <v>225</v>
      </c>
      <c r="C870" t="s">
        <v>106</v>
      </c>
      <c r="D870" s="1">
        <v>177162</v>
      </c>
      <c r="E870" t="s">
        <v>13</v>
      </c>
      <c r="F870" t="s">
        <v>8</v>
      </c>
      <c r="G870">
        <v>100</v>
      </c>
      <c r="H870">
        <v>4</v>
      </c>
      <c r="I870">
        <v>99</v>
      </c>
      <c r="J870">
        <v>99</v>
      </c>
      <c r="K870">
        <v>99</v>
      </c>
    </row>
    <row r="871" spans="1:11" x14ac:dyDescent="0.25">
      <c r="A871" s="2">
        <v>2017</v>
      </c>
      <c r="B871" s="2" t="s">
        <v>225</v>
      </c>
      <c r="C871" t="s">
        <v>106</v>
      </c>
      <c r="D871" s="1">
        <v>177162</v>
      </c>
      <c r="E871" t="s">
        <v>13</v>
      </c>
      <c r="F871" t="s">
        <v>10</v>
      </c>
      <c r="G871">
        <v>100</v>
      </c>
      <c r="H871">
        <v>4</v>
      </c>
      <c r="I871">
        <v>99</v>
      </c>
      <c r="J871">
        <v>99</v>
      </c>
      <c r="K871">
        <v>99</v>
      </c>
    </row>
    <row r="872" spans="1:11" x14ac:dyDescent="0.25">
      <c r="A872" s="2">
        <v>2017</v>
      </c>
      <c r="B872" s="2" t="s">
        <v>225</v>
      </c>
      <c r="C872" t="s">
        <v>106</v>
      </c>
      <c r="D872" s="1">
        <v>60707</v>
      </c>
      <c r="E872" t="s">
        <v>42</v>
      </c>
      <c r="F872" t="s">
        <v>12</v>
      </c>
      <c r="G872">
        <v>70.8</v>
      </c>
      <c r="H872">
        <v>6</v>
      </c>
      <c r="I872">
        <v>27</v>
      </c>
      <c r="J872">
        <v>7</v>
      </c>
      <c r="K872">
        <v>9</v>
      </c>
    </row>
    <row r="873" spans="1:11" x14ac:dyDescent="0.25">
      <c r="A873" s="2">
        <v>2017</v>
      </c>
      <c r="B873" s="2" t="s">
        <v>225</v>
      </c>
      <c r="C873" t="s">
        <v>106</v>
      </c>
      <c r="D873" s="1">
        <v>60707</v>
      </c>
      <c r="E873" t="s">
        <v>42</v>
      </c>
      <c r="F873" t="s">
        <v>7</v>
      </c>
      <c r="G873">
        <v>82.3</v>
      </c>
      <c r="H873">
        <v>6</v>
      </c>
      <c r="I873">
        <v>15</v>
      </c>
      <c r="J873">
        <v>10</v>
      </c>
      <c r="K873">
        <v>14</v>
      </c>
    </row>
    <row r="874" spans="1:11" x14ac:dyDescent="0.25">
      <c r="A874" s="2">
        <v>2017</v>
      </c>
      <c r="B874" s="2" t="s">
        <v>225</v>
      </c>
      <c r="C874" t="s">
        <v>106</v>
      </c>
      <c r="D874" s="1">
        <v>60707</v>
      </c>
      <c r="E874" t="s">
        <v>42</v>
      </c>
      <c r="F874" t="s">
        <v>11</v>
      </c>
      <c r="G874">
        <v>87.5</v>
      </c>
      <c r="H874">
        <v>6</v>
      </c>
      <c r="I874">
        <v>35</v>
      </c>
      <c r="J874">
        <v>17</v>
      </c>
      <c r="K874">
        <v>30</v>
      </c>
    </row>
    <row r="875" spans="1:11" x14ac:dyDescent="0.25">
      <c r="A875" s="2">
        <v>2017</v>
      </c>
      <c r="B875" s="2" t="s">
        <v>225</v>
      </c>
      <c r="C875" t="s">
        <v>106</v>
      </c>
      <c r="D875" s="1">
        <v>60707</v>
      </c>
      <c r="E875" t="s">
        <v>42</v>
      </c>
      <c r="F875" t="s">
        <v>9</v>
      </c>
      <c r="G875">
        <v>75</v>
      </c>
      <c r="H875">
        <v>6</v>
      </c>
      <c r="I875">
        <v>1</v>
      </c>
      <c r="J875">
        <v>1</v>
      </c>
      <c r="K875">
        <v>1</v>
      </c>
    </row>
    <row r="876" spans="1:11" x14ac:dyDescent="0.25">
      <c r="A876" s="2">
        <v>2017</v>
      </c>
      <c r="B876" s="2" t="s">
        <v>225</v>
      </c>
      <c r="C876" t="s">
        <v>106</v>
      </c>
      <c r="D876" s="1">
        <v>60707</v>
      </c>
      <c r="E876" t="s">
        <v>42</v>
      </c>
      <c r="F876" t="s">
        <v>8</v>
      </c>
      <c r="G876">
        <v>79.2</v>
      </c>
      <c r="H876">
        <v>6</v>
      </c>
      <c r="I876">
        <v>9</v>
      </c>
      <c r="J876">
        <v>9</v>
      </c>
      <c r="K876">
        <v>9</v>
      </c>
    </row>
    <row r="877" spans="1:11" x14ac:dyDescent="0.25">
      <c r="A877" s="2">
        <v>2017</v>
      </c>
      <c r="B877" s="2" t="s">
        <v>225</v>
      </c>
      <c r="C877" t="s">
        <v>106</v>
      </c>
      <c r="D877" s="1">
        <v>60707</v>
      </c>
      <c r="E877" t="s">
        <v>42</v>
      </c>
      <c r="F877" t="s">
        <v>10</v>
      </c>
      <c r="G877">
        <v>87.5</v>
      </c>
      <c r="H877">
        <v>6</v>
      </c>
      <c r="I877">
        <v>87</v>
      </c>
      <c r="J877">
        <v>59</v>
      </c>
      <c r="K877">
        <v>62</v>
      </c>
    </row>
    <row r="878" spans="1:11" x14ac:dyDescent="0.25">
      <c r="A878" s="2">
        <v>2017</v>
      </c>
      <c r="B878" s="2" t="s">
        <v>225</v>
      </c>
      <c r="C878" t="s">
        <v>106</v>
      </c>
      <c r="D878" s="1">
        <v>58222</v>
      </c>
      <c r="E878" t="s">
        <v>16</v>
      </c>
      <c r="F878" t="s">
        <v>12</v>
      </c>
      <c r="G878">
        <v>50</v>
      </c>
      <c r="H878">
        <v>2</v>
      </c>
      <c r="I878">
        <v>1</v>
      </c>
      <c r="J878">
        <v>1</v>
      </c>
      <c r="K878">
        <v>1</v>
      </c>
    </row>
    <row r="879" spans="1:11" x14ac:dyDescent="0.25">
      <c r="A879" s="2">
        <v>2017</v>
      </c>
      <c r="B879" s="2" t="s">
        <v>225</v>
      </c>
      <c r="C879" t="s">
        <v>106</v>
      </c>
      <c r="D879" s="1">
        <v>58222</v>
      </c>
      <c r="E879" t="s">
        <v>16</v>
      </c>
      <c r="F879" t="s">
        <v>7</v>
      </c>
      <c r="G879">
        <v>56.3</v>
      </c>
      <c r="H879">
        <v>2</v>
      </c>
      <c r="I879">
        <v>1</v>
      </c>
      <c r="J879">
        <v>1</v>
      </c>
      <c r="K879">
        <v>1</v>
      </c>
    </row>
    <row r="880" spans="1:11" x14ac:dyDescent="0.25">
      <c r="A880" s="2">
        <v>2017</v>
      </c>
      <c r="B880" s="2" t="s">
        <v>225</v>
      </c>
      <c r="C880" t="s">
        <v>106</v>
      </c>
      <c r="D880" s="1">
        <v>58222</v>
      </c>
      <c r="E880" t="s">
        <v>16</v>
      </c>
      <c r="F880" t="s">
        <v>11</v>
      </c>
      <c r="G880">
        <v>75</v>
      </c>
      <c r="H880">
        <v>2</v>
      </c>
      <c r="I880">
        <v>1</v>
      </c>
      <c r="J880">
        <v>1</v>
      </c>
      <c r="K880">
        <v>1</v>
      </c>
    </row>
    <row r="881" spans="1:11" x14ac:dyDescent="0.25">
      <c r="A881" s="2">
        <v>2017</v>
      </c>
      <c r="B881" s="2" t="s">
        <v>225</v>
      </c>
      <c r="C881" t="s">
        <v>106</v>
      </c>
      <c r="D881" s="1">
        <v>58222</v>
      </c>
      <c r="E881" t="s">
        <v>16</v>
      </c>
      <c r="F881" t="s">
        <v>9</v>
      </c>
      <c r="G881">
        <v>37.5</v>
      </c>
      <c r="H881">
        <v>2</v>
      </c>
      <c r="I881">
        <v>1</v>
      </c>
      <c r="J881">
        <v>1</v>
      </c>
      <c r="K881">
        <v>1</v>
      </c>
    </row>
    <row r="882" spans="1:11" x14ac:dyDescent="0.25">
      <c r="A882" s="2">
        <v>2017</v>
      </c>
      <c r="B882" s="2" t="s">
        <v>225</v>
      </c>
      <c r="C882" t="s">
        <v>106</v>
      </c>
      <c r="D882" s="1">
        <v>58222</v>
      </c>
      <c r="E882" t="s">
        <v>16</v>
      </c>
      <c r="F882" t="s">
        <v>8</v>
      </c>
      <c r="G882">
        <v>37.5</v>
      </c>
      <c r="H882">
        <v>2</v>
      </c>
      <c r="I882">
        <v>1</v>
      </c>
      <c r="J882">
        <v>1</v>
      </c>
      <c r="K882">
        <v>1</v>
      </c>
    </row>
    <row r="883" spans="1:11" x14ac:dyDescent="0.25">
      <c r="A883" s="2">
        <v>2017</v>
      </c>
      <c r="B883" s="2" t="s">
        <v>225</v>
      </c>
      <c r="C883" t="s">
        <v>106</v>
      </c>
      <c r="D883" s="1">
        <v>58222</v>
      </c>
      <c r="E883" t="s">
        <v>16</v>
      </c>
      <c r="F883" t="s">
        <v>10</v>
      </c>
      <c r="G883">
        <v>75</v>
      </c>
      <c r="H883">
        <v>2</v>
      </c>
      <c r="I883">
        <v>3</v>
      </c>
      <c r="J883">
        <v>2</v>
      </c>
      <c r="K883">
        <v>2</v>
      </c>
    </row>
    <row r="884" spans="1:11" x14ac:dyDescent="0.25">
      <c r="A884" s="2">
        <v>2017</v>
      </c>
      <c r="B884" s="2" t="s">
        <v>225</v>
      </c>
      <c r="C884" t="s">
        <v>106</v>
      </c>
      <c r="D884" s="1">
        <v>89391</v>
      </c>
      <c r="E884" t="s">
        <v>27</v>
      </c>
      <c r="F884" t="s">
        <v>12</v>
      </c>
      <c r="G884">
        <v>75</v>
      </c>
      <c r="H884">
        <v>8</v>
      </c>
      <c r="I884">
        <v>43</v>
      </c>
      <c r="J884">
        <v>10</v>
      </c>
      <c r="K884">
        <v>20</v>
      </c>
    </row>
    <row r="885" spans="1:11" x14ac:dyDescent="0.25">
      <c r="A885" s="2">
        <v>2017</v>
      </c>
      <c r="B885" s="2" t="s">
        <v>225</v>
      </c>
      <c r="C885" t="s">
        <v>106</v>
      </c>
      <c r="D885" s="1">
        <v>89391</v>
      </c>
      <c r="E885" t="s">
        <v>27</v>
      </c>
      <c r="F885" t="s">
        <v>7</v>
      </c>
      <c r="G885">
        <v>85.9</v>
      </c>
      <c r="H885">
        <v>8</v>
      </c>
      <c r="I885">
        <v>48</v>
      </c>
      <c r="J885">
        <v>31</v>
      </c>
      <c r="K885">
        <v>38</v>
      </c>
    </row>
    <row r="886" spans="1:11" x14ac:dyDescent="0.25">
      <c r="A886" s="2">
        <v>2017</v>
      </c>
      <c r="B886" s="2" t="s">
        <v>225</v>
      </c>
      <c r="C886" t="s">
        <v>106</v>
      </c>
      <c r="D886" s="1">
        <v>89391</v>
      </c>
      <c r="E886" t="s">
        <v>27</v>
      </c>
      <c r="F886" t="s">
        <v>11</v>
      </c>
      <c r="G886">
        <v>87.5</v>
      </c>
      <c r="H886">
        <v>8</v>
      </c>
      <c r="I886">
        <v>35</v>
      </c>
      <c r="J886">
        <v>17</v>
      </c>
      <c r="K886">
        <v>30</v>
      </c>
    </row>
    <row r="887" spans="1:11" x14ac:dyDescent="0.25">
      <c r="A887" s="2">
        <v>2017</v>
      </c>
      <c r="B887" s="2" t="s">
        <v>225</v>
      </c>
      <c r="C887" t="s">
        <v>106</v>
      </c>
      <c r="D887" s="1">
        <v>89391</v>
      </c>
      <c r="E887" t="s">
        <v>27</v>
      </c>
      <c r="F887" t="s">
        <v>9</v>
      </c>
      <c r="G887">
        <v>82.1</v>
      </c>
      <c r="H887">
        <v>7</v>
      </c>
      <c r="I887">
        <v>12</v>
      </c>
      <c r="J887">
        <v>9</v>
      </c>
      <c r="K887">
        <v>12</v>
      </c>
    </row>
    <row r="888" spans="1:11" x14ac:dyDescent="0.25">
      <c r="A888" s="2">
        <v>2017</v>
      </c>
      <c r="B888" s="2" t="s">
        <v>225</v>
      </c>
      <c r="C888" t="s">
        <v>106</v>
      </c>
      <c r="D888" s="1">
        <v>89391</v>
      </c>
      <c r="E888" t="s">
        <v>27</v>
      </c>
      <c r="F888" t="s">
        <v>8</v>
      </c>
      <c r="G888">
        <v>84.4</v>
      </c>
      <c r="H888">
        <v>8</v>
      </c>
      <c r="I888">
        <v>44</v>
      </c>
      <c r="J888">
        <v>27</v>
      </c>
      <c r="K888">
        <v>36</v>
      </c>
    </row>
    <row r="889" spans="1:11" x14ac:dyDescent="0.25">
      <c r="A889" s="2">
        <v>2017</v>
      </c>
      <c r="B889" s="2" t="s">
        <v>225</v>
      </c>
      <c r="C889" t="s">
        <v>106</v>
      </c>
      <c r="D889" s="1">
        <v>89391</v>
      </c>
      <c r="E889" t="s">
        <v>27</v>
      </c>
      <c r="F889" t="s">
        <v>10</v>
      </c>
      <c r="G889">
        <v>87.5</v>
      </c>
      <c r="H889">
        <v>8</v>
      </c>
      <c r="I889">
        <v>87</v>
      </c>
      <c r="J889">
        <v>59</v>
      </c>
      <c r="K889">
        <v>62</v>
      </c>
    </row>
    <row r="890" spans="1:11" x14ac:dyDescent="0.25">
      <c r="A890" s="2">
        <v>2017</v>
      </c>
      <c r="B890" s="2" t="s">
        <v>225</v>
      </c>
      <c r="C890" t="s">
        <v>106</v>
      </c>
      <c r="D890" s="1">
        <v>36541</v>
      </c>
      <c r="E890" t="s">
        <v>21</v>
      </c>
      <c r="F890" t="s">
        <v>12</v>
      </c>
      <c r="G890">
        <v>75</v>
      </c>
      <c r="H890">
        <v>2</v>
      </c>
      <c r="I890">
        <v>43</v>
      </c>
      <c r="J890">
        <v>10</v>
      </c>
      <c r="K890">
        <v>20</v>
      </c>
    </row>
    <row r="891" spans="1:11" x14ac:dyDescent="0.25">
      <c r="A891" s="2">
        <v>2017</v>
      </c>
      <c r="B891" s="2" t="s">
        <v>225</v>
      </c>
      <c r="C891" t="s">
        <v>106</v>
      </c>
      <c r="D891" s="1">
        <v>36541</v>
      </c>
      <c r="E891" t="s">
        <v>21</v>
      </c>
      <c r="F891" t="s">
        <v>7</v>
      </c>
      <c r="G891">
        <v>96.9</v>
      </c>
      <c r="H891">
        <v>2</v>
      </c>
      <c r="I891">
        <v>99</v>
      </c>
      <c r="J891">
        <v>99</v>
      </c>
      <c r="K891">
        <v>99</v>
      </c>
    </row>
    <row r="892" spans="1:11" x14ac:dyDescent="0.25">
      <c r="A892" s="2">
        <v>2017</v>
      </c>
      <c r="B892" s="2" t="s">
        <v>225</v>
      </c>
      <c r="C892" t="s">
        <v>106</v>
      </c>
      <c r="D892" s="1">
        <v>36541</v>
      </c>
      <c r="E892" t="s">
        <v>21</v>
      </c>
      <c r="F892" t="s">
        <v>11</v>
      </c>
      <c r="G892">
        <v>100</v>
      </c>
      <c r="H892">
        <v>2</v>
      </c>
      <c r="I892">
        <v>99</v>
      </c>
      <c r="J892">
        <v>99</v>
      </c>
      <c r="K892">
        <v>99</v>
      </c>
    </row>
    <row r="893" spans="1:11" x14ac:dyDescent="0.25">
      <c r="A893" s="2">
        <v>2017</v>
      </c>
      <c r="B893" s="2" t="s">
        <v>225</v>
      </c>
      <c r="C893" t="s">
        <v>106</v>
      </c>
      <c r="D893" s="1">
        <v>36541</v>
      </c>
      <c r="E893" t="s">
        <v>21</v>
      </c>
      <c r="F893" t="s">
        <v>9</v>
      </c>
      <c r="G893">
        <v>100</v>
      </c>
      <c r="H893">
        <v>2</v>
      </c>
      <c r="I893">
        <v>99</v>
      </c>
      <c r="J893">
        <v>99</v>
      </c>
      <c r="K893">
        <v>99</v>
      </c>
    </row>
    <row r="894" spans="1:11" x14ac:dyDescent="0.25">
      <c r="A894" s="2">
        <v>2017</v>
      </c>
      <c r="B894" s="2" t="s">
        <v>225</v>
      </c>
      <c r="C894" t="s">
        <v>106</v>
      </c>
      <c r="D894" s="1">
        <v>36541</v>
      </c>
      <c r="E894" t="s">
        <v>21</v>
      </c>
      <c r="F894" t="s">
        <v>8</v>
      </c>
      <c r="G894">
        <v>87.5</v>
      </c>
      <c r="H894">
        <v>2</v>
      </c>
      <c r="I894">
        <v>87</v>
      </c>
      <c r="J894">
        <v>57</v>
      </c>
      <c r="K894">
        <v>62</v>
      </c>
    </row>
    <row r="895" spans="1:11" x14ac:dyDescent="0.25">
      <c r="A895" s="2">
        <v>2017</v>
      </c>
      <c r="B895" s="2" t="s">
        <v>225</v>
      </c>
      <c r="C895" t="s">
        <v>106</v>
      </c>
      <c r="D895" s="1">
        <v>36541</v>
      </c>
      <c r="E895" t="s">
        <v>21</v>
      </c>
      <c r="F895" t="s">
        <v>10</v>
      </c>
      <c r="G895">
        <v>100</v>
      </c>
      <c r="H895">
        <v>1</v>
      </c>
      <c r="I895">
        <v>99</v>
      </c>
      <c r="J895">
        <v>99</v>
      </c>
      <c r="K895">
        <v>99</v>
      </c>
    </row>
    <row r="896" spans="1:11" x14ac:dyDescent="0.25">
      <c r="A896" s="2">
        <v>2017</v>
      </c>
      <c r="B896" s="2" t="s">
        <v>225</v>
      </c>
      <c r="C896" t="s">
        <v>106</v>
      </c>
      <c r="D896" s="1">
        <v>91405</v>
      </c>
      <c r="E896" t="s">
        <v>39</v>
      </c>
      <c r="F896" t="s">
        <v>12</v>
      </c>
      <c r="G896">
        <v>100</v>
      </c>
      <c r="H896">
        <v>7</v>
      </c>
      <c r="I896">
        <v>99</v>
      </c>
      <c r="J896">
        <v>99</v>
      </c>
      <c r="K896">
        <v>99</v>
      </c>
    </row>
    <row r="897" spans="1:11" x14ac:dyDescent="0.25">
      <c r="A897" s="2">
        <v>2017</v>
      </c>
      <c r="B897" s="2" t="s">
        <v>225</v>
      </c>
      <c r="C897" t="s">
        <v>106</v>
      </c>
      <c r="D897" s="1">
        <v>91405</v>
      </c>
      <c r="E897" t="s">
        <v>39</v>
      </c>
      <c r="F897" t="s">
        <v>7</v>
      </c>
      <c r="G897">
        <v>83.6</v>
      </c>
      <c r="H897">
        <v>8</v>
      </c>
      <c r="I897">
        <v>24</v>
      </c>
      <c r="J897">
        <v>12</v>
      </c>
      <c r="K897">
        <v>21</v>
      </c>
    </row>
    <row r="898" spans="1:11" x14ac:dyDescent="0.25">
      <c r="A898" s="2">
        <v>2017</v>
      </c>
      <c r="B898" s="2" t="s">
        <v>225</v>
      </c>
      <c r="C898" t="s">
        <v>106</v>
      </c>
      <c r="D898" s="1">
        <v>91405</v>
      </c>
      <c r="E898" t="s">
        <v>39</v>
      </c>
      <c r="F898" t="s">
        <v>11</v>
      </c>
      <c r="G898">
        <v>87.5</v>
      </c>
      <c r="H898">
        <v>8</v>
      </c>
      <c r="I898">
        <v>35</v>
      </c>
      <c r="J898">
        <v>17</v>
      </c>
      <c r="K898">
        <v>30</v>
      </c>
    </row>
    <row r="899" spans="1:11" x14ac:dyDescent="0.25">
      <c r="A899" s="2">
        <v>2017</v>
      </c>
      <c r="B899" s="2" t="s">
        <v>225</v>
      </c>
      <c r="C899" t="s">
        <v>106</v>
      </c>
      <c r="D899" s="1">
        <v>91405</v>
      </c>
      <c r="E899" t="s">
        <v>39</v>
      </c>
      <c r="F899" t="s">
        <v>9</v>
      </c>
      <c r="G899">
        <v>84.4</v>
      </c>
      <c r="H899">
        <v>8</v>
      </c>
      <c r="I899">
        <v>25</v>
      </c>
      <c r="J899">
        <v>13</v>
      </c>
      <c r="K899">
        <v>24</v>
      </c>
    </row>
    <row r="900" spans="1:11" x14ac:dyDescent="0.25">
      <c r="A900" s="2">
        <v>2017</v>
      </c>
      <c r="B900" s="2" t="s">
        <v>225</v>
      </c>
      <c r="C900" t="s">
        <v>106</v>
      </c>
      <c r="D900" s="1">
        <v>91405</v>
      </c>
      <c r="E900" t="s">
        <v>39</v>
      </c>
      <c r="F900" t="s">
        <v>8</v>
      </c>
      <c r="G900">
        <v>84.4</v>
      </c>
      <c r="H900">
        <v>8</v>
      </c>
      <c r="I900">
        <v>44</v>
      </c>
      <c r="J900">
        <v>27</v>
      </c>
      <c r="K900">
        <v>36</v>
      </c>
    </row>
    <row r="901" spans="1:11" x14ac:dyDescent="0.25">
      <c r="A901" s="2">
        <v>2017</v>
      </c>
      <c r="B901" s="2" t="s">
        <v>225</v>
      </c>
      <c r="C901" t="s">
        <v>106</v>
      </c>
      <c r="D901" s="1">
        <v>91405</v>
      </c>
      <c r="E901" t="s">
        <v>39</v>
      </c>
      <c r="F901" t="s">
        <v>10</v>
      </c>
      <c r="G901">
        <v>78.099999999999994</v>
      </c>
      <c r="H901">
        <v>8</v>
      </c>
      <c r="I901">
        <v>5</v>
      </c>
      <c r="J901">
        <v>6</v>
      </c>
      <c r="K901">
        <v>6</v>
      </c>
    </row>
    <row r="902" spans="1:11" x14ac:dyDescent="0.25">
      <c r="A902" s="2">
        <v>2017</v>
      </c>
      <c r="B902" s="2" t="s">
        <v>225</v>
      </c>
      <c r="C902" t="s">
        <v>106</v>
      </c>
      <c r="D902" s="1">
        <v>58321</v>
      </c>
      <c r="E902" t="s">
        <v>40</v>
      </c>
      <c r="F902" t="s">
        <v>12</v>
      </c>
      <c r="G902">
        <v>68.8</v>
      </c>
      <c r="H902">
        <v>4</v>
      </c>
      <c r="I902">
        <v>19</v>
      </c>
      <c r="J902">
        <v>5</v>
      </c>
      <c r="K902">
        <v>6</v>
      </c>
    </row>
    <row r="903" spans="1:11" x14ac:dyDescent="0.25">
      <c r="A903" s="2">
        <v>2017</v>
      </c>
      <c r="B903" s="2" t="s">
        <v>225</v>
      </c>
      <c r="C903" t="s">
        <v>106</v>
      </c>
      <c r="D903" s="1">
        <v>58321</v>
      </c>
      <c r="E903" t="s">
        <v>40</v>
      </c>
      <c r="F903" t="s">
        <v>7</v>
      </c>
      <c r="G903">
        <v>84.4</v>
      </c>
      <c r="H903">
        <v>4</v>
      </c>
      <c r="I903">
        <v>29</v>
      </c>
      <c r="J903">
        <v>14</v>
      </c>
      <c r="K903">
        <v>26</v>
      </c>
    </row>
    <row r="904" spans="1:11" x14ac:dyDescent="0.25">
      <c r="A904" s="2">
        <v>2017</v>
      </c>
      <c r="B904" s="2" t="s">
        <v>225</v>
      </c>
      <c r="C904" t="s">
        <v>106</v>
      </c>
      <c r="D904" s="1">
        <v>58321</v>
      </c>
      <c r="E904" t="s">
        <v>40</v>
      </c>
      <c r="F904" t="s">
        <v>11</v>
      </c>
      <c r="G904">
        <v>81.3</v>
      </c>
      <c r="H904">
        <v>4</v>
      </c>
      <c r="I904">
        <v>3</v>
      </c>
      <c r="J904">
        <v>5</v>
      </c>
      <c r="K904">
        <v>4</v>
      </c>
    </row>
    <row r="905" spans="1:11" x14ac:dyDescent="0.25">
      <c r="A905" s="2">
        <v>2017</v>
      </c>
      <c r="B905" s="2" t="s">
        <v>225</v>
      </c>
      <c r="C905" t="s">
        <v>106</v>
      </c>
      <c r="D905" s="1">
        <v>58321</v>
      </c>
      <c r="E905" t="s">
        <v>40</v>
      </c>
      <c r="F905" t="s">
        <v>9</v>
      </c>
      <c r="G905">
        <v>81.3</v>
      </c>
      <c r="H905">
        <v>4</v>
      </c>
      <c r="I905">
        <v>8</v>
      </c>
      <c r="J905">
        <v>8</v>
      </c>
      <c r="K905">
        <v>9</v>
      </c>
    </row>
    <row r="906" spans="1:11" x14ac:dyDescent="0.25">
      <c r="A906" s="2">
        <v>2017</v>
      </c>
      <c r="B906" s="2" t="s">
        <v>225</v>
      </c>
      <c r="C906" t="s">
        <v>106</v>
      </c>
      <c r="D906" s="1">
        <v>58321</v>
      </c>
      <c r="E906" t="s">
        <v>40</v>
      </c>
      <c r="F906" t="s">
        <v>8</v>
      </c>
      <c r="G906">
        <v>87.5</v>
      </c>
      <c r="H906">
        <v>4</v>
      </c>
      <c r="I906">
        <v>87</v>
      </c>
      <c r="J906">
        <v>57</v>
      </c>
      <c r="K906">
        <v>62</v>
      </c>
    </row>
    <row r="907" spans="1:11" x14ac:dyDescent="0.25">
      <c r="A907" s="2">
        <v>2017</v>
      </c>
      <c r="B907" s="2" t="s">
        <v>225</v>
      </c>
      <c r="C907" t="s">
        <v>106</v>
      </c>
      <c r="D907" s="1">
        <v>58321</v>
      </c>
      <c r="E907" t="s">
        <v>40</v>
      </c>
      <c r="F907" t="s">
        <v>10</v>
      </c>
      <c r="G907">
        <v>87.5</v>
      </c>
      <c r="H907">
        <v>4</v>
      </c>
      <c r="I907">
        <v>87</v>
      </c>
      <c r="J907">
        <v>59</v>
      </c>
      <c r="K907">
        <v>62</v>
      </c>
    </row>
    <row r="908" spans="1:11" x14ac:dyDescent="0.25">
      <c r="A908" s="2">
        <v>2017</v>
      </c>
      <c r="B908" s="2" t="s">
        <v>225</v>
      </c>
      <c r="C908" t="s">
        <v>106</v>
      </c>
      <c r="D908" s="1">
        <v>23994</v>
      </c>
      <c r="E908" t="s">
        <v>31</v>
      </c>
      <c r="F908" t="s">
        <v>12</v>
      </c>
      <c r="G908">
        <v>52.5</v>
      </c>
      <c r="H908">
        <v>10</v>
      </c>
      <c r="I908">
        <v>1</v>
      </c>
      <c r="J908">
        <v>1</v>
      </c>
      <c r="K908">
        <v>1</v>
      </c>
    </row>
    <row r="909" spans="1:11" x14ac:dyDescent="0.25">
      <c r="A909" s="2">
        <v>2017</v>
      </c>
      <c r="B909" s="2" t="s">
        <v>225</v>
      </c>
      <c r="C909" t="s">
        <v>106</v>
      </c>
      <c r="D909" s="1">
        <v>23994</v>
      </c>
      <c r="E909" t="s">
        <v>31</v>
      </c>
      <c r="F909" t="s">
        <v>7</v>
      </c>
      <c r="G909">
        <v>63.2</v>
      </c>
      <c r="H909">
        <v>9</v>
      </c>
      <c r="I909">
        <v>1</v>
      </c>
      <c r="J909">
        <v>1</v>
      </c>
      <c r="K909">
        <v>1</v>
      </c>
    </row>
    <row r="910" spans="1:11" x14ac:dyDescent="0.25">
      <c r="A910" s="2">
        <v>2017</v>
      </c>
      <c r="B910" s="2" t="s">
        <v>225</v>
      </c>
      <c r="C910" t="s">
        <v>106</v>
      </c>
      <c r="D910" s="1">
        <v>23994</v>
      </c>
      <c r="E910" t="s">
        <v>31</v>
      </c>
      <c r="F910" t="s">
        <v>11</v>
      </c>
      <c r="G910">
        <v>66.7</v>
      </c>
      <c r="H910">
        <v>9</v>
      </c>
      <c r="I910">
        <v>1</v>
      </c>
      <c r="J910">
        <v>1</v>
      </c>
      <c r="K910">
        <v>1</v>
      </c>
    </row>
    <row r="911" spans="1:11" x14ac:dyDescent="0.25">
      <c r="A911" s="2">
        <v>2017</v>
      </c>
      <c r="B911" s="2" t="s">
        <v>225</v>
      </c>
      <c r="C911" t="s">
        <v>106</v>
      </c>
      <c r="D911" s="1">
        <v>23994</v>
      </c>
      <c r="E911" t="s">
        <v>31</v>
      </c>
      <c r="F911" t="s">
        <v>9</v>
      </c>
      <c r="G911">
        <v>61.1</v>
      </c>
      <c r="H911">
        <v>9</v>
      </c>
      <c r="I911">
        <v>1</v>
      </c>
      <c r="J911">
        <v>1</v>
      </c>
      <c r="K911">
        <v>1</v>
      </c>
    </row>
    <row r="912" spans="1:11" x14ac:dyDescent="0.25">
      <c r="A912" s="2">
        <v>2017</v>
      </c>
      <c r="B912" s="2" t="s">
        <v>225</v>
      </c>
      <c r="C912" t="s">
        <v>106</v>
      </c>
      <c r="D912" s="1">
        <v>23994</v>
      </c>
      <c r="E912" t="s">
        <v>31</v>
      </c>
      <c r="F912" t="s">
        <v>8</v>
      </c>
      <c r="G912">
        <v>58.3</v>
      </c>
      <c r="H912">
        <v>9</v>
      </c>
      <c r="I912">
        <v>1</v>
      </c>
      <c r="J912">
        <v>1</v>
      </c>
      <c r="K912">
        <v>1</v>
      </c>
    </row>
    <row r="913" spans="1:11" x14ac:dyDescent="0.25">
      <c r="A913" s="2">
        <v>2017</v>
      </c>
      <c r="B913" s="2" t="s">
        <v>225</v>
      </c>
      <c r="C913" t="s">
        <v>106</v>
      </c>
      <c r="D913" s="1">
        <v>23994</v>
      </c>
      <c r="E913" t="s">
        <v>31</v>
      </c>
      <c r="F913" t="s">
        <v>10</v>
      </c>
      <c r="G913">
        <v>66.7</v>
      </c>
      <c r="H913">
        <v>9</v>
      </c>
      <c r="I913">
        <v>1</v>
      </c>
      <c r="J913">
        <v>1</v>
      </c>
      <c r="K913">
        <v>1</v>
      </c>
    </row>
    <row r="914" spans="1:11" x14ac:dyDescent="0.25">
      <c r="A914" s="2">
        <v>2017</v>
      </c>
      <c r="B914" s="2" t="s">
        <v>225</v>
      </c>
      <c r="C914" t="s">
        <v>106</v>
      </c>
      <c r="D914" s="1">
        <v>22673</v>
      </c>
      <c r="E914" t="s">
        <v>17</v>
      </c>
      <c r="F914" t="s">
        <v>12</v>
      </c>
      <c r="G914">
        <v>75</v>
      </c>
      <c r="H914">
        <v>3</v>
      </c>
      <c r="I914">
        <v>43</v>
      </c>
      <c r="J914">
        <v>10</v>
      </c>
      <c r="K914">
        <v>20</v>
      </c>
    </row>
    <row r="915" spans="1:11" x14ac:dyDescent="0.25">
      <c r="A915" s="2">
        <v>2017</v>
      </c>
      <c r="B915" s="2" t="s">
        <v>225</v>
      </c>
      <c r="C915" t="s">
        <v>106</v>
      </c>
      <c r="D915" s="1">
        <v>22673</v>
      </c>
      <c r="E915" t="s">
        <v>17</v>
      </c>
      <c r="F915" t="s">
        <v>7</v>
      </c>
      <c r="G915">
        <v>83.3</v>
      </c>
      <c r="H915">
        <v>3</v>
      </c>
      <c r="I915">
        <v>23</v>
      </c>
      <c r="J915">
        <v>12</v>
      </c>
      <c r="K915">
        <v>19</v>
      </c>
    </row>
    <row r="916" spans="1:11" x14ac:dyDescent="0.25">
      <c r="A916" s="2">
        <v>2017</v>
      </c>
      <c r="B916" s="2" t="s">
        <v>225</v>
      </c>
      <c r="C916" t="s">
        <v>106</v>
      </c>
      <c r="D916" s="1">
        <v>22673</v>
      </c>
      <c r="E916" t="s">
        <v>17</v>
      </c>
      <c r="F916" t="s">
        <v>11</v>
      </c>
      <c r="G916">
        <v>83.3</v>
      </c>
      <c r="H916">
        <v>3</v>
      </c>
      <c r="I916">
        <v>8</v>
      </c>
      <c r="J916">
        <v>6</v>
      </c>
      <c r="K916">
        <v>8</v>
      </c>
    </row>
    <row r="917" spans="1:11" x14ac:dyDescent="0.25">
      <c r="A917" s="2">
        <v>2017</v>
      </c>
      <c r="B917" s="2" t="s">
        <v>225</v>
      </c>
      <c r="C917" t="s">
        <v>106</v>
      </c>
      <c r="D917" s="1">
        <v>22673</v>
      </c>
      <c r="E917" t="s">
        <v>17</v>
      </c>
      <c r="F917" t="s">
        <v>9</v>
      </c>
      <c r="G917">
        <v>83.3</v>
      </c>
      <c r="H917">
        <v>3</v>
      </c>
      <c r="I917">
        <v>18</v>
      </c>
      <c r="J917">
        <v>12</v>
      </c>
      <c r="K917">
        <v>18</v>
      </c>
    </row>
    <row r="918" spans="1:11" x14ac:dyDescent="0.25">
      <c r="A918" s="2">
        <v>2017</v>
      </c>
      <c r="B918" s="2" t="s">
        <v>225</v>
      </c>
      <c r="C918" t="s">
        <v>106</v>
      </c>
      <c r="D918" s="1">
        <v>22673</v>
      </c>
      <c r="E918" t="s">
        <v>17</v>
      </c>
      <c r="F918" t="s">
        <v>8</v>
      </c>
      <c r="G918">
        <v>83.3</v>
      </c>
      <c r="H918">
        <v>3</v>
      </c>
      <c r="I918">
        <v>35</v>
      </c>
      <c r="J918">
        <v>20</v>
      </c>
      <c r="K918">
        <v>28</v>
      </c>
    </row>
    <row r="919" spans="1:11" x14ac:dyDescent="0.25">
      <c r="A919" s="2">
        <v>2017</v>
      </c>
      <c r="B919" s="2" t="s">
        <v>225</v>
      </c>
      <c r="C919" t="s">
        <v>106</v>
      </c>
      <c r="D919" s="1">
        <v>22673</v>
      </c>
      <c r="E919" t="s">
        <v>17</v>
      </c>
      <c r="F919" t="s">
        <v>10</v>
      </c>
      <c r="G919">
        <v>83.3</v>
      </c>
      <c r="H919">
        <v>3</v>
      </c>
      <c r="I919">
        <v>32</v>
      </c>
      <c r="J919">
        <v>19</v>
      </c>
      <c r="K919">
        <v>27</v>
      </c>
    </row>
    <row r="920" spans="1:11" x14ac:dyDescent="0.25">
      <c r="A920" s="2">
        <v>2017</v>
      </c>
      <c r="B920" s="2" t="s">
        <v>225</v>
      </c>
      <c r="C920" t="s">
        <v>106</v>
      </c>
      <c r="D920" s="1">
        <v>91397</v>
      </c>
      <c r="E920" t="s">
        <v>41</v>
      </c>
      <c r="F920" t="s">
        <v>12</v>
      </c>
      <c r="G920">
        <v>75</v>
      </c>
      <c r="H920">
        <v>6</v>
      </c>
      <c r="I920">
        <v>43</v>
      </c>
      <c r="J920">
        <v>10</v>
      </c>
      <c r="K920">
        <v>20</v>
      </c>
    </row>
    <row r="921" spans="1:11" x14ac:dyDescent="0.25">
      <c r="A921" s="2">
        <v>2017</v>
      </c>
      <c r="B921" s="2" t="s">
        <v>225</v>
      </c>
      <c r="C921" t="s">
        <v>106</v>
      </c>
      <c r="D921" s="1">
        <v>91397</v>
      </c>
      <c r="E921" t="s">
        <v>41</v>
      </c>
      <c r="F921" t="s">
        <v>7</v>
      </c>
      <c r="G921">
        <v>75</v>
      </c>
      <c r="H921">
        <v>6</v>
      </c>
      <c r="I921">
        <v>1</v>
      </c>
      <c r="J921">
        <v>1</v>
      </c>
      <c r="K921">
        <v>1</v>
      </c>
    </row>
    <row r="922" spans="1:11" x14ac:dyDescent="0.25">
      <c r="A922" s="2">
        <v>2017</v>
      </c>
      <c r="B922" s="2" t="s">
        <v>225</v>
      </c>
      <c r="C922" t="s">
        <v>106</v>
      </c>
      <c r="D922" s="1">
        <v>91397</v>
      </c>
      <c r="E922" t="s">
        <v>41</v>
      </c>
      <c r="F922" t="s">
        <v>11</v>
      </c>
      <c r="G922">
        <v>83.3</v>
      </c>
      <c r="H922">
        <v>6</v>
      </c>
      <c r="I922">
        <v>8</v>
      </c>
      <c r="J922">
        <v>6</v>
      </c>
      <c r="K922">
        <v>8</v>
      </c>
    </row>
    <row r="923" spans="1:11" x14ac:dyDescent="0.25">
      <c r="A923" s="2">
        <v>2017</v>
      </c>
      <c r="B923" s="2" t="s">
        <v>225</v>
      </c>
      <c r="C923" t="s">
        <v>106</v>
      </c>
      <c r="D923" s="1">
        <v>91397</v>
      </c>
      <c r="E923" t="s">
        <v>41</v>
      </c>
      <c r="F923" t="s">
        <v>9</v>
      </c>
      <c r="G923">
        <v>83.3</v>
      </c>
      <c r="H923">
        <v>6</v>
      </c>
      <c r="I923">
        <v>18</v>
      </c>
      <c r="J923">
        <v>12</v>
      </c>
      <c r="K923">
        <v>18</v>
      </c>
    </row>
    <row r="924" spans="1:11" x14ac:dyDescent="0.25">
      <c r="A924" s="2">
        <v>2017</v>
      </c>
      <c r="B924" s="2" t="s">
        <v>225</v>
      </c>
      <c r="C924" t="s">
        <v>106</v>
      </c>
      <c r="D924" s="1">
        <v>91397</v>
      </c>
      <c r="E924" t="s">
        <v>41</v>
      </c>
      <c r="F924" t="s">
        <v>8</v>
      </c>
      <c r="G924">
        <v>66.7</v>
      </c>
      <c r="H924">
        <v>6</v>
      </c>
      <c r="I924">
        <v>1</v>
      </c>
      <c r="J924">
        <v>1</v>
      </c>
      <c r="K924">
        <v>1</v>
      </c>
    </row>
    <row r="925" spans="1:11" x14ac:dyDescent="0.25">
      <c r="A925" s="2">
        <v>2017</v>
      </c>
      <c r="B925" s="2" t="s">
        <v>225</v>
      </c>
      <c r="C925" t="s">
        <v>106</v>
      </c>
      <c r="D925" s="1">
        <v>91397</v>
      </c>
      <c r="E925" t="s">
        <v>41</v>
      </c>
      <c r="F925" t="s">
        <v>10</v>
      </c>
      <c r="G925">
        <v>66.7</v>
      </c>
      <c r="H925">
        <v>6</v>
      </c>
      <c r="I925">
        <v>1</v>
      </c>
      <c r="J925">
        <v>1</v>
      </c>
      <c r="K925">
        <v>1</v>
      </c>
    </row>
    <row r="926" spans="1:11" x14ac:dyDescent="0.25">
      <c r="A926" s="2">
        <v>2017</v>
      </c>
      <c r="B926" s="2" t="s">
        <v>225</v>
      </c>
      <c r="C926" t="s">
        <v>106</v>
      </c>
      <c r="D926" s="1">
        <v>88963</v>
      </c>
      <c r="E926" t="s">
        <v>34</v>
      </c>
      <c r="F926" t="s">
        <v>12</v>
      </c>
      <c r="G926">
        <v>75</v>
      </c>
      <c r="H926">
        <v>2</v>
      </c>
      <c r="I926">
        <v>43</v>
      </c>
      <c r="J926">
        <v>10</v>
      </c>
      <c r="K926">
        <v>20</v>
      </c>
    </row>
    <row r="927" spans="1:11" x14ac:dyDescent="0.25">
      <c r="A927" s="2">
        <v>2017</v>
      </c>
      <c r="B927" s="2" t="s">
        <v>225</v>
      </c>
      <c r="C927" t="s">
        <v>106</v>
      </c>
      <c r="D927" s="1">
        <v>88963</v>
      </c>
      <c r="E927" t="s">
        <v>34</v>
      </c>
      <c r="F927" t="s">
        <v>7</v>
      </c>
      <c r="G927">
        <v>87.5</v>
      </c>
      <c r="H927">
        <v>2</v>
      </c>
      <c r="I927">
        <v>68</v>
      </c>
      <c r="J927">
        <v>40</v>
      </c>
      <c r="K927">
        <v>53</v>
      </c>
    </row>
    <row r="928" spans="1:11" x14ac:dyDescent="0.25">
      <c r="A928" s="2">
        <v>2017</v>
      </c>
      <c r="B928" s="2" t="s">
        <v>225</v>
      </c>
      <c r="C928" t="s">
        <v>106</v>
      </c>
      <c r="D928" s="1">
        <v>88963</v>
      </c>
      <c r="E928" t="s">
        <v>34</v>
      </c>
      <c r="F928" t="s">
        <v>11</v>
      </c>
      <c r="G928">
        <v>87.5</v>
      </c>
      <c r="H928">
        <v>2</v>
      </c>
      <c r="I928">
        <v>35</v>
      </c>
      <c r="J928">
        <v>17</v>
      </c>
      <c r="K928">
        <v>30</v>
      </c>
    </row>
    <row r="929" spans="1:11" x14ac:dyDescent="0.25">
      <c r="A929" s="2">
        <v>2017</v>
      </c>
      <c r="B929" s="2" t="s">
        <v>225</v>
      </c>
      <c r="C929" t="s">
        <v>106</v>
      </c>
      <c r="D929" s="1">
        <v>88963</v>
      </c>
      <c r="E929" t="s">
        <v>34</v>
      </c>
      <c r="F929" t="s">
        <v>9</v>
      </c>
      <c r="G929">
        <v>87.5</v>
      </c>
      <c r="H929">
        <v>2</v>
      </c>
      <c r="I929">
        <v>64</v>
      </c>
      <c r="J929">
        <v>40</v>
      </c>
      <c r="K929">
        <v>50</v>
      </c>
    </row>
    <row r="930" spans="1:11" x14ac:dyDescent="0.25">
      <c r="A930" s="2">
        <v>2017</v>
      </c>
      <c r="B930" s="2" t="s">
        <v>225</v>
      </c>
      <c r="C930" t="s">
        <v>106</v>
      </c>
      <c r="D930" s="1">
        <v>88963</v>
      </c>
      <c r="E930" t="s">
        <v>34</v>
      </c>
      <c r="F930" t="s">
        <v>8</v>
      </c>
      <c r="G930">
        <v>87.5</v>
      </c>
      <c r="H930">
        <v>2</v>
      </c>
      <c r="I930">
        <v>87</v>
      </c>
      <c r="J930">
        <v>57</v>
      </c>
      <c r="K930">
        <v>62</v>
      </c>
    </row>
    <row r="931" spans="1:11" x14ac:dyDescent="0.25">
      <c r="A931" s="2">
        <v>2017</v>
      </c>
      <c r="B931" s="2" t="s">
        <v>225</v>
      </c>
      <c r="C931" t="s">
        <v>106</v>
      </c>
      <c r="D931" s="1">
        <v>88963</v>
      </c>
      <c r="E931" t="s">
        <v>34</v>
      </c>
      <c r="F931" t="s">
        <v>10</v>
      </c>
      <c r="G931">
        <v>87.5</v>
      </c>
      <c r="H931">
        <v>2</v>
      </c>
      <c r="I931">
        <v>87</v>
      </c>
      <c r="J931">
        <v>59</v>
      </c>
      <c r="K931">
        <v>62</v>
      </c>
    </row>
    <row r="932" spans="1:11" x14ac:dyDescent="0.25">
      <c r="A932" s="2">
        <v>2017</v>
      </c>
      <c r="B932" s="2" t="s">
        <v>225</v>
      </c>
      <c r="C932" t="s">
        <v>106</v>
      </c>
      <c r="D932" s="1">
        <v>8888</v>
      </c>
      <c r="E932" t="s">
        <v>226</v>
      </c>
      <c r="F932" t="s">
        <v>12</v>
      </c>
      <c r="G932">
        <v>68.2</v>
      </c>
      <c r="H932">
        <v>11</v>
      </c>
      <c r="I932">
        <v>16</v>
      </c>
      <c r="J932">
        <v>5</v>
      </c>
      <c r="K932">
        <v>5</v>
      </c>
    </row>
    <row r="933" spans="1:11" x14ac:dyDescent="0.25">
      <c r="A933" s="2">
        <v>2017</v>
      </c>
      <c r="B933" s="2" t="s">
        <v>225</v>
      </c>
      <c r="C933" t="s">
        <v>106</v>
      </c>
      <c r="D933" s="1">
        <v>8888</v>
      </c>
      <c r="E933" t="s">
        <v>226</v>
      </c>
      <c r="F933" t="s">
        <v>7</v>
      </c>
      <c r="G933">
        <v>86.9</v>
      </c>
      <c r="H933">
        <v>11</v>
      </c>
      <c r="I933">
        <v>60</v>
      </c>
      <c r="J933">
        <v>40</v>
      </c>
      <c r="K933">
        <v>47</v>
      </c>
    </row>
    <row r="934" spans="1:11" x14ac:dyDescent="0.25">
      <c r="A934" s="2">
        <v>2017</v>
      </c>
      <c r="B934" s="2" t="s">
        <v>225</v>
      </c>
      <c r="C934" t="s">
        <v>106</v>
      </c>
      <c r="D934" s="1">
        <v>8888</v>
      </c>
      <c r="E934" t="s">
        <v>226</v>
      </c>
      <c r="F934" t="s">
        <v>11</v>
      </c>
      <c r="G934">
        <v>88.6</v>
      </c>
      <c r="H934">
        <v>11</v>
      </c>
      <c r="I934">
        <v>49</v>
      </c>
      <c r="J934">
        <v>32</v>
      </c>
      <c r="K934">
        <v>41</v>
      </c>
    </row>
    <row r="935" spans="1:11" x14ac:dyDescent="0.25">
      <c r="A935" s="2">
        <v>2017</v>
      </c>
      <c r="B935" s="2" t="s">
        <v>225</v>
      </c>
      <c r="C935" t="s">
        <v>106</v>
      </c>
      <c r="D935" s="1">
        <v>8888</v>
      </c>
      <c r="E935" t="s">
        <v>226</v>
      </c>
      <c r="F935" t="s">
        <v>9</v>
      </c>
      <c r="G935">
        <v>88.6</v>
      </c>
      <c r="H935">
        <v>11</v>
      </c>
      <c r="I935">
        <v>81</v>
      </c>
      <c r="J935">
        <v>52</v>
      </c>
      <c r="K935">
        <v>61</v>
      </c>
    </row>
    <row r="936" spans="1:11" x14ac:dyDescent="0.25">
      <c r="A936" s="2">
        <v>2017</v>
      </c>
      <c r="B936" s="2" t="s">
        <v>225</v>
      </c>
      <c r="C936" t="s">
        <v>106</v>
      </c>
      <c r="D936" s="1">
        <v>8888</v>
      </c>
      <c r="E936" t="s">
        <v>226</v>
      </c>
      <c r="F936" t="s">
        <v>8</v>
      </c>
      <c r="G936">
        <v>86.4</v>
      </c>
      <c r="H936">
        <v>11</v>
      </c>
      <c r="I936">
        <v>72</v>
      </c>
      <c r="J936">
        <v>43</v>
      </c>
      <c r="K936">
        <v>54</v>
      </c>
    </row>
    <row r="937" spans="1:11" x14ac:dyDescent="0.25">
      <c r="A937" s="2">
        <v>2017</v>
      </c>
      <c r="B937" s="2" t="s">
        <v>225</v>
      </c>
      <c r="C937" t="s">
        <v>106</v>
      </c>
      <c r="D937" s="1">
        <v>8888</v>
      </c>
      <c r="E937" t="s">
        <v>226</v>
      </c>
      <c r="F937" t="s">
        <v>10</v>
      </c>
      <c r="G937">
        <v>84.1</v>
      </c>
      <c r="H937">
        <v>11</v>
      </c>
      <c r="I937">
        <v>42</v>
      </c>
      <c r="J937">
        <v>19</v>
      </c>
      <c r="K937">
        <v>33</v>
      </c>
    </row>
    <row r="938" spans="1:11" x14ac:dyDescent="0.25">
      <c r="A938" s="2">
        <v>2017</v>
      </c>
      <c r="B938" s="2" t="s">
        <v>275</v>
      </c>
      <c r="C938" t="s">
        <v>106</v>
      </c>
      <c r="D938" s="1">
        <v>117671</v>
      </c>
      <c r="E938" t="s">
        <v>25</v>
      </c>
      <c r="F938" t="s">
        <v>12</v>
      </c>
      <c r="G938">
        <v>58.3</v>
      </c>
      <c r="H938">
        <v>3</v>
      </c>
      <c r="I938">
        <v>1</v>
      </c>
      <c r="J938">
        <v>2</v>
      </c>
      <c r="K938">
        <v>1</v>
      </c>
    </row>
    <row r="939" spans="1:11" x14ac:dyDescent="0.25">
      <c r="A939" s="2">
        <v>2017</v>
      </c>
      <c r="B939" s="2" t="s">
        <v>275</v>
      </c>
      <c r="C939" t="s">
        <v>106</v>
      </c>
      <c r="D939" s="1">
        <v>117671</v>
      </c>
      <c r="E939" t="s">
        <v>25</v>
      </c>
      <c r="F939" t="s">
        <v>7</v>
      </c>
      <c r="G939">
        <v>68.8</v>
      </c>
      <c r="H939">
        <v>3</v>
      </c>
      <c r="I939">
        <v>1</v>
      </c>
      <c r="J939">
        <v>1</v>
      </c>
      <c r="K939">
        <v>1</v>
      </c>
    </row>
    <row r="940" spans="1:11" x14ac:dyDescent="0.25">
      <c r="A940" s="2">
        <v>2017</v>
      </c>
      <c r="B940" s="2" t="s">
        <v>275</v>
      </c>
      <c r="C940" t="s">
        <v>106</v>
      </c>
      <c r="D940" s="1">
        <v>117671</v>
      </c>
      <c r="E940" t="s">
        <v>25</v>
      </c>
      <c r="F940" t="s">
        <v>11</v>
      </c>
      <c r="G940">
        <v>75</v>
      </c>
      <c r="H940">
        <v>3</v>
      </c>
      <c r="I940">
        <v>1</v>
      </c>
      <c r="J940">
        <v>1</v>
      </c>
      <c r="K940">
        <v>1</v>
      </c>
    </row>
    <row r="941" spans="1:11" x14ac:dyDescent="0.25">
      <c r="A941" s="2">
        <v>2017</v>
      </c>
      <c r="B941" s="2" t="s">
        <v>275</v>
      </c>
      <c r="C941" t="s">
        <v>106</v>
      </c>
      <c r="D941" s="1">
        <v>117671</v>
      </c>
      <c r="E941" t="s">
        <v>25</v>
      </c>
      <c r="F941" t="s">
        <v>9</v>
      </c>
      <c r="G941">
        <v>66.7</v>
      </c>
      <c r="H941">
        <v>3</v>
      </c>
      <c r="I941">
        <v>1</v>
      </c>
      <c r="J941">
        <v>1</v>
      </c>
      <c r="K941">
        <v>1</v>
      </c>
    </row>
    <row r="942" spans="1:11" x14ac:dyDescent="0.25">
      <c r="A942" s="2">
        <v>2017</v>
      </c>
      <c r="B942" s="2" t="s">
        <v>275</v>
      </c>
      <c r="C942" t="s">
        <v>106</v>
      </c>
      <c r="D942" s="1">
        <v>117671</v>
      </c>
      <c r="E942" t="s">
        <v>25</v>
      </c>
      <c r="F942" t="s">
        <v>8</v>
      </c>
      <c r="G942">
        <v>66.7</v>
      </c>
      <c r="H942">
        <v>3</v>
      </c>
      <c r="I942">
        <v>1</v>
      </c>
      <c r="J942">
        <v>1</v>
      </c>
      <c r="K942">
        <v>1</v>
      </c>
    </row>
    <row r="943" spans="1:11" x14ac:dyDescent="0.25">
      <c r="A943" s="2">
        <v>2017</v>
      </c>
      <c r="B943" s="2" t="s">
        <v>275</v>
      </c>
      <c r="C943" t="s">
        <v>106</v>
      </c>
      <c r="D943" s="1">
        <v>117671</v>
      </c>
      <c r="E943" t="s">
        <v>25</v>
      </c>
      <c r="F943" t="s">
        <v>10</v>
      </c>
      <c r="G943">
        <v>66.7</v>
      </c>
      <c r="H943">
        <v>3</v>
      </c>
      <c r="I943">
        <v>1</v>
      </c>
      <c r="J943">
        <v>1</v>
      </c>
      <c r="K943">
        <v>1</v>
      </c>
    </row>
    <row r="944" spans="1:11" x14ac:dyDescent="0.25">
      <c r="A944" s="2">
        <v>2017</v>
      </c>
      <c r="B944" s="2" t="s">
        <v>275</v>
      </c>
      <c r="C944" t="s">
        <v>106</v>
      </c>
      <c r="D944" s="1">
        <v>104133</v>
      </c>
      <c r="E944" t="s">
        <v>20</v>
      </c>
      <c r="F944" t="s">
        <v>12</v>
      </c>
      <c r="G944">
        <v>70</v>
      </c>
      <c r="H944">
        <v>5</v>
      </c>
      <c r="I944">
        <v>26</v>
      </c>
      <c r="J944">
        <v>6</v>
      </c>
      <c r="K944">
        <v>7</v>
      </c>
    </row>
    <row r="945" spans="1:11" x14ac:dyDescent="0.25">
      <c r="A945" s="2">
        <v>2017</v>
      </c>
      <c r="B945" s="2" t="s">
        <v>275</v>
      </c>
      <c r="C945" t="s">
        <v>106</v>
      </c>
      <c r="D945" s="1">
        <v>104133</v>
      </c>
      <c r="E945" t="s">
        <v>20</v>
      </c>
      <c r="F945" t="s">
        <v>7</v>
      </c>
      <c r="G945">
        <v>75</v>
      </c>
      <c r="H945">
        <v>6</v>
      </c>
      <c r="I945">
        <v>1</v>
      </c>
      <c r="J945">
        <v>1</v>
      </c>
      <c r="K945">
        <v>1</v>
      </c>
    </row>
    <row r="946" spans="1:11" x14ac:dyDescent="0.25">
      <c r="A946" s="2">
        <v>2017</v>
      </c>
      <c r="B946" s="2" t="s">
        <v>275</v>
      </c>
      <c r="C946" t="s">
        <v>106</v>
      </c>
      <c r="D946" s="1">
        <v>104133</v>
      </c>
      <c r="E946" t="s">
        <v>20</v>
      </c>
      <c r="F946" t="s">
        <v>11</v>
      </c>
      <c r="G946">
        <v>75</v>
      </c>
      <c r="H946">
        <v>6</v>
      </c>
      <c r="I946">
        <v>1</v>
      </c>
      <c r="J946">
        <v>1</v>
      </c>
      <c r="K946">
        <v>1</v>
      </c>
    </row>
    <row r="947" spans="1:11" x14ac:dyDescent="0.25">
      <c r="A947" s="2">
        <v>2017</v>
      </c>
      <c r="B947" s="2" t="s">
        <v>275</v>
      </c>
      <c r="C947" t="s">
        <v>106</v>
      </c>
      <c r="D947" s="1">
        <v>104133</v>
      </c>
      <c r="E947" t="s">
        <v>20</v>
      </c>
      <c r="F947" t="s">
        <v>9</v>
      </c>
      <c r="G947">
        <v>75</v>
      </c>
      <c r="H947">
        <v>6</v>
      </c>
      <c r="I947">
        <v>1</v>
      </c>
      <c r="J947">
        <v>1</v>
      </c>
      <c r="K947">
        <v>1</v>
      </c>
    </row>
    <row r="948" spans="1:11" x14ac:dyDescent="0.25">
      <c r="A948" s="2">
        <v>2017</v>
      </c>
      <c r="B948" s="2" t="s">
        <v>275</v>
      </c>
      <c r="C948" t="s">
        <v>106</v>
      </c>
      <c r="D948" s="1">
        <v>104133</v>
      </c>
      <c r="E948" t="s">
        <v>20</v>
      </c>
      <c r="F948" t="s">
        <v>8</v>
      </c>
      <c r="G948">
        <v>75</v>
      </c>
      <c r="H948">
        <v>6</v>
      </c>
      <c r="I948">
        <v>3</v>
      </c>
      <c r="J948">
        <v>3</v>
      </c>
      <c r="K948">
        <v>2</v>
      </c>
    </row>
    <row r="949" spans="1:11" x14ac:dyDescent="0.25">
      <c r="A949" s="2">
        <v>2017</v>
      </c>
      <c r="B949" s="2" t="s">
        <v>275</v>
      </c>
      <c r="C949" t="s">
        <v>106</v>
      </c>
      <c r="D949" s="1">
        <v>104133</v>
      </c>
      <c r="E949" t="s">
        <v>20</v>
      </c>
      <c r="F949" t="s">
        <v>10</v>
      </c>
      <c r="G949">
        <v>80</v>
      </c>
      <c r="H949">
        <v>5</v>
      </c>
      <c r="I949">
        <v>16</v>
      </c>
      <c r="J949">
        <v>10</v>
      </c>
      <c r="K949">
        <v>11</v>
      </c>
    </row>
    <row r="950" spans="1:11" x14ac:dyDescent="0.25">
      <c r="A950" s="2">
        <v>2017</v>
      </c>
      <c r="B950" s="2" t="s">
        <v>275</v>
      </c>
      <c r="C950" t="s">
        <v>106</v>
      </c>
      <c r="D950" s="1">
        <v>114603</v>
      </c>
      <c r="E950" t="s">
        <v>36</v>
      </c>
      <c r="F950" t="s">
        <v>12</v>
      </c>
      <c r="G950">
        <v>83.3</v>
      </c>
      <c r="H950">
        <v>3</v>
      </c>
      <c r="I950">
        <v>86</v>
      </c>
      <c r="J950">
        <v>51</v>
      </c>
      <c r="K950">
        <v>61</v>
      </c>
    </row>
    <row r="951" spans="1:11" x14ac:dyDescent="0.25">
      <c r="A951" s="2">
        <v>2017</v>
      </c>
      <c r="B951" s="2" t="s">
        <v>275</v>
      </c>
      <c r="C951" t="s">
        <v>106</v>
      </c>
      <c r="D951" s="1">
        <v>114603</v>
      </c>
      <c r="E951" t="s">
        <v>36</v>
      </c>
      <c r="F951" t="s">
        <v>7</v>
      </c>
      <c r="G951">
        <v>83.3</v>
      </c>
      <c r="H951">
        <v>3</v>
      </c>
      <c r="I951">
        <v>24</v>
      </c>
      <c r="J951">
        <v>16</v>
      </c>
      <c r="K951">
        <v>18</v>
      </c>
    </row>
    <row r="952" spans="1:11" x14ac:dyDescent="0.25">
      <c r="A952" s="2">
        <v>2017</v>
      </c>
      <c r="B952" s="2" t="s">
        <v>275</v>
      </c>
      <c r="C952" t="s">
        <v>106</v>
      </c>
      <c r="D952" s="1">
        <v>114603</v>
      </c>
      <c r="E952" t="s">
        <v>36</v>
      </c>
      <c r="F952" t="s">
        <v>11</v>
      </c>
      <c r="G952">
        <v>83.3</v>
      </c>
      <c r="H952">
        <v>3</v>
      </c>
      <c r="I952">
        <v>11</v>
      </c>
      <c r="J952">
        <v>4</v>
      </c>
      <c r="K952">
        <v>8</v>
      </c>
    </row>
    <row r="953" spans="1:11" x14ac:dyDescent="0.25">
      <c r="A953" s="2">
        <v>2017</v>
      </c>
      <c r="B953" s="2" t="s">
        <v>275</v>
      </c>
      <c r="C953" t="s">
        <v>106</v>
      </c>
      <c r="D953" s="1">
        <v>114603</v>
      </c>
      <c r="E953" t="s">
        <v>36</v>
      </c>
      <c r="F953" t="s">
        <v>9</v>
      </c>
      <c r="G953">
        <v>83.3</v>
      </c>
      <c r="H953">
        <v>3</v>
      </c>
      <c r="I953">
        <v>22</v>
      </c>
      <c r="J953">
        <v>16</v>
      </c>
      <c r="K953">
        <v>17</v>
      </c>
    </row>
    <row r="954" spans="1:11" x14ac:dyDescent="0.25">
      <c r="A954" s="2">
        <v>2017</v>
      </c>
      <c r="B954" s="2" t="s">
        <v>275</v>
      </c>
      <c r="C954" t="s">
        <v>106</v>
      </c>
      <c r="D954" s="1">
        <v>114603</v>
      </c>
      <c r="E954" t="s">
        <v>36</v>
      </c>
      <c r="F954" t="s">
        <v>8</v>
      </c>
      <c r="G954">
        <v>83.3</v>
      </c>
      <c r="H954">
        <v>3</v>
      </c>
      <c r="I954">
        <v>43</v>
      </c>
      <c r="J954">
        <v>30</v>
      </c>
      <c r="K954">
        <v>28</v>
      </c>
    </row>
    <row r="955" spans="1:11" x14ac:dyDescent="0.25">
      <c r="A955" s="2">
        <v>2017</v>
      </c>
      <c r="B955" s="2" t="s">
        <v>275</v>
      </c>
      <c r="C955" t="s">
        <v>106</v>
      </c>
      <c r="D955" s="1">
        <v>114603</v>
      </c>
      <c r="E955" t="s">
        <v>36</v>
      </c>
      <c r="F955" t="s">
        <v>10</v>
      </c>
      <c r="G955">
        <v>83.3</v>
      </c>
      <c r="H955">
        <v>3</v>
      </c>
      <c r="I955">
        <v>39</v>
      </c>
      <c r="J955">
        <v>30</v>
      </c>
      <c r="K955">
        <v>26</v>
      </c>
    </row>
    <row r="956" spans="1:11" x14ac:dyDescent="0.25">
      <c r="A956" s="2">
        <v>2017</v>
      </c>
      <c r="B956" s="2" t="s">
        <v>275</v>
      </c>
      <c r="C956" t="s">
        <v>106</v>
      </c>
      <c r="D956" s="1">
        <v>101071</v>
      </c>
      <c r="E956" t="s">
        <v>43</v>
      </c>
      <c r="F956" t="s">
        <v>12</v>
      </c>
      <c r="G956">
        <v>45.8</v>
      </c>
      <c r="H956">
        <v>6</v>
      </c>
      <c r="I956">
        <v>1</v>
      </c>
      <c r="J956">
        <v>1</v>
      </c>
      <c r="K956">
        <v>1</v>
      </c>
    </row>
    <row r="957" spans="1:11" x14ac:dyDescent="0.25">
      <c r="A957" s="2">
        <v>2017</v>
      </c>
      <c r="B957" s="2" t="s">
        <v>275</v>
      </c>
      <c r="C957" t="s">
        <v>106</v>
      </c>
      <c r="D957" s="1">
        <v>101071</v>
      </c>
      <c r="E957" t="s">
        <v>43</v>
      </c>
      <c r="F957" t="s">
        <v>7</v>
      </c>
      <c r="G957">
        <v>67.2</v>
      </c>
      <c r="H957">
        <v>4</v>
      </c>
      <c r="I957">
        <v>1</v>
      </c>
      <c r="J957">
        <v>1</v>
      </c>
      <c r="K957">
        <v>1</v>
      </c>
    </row>
    <row r="958" spans="1:11" x14ac:dyDescent="0.25">
      <c r="A958" s="2">
        <v>2017</v>
      </c>
      <c r="B958" s="2" t="s">
        <v>275</v>
      </c>
      <c r="C958" t="s">
        <v>106</v>
      </c>
      <c r="D958" s="1">
        <v>101071</v>
      </c>
      <c r="E958" t="s">
        <v>43</v>
      </c>
      <c r="F958" t="s">
        <v>11</v>
      </c>
      <c r="G958">
        <v>68.8</v>
      </c>
      <c r="H958">
        <v>4</v>
      </c>
      <c r="I958">
        <v>1</v>
      </c>
      <c r="J958">
        <v>1</v>
      </c>
      <c r="K958">
        <v>1</v>
      </c>
    </row>
    <row r="959" spans="1:11" x14ac:dyDescent="0.25">
      <c r="A959" s="2">
        <v>2017</v>
      </c>
      <c r="B959" s="2" t="s">
        <v>275</v>
      </c>
      <c r="C959" t="s">
        <v>106</v>
      </c>
      <c r="D959" s="1">
        <v>101071</v>
      </c>
      <c r="E959" t="s">
        <v>43</v>
      </c>
      <c r="F959" t="s">
        <v>9</v>
      </c>
      <c r="G959">
        <v>68.8</v>
      </c>
      <c r="H959">
        <v>4</v>
      </c>
      <c r="I959">
        <v>1</v>
      </c>
      <c r="J959">
        <v>1</v>
      </c>
      <c r="K959">
        <v>1</v>
      </c>
    </row>
    <row r="960" spans="1:11" x14ac:dyDescent="0.25">
      <c r="A960" s="2">
        <v>2017</v>
      </c>
      <c r="B960" s="2" t="s">
        <v>275</v>
      </c>
      <c r="C960" t="s">
        <v>106</v>
      </c>
      <c r="D960" s="1">
        <v>101071</v>
      </c>
      <c r="E960" t="s">
        <v>43</v>
      </c>
      <c r="F960" t="s">
        <v>8</v>
      </c>
      <c r="G960">
        <v>68.8</v>
      </c>
      <c r="H960">
        <v>4</v>
      </c>
      <c r="I960">
        <v>1</v>
      </c>
      <c r="J960">
        <v>1</v>
      </c>
      <c r="K960">
        <v>1</v>
      </c>
    </row>
    <row r="961" spans="1:11" x14ac:dyDescent="0.25">
      <c r="A961" s="2">
        <v>2017</v>
      </c>
      <c r="B961" s="2" t="s">
        <v>275</v>
      </c>
      <c r="C961" t="s">
        <v>106</v>
      </c>
      <c r="D961" s="1">
        <v>101071</v>
      </c>
      <c r="E961" t="s">
        <v>43</v>
      </c>
      <c r="F961" t="s">
        <v>10</v>
      </c>
      <c r="G961">
        <v>62.5</v>
      </c>
      <c r="H961">
        <v>4</v>
      </c>
      <c r="I961">
        <v>1</v>
      </c>
      <c r="J961">
        <v>1</v>
      </c>
      <c r="K961">
        <v>1</v>
      </c>
    </row>
    <row r="962" spans="1:11" x14ac:dyDescent="0.25">
      <c r="A962" s="2">
        <v>2017</v>
      </c>
      <c r="B962" s="2" t="s">
        <v>275</v>
      </c>
      <c r="C962" t="s">
        <v>106</v>
      </c>
      <c r="D962" s="1">
        <v>110569</v>
      </c>
      <c r="E962" t="s">
        <v>18</v>
      </c>
      <c r="F962" t="s">
        <v>12</v>
      </c>
      <c r="G962">
        <v>67.900000000000006</v>
      </c>
      <c r="H962">
        <v>14</v>
      </c>
      <c r="I962">
        <v>18</v>
      </c>
      <c r="J962">
        <v>5</v>
      </c>
      <c r="K962">
        <v>5</v>
      </c>
    </row>
    <row r="963" spans="1:11" x14ac:dyDescent="0.25">
      <c r="A963" s="2">
        <v>2017</v>
      </c>
      <c r="B963" s="2" t="s">
        <v>275</v>
      </c>
      <c r="C963" t="s">
        <v>106</v>
      </c>
      <c r="D963" s="1">
        <v>110569</v>
      </c>
      <c r="E963" t="s">
        <v>18</v>
      </c>
      <c r="F963" t="s">
        <v>7</v>
      </c>
      <c r="G963">
        <v>92</v>
      </c>
      <c r="H963">
        <v>14</v>
      </c>
      <c r="I963">
        <v>99</v>
      </c>
      <c r="J963">
        <v>96</v>
      </c>
      <c r="K963">
        <v>89</v>
      </c>
    </row>
    <row r="964" spans="1:11" x14ac:dyDescent="0.25">
      <c r="A964" s="2">
        <v>2017</v>
      </c>
      <c r="B964" s="2" t="s">
        <v>275</v>
      </c>
      <c r="C964" t="s">
        <v>106</v>
      </c>
      <c r="D964" s="1">
        <v>110569</v>
      </c>
      <c r="E964" t="s">
        <v>18</v>
      </c>
      <c r="F964" t="s">
        <v>11</v>
      </c>
      <c r="G964">
        <v>96.4</v>
      </c>
      <c r="H964">
        <v>14</v>
      </c>
      <c r="I964">
        <v>99</v>
      </c>
      <c r="J964">
        <v>99</v>
      </c>
      <c r="K964">
        <v>98</v>
      </c>
    </row>
    <row r="965" spans="1:11" x14ac:dyDescent="0.25">
      <c r="A965" s="2">
        <v>2017</v>
      </c>
      <c r="B965" s="2" t="s">
        <v>275</v>
      </c>
      <c r="C965" t="s">
        <v>106</v>
      </c>
      <c r="D965" s="1">
        <v>110569</v>
      </c>
      <c r="E965" t="s">
        <v>18</v>
      </c>
      <c r="F965" t="s">
        <v>9</v>
      </c>
      <c r="G965">
        <v>92.9</v>
      </c>
      <c r="H965">
        <v>14</v>
      </c>
      <c r="I965">
        <v>99</v>
      </c>
      <c r="J965">
        <v>98</v>
      </c>
      <c r="K965">
        <v>92</v>
      </c>
    </row>
    <row r="966" spans="1:11" x14ac:dyDescent="0.25">
      <c r="A966" s="2">
        <v>2017</v>
      </c>
      <c r="B966" s="2" t="s">
        <v>275</v>
      </c>
      <c r="C966" t="s">
        <v>106</v>
      </c>
      <c r="D966" s="1">
        <v>110569</v>
      </c>
      <c r="E966" t="s">
        <v>18</v>
      </c>
      <c r="F966" t="s">
        <v>8</v>
      </c>
      <c r="G966">
        <v>89.3</v>
      </c>
      <c r="H966">
        <v>14</v>
      </c>
      <c r="I966">
        <v>97</v>
      </c>
      <c r="J966">
        <v>83</v>
      </c>
      <c r="K966">
        <v>77</v>
      </c>
    </row>
    <row r="967" spans="1:11" x14ac:dyDescent="0.25">
      <c r="A967" s="2">
        <v>2017</v>
      </c>
      <c r="B967" s="2" t="s">
        <v>275</v>
      </c>
      <c r="C967" t="s">
        <v>106</v>
      </c>
      <c r="D967" s="1">
        <v>110569</v>
      </c>
      <c r="E967" t="s">
        <v>18</v>
      </c>
      <c r="F967" t="s">
        <v>10</v>
      </c>
      <c r="G967">
        <v>89.3</v>
      </c>
      <c r="H967">
        <v>14</v>
      </c>
      <c r="I967">
        <v>95</v>
      </c>
      <c r="J967">
        <v>83</v>
      </c>
      <c r="K967">
        <v>76</v>
      </c>
    </row>
    <row r="968" spans="1:11" x14ac:dyDescent="0.25">
      <c r="A968" s="2">
        <v>2017</v>
      </c>
      <c r="B968" s="2" t="s">
        <v>275</v>
      </c>
      <c r="C968" t="s">
        <v>106</v>
      </c>
      <c r="D968" s="1">
        <v>117465</v>
      </c>
      <c r="E968" t="s">
        <v>23</v>
      </c>
      <c r="F968" t="s">
        <v>12</v>
      </c>
      <c r="G968">
        <v>75</v>
      </c>
      <c r="H968">
        <v>5</v>
      </c>
      <c r="I968">
        <v>47</v>
      </c>
      <c r="J968">
        <v>14</v>
      </c>
      <c r="K968">
        <v>20</v>
      </c>
    </row>
    <row r="969" spans="1:11" x14ac:dyDescent="0.25">
      <c r="A969" s="2">
        <v>2017</v>
      </c>
      <c r="B969" s="2" t="s">
        <v>275</v>
      </c>
      <c r="C969" t="s">
        <v>106</v>
      </c>
      <c r="D969" s="1">
        <v>117465</v>
      </c>
      <c r="E969" t="s">
        <v>23</v>
      </c>
      <c r="F969" t="s">
        <v>7</v>
      </c>
      <c r="G969">
        <v>91.3</v>
      </c>
      <c r="H969">
        <v>5</v>
      </c>
      <c r="I969">
        <v>99</v>
      </c>
      <c r="J969">
        <v>92</v>
      </c>
      <c r="K969">
        <v>85</v>
      </c>
    </row>
    <row r="970" spans="1:11" x14ac:dyDescent="0.25">
      <c r="A970" s="2">
        <v>2017</v>
      </c>
      <c r="B970" s="2" t="s">
        <v>275</v>
      </c>
      <c r="C970" t="s">
        <v>106</v>
      </c>
      <c r="D970" s="1">
        <v>117465</v>
      </c>
      <c r="E970" t="s">
        <v>23</v>
      </c>
      <c r="F970" t="s">
        <v>11</v>
      </c>
      <c r="G970">
        <v>100</v>
      </c>
      <c r="H970">
        <v>5</v>
      </c>
      <c r="I970">
        <v>99</v>
      </c>
      <c r="J970">
        <v>99</v>
      </c>
      <c r="K970">
        <v>99</v>
      </c>
    </row>
    <row r="971" spans="1:11" x14ac:dyDescent="0.25">
      <c r="A971" s="2">
        <v>2017</v>
      </c>
      <c r="B971" s="2" t="s">
        <v>275</v>
      </c>
      <c r="C971" t="s">
        <v>106</v>
      </c>
      <c r="D971" s="1">
        <v>117465</v>
      </c>
      <c r="E971" t="s">
        <v>23</v>
      </c>
      <c r="F971" t="s">
        <v>9</v>
      </c>
      <c r="G971">
        <v>95</v>
      </c>
      <c r="H971">
        <v>5</v>
      </c>
      <c r="I971">
        <v>99</v>
      </c>
      <c r="J971">
        <v>99</v>
      </c>
      <c r="K971">
        <v>97</v>
      </c>
    </row>
    <row r="972" spans="1:11" x14ac:dyDescent="0.25">
      <c r="A972" s="2">
        <v>2017</v>
      </c>
      <c r="B972" s="2" t="s">
        <v>275</v>
      </c>
      <c r="C972" t="s">
        <v>106</v>
      </c>
      <c r="D972" s="1">
        <v>117465</v>
      </c>
      <c r="E972" t="s">
        <v>23</v>
      </c>
      <c r="F972" t="s">
        <v>8</v>
      </c>
      <c r="G972">
        <v>85</v>
      </c>
      <c r="H972">
        <v>5</v>
      </c>
      <c r="I972">
        <v>56</v>
      </c>
      <c r="J972">
        <v>44</v>
      </c>
      <c r="K972">
        <v>40</v>
      </c>
    </row>
    <row r="973" spans="1:11" x14ac:dyDescent="0.25">
      <c r="A973" s="2">
        <v>2017</v>
      </c>
      <c r="B973" s="2" t="s">
        <v>275</v>
      </c>
      <c r="C973" t="s">
        <v>106</v>
      </c>
      <c r="D973" s="1">
        <v>117465</v>
      </c>
      <c r="E973" t="s">
        <v>23</v>
      </c>
      <c r="F973" t="s">
        <v>10</v>
      </c>
      <c r="G973">
        <v>85</v>
      </c>
      <c r="H973">
        <v>5</v>
      </c>
      <c r="I973">
        <v>52</v>
      </c>
      <c r="J973">
        <v>44</v>
      </c>
      <c r="K973">
        <v>40</v>
      </c>
    </row>
    <row r="974" spans="1:11" x14ac:dyDescent="0.25">
      <c r="A974" s="2">
        <v>2017</v>
      </c>
      <c r="B974" s="2" t="s">
        <v>275</v>
      </c>
      <c r="C974" t="s">
        <v>106</v>
      </c>
      <c r="D974" s="1">
        <v>121681</v>
      </c>
      <c r="E974" t="s">
        <v>29</v>
      </c>
      <c r="F974" t="s">
        <v>12</v>
      </c>
      <c r="G974">
        <v>68.8</v>
      </c>
      <c r="H974">
        <v>4</v>
      </c>
      <c r="I974">
        <v>20</v>
      </c>
      <c r="J974">
        <v>6</v>
      </c>
      <c r="K974">
        <v>6</v>
      </c>
    </row>
    <row r="975" spans="1:11" x14ac:dyDescent="0.25">
      <c r="A975" s="2">
        <v>2017</v>
      </c>
      <c r="B975" s="2" t="s">
        <v>275</v>
      </c>
      <c r="C975" t="s">
        <v>106</v>
      </c>
      <c r="D975" s="1">
        <v>121681</v>
      </c>
      <c r="E975" t="s">
        <v>29</v>
      </c>
      <c r="F975" t="s">
        <v>7</v>
      </c>
      <c r="G975">
        <v>78.099999999999994</v>
      </c>
      <c r="H975">
        <v>4</v>
      </c>
      <c r="I975">
        <v>5</v>
      </c>
      <c r="J975">
        <v>4</v>
      </c>
      <c r="K975">
        <v>4</v>
      </c>
    </row>
    <row r="976" spans="1:11" x14ac:dyDescent="0.25">
      <c r="A976" s="2">
        <v>2017</v>
      </c>
      <c r="B976" s="2" t="s">
        <v>275</v>
      </c>
      <c r="C976" t="s">
        <v>106</v>
      </c>
      <c r="D976" s="1">
        <v>121681</v>
      </c>
      <c r="E976" t="s">
        <v>29</v>
      </c>
      <c r="F976" t="s">
        <v>11</v>
      </c>
      <c r="G976">
        <v>81.3</v>
      </c>
      <c r="H976">
        <v>4</v>
      </c>
      <c r="I976">
        <v>4</v>
      </c>
      <c r="J976">
        <v>4</v>
      </c>
      <c r="K976">
        <v>4</v>
      </c>
    </row>
    <row r="977" spans="1:11" x14ac:dyDescent="0.25">
      <c r="A977" s="2">
        <v>2017</v>
      </c>
      <c r="B977" s="2" t="s">
        <v>275</v>
      </c>
      <c r="C977" t="s">
        <v>106</v>
      </c>
      <c r="D977" s="1">
        <v>121681</v>
      </c>
      <c r="E977" t="s">
        <v>29</v>
      </c>
      <c r="F977" t="s">
        <v>9</v>
      </c>
      <c r="G977">
        <v>75</v>
      </c>
      <c r="H977">
        <v>4</v>
      </c>
      <c r="I977">
        <v>1</v>
      </c>
      <c r="J977">
        <v>1</v>
      </c>
      <c r="K977">
        <v>1</v>
      </c>
    </row>
    <row r="978" spans="1:11" x14ac:dyDescent="0.25">
      <c r="A978" s="2">
        <v>2017</v>
      </c>
      <c r="B978" s="2" t="s">
        <v>275</v>
      </c>
      <c r="C978" t="s">
        <v>106</v>
      </c>
      <c r="D978" s="1">
        <v>121681</v>
      </c>
      <c r="E978" t="s">
        <v>29</v>
      </c>
      <c r="F978" t="s">
        <v>8</v>
      </c>
      <c r="G978">
        <v>81.3</v>
      </c>
      <c r="H978">
        <v>4</v>
      </c>
      <c r="I978">
        <v>24</v>
      </c>
      <c r="J978">
        <v>15</v>
      </c>
      <c r="K978">
        <v>16</v>
      </c>
    </row>
    <row r="979" spans="1:11" x14ac:dyDescent="0.25">
      <c r="A979" s="2">
        <v>2017</v>
      </c>
      <c r="B979" s="2" t="s">
        <v>275</v>
      </c>
      <c r="C979" t="s">
        <v>106</v>
      </c>
      <c r="D979" s="1">
        <v>121681</v>
      </c>
      <c r="E979" t="s">
        <v>29</v>
      </c>
      <c r="F979" t="s">
        <v>10</v>
      </c>
      <c r="G979">
        <v>75</v>
      </c>
      <c r="H979">
        <v>4</v>
      </c>
      <c r="I979">
        <v>3</v>
      </c>
      <c r="J979">
        <v>3</v>
      </c>
      <c r="K979">
        <v>2</v>
      </c>
    </row>
    <row r="980" spans="1:11" x14ac:dyDescent="0.25">
      <c r="A980" s="2">
        <v>2017</v>
      </c>
      <c r="B980" s="2" t="s">
        <v>275</v>
      </c>
      <c r="C980" t="s">
        <v>106</v>
      </c>
      <c r="D980" s="1">
        <v>103275</v>
      </c>
      <c r="E980" t="s">
        <v>26</v>
      </c>
      <c r="F980" t="s">
        <v>12</v>
      </c>
      <c r="G980">
        <v>70.8</v>
      </c>
      <c r="H980">
        <v>6</v>
      </c>
      <c r="I980">
        <v>29</v>
      </c>
      <c r="J980">
        <v>9</v>
      </c>
      <c r="K980">
        <v>9</v>
      </c>
    </row>
    <row r="981" spans="1:11" x14ac:dyDescent="0.25">
      <c r="A981" s="2">
        <v>2017</v>
      </c>
      <c r="B981" s="2" t="s">
        <v>275</v>
      </c>
      <c r="C981" t="s">
        <v>106</v>
      </c>
      <c r="D981" s="1">
        <v>103275</v>
      </c>
      <c r="E981" t="s">
        <v>26</v>
      </c>
      <c r="F981" t="s">
        <v>7</v>
      </c>
      <c r="G981">
        <v>82.3</v>
      </c>
      <c r="H981">
        <v>6</v>
      </c>
      <c r="I981">
        <v>18</v>
      </c>
      <c r="J981">
        <v>13</v>
      </c>
      <c r="K981">
        <v>14</v>
      </c>
    </row>
    <row r="982" spans="1:11" x14ac:dyDescent="0.25">
      <c r="A982" s="2">
        <v>2017</v>
      </c>
      <c r="B982" s="2" t="s">
        <v>275</v>
      </c>
      <c r="C982" t="s">
        <v>106</v>
      </c>
      <c r="D982" s="1">
        <v>103275</v>
      </c>
      <c r="E982" t="s">
        <v>26</v>
      </c>
      <c r="F982" t="s">
        <v>11</v>
      </c>
      <c r="G982">
        <v>83.3</v>
      </c>
      <c r="H982">
        <v>6</v>
      </c>
      <c r="I982">
        <v>11</v>
      </c>
      <c r="J982">
        <v>4</v>
      </c>
      <c r="K982">
        <v>8</v>
      </c>
    </row>
    <row r="983" spans="1:11" x14ac:dyDescent="0.25">
      <c r="A983" s="2">
        <v>2017</v>
      </c>
      <c r="B983" s="2" t="s">
        <v>275</v>
      </c>
      <c r="C983" t="s">
        <v>106</v>
      </c>
      <c r="D983" s="1">
        <v>103275</v>
      </c>
      <c r="E983" t="s">
        <v>26</v>
      </c>
      <c r="F983" t="s">
        <v>9</v>
      </c>
      <c r="G983">
        <v>83.3</v>
      </c>
      <c r="H983">
        <v>6</v>
      </c>
      <c r="I983">
        <v>22</v>
      </c>
      <c r="J983">
        <v>16</v>
      </c>
      <c r="K983">
        <v>17</v>
      </c>
    </row>
    <row r="984" spans="1:11" x14ac:dyDescent="0.25">
      <c r="A984" s="2">
        <v>2017</v>
      </c>
      <c r="B984" s="2" t="s">
        <v>275</v>
      </c>
      <c r="C984" t="s">
        <v>106</v>
      </c>
      <c r="D984" s="1">
        <v>103275</v>
      </c>
      <c r="E984" t="s">
        <v>26</v>
      </c>
      <c r="F984" t="s">
        <v>8</v>
      </c>
      <c r="G984">
        <v>83.3</v>
      </c>
      <c r="H984">
        <v>6</v>
      </c>
      <c r="I984">
        <v>43</v>
      </c>
      <c r="J984">
        <v>30</v>
      </c>
      <c r="K984">
        <v>28</v>
      </c>
    </row>
    <row r="985" spans="1:11" x14ac:dyDescent="0.25">
      <c r="A985" s="2">
        <v>2017</v>
      </c>
      <c r="B985" s="2" t="s">
        <v>275</v>
      </c>
      <c r="C985" t="s">
        <v>106</v>
      </c>
      <c r="D985" s="1">
        <v>103275</v>
      </c>
      <c r="E985" t="s">
        <v>26</v>
      </c>
      <c r="F985" t="s">
        <v>10</v>
      </c>
      <c r="G985">
        <v>79.2</v>
      </c>
      <c r="H985">
        <v>6</v>
      </c>
      <c r="I985">
        <v>12</v>
      </c>
      <c r="J985">
        <v>6</v>
      </c>
      <c r="K985">
        <v>8</v>
      </c>
    </row>
    <row r="986" spans="1:11" x14ac:dyDescent="0.25">
      <c r="A986" s="2">
        <v>2017</v>
      </c>
      <c r="B986" s="2" t="s">
        <v>275</v>
      </c>
      <c r="C986" t="s">
        <v>106</v>
      </c>
      <c r="D986" s="1">
        <v>150441</v>
      </c>
      <c r="E986" t="s">
        <v>30</v>
      </c>
      <c r="F986" t="s">
        <v>12</v>
      </c>
      <c r="G986">
        <v>64.3</v>
      </c>
      <c r="H986">
        <v>7</v>
      </c>
      <c r="I986">
        <v>6</v>
      </c>
      <c r="J986">
        <v>3</v>
      </c>
      <c r="K986">
        <v>2</v>
      </c>
    </row>
    <row r="987" spans="1:11" x14ac:dyDescent="0.25">
      <c r="A987" s="2">
        <v>2017</v>
      </c>
      <c r="B987" s="2" t="s">
        <v>275</v>
      </c>
      <c r="C987" t="s">
        <v>106</v>
      </c>
      <c r="D987" s="1">
        <v>150441</v>
      </c>
      <c r="E987" t="s">
        <v>30</v>
      </c>
      <c r="F987" t="s">
        <v>7</v>
      </c>
      <c r="G987">
        <v>87.5</v>
      </c>
      <c r="H987">
        <v>7</v>
      </c>
      <c r="I987">
        <v>70</v>
      </c>
      <c r="J987">
        <v>56</v>
      </c>
      <c r="K987">
        <v>53</v>
      </c>
    </row>
    <row r="988" spans="1:11" x14ac:dyDescent="0.25">
      <c r="A988" s="2">
        <v>2017</v>
      </c>
      <c r="B988" s="2" t="s">
        <v>275</v>
      </c>
      <c r="C988" t="s">
        <v>106</v>
      </c>
      <c r="D988" s="1">
        <v>150441</v>
      </c>
      <c r="E988" t="s">
        <v>30</v>
      </c>
      <c r="F988" t="s">
        <v>11</v>
      </c>
      <c r="G988">
        <v>89.3</v>
      </c>
      <c r="H988">
        <v>7</v>
      </c>
      <c r="I988">
        <v>60</v>
      </c>
      <c r="J988">
        <v>51</v>
      </c>
      <c r="K988">
        <v>47</v>
      </c>
    </row>
    <row r="989" spans="1:11" x14ac:dyDescent="0.25">
      <c r="A989" s="2">
        <v>2017</v>
      </c>
      <c r="B989" s="2" t="s">
        <v>275</v>
      </c>
      <c r="C989" t="s">
        <v>106</v>
      </c>
      <c r="D989" s="1">
        <v>150441</v>
      </c>
      <c r="E989" t="s">
        <v>30</v>
      </c>
      <c r="F989" t="s">
        <v>9</v>
      </c>
      <c r="G989">
        <v>85.7</v>
      </c>
      <c r="H989">
        <v>7</v>
      </c>
      <c r="I989">
        <v>41</v>
      </c>
      <c r="J989">
        <v>36</v>
      </c>
      <c r="K989">
        <v>33</v>
      </c>
    </row>
    <row r="990" spans="1:11" x14ac:dyDescent="0.25">
      <c r="A990" s="2">
        <v>2017</v>
      </c>
      <c r="B990" s="2" t="s">
        <v>275</v>
      </c>
      <c r="C990" t="s">
        <v>106</v>
      </c>
      <c r="D990" s="1">
        <v>150441</v>
      </c>
      <c r="E990" t="s">
        <v>30</v>
      </c>
      <c r="F990" t="s">
        <v>8</v>
      </c>
      <c r="G990">
        <v>85.7</v>
      </c>
      <c r="H990">
        <v>7</v>
      </c>
      <c r="I990">
        <v>62</v>
      </c>
      <c r="J990">
        <v>55</v>
      </c>
      <c r="K990">
        <v>48</v>
      </c>
    </row>
    <row r="991" spans="1:11" x14ac:dyDescent="0.25">
      <c r="A991" s="2">
        <v>2017</v>
      </c>
      <c r="B991" s="2" t="s">
        <v>275</v>
      </c>
      <c r="C991" t="s">
        <v>106</v>
      </c>
      <c r="D991" s="1">
        <v>150441</v>
      </c>
      <c r="E991" t="s">
        <v>30</v>
      </c>
      <c r="F991" t="s">
        <v>10</v>
      </c>
      <c r="G991">
        <v>89.3</v>
      </c>
      <c r="H991">
        <v>7</v>
      </c>
      <c r="I991">
        <v>95</v>
      </c>
      <c r="J991">
        <v>83</v>
      </c>
      <c r="K991">
        <v>76</v>
      </c>
    </row>
    <row r="992" spans="1:11" x14ac:dyDescent="0.25">
      <c r="A992" s="2">
        <v>2017</v>
      </c>
      <c r="B992" s="2" t="s">
        <v>275</v>
      </c>
      <c r="C992" t="s">
        <v>106</v>
      </c>
      <c r="D992" s="1">
        <v>152587</v>
      </c>
      <c r="E992" t="s">
        <v>28</v>
      </c>
      <c r="F992" t="s">
        <v>12</v>
      </c>
      <c r="G992">
        <v>35</v>
      </c>
      <c r="H992">
        <v>5</v>
      </c>
      <c r="I992">
        <v>1</v>
      </c>
      <c r="J992">
        <v>1</v>
      </c>
      <c r="K992">
        <v>1</v>
      </c>
    </row>
    <row r="993" spans="1:11" x14ac:dyDescent="0.25">
      <c r="A993" s="2">
        <v>2017</v>
      </c>
      <c r="B993" s="2" t="s">
        <v>275</v>
      </c>
      <c r="C993" t="s">
        <v>106</v>
      </c>
      <c r="D993" s="1">
        <v>152587</v>
      </c>
      <c r="E993" t="s">
        <v>28</v>
      </c>
      <c r="F993" t="s">
        <v>7</v>
      </c>
      <c r="G993">
        <v>51.3</v>
      </c>
      <c r="H993">
        <v>5</v>
      </c>
      <c r="I993">
        <v>1</v>
      </c>
      <c r="J993">
        <v>1</v>
      </c>
      <c r="K993">
        <v>1</v>
      </c>
    </row>
    <row r="994" spans="1:11" x14ac:dyDescent="0.25">
      <c r="A994" s="2">
        <v>2017</v>
      </c>
      <c r="B994" s="2" t="s">
        <v>275</v>
      </c>
      <c r="C994" t="s">
        <v>106</v>
      </c>
      <c r="D994" s="1">
        <v>152587</v>
      </c>
      <c r="E994" t="s">
        <v>28</v>
      </c>
      <c r="F994" t="s">
        <v>11</v>
      </c>
      <c r="G994">
        <v>50</v>
      </c>
      <c r="H994">
        <v>5</v>
      </c>
      <c r="I994">
        <v>1</v>
      </c>
      <c r="J994">
        <v>1</v>
      </c>
      <c r="K994">
        <v>1</v>
      </c>
    </row>
    <row r="995" spans="1:11" x14ac:dyDescent="0.25">
      <c r="A995" s="2">
        <v>2017</v>
      </c>
      <c r="B995" s="2" t="s">
        <v>275</v>
      </c>
      <c r="C995" t="s">
        <v>106</v>
      </c>
      <c r="D995" s="1">
        <v>152587</v>
      </c>
      <c r="E995" t="s">
        <v>28</v>
      </c>
      <c r="F995" t="s">
        <v>9</v>
      </c>
      <c r="G995">
        <v>50</v>
      </c>
      <c r="H995">
        <v>5</v>
      </c>
      <c r="I995">
        <v>1</v>
      </c>
      <c r="J995">
        <v>1</v>
      </c>
      <c r="K995">
        <v>1</v>
      </c>
    </row>
    <row r="996" spans="1:11" x14ac:dyDescent="0.25">
      <c r="A996" s="2">
        <v>2017</v>
      </c>
      <c r="B996" s="2" t="s">
        <v>275</v>
      </c>
      <c r="C996" t="s">
        <v>106</v>
      </c>
      <c r="D996" s="1">
        <v>152587</v>
      </c>
      <c r="E996" t="s">
        <v>28</v>
      </c>
      <c r="F996" t="s">
        <v>8</v>
      </c>
      <c r="G996">
        <v>50</v>
      </c>
      <c r="H996">
        <v>5</v>
      </c>
      <c r="I996">
        <v>1</v>
      </c>
      <c r="J996">
        <v>1</v>
      </c>
      <c r="K996">
        <v>1</v>
      </c>
    </row>
    <row r="997" spans="1:11" x14ac:dyDescent="0.25">
      <c r="A997" s="2">
        <v>2017</v>
      </c>
      <c r="B997" s="2" t="s">
        <v>275</v>
      </c>
      <c r="C997" t="s">
        <v>106</v>
      </c>
      <c r="D997" s="1">
        <v>152587</v>
      </c>
      <c r="E997" t="s">
        <v>28</v>
      </c>
      <c r="F997" t="s">
        <v>10</v>
      </c>
      <c r="G997">
        <v>55</v>
      </c>
      <c r="H997">
        <v>5</v>
      </c>
      <c r="I997">
        <v>1</v>
      </c>
      <c r="J997">
        <v>1</v>
      </c>
      <c r="K997">
        <v>1</v>
      </c>
    </row>
    <row r="998" spans="1:11" x14ac:dyDescent="0.25">
      <c r="A998" s="2">
        <v>2017</v>
      </c>
      <c r="B998" s="2" t="s">
        <v>275</v>
      </c>
      <c r="C998" t="s">
        <v>106</v>
      </c>
      <c r="D998" s="1">
        <v>149344</v>
      </c>
      <c r="E998" t="s">
        <v>35</v>
      </c>
      <c r="F998" t="s">
        <v>12</v>
      </c>
      <c r="G998">
        <v>82.1</v>
      </c>
      <c r="H998">
        <v>7</v>
      </c>
      <c r="I998">
        <v>80</v>
      </c>
      <c r="J998">
        <v>44</v>
      </c>
      <c r="K998">
        <v>54</v>
      </c>
    </row>
    <row r="999" spans="1:11" x14ac:dyDescent="0.25">
      <c r="A999" s="2">
        <v>2017</v>
      </c>
      <c r="B999" s="2" t="s">
        <v>275</v>
      </c>
      <c r="C999" t="s">
        <v>106</v>
      </c>
      <c r="D999" s="1">
        <v>149344</v>
      </c>
      <c r="E999" t="s">
        <v>35</v>
      </c>
      <c r="F999" t="s">
        <v>7</v>
      </c>
      <c r="G999">
        <v>89.3</v>
      </c>
      <c r="H999">
        <v>7</v>
      </c>
      <c r="I999">
        <v>91</v>
      </c>
      <c r="J999">
        <v>75</v>
      </c>
      <c r="K999">
        <v>70</v>
      </c>
    </row>
    <row r="1000" spans="1:11" x14ac:dyDescent="0.25">
      <c r="A1000" s="2">
        <v>2017</v>
      </c>
      <c r="B1000" s="2" t="s">
        <v>275</v>
      </c>
      <c r="C1000" t="s">
        <v>106</v>
      </c>
      <c r="D1000" s="1">
        <v>149344</v>
      </c>
      <c r="E1000" t="s">
        <v>35</v>
      </c>
      <c r="F1000" t="s">
        <v>11</v>
      </c>
      <c r="G1000">
        <v>92.9</v>
      </c>
      <c r="H1000">
        <v>7</v>
      </c>
      <c r="I1000">
        <v>97</v>
      </c>
      <c r="J1000">
        <v>88</v>
      </c>
      <c r="K1000">
        <v>83</v>
      </c>
    </row>
    <row r="1001" spans="1:11" x14ac:dyDescent="0.25">
      <c r="A1001" s="2">
        <v>2017</v>
      </c>
      <c r="B1001" s="2" t="s">
        <v>275</v>
      </c>
      <c r="C1001" t="s">
        <v>106</v>
      </c>
      <c r="D1001" s="1">
        <v>149344</v>
      </c>
      <c r="E1001" t="s">
        <v>35</v>
      </c>
      <c r="F1001" t="s">
        <v>9</v>
      </c>
      <c r="G1001">
        <v>89.3</v>
      </c>
      <c r="H1001">
        <v>7</v>
      </c>
      <c r="I1001">
        <v>88</v>
      </c>
      <c r="J1001">
        <v>71</v>
      </c>
      <c r="K1001">
        <v>68</v>
      </c>
    </row>
    <row r="1002" spans="1:11" x14ac:dyDescent="0.25">
      <c r="A1002" s="2">
        <v>2017</v>
      </c>
      <c r="B1002" s="2" t="s">
        <v>275</v>
      </c>
      <c r="C1002" t="s">
        <v>106</v>
      </c>
      <c r="D1002" s="1">
        <v>149344</v>
      </c>
      <c r="E1002" t="s">
        <v>35</v>
      </c>
      <c r="F1002" t="s">
        <v>8</v>
      </c>
      <c r="G1002">
        <v>89.3</v>
      </c>
      <c r="H1002">
        <v>7</v>
      </c>
      <c r="I1002">
        <v>97</v>
      </c>
      <c r="J1002">
        <v>83</v>
      </c>
      <c r="K1002">
        <v>77</v>
      </c>
    </row>
    <row r="1003" spans="1:11" x14ac:dyDescent="0.25">
      <c r="A1003" s="2">
        <v>2017</v>
      </c>
      <c r="B1003" s="2" t="s">
        <v>275</v>
      </c>
      <c r="C1003" t="s">
        <v>106</v>
      </c>
      <c r="D1003" s="1">
        <v>149344</v>
      </c>
      <c r="E1003" t="s">
        <v>35</v>
      </c>
      <c r="F1003" t="s">
        <v>10</v>
      </c>
      <c r="G1003">
        <v>85.7</v>
      </c>
      <c r="H1003">
        <v>7</v>
      </c>
      <c r="I1003">
        <v>67</v>
      </c>
      <c r="J1003">
        <v>49</v>
      </c>
      <c r="K1003">
        <v>46</v>
      </c>
    </row>
    <row r="1004" spans="1:11" x14ac:dyDescent="0.25">
      <c r="A1004" s="2">
        <v>2017</v>
      </c>
      <c r="B1004" s="2" t="s">
        <v>275</v>
      </c>
      <c r="C1004" t="s">
        <v>106</v>
      </c>
      <c r="D1004" s="1">
        <v>117440</v>
      </c>
      <c r="E1004" t="s">
        <v>32</v>
      </c>
      <c r="F1004" t="s">
        <v>12</v>
      </c>
      <c r="G1004">
        <v>59.4</v>
      </c>
      <c r="H1004">
        <v>8</v>
      </c>
      <c r="I1004">
        <v>1</v>
      </c>
      <c r="J1004">
        <v>2</v>
      </c>
      <c r="K1004">
        <v>1</v>
      </c>
    </row>
    <row r="1005" spans="1:11" x14ac:dyDescent="0.25">
      <c r="A1005" s="2">
        <v>2017</v>
      </c>
      <c r="B1005" s="2" t="s">
        <v>275</v>
      </c>
      <c r="C1005" t="s">
        <v>106</v>
      </c>
      <c r="D1005" s="1">
        <v>117440</v>
      </c>
      <c r="E1005" t="s">
        <v>32</v>
      </c>
      <c r="F1005" t="s">
        <v>7</v>
      </c>
      <c r="G1005">
        <v>89.3</v>
      </c>
      <c r="H1005">
        <v>7</v>
      </c>
      <c r="I1005">
        <v>91</v>
      </c>
      <c r="J1005">
        <v>75</v>
      </c>
      <c r="K1005">
        <v>70</v>
      </c>
    </row>
    <row r="1006" spans="1:11" x14ac:dyDescent="0.25">
      <c r="A1006" s="2">
        <v>2017</v>
      </c>
      <c r="B1006" s="2" t="s">
        <v>275</v>
      </c>
      <c r="C1006" t="s">
        <v>106</v>
      </c>
      <c r="D1006" s="1">
        <v>117440</v>
      </c>
      <c r="E1006" t="s">
        <v>32</v>
      </c>
      <c r="F1006" t="s">
        <v>11</v>
      </c>
      <c r="G1006">
        <v>92.9</v>
      </c>
      <c r="H1006">
        <v>7</v>
      </c>
      <c r="I1006">
        <v>97</v>
      </c>
      <c r="J1006">
        <v>88</v>
      </c>
      <c r="K1006">
        <v>83</v>
      </c>
    </row>
    <row r="1007" spans="1:11" x14ac:dyDescent="0.25">
      <c r="A1007" s="2">
        <v>2017</v>
      </c>
      <c r="B1007" s="2" t="s">
        <v>275</v>
      </c>
      <c r="C1007" t="s">
        <v>106</v>
      </c>
      <c r="D1007" s="1">
        <v>117440</v>
      </c>
      <c r="E1007" t="s">
        <v>32</v>
      </c>
      <c r="F1007" t="s">
        <v>9</v>
      </c>
      <c r="G1007">
        <v>89.3</v>
      </c>
      <c r="H1007">
        <v>7</v>
      </c>
      <c r="I1007">
        <v>88</v>
      </c>
      <c r="J1007">
        <v>71</v>
      </c>
      <c r="K1007">
        <v>68</v>
      </c>
    </row>
    <row r="1008" spans="1:11" x14ac:dyDescent="0.25">
      <c r="A1008" s="2">
        <v>2017</v>
      </c>
      <c r="B1008" s="2" t="s">
        <v>275</v>
      </c>
      <c r="C1008" t="s">
        <v>106</v>
      </c>
      <c r="D1008" s="1">
        <v>117440</v>
      </c>
      <c r="E1008" t="s">
        <v>32</v>
      </c>
      <c r="F1008" t="s">
        <v>8</v>
      </c>
      <c r="G1008">
        <v>89.3</v>
      </c>
      <c r="H1008">
        <v>7</v>
      </c>
      <c r="I1008">
        <v>97</v>
      </c>
      <c r="J1008">
        <v>83</v>
      </c>
      <c r="K1008">
        <v>77</v>
      </c>
    </row>
    <row r="1009" spans="1:11" x14ac:dyDescent="0.25">
      <c r="A1009" s="2">
        <v>2017</v>
      </c>
      <c r="B1009" s="2" t="s">
        <v>275</v>
      </c>
      <c r="C1009" t="s">
        <v>106</v>
      </c>
      <c r="D1009" s="1">
        <v>117440</v>
      </c>
      <c r="E1009" t="s">
        <v>32</v>
      </c>
      <c r="F1009" t="s">
        <v>10</v>
      </c>
      <c r="G1009">
        <v>85.7</v>
      </c>
      <c r="H1009">
        <v>7</v>
      </c>
      <c r="I1009">
        <v>67</v>
      </c>
      <c r="J1009">
        <v>49</v>
      </c>
      <c r="K1009">
        <v>46</v>
      </c>
    </row>
    <row r="1010" spans="1:11" x14ac:dyDescent="0.25">
      <c r="A1010" s="2">
        <v>2017</v>
      </c>
      <c r="B1010" s="2" t="s">
        <v>275</v>
      </c>
      <c r="C1010" t="s">
        <v>106</v>
      </c>
      <c r="D1010" s="1">
        <v>153700</v>
      </c>
      <c r="E1010" t="s">
        <v>38</v>
      </c>
      <c r="F1010" t="s">
        <v>12</v>
      </c>
      <c r="G1010">
        <v>62.5</v>
      </c>
      <c r="H1010">
        <v>2</v>
      </c>
      <c r="I1010">
        <v>3</v>
      </c>
      <c r="J1010">
        <v>3</v>
      </c>
      <c r="K1010">
        <v>1</v>
      </c>
    </row>
    <row r="1011" spans="1:11" x14ac:dyDescent="0.25">
      <c r="A1011" s="2">
        <v>2017</v>
      </c>
      <c r="B1011" s="2" t="s">
        <v>275</v>
      </c>
      <c r="C1011" t="s">
        <v>106</v>
      </c>
      <c r="D1011" s="1">
        <v>153700</v>
      </c>
      <c r="E1011" t="s">
        <v>38</v>
      </c>
      <c r="F1011" t="s">
        <v>7</v>
      </c>
      <c r="G1011">
        <v>65.599999999999994</v>
      </c>
      <c r="H1011">
        <v>2</v>
      </c>
      <c r="I1011">
        <v>1</v>
      </c>
      <c r="J1011">
        <v>1</v>
      </c>
      <c r="K1011">
        <v>1</v>
      </c>
    </row>
    <row r="1012" spans="1:11" x14ac:dyDescent="0.25">
      <c r="A1012" s="2">
        <v>2017</v>
      </c>
      <c r="B1012" s="2" t="s">
        <v>275</v>
      </c>
      <c r="C1012" t="s">
        <v>106</v>
      </c>
      <c r="D1012" s="1">
        <v>153700</v>
      </c>
      <c r="E1012" t="s">
        <v>38</v>
      </c>
      <c r="F1012" t="s">
        <v>11</v>
      </c>
      <c r="G1012">
        <v>75</v>
      </c>
      <c r="H1012">
        <v>2</v>
      </c>
      <c r="I1012">
        <v>1</v>
      </c>
      <c r="J1012">
        <v>1</v>
      </c>
      <c r="K1012">
        <v>1</v>
      </c>
    </row>
    <row r="1013" spans="1:11" x14ac:dyDescent="0.25">
      <c r="A1013" s="2">
        <v>2017</v>
      </c>
      <c r="B1013" s="2" t="s">
        <v>275</v>
      </c>
      <c r="C1013" t="s">
        <v>106</v>
      </c>
      <c r="D1013" s="1">
        <v>153700</v>
      </c>
      <c r="E1013" t="s">
        <v>38</v>
      </c>
      <c r="F1013" t="s">
        <v>9</v>
      </c>
      <c r="G1013">
        <v>62.5</v>
      </c>
      <c r="H1013">
        <v>2</v>
      </c>
      <c r="I1013">
        <v>1</v>
      </c>
      <c r="J1013">
        <v>1</v>
      </c>
      <c r="K1013">
        <v>1</v>
      </c>
    </row>
    <row r="1014" spans="1:11" x14ac:dyDescent="0.25">
      <c r="A1014" s="2">
        <v>2017</v>
      </c>
      <c r="B1014" s="2" t="s">
        <v>275</v>
      </c>
      <c r="C1014" t="s">
        <v>106</v>
      </c>
      <c r="D1014" s="1">
        <v>153700</v>
      </c>
      <c r="E1014" t="s">
        <v>38</v>
      </c>
      <c r="F1014" t="s">
        <v>8</v>
      </c>
      <c r="G1014">
        <v>62.5</v>
      </c>
      <c r="H1014">
        <v>2</v>
      </c>
      <c r="I1014">
        <v>1</v>
      </c>
      <c r="J1014">
        <v>1</v>
      </c>
      <c r="K1014">
        <v>1</v>
      </c>
    </row>
    <row r="1015" spans="1:11" x14ac:dyDescent="0.25">
      <c r="A1015" s="2">
        <v>2017</v>
      </c>
      <c r="B1015" s="2" t="s">
        <v>275</v>
      </c>
      <c r="C1015" t="s">
        <v>106</v>
      </c>
      <c r="D1015" s="1">
        <v>153700</v>
      </c>
      <c r="E1015" t="s">
        <v>38</v>
      </c>
      <c r="F1015" t="s">
        <v>10</v>
      </c>
      <c r="G1015">
        <v>62.5</v>
      </c>
      <c r="H1015">
        <v>2</v>
      </c>
      <c r="I1015">
        <v>1</v>
      </c>
      <c r="J1015">
        <v>1</v>
      </c>
      <c r="K1015">
        <v>1</v>
      </c>
    </row>
    <row r="1016" spans="1:11" x14ac:dyDescent="0.25">
      <c r="A1016" s="2">
        <v>2017</v>
      </c>
      <c r="B1016" s="2" t="s">
        <v>275</v>
      </c>
      <c r="C1016" t="s">
        <v>106</v>
      </c>
      <c r="D1016" s="1">
        <v>130674</v>
      </c>
      <c r="E1016" t="s">
        <v>6</v>
      </c>
      <c r="F1016" t="s">
        <v>12</v>
      </c>
      <c r="G1016">
        <v>80</v>
      </c>
      <c r="H1016">
        <v>5</v>
      </c>
      <c r="I1016">
        <v>68</v>
      </c>
      <c r="J1016">
        <v>32</v>
      </c>
      <c r="K1016">
        <v>42</v>
      </c>
    </row>
    <row r="1017" spans="1:11" x14ac:dyDescent="0.25">
      <c r="A1017" s="2">
        <v>2017</v>
      </c>
      <c r="B1017" s="2" t="s">
        <v>275</v>
      </c>
      <c r="C1017" t="s">
        <v>106</v>
      </c>
      <c r="D1017" s="1">
        <v>130674</v>
      </c>
      <c r="E1017" t="s">
        <v>6</v>
      </c>
      <c r="F1017" t="s">
        <v>7</v>
      </c>
      <c r="G1017">
        <v>87.5</v>
      </c>
      <c r="H1017">
        <v>5</v>
      </c>
      <c r="I1017">
        <v>70</v>
      </c>
      <c r="J1017">
        <v>56</v>
      </c>
      <c r="K1017">
        <v>53</v>
      </c>
    </row>
    <row r="1018" spans="1:11" x14ac:dyDescent="0.25">
      <c r="A1018" s="2">
        <v>2017</v>
      </c>
      <c r="B1018" s="2" t="s">
        <v>275</v>
      </c>
      <c r="C1018" t="s">
        <v>106</v>
      </c>
      <c r="D1018" s="1">
        <v>130674</v>
      </c>
      <c r="E1018" t="s">
        <v>6</v>
      </c>
      <c r="F1018" t="s">
        <v>11</v>
      </c>
      <c r="G1018">
        <v>100</v>
      </c>
      <c r="H1018">
        <v>5</v>
      </c>
      <c r="I1018">
        <v>99</v>
      </c>
      <c r="J1018">
        <v>99</v>
      </c>
      <c r="K1018">
        <v>99</v>
      </c>
    </row>
    <row r="1019" spans="1:11" x14ac:dyDescent="0.25">
      <c r="A1019" s="2">
        <v>2017</v>
      </c>
      <c r="B1019" s="2" t="s">
        <v>275</v>
      </c>
      <c r="C1019" t="s">
        <v>106</v>
      </c>
      <c r="D1019" s="1">
        <v>130674</v>
      </c>
      <c r="E1019" t="s">
        <v>6</v>
      </c>
      <c r="F1019" t="s">
        <v>9</v>
      </c>
      <c r="G1019">
        <v>85</v>
      </c>
      <c r="H1019">
        <v>5</v>
      </c>
      <c r="I1019">
        <v>30</v>
      </c>
      <c r="J1019">
        <v>27</v>
      </c>
      <c r="K1019">
        <v>27</v>
      </c>
    </row>
    <row r="1020" spans="1:11" x14ac:dyDescent="0.25">
      <c r="A1020" s="2">
        <v>2017</v>
      </c>
      <c r="B1020" s="2" t="s">
        <v>275</v>
      </c>
      <c r="C1020" t="s">
        <v>106</v>
      </c>
      <c r="D1020" s="1">
        <v>130674</v>
      </c>
      <c r="E1020" t="s">
        <v>6</v>
      </c>
      <c r="F1020" t="s">
        <v>8</v>
      </c>
      <c r="G1020">
        <v>80</v>
      </c>
      <c r="H1020">
        <v>5</v>
      </c>
      <c r="I1020">
        <v>16</v>
      </c>
      <c r="J1020">
        <v>11</v>
      </c>
      <c r="K1020">
        <v>10</v>
      </c>
    </row>
    <row r="1021" spans="1:11" x14ac:dyDescent="0.25">
      <c r="A1021" s="2">
        <v>2017</v>
      </c>
      <c r="B1021" s="2" t="s">
        <v>275</v>
      </c>
      <c r="C1021" t="s">
        <v>106</v>
      </c>
      <c r="D1021" s="1">
        <v>130674</v>
      </c>
      <c r="E1021" t="s">
        <v>6</v>
      </c>
      <c r="F1021" t="s">
        <v>10</v>
      </c>
      <c r="G1021">
        <v>85</v>
      </c>
      <c r="H1021">
        <v>5</v>
      </c>
      <c r="I1021">
        <v>52</v>
      </c>
      <c r="J1021">
        <v>44</v>
      </c>
      <c r="K1021">
        <v>40</v>
      </c>
    </row>
    <row r="1022" spans="1:11" x14ac:dyDescent="0.25">
      <c r="A1022" s="2">
        <v>2017</v>
      </c>
      <c r="B1022" s="2" t="s">
        <v>275</v>
      </c>
      <c r="C1022" t="s">
        <v>106</v>
      </c>
      <c r="D1022" s="1">
        <v>59899</v>
      </c>
      <c r="E1022" t="s">
        <v>22</v>
      </c>
      <c r="F1022" t="s">
        <v>12</v>
      </c>
      <c r="G1022">
        <v>60</v>
      </c>
      <c r="H1022">
        <v>10</v>
      </c>
      <c r="I1022">
        <v>1</v>
      </c>
      <c r="J1022">
        <v>2</v>
      </c>
      <c r="K1022">
        <v>1</v>
      </c>
    </row>
    <row r="1023" spans="1:11" x14ac:dyDescent="0.25">
      <c r="A1023" s="2">
        <v>2017</v>
      </c>
      <c r="B1023" s="2" t="s">
        <v>275</v>
      </c>
      <c r="C1023" t="s">
        <v>106</v>
      </c>
      <c r="D1023" s="1">
        <v>59899</v>
      </c>
      <c r="E1023" t="s">
        <v>22</v>
      </c>
      <c r="F1023" t="s">
        <v>7</v>
      </c>
      <c r="G1023">
        <v>81.3</v>
      </c>
      <c r="H1023">
        <v>9</v>
      </c>
      <c r="I1023">
        <v>13</v>
      </c>
      <c r="J1023">
        <v>7</v>
      </c>
      <c r="K1023">
        <v>10</v>
      </c>
    </row>
    <row r="1024" spans="1:11" x14ac:dyDescent="0.25">
      <c r="A1024" s="2">
        <v>2017</v>
      </c>
      <c r="B1024" s="2" t="s">
        <v>275</v>
      </c>
      <c r="C1024" t="s">
        <v>106</v>
      </c>
      <c r="D1024" s="1">
        <v>59899</v>
      </c>
      <c r="E1024" t="s">
        <v>22</v>
      </c>
      <c r="F1024" t="s">
        <v>11</v>
      </c>
      <c r="G1024">
        <v>91.7</v>
      </c>
      <c r="H1024">
        <v>9</v>
      </c>
      <c r="I1024">
        <v>91</v>
      </c>
      <c r="J1024">
        <v>77</v>
      </c>
      <c r="K1024">
        <v>73</v>
      </c>
    </row>
    <row r="1025" spans="1:11" x14ac:dyDescent="0.25">
      <c r="A1025" s="2">
        <v>2017</v>
      </c>
      <c r="B1025" s="2" t="s">
        <v>275</v>
      </c>
      <c r="C1025" t="s">
        <v>106</v>
      </c>
      <c r="D1025" s="1">
        <v>59899</v>
      </c>
      <c r="E1025" t="s">
        <v>22</v>
      </c>
      <c r="F1025" t="s">
        <v>9</v>
      </c>
      <c r="G1025">
        <v>83.3</v>
      </c>
      <c r="H1025">
        <v>9</v>
      </c>
      <c r="I1025">
        <v>22</v>
      </c>
      <c r="J1025">
        <v>16</v>
      </c>
      <c r="K1025">
        <v>17</v>
      </c>
    </row>
    <row r="1026" spans="1:11" x14ac:dyDescent="0.25">
      <c r="A1026" s="2">
        <v>2017</v>
      </c>
      <c r="B1026" s="2" t="s">
        <v>275</v>
      </c>
      <c r="C1026" t="s">
        <v>106</v>
      </c>
      <c r="D1026" s="1">
        <v>59899</v>
      </c>
      <c r="E1026" t="s">
        <v>22</v>
      </c>
      <c r="F1026" t="s">
        <v>8</v>
      </c>
      <c r="G1026">
        <v>75</v>
      </c>
      <c r="H1026">
        <v>9</v>
      </c>
      <c r="I1026">
        <v>3</v>
      </c>
      <c r="J1026">
        <v>3</v>
      </c>
      <c r="K1026">
        <v>2</v>
      </c>
    </row>
    <row r="1027" spans="1:11" x14ac:dyDescent="0.25">
      <c r="A1027" s="2">
        <v>2017</v>
      </c>
      <c r="B1027" s="2" t="s">
        <v>275</v>
      </c>
      <c r="C1027" t="s">
        <v>106</v>
      </c>
      <c r="D1027" s="1">
        <v>59899</v>
      </c>
      <c r="E1027" t="s">
        <v>22</v>
      </c>
      <c r="F1027" t="s">
        <v>10</v>
      </c>
      <c r="G1027">
        <v>75</v>
      </c>
      <c r="H1027">
        <v>9</v>
      </c>
      <c r="I1027">
        <v>3</v>
      </c>
      <c r="J1027">
        <v>3</v>
      </c>
      <c r="K1027">
        <v>2</v>
      </c>
    </row>
    <row r="1028" spans="1:11" x14ac:dyDescent="0.25">
      <c r="A1028" s="2">
        <v>2017</v>
      </c>
      <c r="B1028" s="2" t="s">
        <v>275</v>
      </c>
      <c r="C1028" t="s">
        <v>106</v>
      </c>
      <c r="D1028" s="1">
        <v>99093</v>
      </c>
      <c r="E1028" t="s">
        <v>14</v>
      </c>
      <c r="F1028" t="s">
        <v>12</v>
      </c>
      <c r="G1028">
        <v>95.8</v>
      </c>
      <c r="H1028">
        <v>6</v>
      </c>
      <c r="I1028">
        <v>99</v>
      </c>
      <c r="J1028">
        <v>99</v>
      </c>
      <c r="K1028">
        <v>99</v>
      </c>
    </row>
    <row r="1029" spans="1:11" x14ac:dyDescent="0.25">
      <c r="A1029" s="2">
        <v>2017</v>
      </c>
      <c r="B1029" s="2" t="s">
        <v>275</v>
      </c>
      <c r="C1029" t="s">
        <v>106</v>
      </c>
      <c r="D1029" s="1">
        <v>99093</v>
      </c>
      <c r="E1029" t="s">
        <v>14</v>
      </c>
      <c r="F1029" t="s">
        <v>7</v>
      </c>
      <c r="G1029">
        <v>97.9</v>
      </c>
      <c r="H1029">
        <v>6</v>
      </c>
      <c r="I1029">
        <v>99</v>
      </c>
      <c r="J1029">
        <v>99</v>
      </c>
      <c r="K1029">
        <v>99</v>
      </c>
    </row>
    <row r="1030" spans="1:11" x14ac:dyDescent="0.25">
      <c r="A1030" s="2">
        <v>2017</v>
      </c>
      <c r="B1030" s="2" t="s">
        <v>275</v>
      </c>
      <c r="C1030" t="s">
        <v>106</v>
      </c>
      <c r="D1030" s="1">
        <v>99093</v>
      </c>
      <c r="E1030" t="s">
        <v>14</v>
      </c>
      <c r="F1030" t="s">
        <v>11</v>
      </c>
      <c r="G1030">
        <v>100</v>
      </c>
      <c r="H1030">
        <v>6</v>
      </c>
      <c r="I1030">
        <v>99</v>
      </c>
      <c r="J1030">
        <v>99</v>
      </c>
      <c r="K1030">
        <v>99</v>
      </c>
    </row>
    <row r="1031" spans="1:11" x14ac:dyDescent="0.25">
      <c r="A1031" s="2">
        <v>2017</v>
      </c>
      <c r="B1031" s="2" t="s">
        <v>275</v>
      </c>
      <c r="C1031" t="s">
        <v>106</v>
      </c>
      <c r="D1031" s="1">
        <v>99093</v>
      </c>
      <c r="E1031" t="s">
        <v>14</v>
      </c>
      <c r="F1031" t="s">
        <v>9</v>
      </c>
      <c r="G1031">
        <v>95.8</v>
      </c>
      <c r="H1031">
        <v>6</v>
      </c>
      <c r="I1031">
        <v>99</v>
      </c>
      <c r="J1031">
        <v>99</v>
      </c>
      <c r="K1031">
        <v>98</v>
      </c>
    </row>
    <row r="1032" spans="1:11" x14ac:dyDescent="0.25">
      <c r="A1032" s="2">
        <v>2017</v>
      </c>
      <c r="B1032" s="2" t="s">
        <v>275</v>
      </c>
      <c r="C1032" t="s">
        <v>106</v>
      </c>
      <c r="D1032" s="1">
        <v>99093</v>
      </c>
      <c r="E1032" t="s">
        <v>14</v>
      </c>
      <c r="F1032" t="s">
        <v>8</v>
      </c>
      <c r="G1032">
        <v>100</v>
      </c>
      <c r="H1032">
        <v>6</v>
      </c>
      <c r="I1032">
        <v>99</v>
      </c>
      <c r="J1032">
        <v>99</v>
      </c>
      <c r="K1032">
        <v>99</v>
      </c>
    </row>
    <row r="1033" spans="1:11" x14ac:dyDescent="0.25">
      <c r="A1033" s="2">
        <v>2017</v>
      </c>
      <c r="B1033" s="2" t="s">
        <v>275</v>
      </c>
      <c r="C1033" t="s">
        <v>106</v>
      </c>
      <c r="D1033" s="1">
        <v>99093</v>
      </c>
      <c r="E1033" t="s">
        <v>14</v>
      </c>
      <c r="F1033" t="s">
        <v>10</v>
      </c>
      <c r="G1033">
        <v>95.8</v>
      </c>
      <c r="H1033">
        <v>6</v>
      </c>
      <c r="I1033">
        <v>99</v>
      </c>
      <c r="J1033">
        <v>99</v>
      </c>
      <c r="K1033">
        <v>99</v>
      </c>
    </row>
    <row r="1034" spans="1:11" x14ac:dyDescent="0.25">
      <c r="A1034" s="2">
        <v>2017</v>
      </c>
      <c r="B1034" s="2" t="s">
        <v>275</v>
      </c>
      <c r="C1034" t="s">
        <v>106</v>
      </c>
      <c r="D1034" s="1">
        <v>70375</v>
      </c>
      <c r="E1034" t="s">
        <v>24</v>
      </c>
      <c r="F1034" t="s">
        <v>12</v>
      </c>
      <c r="G1034">
        <v>87.5</v>
      </c>
      <c r="H1034">
        <v>10</v>
      </c>
      <c r="I1034">
        <v>99</v>
      </c>
      <c r="J1034">
        <v>85</v>
      </c>
      <c r="K1034">
        <v>83</v>
      </c>
    </row>
    <row r="1035" spans="1:11" x14ac:dyDescent="0.25">
      <c r="A1035" s="2">
        <v>2017</v>
      </c>
      <c r="B1035" s="2" t="s">
        <v>275</v>
      </c>
      <c r="C1035" t="s">
        <v>106</v>
      </c>
      <c r="D1035" s="1">
        <v>70375</v>
      </c>
      <c r="E1035" t="s">
        <v>24</v>
      </c>
      <c r="F1035" t="s">
        <v>7</v>
      </c>
      <c r="G1035">
        <v>93.1</v>
      </c>
      <c r="H1035">
        <v>10</v>
      </c>
      <c r="I1035">
        <v>99</v>
      </c>
      <c r="J1035">
        <v>99</v>
      </c>
      <c r="K1035">
        <v>93</v>
      </c>
    </row>
    <row r="1036" spans="1:11" x14ac:dyDescent="0.25">
      <c r="A1036" s="2">
        <v>2017</v>
      </c>
      <c r="B1036" s="2" t="s">
        <v>275</v>
      </c>
      <c r="C1036" t="s">
        <v>106</v>
      </c>
      <c r="D1036" s="1">
        <v>70375</v>
      </c>
      <c r="E1036" t="s">
        <v>24</v>
      </c>
      <c r="F1036" t="s">
        <v>11</v>
      </c>
      <c r="G1036">
        <v>95</v>
      </c>
      <c r="H1036">
        <v>10</v>
      </c>
      <c r="I1036">
        <v>99</v>
      </c>
      <c r="J1036">
        <v>99</v>
      </c>
      <c r="K1036">
        <v>94</v>
      </c>
    </row>
    <row r="1037" spans="1:11" x14ac:dyDescent="0.25">
      <c r="A1037" s="2">
        <v>2017</v>
      </c>
      <c r="B1037" s="2" t="s">
        <v>275</v>
      </c>
      <c r="C1037" t="s">
        <v>106</v>
      </c>
      <c r="D1037" s="1">
        <v>70375</v>
      </c>
      <c r="E1037" t="s">
        <v>24</v>
      </c>
      <c r="F1037" t="s">
        <v>9</v>
      </c>
      <c r="G1037">
        <v>92.5</v>
      </c>
      <c r="H1037">
        <v>10</v>
      </c>
      <c r="I1037">
        <v>99</v>
      </c>
      <c r="J1037">
        <v>98</v>
      </c>
      <c r="K1037">
        <v>90</v>
      </c>
    </row>
    <row r="1038" spans="1:11" x14ac:dyDescent="0.25">
      <c r="A1038" s="2">
        <v>2017</v>
      </c>
      <c r="B1038" s="2" t="s">
        <v>275</v>
      </c>
      <c r="C1038" t="s">
        <v>106</v>
      </c>
      <c r="D1038" s="1">
        <v>70375</v>
      </c>
      <c r="E1038" t="s">
        <v>24</v>
      </c>
      <c r="F1038" t="s">
        <v>8</v>
      </c>
      <c r="G1038">
        <v>92.5</v>
      </c>
      <c r="H1038">
        <v>10</v>
      </c>
      <c r="I1038">
        <v>99</v>
      </c>
      <c r="J1038">
        <v>99</v>
      </c>
      <c r="K1038">
        <v>93</v>
      </c>
    </row>
    <row r="1039" spans="1:11" x14ac:dyDescent="0.25">
      <c r="A1039" s="2">
        <v>2017</v>
      </c>
      <c r="B1039" s="2" t="s">
        <v>275</v>
      </c>
      <c r="C1039" t="s">
        <v>106</v>
      </c>
      <c r="D1039" s="1">
        <v>70375</v>
      </c>
      <c r="E1039" t="s">
        <v>24</v>
      </c>
      <c r="F1039" t="s">
        <v>10</v>
      </c>
      <c r="G1039">
        <v>92.5</v>
      </c>
      <c r="H1039">
        <v>10</v>
      </c>
      <c r="I1039">
        <v>99</v>
      </c>
      <c r="J1039">
        <v>99</v>
      </c>
      <c r="K1039">
        <v>93</v>
      </c>
    </row>
    <row r="1040" spans="1:11" x14ac:dyDescent="0.25">
      <c r="A1040" s="2">
        <v>2017</v>
      </c>
      <c r="B1040" s="2" t="s">
        <v>275</v>
      </c>
      <c r="C1040" t="s">
        <v>106</v>
      </c>
      <c r="D1040" s="1">
        <v>70359</v>
      </c>
      <c r="E1040" t="s">
        <v>19</v>
      </c>
      <c r="F1040" t="s">
        <v>12</v>
      </c>
      <c r="G1040">
        <v>53.6</v>
      </c>
      <c r="H1040">
        <v>7</v>
      </c>
      <c r="I1040">
        <v>1</v>
      </c>
      <c r="J1040">
        <v>1</v>
      </c>
      <c r="K1040">
        <v>1</v>
      </c>
    </row>
    <row r="1041" spans="1:11" x14ac:dyDescent="0.25">
      <c r="A1041" s="2">
        <v>2017</v>
      </c>
      <c r="B1041" s="2" t="s">
        <v>275</v>
      </c>
      <c r="C1041" t="s">
        <v>106</v>
      </c>
      <c r="D1041" s="1">
        <v>70359</v>
      </c>
      <c r="E1041" t="s">
        <v>19</v>
      </c>
      <c r="F1041" t="s">
        <v>7</v>
      </c>
      <c r="G1041">
        <v>86.6</v>
      </c>
      <c r="H1041">
        <v>7</v>
      </c>
      <c r="I1041">
        <v>59</v>
      </c>
      <c r="J1041">
        <v>49</v>
      </c>
      <c r="K1041">
        <v>44</v>
      </c>
    </row>
    <row r="1042" spans="1:11" x14ac:dyDescent="0.25">
      <c r="A1042" s="2">
        <v>2017</v>
      </c>
      <c r="B1042" s="2" t="s">
        <v>275</v>
      </c>
      <c r="C1042" t="s">
        <v>106</v>
      </c>
      <c r="D1042" s="1">
        <v>70359</v>
      </c>
      <c r="E1042" t="s">
        <v>19</v>
      </c>
      <c r="F1042" t="s">
        <v>11</v>
      </c>
      <c r="G1042">
        <v>96.4</v>
      </c>
      <c r="H1042">
        <v>7</v>
      </c>
      <c r="I1042">
        <v>99</v>
      </c>
      <c r="J1042">
        <v>99</v>
      </c>
      <c r="K1042">
        <v>98</v>
      </c>
    </row>
    <row r="1043" spans="1:11" x14ac:dyDescent="0.25">
      <c r="A1043" s="2">
        <v>2017</v>
      </c>
      <c r="B1043" s="2" t="s">
        <v>275</v>
      </c>
      <c r="C1043" t="s">
        <v>106</v>
      </c>
      <c r="D1043" s="1">
        <v>70359</v>
      </c>
      <c r="E1043" t="s">
        <v>19</v>
      </c>
      <c r="F1043" t="s">
        <v>9</v>
      </c>
      <c r="G1043">
        <v>82.1</v>
      </c>
      <c r="H1043">
        <v>7</v>
      </c>
      <c r="I1043">
        <v>16</v>
      </c>
      <c r="J1043">
        <v>13</v>
      </c>
      <c r="K1043">
        <v>12</v>
      </c>
    </row>
    <row r="1044" spans="1:11" x14ac:dyDescent="0.25">
      <c r="A1044" s="2">
        <v>2017</v>
      </c>
      <c r="B1044" s="2" t="s">
        <v>275</v>
      </c>
      <c r="C1044" t="s">
        <v>106</v>
      </c>
      <c r="D1044" s="1">
        <v>70359</v>
      </c>
      <c r="E1044" t="s">
        <v>19</v>
      </c>
      <c r="F1044" t="s">
        <v>8</v>
      </c>
      <c r="G1044">
        <v>82.1</v>
      </c>
      <c r="H1044">
        <v>7</v>
      </c>
      <c r="I1044">
        <v>29</v>
      </c>
      <c r="J1044">
        <v>17</v>
      </c>
      <c r="K1044">
        <v>20</v>
      </c>
    </row>
    <row r="1045" spans="1:11" x14ac:dyDescent="0.25">
      <c r="A1045" s="2">
        <v>2017</v>
      </c>
      <c r="B1045" s="2" t="s">
        <v>275</v>
      </c>
      <c r="C1045" t="s">
        <v>106</v>
      </c>
      <c r="D1045" s="1">
        <v>70359</v>
      </c>
      <c r="E1045" t="s">
        <v>19</v>
      </c>
      <c r="F1045" t="s">
        <v>10</v>
      </c>
      <c r="G1045">
        <v>85.7</v>
      </c>
      <c r="H1045">
        <v>7</v>
      </c>
      <c r="I1045">
        <v>67</v>
      </c>
      <c r="J1045">
        <v>49</v>
      </c>
      <c r="K1045">
        <v>46</v>
      </c>
    </row>
    <row r="1046" spans="1:11" x14ac:dyDescent="0.25">
      <c r="A1046" s="2">
        <v>2017</v>
      </c>
      <c r="B1046" s="2" t="s">
        <v>275</v>
      </c>
      <c r="C1046" t="s">
        <v>106</v>
      </c>
      <c r="D1046" s="1">
        <v>99911</v>
      </c>
      <c r="E1046" t="s">
        <v>33</v>
      </c>
      <c r="F1046" t="s">
        <v>12</v>
      </c>
      <c r="G1046">
        <v>59.4</v>
      </c>
      <c r="H1046">
        <v>8</v>
      </c>
      <c r="I1046">
        <v>1</v>
      </c>
      <c r="J1046">
        <v>2</v>
      </c>
      <c r="K1046">
        <v>1</v>
      </c>
    </row>
    <row r="1047" spans="1:11" x14ac:dyDescent="0.25">
      <c r="A1047" s="2">
        <v>2017</v>
      </c>
      <c r="B1047" s="2" t="s">
        <v>275</v>
      </c>
      <c r="C1047" t="s">
        <v>106</v>
      </c>
      <c r="D1047" s="1">
        <v>99911</v>
      </c>
      <c r="E1047" t="s">
        <v>33</v>
      </c>
      <c r="F1047" t="s">
        <v>7</v>
      </c>
      <c r="G1047">
        <v>84.4</v>
      </c>
      <c r="H1047">
        <v>8</v>
      </c>
      <c r="I1047">
        <v>35</v>
      </c>
      <c r="J1047">
        <v>24</v>
      </c>
      <c r="K1047">
        <v>25</v>
      </c>
    </row>
    <row r="1048" spans="1:11" x14ac:dyDescent="0.25">
      <c r="A1048" s="2">
        <v>2017</v>
      </c>
      <c r="B1048" s="2" t="s">
        <v>275</v>
      </c>
      <c r="C1048" t="s">
        <v>106</v>
      </c>
      <c r="D1048" s="1">
        <v>99911</v>
      </c>
      <c r="E1048" t="s">
        <v>33</v>
      </c>
      <c r="F1048" t="s">
        <v>11</v>
      </c>
      <c r="G1048">
        <v>90.6</v>
      </c>
      <c r="H1048">
        <v>8</v>
      </c>
      <c r="I1048">
        <v>78</v>
      </c>
      <c r="J1048">
        <v>64</v>
      </c>
      <c r="K1048">
        <v>62</v>
      </c>
    </row>
    <row r="1049" spans="1:11" x14ac:dyDescent="0.25">
      <c r="A1049" s="2">
        <v>2017</v>
      </c>
      <c r="B1049" s="2" t="s">
        <v>275</v>
      </c>
      <c r="C1049" t="s">
        <v>106</v>
      </c>
      <c r="D1049" s="1">
        <v>99911</v>
      </c>
      <c r="E1049" t="s">
        <v>33</v>
      </c>
      <c r="F1049" t="s">
        <v>9</v>
      </c>
      <c r="G1049">
        <v>84.4</v>
      </c>
      <c r="H1049">
        <v>8</v>
      </c>
      <c r="I1049">
        <v>29</v>
      </c>
      <c r="J1049">
        <v>20</v>
      </c>
      <c r="K1049">
        <v>23</v>
      </c>
    </row>
    <row r="1050" spans="1:11" x14ac:dyDescent="0.25">
      <c r="A1050" s="2">
        <v>2017</v>
      </c>
      <c r="B1050" s="2" t="s">
        <v>275</v>
      </c>
      <c r="C1050" t="s">
        <v>106</v>
      </c>
      <c r="D1050" s="1">
        <v>99911</v>
      </c>
      <c r="E1050" t="s">
        <v>33</v>
      </c>
      <c r="F1050" t="s">
        <v>8</v>
      </c>
      <c r="G1050">
        <v>78.099999999999994</v>
      </c>
      <c r="H1050">
        <v>8</v>
      </c>
      <c r="I1050">
        <v>8</v>
      </c>
      <c r="J1050">
        <v>5</v>
      </c>
      <c r="K1050">
        <v>5</v>
      </c>
    </row>
    <row r="1051" spans="1:11" x14ac:dyDescent="0.25">
      <c r="A1051" s="2">
        <v>2017</v>
      </c>
      <c r="B1051" s="2" t="s">
        <v>275</v>
      </c>
      <c r="C1051" t="s">
        <v>106</v>
      </c>
      <c r="D1051" s="1">
        <v>99911</v>
      </c>
      <c r="E1051" t="s">
        <v>33</v>
      </c>
      <c r="F1051" t="s">
        <v>10</v>
      </c>
      <c r="G1051">
        <v>84.4</v>
      </c>
      <c r="H1051">
        <v>8</v>
      </c>
      <c r="I1051">
        <v>46</v>
      </c>
      <c r="J1051">
        <v>40</v>
      </c>
      <c r="K1051">
        <v>35</v>
      </c>
    </row>
    <row r="1052" spans="1:11" x14ac:dyDescent="0.25">
      <c r="A1052" s="2">
        <v>2017</v>
      </c>
      <c r="B1052" s="2" t="s">
        <v>275</v>
      </c>
      <c r="C1052" t="s">
        <v>106</v>
      </c>
      <c r="D1052" s="1">
        <v>177162</v>
      </c>
      <c r="E1052" t="s">
        <v>13</v>
      </c>
      <c r="F1052" t="s">
        <v>12</v>
      </c>
      <c r="G1052">
        <v>69.099999999999994</v>
      </c>
      <c r="H1052">
        <v>17</v>
      </c>
      <c r="I1052">
        <v>22</v>
      </c>
      <c r="J1052">
        <v>6</v>
      </c>
      <c r="K1052">
        <v>6</v>
      </c>
    </row>
    <row r="1053" spans="1:11" x14ac:dyDescent="0.25">
      <c r="A1053" s="2">
        <v>2017</v>
      </c>
      <c r="B1053" s="2" t="s">
        <v>275</v>
      </c>
      <c r="C1053" t="s">
        <v>106</v>
      </c>
      <c r="D1053" s="1">
        <v>177162</v>
      </c>
      <c r="E1053" t="s">
        <v>13</v>
      </c>
      <c r="F1053" t="s">
        <v>7</v>
      </c>
      <c r="G1053">
        <v>69.5</v>
      </c>
      <c r="H1053">
        <v>17</v>
      </c>
      <c r="I1053">
        <v>1</v>
      </c>
      <c r="J1053">
        <v>1</v>
      </c>
      <c r="K1053">
        <v>1</v>
      </c>
    </row>
    <row r="1054" spans="1:11" x14ac:dyDescent="0.25">
      <c r="A1054" s="2">
        <v>2017</v>
      </c>
      <c r="B1054" s="2" t="s">
        <v>275</v>
      </c>
      <c r="C1054" t="s">
        <v>106</v>
      </c>
      <c r="D1054" s="1">
        <v>177162</v>
      </c>
      <c r="E1054" t="s">
        <v>13</v>
      </c>
      <c r="F1054" t="s">
        <v>11</v>
      </c>
      <c r="G1054">
        <v>73.5</v>
      </c>
      <c r="H1054">
        <v>17</v>
      </c>
      <c r="I1054">
        <v>1</v>
      </c>
      <c r="J1054">
        <v>1</v>
      </c>
      <c r="K1054">
        <v>1</v>
      </c>
    </row>
    <row r="1055" spans="1:11" x14ac:dyDescent="0.25">
      <c r="A1055" s="2">
        <v>2017</v>
      </c>
      <c r="B1055" s="2" t="s">
        <v>275</v>
      </c>
      <c r="C1055" t="s">
        <v>106</v>
      </c>
      <c r="D1055" s="1">
        <v>177162</v>
      </c>
      <c r="E1055" t="s">
        <v>13</v>
      </c>
      <c r="F1055" t="s">
        <v>9</v>
      </c>
      <c r="G1055">
        <v>70.599999999999994</v>
      </c>
      <c r="H1055">
        <v>17</v>
      </c>
      <c r="I1055">
        <v>1</v>
      </c>
      <c r="J1055">
        <v>1</v>
      </c>
      <c r="K1055">
        <v>1</v>
      </c>
    </row>
    <row r="1056" spans="1:11" x14ac:dyDescent="0.25">
      <c r="A1056" s="2">
        <v>2017</v>
      </c>
      <c r="B1056" s="2" t="s">
        <v>275</v>
      </c>
      <c r="C1056" t="s">
        <v>106</v>
      </c>
      <c r="D1056" s="1">
        <v>177162</v>
      </c>
      <c r="E1056" t="s">
        <v>13</v>
      </c>
      <c r="F1056" t="s">
        <v>8</v>
      </c>
      <c r="G1056">
        <v>66.2</v>
      </c>
      <c r="H1056">
        <v>17</v>
      </c>
      <c r="I1056">
        <v>1</v>
      </c>
      <c r="J1056">
        <v>1</v>
      </c>
      <c r="K1056">
        <v>1</v>
      </c>
    </row>
    <row r="1057" spans="1:11" x14ac:dyDescent="0.25">
      <c r="A1057" s="2">
        <v>2017</v>
      </c>
      <c r="B1057" s="2" t="s">
        <v>275</v>
      </c>
      <c r="C1057" t="s">
        <v>106</v>
      </c>
      <c r="D1057" s="1">
        <v>177162</v>
      </c>
      <c r="E1057" t="s">
        <v>13</v>
      </c>
      <c r="F1057" t="s">
        <v>10</v>
      </c>
      <c r="G1057">
        <v>67.7</v>
      </c>
      <c r="H1057">
        <v>17</v>
      </c>
      <c r="I1057">
        <v>1</v>
      </c>
      <c r="J1057">
        <v>1</v>
      </c>
      <c r="K1057">
        <v>1</v>
      </c>
    </row>
    <row r="1058" spans="1:11" x14ac:dyDescent="0.25">
      <c r="A1058" s="2">
        <v>2017</v>
      </c>
      <c r="B1058" s="2" t="s">
        <v>275</v>
      </c>
      <c r="C1058" t="s">
        <v>106</v>
      </c>
      <c r="D1058" s="1">
        <v>60707</v>
      </c>
      <c r="E1058" t="s">
        <v>42</v>
      </c>
      <c r="F1058" t="s">
        <v>12</v>
      </c>
      <c r="G1058">
        <v>40.6</v>
      </c>
      <c r="H1058">
        <v>8</v>
      </c>
      <c r="I1058">
        <v>1</v>
      </c>
      <c r="J1058">
        <v>1</v>
      </c>
      <c r="K1058">
        <v>1</v>
      </c>
    </row>
    <row r="1059" spans="1:11" x14ac:dyDescent="0.25">
      <c r="A1059" s="2">
        <v>2017</v>
      </c>
      <c r="B1059" s="2" t="s">
        <v>275</v>
      </c>
      <c r="C1059" t="s">
        <v>106</v>
      </c>
      <c r="D1059" s="1">
        <v>60707</v>
      </c>
      <c r="E1059" t="s">
        <v>42</v>
      </c>
      <c r="F1059" t="s">
        <v>7</v>
      </c>
      <c r="G1059">
        <v>66.400000000000006</v>
      </c>
      <c r="H1059">
        <v>8</v>
      </c>
      <c r="I1059">
        <v>1</v>
      </c>
      <c r="J1059">
        <v>1</v>
      </c>
      <c r="K1059">
        <v>1</v>
      </c>
    </row>
    <row r="1060" spans="1:11" x14ac:dyDescent="0.25">
      <c r="A1060" s="2">
        <v>2017</v>
      </c>
      <c r="B1060" s="2" t="s">
        <v>275</v>
      </c>
      <c r="C1060" t="s">
        <v>106</v>
      </c>
      <c r="D1060" s="1">
        <v>60707</v>
      </c>
      <c r="E1060" t="s">
        <v>42</v>
      </c>
      <c r="F1060" t="s">
        <v>11</v>
      </c>
      <c r="G1060">
        <v>71.900000000000006</v>
      </c>
      <c r="H1060">
        <v>8</v>
      </c>
      <c r="I1060">
        <v>1</v>
      </c>
      <c r="J1060">
        <v>1</v>
      </c>
      <c r="K1060">
        <v>1</v>
      </c>
    </row>
    <row r="1061" spans="1:11" x14ac:dyDescent="0.25">
      <c r="A1061" s="2">
        <v>2017</v>
      </c>
      <c r="B1061" s="2" t="s">
        <v>275</v>
      </c>
      <c r="C1061" t="s">
        <v>106</v>
      </c>
      <c r="D1061" s="1">
        <v>60707</v>
      </c>
      <c r="E1061" t="s">
        <v>42</v>
      </c>
      <c r="F1061" t="s">
        <v>9</v>
      </c>
      <c r="G1061">
        <v>68.8</v>
      </c>
      <c r="H1061">
        <v>8</v>
      </c>
      <c r="I1061">
        <v>1</v>
      </c>
      <c r="J1061">
        <v>1</v>
      </c>
      <c r="K1061">
        <v>1</v>
      </c>
    </row>
    <row r="1062" spans="1:11" x14ac:dyDescent="0.25">
      <c r="A1062" s="2">
        <v>2017</v>
      </c>
      <c r="B1062" s="2" t="s">
        <v>275</v>
      </c>
      <c r="C1062" t="s">
        <v>106</v>
      </c>
      <c r="D1062" s="1">
        <v>60707</v>
      </c>
      <c r="E1062" t="s">
        <v>42</v>
      </c>
      <c r="F1062" t="s">
        <v>8</v>
      </c>
      <c r="G1062">
        <v>62.5</v>
      </c>
      <c r="H1062">
        <v>8</v>
      </c>
      <c r="I1062">
        <v>1</v>
      </c>
      <c r="J1062">
        <v>1</v>
      </c>
      <c r="K1062">
        <v>1</v>
      </c>
    </row>
    <row r="1063" spans="1:11" x14ac:dyDescent="0.25">
      <c r="A1063" s="2">
        <v>2017</v>
      </c>
      <c r="B1063" s="2" t="s">
        <v>275</v>
      </c>
      <c r="C1063" t="s">
        <v>106</v>
      </c>
      <c r="D1063" s="1">
        <v>60707</v>
      </c>
      <c r="E1063" t="s">
        <v>42</v>
      </c>
      <c r="F1063" t="s">
        <v>10</v>
      </c>
      <c r="G1063">
        <v>62.5</v>
      </c>
      <c r="H1063">
        <v>8</v>
      </c>
      <c r="I1063">
        <v>1</v>
      </c>
      <c r="J1063">
        <v>1</v>
      </c>
      <c r="K1063">
        <v>1</v>
      </c>
    </row>
    <row r="1064" spans="1:11" x14ac:dyDescent="0.25">
      <c r="A1064" s="2">
        <v>2017</v>
      </c>
      <c r="B1064" s="2" t="s">
        <v>275</v>
      </c>
      <c r="C1064" t="s">
        <v>106</v>
      </c>
      <c r="D1064" s="1">
        <v>58222</v>
      </c>
      <c r="E1064" t="s">
        <v>16</v>
      </c>
      <c r="F1064" t="s">
        <v>12</v>
      </c>
      <c r="G1064">
        <v>75</v>
      </c>
      <c r="H1064">
        <v>5</v>
      </c>
      <c r="I1064">
        <v>47</v>
      </c>
      <c r="J1064">
        <v>14</v>
      </c>
      <c r="K1064">
        <v>20</v>
      </c>
    </row>
    <row r="1065" spans="1:11" x14ac:dyDescent="0.25">
      <c r="A1065" s="2">
        <v>2017</v>
      </c>
      <c r="B1065" s="2" t="s">
        <v>275</v>
      </c>
      <c r="C1065" t="s">
        <v>106</v>
      </c>
      <c r="D1065" s="1">
        <v>58222</v>
      </c>
      <c r="E1065" t="s">
        <v>16</v>
      </c>
      <c r="F1065" t="s">
        <v>7</v>
      </c>
      <c r="G1065">
        <v>80</v>
      </c>
      <c r="H1065">
        <v>5</v>
      </c>
      <c r="I1065">
        <v>10</v>
      </c>
      <c r="J1065">
        <v>4</v>
      </c>
      <c r="K1065">
        <v>6</v>
      </c>
    </row>
    <row r="1066" spans="1:11" x14ac:dyDescent="0.25">
      <c r="A1066" s="2">
        <v>2017</v>
      </c>
      <c r="B1066" s="2" t="s">
        <v>275</v>
      </c>
      <c r="C1066" t="s">
        <v>106</v>
      </c>
      <c r="D1066" s="1">
        <v>58222</v>
      </c>
      <c r="E1066" t="s">
        <v>16</v>
      </c>
      <c r="F1066" t="s">
        <v>11</v>
      </c>
      <c r="G1066">
        <v>80</v>
      </c>
      <c r="H1066">
        <v>5</v>
      </c>
      <c r="I1066">
        <v>2</v>
      </c>
      <c r="J1066">
        <v>3</v>
      </c>
      <c r="K1066">
        <v>2</v>
      </c>
    </row>
    <row r="1067" spans="1:11" x14ac:dyDescent="0.25">
      <c r="A1067" s="2">
        <v>2017</v>
      </c>
      <c r="B1067" s="2" t="s">
        <v>275</v>
      </c>
      <c r="C1067" t="s">
        <v>106</v>
      </c>
      <c r="D1067" s="1">
        <v>58222</v>
      </c>
      <c r="E1067" t="s">
        <v>16</v>
      </c>
      <c r="F1067" t="s">
        <v>9</v>
      </c>
      <c r="G1067">
        <v>80</v>
      </c>
      <c r="H1067">
        <v>5</v>
      </c>
      <c r="I1067">
        <v>8</v>
      </c>
      <c r="J1067">
        <v>4</v>
      </c>
      <c r="K1067">
        <v>6</v>
      </c>
    </row>
    <row r="1068" spans="1:11" x14ac:dyDescent="0.25">
      <c r="A1068" s="2">
        <v>2017</v>
      </c>
      <c r="B1068" s="2" t="s">
        <v>275</v>
      </c>
      <c r="C1068" t="s">
        <v>106</v>
      </c>
      <c r="D1068" s="1">
        <v>58222</v>
      </c>
      <c r="E1068" t="s">
        <v>16</v>
      </c>
      <c r="F1068" t="s">
        <v>8</v>
      </c>
      <c r="G1068">
        <v>80</v>
      </c>
      <c r="H1068">
        <v>5</v>
      </c>
      <c r="I1068">
        <v>16</v>
      </c>
      <c r="J1068">
        <v>11</v>
      </c>
      <c r="K1068">
        <v>10</v>
      </c>
    </row>
    <row r="1069" spans="1:11" x14ac:dyDescent="0.25">
      <c r="A1069" s="2">
        <v>2017</v>
      </c>
      <c r="B1069" s="2" t="s">
        <v>275</v>
      </c>
      <c r="C1069" t="s">
        <v>106</v>
      </c>
      <c r="D1069" s="1">
        <v>58222</v>
      </c>
      <c r="E1069" t="s">
        <v>16</v>
      </c>
      <c r="F1069" t="s">
        <v>10</v>
      </c>
      <c r="G1069">
        <v>80</v>
      </c>
      <c r="H1069">
        <v>5</v>
      </c>
      <c r="I1069">
        <v>16</v>
      </c>
      <c r="J1069">
        <v>10</v>
      </c>
      <c r="K1069">
        <v>11</v>
      </c>
    </row>
    <row r="1070" spans="1:11" x14ac:dyDescent="0.25">
      <c r="A1070" s="2">
        <v>2017</v>
      </c>
      <c r="B1070" s="2" t="s">
        <v>275</v>
      </c>
      <c r="C1070" t="s">
        <v>106</v>
      </c>
      <c r="D1070" s="1">
        <v>89391</v>
      </c>
      <c r="E1070" t="s">
        <v>27</v>
      </c>
      <c r="F1070" t="s">
        <v>12</v>
      </c>
      <c r="G1070">
        <v>60</v>
      </c>
      <c r="H1070">
        <v>5</v>
      </c>
      <c r="I1070">
        <v>1</v>
      </c>
      <c r="J1070">
        <v>2</v>
      </c>
      <c r="K1070">
        <v>1</v>
      </c>
    </row>
    <row r="1071" spans="1:11" x14ac:dyDescent="0.25">
      <c r="A1071" s="2">
        <v>2017</v>
      </c>
      <c r="B1071" s="2" t="s">
        <v>275</v>
      </c>
      <c r="C1071" t="s">
        <v>106</v>
      </c>
      <c r="D1071" s="1">
        <v>89391</v>
      </c>
      <c r="E1071" t="s">
        <v>27</v>
      </c>
      <c r="F1071" t="s">
        <v>7</v>
      </c>
      <c r="G1071">
        <v>73.8</v>
      </c>
      <c r="H1071">
        <v>5</v>
      </c>
      <c r="I1071">
        <v>1</v>
      </c>
      <c r="J1071">
        <v>1</v>
      </c>
      <c r="K1071">
        <v>1</v>
      </c>
    </row>
    <row r="1072" spans="1:11" x14ac:dyDescent="0.25">
      <c r="A1072" s="2">
        <v>2017</v>
      </c>
      <c r="B1072" s="2" t="s">
        <v>275</v>
      </c>
      <c r="C1072" t="s">
        <v>106</v>
      </c>
      <c r="D1072" s="1">
        <v>89391</v>
      </c>
      <c r="E1072" t="s">
        <v>27</v>
      </c>
      <c r="F1072" t="s">
        <v>11</v>
      </c>
      <c r="G1072">
        <v>85</v>
      </c>
      <c r="H1072">
        <v>5</v>
      </c>
      <c r="I1072">
        <v>19</v>
      </c>
      <c r="J1072">
        <v>11</v>
      </c>
      <c r="K1072">
        <v>14</v>
      </c>
    </row>
    <row r="1073" spans="1:11" x14ac:dyDescent="0.25">
      <c r="A1073" s="2">
        <v>2017</v>
      </c>
      <c r="B1073" s="2" t="s">
        <v>275</v>
      </c>
      <c r="C1073" t="s">
        <v>106</v>
      </c>
      <c r="D1073" s="1">
        <v>89391</v>
      </c>
      <c r="E1073" t="s">
        <v>27</v>
      </c>
      <c r="F1073" t="s">
        <v>9</v>
      </c>
      <c r="G1073">
        <v>75</v>
      </c>
      <c r="H1073">
        <v>5</v>
      </c>
      <c r="I1073">
        <v>1</v>
      </c>
      <c r="J1073">
        <v>1</v>
      </c>
      <c r="K1073">
        <v>1</v>
      </c>
    </row>
    <row r="1074" spans="1:11" x14ac:dyDescent="0.25">
      <c r="A1074" s="2">
        <v>2017</v>
      </c>
      <c r="B1074" s="2" t="s">
        <v>275</v>
      </c>
      <c r="C1074" t="s">
        <v>106</v>
      </c>
      <c r="D1074" s="1">
        <v>89391</v>
      </c>
      <c r="E1074" t="s">
        <v>27</v>
      </c>
      <c r="F1074" t="s">
        <v>8</v>
      </c>
      <c r="G1074">
        <v>70</v>
      </c>
      <c r="H1074">
        <v>5</v>
      </c>
      <c r="I1074">
        <v>1</v>
      </c>
      <c r="J1074">
        <v>1</v>
      </c>
      <c r="K1074">
        <v>1</v>
      </c>
    </row>
    <row r="1075" spans="1:11" x14ac:dyDescent="0.25">
      <c r="A1075" s="2">
        <v>2017</v>
      </c>
      <c r="B1075" s="2" t="s">
        <v>275</v>
      </c>
      <c r="C1075" t="s">
        <v>106</v>
      </c>
      <c r="D1075" s="1">
        <v>89391</v>
      </c>
      <c r="E1075" t="s">
        <v>27</v>
      </c>
      <c r="F1075" t="s">
        <v>10</v>
      </c>
      <c r="G1075">
        <v>65</v>
      </c>
      <c r="H1075">
        <v>5</v>
      </c>
      <c r="I1075">
        <v>1</v>
      </c>
      <c r="J1075">
        <v>1</v>
      </c>
      <c r="K1075">
        <v>1</v>
      </c>
    </row>
    <row r="1076" spans="1:11" x14ac:dyDescent="0.25">
      <c r="A1076" s="2">
        <v>2017</v>
      </c>
      <c r="B1076" s="2" t="s">
        <v>275</v>
      </c>
      <c r="C1076" t="s">
        <v>106</v>
      </c>
      <c r="D1076" s="1">
        <v>36541</v>
      </c>
      <c r="E1076" t="s">
        <v>21</v>
      </c>
      <c r="F1076" t="s">
        <v>12</v>
      </c>
      <c r="G1076">
        <v>80</v>
      </c>
      <c r="H1076">
        <v>5</v>
      </c>
      <c r="I1076">
        <v>68</v>
      </c>
      <c r="J1076">
        <v>32</v>
      </c>
      <c r="K1076">
        <v>42</v>
      </c>
    </row>
    <row r="1077" spans="1:11" x14ac:dyDescent="0.25">
      <c r="A1077" s="2">
        <v>2017</v>
      </c>
      <c r="B1077" s="2" t="s">
        <v>275</v>
      </c>
      <c r="C1077" t="s">
        <v>106</v>
      </c>
      <c r="D1077" s="1">
        <v>36541</v>
      </c>
      <c r="E1077" t="s">
        <v>21</v>
      </c>
      <c r="F1077" t="s">
        <v>7</v>
      </c>
      <c r="G1077">
        <v>91.3</v>
      </c>
      <c r="H1077">
        <v>5</v>
      </c>
      <c r="I1077">
        <v>99</v>
      </c>
      <c r="J1077">
        <v>92</v>
      </c>
      <c r="K1077">
        <v>85</v>
      </c>
    </row>
    <row r="1078" spans="1:11" x14ac:dyDescent="0.25">
      <c r="A1078" s="2">
        <v>2017</v>
      </c>
      <c r="B1078" s="2" t="s">
        <v>275</v>
      </c>
      <c r="C1078" t="s">
        <v>106</v>
      </c>
      <c r="D1078" s="1">
        <v>36541</v>
      </c>
      <c r="E1078" t="s">
        <v>21</v>
      </c>
      <c r="F1078" t="s">
        <v>11</v>
      </c>
      <c r="G1078">
        <v>95</v>
      </c>
      <c r="H1078">
        <v>5</v>
      </c>
      <c r="I1078">
        <v>99</v>
      </c>
      <c r="J1078">
        <v>99</v>
      </c>
      <c r="K1078">
        <v>94</v>
      </c>
    </row>
    <row r="1079" spans="1:11" x14ac:dyDescent="0.25">
      <c r="A1079" s="2">
        <v>2017</v>
      </c>
      <c r="B1079" s="2" t="s">
        <v>275</v>
      </c>
      <c r="C1079" t="s">
        <v>106</v>
      </c>
      <c r="D1079" s="1">
        <v>36541</v>
      </c>
      <c r="E1079" t="s">
        <v>21</v>
      </c>
      <c r="F1079" t="s">
        <v>9</v>
      </c>
      <c r="G1079">
        <v>90</v>
      </c>
      <c r="H1079">
        <v>5</v>
      </c>
      <c r="I1079">
        <v>92</v>
      </c>
      <c r="J1079">
        <v>77</v>
      </c>
      <c r="K1079">
        <v>74</v>
      </c>
    </row>
    <row r="1080" spans="1:11" x14ac:dyDescent="0.25">
      <c r="A1080" s="2">
        <v>2017</v>
      </c>
      <c r="B1080" s="2" t="s">
        <v>275</v>
      </c>
      <c r="C1080" t="s">
        <v>106</v>
      </c>
      <c r="D1080" s="1">
        <v>36541</v>
      </c>
      <c r="E1080" t="s">
        <v>21</v>
      </c>
      <c r="F1080" t="s">
        <v>8</v>
      </c>
      <c r="G1080">
        <v>90</v>
      </c>
      <c r="H1080">
        <v>5</v>
      </c>
      <c r="I1080">
        <v>98</v>
      </c>
      <c r="J1080">
        <v>92</v>
      </c>
      <c r="K1080">
        <v>82</v>
      </c>
    </row>
    <row r="1081" spans="1:11" x14ac:dyDescent="0.25">
      <c r="A1081" s="2">
        <v>2017</v>
      </c>
      <c r="B1081" s="2" t="s">
        <v>275</v>
      </c>
      <c r="C1081" t="s">
        <v>106</v>
      </c>
      <c r="D1081" s="1">
        <v>36541</v>
      </c>
      <c r="E1081" t="s">
        <v>21</v>
      </c>
      <c r="F1081" t="s">
        <v>10</v>
      </c>
      <c r="G1081">
        <v>90</v>
      </c>
      <c r="H1081">
        <v>5</v>
      </c>
      <c r="I1081">
        <v>98</v>
      </c>
      <c r="J1081">
        <v>86</v>
      </c>
      <c r="K1081">
        <v>82</v>
      </c>
    </row>
    <row r="1082" spans="1:11" x14ac:dyDescent="0.25">
      <c r="A1082" s="2">
        <v>2017</v>
      </c>
      <c r="B1082" s="2" t="s">
        <v>275</v>
      </c>
      <c r="C1082" t="s">
        <v>106</v>
      </c>
      <c r="D1082" s="1">
        <v>91405</v>
      </c>
      <c r="E1082" t="s">
        <v>39</v>
      </c>
      <c r="F1082" t="s">
        <v>12</v>
      </c>
      <c r="G1082">
        <v>82.1</v>
      </c>
      <c r="H1082">
        <v>7</v>
      </c>
      <c r="I1082">
        <v>80</v>
      </c>
      <c r="J1082">
        <v>44</v>
      </c>
      <c r="K1082">
        <v>54</v>
      </c>
    </row>
    <row r="1083" spans="1:11" x14ac:dyDescent="0.25">
      <c r="A1083" s="2">
        <v>2017</v>
      </c>
      <c r="B1083" s="2" t="s">
        <v>275</v>
      </c>
      <c r="C1083" t="s">
        <v>106</v>
      </c>
      <c r="D1083" s="1">
        <v>91405</v>
      </c>
      <c r="E1083" t="s">
        <v>39</v>
      </c>
      <c r="F1083" t="s">
        <v>7</v>
      </c>
      <c r="G1083">
        <v>79.5</v>
      </c>
      <c r="H1083">
        <v>7</v>
      </c>
      <c r="I1083">
        <v>8</v>
      </c>
      <c r="J1083">
        <v>4</v>
      </c>
      <c r="K1083">
        <v>5</v>
      </c>
    </row>
    <row r="1084" spans="1:11" x14ac:dyDescent="0.25">
      <c r="A1084" s="2">
        <v>2017</v>
      </c>
      <c r="B1084" s="2" t="s">
        <v>275</v>
      </c>
      <c r="C1084" t="s">
        <v>106</v>
      </c>
      <c r="D1084" s="1">
        <v>91405</v>
      </c>
      <c r="E1084" t="s">
        <v>39</v>
      </c>
      <c r="F1084" t="s">
        <v>11</v>
      </c>
      <c r="G1084">
        <v>85.7</v>
      </c>
      <c r="H1084">
        <v>7</v>
      </c>
      <c r="I1084">
        <v>24</v>
      </c>
      <c r="J1084">
        <v>16</v>
      </c>
      <c r="K1084">
        <v>18</v>
      </c>
    </row>
    <row r="1085" spans="1:11" x14ac:dyDescent="0.25">
      <c r="A1085" s="2">
        <v>2017</v>
      </c>
      <c r="B1085" s="2" t="s">
        <v>275</v>
      </c>
      <c r="C1085" t="s">
        <v>106</v>
      </c>
      <c r="D1085" s="1">
        <v>91405</v>
      </c>
      <c r="E1085" t="s">
        <v>39</v>
      </c>
      <c r="F1085" t="s">
        <v>9</v>
      </c>
      <c r="G1085">
        <v>78.599999999999994</v>
      </c>
      <c r="H1085">
        <v>7</v>
      </c>
      <c r="I1085">
        <v>4</v>
      </c>
      <c r="J1085">
        <v>4</v>
      </c>
      <c r="K1085">
        <v>4</v>
      </c>
    </row>
    <row r="1086" spans="1:11" x14ac:dyDescent="0.25">
      <c r="A1086" s="2">
        <v>2017</v>
      </c>
      <c r="B1086" s="2" t="s">
        <v>275</v>
      </c>
      <c r="C1086" t="s">
        <v>106</v>
      </c>
      <c r="D1086" s="1">
        <v>91405</v>
      </c>
      <c r="E1086" t="s">
        <v>39</v>
      </c>
      <c r="F1086" t="s">
        <v>8</v>
      </c>
      <c r="G1086">
        <v>78.599999999999994</v>
      </c>
      <c r="H1086">
        <v>7</v>
      </c>
      <c r="I1086">
        <v>10</v>
      </c>
      <c r="J1086">
        <v>6</v>
      </c>
      <c r="K1086">
        <v>6</v>
      </c>
    </row>
    <row r="1087" spans="1:11" x14ac:dyDescent="0.25">
      <c r="A1087" s="2">
        <v>2017</v>
      </c>
      <c r="B1087" s="2" t="s">
        <v>275</v>
      </c>
      <c r="C1087" t="s">
        <v>106</v>
      </c>
      <c r="D1087" s="1">
        <v>91405</v>
      </c>
      <c r="E1087" t="s">
        <v>39</v>
      </c>
      <c r="F1087" t="s">
        <v>10</v>
      </c>
      <c r="G1087">
        <v>75</v>
      </c>
      <c r="H1087">
        <v>7</v>
      </c>
      <c r="I1087">
        <v>3</v>
      </c>
      <c r="J1087">
        <v>3</v>
      </c>
      <c r="K1087">
        <v>2</v>
      </c>
    </row>
    <row r="1088" spans="1:11" x14ac:dyDescent="0.25">
      <c r="A1088" s="2">
        <v>2017</v>
      </c>
      <c r="B1088" s="2" t="s">
        <v>275</v>
      </c>
      <c r="C1088" t="s">
        <v>106</v>
      </c>
      <c r="D1088" s="1">
        <v>58321</v>
      </c>
      <c r="E1088" t="s">
        <v>40</v>
      </c>
      <c r="F1088" t="s">
        <v>12</v>
      </c>
      <c r="G1088">
        <v>64.599999999999994</v>
      </c>
      <c r="H1088">
        <v>12</v>
      </c>
      <c r="I1088">
        <v>6</v>
      </c>
      <c r="J1088">
        <v>3</v>
      </c>
      <c r="K1088">
        <v>2</v>
      </c>
    </row>
    <row r="1089" spans="1:11" x14ac:dyDescent="0.25">
      <c r="A1089" s="2">
        <v>2017</v>
      </c>
      <c r="B1089" s="2" t="s">
        <v>275</v>
      </c>
      <c r="C1089" t="s">
        <v>106</v>
      </c>
      <c r="D1089" s="1">
        <v>58321</v>
      </c>
      <c r="E1089" t="s">
        <v>40</v>
      </c>
      <c r="F1089" t="s">
        <v>7</v>
      </c>
      <c r="G1089">
        <v>81.8</v>
      </c>
      <c r="H1089">
        <v>12</v>
      </c>
      <c r="I1089">
        <v>17</v>
      </c>
      <c r="J1089">
        <v>13</v>
      </c>
      <c r="K1089">
        <v>12</v>
      </c>
    </row>
    <row r="1090" spans="1:11" x14ac:dyDescent="0.25">
      <c r="A1090" s="2">
        <v>2017</v>
      </c>
      <c r="B1090" s="2" t="s">
        <v>275</v>
      </c>
      <c r="C1090" t="s">
        <v>106</v>
      </c>
      <c r="D1090" s="1">
        <v>58321</v>
      </c>
      <c r="E1090" t="s">
        <v>40</v>
      </c>
      <c r="F1090" t="s">
        <v>11</v>
      </c>
      <c r="G1090">
        <v>83.3</v>
      </c>
      <c r="H1090">
        <v>12</v>
      </c>
      <c r="I1090">
        <v>11</v>
      </c>
      <c r="J1090">
        <v>4</v>
      </c>
      <c r="K1090">
        <v>8</v>
      </c>
    </row>
    <row r="1091" spans="1:11" x14ac:dyDescent="0.25">
      <c r="A1091" s="2">
        <v>2017</v>
      </c>
      <c r="B1091" s="2" t="s">
        <v>275</v>
      </c>
      <c r="C1091" t="s">
        <v>106</v>
      </c>
      <c r="D1091" s="1">
        <v>58321</v>
      </c>
      <c r="E1091" t="s">
        <v>40</v>
      </c>
      <c r="F1091" t="s">
        <v>9</v>
      </c>
      <c r="G1091">
        <v>81.3</v>
      </c>
      <c r="H1091">
        <v>12</v>
      </c>
      <c r="I1091">
        <v>13</v>
      </c>
      <c r="J1091">
        <v>6</v>
      </c>
      <c r="K1091">
        <v>9</v>
      </c>
    </row>
    <row r="1092" spans="1:11" x14ac:dyDescent="0.25">
      <c r="A1092" s="2">
        <v>2017</v>
      </c>
      <c r="B1092" s="2" t="s">
        <v>275</v>
      </c>
      <c r="C1092" t="s">
        <v>106</v>
      </c>
      <c r="D1092" s="1">
        <v>58321</v>
      </c>
      <c r="E1092" t="s">
        <v>40</v>
      </c>
      <c r="F1092" t="s">
        <v>8</v>
      </c>
      <c r="G1092">
        <v>81.3</v>
      </c>
      <c r="H1092">
        <v>12</v>
      </c>
      <c r="I1092">
        <v>24</v>
      </c>
      <c r="J1092">
        <v>15</v>
      </c>
      <c r="K1092">
        <v>16</v>
      </c>
    </row>
    <row r="1093" spans="1:11" x14ac:dyDescent="0.25">
      <c r="A1093" s="2">
        <v>2017</v>
      </c>
      <c r="B1093" s="2" t="s">
        <v>275</v>
      </c>
      <c r="C1093" t="s">
        <v>106</v>
      </c>
      <c r="D1093" s="1">
        <v>58321</v>
      </c>
      <c r="E1093" t="s">
        <v>40</v>
      </c>
      <c r="F1093" t="s">
        <v>10</v>
      </c>
      <c r="G1093">
        <v>81.3</v>
      </c>
      <c r="H1093">
        <v>12</v>
      </c>
      <c r="I1093">
        <v>24</v>
      </c>
      <c r="J1093">
        <v>14</v>
      </c>
      <c r="K1093">
        <v>15</v>
      </c>
    </row>
    <row r="1094" spans="1:11" x14ac:dyDescent="0.25">
      <c r="A1094" s="2">
        <v>2017</v>
      </c>
      <c r="B1094" s="2" t="s">
        <v>275</v>
      </c>
      <c r="C1094" t="s">
        <v>106</v>
      </c>
      <c r="D1094" s="1">
        <v>23994</v>
      </c>
      <c r="E1094" t="s">
        <v>31</v>
      </c>
      <c r="F1094" t="s">
        <v>12</v>
      </c>
      <c r="G1094">
        <v>55.6</v>
      </c>
      <c r="H1094">
        <v>9</v>
      </c>
      <c r="I1094">
        <v>1</v>
      </c>
      <c r="J1094">
        <v>1</v>
      </c>
      <c r="K1094">
        <v>1</v>
      </c>
    </row>
    <row r="1095" spans="1:11" x14ac:dyDescent="0.25">
      <c r="A1095" s="2">
        <v>2017</v>
      </c>
      <c r="B1095" s="2" t="s">
        <v>275</v>
      </c>
      <c r="C1095" t="s">
        <v>106</v>
      </c>
      <c r="D1095" s="1">
        <v>23994</v>
      </c>
      <c r="E1095" t="s">
        <v>31</v>
      </c>
      <c r="F1095" t="s">
        <v>7</v>
      </c>
      <c r="G1095">
        <v>72.900000000000006</v>
      </c>
      <c r="H1095">
        <v>9</v>
      </c>
      <c r="I1095">
        <v>1</v>
      </c>
      <c r="J1095">
        <v>1</v>
      </c>
      <c r="K1095">
        <v>1</v>
      </c>
    </row>
    <row r="1096" spans="1:11" x14ac:dyDescent="0.25">
      <c r="A1096" s="2">
        <v>2017</v>
      </c>
      <c r="B1096" s="2" t="s">
        <v>275</v>
      </c>
      <c r="C1096" t="s">
        <v>106</v>
      </c>
      <c r="D1096" s="1">
        <v>23994</v>
      </c>
      <c r="E1096" t="s">
        <v>31</v>
      </c>
      <c r="F1096" t="s">
        <v>11</v>
      </c>
      <c r="G1096">
        <v>83.3</v>
      </c>
      <c r="H1096">
        <v>9</v>
      </c>
      <c r="I1096">
        <v>11</v>
      </c>
      <c r="J1096">
        <v>4</v>
      </c>
      <c r="K1096">
        <v>8</v>
      </c>
    </row>
    <row r="1097" spans="1:11" x14ac:dyDescent="0.25">
      <c r="A1097" s="2">
        <v>2017</v>
      </c>
      <c r="B1097" s="2" t="s">
        <v>275</v>
      </c>
      <c r="C1097" t="s">
        <v>106</v>
      </c>
      <c r="D1097" s="1">
        <v>23994</v>
      </c>
      <c r="E1097" t="s">
        <v>31</v>
      </c>
      <c r="F1097" t="s">
        <v>9</v>
      </c>
      <c r="G1097">
        <v>66.7</v>
      </c>
      <c r="H1097">
        <v>9</v>
      </c>
      <c r="I1097">
        <v>1</v>
      </c>
      <c r="J1097">
        <v>1</v>
      </c>
      <c r="K1097">
        <v>1</v>
      </c>
    </row>
    <row r="1098" spans="1:11" x14ac:dyDescent="0.25">
      <c r="A1098" s="2">
        <v>2017</v>
      </c>
      <c r="B1098" s="2" t="s">
        <v>275</v>
      </c>
      <c r="C1098" t="s">
        <v>106</v>
      </c>
      <c r="D1098" s="1">
        <v>23994</v>
      </c>
      <c r="E1098" t="s">
        <v>31</v>
      </c>
      <c r="F1098" t="s">
        <v>8</v>
      </c>
      <c r="G1098">
        <v>72.2</v>
      </c>
      <c r="H1098">
        <v>9</v>
      </c>
      <c r="I1098">
        <v>1</v>
      </c>
      <c r="J1098">
        <v>2</v>
      </c>
      <c r="K1098">
        <v>1</v>
      </c>
    </row>
    <row r="1099" spans="1:11" x14ac:dyDescent="0.25">
      <c r="A1099" s="2">
        <v>2017</v>
      </c>
      <c r="B1099" s="2" t="s">
        <v>275</v>
      </c>
      <c r="C1099" t="s">
        <v>106</v>
      </c>
      <c r="D1099" s="1">
        <v>23994</v>
      </c>
      <c r="E1099" t="s">
        <v>31</v>
      </c>
      <c r="F1099" t="s">
        <v>10</v>
      </c>
      <c r="G1099">
        <v>69.400000000000006</v>
      </c>
      <c r="H1099">
        <v>9</v>
      </c>
      <c r="I1099">
        <v>1</v>
      </c>
      <c r="J1099">
        <v>1</v>
      </c>
      <c r="K1099">
        <v>1</v>
      </c>
    </row>
    <row r="1100" spans="1:11" x14ac:dyDescent="0.25">
      <c r="A1100" s="2">
        <v>2017</v>
      </c>
      <c r="B1100" s="2" t="s">
        <v>275</v>
      </c>
      <c r="C1100" t="s">
        <v>106</v>
      </c>
      <c r="D1100" s="1">
        <v>22673</v>
      </c>
      <c r="E1100" t="s">
        <v>17</v>
      </c>
      <c r="F1100" t="s">
        <v>12</v>
      </c>
      <c r="G1100">
        <v>87.5</v>
      </c>
      <c r="H1100">
        <v>2</v>
      </c>
      <c r="I1100">
        <v>99</v>
      </c>
      <c r="J1100">
        <v>85</v>
      </c>
      <c r="K1100">
        <v>83</v>
      </c>
    </row>
    <row r="1101" spans="1:11" x14ac:dyDescent="0.25">
      <c r="A1101" s="2">
        <v>2017</v>
      </c>
      <c r="B1101" s="2" t="s">
        <v>275</v>
      </c>
      <c r="C1101" t="s">
        <v>106</v>
      </c>
      <c r="D1101" s="1">
        <v>22673</v>
      </c>
      <c r="E1101" t="s">
        <v>17</v>
      </c>
      <c r="F1101" t="s">
        <v>7</v>
      </c>
      <c r="G1101">
        <v>93.8</v>
      </c>
      <c r="H1101">
        <v>3</v>
      </c>
      <c r="I1101">
        <v>99</v>
      </c>
      <c r="J1101">
        <v>99</v>
      </c>
      <c r="K1101">
        <v>95</v>
      </c>
    </row>
    <row r="1102" spans="1:11" x14ac:dyDescent="0.25">
      <c r="A1102" s="2">
        <v>2017</v>
      </c>
      <c r="B1102" s="2" t="s">
        <v>275</v>
      </c>
      <c r="C1102" t="s">
        <v>106</v>
      </c>
      <c r="D1102" s="1">
        <v>22673</v>
      </c>
      <c r="E1102" t="s">
        <v>17</v>
      </c>
      <c r="F1102" t="s">
        <v>11</v>
      </c>
      <c r="G1102">
        <v>100</v>
      </c>
      <c r="H1102">
        <v>3</v>
      </c>
      <c r="I1102">
        <v>99</v>
      </c>
      <c r="J1102">
        <v>99</v>
      </c>
      <c r="K1102">
        <v>99</v>
      </c>
    </row>
    <row r="1103" spans="1:11" x14ac:dyDescent="0.25">
      <c r="A1103" s="2">
        <v>2017</v>
      </c>
      <c r="B1103" s="2" t="s">
        <v>275</v>
      </c>
      <c r="C1103" t="s">
        <v>106</v>
      </c>
      <c r="D1103" s="1">
        <v>22673</v>
      </c>
      <c r="E1103" t="s">
        <v>17</v>
      </c>
      <c r="F1103" t="s">
        <v>9</v>
      </c>
      <c r="G1103">
        <v>91.7</v>
      </c>
      <c r="H1103">
        <v>3</v>
      </c>
      <c r="I1103">
        <v>99</v>
      </c>
      <c r="J1103">
        <v>92</v>
      </c>
      <c r="K1103">
        <v>86</v>
      </c>
    </row>
    <row r="1104" spans="1:11" x14ac:dyDescent="0.25">
      <c r="A1104" s="2">
        <v>2017</v>
      </c>
      <c r="B1104" s="2" t="s">
        <v>275</v>
      </c>
      <c r="C1104" t="s">
        <v>106</v>
      </c>
      <c r="D1104" s="1">
        <v>22673</v>
      </c>
      <c r="E1104" t="s">
        <v>17</v>
      </c>
      <c r="F1104" t="s">
        <v>8</v>
      </c>
      <c r="G1104">
        <v>91.7</v>
      </c>
      <c r="H1104">
        <v>3</v>
      </c>
      <c r="I1104">
        <v>99</v>
      </c>
      <c r="J1104">
        <v>98</v>
      </c>
      <c r="K1104">
        <v>91</v>
      </c>
    </row>
    <row r="1105" spans="1:11" x14ac:dyDescent="0.25">
      <c r="A1105" s="2">
        <v>2017</v>
      </c>
      <c r="B1105" s="2" t="s">
        <v>275</v>
      </c>
      <c r="C1105" t="s">
        <v>106</v>
      </c>
      <c r="D1105" s="1">
        <v>22673</v>
      </c>
      <c r="E1105" t="s">
        <v>17</v>
      </c>
      <c r="F1105" t="s">
        <v>10</v>
      </c>
      <c r="G1105">
        <v>91.7</v>
      </c>
      <c r="H1105">
        <v>3</v>
      </c>
      <c r="I1105">
        <v>99</v>
      </c>
      <c r="J1105">
        <v>98</v>
      </c>
      <c r="K1105">
        <v>90</v>
      </c>
    </row>
    <row r="1106" spans="1:11" x14ac:dyDescent="0.25">
      <c r="A1106" s="2">
        <v>2017</v>
      </c>
      <c r="B1106" s="2" t="s">
        <v>275</v>
      </c>
      <c r="C1106" t="s">
        <v>106</v>
      </c>
      <c r="D1106" s="1">
        <v>91397</v>
      </c>
      <c r="E1106" t="s">
        <v>41</v>
      </c>
      <c r="F1106" t="s">
        <v>12</v>
      </c>
      <c r="G1106">
        <v>93.8</v>
      </c>
      <c r="H1106">
        <v>4</v>
      </c>
      <c r="I1106">
        <v>99</v>
      </c>
      <c r="J1106">
        <v>99</v>
      </c>
      <c r="K1106">
        <v>97</v>
      </c>
    </row>
    <row r="1107" spans="1:11" x14ac:dyDescent="0.25">
      <c r="A1107" s="2">
        <v>2017</v>
      </c>
      <c r="B1107" s="2" t="s">
        <v>275</v>
      </c>
      <c r="C1107" t="s">
        <v>106</v>
      </c>
      <c r="D1107" s="1">
        <v>91397</v>
      </c>
      <c r="E1107" t="s">
        <v>41</v>
      </c>
      <c r="F1107" t="s">
        <v>7</v>
      </c>
      <c r="G1107">
        <v>98.4</v>
      </c>
      <c r="H1107">
        <v>4</v>
      </c>
      <c r="I1107">
        <v>99</v>
      </c>
      <c r="J1107">
        <v>99</v>
      </c>
      <c r="K1107">
        <v>99</v>
      </c>
    </row>
    <row r="1108" spans="1:11" x14ac:dyDescent="0.25">
      <c r="A1108" s="2">
        <v>2017</v>
      </c>
      <c r="B1108" s="2" t="s">
        <v>275</v>
      </c>
      <c r="C1108" t="s">
        <v>106</v>
      </c>
      <c r="D1108" s="1">
        <v>91397</v>
      </c>
      <c r="E1108" t="s">
        <v>41</v>
      </c>
      <c r="F1108" t="s">
        <v>11</v>
      </c>
      <c r="G1108">
        <v>100</v>
      </c>
      <c r="H1108">
        <v>4</v>
      </c>
      <c r="I1108">
        <v>99</v>
      </c>
      <c r="J1108">
        <v>99</v>
      </c>
      <c r="K1108">
        <v>99</v>
      </c>
    </row>
    <row r="1109" spans="1:11" x14ac:dyDescent="0.25">
      <c r="A1109" s="2">
        <v>2017</v>
      </c>
      <c r="B1109" s="2" t="s">
        <v>275</v>
      </c>
      <c r="C1109" t="s">
        <v>106</v>
      </c>
      <c r="D1109" s="1">
        <v>91397</v>
      </c>
      <c r="E1109" t="s">
        <v>41</v>
      </c>
      <c r="F1109" t="s">
        <v>9</v>
      </c>
      <c r="G1109">
        <v>100</v>
      </c>
      <c r="H1109">
        <v>4</v>
      </c>
      <c r="I1109">
        <v>99</v>
      </c>
      <c r="J1109">
        <v>99</v>
      </c>
      <c r="K1109">
        <v>99</v>
      </c>
    </row>
    <row r="1110" spans="1:11" x14ac:dyDescent="0.25">
      <c r="A1110" s="2">
        <v>2017</v>
      </c>
      <c r="B1110" s="2" t="s">
        <v>275</v>
      </c>
      <c r="C1110" t="s">
        <v>106</v>
      </c>
      <c r="D1110" s="1">
        <v>91397</v>
      </c>
      <c r="E1110" t="s">
        <v>41</v>
      </c>
      <c r="F1110" t="s">
        <v>8</v>
      </c>
      <c r="G1110">
        <v>100</v>
      </c>
      <c r="H1110">
        <v>4</v>
      </c>
      <c r="I1110">
        <v>99</v>
      </c>
      <c r="J1110">
        <v>99</v>
      </c>
      <c r="K1110">
        <v>99</v>
      </c>
    </row>
    <row r="1111" spans="1:11" x14ac:dyDescent="0.25">
      <c r="A1111" s="2">
        <v>2017</v>
      </c>
      <c r="B1111" s="2" t="s">
        <v>275</v>
      </c>
      <c r="C1111" t="s">
        <v>106</v>
      </c>
      <c r="D1111" s="1">
        <v>91397</v>
      </c>
      <c r="E1111" t="s">
        <v>41</v>
      </c>
      <c r="F1111" t="s">
        <v>10</v>
      </c>
      <c r="G1111">
        <v>93.8</v>
      </c>
      <c r="H1111">
        <v>4</v>
      </c>
      <c r="I1111">
        <v>99</v>
      </c>
      <c r="J1111">
        <v>99</v>
      </c>
      <c r="K1111">
        <v>96</v>
      </c>
    </row>
    <row r="1112" spans="1:11" x14ac:dyDescent="0.25">
      <c r="A1112" s="2">
        <v>2017</v>
      </c>
      <c r="B1112" s="2" t="s">
        <v>275</v>
      </c>
      <c r="C1112" t="s">
        <v>106</v>
      </c>
      <c r="D1112" s="1">
        <v>64022</v>
      </c>
      <c r="E1112" t="s">
        <v>37</v>
      </c>
      <c r="F1112" t="s">
        <v>12</v>
      </c>
      <c r="G1112">
        <v>75</v>
      </c>
      <c r="H1112">
        <v>6</v>
      </c>
      <c r="I1112">
        <v>47</v>
      </c>
      <c r="J1112">
        <v>14</v>
      </c>
      <c r="K1112">
        <v>20</v>
      </c>
    </row>
    <row r="1113" spans="1:11" x14ac:dyDescent="0.25">
      <c r="A1113" s="2">
        <v>2017</v>
      </c>
      <c r="B1113" s="2" t="s">
        <v>275</v>
      </c>
      <c r="C1113" t="s">
        <v>106</v>
      </c>
      <c r="D1113" s="1">
        <v>64022</v>
      </c>
      <c r="E1113" t="s">
        <v>37</v>
      </c>
      <c r="F1113" t="s">
        <v>7</v>
      </c>
      <c r="G1113">
        <v>90.6</v>
      </c>
      <c r="H1113">
        <v>6</v>
      </c>
      <c r="I1113">
        <v>97</v>
      </c>
      <c r="J1113">
        <v>85</v>
      </c>
      <c r="K1113">
        <v>81</v>
      </c>
    </row>
    <row r="1114" spans="1:11" x14ac:dyDescent="0.25">
      <c r="A1114" s="2">
        <v>2017</v>
      </c>
      <c r="B1114" s="2" t="s">
        <v>275</v>
      </c>
      <c r="C1114" t="s">
        <v>106</v>
      </c>
      <c r="D1114" s="1">
        <v>64022</v>
      </c>
      <c r="E1114" t="s">
        <v>37</v>
      </c>
      <c r="F1114" t="s">
        <v>11</v>
      </c>
      <c r="G1114">
        <v>91.7</v>
      </c>
      <c r="H1114">
        <v>6</v>
      </c>
      <c r="I1114">
        <v>91</v>
      </c>
      <c r="J1114">
        <v>77</v>
      </c>
      <c r="K1114">
        <v>73</v>
      </c>
    </row>
    <row r="1115" spans="1:11" x14ac:dyDescent="0.25">
      <c r="A1115" s="2">
        <v>2017</v>
      </c>
      <c r="B1115" s="2" t="s">
        <v>275</v>
      </c>
      <c r="C1115" t="s">
        <v>106</v>
      </c>
      <c r="D1115" s="1">
        <v>64022</v>
      </c>
      <c r="E1115" t="s">
        <v>37</v>
      </c>
      <c r="F1115" t="s">
        <v>9</v>
      </c>
      <c r="G1115">
        <v>91.7</v>
      </c>
      <c r="H1115">
        <v>6</v>
      </c>
      <c r="I1115">
        <v>99</v>
      </c>
      <c r="J1115">
        <v>92</v>
      </c>
      <c r="K1115">
        <v>86</v>
      </c>
    </row>
    <row r="1116" spans="1:11" x14ac:dyDescent="0.25">
      <c r="A1116" s="2">
        <v>2017</v>
      </c>
      <c r="B1116" s="2" t="s">
        <v>275</v>
      </c>
      <c r="C1116" t="s">
        <v>106</v>
      </c>
      <c r="D1116" s="1">
        <v>64022</v>
      </c>
      <c r="E1116" t="s">
        <v>37</v>
      </c>
      <c r="F1116" t="s">
        <v>8</v>
      </c>
      <c r="G1116">
        <v>87.5</v>
      </c>
      <c r="H1116">
        <v>6</v>
      </c>
      <c r="I1116">
        <v>87</v>
      </c>
      <c r="J1116">
        <v>70</v>
      </c>
      <c r="K1116">
        <v>63</v>
      </c>
    </row>
    <row r="1117" spans="1:11" x14ac:dyDescent="0.25">
      <c r="A1117" s="2">
        <v>2017</v>
      </c>
      <c r="B1117" s="2" t="s">
        <v>275</v>
      </c>
      <c r="C1117" t="s">
        <v>106</v>
      </c>
      <c r="D1117" s="1">
        <v>64022</v>
      </c>
      <c r="E1117" t="s">
        <v>37</v>
      </c>
      <c r="F1117" t="s">
        <v>10</v>
      </c>
      <c r="G1117">
        <v>91.7</v>
      </c>
      <c r="H1117">
        <v>6</v>
      </c>
      <c r="I1117">
        <v>99</v>
      </c>
      <c r="J1117">
        <v>98</v>
      </c>
      <c r="K1117">
        <v>90</v>
      </c>
    </row>
    <row r="1118" spans="1:11" x14ac:dyDescent="0.25">
      <c r="A1118" s="2">
        <v>2017</v>
      </c>
      <c r="B1118" s="2" t="s">
        <v>275</v>
      </c>
      <c r="C1118" t="s">
        <v>106</v>
      </c>
      <c r="D1118" s="1">
        <v>88963</v>
      </c>
      <c r="E1118" t="s">
        <v>34</v>
      </c>
      <c r="F1118" t="s">
        <v>12</v>
      </c>
      <c r="G1118">
        <v>25</v>
      </c>
      <c r="H1118">
        <v>5</v>
      </c>
      <c r="I1118">
        <v>1</v>
      </c>
      <c r="J1118">
        <v>1</v>
      </c>
      <c r="K1118">
        <v>1</v>
      </c>
    </row>
    <row r="1119" spans="1:11" x14ac:dyDescent="0.25">
      <c r="A1119" s="2">
        <v>2017</v>
      </c>
      <c r="B1119" s="2" t="s">
        <v>275</v>
      </c>
      <c r="C1119" t="s">
        <v>106</v>
      </c>
      <c r="D1119" s="1">
        <v>88963</v>
      </c>
      <c r="E1119" t="s">
        <v>34</v>
      </c>
      <c r="F1119" t="s">
        <v>7</v>
      </c>
      <c r="G1119">
        <v>77.5</v>
      </c>
      <c r="H1119">
        <v>5</v>
      </c>
      <c r="I1119">
        <v>3</v>
      </c>
      <c r="J1119">
        <v>3</v>
      </c>
      <c r="K1119">
        <v>3</v>
      </c>
    </row>
    <row r="1120" spans="1:11" x14ac:dyDescent="0.25">
      <c r="A1120" s="2">
        <v>2017</v>
      </c>
      <c r="B1120" s="2" t="s">
        <v>275</v>
      </c>
      <c r="C1120" t="s">
        <v>106</v>
      </c>
      <c r="D1120" s="1">
        <v>88963</v>
      </c>
      <c r="E1120" t="s">
        <v>34</v>
      </c>
      <c r="F1120" t="s">
        <v>11</v>
      </c>
      <c r="G1120">
        <v>85</v>
      </c>
      <c r="H1120">
        <v>5</v>
      </c>
      <c r="I1120">
        <v>19</v>
      </c>
      <c r="J1120">
        <v>11</v>
      </c>
      <c r="K1120">
        <v>14</v>
      </c>
    </row>
    <row r="1121" spans="1:11" x14ac:dyDescent="0.25">
      <c r="A1121" s="2">
        <v>2017</v>
      </c>
      <c r="B1121" s="2" t="s">
        <v>275</v>
      </c>
      <c r="C1121" t="s">
        <v>106</v>
      </c>
      <c r="D1121" s="1">
        <v>88963</v>
      </c>
      <c r="E1121" t="s">
        <v>34</v>
      </c>
      <c r="F1121" t="s">
        <v>9</v>
      </c>
      <c r="G1121">
        <v>75</v>
      </c>
      <c r="H1121">
        <v>5</v>
      </c>
      <c r="I1121">
        <v>1</v>
      </c>
      <c r="J1121">
        <v>1</v>
      </c>
      <c r="K1121">
        <v>1</v>
      </c>
    </row>
    <row r="1122" spans="1:11" x14ac:dyDescent="0.25">
      <c r="A1122" s="2">
        <v>2017</v>
      </c>
      <c r="B1122" s="2" t="s">
        <v>275</v>
      </c>
      <c r="C1122" t="s">
        <v>106</v>
      </c>
      <c r="D1122" s="1">
        <v>88963</v>
      </c>
      <c r="E1122" t="s">
        <v>34</v>
      </c>
      <c r="F1122" t="s">
        <v>8</v>
      </c>
      <c r="G1122">
        <v>75</v>
      </c>
      <c r="H1122">
        <v>5</v>
      </c>
      <c r="I1122">
        <v>3</v>
      </c>
      <c r="J1122">
        <v>3</v>
      </c>
      <c r="K1122">
        <v>2</v>
      </c>
    </row>
    <row r="1123" spans="1:11" x14ac:dyDescent="0.25">
      <c r="A1123" s="2">
        <v>2017</v>
      </c>
      <c r="B1123" s="2" t="s">
        <v>275</v>
      </c>
      <c r="C1123" t="s">
        <v>106</v>
      </c>
      <c r="D1123" s="1">
        <v>88963</v>
      </c>
      <c r="E1123" t="s">
        <v>34</v>
      </c>
      <c r="F1123" t="s">
        <v>10</v>
      </c>
      <c r="G1123">
        <v>75</v>
      </c>
      <c r="H1123">
        <v>5</v>
      </c>
      <c r="I1123">
        <v>3</v>
      </c>
      <c r="J1123">
        <v>3</v>
      </c>
      <c r="K1123">
        <v>2</v>
      </c>
    </row>
    <row r="1124" spans="1:11" x14ac:dyDescent="0.25">
      <c r="A1124" s="2">
        <v>2017</v>
      </c>
      <c r="B1124" s="2" t="s">
        <v>275</v>
      </c>
      <c r="C1124" t="s">
        <v>106</v>
      </c>
      <c r="D1124" s="1">
        <v>8888</v>
      </c>
      <c r="E1124" t="s">
        <v>226</v>
      </c>
      <c r="F1124" t="s">
        <v>12</v>
      </c>
      <c r="G1124">
        <v>61.5</v>
      </c>
      <c r="H1124">
        <v>13</v>
      </c>
      <c r="I1124">
        <v>2</v>
      </c>
      <c r="J1124">
        <v>3</v>
      </c>
      <c r="K1124">
        <v>1</v>
      </c>
    </row>
    <row r="1125" spans="1:11" x14ac:dyDescent="0.25">
      <c r="A1125" s="2">
        <v>2017</v>
      </c>
      <c r="B1125" s="2" t="s">
        <v>275</v>
      </c>
      <c r="C1125" t="s">
        <v>106</v>
      </c>
      <c r="D1125" s="1">
        <v>8888</v>
      </c>
      <c r="E1125" t="s">
        <v>226</v>
      </c>
      <c r="F1125" t="s">
        <v>7</v>
      </c>
      <c r="G1125">
        <v>77.099999999999994</v>
      </c>
      <c r="H1125">
        <v>13</v>
      </c>
      <c r="I1125">
        <v>3</v>
      </c>
      <c r="J1125">
        <v>3</v>
      </c>
      <c r="K1125">
        <v>3</v>
      </c>
    </row>
    <row r="1126" spans="1:11" x14ac:dyDescent="0.25">
      <c r="A1126" s="2">
        <v>2017</v>
      </c>
      <c r="B1126" s="2" t="s">
        <v>275</v>
      </c>
      <c r="C1126" t="s">
        <v>106</v>
      </c>
      <c r="D1126" s="1">
        <v>8888</v>
      </c>
      <c r="E1126" t="s">
        <v>226</v>
      </c>
      <c r="F1126" t="s">
        <v>11</v>
      </c>
      <c r="G1126">
        <v>78.900000000000006</v>
      </c>
      <c r="H1126">
        <v>13</v>
      </c>
      <c r="I1126">
        <v>2</v>
      </c>
      <c r="J1126">
        <v>2</v>
      </c>
      <c r="K1126">
        <v>2</v>
      </c>
    </row>
    <row r="1127" spans="1:11" x14ac:dyDescent="0.25">
      <c r="A1127" s="2">
        <v>2017</v>
      </c>
      <c r="B1127" s="2" t="s">
        <v>275</v>
      </c>
      <c r="C1127" t="s">
        <v>106</v>
      </c>
      <c r="D1127" s="1">
        <v>8888</v>
      </c>
      <c r="E1127" t="s">
        <v>226</v>
      </c>
      <c r="F1127" t="s">
        <v>9</v>
      </c>
      <c r="G1127">
        <v>76.900000000000006</v>
      </c>
      <c r="H1127">
        <v>13</v>
      </c>
      <c r="I1127">
        <v>3</v>
      </c>
      <c r="J1127">
        <v>3</v>
      </c>
      <c r="K1127">
        <v>2</v>
      </c>
    </row>
    <row r="1128" spans="1:11" x14ac:dyDescent="0.25">
      <c r="A1128" s="2">
        <v>2017</v>
      </c>
      <c r="B1128" s="2" t="s">
        <v>275</v>
      </c>
      <c r="C1128" t="s">
        <v>106</v>
      </c>
      <c r="D1128" s="1">
        <v>8888</v>
      </c>
      <c r="E1128" t="s">
        <v>226</v>
      </c>
      <c r="F1128" t="s">
        <v>8</v>
      </c>
      <c r="G1128">
        <v>76.900000000000006</v>
      </c>
      <c r="H1128">
        <v>13</v>
      </c>
      <c r="I1128">
        <v>4</v>
      </c>
      <c r="J1128">
        <v>5</v>
      </c>
      <c r="K1128">
        <v>4</v>
      </c>
    </row>
    <row r="1129" spans="1:11" x14ac:dyDescent="0.25">
      <c r="A1129" s="2">
        <v>2017</v>
      </c>
      <c r="B1129" s="2" t="s">
        <v>275</v>
      </c>
      <c r="C1129" t="s">
        <v>106</v>
      </c>
      <c r="D1129" s="1">
        <v>8888</v>
      </c>
      <c r="E1129" t="s">
        <v>226</v>
      </c>
      <c r="F1129" t="s">
        <v>10</v>
      </c>
      <c r="G1129">
        <v>81.3</v>
      </c>
      <c r="H1129">
        <v>12</v>
      </c>
      <c r="I1129">
        <v>24</v>
      </c>
      <c r="J1129">
        <v>14</v>
      </c>
      <c r="K1129">
        <v>15</v>
      </c>
    </row>
    <row r="1130" spans="1:11" x14ac:dyDescent="0.25">
      <c r="A1130" s="2">
        <v>2017</v>
      </c>
      <c r="B1130" s="2" t="s">
        <v>276</v>
      </c>
      <c r="C1130" t="s">
        <v>106</v>
      </c>
      <c r="D1130" s="1">
        <v>117671</v>
      </c>
      <c r="E1130" t="s">
        <v>25</v>
      </c>
      <c r="F1130" t="s">
        <v>12</v>
      </c>
      <c r="G1130">
        <v>100</v>
      </c>
      <c r="H1130">
        <v>1</v>
      </c>
      <c r="I1130">
        <v>99</v>
      </c>
      <c r="J1130">
        <v>99</v>
      </c>
      <c r="K1130">
        <v>99</v>
      </c>
    </row>
    <row r="1131" spans="1:11" x14ac:dyDescent="0.25">
      <c r="A1131" s="2">
        <v>2017</v>
      </c>
      <c r="B1131" s="2" t="s">
        <v>276</v>
      </c>
      <c r="C1131" t="s">
        <v>106</v>
      </c>
      <c r="D1131" s="1">
        <v>117671</v>
      </c>
      <c r="E1131" t="s">
        <v>25</v>
      </c>
      <c r="F1131" t="s">
        <v>7</v>
      </c>
      <c r="G1131">
        <v>100</v>
      </c>
      <c r="H1131">
        <v>1</v>
      </c>
      <c r="I1131">
        <v>99</v>
      </c>
      <c r="J1131">
        <v>99</v>
      </c>
      <c r="K1131">
        <v>99</v>
      </c>
    </row>
    <row r="1132" spans="1:11" x14ac:dyDescent="0.25">
      <c r="A1132" s="2">
        <v>2017</v>
      </c>
      <c r="B1132" s="2" t="s">
        <v>276</v>
      </c>
      <c r="C1132" t="s">
        <v>106</v>
      </c>
      <c r="D1132" s="1">
        <v>117671</v>
      </c>
      <c r="E1132" t="s">
        <v>25</v>
      </c>
      <c r="F1132" t="s">
        <v>11</v>
      </c>
      <c r="G1132">
        <v>100</v>
      </c>
      <c r="H1132">
        <v>1</v>
      </c>
      <c r="I1132">
        <v>99</v>
      </c>
      <c r="J1132">
        <v>99</v>
      </c>
      <c r="K1132">
        <v>99</v>
      </c>
    </row>
    <row r="1133" spans="1:11" x14ac:dyDescent="0.25">
      <c r="A1133" s="2">
        <v>2017</v>
      </c>
      <c r="B1133" s="2" t="s">
        <v>276</v>
      </c>
      <c r="C1133" t="s">
        <v>106</v>
      </c>
      <c r="D1133" s="1">
        <v>117671</v>
      </c>
      <c r="E1133" t="s">
        <v>25</v>
      </c>
      <c r="F1133" t="s">
        <v>9</v>
      </c>
      <c r="G1133">
        <v>100</v>
      </c>
      <c r="H1133">
        <v>1</v>
      </c>
      <c r="I1133">
        <v>99</v>
      </c>
      <c r="J1133">
        <v>99</v>
      </c>
      <c r="K1133">
        <v>99</v>
      </c>
    </row>
    <row r="1134" spans="1:11" x14ac:dyDescent="0.25">
      <c r="A1134" s="2">
        <v>2017</v>
      </c>
      <c r="B1134" s="2" t="s">
        <v>276</v>
      </c>
      <c r="C1134" t="s">
        <v>106</v>
      </c>
      <c r="D1134" s="1">
        <v>117671</v>
      </c>
      <c r="E1134" t="s">
        <v>25</v>
      </c>
      <c r="F1134" t="s">
        <v>8</v>
      </c>
      <c r="G1134">
        <v>100</v>
      </c>
      <c r="H1134">
        <v>1</v>
      </c>
      <c r="I1134">
        <v>99</v>
      </c>
      <c r="J1134">
        <v>99</v>
      </c>
      <c r="K1134">
        <v>99</v>
      </c>
    </row>
    <row r="1135" spans="1:11" x14ac:dyDescent="0.25">
      <c r="A1135" s="2">
        <v>2017</v>
      </c>
      <c r="B1135" s="2" t="s">
        <v>276</v>
      </c>
      <c r="C1135" t="s">
        <v>106</v>
      </c>
      <c r="D1135" s="1">
        <v>117671</v>
      </c>
      <c r="E1135" t="s">
        <v>25</v>
      </c>
      <c r="F1135" t="s">
        <v>10</v>
      </c>
      <c r="G1135">
        <v>100</v>
      </c>
      <c r="H1135">
        <v>1</v>
      </c>
      <c r="I1135">
        <v>99</v>
      </c>
      <c r="J1135">
        <v>99</v>
      </c>
      <c r="K1135">
        <v>99</v>
      </c>
    </row>
    <row r="1136" spans="1:11" x14ac:dyDescent="0.25">
      <c r="A1136" s="2">
        <v>2017</v>
      </c>
      <c r="B1136" s="2" t="s">
        <v>276</v>
      </c>
      <c r="C1136" t="s">
        <v>106</v>
      </c>
      <c r="D1136" s="1">
        <v>104133</v>
      </c>
      <c r="E1136" t="s">
        <v>20</v>
      </c>
      <c r="F1136" t="s">
        <v>12</v>
      </c>
      <c r="G1136">
        <v>87.5</v>
      </c>
      <c r="H1136">
        <v>6</v>
      </c>
      <c r="I1136">
        <v>99</v>
      </c>
      <c r="J1136">
        <v>91</v>
      </c>
      <c r="K1136">
        <v>83</v>
      </c>
    </row>
    <row r="1137" spans="1:11" x14ac:dyDescent="0.25">
      <c r="A1137" s="2">
        <v>2017</v>
      </c>
      <c r="B1137" s="2" t="s">
        <v>276</v>
      </c>
      <c r="C1137" t="s">
        <v>106</v>
      </c>
      <c r="D1137" s="1">
        <v>104133</v>
      </c>
      <c r="E1137" t="s">
        <v>20</v>
      </c>
      <c r="F1137" t="s">
        <v>7</v>
      </c>
      <c r="G1137">
        <v>90.6</v>
      </c>
      <c r="H1137">
        <v>6</v>
      </c>
      <c r="I1137">
        <v>99</v>
      </c>
      <c r="J1137">
        <v>89</v>
      </c>
      <c r="K1137">
        <v>81</v>
      </c>
    </row>
    <row r="1138" spans="1:11" x14ac:dyDescent="0.25">
      <c r="A1138" s="2">
        <v>2017</v>
      </c>
      <c r="B1138" s="2" t="s">
        <v>276</v>
      </c>
      <c r="C1138" t="s">
        <v>106</v>
      </c>
      <c r="D1138" s="1">
        <v>104133</v>
      </c>
      <c r="E1138" t="s">
        <v>20</v>
      </c>
      <c r="F1138" t="s">
        <v>11</v>
      </c>
      <c r="G1138">
        <v>91.7</v>
      </c>
      <c r="H1138">
        <v>6</v>
      </c>
      <c r="I1138">
        <v>93</v>
      </c>
      <c r="J1138">
        <v>79</v>
      </c>
      <c r="K1138">
        <v>74</v>
      </c>
    </row>
    <row r="1139" spans="1:11" x14ac:dyDescent="0.25">
      <c r="A1139" s="2">
        <v>2017</v>
      </c>
      <c r="B1139" s="2" t="s">
        <v>276</v>
      </c>
      <c r="C1139" t="s">
        <v>106</v>
      </c>
      <c r="D1139" s="1">
        <v>104133</v>
      </c>
      <c r="E1139" t="s">
        <v>20</v>
      </c>
      <c r="F1139" t="s">
        <v>9</v>
      </c>
      <c r="G1139">
        <v>87.5</v>
      </c>
      <c r="H1139">
        <v>6</v>
      </c>
      <c r="I1139">
        <v>66</v>
      </c>
      <c r="J1139">
        <v>56</v>
      </c>
      <c r="K1139">
        <v>50</v>
      </c>
    </row>
    <row r="1140" spans="1:11" x14ac:dyDescent="0.25">
      <c r="A1140" s="2">
        <v>2017</v>
      </c>
      <c r="B1140" s="2" t="s">
        <v>276</v>
      </c>
      <c r="C1140" t="s">
        <v>106</v>
      </c>
      <c r="D1140" s="1">
        <v>104133</v>
      </c>
      <c r="E1140" t="s">
        <v>20</v>
      </c>
      <c r="F1140" t="s">
        <v>8</v>
      </c>
      <c r="G1140">
        <v>91.7</v>
      </c>
      <c r="H1140">
        <v>6</v>
      </c>
      <c r="I1140">
        <v>99</v>
      </c>
      <c r="J1140">
        <v>99</v>
      </c>
      <c r="K1140">
        <v>90</v>
      </c>
    </row>
    <row r="1141" spans="1:11" x14ac:dyDescent="0.25">
      <c r="A1141" s="2">
        <v>2017</v>
      </c>
      <c r="B1141" s="2" t="s">
        <v>276</v>
      </c>
      <c r="C1141" t="s">
        <v>106</v>
      </c>
      <c r="D1141" s="1">
        <v>104133</v>
      </c>
      <c r="E1141" t="s">
        <v>20</v>
      </c>
      <c r="F1141" t="s">
        <v>10</v>
      </c>
      <c r="G1141">
        <v>91.7</v>
      </c>
      <c r="H1141">
        <v>6</v>
      </c>
      <c r="I1141">
        <v>99</v>
      </c>
      <c r="J1141">
        <v>98</v>
      </c>
      <c r="K1141">
        <v>90</v>
      </c>
    </row>
    <row r="1142" spans="1:11" x14ac:dyDescent="0.25">
      <c r="A1142" s="2">
        <v>2017</v>
      </c>
      <c r="B1142" s="2" t="s">
        <v>276</v>
      </c>
      <c r="C1142" t="s">
        <v>106</v>
      </c>
      <c r="D1142" s="1">
        <v>114603</v>
      </c>
      <c r="E1142" t="s">
        <v>36</v>
      </c>
      <c r="F1142" t="s">
        <v>12</v>
      </c>
      <c r="G1142">
        <v>70.5</v>
      </c>
      <c r="H1142">
        <v>11</v>
      </c>
      <c r="I1142">
        <v>27</v>
      </c>
      <c r="J1142">
        <v>8</v>
      </c>
      <c r="K1142">
        <v>9</v>
      </c>
    </row>
    <row r="1143" spans="1:11" x14ac:dyDescent="0.25">
      <c r="A1143" s="2">
        <v>2017</v>
      </c>
      <c r="B1143" s="2" t="s">
        <v>276</v>
      </c>
      <c r="C1143" t="s">
        <v>106</v>
      </c>
      <c r="D1143" s="1">
        <v>114603</v>
      </c>
      <c r="E1143" t="s">
        <v>36</v>
      </c>
      <c r="F1143" t="s">
        <v>7</v>
      </c>
      <c r="G1143">
        <v>89.6</v>
      </c>
      <c r="H1143">
        <v>12</v>
      </c>
      <c r="I1143">
        <v>94</v>
      </c>
      <c r="J1143">
        <v>79</v>
      </c>
      <c r="K1143">
        <v>73</v>
      </c>
    </row>
    <row r="1144" spans="1:11" x14ac:dyDescent="0.25">
      <c r="A1144" s="2">
        <v>2017</v>
      </c>
      <c r="B1144" s="2" t="s">
        <v>276</v>
      </c>
      <c r="C1144" t="s">
        <v>106</v>
      </c>
      <c r="D1144" s="1">
        <v>114603</v>
      </c>
      <c r="E1144" t="s">
        <v>36</v>
      </c>
      <c r="F1144" t="s">
        <v>11</v>
      </c>
      <c r="G1144">
        <v>91.7</v>
      </c>
      <c r="H1144">
        <v>12</v>
      </c>
      <c r="I1144">
        <v>93</v>
      </c>
      <c r="J1144">
        <v>79</v>
      </c>
      <c r="K1144">
        <v>74</v>
      </c>
    </row>
    <row r="1145" spans="1:11" x14ac:dyDescent="0.25">
      <c r="A1145" s="2">
        <v>2017</v>
      </c>
      <c r="B1145" s="2" t="s">
        <v>276</v>
      </c>
      <c r="C1145" t="s">
        <v>106</v>
      </c>
      <c r="D1145" s="1">
        <v>114603</v>
      </c>
      <c r="E1145" t="s">
        <v>36</v>
      </c>
      <c r="F1145" t="s">
        <v>9</v>
      </c>
      <c r="G1145">
        <v>91.7</v>
      </c>
      <c r="H1145">
        <v>12</v>
      </c>
      <c r="I1145">
        <v>99</v>
      </c>
      <c r="J1145">
        <v>95</v>
      </c>
      <c r="K1145">
        <v>86</v>
      </c>
    </row>
    <row r="1146" spans="1:11" x14ac:dyDescent="0.25">
      <c r="A1146" s="2">
        <v>2017</v>
      </c>
      <c r="B1146" s="2" t="s">
        <v>276</v>
      </c>
      <c r="C1146" t="s">
        <v>106</v>
      </c>
      <c r="D1146" s="1">
        <v>114603</v>
      </c>
      <c r="E1146" t="s">
        <v>36</v>
      </c>
      <c r="F1146" t="s">
        <v>8</v>
      </c>
      <c r="G1146">
        <v>85.4</v>
      </c>
      <c r="H1146">
        <v>12</v>
      </c>
      <c r="I1146">
        <v>61</v>
      </c>
      <c r="J1146">
        <v>51</v>
      </c>
      <c r="K1146">
        <v>44</v>
      </c>
    </row>
    <row r="1147" spans="1:11" x14ac:dyDescent="0.25">
      <c r="A1147" s="2">
        <v>2017</v>
      </c>
      <c r="B1147" s="2" t="s">
        <v>276</v>
      </c>
      <c r="C1147" t="s">
        <v>106</v>
      </c>
      <c r="D1147" s="1">
        <v>114603</v>
      </c>
      <c r="E1147" t="s">
        <v>36</v>
      </c>
      <c r="F1147" t="s">
        <v>10</v>
      </c>
      <c r="G1147">
        <v>89.6</v>
      </c>
      <c r="H1147">
        <v>12</v>
      </c>
      <c r="I1147">
        <v>98</v>
      </c>
      <c r="J1147">
        <v>86</v>
      </c>
      <c r="K1147">
        <v>79</v>
      </c>
    </row>
    <row r="1148" spans="1:11" x14ac:dyDescent="0.25">
      <c r="A1148" s="2">
        <v>2017</v>
      </c>
      <c r="B1148" s="2" t="s">
        <v>276</v>
      </c>
      <c r="C1148" t="s">
        <v>106</v>
      </c>
      <c r="D1148" s="1">
        <v>101071</v>
      </c>
      <c r="E1148" t="s">
        <v>43</v>
      </c>
      <c r="F1148" t="s">
        <v>12</v>
      </c>
      <c r="G1148">
        <v>75</v>
      </c>
      <c r="H1148">
        <v>3</v>
      </c>
      <c r="I1148">
        <v>46</v>
      </c>
      <c r="J1148">
        <v>15</v>
      </c>
      <c r="K1148">
        <v>20</v>
      </c>
    </row>
    <row r="1149" spans="1:11" x14ac:dyDescent="0.25">
      <c r="A1149" s="2">
        <v>2017</v>
      </c>
      <c r="B1149" s="2" t="s">
        <v>276</v>
      </c>
      <c r="C1149" t="s">
        <v>106</v>
      </c>
      <c r="D1149" s="1">
        <v>101071</v>
      </c>
      <c r="E1149" t="s">
        <v>43</v>
      </c>
      <c r="F1149" t="s">
        <v>7</v>
      </c>
      <c r="G1149">
        <v>98.4</v>
      </c>
      <c r="H1149">
        <v>4</v>
      </c>
      <c r="I1149">
        <v>99</v>
      </c>
      <c r="J1149">
        <v>99</v>
      </c>
      <c r="K1149">
        <v>99</v>
      </c>
    </row>
    <row r="1150" spans="1:11" x14ac:dyDescent="0.25">
      <c r="A1150" s="2">
        <v>2017</v>
      </c>
      <c r="B1150" s="2" t="s">
        <v>276</v>
      </c>
      <c r="C1150" t="s">
        <v>106</v>
      </c>
      <c r="D1150" s="1">
        <v>101071</v>
      </c>
      <c r="E1150" t="s">
        <v>43</v>
      </c>
      <c r="F1150" t="s">
        <v>11</v>
      </c>
      <c r="G1150">
        <v>100</v>
      </c>
      <c r="H1150">
        <v>4</v>
      </c>
      <c r="I1150">
        <v>99</v>
      </c>
      <c r="J1150">
        <v>99</v>
      </c>
      <c r="K1150">
        <v>99</v>
      </c>
    </row>
    <row r="1151" spans="1:11" x14ac:dyDescent="0.25">
      <c r="A1151" s="2">
        <v>2017</v>
      </c>
      <c r="B1151" s="2" t="s">
        <v>276</v>
      </c>
      <c r="C1151" t="s">
        <v>106</v>
      </c>
      <c r="D1151" s="1">
        <v>101071</v>
      </c>
      <c r="E1151" t="s">
        <v>43</v>
      </c>
      <c r="F1151" t="s">
        <v>9</v>
      </c>
      <c r="G1151">
        <v>93.8</v>
      </c>
      <c r="H1151">
        <v>4</v>
      </c>
      <c r="I1151">
        <v>99</v>
      </c>
      <c r="J1151">
        <v>99</v>
      </c>
      <c r="K1151">
        <v>94</v>
      </c>
    </row>
    <row r="1152" spans="1:11" x14ac:dyDescent="0.25">
      <c r="A1152" s="2">
        <v>2017</v>
      </c>
      <c r="B1152" s="2" t="s">
        <v>276</v>
      </c>
      <c r="C1152" t="s">
        <v>106</v>
      </c>
      <c r="D1152" s="1">
        <v>101071</v>
      </c>
      <c r="E1152" t="s">
        <v>43</v>
      </c>
      <c r="F1152" t="s">
        <v>8</v>
      </c>
      <c r="G1152">
        <v>100</v>
      </c>
      <c r="H1152">
        <v>4</v>
      </c>
      <c r="I1152">
        <v>99</v>
      </c>
      <c r="J1152">
        <v>99</v>
      </c>
      <c r="K1152">
        <v>99</v>
      </c>
    </row>
    <row r="1153" spans="1:11" x14ac:dyDescent="0.25">
      <c r="A1153" s="2">
        <v>2017</v>
      </c>
      <c r="B1153" s="2" t="s">
        <v>276</v>
      </c>
      <c r="C1153" t="s">
        <v>106</v>
      </c>
      <c r="D1153" s="1">
        <v>101071</v>
      </c>
      <c r="E1153" t="s">
        <v>43</v>
      </c>
      <c r="F1153" t="s">
        <v>10</v>
      </c>
      <c r="G1153">
        <v>100</v>
      </c>
      <c r="H1153">
        <v>4</v>
      </c>
      <c r="I1153">
        <v>99</v>
      </c>
      <c r="J1153">
        <v>99</v>
      </c>
      <c r="K1153">
        <v>99</v>
      </c>
    </row>
    <row r="1154" spans="1:11" x14ac:dyDescent="0.25">
      <c r="A1154" s="2">
        <v>2017</v>
      </c>
      <c r="B1154" s="2" t="s">
        <v>276</v>
      </c>
      <c r="C1154" t="s">
        <v>106</v>
      </c>
      <c r="D1154" s="1">
        <v>110569</v>
      </c>
      <c r="E1154" t="s">
        <v>18</v>
      </c>
      <c r="F1154" t="s">
        <v>12</v>
      </c>
      <c r="G1154">
        <v>83.3</v>
      </c>
      <c r="H1154">
        <v>12</v>
      </c>
      <c r="I1154">
        <v>89</v>
      </c>
      <c r="J1154">
        <v>59</v>
      </c>
      <c r="K1154">
        <v>61</v>
      </c>
    </row>
    <row r="1155" spans="1:11" x14ac:dyDescent="0.25">
      <c r="A1155" s="2">
        <v>2017</v>
      </c>
      <c r="B1155" s="2" t="s">
        <v>276</v>
      </c>
      <c r="C1155" t="s">
        <v>106</v>
      </c>
      <c r="D1155" s="1">
        <v>110569</v>
      </c>
      <c r="E1155" t="s">
        <v>18</v>
      </c>
      <c r="F1155" t="s">
        <v>7</v>
      </c>
      <c r="G1155">
        <v>98.3</v>
      </c>
      <c r="H1155">
        <v>11</v>
      </c>
      <c r="I1155">
        <v>99</v>
      </c>
      <c r="J1155">
        <v>99</v>
      </c>
      <c r="K1155">
        <v>99</v>
      </c>
    </row>
    <row r="1156" spans="1:11" x14ac:dyDescent="0.25">
      <c r="A1156" s="2">
        <v>2017</v>
      </c>
      <c r="B1156" s="2" t="s">
        <v>276</v>
      </c>
      <c r="C1156" t="s">
        <v>106</v>
      </c>
      <c r="D1156" s="1">
        <v>110569</v>
      </c>
      <c r="E1156" t="s">
        <v>18</v>
      </c>
      <c r="F1156" t="s">
        <v>11</v>
      </c>
      <c r="G1156">
        <v>100</v>
      </c>
      <c r="H1156">
        <v>11</v>
      </c>
      <c r="I1156">
        <v>99</v>
      </c>
      <c r="J1156">
        <v>99</v>
      </c>
      <c r="K1156">
        <v>99</v>
      </c>
    </row>
    <row r="1157" spans="1:11" x14ac:dyDescent="0.25">
      <c r="A1157" s="2">
        <v>2017</v>
      </c>
      <c r="B1157" s="2" t="s">
        <v>276</v>
      </c>
      <c r="C1157" t="s">
        <v>106</v>
      </c>
      <c r="D1157" s="1">
        <v>110569</v>
      </c>
      <c r="E1157" t="s">
        <v>18</v>
      </c>
      <c r="F1157" t="s">
        <v>9</v>
      </c>
      <c r="G1157">
        <v>97.5</v>
      </c>
      <c r="H1157">
        <v>10</v>
      </c>
      <c r="I1157">
        <v>99</v>
      </c>
      <c r="J1157">
        <v>99</v>
      </c>
      <c r="K1157">
        <v>99</v>
      </c>
    </row>
    <row r="1158" spans="1:11" x14ac:dyDescent="0.25">
      <c r="A1158" s="2">
        <v>2017</v>
      </c>
      <c r="B1158" s="2" t="s">
        <v>276</v>
      </c>
      <c r="C1158" t="s">
        <v>106</v>
      </c>
      <c r="D1158" s="1">
        <v>110569</v>
      </c>
      <c r="E1158" t="s">
        <v>18</v>
      </c>
      <c r="F1158" t="s">
        <v>8</v>
      </c>
      <c r="G1158">
        <v>100</v>
      </c>
      <c r="H1158">
        <v>11</v>
      </c>
      <c r="I1158">
        <v>99</v>
      </c>
      <c r="J1158">
        <v>99</v>
      </c>
      <c r="K1158">
        <v>99</v>
      </c>
    </row>
    <row r="1159" spans="1:11" x14ac:dyDescent="0.25">
      <c r="A1159" s="2">
        <v>2017</v>
      </c>
      <c r="B1159" s="2" t="s">
        <v>276</v>
      </c>
      <c r="C1159" t="s">
        <v>106</v>
      </c>
      <c r="D1159" s="1">
        <v>110569</v>
      </c>
      <c r="E1159" t="s">
        <v>18</v>
      </c>
      <c r="F1159" t="s">
        <v>10</v>
      </c>
      <c r="G1159">
        <v>95.5</v>
      </c>
      <c r="H1159">
        <v>11</v>
      </c>
      <c r="I1159">
        <v>99</v>
      </c>
      <c r="J1159">
        <v>99</v>
      </c>
      <c r="K1159">
        <v>98</v>
      </c>
    </row>
    <row r="1160" spans="1:11" x14ac:dyDescent="0.25">
      <c r="A1160" s="2">
        <v>2017</v>
      </c>
      <c r="B1160" s="2" t="s">
        <v>276</v>
      </c>
      <c r="C1160" t="s">
        <v>106</v>
      </c>
      <c r="D1160" s="1">
        <v>117465</v>
      </c>
      <c r="E1160" t="s">
        <v>23</v>
      </c>
      <c r="F1160" t="s">
        <v>12</v>
      </c>
      <c r="G1160">
        <v>82.5</v>
      </c>
      <c r="H1160">
        <v>10</v>
      </c>
      <c r="I1160">
        <v>85</v>
      </c>
      <c r="J1160">
        <v>55</v>
      </c>
      <c r="K1160">
        <v>57</v>
      </c>
    </row>
    <row r="1161" spans="1:11" x14ac:dyDescent="0.25">
      <c r="A1161" s="2">
        <v>2017</v>
      </c>
      <c r="B1161" s="2" t="s">
        <v>276</v>
      </c>
      <c r="C1161" t="s">
        <v>106</v>
      </c>
      <c r="D1161" s="1">
        <v>117465</v>
      </c>
      <c r="E1161" t="s">
        <v>23</v>
      </c>
      <c r="F1161" t="s">
        <v>7</v>
      </c>
      <c r="G1161">
        <v>82.6</v>
      </c>
      <c r="H1161">
        <v>9</v>
      </c>
      <c r="I1161">
        <v>20</v>
      </c>
      <c r="J1161">
        <v>13</v>
      </c>
      <c r="K1161">
        <v>15</v>
      </c>
    </row>
    <row r="1162" spans="1:11" x14ac:dyDescent="0.25">
      <c r="A1162" s="2">
        <v>2017</v>
      </c>
      <c r="B1162" s="2" t="s">
        <v>276</v>
      </c>
      <c r="C1162" t="s">
        <v>106</v>
      </c>
      <c r="D1162" s="1">
        <v>117465</v>
      </c>
      <c r="E1162" t="s">
        <v>23</v>
      </c>
      <c r="F1162" t="s">
        <v>11</v>
      </c>
      <c r="G1162">
        <v>86.1</v>
      </c>
      <c r="H1162">
        <v>9</v>
      </c>
      <c r="I1162">
        <v>24</v>
      </c>
      <c r="J1162">
        <v>16</v>
      </c>
      <c r="K1162">
        <v>19</v>
      </c>
    </row>
    <row r="1163" spans="1:11" x14ac:dyDescent="0.25">
      <c r="A1163" s="2">
        <v>2017</v>
      </c>
      <c r="B1163" s="2" t="s">
        <v>276</v>
      </c>
      <c r="C1163" t="s">
        <v>106</v>
      </c>
      <c r="D1163" s="1">
        <v>117465</v>
      </c>
      <c r="E1163" t="s">
        <v>23</v>
      </c>
      <c r="F1163" t="s">
        <v>9</v>
      </c>
      <c r="G1163">
        <v>80.599999999999994</v>
      </c>
      <c r="H1163">
        <v>9</v>
      </c>
      <c r="I1163">
        <v>7</v>
      </c>
      <c r="J1163">
        <v>4</v>
      </c>
      <c r="K1163">
        <v>7</v>
      </c>
    </row>
    <row r="1164" spans="1:11" x14ac:dyDescent="0.25">
      <c r="A1164" s="2">
        <v>2017</v>
      </c>
      <c r="B1164" s="2" t="s">
        <v>276</v>
      </c>
      <c r="C1164" t="s">
        <v>106</v>
      </c>
      <c r="D1164" s="1">
        <v>117465</v>
      </c>
      <c r="E1164" t="s">
        <v>23</v>
      </c>
      <c r="F1164" t="s">
        <v>8</v>
      </c>
      <c r="G1164">
        <v>83.3</v>
      </c>
      <c r="H1164">
        <v>9</v>
      </c>
      <c r="I1164">
        <v>41</v>
      </c>
      <c r="J1164">
        <v>28</v>
      </c>
      <c r="K1164">
        <v>27</v>
      </c>
    </row>
    <row r="1165" spans="1:11" x14ac:dyDescent="0.25">
      <c r="A1165" s="2">
        <v>2017</v>
      </c>
      <c r="B1165" s="2" t="s">
        <v>276</v>
      </c>
      <c r="C1165" t="s">
        <v>106</v>
      </c>
      <c r="D1165" s="1">
        <v>117465</v>
      </c>
      <c r="E1165" t="s">
        <v>23</v>
      </c>
      <c r="F1165" t="s">
        <v>10</v>
      </c>
      <c r="G1165">
        <v>80.599999999999994</v>
      </c>
      <c r="H1165">
        <v>9</v>
      </c>
      <c r="I1165">
        <v>19</v>
      </c>
      <c r="J1165">
        <v>13</v>
      </c>
      <c r="K1165">
        <v>13</v>
      </c>
    </row>
    <row r="1166" spans="1:11" x14ac:dyDescent="0.25">
      <c r="A1166" s="2">
        <v>2017</v>
      </c>
      <c r="B1166" s="2" t="s">
        <v>276</v>
      </c>
      <c r="C1166" t="s">
        <v>106</v>
      </c>
      <c r="D1166" s="1">
        <v>121681</v>
      </c>
      <c r="E1166" t="s">
        <v>29</v>
      </c>
      <c r="F1166" t="s">
        <v>12</v>
      </c>
      <c r="G1166">
        <v>50</v>
      </c>
      <c r="H1166">
        <v>1</v>
      </c>
      <c r="I1166">
        <v>1</v>
      </c>
      <c r="J1166">
        <v>1</v>
      </c>
      <c r="K1166">
        <v>1</v>
      </c>
    </row>
    <row r="1167" spans="1:11" x14ac:dyDescent="0.25">
      <c r="A1167" s="2">
        <v>2017</v>
      </c>
      <c r="B1167" s="2" t="s">
        <v>276</v>
      </c>
      <c r="C1167" t="s">
        <v>106</v>
      </c>
      <c r="D1167" s="1">
        <v>121681</v>
      </c>
      <c r="E1167" t="s">
        <v>29</v>
      </c>
      <c r="F1167" t="s">
        <v>7</v>
      </c>
      <c r="G1167">
        <v>75</v>
      </c>
      <c r="H1167">
        <v>1</v>
      </c>
      <c r="I1167">
        <v>2</v>
      </c>
      <c r="J1167">
        <v>2</v>
      </c>
      <c r="K1167">
        <v>1</v>
      </c>
    </row>
    <row r="1168" spans="1:11" x14ac:dyDescent="0.25">
      <c r="A1168" s="2">
        <v>2017</v>
      </c>
      <c r="B1168" s="2" t="s">
        <v>276</v>
      </c>
      <c r="C1168" t="s">
        <v>106</v>
      </c>
      <c r="D1168" s="1">
        <v>121681</v>
      </c>
      <c r="E1168" t="s">
        <v>29</v>
      </c>
      <c r="F1168" t="s">
        <v>11</v>
      </c>
      <c r="G1168">
        <v>75</v>
      </c>
      <c r="H1168">
        <v>1</v>
      </c>
      <c r="I1168">
        <v>1</v>
      </c>
      <c r="J1168">
        <v>1</v>
      </c>
      <c r="K1168">
        <v>1</v>
      </c>
    </row>
    <row r="1169" spans="1:11" x14ac:dyDescent="0.25">
      <c r="A1169" s="2">
        <v>2017</v>
      </c>
      <c r="B1169" s="2" t="s">
        <v>276</v>
      </c>
      <c r="C1169" t="s">
        <v>106</v>
      </c>
      <c r="D1169" s="1">
        <v>121681</v>
      </c>
      <c r="E1169" t="s">
        <v>29</v>
      </c>
      <c r="F1169" t="s">
        <v>9</v>
      </c>
      <c r="G1169">
        <v>75</v>
      </c>
      <c r="H1169">
        <v>1</v>
      </c>
      <c r="I1169">
        <v>1</v>
      </c>
      <c r="J1169">
        <v>1</v>
      </c>
      <c r="K1169">
        <v>1</v>
      </c>
    </row>
    <row r="1170" spans="1:11" x14ac:dyDescent="0.25">
      <c r="A1170" s="2">
        <v>2017</v>
      </c>
      <c r="B1170" s="2" t="s">
        <v>276</v>
      </c>
      <c r="C1170" t="s">
        <v>106</v>
      </c>
      <c r="D1170" s="1">
        <v>121681</v>
      </c>
      <c r="E1170" t="s">
        <v>29</v>
      </c>
      <c r="F1170" t="s">
        <v>8</v>
      </c>
      <c r="G1170">
        <v>75</v>
      </c>
      <c r="H1170">
        <v>1</v>
      </c>
      <c r="I1170">
        <v>3</v>
      </c>
      <c r="J1170">
        <v>2</v>
      </c>
      <c r="K1170">
        <v>2</v>
      </c>
    </row>
    <row r="1171" spans="1:11" x14ac:dyDescent="0.25">
      <c r="A1171" s="2">
        <v>2017</v>
      </c>
      <c r="B1171" s="2" t="s">
        <v>276</v>
      </c>
      <c r="C1171" t="s">
        <v>106</v>
      </c>
      <c r="D1171" s="1">
        <v>121681</v>
      </c>
      <c r="E1171" t="s">
        <v>29</v>
      </c>
      <c r="F1171" t="s">
        <v>10</v>
      </c>
      <c r="G1171">
        <v>75</v>
      </c>
      <c r="H1171">
        <v>1</v>
      </c>
      <c r="I1171">
        <v>3</v>
      </c>
      <c r="J1171">
        <v>2</v>
      </c>
      <c r="K1171">
        <v>2</v>
      </c>
    </row>
    <row r="1172" spans="1:11" x14ac:dyDescent="0.25">
      <c r="A1172" s="2">
        <v>2017</v>
      </c>
      <c r="B1172" s="2" t="s">
        <v>276</v>
      </c>
      <c r="C1172" t="s">
        <v>106</v>
      </c>
      <c r="D1172" s="1">
        <v>103275</v>
      </c>
      <c r="E1172" t="s">
        <v>26</v>
      </c>
      <c r="F1172" t="s">
        <v>12</v>
      </c>
      <c r="G1172">
        <v>54.2</v>
      </c>
      <c r="H1172">
        <v>6</v>
      </c>
      <c r="I1172">
        <v>1</v>
      </c>
      <c r="J1172">
        <v>1</v>
      </c>
      <c r="K1172">
        <v>1</v>
      </c>
    </row>
    <row r="1173" spans="1:11" x14ac:dyDescent="0.25">
      <c r="A1173" s="2">
        <v>2017</v>
      </c>
      <c r="B1173" s="2" t="s">
        <v>276</v>
      </c>
      <c r="C1173" t="s">
        <v>106</v>
      </c>
      <c r="D1173" s="1">
        <v>103275</v>
      </c>
      <c r="E1173" t="s">
        <v>26</v>
      </c>
      <c r="F1173" t="s">
        <v>7</v>
      </c>
      <c r="G1173">
        <v>62.5</v>
      </c>
      <c r="H1173">
        <v>6</v>
      </c>
      <c r="I1173">
        <v>1</v>
      </c>
      <c r="J1173">
        <v>1</v>
      </c>
      <c r="K1173">
        <v>1</v>
      </c>
    </row>
    <row r="1174" spans="1:11" x14ac:dyDescent="0.25">
      <c r="A1174" s="2">
        <v>2017</v>
      </c>
      <c r="B1174" s="2" t="s">
        <v>276</v>
      </c>
      <c r="C1174" t="s">
        <v>106</v>
      </c>
      <c r="D1174" s="1">
        <v>103275</v>
      </c>
      <c r="E1174" t="s">
        <v>26</v>
      </c>
      <c r="F1174" t="s">
        <v>11</v>
      </c>
      <c r="G1174">
        <v>75</v>
      </c>
      <c r="H1174">
        <v>6</v>
      </c>
      <c r="I1174">
        <v>1</v>
      </c>
      <c r="J1174">
        <v>1</v>
      </c>
      <c r="K1174">
        <v>1</v>
      </c>
    </row>
    <row r="1175" spans="1:11" x14ac:dyDescent="0.25">
      <c r="A1175" s="2">
        <v>2017</v>
      </c>
      <c r="B1175" s="2" t="s">
        <v>276</v>
      </c>
      <c r="C1175" t="s">
        <v>106</v>
      </c>
      <c r="D1175" s="1">
        <v>103275</v>
      </c>
      <c r="E1175" t="s">
        <v>26</v>
      </c>
      <c r="F1175" t="s">
        <v>9</v>
      </c>
      <c r="G1175">
        <v>62.5</v>
      </c>
      <c r="H1175">
        <v>6</v>
      </c>
      <c r="I1175">
        <v>1</v>
      </c>
      <c r="J1175">
        <v>1</v>
      </c>
      <c r="K1175">
        <v>1</v>
      </c>
    </row>
    <row r="1176" spans="1:11" x14ac:dyDescent="0.25">
      <c r="A1176" s="2">
        <v>2017</v>
      </c>
      <c r="B1176" s="2" t="s">
        <v>276</v>
      </c>
      <c r="C1176" t="s">
        <v>106</v>
      </c>
      <c r="D1176" s="1">
        <v>103275</v>
      </c>
      <c r="E1176" t="s">
        <v>26</v>
      </c>
      <c r="F1176" t="s">
        <v>8</v>
      </c>
      <c r="G1176">
        <v>58.3</v>
      </c>
      <c r="H1176">
        <v>6</v>
      </c>
      <c r="I1176">
        <v>1</v>
      </c>
      <c r="J1176">
        <v>1</v>
      </c>
      <c r="K1176">
        <v>1</v>
      </c>
    </row>
    <row r="1177" spans="1:11" x14ac:dyDescent="0.25">
      <c r="A1177" s="2">
        <v>2017</v>
      </c>
      <c r="B1177" s="2" t="s">
        <v>276</v>
      </c>
      <c r="C1177" t="s">
        <v>106</v>
      </c>
      <c r="D1177" s="1">
        <v>103275</v>
      </c>
      <c r="E1177" t="s">
        <v>26</v>
      </c>
      <c r="F1177" t="s">
        <v>10</v>
      </c>
      <c r="G1177">
        <v>54.2</v>
      </c>
      <c r="H1177">
        <v>6</v>
      </c>
      <c r="I1177">
        <v>1</v>
      </c>
      <c r="J1177">
        <v>1</v>
      </c>
      <c r="K1177">
        <v>1</v>
      </c>
    </row>
    <row r="1178" spans="1:11" x14ac:dyDescent="0.25">
      <c r="A1178" s="2">
        <v>2017</v>
      </c>
      <c r="B1178" s="2" t="s">
        <v>276</v>
      </c>
      <c r="C1178" t="s">
        <v>106</v>
      </c>
      <c r="D1178" s="1">
        <v>150441</v>
      </c>
      <c r="E1178" t="s">
        <v>30</v>
      </c>
      <c r="F1178" t="s">
        <v>12</v>
      </c>
      <c r="G1178">
        <v>75</v>
      </c>
      <c r="H1178">
        <v>8</v>
      </c>
      <c r="I1178">
        <v>46</v>
      </c>
      <c r="J1178">
        <v>15</v>
      </c>
      <c r="K1178">
        <v>20</v>
      </c>
    </row>
    <row r="1179" spans="1:11" x14ac:dyDescent="0.25">
      <c r="A1179" s="2">
        <v>2017</v>
      </c>
      <c r="B1179" s="2" t="s">
        <v>276</v>
      </c>
      <c r="C1179" t="s">
        <v>106</v>
      </c>
      <c r="D1179" s="1">
        <v>150441</v>
      </c>
      <c r="E1179" t="s">
        <v>30</v>
      </c>
      <c r="F1179" t="s">
        <v>7</v>
      </c>
      <c r="G1179">
        <v>99.2</v>
      </c>
      <c r="H1179">
        <v>8</v>
      </c>
      <c r="I1179">
        <v>99</v>
      </c>
      <c r="J1179">
        <v>99</v>
      </c>
      <c r="K1179">
        <v>99</v>
      </c>
    </row>
    <row r="1180" spans="1:11" x14ac:dyDescent="0.25">
      <c r="A1180" s="2">
        <v>2017</v>
      </c>
      <c r="B1180" s="2" t="s">
        <v>276</v>
      </c>
      <c r="C1180" t="s">
        <v>106</v>
      </c>
      <c r="D1180" s="1">
        <v>150441</v>
      </c>
      <c r="E1180" t="s">
        <v>30</v>
      </c>
      <c r="F1180" t="s">
        <v>11</v>
      </c>
      <c r="G1180">
        <v>100</v>
      </c>
      <c r="H1180">
        <v>8</v>
      </c>
      <c r="I1180">
        <v>99</v>
      </c>
      <c r="J1180">
        <v>99</v>
      </c>
      <c r="K1180">
        <v>99</v>
      </c>
    </row>
    <row r="1181" spans="1:11" x14ac:dyDescent="0.25">
      <c r="A1181" s="2">
        <v>2017</v>
      </c>
      <c r="B1181" s="2" t="s">
        <v>276</v>
      </c>
      <c r="C1181" t="s">
        <v>106</v>
      </c>
      <c r="D1181" s="1">
        <v>150441</v>
      </c>
      <c r="E1181" t="s">
        <v>30</v>
      </c>
      <c r="F1181" t="s">
        <v>9</v>
      </c>
      <c r="G1181">
        <v>100</v>
      </c>
      <c r="H1181">
        <v>8</v>
      </c>
      <c r="I1181">
        <v>99</v>
      </c>
      <c r="J1181">
        <v>99</v>
      </c>
      <c r="K1181">
        <v>99</v>
      </c>
    </row>
    <row r="1182" spans="1:11" x14ac:dyDescent="0.25">
      <c r="A1182" s="2">
        <v>2017</v>
      </c>
      <c r="B1182" s="2" t="s">
        <v>276</v>
      </c>
      <c r="C1182" t="s">
        <v>106</v>
      </c>
      <c r="D1182" s="1">
        <v>150441</v>
      </c>
      <c r="E1182" t="s">
        <v>30</v>
      </c>
      <c r="F1182" t="s">
        <v>8</v>
      </c>
      <c r="G1182">
        <v>100</v>
      </c>
      <c r="H1182">
        <v>8</v>
      </c>
      <c r="I1182">
        <v>99</v>
      </c>
      <c r="J1182">
        <v>99</v>
      </c>
      <c r="K1182">
        <v>99</v>
      </c>
    </row>
    <row r="1183" spans="1:11" x14ac:dyDescent="0.25">
      <c r="A1183" s="2">
        <v>2017</v>
      </c>
      <c r="B1183" s="2" t="s">
        <v>276</v>
      </c>
      <c r="C1183" t="s">
        <v>106</v>
      </c>
      <c r="D1183" s="1">
        <v>150441</v>
      </c>
      <c r="E1183" t="s">
        <v>30</v>
      </c>
      <c r="F1183" t="s">
        <v>10</v>
      </c>
      <c r="G1183">
        <v>96.9</v>
      </c>
      <c r="H1183">
        <v>8</v>
      </c>
      <c r="I1183">
        <v>99</v>
      </c>
      <c r="J1183">
        <v>99</v>
      </c>
      <c r="K1183">
        <v>99</v>
      </c>
    </row>
    <row r="1184" spans="1:11" x14ac:dyDescent="0.25">
      <c r="A1184" s="2">
        <v>2017</v>
      </c>
      <c r="B1184" s="2" t="s">
        <v>276</v>
      </c>
      <c r="C1184" t="s">
        <v>106</v>
      </c>
      <c r="D1184" s="1">
        <v>152587</v>
      </c>
      <c r="E1184" t="s">
        <v>28</v>
      </c>
      <c r="F1184" t="s">
        <v>12</v>
      </c>
      <c r="G1184">
        <v>42.9</v>
      </c>
      <c r="H1184">
        <v>7</v>
      </c>
      <c r="I1184">
        <v>1</v>
      </c>
      <c r="J1184">
        <v>1</v>
      </c>
      <c r="K1184">
        <v>1</v>
      </c>
    </row>
    <row r="1185" spans="1:11" x14ac:dyDescent="0.25">
      <c r="A1185" s="2">
        <v>2017</v>
      </c>
      <c r="B1185" s="2" t="s">
        <v>276</v>
      </c>
      <c r="C1185" t="s">
        <v>106</v>
      </c>
      <c r="D1185" s="1">
        <v>152587</v>
      </c>
      <c r="E1185" t="s">
        <v>28</v>
      </c>
      <c r="F1185" t="s">
        <v>7</v>
      </c>
      <c r="G1185">
        <v>62.5</v>
      </c>
      <c r="H1185">
        <v>6</v>
      </c>
      <c r="I1185">
        <v>1</v>
      </c>
      <c r="J1185">
        <v>1</v>
      </c>
      <c r="K1185">
        <v>1</v>
      </c>
    </row>
    <row r="1186" spans="1:11" x14ac:dyDescent="0.25">
      <c r="A1186" s="2">
        <v>2017</v>
      </c>
      <c r="B1186" s="2" t="s">
        <v>276</v>
      </c>
      <c r="C1186" t="s">
        <v>106</v>
      </c>
      <c r="D1186" s="1">
        <v>152587</v>
      </c>
      <c r="E1186" t="s">
        <v>28</v>
      </c>
      <c r="F1186" t="s">
        <v>11</v>
      </c>
      <c r="G1186">
        <v>70.8</v>
      </c>
      <c r="H1186">
        <v>6</v>
      </c>
      <c r="I1186">
        <v>1</v>
      </c>
      <c r="J1186">
        <v>1</v>
      </c>
      <c r="K1186">
        <v>1</v>
      </c>
    </row>
    <row r="1187" spans="1:11" x14ac:dyDescent="0.25">
      <c r="A1187" s="2">
        <v>2017</v>
      </c>
      <c r="B1187" s="2" t="s">
        <v>276</v>
      </c>
      <c r="C1187" t="s">
        <v>106</v>
      </c>
      <c r="D1187" s="1">
        <v>152587</v>
      </c>
      <c r="E1187" t="s">
        <v>28</v>
      </c>
      <c r="F1187" t="s">
        <v>9</v>
      </c>
      <c r="G1187">
        <v>62.5</v>
      </c>
      <c r="H1187">
        <v>6</v>
      </c>
      <c r="I1187">
        <v>1</v>
      </c>
      <c r="J1187">
        <v>1</v>
      </c>
      <c r="K1187">
        <v>1</v>
      </c>
    </row>
    <row r="1188" spans="1:11" x14ac:dyDescent="0.25">
      <c r="A1188" s="2">
        <v>2017</v>
      </c>
      <c r="B1188" s="2" t="s">
        <v>276</v>
      </c>
      <c r="C1188" t="s">
        <v>106</v>
      </c>
      <c r="D1188" s="1">
        <v>152587</v>
      </c>
      <c r="E1188" t="s">
        <v>28</v>
      </c>
      <c r="F1188" t="s">
        <v>8</v>
      </c>
      <c r="G1188">
        <v>58.3</v>
      </c>
      <c r="H1188">
        <v>6</v>
      </c>
      <c r="I1188">
        <v>1</v>
      </c>
      <c r="J1188">
        <v>1</v>
      </c>
      <c r="K1188">
        <v>1</v>
      </c>
    </row>
    <row r="1189" spans="1:11" x14ac:dyDescent="0.25">
      <c r="A1189" s="2">
        <v>2017</v>
      </c>
      <c r="B1189" s="2" t="s">
        <v>276</v>
      </c>
      <c r="C1189" t="s">
        <v>106</v>
      </c>
      <c r="D1189" s="1">
        <v>152587</v>
      </c>
      <c r="E1189" t="s">
        <v>28</v>
      </c>
      <c r="F1189" t="s">
        <v>10</v>
      </c>
      <c r="G1189">
        <v>58.3</v>
      </c>
      <c r="H1189">
        <v>6</v>
      </c>
      <c r="I1189">
        <v>1</v>
      </c>
      <c r="J1189">
        <v>1</v>
      </c>
      <c r="K1189">
        <v>1</v>
      </c>
    </row>
    <row r="1190" spans="1:11" x14ac:dyDescent="0.25">
      <c r="A1190" s="2">
        <v>2017</v>
      </c>
      <c r="B1190" s="2" t="s">
        <v>276</v>
      </c>
      <c r="C1190" t="s">
        <v>106</v>
      </c>
      <c r="D1190" s="1">
        <v>149344</v>
      </c>
      <c r="E1190" t="s">
        <v>35</v>
      </c>
      <c r="F1190" t="s">
        <v>12</v>
      </c>
      <c r="G1190">
        <v>50</v>
      </c>
      <c r="H1190">
        <v>7</v>
      </c>
      <c r="I1190">
        <v>1</v>
      </c>
      <c r="J1190">
        <v>1</v>
      </c>
      <c r="K1190">
        <v>1</v>
      </c>
    </row>
    <row r="1191" spans="1:11" x14ac:dyDescent="0.25">
      <c r="A1191" s="2">
        <v>2017</v>
      </c>
      <c r="B1191" s="2" t="s">
        <v>276</v>
      </c>
      <c r="C1191" t="s">
        <v>106</v>
      </c>
      <c r="D1191" s="1">
        <v>149344</v>
      </c>
      <c r="E1191" t="s">
        <v>35</v>
      </c>
      <c r="F1191" t="s">
        <v>7</v>
      </c>
      <c r="G1191">
        <v>70.5</v>
      </c>
      <c r="H1191">
        <v>7</v>
      </c>
      <c r="I1191">
        <v>1</v>
      </c>
      <c r="J1191">
        <v>1</v>
      </c>
      <c r="K1191">
        <v>1</v>
      </c>
    </row>
    <row r="1192" spans="1:11" x14ac:dyDescent="0.25">
      <c r="A1192" s="2">
        <v>2017</v>
      </c>
      <c r="B1192" s="2" t="s">
        <v>276</v>
      </c>
      <c r="C1192" t="s">
        <v>106</v>
      </c>
      <c r="D1192" s="1">
        <v>149344</v>
      </c>
      <c r="E1192" t="s">
        <v>35</v>
      </c>
      <c r="F1192" t="s">
        <v>11</v>
      </c>
      <c r="G1192">
        <v>71.400000000000006</v>
      </c>
      <c r="H1192">
        <v>7</v>
      </c>
      <c r="I1192">
        <v>1</v>
      </c>
      <c r="J1192">
        <v>1</v>
      </c>
      <c r="K1192">
        <v>1</v>
      </c>
    </row>
    <row r="1193" spans="1:11" x14ac:dyDescent="0.25">
      <c r="A1193" s="2">
        <v>2017</v>
      </c>
      <c r="B1193" s="2" t="s">
        <v>276</v>
      </c>
      <c r="C1193" t="s">
        <v>106</v>
      </c>
      <c r="D1193" s="1">
        <v>149344</v>
      </c>
      <c r="E1193" t="s">
        <v>35</v>
      </c>
      <c r="F1193" t="s">
        <v>9</v>
      </c>
      <c r="G1193">
        <v>67.900000000000006</v>
      </c>
      <c r="H1193">
        <v>7</v>
      </c>
      <c r="I1193">
        <v>1</v>
      </c>
      <c r="J1193">
        <v>1</v>
      </c>
      <c r="K1193">
        <v>1</v>
      </c>
    </row>
    <row r="1194" spans="1:11" x14ac:dyDescent="0.25">
      <c r="A1194" s="2">
        <v>2017</v>
      </c>
      <c r="B1194" s="2" t="s">
        <v>276</v>
      </c>
      <c r="C1194" t="s">
        <v>106</v>
      </c>
      <c r="D1194" s="1">
        <v>149344</v>
      </c>
      <c r="E1194" t="s">
        <v>35</v>
      </c>
      <c r="F1194" t="s">
        <v>8</v>
      </c>
      <c r="G1194">
        <v>71.400000000000006</v>
      </c>
      <c r="H1194">
        <v>7</v>
      </c>
      <c r="I1194">
        <v>1</v>
      </c>
      <c r="J1194">
        <v>2</v>
      </c>
      <c r="K1194">
        <v>1</v>
      </c>
    </row>
    <row r="1195" spans="1:11" x14ac:dyDescent="0.25">
      <c r="A1195" s="2">
        <v>2017</v>
      </c>
      <c r="B1195" s="2" t="s">
        <v>276</v>
      </c>
      <c r="C1195" t="s">
        <v>106</v>
      </c>
      <c r="D1195" s="1">
        <v>149344</v>
      </c>
      <c r="E1195" t="s">
        <v>35</v>
      </c>
      <c r="F1195" t="s">
        <v>10</v>
      </c>
      <c r="G1195">
        <v>71.400000000000006</v>
      </c>
      <c r="H1195">
        <v>7</v>
      </c>
      <c r="I1195">
        <v>1</v>
      </c>
      <c r="J1195">
        <v>1</v>
      </c>
      <c r="K1195">
        <v>1</v>
      </c>
    </row>
    <row r="1196" spans="1:11" x14ac:dyDescent="0.25">
      <c r="A1196" s="2">
        <v>2017</v>
      </c>
      <c r="B1196" s="2" t="s">
        <v>276</v>
      </c>
      <c r="C1196" t="s">
        <v>106</v>
      </c>
      <c r="D1196" s="1">
        <v>117440</v>
      </c>
      <c r="E1196" t="s">
        <v>32</v>
      </c>
      <c r="F1196" t="s">
        <v>12</v>
      </c>
      <c r="G1196">
        <v>58.3</v>
      </c>
      <c r="H1196">
        <v>6</v>
      </c>
      <c r="I1196">
        <v>1</v>
      </c>
      <c r="J1196">
        <v>2</v>
      </c>
      <c r="K1196">
        <v>1</v>
      </c>
    </row>
    <row r="1197" spans="1:11" x14ac:dyDescent="0.25">
      <c r="A1197" s="2">
        <v>2017</v>
      </c>
      <c r="B1197" s="2" t="s">
        <v>276</v>
      </c>
      <c r="C1197" t="s">
        <v>106</v>
      </c>
      <c r="D1197" s="1">
        <v>117440</v>
      </c>
      <c r="E1197" t="s">
        <v>32</v>
      </c>
      <c r="F1197" t="s">
        <v>7</v>
      </c>
      <c r="G1197">
        <v>86.5</v>
      </c>
      <c r="H1197">
        <v>6</v>
      </c>
      <c r="I1197">
        <v>57</v>
      </c>
      <c r="J1197">
        <v>47</v>
      </c>
      <c r="K1197">
        <v>43</v>
      </c>
    </row>
    <row r="1198" spans="1:11" x14ac:dyDescent="0.25">
      <c r="A1198" s="2">
        <v>2017</v>
      </c>
      <c r="B1198" s="2" t="s">
        <v>276</v>
      </c>
      <c r="C1198" t="s">
        <v>106</v>
      </c>
      <c r="D1198" s="1">
        <v>117440</v>
      </c>
      <c r="E1198" t="s">
        <v>32</v>
      </c>
      <c r="F1198" t="s">
        <v>11</v>
      </c>
      <c r="G1198">
        <v>87.5</v>
      </c>
      <c r="H1198">
        <v>6</v>
      </c>
      <c r="I1198">
        <v>37</v>
      </c>
      <c r="J1198">
        <v>29</v>
      </c>
      <c r="K1198">
        <v>29</v>
      </c>
    </row>
    <row r="1199" spans="1:11" x14ac:dyDescent="0.25">
      <c r="A1199" s="2">
        <v>2017</v>
      </c>
      <c r="B1199" s="2" t="s">
        <v>276</v>
      </c>
      <c r="C1199" t="s">
        <v>106</v>
      </c>
      <c r="D1199" s="1">
        <v>117440</v>
      </c>
      <c r="E1199" t="s">
        <v>32</v>
      </c>
      <c r="F1199" t="s">
        <v>9</v>
      </c>
      <c r="G1199">
        <v>87.5</v>
      </c>
      <c r="H1199">
        <v>6</v>
      </c>
      <c r="I1199">
        <v>66</v>
      </c>
      <c r="J1199">
        <v>56</v>
      </c>
      <c r="K1199">
        <v>50</v>
      </c>
    </row>
    <row r="1200" spans="1:11" x14ac:dyDescent="0.25">
      <c r="A1200" s="2">
        <v>2017</v>
      </c>
      <c r="B1200" s="2" t="s">
        <v>276</v>
      </c>
      <c r="C1200" t="s">
        <v>106</v>
      </c>
      <c r="D1200" s="1">
        <v>117440</v>
      </c>
      <c r="E1200" t="s">
        <v>32</v>
      </c>
      <c r="F1200" t="s">
        <v>8</v>
      </c>
      <c r="G1200">
        <v>83.3</v>
      </c>
      <c r="H1200">
        <v>6</v>
      </c>
      <c r="I1200">
        <v>41</v>
      </c>
      <c r="J1200">
        <v>28</v>
      </c>
      <c r="K1200">
        <v>27</v>
      </c>
    </row>
    <row r="1201" spans="1:11" x14ac:dyDescent="0.25">
      <c r="A1201" s="2">
        <v>2017</v>
      </c>
      <c r="B1201" s="2" t="s">
        <v>276</v>
      </c>
      <c r="C1201" t="s">
        <v>106</v>
      </c>
      <c r="D1201" s="1">
        <v>117440</v>
      </c>
      <c r="E1201" t="s">
        <v>32</v>
      </c>
      <c r="F1201" t="s">
        <v>10</v>
      </c>
      <c r="G1201">
        <v>87.5</v>
      </c>
      <c r="H1201">
        <v>6</v>
      </c>
      <c r="I1201">
        <v>88</v>
      </c>
      <c r="J1201">
        <v>68</v>
      </c>
      <c r="K1201">
        <v>63</v>
      </c>
    </row>
    <row r="1202" spans="1:11" x14ac:dyDescent="0.25">
      <c r="A1202" s="2">
        <v>2017</v>
      </c>
      <c r="B1202" s="2" t="s">
        <v>276</v>
      </c>
      <c r="C1202" t="s">
        <v>106</v>
      </c>
      <c r="D1202" s="1">
        <v>153700</v>
      </c>
      <c r="E1202" t="s">
        <v>38</v>
      </c>
      <c r="F1202" t="s">
        <v>12</v>
      </c>
      <c r="G1202">
        <v>75</v>
      </c>
      <c r="H1202">
        <v>2</v>
      </c>
      <c r="I1202">
        <v>46</v>
      </c>
      <c r="J1202">
        <v>15</v>
      </c>
      <c r="K1202">
        <v>20</v>
      </c>
    </row>
    <row r="1203" spans="1:11" x14ac:dyDescent="0.25">
      <c r="A1203" s="2">
        <v>2017</v>
      </c>
      <c r="B1203" s="2" t="s">
        <v>276</v>
      </c>
      <c r="C1203" t="s">
        <v>106</v>
      </c>
      <c r="D1203" s="1">
        <v>153700</v>
      </c>
      <c r="E1203" t="s">
        <v>38</v>
      </c>
      <c r="F1203" t="s">
        <v>7</v>
      </c>
      <c r="G1203">
        <v>78.099999999999994</v>
      </c>
      <c r="H1203">
        <v>2</v>
      </c>
      <c r="I1203">
        <v>3</v>
      </c>
      <c r="J1203">
        <v>3</v>
      </c>
      <c r="K1203">
        <v>3</v>
      </c>
    </row>
    <row r="1204" spans="1:11" x14ac:dyDescent="0.25">
      <c r="A1204" s="2">
        <v>2017</v>
      </c>
      <c r="B1204" s="2" t="s">
        <v>276</v>
      </c>
      <c r="C1204" t="s">
        <v>106</v>
      </c>
      <c r="D1204" s="1">
        <v>153700</v>
      </c>
      <c r="E1204" t="s">
        <v>38</v>
      </c>
      <c r="F1204" t="s">
        <v>11</v>
      </c>
      <c r="G1204">
        <v>87.5</v>
      </c>
      <c r="H1204">
        <v>2</v>
      </c>
      <c r="I1204">
        <v>37</v>
      </c>
      <c r="J1204">
        <v>29</v>
      </c>
      <c r="K1204">
        <v>29</v>
      </c>
    </row>
    <row r="1205" spans="1:11" x14ac:dyDescent="0.25">
      <c r="A1205" s="2">
        <v>2017</v>
      </c>
      <c r="B1205" s="2" t="s">
        <v>276</v>
      </c>
      <c r="C1205" t="s">
        <v>106</v>
      </c>
      <c r="D1205" s="1">
        <v>153700</v>
      </c>
      <c r="E1205" t="s">
        <v>38</v>
      </c>
      <c r="F1205" t="s">
        <v>9</v>
      </c>
      <c r="G1205">
        <v>75</v>
      </c>
      <c r="H1205">
        <v>2</v>
      </c>
      <c r="I1205">
        <v>1</v>
      </c>
      <c r="J1205">
        <v>1</v>
      </c>
      <c r="K1205">
        <v>1</v>
      </c>
    </row>
    <row r="1206" spans="1:11" x14ac:dyDescent="0.25">
      <c r="A1206" s="2">
        <v>2017</v>
      </c>
      <c r="B1206" s="2" t="s">
        <v>276</v>
      </c>
      <c r="C1206" t="s">
        <v>106</v>
      </c>
      <c r="D1206" s="1">
        <v>153700</v>
      </c>
      <c r="E1206" t="s">
        <v>38</v>
      </c>
      <c r="F1206" t="s">
        <v>8</v>
      </c>
      <c r="G1206">
        <v>75</v>
      </c>
      <c r="H1206">
        <v>2</v>
      </c>
      <c r="I1206">
        <v>3</v>
      </c>
      <c r="J1206">
        <v>2</v>
      </c>
      <c r="K1206">
        <v>2</v>
      </c>
    </row>
    <row r="1207" spans="1:11" x14ac:dyDescent="0.25">
      <c r="A1207" s="2">
        <v>2017</v>
      </c>
      <c r="B1207" s="2" t="s">
        <v>276</v>
      </c>
      <c r="C1207" t="s">
        <v>106</v>
      </c>
      <c r="D1207" s="1">
        <v>153700</v>
      </c>
      <c r="E1207" t="s">
        <v>38</v>
      </c>
      <c r="F1207" t="s">
        <v>10</v>
      </c>
      <c r="G1207">
        <v>75</v>
      </c>
      <c r="H1207">
        <v>2</v>
      </c>
      <c r="I1207">
        <v>3</v>
      </c>
      <c r="J1207">
        <v>2</v>
      </c>
      <c r="K1207">
        <v>2</v>
      </c>
    </row>
    <row r="1208" spans="1:11" x14ac:dyDescent="0.25">
      <c r="A1208" s="2">
        <v>2017</v>
      </c>
      <c r="B1208" s="2" t="s">
        <v>276</v>
      </c>
      <c r="C1208" t="s">
        <v>106</v>
      </c>
      <c r="D1208" s="1">
        <v>59899</v>
      </c>
      <c r="E1208" t="s">
        <v>22</v>
      </c>
      <c r="F1208" t="s">
        <v>12</v>
      </c>
      <c r="G1208">
        <v>62.5</v>
      </c>
      <c r="H1208">
        <v>6</v>
      </c>
      <c r="I1208">
        <v>3</v>
      </c>
      <c r="J1208">
        <v>3</v>
      </c>
      <c r="K1208">
        <v>1</v>
      </c>
    </row>
    <row r="1209" spans="1:11" x14ac:dyDescent="0.25">
      <c r="A1209" s="2">
        <v>2017</v>
      </c>
      <c r="B1209" s="2" t="s">
        <v>276</v>
      </c>
      <c r="C1209" t="s">
        <v>106</v>
      </c>
      <c r="D1209" s="1">
        <v>59899</v>
      </c>
      <c r="E1209" t="s">
        <v>22</v>
      </c>
      <c r="F1209" t="s">
        <v>7</v>
      </c>
      <c r="G1209">
        <v>79.2</v>
      </c>
      <c r="H1209">
        <v>6</v>
      </c>
      <c r="I1209">
        <v>4</v>
      </c>
      <c r="J1209">
        <v>4</v>
      </c>
      <c r="K1209">
        <v>5</v>
      </c>
    </row>
    <row r="1210" spans="1:11" x14ac:dyDescent="0.25">
      <c r="A1210" s="2">
        <v>2017</v>
      </c>
      <c r="B1210" s="2" t="s">
        <v>276</v>
      </c>
      <c r="C1210" t="s">
        <v>106</v>
      </c>
      <c r="D1210" s="1">
        <v>59899</v>
      </c>
      <c r="E1210" t="s">
        <v>22</v>
      </c>
      <c r="F1210" t="s">
        <v>11</v>
      </c>
      <c r="G1210">
        <v>83.3</v>
      </c>
      <c r="H1210">
        <v>6</v>
      </c>
      <c r="I1210">
        <v>8</v>
      </c>
      <c r="J1210">
        <v>5</v>
      </c>
      <c r="K1210">
        <v>7</v>
      </c>
    </row>
    <row r="1211" spans="1:11" x14ac:dyDescent="0.25">
      <c r="A1211" s="2">
        <v>2017</v>
      </c>
      <c r="B1211" s="2" t="s">
        <v>276</v>
      </c>
      <c r="C1211" t="s">
        <v>106</v>
      </c>
      <c r="D1211" s="1">
        <v>59899</v>
      </c>
      <c r="E1211" t="s">
        <v>22</v>
      </c>
      <c r="F1211" t="s">
        <v>9</v>
      </c>
      <c r="G1211">
        <v>83.3</v>
      </c>
      <c r="H1211">
        <v>6</v>
      </c>
      <c r="I1211">
        <v>22</v>
      </c>
      <c r="J1211">
        <v>16</v>
      </c>
      <c r="K1211">
        <v>17</v>
      </c>
    </row>
    <row r="1212" spans="1:11" x14ac:dyDescent="0.25">
      <c r="A1212" s="2">
        <v>2017</v>
      </c>
      <c r="B1212" s="2" t="s">
        <v>276</v>
      </c>
      <c r="C1212" t="s">
        <v>106</v>
      </c>
      <c r="D1212" s="1">
        <v>59899</v>
      </c>
      <c r="E1212" t="s">
        <v>22</v>
      </c>
      <c r="F1212" t="s">
        <v>8</v>
      </c>
      <c r="G1212">
        <v>66.7</v>
      </c>
      <c r="H1212">
        <v>6</v>
      </c>
      <c r="I1212">
        <v>1</v>
      </c>
      <c r="J1212">
        <v>1</v>
      </c>
      <c r="K1212">
        <v>1</v>
      </c>
    </row>
    <row r="1213" spans="1:11" x14ac:dyDescent="0.25">
      <c r="A1213" s="2">
        <v>2017</v>
      </c>
      <c r="B1213" s="2" t="s">
        <v>276</v>
      </c>
      <c r="C1213" t="s">
        <v>106</v>
      </c>
      <c r="D1213" s="1">
        <v>59899</v>
      </c>
      <c r="E1213" t="s">
        <v>22</v>
      </c>
      <c r="F1213" t="s">
        <v>10</v>
      </c>
      <c r="G1213">
        <v>83.3</v>
      </c>
      <c r="H1213">
        <v>6</v>
      </c>
      <c r="I1213">
        <v>36</v>
      </c>
      <c r="J1213">
        <v>28</v>
      </c>
      <c r="K1213">
        <v>26</v>
      </c>
    </row>
    <row r="1214" spans="1:11" x14ac:dyDescent="0.25">
      <c r="A1214" s="2">
        <v>2017</v>
      </c>
      <c r="B1214" s="2" t="s">
        <v>276</v>
      </c>
      <c r="C1214" t="s">
        <v>106</v>
      </c>
      <c r="D1214" s="1">
        <v>99093</v>
      </c>
      <c r="E1214" t="s">
        <v>14</v>
      </c>
      <c r="F1214" t="s">
        <v>12</v>
      </c>
      <c r="G1214">
        <v>90.6</v>
      </c>
      <c r="H1214">
        <v>8</v>
      </c>
      <c r="I1214">
        <v>99</v>
      </c>
      <c r="J1214">
        <v>99</v>
      </c>
      <c r="K1214">
        <v>92</v>
      </c>
    </row>
    <row r="1215" spans="1:11" x14ac:dyDescent="0.25">
      <c r="A1215" s="2">
        <v>2017</v>
      </c>
      <c r="B1215" s="2" t="s">
        <v>276</v>
      </c>
      <c r="C1215" t="s">
        <v>106</v>
      </c>
      <c r="D1215" s="1">
        <v>99093</v>
      </c>
      <c r="E1215" t="s">
        <v>14</v>
      </c>
      <c r="F1215" t="s">
        <v>7</v>
      </c>
      <c r="G1215">
        <v>87.5</v>
      </c>
      <c r="H1215">
        <v>8</v>
      </c>
      <c r="I1215">
        <v>71</v>
      </c>
      <c r="J1215">
        <v>57</v>
      </c>
      <c r="K1215">
        <v>53</v>
      </c>
    </row>
    <row r="1216" spans="1:11" x14ac:dyDescent="0.25">
      <c r="A1216" s="2">
        <v>2017</v>
      </c>
      <c r="B1216" s="2" t="s">
        <v>276</v>
      </c>
      <c r="C1216" t="s">
        <v>106</v>
      </c>
      <c r="D1216" s="1">
        <v>99093</v>
      </c>
      <c r="E1216" t="s">
        <v>14</v>
      </c>
      <c r="F1216" t="s">
        <v>11</v>
      </c>
      <c r="G1216">
        <v>87.5</v>
      </c>
      <c r="H1216">
        <v>8</v>
      </c>
      <c r="I1216">
        <v>37</v>
      </c>
      <c r="J1216">
        <v>29</v>
      </c>
      <c r="K1216">
        <v>29</v>
      </c>
    </row>
    <row r="1217" spans="1:11" x14ac:dyDescent="0.25">
      <c r="A1217" s="2">
        <v>2017</v>
      </c>
      <c r="B1217" s="2" t="s">
        <v>276</v>
      </c>
      <c r="C1217" t="s">
        <v>106</v>
      </c>
      <c r="D1217" s="1">
        <v>99093</v>
      </c>
      <c r="E1217" t="s">
        <v>14</v>
      </c>
      <c r="F1217" t="s">
        <v>9</v>
      </c>
      <c r="G1217">
        <v>87.5</v>
      </c>
      <c r="H1217">
        <v>8</v>
      </c>
      <c r="I1217">
        <v>66</v>
      </c>
      <c r="J1217">
        <v>56</v>
      </c>
      <c r="K1217">
        <v>50</v>
      </c>
    </row>
    <row r="1218" spans="1:11" x14ac:dyDescent="0.25">
      <c r="A1218" s="2">
        <v>2017</v>
      </c>
      <c r="B1218" s="2" t="s">
        <v>276</v>
      </c>
      <c r="C1218" t="s">
        <v>106</v>
      </c>
      <c r="D1218" s="1">
        <v>99093</v>
      </c>
      <c r="E1218" t="s">
        <v>14</v>
      </c>
      <c r="F1218" t="s">
        <v>8</v>
      </c>
      <c r="G1218">
        <v>87.5</v>
      </c>
      <c r="H1218">
        <v>8</v>
      </c>
      <c r="I1218">
        <v>89</v>
      </c>
      <c r="J1218">
        <v>69</v>
      </c>
      <c r="K1218">
        <v>63</v>
      </c>
    </row>
    <row r="1219" spans="1:11" x14ac:dyDescent="0.25">
      <c r="A1219" s="2">
        <v>2017</v>
      </c>
      <c r="B1219" s="2" t="s">
        <v>276</v>
      </c>
      <c r="C1219" t="s">
        <v>106</v>
      </c>
      <c r="D1219" s="1">
        <v>99093</v>
      </c>
      <c r="E1219" t="s">
        <v>14</v>
      </c>
      <c r="F1219" t="s">
        <v>10</v>
      </c>
      <c r="G1219">
        <v>87.5</v>
      </c>
      <c r="H1219">
        <v>8</v>
      </c>
      <c r="I1219">
        <v>88</v>
      </c>
      <c r="J1219">
        <v>68</v>
      </c>
      <c r="K1219">
        <v>63</v>
      </c>
    </row>
    <row r="1220" spans="1:11" x14ac:dyDescent="0.25">
      <c r="A1220" s="2">
        <v>2017</v>
      </c>
      <c r="B1220" s="2" t="s">
        <v>276</v>
      </c>
      <c r="C1220" t="s">
        <v>106</v>
      </c>
      <c r="D1220" s="1">
        <v>70375</v>
      </c>
      <c r="E1220" t="s">
        <v>24</v>
      </c>
      <c r="F1220" t="s">
        <v>12</v>
      </c>
      <c r="G1220">
        <v>84.4</v>
      </c>
      <c r="H1220">
        <v>8</v>
      </c>
      <c r="I1220">
        <v>96</v>
      </c>
      <c r="J1220">
        <v>66</v>
      </c>
      <c r="K1220">
        <v>67</v>
      </c>
    </row>
    <row r="1221" spans="1:11" x14ac:dyDescent="0.25">
      <c r="A1221" s="2">
        <v>2017</v>
      </c>
      <c r="B1221" s="2" t="s">
        <v>276</v>
      </c>
      <c r="C1221" t="s">
        <v>106</v>
      </c>
      <c r="D1221" s="1">
        <v>70375</v>
      </c>
      <c r="E1221" t="s">
        <v>24</v>
      </c>
      <c r="F1221" t="s">
        <v>7</v>
      </c>
      <c r="G1221">
        <v>93.8</v>
      </c>
      <c r="H1221">
        <v>8</v>
      </c>
      <c r="I1221">
        <v>99</v>
      </c>
      <c r="J1221">
        <v>99</v>
      </c>
      <c r="K1221">
        <v>95</v>
      </c>
    </row>
    <row r="1222" spans="1:11" x14ac:dyDescent="0.25">
      <c r="A1222" s="2">
        <v>2017</v>
      </c>
      <c r="B1222" s="2" t="s">
        <v>276</v>
      </c>
      <c r="C1222" t="s">
        <v>106</v>
      </c>
      <c r="D1222" s="1">
        <v>70375</v>
      </c>
      <c r="E1222" t="s">
        <v>24</v>
      </c>
      <c r="F1222" t="s">
        <v>11</v>
      </c>
      <c r="G1222">
        <v>96.9</v>
      </c>
      <c r="H1222">
        <v>8</v>
      </c>
      <c r="I1222">
        <v>99</v>
      </c>
      <c r="J1222">
        <v>99</v>
      </c>
      <c r="K1222">
        <v>98</v>
      </c>
    </row>
    <row r="1223" spans="1:11" x14ac:dyDescent="0.25">
      <c r="A1223" s="2">
        <v>2017</v>
      </c>
      <c r="B1223" s="2" t="s">
        <v>276</v>
      </c>
      <c r="C1223" t="s">
        <v>106</v>
      </c>
      <c r="D1223" s="1">
        <v>70375</v>
      </c>
      <c r="E1223" t="s">
        <v>24</v>
      </c>
      <c r="F1223" t="s">
        <v>9</v>
      </c>
      <c r="G1223">
        <v>93.8</v>
      </c>
      <c r="H1223">
        <v>8</v>
      </c>
      <c r="I1223">
        <v>99</v>
      </c>
      <c r="J1223">
        <v>99</v>
      </c>
      <c r="K1223">
        <v>94</v>
      </c>
    </row>
    <row r="1224" spans="1:11" x14ac:dyDescent="0.25">
      <c r="A1224" s="2">
        <v>2017</v>
      </c>
      <c r="B1224" s="2" t="s">
        <v>276</v>
      </c>
      <c r="C1224" t="s">
        <v>106</v>
      </c>
      <c r="D1224" s="1">
        <v>70375</v>
      </c>
      <c r="E1224" t="s">
        <v>24</v>
      </c>
      <c r="F1224" t="s">
        <v>8</v>
      </c>
      <c r="G1224">
        <v>90.6</v>
      </c>
      <c r="H1224">
        <v>8</v>
      </c>
      <c r="I1224">
        <v>99</v>
      </c>
      <c r="J1224">
        <v>94</v>
      </c>
      <c r="K1224">
        <v>86</v>
      </c>
    </row>
    <row r="1225" spans="1:11" x14ac:dyDescent="0.25">
      <c r="A1225" s="2">
        <v>2017</v>
      </c>
      <c r="B1225" s="2" t="s">
        <v>276</v>
      </c>
      <c r="C1225" t="s">
        <v>106</v>
      </c>
      <c r="D1225" s="1">
        <v>70375</v>
      </c>
      <c r="E1225" t="s">
        <v>24</v>
      </c>
      <c r="F1225" t="s">
        <v>10</v>
      </c>
      <c r="G1225">
        <v>93.8</v>
      </c>
      <c r="H1225">
        <v>8</v>
      </c>
      <c r="I1225">
        <v>99</v>
      </c>
      <c r="J1225">
        <v>99</v>
      </c>
      <c r="K1225">
        <v>96</v>
      </c>
    </row>
    <row r="1226" spans="1:11" x14ac:dyDescent="0.25">
      <c r="A1226" s="2">
        <v>2017</v>
      </c>
      <c r="B1226" s="2" t="s">
        <v>276</v>
      </c>
      <c r="C1226" t="s">
        <v>106</v>
      </c>
      <c r="D1226" s="1">
        <v>70359</v>
      </c>
      <c r="E1226" t="s">
        <v>19</v>
      </c>
      <c r="F1226" t="s">
        <v>12</v>
      </c>
      <c r="G1226">
        <v>55.6</v>
      </c>
      <c r="H1226">
        <v>9</v>
      </c>
      <c r="I1226">
        <v>1</v>
      </c>
      <c r="J1226">
        <v>1</v>
      </c>
      <c r="K1226">
        <v>1</v>
      </c>
    </row>
    <row r="1227" spans="1:11" x14ac:dyDescent="0.25">
      <c r="A1227" s="2">
        <v>2017</v>
      </c>
      <c r="B1227" s="2" t="s">
        <v>276</v>
      </c>
      <c r="C1227" t="s">
        <v>106</v>
      </c>
      <c r="D1227" s="1">
        <v>70359</v>
      </c>
      <c r="E1227" t="s">
        <v>19</v>
      </c>
      <c r="F1227" t="s">
        <v>7</v>
      </c>
      <c r="G1227">
        <v>68.099999999999994</v>
      </c>
      <c r="H1227">
        <v>9</v>
      </c>
      <c r="I1227">
        <v>1</v>
      </c>
      <c r="J1227">
        <v>1</v>
      </c>
      <c r="K1227">
        <v>1</v>
      </c>
    </row>
    <row r="1228" spans="1:11" x14ac:dyDescent="0.25">
      <c r="A1228" s="2">
        <v>2017</v>
      </c>
      <c r="B1228" s="2" t="s">
        <v>276</v>
      </c>
      <c r="C1228" t="s">
        <v>106</v>
      </c>
      <c r="D1228" s="1">
        <v>70359</v>
      </c>
      <c r="E1228" t="s">
        <v>19</v>
      </c>
      <c r="F1228" t="s">
        <v>11</v>
      </c>
      <c r="G1228">
        <v>69.400000000000006</v>
      </c>
      <c r="H1228">
        <v>9</v>
      </c>
      <c r="I1228">
        <v>1</v>
      </c>
      <c r="J1228">
        <v>1</v>
      </c>
      <c r="K1228">
        <v>1</v>
      </c>
    </row>
    <row r="1229" spans="1:11" x14ac:dyDescent="0.25">
      <c r="A1229" s="2">
        <v>2017</v>
      </c>
      <c r="B1229" s="2" t="s">
        <v>276</v>
      </c>
      <c r="C1229" t="s">
        <v>106</v>
      </c>
      <c r="D1229" s="1">
        <v>70359</v>
      </c>
      <c r="E1229" t="s">
        <v>19</v>
      </c>
      <c r="F1229" t="s">
        <v>9</v>
      </c>
      <c r="G1229">
        <v>75</v>
      </c>
      <c r="H1229">
        <v>9</v>
      </c>
      <c r="I1229">
        <v>1</v>
      </c>
      <c r="J1229">
        <v>1</v>
      </c>
      <c r="K1229">
        <v>1</v>
      </c>
    </row>
    <row r="1230" spans="1:11" x14ac:dyDescent="0.25">
      <c r="A1230" s="2">
        <v>2017</v>
      </c>
      <c r="B1230" s="2" t="s">
        <v>276</v>
      </c>
      <c r="C1230" t="s">
        <v>106</v>
      </c>
      <c r="D1230" s="1">
        <v>70359</v>
      </c>
      <c r="E1230" t="s">
        <v>19</v>
      </c>
      <c r="F1230" t="s">
        <v>8</v>
      </c>
      <c r="G1230">
        <v>66.7</v>
      </c>
      <c r="H1230">
        <v>9</v>
      </c>
      <c r="I1230">
        <v>1</v>
      </c>
      <c r="J1230">
        <v>1</v>
      </c>
      <c r="K1230">
        <v>1</v>
      </c>
    </row>
    <row r="1231" spans="1:11" x14ac:dyDescent="0.25">
      <c r="A1231" s="2">
        <v>2017</v>
      </c>
      <c r="B1231" s="2" t="s">
        <v>276</v>
      </c>
      <c r="C1231" t="s">
        <v>106</v>
      </c>
      <c r="D1231" s="1">
        <v>70359</v>
      </c>
      <c r="E1231" t="s">
        <v>19</v>
      </c>
      <c r="F1231" t="s">
        <v>10</v>
      </c>
      <c r="G1231">
        <v>61.1</v>
      </c>
      <c r="H1231">
        <v>9</v>
      </c>
      <c r="I1231">
        <v>1</v>
      </c>
      <c r="J1231">
        <v>1</v>
      </c>
      <c r="K1231">
        <v>1</v>
      </c>
    </row>
    <row r="1232" spans="1:11" x14ac:dyDescent="0.25">
      <c r="A1232" s="2">
        <v>2017</v>
      </c>
      <c r="B1232" s="2" t="s">
        <v>276</v>
      </c>
      <c r="C1232" t="s">
        <v>106</v>
      </c>
      <c r="D1232" s="1">
        <v>99911</v>
      </c>
      <c r="E1232" t="s">
        <v>33</v>
      </c>
      <c r="F1232" t="s">
        <v>12</v>
      </c>
      <c r="G1232">
        <v>43.8</v>
      </c>
      <c r="H1232">
        <v>4</v>
      </c>
      <c r="I1232">
        <v>1</v>
      </c>
      <c r="J1232">
        <v>1</v>
      </c>
      <c r="K1232">
        <v>1</v>
      </c>
    </row>
    <row r="1233" spans="1:11" x14ac:dyDescent="0.25">
      <c r="A1233" s="2">
        <v>2017</v>
      </c>
      <c r="B1233" s="2" t="s">
        <v>276</v>
      </c>
      <c r="C1233" t="s">
        <v>106</v>
      </c>
      <c r="D1233" s="1">
        <v>99911</v>
      </c>
      <c r="E1233" t="s">
        <v>33</v>
      </c>
      <c r="F1233" t="s">
        <v>7</v>
      </c>
      <c r="G1233">
        <v>71.900000000000006</v>
      </c>
      <c r="H1233">
        <v>4</v>
      </c>
      <c r="I1233">
        <v>1</v>
      </c>
      <c r="J1233">
        <v>1</v>
      </c>
      <c r="K1233">
        <v>1</v>
      </c>
    </row>
    <row r="1234" spans="1:11" x14ac:dyDescent="0.25">
      <c r="A1234" s="2">
        <v>2017</v>
      </c>
      <c r="B1234" s="2" t="s">
        <v>276</v>
      </c>
      <c r="C1234" t="s">
        <v>106</v>
      </c>
      <c r="D1234" s="1">
        <v>99911</v>
      </c>
      <c r="E1234" t="s">
        <v>33</v>
      </c>
      <c r="F1234" t="s">
        <v>11</v>
      </c>
      <c r="G1234">
        <v>75</v>
      </c>
      <c r="H1234">
        <v>4</v>
      </c>
      <c r="I1234">
        <v>1</v>
      </c>
      <c r="J1234">
        <v>1</v>
      </c>
      <c r="K1234">
        <v>1</v>
      </c>
    </row>
    <row r="1235" spans="1:11" x14ac:dyDescent="0.25">
      <c r="A1235" s="2">
        <v>2017</v>
      </c>
      <c r="B1235" s="2" t="s">
        <v>276</v>
      </c>
      <c r="C1235" t="s">
        <v>106</v>
      </c>
      <c r="D1235" s="1">
        <v>99911</v>
      </c>
      <c r="E1235" t="s">
        <v>33</v>
      </c>
      <c r="F1235" t="s">
        <v>9</v>
      </c>
      <c r="G1235">
        <v>75</v>
      </c>
      <c r="H1235">
        <v>4</v>
      </c>
      <c r="I1235">
        <v>1</v>
      </c>
      <c r="J1235">
        <v>1</v>
      </c>
      <c r="K1235">
        <v>1</v>
      </c>
    </row>
    <row r="1236" spans="1:11" x14ac:dyDescent="0.25">
      <c r="A1236" s="2">
        <v>2017</v>
      </c>
      <c r="B1236" s="2" t="s">
        <v>276</v>
      </c>
      <c r="C1236" t="s">
        <v>106</v>
      </c>
      <c r="D1236" s="1">
        <v>99911</v>
      </c>
      <c r="E1236" t="s">
        <v>33</v>
      </c>
      <c r="F1236" t="s">
        <v>8</v>
      </c>
      <c r="G1236">
        <v>68.8</v>
      </c>
      <c r="H1236">
        <v>4</v>
      </c>
      <c r="I1236">
        <v>1</v>
      </c>
      <c r="J1236">
        <v>1</v>
      </c>
      <c r="K1236">
        <v>1</v>
      </c>
    </row>
    <row r="1237" spans="1:11" x14ac:dyDescent="0.25">
      <c r="A1237" s="2">
        <v>2017</v>
      </c>
      <c r="B1237" s="2" t="s">
        <v>276</v>
      </c>
      <c r="C1237" t="s">
        <v>106</v>
      </c>
      <c r="D1237" s="1">
        <v>99911</v>
      </c>
      <c r="E1237" t="s">
        <v>33</v>
      </c>
      <c r="F1237" t="s">
        <v>10</v>
      </c>
      <c r="G1237">
        <v>68.8</v>
      </c>
      <c r="H1237">
        <v>4</v>
      </c>
      <c r="I1237">
        <v>1</v>
      </c>
      <c r="J1237">
        <v>1</v>
      </c>
      <c r="K1237">
        <v>1</v>
      </c>
    </row>
    <row r="1238" spans="1:11" x14ac:dyDescent="0.25">
      <c r="A1238" s="2">
        <v>2017</v>
      </c>
      <c r="B1238" s="2" t="s">
        <v>276</v>
      </c>
      <c r="C1238" t="s">
        <v>106</v>
      </c>
      <c r="D1238" s="1">
        <v>177162</v>
      </c>
      <c r="E1238" t="s">
        <v>13</v>
      </c>
      <c r="F1238" t="s">
        <v>12</v>
      </c>
      <c r="G1238">
        <v>90.9</v>
      </c>
      <c r="H1238">
        <v>11</v>
      </c>
      <c r="I1238">
        <v>99</v>
      </c>
      <c r="J1238">
        <v>99</v>
      </c>
      <c r="K1238">
        <v>93</v>
      </c>
    </row>
    <row r="1239" spans="1:11" x14ac:dyDescent="0.25">
      <c r="A1239" s="2">
        <v>2017</v>
      </c>
      <c r="B1239" s="2" t="s">
        <v>276</v>
      </c>
      <c r="C1239" t="s">
        <v>106</v>
      </c>
      <c r="D1239" s="1">
        <v>177162</v>
      </c>
      <c r="E1239" t="s">
        <v>13</v>
      </c>
      <c r="F1239" t="s">
        <v>7</v>
      </c>
      <c r="G1239">
        <v>95.5</v>
      </c>
      <c r="H1239">
        <v>11</v>
      </c>
      <c r="I1239">
        <v>99</v>
      </c>
      <c r="J1239">
        <v>99</v>
      </c>
      <c r="K1239">
        <v>98</v>
      </c>
    </row>
    <row r="1240" spans="1:11" x14ac:dyDescent="0.25">
      <c r="A1240" s="2">
        <v>2017</v>
      </c>
      <c r="B1240" s="2" t="s">
        <v>276</v>
      </c>
      <c r="C1240" t="s">
        <v>106</v>
      </c>
      <c r="D1240" s="1">
        <v>177162</v>
      </c>
      <c r="E1240" t="s">
        <v>13</v>
      </c>
      <c r="F1240" t="s">
        <v>11</v>
      </c>
      <c r="G1240">
        <v>97.7</v>
      </c>
      <c r="H1240">
        <v>11</v>
      </c>
      <c r="I1240">
        <v>99</v>
      </c>
      <c r="J1240">
        <v>99</v>
      </c>
      <c r="K1240">
        <v>99</v>
      </c>
    </row>
    <row r="1241" spans="1:11" x14ac:dyDescent="0.25">
      <c r="A1241" s="2">
        <v>2017</v>
      </c>
      <c r="B1241" s="2" t="s">
        <v>276</v>
      </c>
      <c r="C1241" t="s">
        <v>106</v>
      </c>
      <c r="D1241" s="1">
        <v>177162</v>
      </c>
      <c r="E1241" t="s">
        <v>13</v>
      </c>
      <c r="F1241" t="s">
        <v>9</v>
      </c>
      <c r="G1241">
        <v>95.5</v>
      </c>
      <c r="H1241">
        <v>11</v>
      </c>
      <c r="I1241">
        <v>99</v>
      </c>
      <c r="J1241">
        <v>99</v>
      </c>
      <c r="K1241">
        <v>98</v>
      </c>
    </row>
    <row r="1242" spans="1:11" x14ac:dyDescent="0.25">
      <c r="A1242" s="2">
        <v>2017</v>
      </c>
      <c r="B1242" s="2" t="s">
        <v>276</v>
      </c>
      <c r="C1242" t="s">
        <v>106</v>
      </c>
      <c r="D1242" s="1">
        <v>177162</v>
      </c>
      <c r="E1242" t="s">
        <v>13</v>
      </c>
      <c r="F1242" t="s">
        <v>8</v>
      </c>
      <c r="G1242">
        <v>92.5</v>
      </c>
      <c r="H1242">
        <v>10</v>
      </c>
      <c r="I1242">
        <v>99</v>
      </c>
      <c r="J1242">
        <v>99</v>
      </c>
      <c r="K1242">
        <v>93</v>
      </c>
    </row>
    <row r="1243" spans="1:11" x14ac:dyDescent="0.25">
      <c r="A1243" s="2">
        <v>2017</v>
      </c>
      <c r="B1243" s="2" t="s">
        <v>276</v>
      </c>
      <c r="C1243" t="s">
        <v>106</v>
      </c>
      <c r="D1243" s="1">
        <v>177162</v>
      </c>
      <c r="E1243" t="s">
        <v>13</v>
      </c>
      <c r="F1243" t="s">
        <v>10</v>
      </c>
      <c r="G1243">
        <v>95.5</v>
      </c>
      <c r="H1243">
        <v>11</v>
      </c>
      <c r="I1243">
        <v>99</v>
      </c>
      <c r="J1243">
        <v>99</v>
      </c>
      <c r="K1243">
        <v>98</v>
      </c>
    </row>
    <row r="1244" spans="1:11" x14ac:dyDescent="0.25">
      <c r="A1244" s="2">
        <v>2017</v>
      </c>
      <c r="B1244" s="2" t="s">
        <v>276</v>
      </c>
      <c r="C1244" t="s">
        <v>106</v>
      </c>
      <c r="D1244" s="1">
        <v>60707</v>
      </c>
      <c r="E1244" t="s">
        <v>42</v>
      </c>
      <c r="F1244" t="s">
        <v>12</v>
      </c>
      <c r="G1244">
        <v>46.7</v>
      </c>
      <c r="H1244">
        <v>15</v>
      </c>
      <c r="I1244">
        <v>1</v>
      </c>
      <c r="J1244">
        <v>1</v>
      </c>
      <c r="K1244">
        <v>1</v>
      </c>
    </row>
    <row r="1245" spans="1:11" x14ac:dyDescent="0.25">
      <c r="A1245" s="2">
        <v>2017</v>
      </c>
      <c r="B1245" s="2" t="s">
        <v>276</v>
      </c>
      <c r="C1245" t="s">
        <v>106</v>
      </c>
      <c r="D1245" s="1">
        <v>60707</v>
      </c>
      <c r="E1245" t="s">
        <v>42</v>
      </c>
      <c r="F1245" t="s">
        <v>7</v>
      </c>
      <c r="G1245">
        <v>58.3</v>
      </c>
      <c r="H1245">
        <v>15</v>
      </c>
      <c r="I1245">
        <v>1</v>
      </c>
      <c r="J1245">
        <v>1</v>
      </c>
      <c r="K1245">
        <v>1</v>
      </c>
    </row>
    <row r="1246" spans="1:11" x14ac:dyDescent="0.25">
      <c r="A1246" s="2">
        <v>2017</v>
      </c>
      <c r="B1246" s="2" t="s">
        <v>276</v>
      </c>
      <c r="C1246" t="s">
        <v>106</v>
      </c>
      <c r="D1246" s="1">
        <v>60707</v>
      </c>
      <c r="E1246" t="s">
        <v>42</v>
      </c>
      <c r="F1246" t="s">
        <v>11</v>
      </c>
      <c r="G1246">
        <v>58.3</v>
      </c>
      <c r="H1246">
        <v>15</v>
      </c>
      <c r="I1246">
        <v>1</v>
      </c>
      <c r="J1246">
        <v>1</v>
      </c>
      <c r="K1246">
        <v>1</v>
      </c>
    </row>
    <row r="1247" spans="1:11" x14ac:dyDescent="0.25">
      <c r="A1247" s="2">
        <v>2017</v>
      </c>
      <c r="B1247" s="2" t="s">
        <v>276</v>
      </c>
      <c r="C1247" t="s">
        <v>106</v>
      </c>
      <c r="D1247" s="1">
        <v>60707</v>
      </c>
      <c r="E1247" t="s">
        <v>42</v>
      </c>
      <c r="F1247" t="s">
        <v>9</v>
      </c>
      <c r="G1247">
        <v>60</v>
      </c>
      <c r="H1247">
        <v>15</v>
      </c>
      <c r="I1247">
        <v>1</v>
      </c>
      <c r="J1247">
        <v>1</v>
      </c>
      <c r="K1247">
        <v>1</v>
      </c>
    </row>
    <row r="1248" spans="1:11" x14ac:dyDescent="0.25">
      <c r="A1248" s="2">
        <v>2017</v>
      </c>
      <c r="B1248" s="2" t="s">
        <v>276</v>
      </c>
      <c r="C1248" t="s">
        <v>106</v>
      </c>
      <c r="D1248" s="1">
        <v>60707</v>
      </c>
      <c r="E1248" t="s">
        <v>42</v>
      </c>
      <c r="F1248" t="s">
        <v>8</v>
      </c>
      <c r="G1248">
        <v>58.3</v>
      </c>
      <c r="H1248">
        <v>15</v>
      </c>
      <c r="I1248">
        <v>1</v>
      </c>
      <c r="J1248">
        <v>1</v>
      </c>
      <c r="K1248">
        <v>1</v>
      </c>
    </row>
    <row r="1249" spans="1:11" x14ac:dyDescent="0.25">
      <c r="A1249" s="2">
        <v>2017</v>
      </c>
      <c r="B1249" s="2" t="s">
        <v>276</v>
      </c>
      <c r="C1249" t="s">
        <v>106</v>
      </c>
      <c r="D1249" s="1">
        <v>60707</v>
      </c>
      <c r="E1249" t="s">
        <v>42</v>
      </c>
      <c r="F1249" t="s">
        <v>10</v>
      </c>
      <c r="G1249">
        <v>56.7</v>
      </c>
      <c r="H1249">
        <v>15</v>
      </c>
      <c r="I1249">
        <v>1</v>
      </c>
      <c r="J1249">
        <v>1</v>
      </c>
      <c r="K1249">
        <v>1</v>
      </c>
    </row>
    <row r="1250" spans="1:11" x14ac:dyDescent="0.25">
      <c r="A1250" s="2">
        <v>2017</v>
      </c>
      <c r="B1250" s="2" t="s">
        <v>276</v>
      </c>
      <c r="C1250" t="s">
        <v>106</v>
      </c>
      <c r="D1250" s="1">
        <v>58222</v>
      </c>
      <c r="E1250" t="s">
        <v>16</v>
      </c>
      <c r="F1250" t="s">
        <v>12</v>
      </c>
      <c r="G1250">
        <v>75</v>
      </c>
      <c r="H1250">
        <v>2</v>
      </c>
      <c r="I1250">
        <v>46</v>
      </c>
      <c r="J1250">
        <v>15</v>
      </c>
      <c r="K1250">
        <v>20</v>
      </c>
    </row>
    <row r="1251" spans="1:11" x14ac:dyDescent="0.25">
      <c r="A1251" s="2">
        <v>2017</v>
      </c>
      <c r="B1251" s="2" t="s">
        <v>276</v>
      </c>
      <c r="C1251" t="s">
        <v>106</v>
      </c>
      <c r="D1251" s="1">
        <v>58222</v>
      </c>
      <c r="E1251" t="s">
        <v>16</v>
      </c>
      <c r="F1251" t="s">
        <v>7</v>
      </c>
      <c r="G1251">
        <v>96.9</v>
      </c>
      <c r="H1251">
        <v>2</v>
      </c>
      <c r="I1251">
        <v>99</v>
      </c>
      <c r="J1251">
        <v>99</v>
      </c>
      <c r="K1251">
        <v>99</v>
      </c>
    </row>
    <row r="1252" spans="1:11" x14ac:dyDescent="0.25">
      <c r="A1252" s="2">
        <v>2017</v>
      </c>
      <c r="B1252" s="2" t="s">
        <v>276</v>
      </c>
      <c r="C1252" t="s">
        <v>106</v>
      </c>
      <c r="D1252" s="1">
        <v>58222</v>
      </c>
      <c r="E1252" t="s">
        <v>16</v>
      </c>
      <c r="F1252" t="s">
        <v>11</v>
      </c>
      <c r="G1252">
        <v>87.5</v>
      </c>
      <c r="H1252">
        <v>2</v>
      </c>
      <c r="I1252">
        <v>37</v>
      </c>
      <c r="J1252">
        <v>29</v>
      </c>
      <c r="K1252">
        <v>29</v>
      </c>
    </row>
    <row r="1253" spans="1:11" x14ac:dyDescent="0.25">
      <c r="A1253" s="2">
        <v>2017</v>
      </c>
      <c r="B1253" s="2" t="s">
        <v>276</v>
      </c>
      <c r="C1253" t="s">
        <v>106</v>
      </c>
      <c r="D1253" s="1">
        <v>58222</v>
      </c>
      <c r="E1253" t="s">
        <v>16</v>
      </c>
      <c r="F1253" t="s">
        <v>9</v>
      </c>
      <c r="G1253">
        <v>100</v>
      </c>
      <c r="H1253">
        <v>2</v>
      </c>
      <c r="I1253">
        <v>99</v>
      </c>
      <c r="J1253">
        <v>99</v>
      </c>
      <c r="K1253">
        <v>99</v>
      </c>
    </row>
    <row r="1254" spans="1:11" x14ac:dyDescent="0.25">
      <c r="A1254" s="2">
        <v>2017</v>
      </c>
      <c r="B1254" s="2" t="s">
        <v>276</v>
      </c>
      <c r="C1254" t="s">
        <v>106</v>
      </c>
      <c r="D1254" s="1">
        <v>58222</v>
      </c>
      <c r="E1254" t="s">
        <v>16</v>
      </c>
      <c r="F1254" t="s">
        <v>8</v>
      </c>
      <c r="G1254">
        <v>100</v>
      </c>
      <c r="H1254">
        <v>2</v>
      </c>
      <c r="I1254">
        <v>99</v>
      </c>
      <c r="J1254">
        <v>99</v>
      </c>
      <c r="K1254">
        <v>99</v>
      </c>
    </row>
    <row r="1255" spans="1:11" x14ac:dyDescent="0.25">
      <c r="A1255" s="2">
        <v>2017</v>
      </c>
      <c r="B1255" s="2" t="s">
        <v>276</v>
      </c>
      <c r="C1255" t="s">
        <v>106</v>
      </c>
      <c r="D1255" s="1">
        <v>58222</v>
      </c>
      <c r="E1255" t="s">
        <v>16</v>
      </c>
      <c r="F1255" t="s">
        <v>10</v>
      </c>
      <c r="G1255">
        <v>100</v>
      </c>
      <c r="H1255">
        <v>2</v>
      </c>
      <c r="I1255">
        <v>99</v>
      </c>
      <c r="J1255">
        <v>99</v>
      </c>
      <c r="K1255">
        <v>99</v>
      </c>
    </row>
    <row r="1256" spans="1:11" x14ac:dyDescent="0.25">
      <c r="A1256" s="2">
        <v>2017</v>
      </c>
      <c r="B1256" s="2" t="s">
        <v>276</v>
      </c>
      <c r="C1256" t="s">
        <v>106</v>
      </c>
      <c r="D1256" s="1">
        <v>89391</v>
      </c>
      <c r="E1256" t="s">
        <v>27</v>
      </c>
      <c r="F1256" t="s">
        <v>12</v>
      </c>
      <c r="G1256">
        <v>75</v>
      </c>
      <c r="H1256">
        <v>8</v>
      </c>
      <c r="I1256">
        <v>46</v>
      </c>
      <c r="J1256">
        <v>15</v>
      </c>
      <c r="K1256">
        <v>20</v>
      </c>
    </row>
    <row r="1257" spans="1:11" x14ac:dyDescent="0.25">
      <c r="A1257" s="2">
        <v>2017</v>
      </c>
      <c r="B1257" s="2" t="s">
        <v>276</v>
      </c>
      <c r="C1257" t="s">
        <v>106</v>
      </c>
      <c r="D1257" s="1">
        <v>89391</v>
      </c>
      <c r="E1257" t="s">
        <v>27</v>
      </c>
      <c r="F1257" t="s">
        <v>7</v>
      </c>
      <c r="G1257">
        <v>88.3</v>
      </c>
      <c r="H1257">
        <v>8</v>
      </c>
      <c r="I1257">
        <v>83</v>
      </c>
      <c r="J1257">
        <v>65</v>
      </c>
      <c r="K1257">
        <v>61</v>
      </c>
    </row>
    <row r="1258" spans="1:11" x14ac:dyDescent="0.25">
      <c r="A1258" s="2">
        <v>2017</v>
      </c>
      <c r="B1258" s="2" t="s">
        <v>276</v>
      </c>
      <c r="C1258" t="s">
        <v>106</v>
      </c>
      <c r="D1258" s="1">
        <v>89391</v>
      </c>
      <c r="E1258" t="s">
        <v>27</v>
      </c>
      <c r="F1258" t="s">
        <v>11</v>
      </c>
      <c r="G1258">
        <v>90.6</v>
      </c>
      <c r="H1258">
        <v>8</v>
      </c>
      <c r="I1258">
        <v>82</v>
      </c>
      <c r="J1258">
        <v>66</v>
      </c>
      <c r="K1258">
        <v>63</v>
      </c>
    </row>
    <row r="1259" spans="1:11" x14ac:dyDescent="0.25">
      <c r="A1259" s="2">
        <v>2017</v>
      </c>
      <c r="B1259" s="2" t="s">
        <v>276</v>
      </c>
      <c r="C1259" t="s">
        <v>106</v>
      </c>
      <c r="D1259" s="1">
        <v>89391</v>
      </c>
      <c r="E1259" t="s">
        <v>27</v>
      </c>
      <c r="F1259" t="s">
        <v>9</v>
      </c>
      <c r="G1259">
        <v>90.6</v>
      </c>
      <c r="H1259">
        <v>8</v>
      </c>
      <c r="I1259">
        <v>97</v>
      </c>
      <c r="J1259">
        <v>84</v>
      </c>
      <c r="K1259">
        <v>79</v>
      </c>
    </row>
    <row r="1260" spans="1:11" x14ac:dyDescent="0.25">
      <c r="A1260" s="2">
        <v>2017</v>
      </c>
      <c r="B1260" s="2" t="s">
        <v>276</v>
      </c>
      <c r="C1260" t="s">
        <v>106</v>
      </c>
      <c r="D1260" s="1">
        <v>89391</v>
      </c>
      <c r="E1260" t="s">
        <v>27</v>
      </c>
      <c r="F1260" t="s">
        <v>8</v>
      </c>
      <c r="G1260">
        <v>87.5</v>
      </c>
      <c r="H1260">
        <v>8</v>
      </c>
      <c r="I1260">
        <v>89</v>
      </c>
      <c r="J1260">
        <v>69</v>
      </c>
      <c r="K1260">
        <v>63</v>
      </c>
    </row>
    <row r="1261" spans="1:11" x14ac:dyDescent="0.25">
      <c r="A1261" s="2">
        <v>2017</v>
      </c>
      <c r="B1261" s="2" t="s">
        <v>276</v>
      </c>
      <c r="C1261" t="s">
        <v>106</v>
      </c>
      <c r="D1261" s="1">
        <v>89391</v>
      </c>
      <c r="E1261" t="s">
        <v>27</v>
      </c>
      <c r="F1261" t="s">
        <v>10</v>
      </c>
      <c r="G1261">
        <v>84.4</v>
      </c>
      <c r="H1261">
        <v>8</v>
      </c>
      <c r="I1261">
        <v>50</v>
      </c>
      <c r="J1261">
        <v>38</v>
      </c>
      <c r="K1261">
        <v>34</v>
      </c>
    </row>
    <row r="1262" spans="1:11" x14ac:dyDescent="0.25">
      <c r="A1262" s="2">
        <v>2017</v>
      </c>
      <c r="B1262" s="2" t="s">
        <v>276</v>
      </c>
      <c r="C1262" t="s">
        <v>106</v>
      </c>
      <c r="D1262" s="1">
        <v>36541</v>
      </c>
      <c r="E1262" t="s">
        <v>21</v>
      </c>
      <c r="F1262" t="s">
        <v>12</v>
      </c>
      <c r="G1262">
        <v>77.8</v>
      </c>
      <c r="H1262">
        <v>9</v>
      </c>
      <c r="I1262">
        <v>53</v>
      </c>
      <c r="J1262">
        <v>23</v>
      </c>
      <c r="K1262">
        <v>30</v>
      </c>
    </row>
    <row r="1263" spans="1:11" x14ac:dyDescent="0.25">
      <c r="A1263" s="2">
        <v>2017</v>
      </c>
      <c r="B1263" s="2" t="s">
        <v>276</v>
      </c>
      <c r="C1263" t="s">
        <v>106</v>
      </c>
      <c r="D1263" s="1">
        <v>36541</v>
      </c>
      <c r="E1263" t="s">
        <v>21</v>
      </c>
      <c r="F1263" t="s">
        <v>7</v>
      </c>
      <c r="G1263">
        <v>88.2</v>
      </c>
      <c r="H1263">
        <v>9</v>
      </c>
      <c r="I1263">
        <v>81</v>
      </c>
      <c r="J1263">
        <v>65</v>
      </c>
      <c r="K1263">
        <v>60</v>
      </c>
    </row>
    <row r="1264" spans="1:11" x14ac:dyDescent="0.25">
      <c r="A1264" s="2">
        <v>2017</v>
      </c>
      <c r="B1264" s="2" t="s">
        <v>276</v>
      </c>
      <c r="C1264" t="s">
        <v>106</v>
      </c>
      <c r="D1264" s="1">
        <v>36541</v>
      </c>
      <c r="E1264" t="s">
        <v>21</v>
      </c>
      <c r="F1264" t="s">
        <v>11</v>
      </c>
      <c r="G1264">
        <v>91.7</v>
      </c>
      <c r="H1264">
        <v>9</v>
      </c>
      <c r="I1264">
        <v>93</v>
      </c>
      <c r="J1264">
        <v>79</v>
      </c>
      <c r="K1264">
        <v>74</v>
      </c>
    </row>
    <row r="1265" spans="1:11" x14ac:dyDescent="0.25">
      <c r="A1265" s="2">
        <v>2017</v>
      </c>
      <c r="B1265" s="2" t="s">
        <v>276</v>
      </c>
      <c r="C1265" t="s">
        <v>106</v>
      </c>
      <c r="D1265" s="1">
        <v>36541</v>
      </c>
      <c r="E1265" t="s">
        <v>21</v>
      </c>
      <c r="F1265" t="s">
        <v>9</v>
      </c>
      <c r="G1265">
        <v>88.9</v>
      </c>
      <c r="H1265">
        <v>9</v>
      </c>
      <c r="I1265">
        <v>85</v>
      </c>
      <c r="J1265">
        <v>65</v>
      </c>
      <c r="K1265">
        <v>65</v>
      </c>
    </row>
    <row r="1266" spans="1:11" x14ac:dyDescent="0.25">
      <c r="A1266" s="2">
        <v>2017</v>
      </c>
      <c r="B1266" s="2" t="s">
        <v>276</v>
      </c>
      <c r="C1266" t="s">
        <v>106</v>
      </c>
      <c r="D1266" s="1">
        <v>36541</v>
      </c>
      <c r="E1266" t="s">
        <v>21</v>
      </c>
      <c r="F1266" t="s">
        <v>8</v>
      </c>
      <c r="G1266">
        <v>87.5</v>
      </c>
      <c r="H1266">
        <v>8</v>
      </c>
      <c r="I1266">
        <v>89</v>
      </c>
      <c r="J1266">
        <v>69</v>
      </c>
      <c r="K1266">
        <v>63</v>
      </c>
    </row>
    <row r="1267" spans="1:11" x14ac:dyDescent="0.25">
      <c r="A1267" s="2">
        <v>2017</v>
      </c>
      <c r="B1267" s="2" t="s">
        <v>276</v>
      </c>
      <c r="C1267" t="s">
        <v>106</v>
      </c>
      <c r="D1267" s="1">
        <v>36541</v>
      </c>
      <c r="E1267" t="s">
        <v>21</v>
      </c>
      <c r="F1267" t="s">
        <v>10</v>
      </c>
      <c r="G1267">
        <v>83.3</v>
      </c>
      <c r="H1267">
        <v>9</v>
      </c>
      <c r="I1267">
        <v>36</v>
      </c>
      <c r="J1267">
        <v>28</v>
      </c>
      <c r="K1267">
        <v>26</v>
      </c>
    </row>
    <row r="1268" spans="1:11" x14ac:dyDescent="0.25">
      <c r="A1268" s="2">
        <v>2017</v>
      </c>
      <c r="B1268" s="2" t="s">
        <v>276</v>
      </c>
      <c r="C1268" t="s">
        <v>106</v>
      </c>
      <c r="D1268" s="1">
        <v>91405</v>
      </c>
      <c r="E1268" t="s">
        <v>39</v>
      </c>
      <c r="F1268" t="s">
        <v>12</v>
      </c>
      <c r="G1268">
        <v>95.8</v>
      </c>
      <c r="H1268">
        <v>6</v>
      </c>
      <c r="I1268">
        <v>99</v>
      </c>
      <c r="J1268">
        <v>99</v>
      </c>
      <c r="K1268">
        <v>99</v>
      </c>
    </row>
    <row r="1269" spans="1:11" x14ac:dyDescent="0.25">
      <c r="A1269" s="2">
        <v>2017</v>
      </c>
      <c r="B1269" s="2" t="s">
        <v>276</v>
      </c>
      <c r="C1269" t="s">
        <v>106</v>
      </c>
      <c r="D1269" s="1">
        <v>91405</v>
      </c>
      <c r="E1269" t="s">
        <v>39</v>
      </c>
      <c r="F1269" t="s">
        <v>7</v>
      </c>
      <c r="G1269">
        <v>81.3</v>
      </c>
      <c r="H1269">
        <v>6</v>
      </c>
      <c r="I1269">
        <v>13</v>
      </c>
      <c r="J1269">
        <v>7</v>
      </c>
      <c r="K1269">
        <v>10</v>
      </c>
    </row>
    <row r="1270" spans="1:11" x14ac:dyDescent="0.25">
      <c r="A1270" s="2">
        <v>2017</v>
      </c>
      <c r="B1270" s="2" t="s">
        <v>276</v>
      </c>
      <c r="C1270" t="s">
        <v>106</v>
      </c>
      <c r="D1270" s="1">
        <v>91405</v>
      </c>
      <c r="E1270" t="s">
        <v>39</v>
      </c>
      <c r="F1270" t="s">
        <v>11</v>
      </c>
      <c r="G1270">
        <v>83.3</v>
      </c>
      <c r="H1270">
        <v>6</v>
      </c>
      <c r="I1270">
        <v>8</v>
      </c>
      <c r="J1270">
        <v>5</v>
      </c>
      <c r="K1270">
        <v>7</v>
      </c>
    </row>
    <row r="1271" spans="1:11" x14ac:dyDescent="0.25">
      <c r="A1271" s="2">
        <v>2017</v>
      </c>
      <c r="B1271" s="2" t="s">
        <v>276</v>
      </c>
      <c r="C1271" t="s">
        <v>106</v>
      </c>
      <c r="D1271" s="1">
        <v>91405</v>
      </c>
      <c r="E1271" t="s">
        <v>39</v>
      </c>
      <c r="F1271" t="s">
        <v>9</v>
      </c>
      <c r="G1271">
        <v>83.3</v>
      </c>
      <c r="H1271">
        <v>6</v>
      </c>
      <c r="I1271">
        <v>22</v>
      </c>
      <c r="J1271">
        <v>16</v>
      </c>
      <c r="K1271">
        <v>17</v>
      </c>
    </row>
    <row r="1272" spans="1:11" x14ac:dyDescent="0.25">
      <c r="A1272" s="2">
        <v>2017</v>
      </c>
      <c r="B1272" s="2" t="s">
        <v>276</v>
      </c>
      <c r="C1272" t="s">
        <v>106</v>
      </c>
      <c r="D1272" s="1">
        <v>91405</v>
      </c>
      <c r="E1272" t="s">
        <v>39</v>
      </c>
      <c r="F1272" t="s">
        <v>8</v>
      </c>
      <c r="G1272">
        <v>79.2</v>
      </c>
      <c r="H1272">
        <v>6</v>
      </c>
      <c r="I1272">
        <v>13</v>
      </c>
      <c r="J1272">
        <v>7</v>
      </c>
      <c r="K1272">
        <v>8</v>
      </c>
    </row>
    <row r="1273" spans="1:11" x14ac:dyDescent="0.25">
      <c r="A1273" s="2">
        <v>2017</v>
      </c>
      <c r="B1273" s="2" t="s">
        <v>276</v>
      </c>
      <c r="C1273" t="s">
        <v>106</v>
      </c>
      <c r="D1273" s="1">
        <v>91405</v>
      </c>
      <c r="E1273" t="s">
        <v>39</v>
      </c>
      <c r="F1273" t="s">
        <v>10</v>
      </c>
      <c r="G1273">
        <v>79.2</v>
      </c>
      <c r="H1273">
        <v>6</v>
      </c>
      <c r="I1273">
        <v>13</v>
      </c>
      <c r="J1273">
        <v>6</v>
      </c>
      <c r="K1273">
        <v>8</v>
      </c>
    </row>
    <row r="1274" spans="1:11" x14ac:dyDescent="0.25">
      <c r="A1274" s="2">
        <v>2017</v>
      </c>
      <c r="B1274" s="2" t="s">
        <v>276</v>
      </c>
      <c r="C1274" t="s">
        <v>106</v>
      </c>
      <c r="D1274" s="1">
        <v>58321</v>
      </c>
      <c r="E1274" t="s">
        <v>40</v>
      </c>
      <c r="F1274" t="s">
        <v>12</v>
      </c>
      <c r="G1274">
        <v>69.400000000000006</v>
      </c>
      <c r="H1274">
        <v>9</v>
      </c>
      <c r="I1274">
        <v>21</v>
      </c>
      <c r="J1274">
        <v>6</v>
      </c>
      <c r="K1274">
        <v>7</v>
      </c>
    </row>
    <row r="1275" spans="1:11" x14ac:dyDescent="0.25">
      <c r="A1275" s="2">
        <v>2017</v>
      </c>
      <c r="B1275" s="2" t="s">
        <v>276</v>
      </c>
      <c r="C1275" t="s">
        <v>106</v>
      </c>
      <c r="D1275" s="1">
        <v>58321</v>
      </c>
      <c r="E1275" t="s">
        <v>40</v>
      </c>
      <c r="F1275" t="s">
        <v>7</v>
      </c>
      <c r="G1275">
        <v>93.1</v>
      </c>
      <c r="H1275">
        <v>10</v>
      </c>
      <c r="I1275">
        <v>99</v>
      </c>
      <c r="J1275">
        <v>99</v>
      </c>
      <c r="K1275">
        <v>93</v>
      </c>
    </row>
    <row r="1276" spans="1:11" x14ac:dyDescent="0.25">
      <c r="A1276" s="2">
        <v>2017</v>
      </c>
      <c r="B1276" s="2" t="s">
        <v>276</v>
      </c>
      <c r="C1276" t="s">
        <v>106</v>
      </c>
      <c r="D1276" s="1">
        <v>58321</v>
      </c>
      <c r="E1276" t="s">
        <v>40</v>
      </c>
      <c r="F1276" t="s">
        <v>11</v>
      </c>
      <c r="G1276">
        <v>97.2</v>
      </c>
      <c r="H1276">
        <v>9</v>
      </c>
      <c r="I1276">
        <v>99</v>
      </c>
      <c r="J1276">
        <v>99</v>
      </c>
      <c r="K1276">
        <v>99</v>
      </c>
    </row>
    <row r="1277" spans="1:11" x14ac:dyDescent="0.25">
      <c r="A1277" s="2">
        <v>2017</v>
      </c>
      <c r="B1277" s="2" t="s">
        <v>276</v>
      </c>
      <c r="C1277" t="s">
        <v>106</v>
      </c>
      <c r="D1277" s="1">
        <v>58321</v>
      </c>
      <c r="E1277" t="s">
        <v>40</v>
      </c>
      <c r="F1277" t="s">
        <v>9</v>
      </c>
      <c r="G1277">
        <v>95</v>
      </c>
      <c r="H1277">
        <v>10</v>
      </c>
      <c r="I1277">
        <v>99</v>
      </c>
      <c r="J1277">
        <v>99</v>
      </c>
      <c r="K1277">
        <v>96</v>
      </c>
    </row>
    <row r="1278" spans="1:11" x14ac:dyDescent="0.25">
      <c r="A1278" s="2">
        <v>2017</v>
      </c>
      <c r="B1278" s="2" t="s">
        <v>276</v>
      </c>
      <c r="C1278" t="s">
        <v>106</v>
      </c>
      <c r="D1278" s="1">
        <v>58321</v>
      </c>
      <c r="E1278" t="s">
        <v>40</v>
      </c>
      <c r="F1278" t="s">
        <v>8</v>
      </c>
      <c r="G1278">
        <v>90</v>
      </c>
      <c r="H1278">
        <v>10</v>
      </c>
      <c r="I1278">
        <v>99</v>
      </c>
      <c r="J1278">
        <v>91</v>
      </c>
      <c r="K1278">
        <v>83</v>
      </c>
    </row>
    <row r="1279" spans="1:11" x14ac:dyDescent="0.25">
      <c r="A1279" s="2">
        <v>2017</v>
      </c>
      <c r="B1279" s="2" t="s">
        <v>276</v>
      </c>
      <c r="C1279" t="s">
        <v>106</v>
      </c>
      <c r="D1279" s="1">
        <v>58321</v>
      </c>
      <c r="E1279" t="s">
        <v>40</v>
      </c>
      <c r="F1279" t="s">
        <v>10</v>
      </c>
      <c r="G1279">
        <v>90</v>
      </c>
      <c r="H1279">
        <v>10</v>
      </c>
      <c r="I1279">
        <v>99</v>
      </c>
      <c r="J1279">
        <v>89</v>
      </c>
      <c r="K1279">
        <v>81</v>
      </c>
    </row>
    <row r="1280" spans="1:11" x14ac:dyDescent="0.25">
      <c r="A1280" s="2">
        <v>2017</v>
      </c>
      <c r="B1280" s="2" t="s">
        <v>276</v>
      </c>
      <c r="C1280" t="s">
        <v>106</v>
      </c>
      <c r="D1280" s="1">
        <v>23994</v>
      </c>
      <c r="E1280" t="s">
        <v>31</v>
      </c>
      <c r="F1280" t="s">
        <v>12</v>
      </c>
      <c r="G1280">
        <v>50</v>
      </c>
      <c r="H1280">
        <v>7</v>
      </c>
      <c r="I1280">
        <v>1</v>
      </c>
      <c r="J1280">
        <v>1</v>
      </c>
      <c r="K1280">
        <v>1</v>
      </c>
    </row>
    <row r="1281" spans="1:11" x14ac:dyDescent="0.25">
      <c r="A1281" s="2">
        <v>2017</v>
      </c>
      <c r="B1281" s="2" t="s">
        <v>276</v>
      </c>
      <c r="C1281" t="s">
        <v>106</v>
      </c>
      <c r="D1281" s="1">
        <v>23994</v>
      </c>
      <c r="E1281" t="s">
        <v>31</v>
      </c>
      <c r="F1281" t="s">
        <v>7</v>
      </c>
      <c r="G1281">
        <v>69.599999999999994</v>
      </c>
      <c r="H1281">
        <v>7</v>
      </c>
      <c r="I1281">
        <v>1</v>
      </c>
      <c r="J1281">
        <v>1</v>
      </c>
      <c r="K1281">
        <v>1</v>
      </c>
    </row>
    <row r="1282" spans="1:11" x14ac:dyDescent="0.25">
      <c r="A1282" s="2">
        <v>2017</v>
      </c>
      <c r="B1282" s="2" t="s">
        <v>276</v>
      </c>
      <c r="C1282" t="s">
        <v>106</v>
      </c>
      <c r="D1282" s="1">
        <v>23994</v>
      </c>
      <c r="E1282" t="s">
        <v>31</v>
      </c>
      <c r="F1282" t="s">
        <v>11</v>
      </c>
      <c r="G1282">
        <v>71.400000000000006</v>
      </c>
      <c r="H1282">
        <v>7</v>
      </c>
      <c r="I1282">
        <v>1</v>
      </c>
      <c r="J1282">
        <v>1</v>
      </c>
      <c r="K1282">
        <v>1</v>
      </c>
    </row>
    <row r="1283" spans="1:11" x14ac:dyDescent="0.25">
      <c r="A1283" s="2">
        <v>2017</v>
      </c>
      <c r="B1283" s="2" t="s">
        <v>276</v>
      </c>
      <c r="C1283" t="s">
        <v>106</v>
      </c>
      <c r="D1283" s="1">
        <v>23994</v>
      </c>
      <c r="E1283" t="s">
        <v>31</v>
      </c>
      <c r="F1283" t="s">
        <v>9</v>
      </c>
      <c r="G1283">
        <v>75</v>
      </c>
      <c r="H1283">
        <v>7</v>
      </c>
      <c r="I1283">
        <v>1</v>
      </c>
      <c r="J1283">
        <v>1</v>
      </c>
      <c r="K1283">
        <v>1</v>
      </c>
    </row>
    <row r="1284" spans="1:11" x14ac:dyDescent="0.25">
      <c r="A1284" s="2">
        <v>2017</v>
      </c>
      <c r="B1284" s="2" t="s">
        <v>276</v>
      </c>
      <c r="C1284" t="s">
        <v>106</v>
      </c>
      <c r="D1284" s="1">
        <v>23994</v>
      </c>
      <c r="E1284" t="s">
        <v>31</v>
      </c>
      <c r="F1284" t="s">
        <v>8</v>
      </c>
      <c r="G1284">
        <v>64.3</v>
      </c>
      <c r="H1284">
        <v>7</v>
      </c>
      <c r="I1284">
        <v>1</v>
      </c>
      <c r="J1284">
        <v>1</v>
      </c>
      <c r="K1284">
        <v>1</v>
      </c>
    </row>
    <row r="1285" spans="1:11" x14ac:dyDescent="0.25">
      <c r="A1285" s="2">
        <v>2017</v>
      </c>
      <c r="B1285" s="2" t="s">
        <v>276</v>
      </c>
      <c r="C1285" t="s">
        <v>106</v>
      </c>
      <c r="D1285" s="1">
        <v>23994</v>
      </c>
      <c r="E1285" t="s">
        <v>31</v>
      </c>
      <c r="F1285" t="s">
        <v>10</v>
      </c>
      <c r="G1285">
        <v>67.900000000000006</v>
      </c>
      <c r="H1285">
        <v>7</v>
      </c>
      <c r="I1285">
        <v>1</v>
      </c>
      <c r="J1285">
        <v>1</v>
      </c>
      <c r="K1285">
        <v>1</v>
      </c>
    </row>
    <row r="1286" spans="1:11" x14ac:dyDescent="0.25">
      <c r="A1286" s="2">
        <v>2017</v>
      </c>
      <c r="B1286" s="2" t="s">
        <v>276</v>
      </c>
      <c r="C1286" t="s">
        <v>106</v>
      </c>
      <c r="D1286" s="1">
        <v>22673</v>
      </c>
      <c r="E1286" t="s">
        <v>17</v>
      </c>
      <c r="F1286" t="s">
        <v>12</v>
      </c>
      <c r="G1286">
        <v>78.900000000000006</v>
      </c>
      <c r="H1286">
        <v>13</v>
      </c>
      <c r="I1286">
        <v>63</v>
      </c>
      <c r="J1286">
        <v>27</v>
      </c>
      <c r="K1286">
        <v>35</v>
      </c>
    </row>
    <row r="1287" spans="1:11" x14ac:dyDescent="0.25">
      <c r="A1287" s="2">
        <v>2017</v>
      </c>
      <c r="B1287" s="2" t="s">
        <v>276</v>
      </c>
      <c r="C1287" t="s">
        <v>106</v>
      </c>
      <c r="D1287" s="1">
        <v>22673</v>
      </c>
      <c r="E1287" t="s">
        <v>17</v>
      </c>
      <c r="F1287" t="s">
        <v>7</v>
      </c>
      <c r="G1287">
        <v>72.099999999999994</v>
      </c>
      <c r="H1287">
        <v>13</v>
      </c>
      <c r="I1287">
        <v>1</v>
      </c>
      <c r="J1287">
        <v>1</v>
      </c>
      <c r="K1287">
        <v>1</v>
      </c>
    </row>
    <row r="1288" spans="1:11" x14ac:dyDescent="0.25">
      <c r="A1288" s="2">
        <v>2017</v>
      </c>
      <c r="B1288" s="2" t="s">
        <v>276</v>
      </c>
      <c r="C1288" t="s">
        <v>106</v>
      </c>
      <c r="D1288" s="1">
        <v>22673</v>
      </c>
      <c r="E1288" t="s">
        <v>17</v>
      </c>
      <c r="F1288" t="s">
        <v>11</v>
      </c>
      <c r="G1288">
        <v>78.900000000000006</v>
      </c>
      <c r="H1288">
        <v>13</v>
      </c>
      <c r="I1288">
        <v>2</v>
      </c>
      <c r="J1288">
        <v>1</v>
      </c>
      <c r="K1288">
        <v>2</v>
      </c>
    </row>
    <row r="1289" spans="1:11" x14ac:dyDescent="0.25">
      <c r="A1289" s="2">
        <v>2017</v>
      </c>
      <c r="B1289" s="2" t="s">
        <v>276</v>
      </c>
      <c r="C1289" t="s">
        <v>106</v>
      </c>
      <c r="D1289" s="1">
        <v>22673</v>
      </c>
      <c r="E1289" t="s">
        <v>17</v>
      </c>
      <c r="F1289" t="s">
        <v>9</v>
      </c>
      <c r="G1289">
        <v>70.8</v>
      </c>
      <c r="H1289">
        <v>12</v>
      </c>
      <c r="I1289">
        <v>1</v>
      </c>
      <c r="J1289">
        <v>1</v>
      </c>
      <c r="K1289">
        <v>1</v>
      </c>
    </row>
    <row r="1290" spans="1:11" x14ac:dyDescent="0.25">
      <c r="A1290" s="2">
        <v>2017</v>
      </c>
      <c r="B1290" s="2" t="s">
        <v>276</v>
      </c>
      <c r="C1290" t="s">
        <v>106</v>
      </c>
      <c r="D1290" s="1">
        <v>22673</v>
      </c>
      <c r="E1290" t="s">
        <v>17</v>
      </c>
      <c r="F1290" t="s">
        <v>8</v>
      </c>
      <c r="G1290">
        <v>69.2</v>
      </c>
      <c r="H1290">
        <v>13</v>
      </c>
      <c r="I1290">
        <v>1</v>
      </c>
      <c r="J1290">
        <v>1</v>
      </c>
      <c r="K1290">
        <v>1</v>
      </c>
    </row>
    <row r="1291" spans="1:11" x14ac:dyDescent="0.25">
      <c r="A1291" s="2">
        <v>2017</v>
      </c>
      <c r="B1291" s="2" t="s">
        <v>276</v>
      </c>
      <c r="C1291" t="s">
        <v>106</v>
      </c>
      <c r="D1291" s="1">
        <v>22673</v>
      </c>
      <c r="E1291" t="s">
        <v>17</v>
      </c>
      <c r="F1291" t="s">
        <v>10</v>
      </c>
      <c r="G1291">
        <v>67.3</v>
      </c>
      <c r="H1291">
        <v>13</v>
      </c>
      <c r="I1291">
        <v>1</v>
      </c>
      <c r="J1291">
        <v>1</v>
      </c>
      <c r="K1291">
        <v>1</v>
      </c>
    </row>
    <row r="1292" spans="1:11" x14ac:dyDescent="0.25">
      <c r="A1292" s="2">
        <v>2017</v>
      </c>
      <c r="B1292" s="2" t="s">
        <v>276</v>
      </c>
      <c r="C1292" t="s">
        <v>106</v>
      </c>
      <c r="D1292" s="1">
        <v>91397</v>
      </c>
      <c r="E1292" t="s">
        <v>41</v>
      </c>
      <c r="F1292" t="s">
        <v>12</v>
      </c>
      <c r="G1292">
        <v>75</v>
      </c>
      <c r="H1292">
        <v>7</v>
      </c>
      <c r="I1292">
        <v>46</v>
      </c>
      <c r="J1292">
        <v>15</v>
      </c>
      <c r="K1292">
        <v>20</v>
      </c>
    </row>
    <row r="1293" spans="1:11" x14ac:dyDescent="0.25">
      <c r="A1293" s="2">
        <v>2017</v>
      </c>
      <c r="B1293" s="2" t="s">
        <v>276</v>
      </c>
      <c r="C1293" t="s">
        <v>106</v>
      </c>
      <c r="D1293" s="1">
        <v>91397</v>
      </c>
      <c r="E1293" t="s">
        <v>41</v>
      </c>
      <c r="F1293" t="s">
        <v>7</v>
      </c>
      <c r="G1293">
        <v>83</v>
      </c>
      <c r="H1293">
        <v>7</v>
      </c>
      <c r="I1293">
        <v>22</v>
      </c>
      <c r="J1293">
        <v>16</v>
      </c>
      <c r="K1293">
        <v>16</v>
      </c>
    </row>
    <row r="1294" spans="1:11" x14ac:dyDescent="0.25">
      <c r="A1294" s="2">
        <v>2017</v>
      </c>
      <c r="B1294" s="2" t="s">
        <v>276</v>
      </c>
      <c r="C1294" t="s">
        <v>106</v>
      </c>
      <c r="D1294" s="1">
        <v>91397</v>
      </c>
      <c r="E1294" t="s">
        <v>41</v>
      </c>
      <c r="F1294" t="s">
        <v>11</v>
      </c>
      <c r="G1294">
        <v>85.7</v>
      </c>
      <c r="H1294">
        <v>7</v>
      </c>
      <c r="I1294">
        <v>22</v>
      </c>
      <c r="J1294">
        <v>12</v>
      </c>
      <c r="K1294">
        <v>16</v>
      </c>
    </row>
    <row r="1295" spans="1:11" x14ac:dyDescent="0.25">
      <c r="A1295" s="2">
        <v>2017</v>
      </c>
      <c r="B1295" s="2" t="s">
        <v>276</v>
      </c>
      <c r="C1295" t="s">
        <v>106</v>
      </c>
      <c r="D1295" s="1">
        <v>91397</v>
      </c>
      <c r="E1295" t="s">
        <v>41</v>
      </c>
      <c r="F1295" t="s">
        <v>9</v>
      </c>
      <c r="G1295">
        <v>82.1</v>
      </c>
      <c r="H1295">
        <v>7</v>
      </c>
      <c r="I1295">
        <v>13</v>
      </c>
      <c r="J1295">
        <v>7</v>
      </c>
      <c r="K1295">
        <v>11</v>
      </c>
    </row>
    <row r="1296" spans="1:11" x14ac:dyDescent="0.25">
      <c r="A1296" s="2">
        <v>2017</v>
      </c>
      <c r="B1296" s="2" t="s">
        <v>276</v>
      </c>
      <c r="C1296" t="s">
        <v>106</v>
      </c>
      <c r="D1296" s="1">
        <v>91397</v>
      </c>
      <c r="E1296" t="s">
        <v>41</v>
      </c>
      <c r="F1296" t="s">
        <v>8</v>
      </c>
      <c r="G1296">
        <v>82.1</v>
      </c>
      <c r="H1296">
        <v>7</v>
      </c>
      <c r="I1296">
        <v>30</v>
      </c>
      <c r="J1296">
        <v>21</v>
      </c>
      <c r="K1296">
        <v>20</v>
      </c>
    </row>
    <row r="1297" spans="1:11" x14ac:dyDescent="0.25">
      <c r="A1297" s="2">
        <v>2017</v>
      </c>
      <c r="B1297" s="2" t="s">
        <v>276</v>
      </c>
      <c r="C1297" t="s">
        <v>106</v>
      </c>
      <c r="D1297" s="1">
        <v>91397</v>
      </c>
      <c r="E1297" t="s">
        <v>41</v>
      </c>
      <c r="F1297" t="s">
        <v>10</v>
      </c>
      <c r="G1297">
        <v>82.1</v>
      </c>
      <c r="H1297">
        <v>7</v>
      </c>
      <c r="I1297">
        <v>27</v>
      </c>
      <c r="J1297">
        <v>20</v>
      </c>
      <c r="K1297">
        <v>19</v>
      </c>
    </row>
    <row r="1298" spans="1:11" x14ac:dyDescent="0.25">
      <c r="A1298" s="2">
        <v>2017</v>
      </c>
      <c r="B1298" s="2" t="s">
        <v>276</v>
      </c>
      <c r="C1298" t="s">
        <v>106</v>
      </c>
      <c r="D1298" s="1">
        <v>64022</v>
      </c>
      <c r="E1298" t="s">
        <v>37</v>
      </c>
      <c r="F1298" t="s">
        <v>12</v>
      </c>
      <c r="G1298">
        <v>63.3</v>
      </c>
      <c r="H1298">
        <v>15</v>
      </c>
      <c r="I1298">
        <v>6</v>
      </c>
      <c r="J1298">
        <v>3</v>
      </c>
      <c r="K1298">
        <v>2</v>
      </c>
    </row>
    <row r="1299" spans="1:11" x14ac:dyDescent="0.25">
      <c r="A1299" s="2">
        <v>2017</v>
      </c>
      <c r="B1299" s="2" t="s">
        <v>276</v>
      </c>
      <c r="C1299" t="s">
        <v>106</v>
      </c>
      <c r="D1299" s="1">
        <v>64022</v>
      </c>
      <c r="E1299" t="s">
        <v>37</v>
      </c>
      <c r="F1299" t="s">
        <v>7</v>
      </c>
      <c r="G1299">
        <v>83.3</v>
      </c>
      <c r="H1299">
        <v>15</v>
      </c>
      <c r="I1299">
        <v>24</v>
      </c>
      <c r="J1299">
        <v>17</v>
      </c>
      <c r="K1299">
        <v>18</v>
      </c>
    </row>
    <row r="1300" spans="1:11" x14ac:dyDescent="0.25">
      <c r="A1300" s="2">
        <v>2017</v>
      </c>
      <c r="B1300" s="2" t="s">
        <v>276</v>
      </c>
      <c r="C1300" t="s">
        <v>106</v>
      </c>
      <c r="D1300" s="1">
        <v>64022</v>
      </c>
      <c r="E1300" t="s">
        <v>37</v>
      </c>
      <c r="F1300" t="s">
        <v>11</v>
      </c>
      <c r="G1300">
        <v>85</v>
      </c>
      <c r="H1300">
        <v>15</v>
      </c>
      <c r="I1300">
        <v>19</v>
      </c>
      <c r="J1300">
        <v>7</v>
      </c>
      <c r="K1300">
        <v>13</v>
      </c>
    </row>
    <row r="1301" spans="1:11" x14ac:dyDescent="0.25">
      <c r="A1301" s="2">
        <v>2017</v>
      </c>
      <c r="B1301" s="2" t="s">
        <v>276</v>
      </c>
      <c r="C1301" t="s">
        <v>106</v>
      </c>
      <c r="D1301" s="1">
        <v>64022</v>
      </c>
      <c r="E1301" t="s">
        <v>37</v>
      </c>
      <c r="F1301" t="s">
        <v>9</v>
      </c>
      <c r="G1301">
        <v>86.7</v>
      </c>
      <c r="H1301">
        <v>15</v>
      </c>
      <c r="I1301">
        <v>53</v>
      </c>
      <c r="J1301">
        <v>46</v>
      </c>
      <c r="K1301">
        <v>41</v>
      </c>
    </row>
    <row r="1302" spans="1:11" x14ac:dyDescent="0.25">
      <c r="A1302" s="2">
        <v>2017</v>
      </c>
      <c r="B1302" s="2" t="s">
        <v>276</v>
      </c>
      <c r="C1302" t="s">
        <v>106</v>
      </c>
      <c r="D1302" s="1">
        <v>64022</v>
      </c>
      <c r="E1302" t="s">
        <v>37</v>
      </c>
      <c r="F1302" t="s">
        <v>8</v>
      </c>
      <c r="G1302">
        <v>80</v>
      </c>
      <c r="H1302">
        <v>15</v>
      </c>
      <c r="I1302">
        <v>18</v>
      </c>
      <c r="J1302">
        <v>7</v>
      </c>
      <c r="K1302">
        <v>11</v>
      </c>
    </row>
    <row r="1303" spans="1:11" x14ac:dyDescent="0.25">
      <c r="A1303" s="2">
        <v>2017</v>
      </c>
      <c r="B1303" s="2" t="s">
        <v>276</v>
      </c>
      <c r="C1303" t="s">
        <v>106</v>
      </c>
      <c r="D1303" s="1">
        <v>64022</v>
      </c>
      <c r="E1303" t="s">
        <v>37</v>
      </c>
      <c r="F1303" t="s">
        <v>10</v>
      </c>
      <c r="G1303">
        <v>81.7</v>
      </c>
      <c r="H1303">
        <v>15</v>
      </c>
      <c r="I1303">
        <v>25</v>
      </c>
      <c r="J1303">
        <v>17</v>
      </c>
      <c r="K1303">
        <v>17</v>
      </c>
    </row>
    <row r="1304" spans="1:11" x14ac:dyDescent="0.25">
      <c r="A1304" s="2">
        <v>2017</v>
      </c>
      <c r="B1304" s="2" t="s">
        <v>276</v>
      </c>
      <c r="C1304" t="s">
        <v>106</v>
      </c>
      <c r="D1304" s="1">
        <v>88963</v>
      </c>
      <c r="E1304" t="s">
        <v>34</v>
      </c>
      <c r="F1304" t="s">
        <v>12</v>
      </c>
      <c r="G1304">
        <v>84.4</v>
      </c>
      <c r="H1304">
        <v>8</v>
      </c>
      <c r="I1304">
        <v>96</v>
      </c>
      <c r="J1304">
        <v>66</v>
      </c>
      <c r="K1304">
        <v>67</v>
      </c>
    </row>
    <row r="1305" spans="1:11" x14ac:dyDescent="0.25">
      <c r="A1305" s="2">
        <v>2017</v>
      </c>
      <c r="B1305" s="2" t="s">
        <v>276</v>
      </c>
      <c r="C1305" t="s">
        <v>106</v>
      </c>
      <c r="D1305" s="1">
        <v>88963</v>
      </c>
      <c r="E1305" t="s">
        <v>34</v>
      </c>
      <c r="F1305" t="s">
        <v>7</v>
      </c>
      <c r="G1305">
        <v>89.1</v>
      </c>
      <c r="H1305">
        <v>8</v>
      </c>
      <c r="I1305">
        <v>92</v>
      </c>
      <c r="J1305">
        <v>75</v>
      </c>
      <c r="K1305">
        <v>69</v>
      </c>
    </row>
    <row r="1306" spans="1:11" x14ac:dyDescent="0.25">
      <c r="A1306" s="2">
        <v>2017</v>
      </c>
      <c r="B1306" s="2" t="s">
        <v>276</v>
      </c>
      <c r="C1306" t="s">
        <v>106</v>
      </c>
      <c r="D1306" s="1">
        <v>88963</v>
      </c>
      <c r="E1306" t="s">
        <v>34</v>
      </c>
      <c r="F1306" t="s">
        <v>11</v>
      </c>
      <c r="G1306">
        <v>96.9</v>
      </c>
      <c r="H1306">
        <v>8</v>
      </c>
      <c r="I1306">
        <v>99</v>
      </c>
      <c r="J1306">
        <v>99</v>
      </c>
      <c r="K1306">
        <v>98</v>
      </c>
    </row>
    <row r="1307" spans="1:11" x14ac:dyDescent="0.25">
      <c r="A1307" s="2">
        <v>2017</v>
      </c>
      <c r="B1307" s="2" t="s">
        <v>276</v>
      </c>
      <c r="C1307" t="s">
        <v>106</v>
      </c>
      <c r="D1307" s="1">
        <v>88963</v>
      </c>
      <c r="E1307" t="s">
        <v>34</v>
      </c>
      <c r="F1307" t="s">
        <v>9</v>
      </c>
      <c r="G1307">
        <v>84.4</v>
      </c>
      <c r="H1307">
        <v>8</v>
      </c>
      <c r="I1307">
        <v>28</v>
      </c>
      <c r="J1307">
        <v>23</v>
      </c>
      <c r="K1307">
        <v>22</v>
      </c>
    </row>
    <row r="1308" spans="1:11" x14ac:dyDescent="0.25">
      <c r="A1308" s="2">
        <v>2017</v>
      </c>
      <c r="B1308" s="2" t="s">
        <v>276</v>
      </c>
      <c r="C1308" t="s">
        <v>106</v>
      </c>
      <c r="D1308" s="1">
        <v>88963</v>
      </c>
      <c r="E1308" t="s">
        <v>34</v>
      </c>
      <c r="F1308" t="s">
        <v>8</v>
      </c>
      <c r="G1308">
        <v>84.4</v>
      </c>
      <c r="H1308">
        <v>8</v>
      </c>
      <c r="I1308">
        <v>48</v>
      </c>
      <c r="J1308">
        <v>41</v>
      </c>
      <c r="K1308">
        <v>35</v>
      </c>
    </row>
    <row r="1309" spans="1:11" x14ac:dyDescent="0.25">
      <c r="A1309" s="2">
        <v>2017</v>
      </c>
      <c r="B1309" s="2" t="s">
        <v>276</v>
      </c>
      <c r="C1309" t="s">
        <v>106</v>
      </c>
      <c r="D1309" s="1">
        <v>88963</v>
      </c>
      <c r="E1309" t="s">
        <v>34</v>
      </c>
      <c r="F1309" t="s">
        <v>10</v>
      </c>
      <c r="G1309">
        <v>91.7</v>
      </c>
      <c r="H1309">
        <v>6</v>
      </c>
      <c r="I1309">
        <v>99</v>
      </c>
      <c r="J1309">
        <v>98</v>
      </c>
      <c r="K1309">
        <v>90</v>
      </c>
    </row>
    <row r="1310" spans="1:11" x14ac:dyDescent="0.25">
      <c r="A1310" s="2">
        <v>2017</v>
      </c>
      <c r="B1310" s="2" t="s">
        <v>276</v>
      </c>
      <c r="C1310" t="s">
        <v>106</v>
      </c>
      <c r="D1310" s="1">
        <v>8888</v>
      </c>
      <c r="E1310" t="s">
        <v>226</v>
      </c>
      <c r="F1310" t="s">
        <v>12</v>
      </c>
      <c r="G1310">
        <v>64.599999999999994</v>
      </c>
      <c r="H1310">
        <v>12</v>
      </c>
      <c r="I1310">
        <v>7</v>
      </c>
      <c r="J1310">
        <v>3</v>
      </c>
      <c r="K1310">
        <v>2</v>
      </c>
    </row>
    <row r="1311" spans="1:11" x14ac:dyDescent="0.25">
      <c r="A1311" s="2">
        <v>2017</v>
      </c>
      <c r="B1311" s="2" t="s">
        <v>276</v>
      </c>
      <c r="C1311" t="s">
        <v>106</v>
      </c>
      <c r="D1311" s="1">
        <v>8888</v>
      </c>
      <c r="E1311" t="s">
        <v>226</v>
      </c>
      <c r="F1311" t="s">
        <v>7</v>
      </c>
      <c r="G1311">
        <v>78.7</v>
      </c>
      <c r="H1311">
        <v>12</v>
      </c>
      <c r="I1311">
        <v>4</v>
      </c>
      <c r="J1311">
        <v>3</v>
      </c>
      <c r="K1311">
        <v>4</v>
      </c>
    </row>
    <row r="1312" spans="1:11" x14ac:dyDescent="0.25">
      <c r="A1312" s="2">
        <v>2017</v>
      </c>
      <c r="B1312" s="2" t="s">
        <v>276</v>
      </c>
      <c r="C1312" t="s">
        <v>106</v>
      </c>
      <c r="D1312" s="1">
        <v>8888</v>
      </c>
      <c r="E1312" t="s">
        <v>226</v>
      </c>
      <c r="F1312" t="s">
        <v>11</v>
      </c>
      <c r="G1312">
        <v>87.5</v>
      </c>
      <c r="H1312">
        <v>12</v>
      </c>
      <c r="I1312">
        <v>37</v>
      </c>
      <c r="J1312">
        <v>29</v>
      </c>
      <c r="K1312">
        <v>29</v>
      </c>
    </row>
    <row r="1313" spans="1:11" x14ac:dyDescent="0.25">
      <c r="A1313" s="2">
        <v>2017</v>
      </c>
      <c r="B1313" s="2" t="s">
        <v>276</v>
      </c>
      <c r="C1313" t="s">
        <v>106</v>
      </c>
      <c r="D1313" s="1">
        <v>8888</v>
      </c>
      <c r="E1313" t="s">
        <v>226</v>
      </c>
      <c r="F1313" t="s">
        <v>9</v>
      </c>
      <c r="G1313">
        <v>75</v>
      </c>
      <c r="H1313">
        <v>12</v>
      </c>
      <c r="I1313">
        <v>1</v>
      </c>
      <c r="J1313">
        <v>1</v>
      </c>
      <c r="K1313">
        <v>1</v>
      </c>
    </row>
    <row r="1314" spans="1:11" x14ac:dyDescent="0.25">
      <c r="A1314" s="2">
        <v>2017</v>
      </c>
      <c r="B1314" s="2" t="s">
        <v>276</v>
      </c>
      <c r="C1314" t="s">
        <v>106</v>
      </c>
      <c r="D1314" s="1">
        <v>8888</v>
      </c>
      <c r="E1314" t="s">
        <v>226</v>
      </c>
      <c r="F1314" t="s">
        <v>8</v>
      </c>
      <c r="G1314">
        <v>77.099999999999994</v>
      </c>
      <c r="H1314">
        <v>12</v>
      </c>
      <c r="I1314">
        <v>6</v>
      </c>
      <c r="J1314">
        <v>4</v>
      </c>
      <c r="K1314">
        <v>4</v>
      </c>
    </row>
    <row r="1315" spans="1:11" x14ac:dyDescent="0.25">
      <c r="A1315" s="2">
        <v>2017</v>
      </c>
      <c r="B1315" s="2" t="s">
        <v>276</v>
      </c>
      <c r="C1315" t="s">
        <v>106</v>
      </c>
      <c r="D1315" s="1">
        <v>8888</v>
      </c>
      <c r="E1315" t="s">
        <v>226</v>
      </c>
      <c r="F1315" t="s">
        <v>10</v>
      </c>
      <c r="G1315">
        <v>75</v>
      </c>
      <c r="H1315">
        <v>12</v>
      </c>
      <c r="I1315">
        <v>3</v>
      </c>
      <c r="J1315">
        <v>2</v>
      </c>
      <c r="K1315">
        <v>2</v>
      </c>
    </row>
    <row r="1316" spans="1:11" x14ac:dyDescent="0.25">
      <c r="A1316" s="2">
        <v>2017</v>
      </c>
      <c r="B1316" s="2" t="s">
        <v>347</v>
      </c>
      <c r="C1316" t="s">
        <v>106</v>
      </c>
      <c r="D1316" s="1">
        <v>149344</v>
      </c>
      <c r="E1316" t="s">
        <v>35</v>
      </c>
      <c r="F1316" s="37" t="s">
        <v>7</v>
      </c>
      <c r="G1316" s="40">
        <v>100</v>
      </c>
      <c r="H1316" s="40">
        <v>3</v>
      </c>
      <c r="I1316" s="40">
        <v>99</v>
      </c>
      <c r="J1316" s="40">
        <v>99</v>
      </c>
      <c r="K1316" s="40">
        <v>99</v>
      </c>
    </row>
    <row r="1317" spans="1:11" x14ac:dyDescent="0.25">
      <c r="A1317" s="2">
        <v>2017</v>
      </c>
      <c r="B1317" s="2" t="s">
        <v>347</v>
      </c>
      <c r="C1317" t="s">
        <v>106</v>
      </c>
      <c r="D1317" s="1">
        <v>149344</v>
      </c>
      <c r="E1317" t="s">
        <v>35</v>
      </c>
      <c r="F1317" s="38" t="s">
        <v>8</v>
      </c>
      <c r="G1317" s="40">
        <v>100</v>
      </c>
      <c r="H1317" s="40">
        <v>3</v>
      </c>
      <c r="I1317" s="40">
        <v>99</v>
      </c>
      <c r="J1317" s="40">
        <v>99</v>
      </c>
      <c r="K1317" s="40">
        <v>99</v>
      </c>
    </row>
    <row r="1318" spans="1:11" x14ac:dyDescent="0.25">
      <c r="A1318" s="2">
        <v>2017</v>
      </c>
      <c r="B1318" s="2" t="s">
        <v>347</v>
      </c>
      <c r="C1318" t="s">
        <v>106</v>
      </c>
      <c r="D1318" s="1">
        <v>149344</v>
      </c>
      <c r="E1318" t="s">
        <v>35</v>
      </c>
      <c r="F1318" s="38" t="s">
        <v>9</v>
      </c>
      <c r="G1318" s="40">
        <v>100</v>
      </c>
      <c r="H1318" s="40">
        <v>3</v>
      </c>
      <c r="I1318" s="40">
        <v>99</v>
      </c>
      <c r="J1318" s="40">
        <v>99</v>
      </c>
      <c r="K1318" s="40">
        <v>99</v>
      </c>
    </row>
    <row r="1319" spans="1:11" x14ac:dyDescent="0.25">
      <c r="A1319" s="2">
        <v>2017</v>
      </c>
      <c r="B1319" s="2" t="s">
        <v>347</v>
      </c>
      <c r="C1319" t="s">
        <v>106</v>
      </c>
      <c r="D1319" s="1">
        <v>149344</v>
      </c>
      <c r="E1319" t="s">
        <v>35</v>
      </c>
      <c r="F1319" s="38" t="s">
        <v>10</v>
      </c>
      <c r="G1319" s="40">
        <v>100</v>
      </c>
      <c r="H1319" s="40">
        <v>3</v>
      </c>
      <c r="I1319" s="40">
        <v>99</v>
      </c>
      <c r="J1319" s="40">
        <v>99</v>
      </c>
      <c r="K1319" s="40">
        <v>99</v>
      </c>
    </row>
    <row r="1320" spans="1:11" x14ac:dyDescent="0.25">
      <c r="A1320" s="2">
        <v>2017</v>
      </c>
      <c r="B1320" s="2" t="s">
        <v>347</v>
      </c>
      <c r="C1320" t="s">
        <v>106</v>
      </c>
      <c r="D1320" s="1">
        <v>149344</v>
      </c>
      <c r="E1320" t="s">
        <v>35</v>
      </c>
      <c r="F1320" s="38" t="s">
        <v>11</v>
      </c>
      <c r="G1320" s="40">
        <v>100</v>
      </c>
      <c r="H1320" s="40">
        <v>3</v>
      </c>
      <c r="I1320" s="40">
        <v>99</v>
      </c>
      <c r="J1320" s="40">
        <v>99</v>
      </c>
      <c r="K1320" s="40">
        <v>99</v>
      </c>
    </row>
    <row r="1321" spans="1:11" x14ac:dyDescent="0.25">
      <c r="A1321" s="2">
        <v>2017</v>
      </c>
      <c r="B1321" s="2" t="s">
        <v>347</v>
      </c>
      <c r="C1321" t="s">
        <v>106</v>
      </c>
      <c r="D1321" s="1">
        <v>149344</v>
      </c>
      <c r="E1321" t="s">
        <v>35</v>
      </c>
      <c r="F1321" s="38" t="s">
        <v>12</v>
      </c>
      <c r="G1321" s="40">
        <v>83.3</v>
      </c>
      <c r="H1321" s="40">
        <v>3</v>
      </c>
      <c r="I1321" s="40">
        <v>89</v>
      </c>
      <c r="J1321" s="40">
        <v>65</v>
      </c>
      <c r="K1321" s="40">
        <v>60</v>
      </c>
    </row>
    <row r="1322" spans="1:11" x14ac:dyDescent="0.25">
      <c r="A1322" s="2">
        <v>2017</v>
      </c>
      <c r="B1322" s="2" t="s">
        <v>347</v>
      </c>
      <c r="C1322" t="s">
        <v>106</v>
      </c>
      <c r="D1322" s="1">
        <v>36541</v>
      </c>
      <c r="E1322" t="s">
        <v>21</v>
      </c>
      <c r="F1322" s="37" t="s">
        <v>7</v>
      </c>
      <c r="G1322" s="40">
        <v>100</v>
      </c>
      <c r="H1322" s="40">
        <v>6</v>
      </c>
      <c r="I1322" s="40">
        <v>99</v>
      </c>
      <c r="J1322" s="40">
        <v>99</v>
      </c>
      <c r="K1322" s="40">
        <v>99</v>
      </c>
    </row>
    <row r="1323" spans="1:11" x14ac:dyDescent="0.25">
      <c r="A1323" s="2">
        <v>2017</v>
      </c>
      <c r="B1323" s="2" t="s">
        <v>347</v>
      </c>
      <c r="C1323" t="s">
        <v>106</v>
      </c>
      <c r="D1323" s="1">
        <v>36541</v>
      </c>
      <c r="E1323" t="s">
        <v>21</v>
      </c>
      <c r="F1323" s="38" t="s">
        <v>8</v>
      </c>
      <c r="G1323" s="40">
        <v>100</v>
      </c>
      <c r="H1323" s="40">
        <v>6</v>
      </c>
      <c r="I1323" s="40">
        <v>99</v>
      </c>
      <c r="J1323" s="40">
        <v>99</v>
      </c>
      <c r="K1323" s="40">
        <v>99</v>
      </c>
    </row>
    <row r="1324" spans="1:11" x14ac:dyDescent="0.25">
      <c r="A1324" s="2">
        <v>2017</v>
      </c>
      <c r="B1324" s="2" t="s">
        <v>347</v>
      </c>
      <c r="C1324" t="s">
        <v>106</v>
      </c>
      <c r="D1324" s="1">
        <v>36541</v>
      </c>
      <c r="E1324" t="s">
        <v>21</v>
      </c>
      <c r="F1324" s="38" t="s">
        <v>9</v>
      </c>
      <c r="G1324" s="40">
        <v>100</v>
      </c>
      <c r="H1324" s="40">
        <v>6</v>
      </c>
      <c r="I1324" s="40">
        <v>99</v>
      </c>
      <c r="J1324" s="40">
        <v>99</v>
      </c>
      <c r="K1324" s="40">
        <v>99</v>
      </c>
    </row>
    <row r="1325" spans="1:11" x14ac:dyDescent="0.25">
      <c r="A1325" s="2">
        <v>2017</v>
      </c>
      <c r="B1325" s="2" t="s">
        <v>347</v>
      </c>
      <c r="C1325" t="s">
        <v>106</v>
      </c>
      <c r="D1325" s="1">
        <v>36541</v>
      </c>
      <c r="E1325" t="s">
        <v>21</v>
      </c>
      <c r="F1325" s="38" t="s">
        <v>10</v>
      </c>
      <c r="G1325" s="40">
        <v>100</v>
      </c>
      <c r="H1325" s="40">
        <v>6</v>
      </c>
      <c r="I1325" s="40">
        <v>99</v>
      </c>
      <c r="J1325" s="40">
        <v>99</v>
      </c>
      <c r="K1325" s="40">
        <v>99</v>
      </c>
    </row>
    <row r="1326" spans="1:11" x14ac:dyDescent="0.25">
      <c r="A1326" s="2">
        <v>2017</v>
      </c>
      <c r="B1326" s="2" t="s">
        <v>347</v>
      </c>
      <c r="C1326" t="s">
        <v>106</v>
      </c>
      <c r="D1326" s="1">
        <v>36541</v>
      </c>
      <c r="E1326" t="s">
        <v>21</v>
      </c>
      <c r="F1326" s="38" t="s">
        <v>11</v>
      </c>
      <c r="G1326" s="40">
        <v>100</v>
      </c>
      <c r="H1326" s="40">
        <v>6</v>
      </c>
      <c r="I1326" s="40">
        <v>99</v>
      </c>
      <c r="J1326" s="40">
        <v>99</v>
      </c>
      <c r="K1326" s="40">
        <v>99</v>
      </c>
    </row>
    <row r="1327" spans="1:11" x14ac:dyDescent="0.25">
      <c r="A1327" s="2">
        <v>2017</v>
      </c>
      <c r="B1327" s="2" t="s">
        <v>347</v>
      </c>
      <c r="C1327" t="s">
        <v>106</v>
      </c>
      <c r="D1327" s="1">
        <v>36541</v>
      </c>
      <c r="E1327" t="s">
        <v>21</v>
      </c>
      <c r="F1327" s="38" t="s">
        <v>12</v>
      </c>
      <c r="G1327" s="40">
        <v>95.8</v>
      </c>
      <c r="H1327" s="40">
        <v>6</v>
      </c>
      <c r="I1327" s="40">
        <v>99</v>
      </c>
      <c r="J1327" s="40">
        <v>99</v>
      </c>
      <c r="K1327" s="40">
        <v>99</v>
      </c>
    </row>
    <row r="1328" spans="1:11" x14ac:dyDescent="0.25">
      <c r="A1328" s="2">
        <v>2017</v>
      </c>
      <c r="B1328" s="2" t="s">
        <v>347</v>
      </c>
      <c r="C1328" t="s">
        <v>106</v>
      </c>
      <c r="D1328" s="1">
        <v>58222</v>
      </c>
      <c r="E1328" t="s">
        <v>16</v>
      </c>
      <c r="F1328" s="37" t="s">
        <v>7</v>
      </c>
      <c r="G1328" s="40">
        <v>95.8</v>
      </c>
      <c r="H1328" s="40">
        <v>3</v>
      </c>
      <c r="I1328" s="40">
        <v>99</v>
      </c>
      <c r="J1328" s="40">
        <v>99</v>
      </c>
      <c r="K1328" s="40">
        <v>98</v>
      </c>
    </row>
    <row r="1329" spans="1:11" x14ac:dyDescent="0.25">
      <c r="A1329" s="2">
        <v>2017</v>
      </c>
      <c r="B1329" s="2" t="s">
        <v>347</v>
      </c>
      <c r="C1329" t="s">
        <v>106</v>
      </c>
      <c r="D1329" s="1">
        <v>58222</v>
      </c>
      <c r="E1329" t="s">
        <v>16</v>
      </c>
      <c r="F1329" s="38" t="s">
        <v>8</v>
      </c>
      <c r="G1329" s="40">
        <v>91.7</v>
      </c>
      <c r="H1329" s="40">
        <v>3</v>
      </c>
      <c r="I1329" s="40">
        <v>99</v>
      </c>
      <c r="J1329" s="40">
        <v>97</v>
      </c>
      <c r="K1329" s="40">
        <v>90</v>
      </c>
    </row>
    <row r="1330" spans="1:11" x14ac:dyDescent="0.25">
      <c r="A1330" s="2">
        <v>2017</v>
      </c>
      <c r="B1330" s="2" t="s">
        <v>347</v>
      </c>
      <c r="C1330" t="s">
        <v>106</v>
      </c>
      <c r="D1330" s="1">
        <v>58222</v>
      </c>
      <c r="E1330" t="s">
        <v>16</v>
      </c>
      <c r="F1330" s="38" t="s">
        <v>9</v>
      </c>
      <c r="G1330" s="40">
        <v>100</v>
      </c>
      <c r="H1330" s="40">
        <v>3</v>
      </c>
      <c r="I1330" s="40">
        <v>99</v>
      </c>
      <c r="J1330" s="40">
        <v>99</v>
      </c>
      <c r="K1330" s="40">
        <v>99</v>
      </c>
    </row>
    <row r="1331" spans="1:11" x14ac:dyDescent="0.25">
      <c r="A1331" s="2">
        <v>2017</v>
      </c>
      <c r="B1331" s="2" t="s">
        <v>347</v>
      </c>
      <c r="C1331" t="s">
        <v>106</v>
      </c>
      <c r="D1331" s="1">
        <v>58222</v>
      </c>
      <c r="E1331" t="s">
        <v>16</v>
      </c>
      <c r="F1331" s="38" t="s">
        <v>10</v>
      </c>
      <c r="G1331" s="40">
        <v>91.7</v>
      </c>
      <c r="H1331" s="40">
        <v>3</v>
      </c>
      <c r="I1331" s="40">
        <v>99</v>
      </c>
      <c r="J1331" s="40">
        <v>97</v>
      </c>
      <c r="K1331" s="40">
        <v>90</v>
      </c>
    </row>
    <row r="1332" spans="1:11" x14ac:dyDescent="0.25">
      <c r="A1332" s="2">
        <v>2017</v>
      </c>
      <c r="B1332" s="2" t="s">
        <v>347</v>
      </c>
      <c r="C1332" t="s">
        <v>106</v>
      </c>
      <c r="D1332" s="1">
        <v>58222</v>
      </c>
      <c r="E1332" t="s">
        <v>16</v>
      </c>
      <c r="F1332" s="38" t="s">
        <v>11</v>
      </c>
      <c r="G1332" s="40">
        <v>100</v>
      </c>
      <c r="H1332" s="40">
        <v>3</v>
      </c>
      <c r="I1332" s="40">
        <v>99</v>
      </c>
      <c r="J1332" s="40">
        <v>99</v>
      </c>
      <c r="K1332" s="40">
        <v>99</v>
      </c>
    </row>
    <row r="1333" spans="1:11" x14ac:dyDescent="0.25">
      <c r="A1333" s="2">
        <v>2017</v>
      </c>
      <c r="B1333" s="2" t="s">
        <v>347</v>
      </c>
      <c r="C1333" t="s">
        <v>106</v>
      </c>
      <c r="D1333" s="1">
        <v>58222</v>
      </c>
      <c r="E1333" t="s">
        <v>16</v>
      </c>
      <c r="F1333" s="38" t="s">
        <v>12</v>
      </c>
      <c r="G1333" s="40">
        <v>91.7</v>
      </c>
      <c r="H1333" s="40">
        <v>3</v>
      </c>
      <c r="I1333" s="40">
        <v>99</v>
      </c>
      <c r="J1333" s="40">
        <v>99</v>
      </c>
      <c r="K1333" s="40">
        <v>94</v>
      </c>
    </row>
    <row r="1334" spans="1:11" x14ac:dyDescent="0.25">
      <c r="A1334" s="2">
        <v>2017</v>
      </c>
      <c r="B1334" s="2" t="s">
        <v>347</v>
      </c>
      <c r="C1334" t="s">
        <v>106</v>
      </c>
      <c r="D1334" s="1">
        <v>114603</v>
      </c>
      <c r="E1334" t="s">
        <v>36</v>
      </c>
      <c r="F1334" s="37" t="s">
        <v>7</v>
      </c>
      <c r="G1334" s="40">
        <v>90.6</v>
      </c>
      <c r="H1334" s="40">
        <v>2</v>
      </c>
      <c r="I1334" s="40">
        <v>97</v>
      </c>
      <c r="J1334" s="40">
        <v>89</v>
      </c>
      <c r="K1334" s="40">
        <v>81</v>
      </c>
    </row>
    <row r="1335" spans="1:11" x14ac:dyDescent="0.25">
      <c r="A1335" s="2">
        <v>2017</v>
      </c>
      <c r="B1335" s="2" t="s">
        <v>347</v>
      </c>
      <c r="C1335" t="s">
        <v>106</v>
      </c>
      <c r="D1335" s="1">
        <v>114603</v>
      </c>
      <c r="E1335" t="s">
        <v>36</v>
      </c>
      <c r="F1335" s="38" t="s">
        <v>8</v>
      </c>
      <c r="G1335" s="40">
        <v>100</v>
      </c>
      <c r="H1335" s="40">
        <v>2</v>
      </c>
      <c r="I1335" s="40">
        <v>99</v>
      </c>
      <c r="J1335" s="40">
        <v>99</v>
      </c>
      <c r="K1335" s="40">
        <v>99</v>
      </c>
    </row>
    <row r="1336" spans="1:11" x14ac:dyDescent="0.25">
      <c r="A1336" s="2">
        <v>2017</v>
      </c>
      <c r="B1336" s="2" t="s">
        <v>347</v>
      </c>
      <c r="C1336" t="s">
        <v>106</v>
      </c>
      <c r="D1336" s="1">
        <v>114603</v>
      </c>
      <c r="E1336" t="s">
        <v>36</v>
      </c>
      <c r="F1336" s="38" t="s">
        <v>9</v>
      </c>
      <c r="G1336" s="40">
        <v>87.5</v>
      </c>
      <c r="H1336" s="40">
        <v>2</v>
      </c>
      <c r="I1336" s="40">
        <v>67</v>
      </c>
      <c r="J1336" s="40">
        <v>58</v>
      </c>
      <c r="K1336" s="40">
        <v>51</v>
      </c>
    </row>
    <row r="1337" spans="1:11" x14ac:dyDescent="0.25">
      <c r="A1337" s="2">
        <v>2017</v>
      </c>
      <c r="B1337" s="2" t="s">
        <v>347</v>
      </c>
      <c r="C1337" t="s">
        <v>106</v>
      </c>
      <c r="D1337" s="1">
        <v>114603</v>
      </c>
      <c r="E1337" t="s">
        <v>36</v>
      </c>
      <c r="F1337" s="38" t="s">
        <v>10</v>
      </c>
      <c r="G1337" s="40">
        <v>87.5</v>
      </c>
      <c r="H1337" s="40">
        <v>2</v>
      </c>
      <c r="I1337" s="40">
        <v>86</v>
      </c>
      <c r="J1337" s="40">
        <v>72</v>
      </c>
      <c r="K1337" s="40">
        <v>63</v>
      </c>
    </row>
    <row r="1338" spans="1:11" x14ac:dyDescent="0.25">
      <c r="A1338" s="2">
        <v>2017</v>
      </c>
      <c r="B1338" s="2" t="s">
        <v>347</v>
      </c>
      <c r="C1338" t="s">
        <v>106</v>
      </c>
      <c r="D1338" s="1">
        <v>114603</v>
      </c>
      <c r="E1338" t="s">
        <v>36</v>
      </c>
      <c r="F1338" s="38" t="s">
        <v>11</v>
      </c>
      <c r="G1338" s="40">
        <v>87.5</v>
      </c>
      <c r="H1338" s="40">
        <v>2</v>
      </c>
      <c r="I1338" s="40">
        <v>50</v>
      </c>
      <c r="J1338" s="40">
        <v>29</v>
      </c>
      <c r="K1338" s="40">
        <v>30</v>
      </c>
    </row>
    <row r="1339" spans="1:11" x14ac:dyDescent="0.25">
      <c r="A1339" s="2">
        <v>2017</v>
      </c>
      <c r="B1339" s="2" t="s">
        <v>347</v>
      </c>
      <c r="C1339" t="s">
        <v>106</v>
      </c>
      <c r="D1339" s="1">
        <v>114603</v>
      </c>
      <c r="E1339" t="s">
        <v>36</v>
      </c>
      <c r="F1339" s="38" t="s">
        <v>12</v>
      </c>
      <c r="G1339" s="40">
        <v>37.5</v>
      </c>
      <c r="H1339" s="40">
        <v>2</v>
      </c>
      <c r="I1339" s="40">
        <v>1</v>
      </c>
      <c r="J1339" s="40">
        <v>1</v>
      </c>
      <c r="K1339" s="40">
        <v>1</v>
      </c>
    </row>
    <row r="1340" spans="1:11" x14ac:dyDescent="0.25">
      <c r="A1340" s="2">
        <v>2017</v>
      </c>
      <c r="B1340" s="2" t="s">
        <v>347</v>
      </c>
      <c r="C1340" t="s">
        <v>106</v>
      </c>
      <c r="D1340" s="1">
        <v>22673</v>
      </c>
      <c r="E1340" t="s">
        <v>17</v>
      </c>
      <c r="F1340" s="37" t="s">
        <v>7</v>
      </c>
      <c r="G1340" s="40">
        <v>96.4</v>
      </c>
      <c r="H1340" s="40">
        <v>12</v>
      </c>
      <c r="I1340" s="40">
        <v>99</v>
      </c>
      <c r="J1340" s="40">
        <v>99</v>
      </c>
      <c r="K1340" s="40">
        <v>99</v>
      </c>
    </row>
    <row r="1341" spans="1:11" x14ac:dyDescent="0.25">
      <c r="A1341" s="2">
        <v>2017</v>
      </c>
      <c r="B1341" s="2" t="s">
        <v>347</v>
      </c>
      <c r="C1341" t="s">
        <v>106</v>
      </c>
      <c r="D1341" s="1">
        <v>22673</v>
      </c>
      <c r="E1341" t="s">
        <v>17</v>
      </c>
      <c r="F1341" s="38" t="s">
        <v>8</v>
      </c>
      <c r="G1341" s="40">
        <v>95.8</v>
      </c>
      <c r="H1341" s="40">
        <v>12</v>
      </c>
      <c r="I1341" s="40">
        <v>99</v>
      </c>
      <c r="J1341" s="40">
        <v>99</v>
      </c>
      <c r="K1341" s="40">
        <v>99</v>
      </c>
    </row>
    <row r="1342" spans="1:11" x14ac:dyDescent="0.25">
      <c r="A1342" s="2">
        <v>2017</v>
      </c>
      <c r="B1342" s="2" t="s">
        <v>347</v>
      </c>
      <c r="C1342" t="s">
        <v>106</v>
      </c>
      <c r="D1342" s="1">
        <v>22673</v>
      </c>
      <c r="E1342" t="s">
        <v>17</v>
      </c>
      <c r="F1342" s="38" t="s">
        <v>9</v>
      </c>
      <c r="G1342" s="40">
        <v>95.8</v>
      </c>
      <c r="H1342" s="40">
        <v>12</v>
      </c>
      <c r="I1342" s="40">
        <v>99</v>
      </c>
      <c r="J1342" s="40">
        <v>99</v>
      </c>
      <c r="K1342" s="40">
        <v>98</v>
      </c>
    </row>
    <row r="1343" spans="1:11" x14ac:dyDescent="0.25">
      <c r="A1343" s="2">
        <v>2017</v>
      </c>
      <c r="B1343" s="2" t="s">
        <v>347</v>
      </c>
      <c r="C1343" t="s">
        <v>106</v>
      </c>
      <c r="D1343" s="1">
        <v>22673</v>
      </c>
      <c r="E1343" t="s">
        <v>17</v>
      </c>
      <c r="F1343" s="38" t="s">
        <v>10</v>
      </c>
      <c r="G1343" s="40">
        <v>93.8</v>
      </c>
      <c r="H1343" s="40">
        <v>12</v>
      </c>
      <c r="I1343" s="40">
        <v>99</v>
      </c>
      <c r="J1343" s="40">
        <v>99</v>
      </c>
      <c r="K1343" s="40">
        <v>96</v>
      </c>
    </row>
    <row r="1344" spans="1:11" x14ac:dyDescent="0.25">
      <c r="A1344" s="2">
        <v>2017</v>
      </c>
      <c r="B1344" s="2" t="s">
        <v>347</v>
      </c>
      <c r="C1344" t="s">
        <v>106</v>
      </c>
      <c r="D1344" s="1">
        <v>22673</v>
      </c>
      <c r="E1344" t="s">
        <v>17</v>
      </c>
      <c r="F1344" s="38" t="s">
        <v>11</v>
      </c>
      <c r="G1344" s="40">
        <v>100</v>
      </c>
      <c r="H1344" s="40">
        <v>12</v>
      </c>
      <c r="I1344" s="40">
        <v>99</v>
      </c>
      <c r="J1344" s="40">
        <v>99</v>
      </c>
      <c r="K1344" s="40">
        <v>99</v>
      </c>
    </row>
    <row r="1345" spans="1:11" x14ac:dyDescent="0.25">
      <c r="A1345" s="2">
        <v>2017</v>
      </c>
      <c r="B1345" s="2" t="s">
        <v>347</v>
      </c>
      <c r="C1345" t="s">
        <v>106</v>
      </c>
      <c r="D1345" s="1">
        <v>22673</v>
      </c>
      <c r="E1345" t="s">
        <v>17</v>
      </c>
      <c r="F1345" s="38" t="s">
        <v>12</v>
      </c>
      <c r="G1345" s="40">
        <v>83.3</v>
      </c>
      <c r="H1345" s="40">
        <v>12</v>
      </c>
      <c r="I1345" s="40">
        <v>89</v>
      </c>
      <c r="J1345" s="40">
        <v>65</v>
      </c>
      <c r="K1345" s="40">
        <v>60</v>
      </c>
    </row>
    <row r="1346" spans="1:11" x14ac:dyDescent="0.25">
      <c r="A1346" s="2">
        <v>2017</v>
      </c>
      <c r="B1346" s="2" t="s">
        <v>347</v>
      </c>
      <c r="C1346" t="s">
        <v>106</v>
      </c>
      <c r="D1346" s="1">
        <v>117440</v>
      </c>
      <c r="E1346" t="s">
        <v>32</v>
      </c>
      <c r="F1346" s="37" t="s">
        <v>7</v>
      </c>
      <c r="G1346" s="40">
        <v>100</v>
      </c>
      <c r="H1346" s="40">
        <v>7</v>
      </c>
      <c r="I1346" s="40">
        <v>99</v>
      </c>
      <c r="J1346" s="40">
        <v>99</v>
      </c>
      <c r="K1346" s="40">
        <v>99</v>
      </c>
    </row>
    <row r="1347" spans="1:11" x14ac:dyDescent="0.25">
      <c r="A1347" s="2">
        <v>2017</v>
      </c>
      <c r="B1347" s="2" t="s">
        <v>347</v>
      </c>
      <c r="C1347" t="s">
        <v>106</v>
      </c>
      <c r="D1347" s="1">
        <v>117440</v>
      </c>
      <c r="E1347" t="s">
        <v>32</v>
      </c>
      <c r="F1347" s="38" t="s">
        <v>8</v>
      </c>
      <c r="G1347" s="40">
        <v>100</v>
      </c>
      <c r="H1347" s="40">
        <v>7</v>
      </c>
      <c r="I1347" s="40">
        <v>99</v>
      </c>
      <c r="J1347" s="40">
        <v>99</v>
      </c>
      <c r="K1347" s="40">
        <v>99</v>
      </c>
    </row>
    <row r="1348" spans="1:11" x14ac:dyDescent="0.25">
      <c r="A1348" s="2">
        <v>2017</v>
      </c>
      <c r="B1348" s="2" t="s">
        <v>347</v>
      </c>
      <c r="C1348" t="s">
        <v>106</v>
      </c>
      <c r="D1348" s="1">
        <v>117440</v>
      </c>
      <c r="E1348" t="s">
        <v>32</v>
      </c>
      <c r="F1348" s="38" t="s">
        <v>9</v>
      </c>
      <c r="G1348" s="40">
        <v>100</v>
      </c>
      <c r="H1348" s="40">
        <v>7</v>
      </c>
      <c r="I1348" s="40">
        <v>99</v>
      </c>
      <c r="J1348" s="40">
        <v>99</v>
      </c>
      <c r="K1348" s="40">
        <v>99</v>
      </c>
    </row>
    <row r="1349" spans="1:11" x14ac:dyDescent="0.25">
      <c r="A1349" s="2">
        <v>2017</v>
      </c>
      <c r="B1349" s="2" t="s">
        <v>347</v>
      </c>
      <c r="C1349" t="s">
        <v>106</v>
      </c>
      <c r="D1349" s="1">
        <v>117440</v>
      </c>
      <c r="E1349" t="s">
        <v>32</v>
      </c>
      <c r="F1349" s="38" t="s">
        <v>10</v>
      </c>
      <c r="G1349" s="40">
        <v>100</v>
      </c>
      <c r="H1349" s="40">
        <v>6</v>
      </c>
      <c r="I1349" s="40">
        <v>99</v>
      </c>
      <c r="J1349" s="40">
        <v>99</v>
      </c>
      <c r="K1349" s="40">
        <v>99</v>
      </c>
    </row>
    <row r="1350" spans="1:11" x14ac:dyDescent="0.25">
      <c r="A1350" s="2">
        <v>2017</v>
      </c>
      <c r="B1350" s="2" t="s">
        <v>347</v>
      </c>
      <c r="C1350" t="s">
        <v>106</v>
      </c>
      <c r="D1350" s="1">
        <v>117440</v>
      </c>
      <c r="E1350" t="s">
        <v>32</v>
      </c>
      <c r="F1350" s="38" t="s">
        <v>11</v>
      </c>
      <c r="G1350" s="40">
        <v>100</v>
      </c>
      <c r="H1350" s="40">
        <v>7</v>
      </c>
      <c r="I1350" s="40">
        <v>99</v>
      </c>
      <c r="J1350" s="40">
        <v>99</v>
      </c>
      <c r="K1350" s="40">
        <v>99</v>
      </c>
    </row>
    <row r="1351" spans="1:11" x14ac:dyDescent="0.25">
      <c r="A1351" s="2">
        <v>2017</v>
      </c>
      <c r="B1351" s="2" t="s">
        <v>347</v>
      </c>
      <c r="C1351" t="s">
        <v>106</v>
      </c>
      <c r="D1351" s="1">
        <v>117440</v>
      </c>
      <c r="E1351" t="s">
        <v>32</v>
      </c>
      <c r="F1351" s="38" t="s">
        <v>12</v>
      </c>
      <c r="G1351" s="40">
        <v>67.900000000000006</v>
      </c>
      <c r="H1351" s="40">
        <v>7</v>
      </c>
      <c r="I1351" s="40">
        <v>18</v>
      </c>
      <c r="J1351" s="40">
        <v>5</v>
      </c>
      <c r="K1351" s="40">
        <v>4</v>
      </c>
    </row>
    <row r="1352" spans="1:11" x14ac:dyDescent="0.25">
      <c r="A1352" s="2">
        <v>2017</v>
      </c>
      <c r="B1352" s="2" t="s">
        <v>347</v>
      </c>
      <c r="C1352" t="s">
        <v>106</v>
      </c>
      <c r="D1352" s="1">
        <v>64022</v>
      </c>
      <c r="E1352" t="s">
        <v>37</v>
      </c>
      <c r="F1352" s="37" t="s">
        <v>7</v>
      </c>
      <c r="G1352" s="40">
        <v>100</v>
      </c>
      <c r="H1352" s="40">
        <v>1</v>
      </c>
      <c r="I1352" s="40">
        <v>99</v>
      </c>
      <c r="J1352" s="40">
        <v>99</v>
      </c>
      <c r="K1352" s="40">
        <v>99</v>
      </c>
    </row>
    <row r="1353" spans="1:11" x14ac:dyDescent="0.25">
      <c r="A1353" s="2">
        <v>2017</v>
      </c>
      <c r="B1353" s="2" t="s">
        <v>347</v>
      </c>
      <c r="C1353" t="s">
        <v>106</v>
      </c>
      <c r="D1353" s="1">
        <v>64022</v>
      </c>
      <c r="E1353" t="s">
        <v>37</v>
      </c>
      <c r="F1353" s="38" t="s">
        <v>8</v>
      </c>
      <c r="G1353" s="40">
        <v>100</v>
      </c>
      <c r="H1353" s="40">
        <v>1</v>
      </c>
      <c r="I1353" s="40">
        <v>99</v>
      </c>
      <c r="J1353" s="40">
        <v>99</v>
      </c>
      <c r="K1353" s="40">
        <v>99</v>
      </c>
    </row>
    <row r="1354" spans="1:11" x14ac:dyDescent="0.25">
      <c r="A1354" s="2">
        <v>2017</v>
      </c>
      <c r="B1354" s="2" t="s">
        <v>347</v>
      </c>
      <c r="C1354" t="s">
        <v>106</v>
      </c>
      <c r="D1354" s="1">
        <v>64022</v>
      </c>
      <c r="E1354" t="s">
        <v>37</v>
      </c>
      <c r="F1354" s="38" t="s">
        <v>9</v>
      </c>
      <c r="G1354" s="40">
        <v>100</v>
      </c>
      <c r="H1354" s="40">
        <v>1</v>
      </c>
      <c r="I1354" s="40">
        <v>99</v>
      </c>
      <c r="J1354" s="40">
        <v>99</v>
      </c>
      <c r="K1354" s="40">
        <v>99</v>
      </c>
    </row>
    <row r="1355" spans="1:11" x14ac:dyDescent="0.25">
      <c r="A1355" s="2">
        <v>2017</v>
      </c>
      <c r="B1355" s="2" t="s">
        <v>347</v>
      </c>
      <c r="C1355" t="s">
        <v>106</v>
      </c>
      <c r="D1355" s="1">
        <v>64022</v>
      </c>
      <c r="E1355" t="s">
        <v>37</v>
      </c>
      <c r="F1355" s="38" t="s">
        <v>10</v>
      </c>
      <c r="G1355" s="40">
        <v>100</v>
      </c>
      <c r="H1355" s="40">
        <v>1</v>
      </c>
      <c r="I1355" s="40">
        <v>99</v>
      </c>
      <c r="J1355" s="40">
        <v>99</v>
      </c>
      <c r="K1355" s="40">
        <v>99</v>
      </c>
    </row>
    <row r="1356" spans="1:11" x14ac:dyDescent="0.25">
      <c r="A1356" s="2">
        <v>2017</v>
      </c>
      <c r="B1356" s="2" t="s">
        <v>347</v>
      </c>
      <c r="C1356" t="s">
        <v>106</v>
      </c>
      <c r="D1356" s="1">
        <v>64022</v>
      </c>
      <c r="E1356" t="s">
        <v>37</v>
      </c>
      <c r="F1356" s="38" t="s">
        <v>11</v>
      </c>
      <c r="G1356" s="40">
        <v>100</v>
      </c>
      <c r="H1356" s="40">
        <v>1</v>
      </c>
      <c r="I1356" s="40">
        <v>99</v>
      </c>
      <c r="J1356" s="40">
        <v>99</v>
      </c>
      <c r="K1356" s="40">
        <v>99</v>
      </c>
    </row>
    <row r="1357" spans="1:11" x14ac:dyDescent="0.25">
      <c r="A1357" s="2">
        <v>2017</v>
      </c>
      <c r="B1357" s="2" t="s">
        <v>347</v>
      </c>
      <c r="C1357" t="s">
        <v>106</v>
      </c>
      <c r="D1357" s="1">
        <v>64022</v>
      </c>
      <c r="E1357" t="s">
        <v>37</v>
      </c>
      <c r="F1357" s="38" t="s">
        <v>12</v>
      </c>
      <c r="G1357" s="40">
        <v>100</v>
      </c>
      <c r="H1357" s="40">
        <v>1</v>
      </c>
      <c r="I1357" s="40">
        <v>99</v>
      </c>
      <c r="J1357" s="40">
        <v>99</v>
      </c>
      <c r="K1357" s="40">
        <v>99</v>
      </c>
    </row>
    <row r="1358" spans="1:11" x14ac:dyDescent="0.25">
      <c r="A1358" s="2">
        <v>2017</v>
      </c>
      <c r="B1358" s="2" t="s">
        <v>347</v>
      </c>
      <c r="C1358" t="s">
        <v>106</v>
      </c>
      <c r="D1358" s="1">
        <v>101071</v>
      </c>
      <c r="E1358" t="s">
        <v>43</v>
      </c>
      <c r="F1358" s="37" t="s">
        <v>7</v>
      </c>
      <c r="G1358" s="40">
        <v>81.3</v>
      </c>
      <c r="H1358" s="40">
        <v>1</v>
      </c>
      <c r="I1358" s="40">
        <v>18</v>
      </c>
      <c r="J1358" s="40">
        <v>9</v>
      </c>
      <c r="K1358" s="40">
        <v>10</v>
      </c>
    </row>
    <row r="1359" spans="1:11" x14ac:dyDescent="0.25">
      <c r="A1359" s="2">
        <v>2017</v>
      </c>
      <c r="B1359" s="2" t="s">
        <v>347</v>
      </c>
      <c r="C1359" t="s">
        <v>106</v>
      </c>
      <c r="D1359" s="1">
        <v>101071</v>
      </c>
      <c r="E1359" t="s">
        <v>43</v>
      </c>
      <c r="F1359" s="38" t="s">
        <v>8</v>
      </c>
      <c r="G1359" s="40">
        <v>100</v>
      </c>
      <c r="H1359" s="40">
        <v>1</v>
      </c>
      <c r="I1359" s="40">
        <v>99</v>
      </c>
      <c r="J1359" s="40">
        <v>99</v>
      </c>
      <c r="K1359" s="40">
        <v>99</v>
      </c>
    </row>
    <row r="1360" spans="1:11" x14ac:dyDescent="0.25">
      <c r="A1360" s="2">
        <v>2017</v>
      </c>
      <c r="B1360" s="2" t="s">
        <v>347</v>
      </c>
      <c r="C1360" t="s">
        <v>106</v>
      </c>
      <c r="D1360" s="1">
        <v>101071</v>
      </c>
      <c r="E1360" t="s">
        <v>43</v>
      </c>
      <c r="F1360" s="38" t="s">
        <v>9</v>
      </c>
      <c r="G1360" s="40">
        <v>75</v>
      </c>
      <c r="H1360" s="40">
        <v>1</v>
      </c>
      <c r="I1360" s="40">
        <v>1</v>
      </c>
      <c r="J1360" s="40">
        <v>1</v>
      </c>
      <c r="K1360" s="40">
        <v>1</v>
      </c>
    </row>
    <row r="1361" spans="1:11" x14ac:dyDescent="0.25">
      <c r="A1361" s="2">
        <v>2017</v>
      </c>
      <c r="B1361" s="2" t="s">
        <v>347</v>
      </c>
      <c r="C1361" t="s">
        <v>106</v>
      </c>
      <c r="D1361" s="1">
        <v>101071</v>
      </c>
      <c r="E1361" t="s">
        <v>43</v>
      </c>
      <c r="F1361" s="38" t="s">
        <v>10</v>
      </c>
      <c r="G1361" s="40">
        <v>75</v>
      </c>
      <c r="H1361" s="40">
        <v>1</v>
      </c>
      <c r="I1361" s="40">
        <v>3</v>
      </c>
      <c r="J1361" s="40">
        <v>2</v>
      </c>
      <c r="K1361" s="40">
        <v>2</v>
      </c>
    </row>
    <row r="1362" spans="1:11" x14ac:dyDescent="0.25">
      <c r="A1362" s="2">
        <v>2017</v>
      </c>
      <c r="B1362" s="2" t="s">
        <v>347</v>
      </c>
      <c r="C1362" t="s">
        <v>106</v>
      </c>
      <c r="D1362" s="1">
        <v>101071</v>
      </c>
      <c r="E1362" t="s">
        <v>43</v>
      </c>
      <c r="F1362" s="38" t="s">
        <v>11</v>
      </c>
      <c r="G1362" s="40">
        <v>75</v>
      </c>
      <c r="H1362" s="40">
        <v>1</v>
      </c>
      <c r="I1362" s="40">
        <v>1</v>
      </c>
      <c r="J1362" s="40">
        <v>1</v>
      </c>
      <c r="K1362" s="40">
        <v>1</v>
      </c>
    </row>
    <row r="1363" spans="1:11" x14ac:dyDescent="0.25">
      <c r="A1363" s="2">
        <v>2017</v>
      </c>
      <c r="B1363" s="2" t="s">
        <v>347</v>
      </c>
      <c r="C1363" t="s">
        <v>106</v>
      </c>
      <c r="D1363" s="1">
        <v>101071</v>
      </c>
      <c r="E1363" t="s">
        <v>43</v>
      </c>
      <c r="F1363" s="38" t="s">
        <v>12</v>
      </c>
      <c r="G1363" s="40">
        <v>75</v>
      </c>
      <c r="H1363" s="40">
        <v>1</v>
      </c>
      <c r="I1363" s="40">
        <v>45</v>
      </c>
      <c r="J1363" s="40">
        <v>15</v>
      </c>
      <c r="K1363" s="40">
        <v>19</v>
      </c>
    </row>
    <row r="1364" spans="1:11" x14ac:dyDescent="0.25">
      <c r="A1364" s="2">
        <v>2017</v>
      </c>
      <c r="B1364" s="2" t="s">
        <v>347</v>
      </c>
      <c r="C1364" t="s">
        <v>106</v>
      </c>
      <c r="D1364" s="1">
        <v>70375</v>
      </c>
      <c r="E1364" t="s">
        <v>24</v>
      </c>
      <c r="F1364" s="37" t="s">
        <v>7</v>
      </c>
      <c r="G1364" s="40">
        <v>98.6</v>
      </c>
      <c r="H1364" s="40">
        <v>9</v>
      </c>
      <c r="I1364" s="40">
        <v>99</v>
      </c>
      <c r="J1364" s="40">
        <v>99</v>
      </c>
      <c r="K1364" s="40">
        <v>99</v>
      </c>
    </row>
    <row r="1365" spans="1:11" x14ac:dyDescent="0.25">
      <c r="A1365" s="2">
        <v>2017</v>
      </c>
      <c r="B1365" s="2" t="s">
        <v>347</v>
      </c>
      <c r="C1365" t="s">
        <v>106</v>
      </c>
      <c r="D1365" s="1">
        <v>70375</v>
      </c>
      <c r="E1365" t="s">
        <v>24</v>
      </c>
      <c r="F1365" s="38" t="s">
        <v>8</v>
      </c>
      <c r="G1365" s="40">
        <v>97.2</v>
      </c>
      <c r="H1365" s="40">
        <v>9</v>
      </c>
      <c r="I1365" s="40">
        <v>99</v>
      </c>
      <c r="J1365" s="40">
        <v>99</v>
      </c>
      <c r="K1365" s="40">
        <v>99</v>
      </c>
    </row>
    <row r="1366" spans="1:11" x14ac:dyDescent="0.25">
      <c r="A1366" s="2">
        <v>2017</v>
      </c>
      <c r="B1366" s="2" t="s">
        <v>347</v>
      </c>
      <c r="C1366" t="s">
        <v>106</v>
      </c>
      <c r="D1366" s="1">
        <v>70375</v>
      </c>
      <c r="E1366" t="s">
        <v>24</v>
      </c>
      <c r="F1366" s="38" t="s">
        <v>9</v>
      </c>
      <c r="G1366" s="40">
        <v>100</v>
      </c>
      <c r="H1366" s="40">
        <v>9</v>
      </c>
      <c r="I1366" s="40">
        <v>99</v>
      </c>
      <c r="J1366" s="40">
        <v>99</v>
      </c>
      <c r="K1366" s="40">
        <v>99</v>
      </c>
    </row>
    <row r="1367" spans="1:11" x14ac:dyDescent="0.25">
      <c r="A1367" s="2">
        <v>2017</v>
      </c>
      <c r="B1367" s="2" t="s">
        <v>347</v>
      </c>
      <c r="C1367" t="s">
        <v>106</v>
      </c>
      <c r="D1367" s="1">
        <v>70375</v>
      </c>
      <c r="E1367" t="s">
        <v>24</v>
      </c>
      <c r="F1367" s="38" t="s">
        <v>10</v>
      </c>
      <c r="G1367" s="40">
        <v>97.2</v>
      </c>
      <c r="H1367" s="40">
        <v>9</v>
      </c>
      <c r="I1367" s="40">
        <v>99</v>
      </c>
      <c r="J1367" s="40">
        <v>99</v>
      </c>
      <c r="K1367" s="40">
        <v>99</v>
      </c>
    </row>
    <row r="1368" spans="1:11" x14ac:dyDescent="0.25">
      <c r="A1368" s="2">
        <v>2017</v>
      </c>
      <c r="B1368" s="2" t="s">
        <v>347</v>
      </c>
      <c r="C1368" t="s">
        <v>106</v>
      </c>
      <c r="D1368" s="1">
        <v>70375</v>
      </c>
      <c r="E1368" t="s">
        <v>24</v>
      </c>
      <c r="F1368" s="38" t="s">
        <v>11</v>
      </c>
      <c r="G1368" s="40">
        <v>100</v>
      </c>
      <c r="H1368" s="40">
        <v>9</v>
      </c>
      <c r="I1368" s="40">
        <v>99</v>
      </c>
      <c r="J1368" s="40">
        <v>99</v>
      </c>
      <c r="K1368" s="40">
        <v>99</v>
      </c>
    </row>
    <row r="1369" spans="1:11" x14ac:dyDescent="0.25">
      <c r="A1369" s="2">
        <v>2017</v>
      </c>
      <c r="B1369" s="2" t="s">
        <v>347</v>
      </c>
      <c r="C1369" t="s">
        <v>106</v>
      </c>
      <c r="D1369" s="1">
        <v>70375</v>
      </c>
      <c r="E1369" t="s">
        <v>24</v>
      </c>
      <c r="F1369" s="38" t="s">
        <v>12</v>
      </c>
      <c r="G1369" s="40">
        <v>94.4</v>
      </c>
      <c r="H1369" s="40">
        <v>9</v>
      </c>
      <c r="I1369" s="40">
        <v>99</v>
      </c>
      <c r="J1369" s="40">
        <v>99</v>
      </c>
      <c r="K1369" s="40">
        <v>98</v>
      </c>
    </row>
    <row r="1370" spans="1:11" x14ac:dyDescent="0.25">
      <c r="A1370" s="2">
        <v>2017</v>
      </c>
      <c r="B1370" s="2" t="s">
        <v>347</v>
      </c>
      <c r="C1370" t="s">
        <v>106</v>
      </c>
      <c r="D1370" s="1">
        <v>104133</v>
      </c>
      <c r="E1370" t="s">
        <v>20</v>
      </c>
      <c r="F1370" s="37" t="s">
        <v>7</v>
      </c>
      <c r="G1370" s="40">
        <v>94.4</v>
      </c>
      <c r="H1370" s="40">
        <v>9</v>
      </c>
      <c r="I1370" s="40">
        <v>99</v>
      </c>
      <c r="J1370" s="40">
        <v>99</v>
      </c>
      <c r="K1370" s="40">
        <v>96</v>
      </c>
    </row>
    <row r="1371" spans="1:11" x14ac:dyDescent="0.25">
      <c r="A1371" s="2">
        <v>2017</v>
      </c>
      <c r="B1371" s="2" t="s">
        <v>347</v>
      </c>
      <c r="C1371" t="s">
        <v>106</v>
      </c>
      <c r="D1371" s="1">
        <v>104133</v>
      </c>
      <c r="E1371" t="s">
        <v>20</v>
      </c>
      <c r="F1371" s="38" t="s">
        <v>8</v>
      </c>
      <c r="G1371" s="40">
        <v>94.4</v>
      </c>
      <c r="H1371" s="40">
        <v>9</v>
      </c>
      <c r="I1371" s="40">
        <v>99</v>
      </c>
      <c r="J1371" s="40">
        <v>99</v>
      </c>
      <c r="K1371" s="40">
        <v>97</v>
      </c>
    </row>
    <row r="1372" spans="1:11" x14ac:dyDescent="0.25">
      <c r="A1372" s="2">
        <v>2017</v>
      </c>
      <c r="B1372" s="2" t="s">
        <v>347</v>
      </c>
      <c r="C1372" t="s">
        <v>106</v>
      </c>
      <c r="D1372" s="1">
        <v>104133</v>
      </c>
      <c r="E1372" t="s">
        <v>20</v>
      </c>
      <c r="F1372" s="38" t="s">
        <v>9</v>
      </c>
      <c r="G1372" s="40">
        <v>91.7</v>
      </c>
      <c r="H1372" s="40">
        <v>9</v>
      </c>
      <c r="I1372" s="40">
        <v>99</v>
      </c>
      <c r="J1372" s="40">
        <v>93</v>
      </c>
      <c r="K1372" s="40">
        <v>85</v>
      </c>
    </row>
    <row r="1373" spans="1:11" x14ac:dyDescent="0.25">
      <c r="A1373" s="2">
        <v>2017</v>
      </c>
      <c r="B1373" s="2" t="s">
        <v>347</v>
      </c>
      <c r="C1373" t="s">
        <v>106</v>
      </c>
      <c r="D1373" s="1">
        <v>104133</v>
      </c>
      <c r="E1373" t="s">
        <v>20</v>
      </c>
      <c r="F1373" s="38" t="s">
        <v>10</v>
      </c>
      <c r="G1373" s="40">
        <v>94.4</v>
      </c>
      <c r="H1373" s="40">
        <v>9</v>
      </c>
      <c r="I1373" s="40">
        <v>99</v>
      </c>
      <c r="J1373" s="40">
        <v>99</v>
      </c>
      <c r="K1373" s="40">
        <v>97</v>
      </c>
    </row>
    <row r="1374" spans="1:11" x14ac:dyDescent="0.25">
      <c r="A1374" s="2">
        <v>2017</v>
      </c>
      <c r="B1374" s="2" t="s">
        <v>347</v>
      </c>
      <c r="C1374" t="s">
        <v>106</v>
      </c>
      <c r="D1374" s="1">
        <v>104133</v>
      </c>
      <c r="E1374" t="s">
        <v>20</v>
      </c>
      <c r="F1374" s="38" t="s">
        <v>11</v>
      </c>
      <c r="G1374" s="40">
        <v>97.2</v>
      </c>
      <c r="H1374" s="40">
        <v>9</v>
      </c>
      <c r="I1374" s="40">
        <v>99</v>
      </c>
      <c r="J1374" s="40">
        <v>99</v>
      </c>
      <c r="K1374" s="40">
        <v>99</v>
      </c>
    </row>
    <row r="1375" spans="1:11" x14ac:dyDescent="0.25">
      <c r="A1375" s="2">
        <v>2017</v>
      </c>
      <c r="B1375" s="2" t="s">
        <v>347</v>
      </c>
      <c r="C1375" t="s">
        <v>106</v>
      </c>
      <c r="D1375" s="1">
        <v>104133</v>
      </c>
      <c r="E1375" t="s">
        <v>20</v>
      </c>
      <c r="F1375" s="38" t="s">
        <v>12</v>
      </c>
      <c r="G1375" s="40">
        <v>77.8</v>
      </c>
      <c r="H1375" s="40">
        <v>9</v>
      </c>
      <c r="I1375" s="40">
        <v>56</v>
      </c>
      <c r="J1375" s="40">
        <v>23</v>
      </c>
      <c r="K1375" s="40">
        <v>30</v>
      </c>
    </row>
    <row r="1376" spans="1:11" x14ac:dyDescent="0.25">
      <c r="A1376" s="2">
        <v>2017</v>
      </c>
      <c r="B1376" s="2" t="s">
        <v>347</v>
      </c>
      <c r="C1376" t="s">
        <v>106</v>
      </c>
      <c r="D1376" s="1">
        <v>110569</v>
      </c>
      <c r="E1376" t="s">
        <v>18</v>
      </c>
      <c r="F1376" s="37" t="s">
        <v>7</v>
      </c>
      <c r="G1376" s="40">
        <v>92</v>
      </c>
      <c r="H1376" s="40">
        <v>7</v>
      </c>
      <c r="I1376" s="40">
        <v>99</v>
      </c>
      <c r="J1376" s="40">
        <v>96</v>
      </c>
      <c r="K1376" s="40">
        <v>88</v>
      </c>
    </row>
    <row r="1377" spans="1:11" x14ac:dyDescent="0.25">
      <c r="A1377" s="2">
        <v>2017</v>
      </c>
      <c r="B1377" s="2" t="s">
        <v>347</v>
      </c>
      <c r="C1377" t="s">
        <v>106</v>
      </c>
      <c r="D1377" s="1">
        <v>110569</v>
      </c>
      <c r="E1377" t="s">
        <v>18</v>
      </c>
      <c r="F1377" s="38" t="s">
        <v>8</v>
      </c>
      <c r="G1377" s="40">
        <v>92.9</v>
      </c>
      <c r="H1377" s="40">
        <v>7</v>
      </c>
      <c r="I1377" s="40">
        <v>99</v>
      </c>
      <c r="J1377" s="40">
        <v>98</v>
      </c>
      <c r="K1377" s="40">
        <v>94</v>
      </c>
    </row>
    <row r="1378" spans="1:11" x14ac:dyDescent="0.25">
      <c r="A1378" s="2">
        <v>2017</v>
      </c>
      <c r="B1378" s="2" t="s">
        <v>347</v>
      </c>
      <c r="C1378" t="s">
        <v>106</v>
      </c>
      <c r="D1378" s="1">
        <v>110569</v>
      </c>
      <c r="E1378" t="s">
        <v>18</v>
      </c>
      <c r="F1378" s="38" t="s">
        <v>9</v>
      </c>
      <c r="G1378" s="40">
        <v>89.3</v>
      </c>
      <c r="H1378" s="40">
        <v>7</v>
      </c>
      <c r="I1378" s="40">
        <v>87</v>
      </c>
      <c r="J1378" s="40">
        <v>73</v>
      </c>
      <c r="K1378" s="40">
        <v>69</v>
      </c>
    </row>
    <row r="1379" spans="1:11" x14ac:dyDescent="0.25">
      <c r="A1379" s="2">
        <v>2017</v>
      </c>
      <c r="B1379" s="2" t="s">
        <v>347</v>
      </c>
      <c r="C1379" t="s">
        <v>106</v>
      </c>
      <c r="D1379" s="1">
        <v>110569</v>
      </c>
      <c r="E1379" t="s">
        <v>18</v>
      </c>
      <c r="F1379" s="38" t="s">
        <v>10</v>
      </c>
      <c r="G1379" s="40">
        <v>92.9</v>
      </c>
      <c r="H1379" s="40">
        <v>7</v>
      </c>
      <c r="I1379" s="40">
        <v>99</v>
      </c>
      <c r="J1379" s="40">
        <v>98</v>
      </c>
      <c r="K1379" s="40">
        <v>94</v>
      </c>
    </row>
    <row r="1380" spans="1:11" x14ac:dyDescent="0.25">
      <c r="A1380" s="2">
        <v>2017</v>
      </c>
      <c r="B1380" s="2" t="s">
        <v>347</v>
      </c>
      <c r="C1380" t="s">
        <v>106</v>
      </c>
      <c r="D1380" s="1">
        <v>110569</v>
      </c>
      <c r="E1380" t="s">
        <v>18</v>
      </c>
      <c r="F1380" s="38" t="s">
        <v>11</v>
      </c>
      <c r="G1380" s="40">
        <v>92.9</v>
      </c>
      <c r="H1380" s="40">
        <v>7</v>
      </c>
      <c r="I1380" s="40">
        <v>98</v>
      </c>
      <c r="J1380" s="40">
        <v>94</v>
      </c>
      <c r="K1380" s="40">
        <v>84</v>
      </c>
    </row>
    <row r="1381" spans="1:11" x14ac:dyDescent="0.25">
      <c r="A1381" s="2">
        <v>2017</v>
      </c>
      <c r="B1381" s="2" t="s">
        <v>347</v>
      </c>
      <c r="C1381" t="s">
        <v>106</v>
      </c>
      <c r="D1381" s="1">
        <v>110569</v>
      </c>
      <c r="E1381" t="s">
        <v>18</v>
      </c>
      <c r="F1381" s="38" t="s">
        <v>12</v>
      </c>
      <c r="G1381" s="40">
        <v>71.400000000000006</v>
      </c>
      <c r="H1381" s="40">
        <v>7</v>
      </c>
      <c r="I1381" s="40">
        <v>32</v>
      </c>
      <c r="J1381" s="40">
        <v>9</v>
      </c>
      <c r="K1381" s="40">
        <v>11</v>
      </c>
    </row>
    <row r="1382" spans="1:11" x14ac:dyDescent="0.25">
      <c r="A1382" s="2">
        <v>2017</v>
      </c>
      <c r="B1382" s="2" t="s">
        <v>347</v>
      </c>
      <c r="C1382" t="s">
        <v>106</v>
      </c>
      <c r="D1382" s="1">
        <v>121681</v>
      </c>
      <c r="E1382" t="s">
        <v>29</v>
      </c>
      <c r="F1382" s="37" t="s">
        <v>7</v>
      </c>
      <c r="G1382" s="40">
        <v>89.6</v>
      </c>
      <c r="H1382" s="40">
        <v>6</v>
      </c>
      <c r="I1382" s="40">
        <v>92</v>
      </c>
      <c r="J1382" s="40">
        <v>81</v>
      </c>
      <c r="K1382" s="40">
        <v>73</v>
      </c>
    </row>
    <row r="1383" spans="1:11" x14ac:dyDescent="0.25">
      <c r="A1383" s="2">
        <v>2017</v>
      </c>
      <c r="B1383" s="2" t="s">
        <v>347</v>
      </c>
      <c r="C1383" t="s">
        <v>106</v>
      </c>
      <c r="D1383" s="1">
        <v>121681</v>
      </c>
      <c r="E1383" t="s">
        <v>29</v>
      </c>
      <c r="F1383" s="38" t="s">
        <v>8</v>
      </c>
      <c r="G1383" s="40">
        <v>87.5</v>
      </c>
      <c r="H1383" s="40">
        <v>6</v>
      </c>
      <c r="I1383" s="40">
        <v>87</v>
      </c>
      <c r="J1383" s="40">
        <v>75</v>
      </c>
      <c r="K1383" s="40">
        <v>64</v>
      </c>
    </row>
    <row r="1384" spans="1:11" x14ac:dyDescent="0.25">
      <c r="A1384" s="2">
        <v>2017</v>
      </c>
      <c r="B1384" s="2" t="s">
        <v>347</v>
      </c>
      <c r="C1384" t="s">
        <v>106</v>
      </c>
      <c r="D1384" s="1">
        <v>121681</v>
      </c>
      <c r="E1384" t="s">
        <v>29</v>
      </c>
      <c r="F1384" s="38" t="s">
        <v>9</v>
      </c>
      <c r="G1384" s="40">
        <v>87.5</v>
      </c>
      <c r="H1384" s="40">
        <v>6</v>
      </c>
      <c r="I1384" s="40">
        <v>67</v>
      </c>
      <c r="J1384" s="40">
        <v>58</v>
      </c>
      <c r="K1384" s="40">
        <v>51</v>
      </c>
    </row>
    <row r="1385" spans="1:11" x14ac:dyDescent="0.25">
      <c r="A1385" s="2">
        <v>2017</v>
      </c>
      <c r="B1385" s="2" t="s">
        <v>347</v>
      </c>
      <c r="C1385" t="s">
        <v>106</v>
      </c>
      <c r="D1385" s="1">
        <v>121681</v>
      </c>
      <c r="E1385" t="s">
        <v>29</v>
      </c>
      <c r="F1385" s="38" t="s">
        <v>10</v>
      </c>
      <c r="G1385" s="40">
        <v>91.7</v>
      </c>
      <c r="H1385" s="40">
        <v>6</v>
      </c>
      <c r="I1385" s="40">
        <v>99</v>
      </c>
      <c r="J1385" s="40">
        <v>97</v>
      </c>
      <c r="K1385" s="40">
        <v>90</v>
      </c>
    </row>
    <row r="1386" spans="1:11" x14ac:dyDescent="0.25">
      <c r="A1386" s="2">
        <v>2017</v>
      </c>
      <c r="B1386" s="2" t="s">
        <v>347</v>
      </c>
      <c r="C1386" t="s">
        <v>106</v>
      </c>
      <c r="D1386" s="1">
        <v>121681</v>
      </c>
      <c r="E1386" t="s">
        <v>29</v>
      </c>
      <c r="F1386" s="38" t="s">
        <v>11</v>
      </c>
      <c r="G1386" s="40">
        <v>91.7</v>
      </c>
      <c r="H1386" s="40">
        <v>6</v>
      </c>
      <c r="I1386" s="40">
        <v>91</v>
      </c>
      <c r="J1386" s="40">
        <v>77</v>
      </c>
      <c r="K1386" s="40">
        <v>74</v>
      </c>
    </row>
    <row r="1387" spans="1:11" x14ac:dyDescent="0.25">
      <c r="A1387" s="2">
        <v>2017</v>
      </c>
      <c r="B1387" s="2" t="s">
        <v>347</v>
      </c>
      <c r="C1387" t="s">
        <v>106</v>
      </c>
      <c r="D1387" s="1">
        <v>121681</v>
      </c>
      <c r="E1387" t="s">
        <v>29</v>
      </c>
      <c r="F1387" s="38" t="s">
        <v>12</v>
      </c>
      <c r="G1387" s="40">
        <v>75</v>
      </c>
      <c r="H1387" s="40">
        <v>6</v>
      </c>
      <c r="I1387" s="40">
        <v>45</v>
      </c>
      <c r="J1387" s="40">
        <v>15</v>
      </c>
      <c r="K1387" s="40">
        <v>19</v>
      </c>
    </row>
    <row r="1388" spans="1:11" x14ac:dyDescent="0.25">
      <c r="A1388" s="2">
        <v>2017</v>
      </c>
      <c r="B1388" s="2" t="s">
        <v>347</v>
      </c>
      <c r="C1388" t="s">
        <v>106</v>
      </c>
      <c r="D1388" s="1">
        <v>150441</v>
      </c>
      <c r="E1388" t="s">
        <v>30</v>
      </c>
      <c r="F1388" s="37" t="s">
        <v>7</v>
      </c>
      <c r="G1388" s="40">
        <v>89.6</v>
      </c>
      <c r="H1388" s="40">
        <v>6</v>
      </c>
      <c r="I1388" s="40">
        <v>92</v>
      </c>
      <c r="J1388" s="40">
        <v>81</v>
      </c>
      <c r="K1388" s="40">
        <v>73</v>
      </c>
    </row>
    <row r="1389" spans="1:11" x14ac:dyDescent="0.25">
      <c r="A1389" s="2">
        <v>2017</v>
      </c>
      <c r="B1389" s="2" t="s">
        <v>347</v>
      </c>
      <c r="C1389" t="s">
        <v>106</v>
      </c>
      <c r="D1389" s="1">
        <v>150441</v>
      </c>
      <c r="E1389" t="s">
        <v>30</v>
      </c>
      <c r="F1389" s="38" t="s">
        <v>8</v>
      </c>
      <c r="G1389" s="40">
        <v>87.5</v>
      </c>
      <c r="H1389" s="40">
        <v>6</v>
      </c>
      <c r="I1389" s="40">
        <v>87</v>
      </c>
      <c r="J1389" s="40">
        <v>75</v>
      </c>
      <c r="K1389" s="40">
        <v>64</v>
      </c>
    </row>
    <row r="1390" spans="1:11" x14ac:dyDescent="0.25">
      <c r="A1390" s="2">
        <v>2017</v>
      </c>
      <c r="B1390" s="2" t="s">
        <v>347</v>
      </c>
      <c r="C1390" t="s">
        <v>106</v>
      </c>
      <c r="D1390" s="1">
        <v>150441</v>
      </c>
      <c r="E1390" t="s">
        <v>30</v>
      </c>
      <c r="F1390" s="38" t="s">
        <v>9</v>
      </c>
      <c r="G1390" s="40">
        <v>87.5</v>
      </c>
      <c r="H1390" s="40">
        <v>6</v>
      </c>
      <c r="I1390" s="40">
        <v>67</v>
      </c>
      <c r="J1390" s="40">
        <v>58</v>
      </c>
      <c r="K1390" s="40">
        <v>51</v>
      </c>
    </row>
    <row r="1391" spans="1:11" x14ac:dyDescent="0.25">
      <c r="A1391" s="2">
        <v>2017</v>
      </c>
      <c r="B1391" s="2" t="s">
        <v>347</v>
      </c>
      <c r="C1391" t="s">
        <v>106</v>
      </c>
      <c r="D1391" s="1">
        <v>150441</v>
      </c>
      <c r="E1391" t="s">
        <v>30</v>
      </c>
      <c r="F1391" s="38" t="s">
        <v>10</v>
      </c>
      <c r="G1391" s="40">
        <v>91.7</v>
      </c>
      <c r="H1391" s="40">
        <v>6</v>
      </c>
      <c r="I1391" s="40">
        <v>99</v>
      </c>
      <c r="J1391" s="40">
        <v>97</v>
      </c>
      <c r="K1391" s="40">
        <v>90</v>
      </c>
    </row>
    <row r="1392" spans="1:11" x14ac:dyDescent="0.25">
      <c r="A1392" s="2">
        <v>2017</v>
      </c>
      <c r="B1392" s="2" t="s">
        <v>347</v>
      </c>
      <c r="C1392" t="s">
        <v>106</v>
      </c>
      <c r="D1392" s="1">
        <v>150441</v>
      </c>
      <c r="E1392" t="s">
        <v>30</v>
      </c>
      <c r="F1392" s="38" t="s">
        <v>11</v>
      </c>
      <c r="G1392" s="40">
        <v>91.7</v>
      </c>
      <c r="H1392" s="40">
        <v>6</v>
      </c>
      <c r="I1392" s="40">
        <v>91</v>
      </c>
      <c r="J1392" s="40">
        <v>77</v>
      </c>
      <c r="K1392" s="40">
        <v>74</v>
      </c>
    </row>
    <row r="1393" spans="1:11" x14ac:dyDescent="0.25">
      <c r="A1393" s="2">
        <v>2017</v>
      </c>
      <c r="B1393" s="2" t="s">
        <v>347</v>
      </c>
      <c r="C1393" t="s">
        <v>106</v>
      </c>
      <c r="D1393" s="1">
        <v>150441</v>
      </c>
      <c r="E1393" t="s">
        <v>30</v>
      </c>
      <c r="F1393" s="38" t="s">
        <v>12</v>
      </c>
      <c r="G1393" s="40">
        <v>83.3</v>
      </c>
      <c r="H1393" s="40">
        <v>6</v>
      </c>
      <c r="I1393" s="40">
        <v>89</v>
      </c>
      <c r="J1393" s="40">
        <v>65</v>
      </c>
      <c r="K1393" s="40">
        <v>60</v>
      </c>
    </row>
    <row r="1394" spans="1:11" x14ac:dyDescent="0.25">
      <c r="A1394" s="2">
        <v>2017</v>
      </c>
      <c r="B1394" s="2" t="s">
        <v>347</v>
      </c>
      <c r="C1394" t="s">
        <v>106</v>
      </c>
      <c r="D1394" s="1">
        <v>130674</v>
      </c>
      <c r="E1394" t="s">
        <v>6</v>
      </c>
      <c r="F1394" s="37" t="s">
        <v>7</v>
      </c>
      <c r="G1394" s="40">
        <v>91.7</v>
      </c>
      <c r="H1394" s="40">
        <v>3</v>
      </c>
      <c r="I1394" s="40">
        <v>99</v>
      </c>
      <c r="J1394" s="40">
        <v>96</v>
      </c>
      <c r="K1394" s="40">
        <v>87</v>
      </c>
    </row>
    <row r="1395" spans="1:11" x14ac:dyDescent="0.25">
      <c r="A1395" s="2">
        <v>2017</v>
      </c>
      <c r="B1395" s="2" t="s">
        <v>347</v>
      </c>
      <c r="C1395" t="s">
        <v>106</v>
      </c>
      <c r="D1395" s="1">
        <v>130674</v>
      </c>
      <c r="E1395" t="s">
        <v>6</v>
      </c>
      <c r="F1395" s="38" t="s">
        <v>8</v>
      </c>
      <c r="G1395" s="40">
        <v>91.7</v>
      </c>
      <c r="H1395" s="40">
        <v>3</v>
      </c>
      <c r="I1395" s="40">
        <v>99</v>
      </c>
      <c r="J1395" s="40">
        <v>97</v>
      </c>
      <c r="K1395" s="40">
        <v>90</v>
      </c>
    </row>
    <row r="1396" spans="1:11" x14ac:dyDescent="0.25">
      <c r="A1396" s="2">
        <v>2017</v>
      </c>
      <c r="B1396" s="2" t="s">
        <v>347</v>
      </c>
      <c r="C1396" t="s">
        <v>106</v>
      </c>
      <c r="D1396" s="1">
        <v>130674</v>
      </c>
      <c r="E1396" t="s">
        <v>6</v>
      </c>
      <c r="F1396" s="38" t="s">
        <v>9</v>
      </c>
      <c r="G1396" s="40">
        <v>87.5</v>
      </c>
      <c r="H1396" s="40">
        <v>2</v>
      </c>
      <c r="I1396" s="40">
        <v>67</v>
      </c>
      <c r="J1396" s="40">
        <v>58</v>
      </c>
      <c r="K1396" s="40">
        <v>51</v>
      </c>
    </row>
    <row r="1397" spans="1:11" x14ac:dyDescent="0.25">
      <c r="A1397" s="2">
        <v>2017</v>
      </c>
      <c r="B1397" s="2" t="s">
        <v>347</v>
      </c>
      <c r="C1397" t="s">
        <v>106</v>
      </c>
      <c r="D1397" s="1">
        <v>130674</v>
      </c>
      <c r="E1397" t="s">
        <v>6</v>
      </c>
      <c r="F1397" s="38" t="s">
        <v>10</v>
      </c>
      <c r="G1397" s="40">
        <v>91.7</v>
      </c>
      <c r="H1397" s="40">
        <v>3</v>
      </c>
      <c r="I1397" s="40">
        <v>99</v>
      </c>
      <c r="J1397" s="40">
        <v>97</v>
      </c>
      <c r="K1397" s="40">
        <v>90</v>
      </c>
    </row>
    <row r="1398" spans="1:11" x14ac:dyDescent="0.25">
      <c r="A1398" s="2">
        <v>2017</v>
      </c>
      <c r="B1398" s="2" t="s">
        <v>347</v>
      </c>
      <c r="C1398" t="s">
        <v>106</v>
      </c>
      <c r="D1398" s="1">
        <v>130674</v>
      </c>
      <c r="E1398" t="s">
        <v>6</v>
      </c>
      <c r="F1398" s="38" t="s">
        <v>11</v>
      </c>
      <c r="G1398" s="40">
        <v>91.7</v>
      </c>
      <c r="H1398" s="40">
        <v>3</v>
      </c>
      <c r="I1398" s="40">
        <v>91</v>
      </c>
      <c r="J1398" s="40">
        <v>77</v>
      </c>
      <c r="K1398" s="40">
        <v>74</v>
      </c>
    </row>
    <row r="1399" spans="1:11" x14ac:dyDescent="0.25">
      <c r="A1399" s="2">
        <v>2017</v>
      </c>
      <c r="B1399" s="2" t="s">
        <v>347</v>
      </c>
      <c r="C1399" t="s">
        <v>106</v>
      </c>
      <c r="D1399" s="1">
        <v>130674</v>
      </c>
      <c r="E1399" t="s">
        <v>6</v>
      </c>
      <c r="F1399" s="38" t="s">
        <v>12</v>
      </c>
      <c r="G1399" s="40">
        <v>75</v>
      </c>
      <c r="H1399" s="40">
        <v>3</v>
      </c>
      <c r="I1399" s="40">
        <v>45</v>
      </c>
      <c r="J1399" s="40">
        <v>15</v>
      </c>
      <c r="K1399" s="40">
        <v>19</v>
      </c>
    </row>
    <row r="1400" spans="1:11" x14ac:dyDescent="0.25">
      <c r="A1400" s="2">
        <v>2017</v>
      </c>
      <c r="B1400" s="2" t="s">
        <v>347</v>
      </c>
      <c r="C1400" t="s">
        <v>106</v>
      </c>
      <c r="D1400" s="1">
        <v>117671</v>
      </c>
      <c r="E1400" t="s">
        <v>25</v>
      </c>
      <c r="F1400" t="s">
        <v>7</v>
      </c>
      <c r="G1400" s="40">
        <v>79.2</v>
      </c>
      <c r="H1400" s="40">
        <v>3</v>
      </c>
      <c r="I1400" s="40">
        <v>4</v>
      </c>
      <c r="J1400" s="40">
        <v>4</v>
      </c>
      <c r="K1400" s="40">
        <v>5</v>
      </c>
    </row>
    <row r="1401" spans="1:11" x14ac:dyDescent="0.25">
      <c r="A1401" s="2">
        <v>2017</v>
      </c>
      <c r="B1401" s="2" t="s">
        <v>347</v>
      </c>
      <c r="C1401" t="s">
        <v>106</v>
      </c>
      <c r="D1401" s="1">
        <v>117671</v>
      </c>
      <c r="E1401" t="s">
        <v>25</v>
      </c>
      <c r="F1401" t="s">
        <v>8</v>
      </c>
      <c r="G1401" s="40">
        <v>66.7</v>
      </c>
      <c r="H1401" s="40">
        <v>3</v>
      </c>
      <c r="I1401" s="40">
        <v>1</v>
      </c>
      <c r="J1401" s="40">
        <v>1</v>
      </c>
      <c r="K1401" s="40">
        <v>1</v>
      </c>
    </row>
    <row r="1402" spans="1:11" x14ac:dyDescent="0.25">
      <c r="A1402" s="2">
        <v>2017</v>
      </c>
      <c r="B1402" s="2" t="s">
        <v>347</v>
      </c>
      <c r="C1402" t="s">
        <v>106</v>
      </c>
      <c r="D1402" s="1">
        <v>117671</v>
      </c>
      <c r="E1402" t="s">
        <v>25</v>
      </c>
      <c r="F1402" t="s">
        <v>9</v>
      </c>
      <c r="G1402" s="40">
        <v>83.3</v>
      </c>
      <c r="H1402" s="40">
        <v>3</v>
      </c>
      <c r="I1402" s="40">
        <v>26</v>
      </c>
      <c r="J1402" s="40">
        <v>19</v>
      </c>
      <c r="K1402" s="40">
        <v>16</v>
      </c>
    </row>
    <row r="1403" spans="1:11" x14ac:dyDescent="0.25">
      <c r="A1403" s="2">
        <v>2017</v>
      </c>
      <c r="B1403" s="2" t="s">
        <v>347</v>
      </c>
      <c r="C1403" t="s">
        <v>106</v>
      </c>
      <c r="D1403" s="1">
        <v>117671</v>
      </c>
      <c r="E1403" t="s">
        <v>25</v>
      </c>
      <c r="F1403" t="s">
        <v>10</v>
      </c>
      <c r="G1403" s="40">
        <v>75</v>
      </c>
      <c r="H1403" s="40">
        <v>3</v>
      </c>
      <c r="I1403" s="40">
        <v>3</v>
      </c>
      <c r="J1403" s="40">
        <v>2</v>
      </c>
      <c r="K1403" s="40">
        <v>2</v>
      </c>
    </row>
    <row r="1404" spans="1:11" x14ac:dyDescent="0.25">
      <c r="A1404" s="2">
        <v>2017</v>
      </c>
      <c r="B1404" s="2" t="s">
        <v>347</v>
      </c>
      <c r="C1404" t="s">
        <v>106</v>
      </c>
      <c r="D1404" s="1">
        <v>117671</v>
      </c>
      <c r="E1404" t="s">
        <v>25</v>
      </c>
      <c r="F1404" t="s">
        <v>11</v>
      </c>
      <c r="G1404" s="40">
        <v>91.7</v>
      </c>
      <c r="H1404" s="40">
        <v>3</v>
      </c>
      <c r="I1404" s="40">
        <v>91</v>
      </c>
      <c r="J1404" s="40">
        <v>77</v>
      </c>
      <c r="K1404" s="40">
        <v>74</v>
      </c>
    </row>
    <row r="1405" spans="1:11" x14ac:dyDescent="0.25">
      <c r="A1405" s="2">
        <v>2017</v>
      </c>
      <c r="B1405" s="2" t="s">
        <v>347</v>
      </c>
      <c r="C1405" t="s">
        <v>106</v>
      </c>
      <c r="D1405" s="1">
        <v>117671</v>
      </c>
      <c r="E1405" t="s">
        <v>25</v>
      </c>
      <c r="F1405" t="s">
        <v>12</v>
      </c>
      <c r="G1405" s="40">
        <v>83.3</v>
      </c>
      <c r="H1405" s="40">
        <v>3</v>
      </c>
      <c r="I1405" s="40">
        <v>89</v>
      </c>
      <c r="J1405" s="40">
        <v>65</v>
      </c>
      <c r="K1405" s="40">
        <v>60</v>
      </c>
    </row>
    <row r="1406" spans="1:11" x14ac:dyDescent="0.25">
      <c r="A1406" s="2">
        <v>2017</v>
      </c>
      <c r="B1406" s="2" t="s">
        <v>347</v>
      </c>
      <c r="C1406" t="s">
        <v>106</v>
      </c>
      <c r="D1406" s="1">
        <v>88963</v>
      </c>
      <c r="E1406" t="s">
        <v>34</v>
      </c>
      <c r="F1406" t="s">
        <v>7</v>
      </c>
      <c r="G1406" s="40">
        <v>87.5</v>
      </c>
      <c r="H1406" s="40">
        <v>12</v>
      </c>
      <c r="I1406" s="40">
        <v>73</v>
      </c>
      <c r="J1406" s="40">
        <v>58</v>
      </c>
      <c r="K1406" s="40">
        <v>54</v>
      </c>
    </row>
    <row r="1407" spans="1:11" x14ac:dyDescent="0.25">
      <c r="A1407" s="2">
        <v>2017</v>
      </c>
      <c r="B1407" s="2" t="s">
        <v>347</v>
      </c>
      <c r="C1407" t="s">
        <v>106</v>
      </c>
      <c r="D1407" s="1">
        <v>88963</v>
      </c>
      <c r="E1407" t="s">
        <v>34</v>
      </c>
      <c r="F1407" t="s">
        <v>8</v>
      </c>
      <c r="G1407" s="40">
        <v>87.5</v>
      </c>
      <c r="H1407" s="40">
        <v>12</v>
      </c>
      <c r="I1407" s="40">
        <v>87</v>
      </c>
      <c r="J1407" s="40">
        <v>75</v>
      </c>
      <c r="K1407" s="40">
        <v>64</v>
      </c>
    </row>
    <row r="1408" spans="1:11" x14ac:dyDescent="0.25">
      <c r="A1408" s="2">
        <v>2017</v>
      </c>
      <c r="B1408" s="2" t="s">
        <v>347</v>
      </c>
      <c r="C1408" t="s">
        <v>106</v>
      </c>
      <c r="D1408" s="1">
        <v>88963</v>
      </c>
      <c r="E1408" t="s">
        <v>34</v>
      </c>
      <c r="F1408" t="s">
        <v>9</v>
      </c>
      <c r="G1408" s="40">
        <v>87.5</v>
      </c>
      <c r="H1408" s="40">
        <v>12</v>
      </c>
      <c r="I1408" s="40">
        <v>67</v>
      </c>
      <c r="J1408" s="40">
        <v>58</v>
      </c>
      <c r="K1408" s="40">
        <v>51</v>
      </c>
    </row>
    <row r="1409" spans="1:11" x14ac:dyDescent="0.25">
      <c r="A1409" s="2">
        <v>2017</v>
      </c>
      <c r="B1409" s="2" t="s">
        <v>347</v>
      </c>
      <c r="C1409" t="s">
        <v>106</v>
      </c>
      <c r="D1409" s="1">
        <v>88963</v>
      </c>
      <c r="E1409" t="s">
        <v>34</v>
      </c>
      <c r="F1409" t="s">
        <v>10</v>
      </c>
      <c r="G1409" s="40">
        <v>85.4</v>
      </c>
      <c r="H1409" s="40">
        <v>12</v>
      </c>
      <c r="I1409" s="40">
        <v>64</v>
      </c>
      <c r="J1409" s="40">
        <v>48</v>
      </c>
      <c r="K1409" s="40">
        <v>44</v>
      </c>
    </row>
    <row r="1410" spans="1:11" x14ac:dyDescent="0.25">
      <c r="A1410" s="2">
        <v>2017</v>
      </c>
      <c r="B1410" s="2" t="s">
        <v>347</v>
      </c>
      <c r="C1410" t="s">
        <v>106</v>
      </c>
      <c r="D1410" s="1">
        <v>88963</v>
      </c>
      <c r="E1410" t="s">
        <v>34</v>
      </c>
      <c r="F1410" t="s">
        <v>11</v>
      </c>
      <c r="G1410" s="40">
        <v>89.6</v>
      </c>
      <c r="H1410" s="40">
        <v>12</v>
      </c>
      <c r="I1410" s="40">
        <v>69</v>
      </c>
      <c r="J1410" s="40">
        <v>55</v>
      </c>
      <c r="K1410" s="40">
        <v>52</v>
      </c>
    </row>
    <row r="1411" spans="1:11" x14ac:dyDescent="0.25">
      <c r="A1411" s="2">
        <v>2017</v>
      </c>
      <c r="B1411" s="2" t="s">
        <v>347</v>
      </c>
      <c r="C1411" t="s">
        <v>106</v>
      </c>
      <c r="D1411" s="1">
        <v>88963</v>
      </c>
      <c r="E1411" t="s">
        <v>34</v>
      </c>
      <c r="F1411" t="s">
        <v>12</v>
      </c>
      <c r="G1411" s="40">
        <v>65.900000000000006</v>
      </c>
      <c r="H1411" s="40">
        <v>11</v>
      </c>
      <c r="I1411" s="40">
        <v>13</v>
      </c>
      <c r="J1411" s="40">
        <v>4</v>
      </c>
      <c r="K1411" s="40">
        <v>3</v>
      </c>
    </row>
    <row r="1412" spans="1:11" x14ac:dyDescent="0.25">
      <c r="A1412" s="2">
        <v>2017</v>
      </c>
      <c r="B1412" s="2" t="s">
        <v>347</v>
      </c>
      <c r="C1412" t="s">
        <v>106</v>
      </c>
      <c r="D1412" s="1">
        <v>153700</v>
      </c>
      <c r="E1412" t="s">
        <v>38</v>
      </c>
      <c r="F1412" t="s">
        <v>7</v>
      </c>
      <c r="G1412" s="40">
        <v>89.3</v>
      </c>
      <c r="H1412" s="40">
        <v>7</v>
      </c>
      <c r="I1412" s="40">
        <v>91</v>
      </c>
      <c r="J1412" s="40">
        <v>78</v>
      </c>
      <c r="K1412" s="40">
        <v>71</v>
      </c>
    </row>
    <row r="1413" spans="1:11" x14ac:dyDescent="0.25">
      <c r="A1413" s="2">
        <v>2017</v>
      </c>
      <c r="B1413" s="2" t="s">
        <v>347</v>
      </c>
      <c r="C1413" t="s">
        <v>106</v>
      </c>
      <c r="D1413" s="1">
        <v>153700</v>
      </c>
      <c r="E1413" t="s">
        <v>38</v>
      </c>
      <c r="F1413" t="s">
        <v>8</v>
      </c>
      <c r="G1413" s="40">
        <v>87.5</v>
      </c>
      <c r="H1413" s="40">
        <v>6</v>
      </c>
      <c r="I1413" s="40">
        <v>87</v>
      </c>
      <c r="J1413" s="40">
        <v>75</v>
      </c>
      <c r="K1413" s="40">
        <v>64</v>
      </c>
    </row>
    <row r="1414" spans="1:11" x14ac:dyDescent="0.25">
      <c r="A1414" s="2">
        <v>2017</v>
      </c>
      <c r="B1414" s="2" t="s">
        <v>347</v>
      </c>
      <c r="C1414" t="s">
        <v>106</v>
      </c>
      <c r="D1414" s="1">
        <v>153700</v>
      </c>
      <c r="E1414" t="s">
        <v>38</v>
      </c>
      <c r="F1414" t="s">
        <v>9</v>
      </c>
      <c r="G1414" s="40">
        <v>89.3</v>
      </c>
      <c r="H1414" s="40">
        <v>7</v>
      </c>
      <c r="I1414" s="40">
        <v>87</v>
      </c>
      <c r="J1414" s="40">
        <v>73</v>
      </c>
      <c r="K1414" s="40">
        <v>69</v>
      </c>
    </row>
    <row r="1415" spans="1:11" x14ac:dyDescent="0.25">
      <c r="A1415" s="2">
        <v>2017</v>
      </c>
      <c r="B1415" s="2" t="s">
        <v>347</v>
      </c>
      <c r="C1415" t="s">
        <v>106</v>
      </c>
      <c r="D1415" s="1">
        <v>153700</v>
      </c>
      <c r="E1415" t="s">
        <v>38</v>
      </c>
      <c r="F1415" t="s">
        <v>10</v>
      </c>
      <c r="G1415" s="40">
        <v>87.5</v>
      </c>
      <c r="H1415" s="40">
        <v>6</v>
      </c>
      <c r="I1415" s="40">
        <v>86</v>
      </c>
      <c r="J1415" s="40">
        <v>72</v>
      </c>
      <c r="K1415" s="40">
        <v>63</v>
      </c>
    </row>
    <row r="1416" spans="1:11" x14ac:dyDescent="0.25">
      <c r="A1416" s="2">
        <v>2017</v>
      </c>
      <c r="B1416" s="2" t="s">
        <v>347</v>
      </c>
      <c r="C1416" t="s">
        <v>106</v>
      </c>
      <c r="D1416" s="1">
        <v>153700</v>
      </c>
      <c r="E1416" t="s">
        <v>38</v>
      </c>
      <c r="F1416" t="s">
        <v>11</v>
      </c>
      <c r="G1416" s="40">
        <v>89.3</v>
      </c>
      <c r="H1416" s="40">
        <v>7</v>
      </c>
      <c r="I1416" s="40">
        <v>68</v>
      </c>
      <c r="J1416" s="40">
        <v>50</v>
      </c>
      <c r="K1416" s="40">
        <v>48</v>
      </c>
    </row>
    <row r="1417" spans="1:11" x14ac:dyDescent="0.25">
      <c r="A1417" s="2">
        <v>2017</v>
      </c>
      <c r="B1417" s="2" t="s">
        <v>347</v>
      </c>
      <c r="C1417" t="s">
        <v>106</v>
      </c>
      <c r="D1417" s="1">
        <v>153700</v>
      </c>
      <c r="E1417" t="s">
        <v>38</v>
      </c>
      <c r="F1417" t="s">
        <v>12</v>
      </c>
      <c r="G1417" s="40">
        <v>85.7</v>
      </c>
      <c r="H1417" s="40">
        <v>7</v>
      </c>
      <c r="I1417" s="40">
        <v>98</v>
      </c>
      <c r="J1417" s="40">
        <v>82</v>
      </c>
      <c r="K1417" s="40">
        <v>75</v>
      </c>
    </row>
    <row r="1418" spans="1:11" x14ac:dyDescent="0.25">
      <c r="A1418" s="2">
        <v>2017</v>
      </c>
      <c r="B1418" s="2" t="s">
        <v>347</v>
      </c>
      <c r="C1418" t="s">
        <v>106</v>
      </c>
      <c r="D1418" s="1">
        <v>177162</v>
      </c>
      <c r="E1418" t="s">
        <v>13</v>
      </c>
      <c r="F1418" t="s">
        <v>7</v>
      </c>
      <c r="G1418">
        <v>87.1</v>
      </c>
      <c r="H1418">
        <v>14</v>
      </c>
      <c r="I1418">
        <v>69</v>
      </c>
      <c r="J1418" s="40">
        <v>56</v>
      </c>
      <c r="K1418" s="40">
        <v>49</v>
      </c>
    </row>
    <row r="1419" spans="1:11" x14ac:dyDescent="0.25">
      <c r="A1419" s="2">
        <v>2017</v>
      </c>
      <c r="B1419" s="2" t="s">
        <v>347</v>
      </c>
      <c r="C1419" t="s">
        <v>106</v>
      </c>
      <c r="D1419" s="1">
        <v>177162</v>
      </c>
      <c r="E1419" t="s">
        <v>13</v>
      </c>
      <c r="F1419" t="s">
        <v>8</v>
      </c>
      <c r="G1419">
        <v>85.7</v>
      </c>
      <c r="H1419">
        <v>14</v>
      </c>
      <c r="I1419">
        <v>68</v>
      </c>
      <c r="J1419" s="40">
        <v>54</v>
      </c>
      <c r="K1419" s="40">
        <v>48</v>
      </c>
    </row>
    <row r="1420" spans="1:11" x14ac:dyDescent="0.25">
      <c r="A1420" s="2">
        <v>2017</v>
      </c>
      <c r="B1420" s="2" t="s">
        <v>347</v>
      </c>
      <c r="C1420" t="s">
        <v>106</v>
      </c>
      <c r="D1420" s="1">
        <v>177162</v>
      </c>
      <c r="E1420" t="s">
        <v>13</v>
      </c>
      <c r="F1420" t="s">
        <v>9</v>
      </c>
      <c r="G1420">
        <v>87.5</v>
      </c>
      <c r="H1420">
        <v>14</v>
      </c>
      <c r="I1420">
        <v>67</v>
      </c>
      <c r="J1420" s="40">
        <v>58</v>
      </c>
      <c r="K1420" s="40">
        <v>51</v>
      </c>
    </row>
    <row r="1421" spans="1:11" x14ac:dyDescent="0.25">
      <c r="A1421" s="2">
        <v>2017</v>
      </c>
      <c r="B1421" s="2" t="s">
        <v>347</v>
      </c>
      <c r="C1421" t="s">
        <v>106</v>
      </c>
      <c r="D1421" s="1">
        <v>177162</v>
      </c>
      <c r="E1421" t="s">
        <v>13</v>
      </c>
      <c r="F1421" t="s">
        <v>10</v>
      </c>
      <c r="G1421">
        <v>85.7</v>
      </c>
      <c r="H1421">
        <v>14</v>
      </c>
      <c r="I1421">
        <v>68</v>
      </c>
      <c r="J1421" s="40">
        <v>48</v>
      </c>
      <c r="K1421" s="40">
        <v>47</v>
      </c>
    </row>
    <row r="1422" spans="1:11" x14ac:dyDescent="0.25">
      <c r="A1422" s="2">
        <v>2017</v>
      </c>
      <c r="B1422" s="2" t="s">
        <v>347</v>
      </c>
      <c r="C1422" t="s">
        <v>106</v>
      </c>
      <c r="D1422" s="1">
        <v>177162</v>
      </c>
      <c r="E1422" t="s">
        <v>13</v>
      </c>
      <c r="F1422" t="s">
        <v>11</v>
      </c>
      <c r="G1422">
        <v>89.3</v>
      </c>
      <c r="H1422">
        <v>14</v>
      </c>
      <c r="I1422">
        <v>68</v>
      </c>
      <c r="J1422" s="40">
        <v>50</v>
      </c>
      <c r="K1422" s="40">
        <v>48</v>
      </c>
    </row>
    <row r="1423" spans="1:11" x14ac:dyDescent="0.25">
      <c r="A1423" s="2">
        <v>2017</v>
      </c>
      <c r="B1423" s="2" t="s">
        <v>347</v>
      </c>
      <c r="C1423" t="s">
        <v>106</v>
      </c>
      <c r="D1423" s="1">
        <v>177162</v>
      </c>
      <c r="E1423" t="s">
        <v>13</v>
      </c>
      <c r="F1423" t="s">
        <v>12</v>
      </c>
      <c r="G1423">
        <v>67.900000000000006</v>
      </c>
      <c r="H1423">
        <v>14</v>
      </c>
      <c r="I1423">
        <v>18</v>
      </c>
      <c r="J1423" s="40">
        <v>5</v>
      </c>
      <c r="K1423" s="40">
        <v>4</v>
      </c>
    </row>
    <row r="1424" spans="1:11" x14ac:dyDescent="0.25">
      <c r="A1424" s="2">
        <v>2017</v>
      </c>
      <c r="B1424" s="2" t="s">
        <v>347</v>
      </c>
      <c r="C1424" t="s">
        <v>106</v>
      </c>
      <c r="D1424" s="1">
        <v>23994</v>
      </c>
      <c r="E1424" t="s">
        <v>31</v>
      </c>
      <c r="F1424" t="s">
        <v>7</v>
      </c>
      <c r="G1424">
        <v>85.2</v>
      </c>
      <c r="H1424">
        <v>8</v>
      </c>
      <c r="I1424">
        <v>50</v>
      </c>
      <c r="J1424" s="40">
        <v>35</v>
      </c>
      <c r="K1424" s="40">
        <v>31</v>
      </c>
    </row>
    <row r="1425" spans="1:11" x14ac:dyDescent="0.25">
      <c r="A1425" s="2">
        <v>2017</v>
      </c>
      <c r="B1425" s="2" t="s">
        <v>347</v>
      </c>
      <c r="C1425" t="s">
        <v>106</v>
      </c>
      <c r="D1425" s="1">
        <v>23994</v>
      </c>
      <c r="E1425" t="s">
        <v>31</v>
      </c>
      <c r="F1425" t="s">
        <v>8</v>
      </c>
      <c r="G1425">
        <v>81.3</v>
      </c>
      <c r="H1425">
        <v>8</v>
      </c>
      <c r="I1425">
        <v>27</v>
      </c>
      <c r="J1425" s="40">
        <v>18</v>
      </c>
      <c r="K1425" s="40">
        <v>15</v>
      </c>
    </row>
    <row r="1426" spans="1:11" x14ac:dyDescent="0.25">
      <c r="A1426" s="2">
        <v>2017</v>
      </c>
      <c r="B1426" s="2" t="s">
        <v>347</v>
      </c>
      <c r="C1426" t="s">
        <v>106</v>
      </c>
      <c r="D1426" s="1">
        <v>23994</v>
      </c>
      <c r="E1426" t="s">
        <v>31</v>
      </c>
      <c r="F1426" t="s">
        <v>9</v>
      </c>
      <c r="G1426">
        <v>85.7</v>
      </c>
      <c r="H1426">
        <v>7</v>
      </c>
      <c r="I1426">
        <v>50</v>
      </c>
      <c r="J1426" s="40">
        <v>35</v>
      </c>
      <c r="K1426" s="40">
        <v>33</v>
      </c>
    </row>
    <row r="1427" spans="1:11" x14ac:dyDescent="0.25">
      <c r="A1427" s="2">
        <v>2017</v>
      </c>
      <c r="B1427" s="2" t="s">
        <v>347</v>
      </c>
      <c r="C1427" t="s">
        <v>106</v>
      </c>
      <c r="D1427" s="1">
        <v>23994</v>
      </c>
      <c r="E1427" t="s">
        <v>31</v>
      </c>
      <c r="F1427" t="s">
        <v>10</v>
      </c>
      <c r="G1427">
        <v>84.4</v>
      </c>
      <c r="H1427">
        <v>8</v>
      </c>
      <c r="I1427">
        <v>53</v>
      </c>
      <c r="J1427" s="40">
        <v>39</v>
      </c>
      <c r="K1427" s="40">
        <v>35</v>
      </c>
    </row>
    <row r="1428" spans="1:11" x14ac:dyDescent="0.25">
      <c r="A1428" s="2">
        <v>2017</v>
      </c>
      <c r="B1428" s="2" t="s">
        <v>347</v>
      </c>
      <c r="C1428" t="s">
        <v>106</v>
      </c>
      <c r="D1428" s="1">
        <v>23994</v>
      </c>
      <c r="E1428" t="s">
        <v>31</v>
      </c>
      <c r="F1428" t="s">
        <v>11</v>
      </c>
      <c r="G1428">
        <v>87.5</v>
      </c>
      <c r="H1428">
        <v>8</v>
      </c>
      <c r="I1428">
        <v>50</v>
      </c>
      <c r="J1428" s="40">
        <v>29</v>
      </c>
      <c r="K1428" s="40">
        <v>30</v>
      </c>
    </row>
    <row r="1429" spans="1:11" x14ac:dyDescent="0.25">
      <c r="A1429" s="2">
        <v>2017</v>
      </c>
      <c r="B1429" s="2" t="s">
        <v>347</v>
      </c>
      <c r="C1429" t="s">
        <v>106</v>
      </c>
      <c r="D1429" s="1">
        <v>23994</v>
      </c>
      <c r="E1429" t="s">
        <v>31</v>
      </c>
      <c r="F1429" t="s">
        <v>12</v>
      </c>
      <c r="G1429">
        <v>46.9</v>
      </c>
      <c r="H1429">
        <v>8</v>
      </c>
      <c r="I1429">
        <v>1</v>
      </c>
      <c r="J1429" s="40">
        <v>1</v>
      </c>
      <c r="K1429" s="40">
        <v>1</v>
      </c>
    </row>
    <row r="1430" spans="1:11" x14ac:dyDescent="0.25">
      <c r="A1430" s="2">
        <v>2017</v>
      </c>
      <c r="B1430" s="2" t="s">
        <v>347</v>
      </c>
      <c r="C1430" t="s">
        <v>106</v>
      </c>
      <c r="D1430" s="1">
        <v>91397</v>
      </c>
      <c r="E1430" t="s">
        <v>41</v>
      </c>
      <c r="F1430" t="s">
        <v>7</v>
      </c>
      <c r="G1430">
        <v>82.8</v>
      </c>
      <c r="H1430">
        <v>4</v>
      </c>
      <c r="I1430">
        <v>24</v>
      </c>
      <c r="J1430" s="40">
        <v>18</v>
      </c>
      <c r="K1430" s="40">
        <v>15</v>
      </c>
    </row>
    <row r="1431" spans="1:11" x14ac:dyDescent="0.25">
      <c r="A1431" s="2">
        <v>2017</v>
      </c>
      <c r="B1431" s="2" t="s">
        <v>347</v>
      </c>
      <c r="C1431" t="s">
        <v>106</v>
      </c>
      <c r="D1431" s="1">
        <v>91397</v>
      </c>
      <c r="E1431" t="s">
        <v>41</v>
      </c>
      <c r="F1431" t="s">
        <v>8</v>
      </c>
      <c r="G1431">
        <v>81.3</v>
      </c>
      <c r="H1431">
        <v>4</v>
      </c>
      <c r="I1431">
        <v>27</v>
      </c>
      <c r="J1431" s="40">
        <v>18</v>
      </c>
      <c r="K1431" s="40">
        <v>15</v>
      </c>
    </row>
    <row r="1432" spans="1:11" x14ac:dyDescent="0.25">
      <c r="A1432" s="2">
        <v>2017</v>
      </c>
      <c r="B1432" s="2" t="s">
        <v>347</v>
      </c>
      <c r="C1432" t="s">
        <v>106</v>
      </c>
      <c r="D1432" s="1">
        <v>91397</v>
      </c>
      <c r="E1432" t="s">
        <v>41</v>
      </c>
      <c r="F1432" t="s">
        <v>9</v>
      </c>
      <c r="G1432">
        <v>81.3</v>
      </c>
      <c r="H1432">
        <v>4</v>
      </c>
      <c r="I1432">
        <v>11</v>
      </c>
      <c r="J1432" s="40">
        <v>7</v>
      </c>
      <c r="K1432" s="40">
        <v>9</v>
      </c>
    </row>
    <row r="1433" spans="1:11" x14ac:dyDescent="0.25">
      <c r="A1433" s="2">
        <v>2017</v>
      </c>
      <c r="B1433" s="2" t="s">
        <v>347</v>
      </c>
      <c r="C1433" t="s">
        <v>106</v>
      </c>
      <c r="D1433" s="1">
        <v>91397</v>
      </c>
      <c r="E1433" t="s">
        <v>41</v>
      </c>
      <c r="F1433" t="s">
        <v>10</v>
      </c>
      <c r="G1433">
        <v>75</v>
      </c>
      <c r="H1433">
        <v>3</v>
      </c>
      <c r="I1433">
        <v>3</v>
      </c>
      <c r="J1433" s="40">
        <v>2</v>
      </c>
      <c r="K1433" s="40">
        <v>2</v>
      </c>
    </row>
    <row r="1434" spans="1:11" x14ac:dyDescent="0.25">
      <c r="A1434" s="2">
        <v>2017</v>
      </c>
      <c r="B1434" s="2" t="s">
        <v>347</v>
      </c>
      <c r="C1434" t="s">
        <v>106</v>
      </c>
      <c r="D1434" s="1">
        <v>91397</v>
      </c>
      <c r="E1434" t="s">
        <v>41</v>
      </c>
      <c r="F1434" t="s">
        <v>11</v>
      </c>
      <c r="G1434">
        <v>87.5</v>
      </c>
      <c r="H1434">
        <v>4</v>
      </c>
      <c r="I1434">
        <v>50</v>
      </c>
      <c r="J1434" s="40">
        <v>29</v>
      </c>
      <c r="K1434" s="40">
        <v>30</v>
      </c>
    </row>
    <row r="1435" spans="1:11" x14ac:dyDescent="0.25">
      <c r="A1435" s="2">
        <v>2017</v>
      </c>
      <c r="B1435" s="2" t="s">
        <v>347</v>
      </c>
      <c r="C1435" t="s">
        <v>106</v>
      </c>
      <c r="D1435" s="1">
        <v>91397</v>
      </c>
      <c r="E1435" t="s">
        <v>41</v>
      </c>
      <c r="F1435" t="s">
        <v>12</v>
      </c>
      <c r="G1435">
        <v>83.3</v>
      </c>
      <c r="H1435">
        <v>3</v>
      </c>
      <c r="I1435">
        <v>89</v>
      </c>
      <c r="J1435" s="40">
        <v>65</v>
      </c>
      <c r="K1435" s="40">
        <v>60</v>
      </c>
    </row>
    <row r="1436" spans="1:11" x14ac:dyDescent="0.25">
      <c r="A1436" s="2">
        <v>2017</v>
      </c>
      <c r="B1436" s="2" t="s">
        <v>347</v>
      </c>
      <c r="C1436" t="s">
        <v>106</v>
      </c>
      <c r="D1436" s="1">
        <v>91405</v>
      </c>
      <c r="E1436" t="s">
        <v>39</v>
      </c>
      <c r="F1436" t="s">
        <v>7</v>
      </c>
      <c r="G1436">
        <v>82.8</v>
      </c>
      <c r="H1436">
        <v>8</v>
      </c>
      <c r="I1436">
        <v>24</v>
      </c>
      <c r="J1436" s="40">
        <v>18</v>
      </c>
      <c r="K1436" s="40">
        <v>15</v>
      </c>
    </row>
    <row r="1437" spans="1:11" x14ac:dyDescent="0.25">
      <c r="A1437" s="2">
        <v>2017</v>
      </c>
      <c r="B1437" s="2" t="s">
        <v>347</v>
      </c>
      <c r="C1437" t="s">
        <v>106</v>
      </c>
      <c r="D1437" s="1">
        <v>91405</v>
      </c>
      <c r="E1437" t="s">
        <v>39</v>
      </c>
      <c r="F1437" t="s">
        <v>8</v>
      </c>
      <c r="G1437">
        <v>84.4</v>
      </c>
      <c r="H1437">
        <v>8</v>
      </c>
      <c r="I1437">
        <v>57</v>
      </c>
      <c r="J1437" s="40">
        <v>41</v>
      </c>
      <c r="K1437" s="40">
        <v>36</v>
      </c>
    </row>
    <row r="1438" spans="1:11" x14ac:dyDescent="0.25">
      <c r="A1438" s="2">
        <v>2017</v>
      </c>
      <c r="B1438" s="2" t="s">
        <v>347</v>
      </c>
      <c r="C1438" t="s">
        <v>106</v>
      </c>
      <c r="D1438" s="1">
        <v>91405</v>
      </c>
      <c r="E1438" t="s">
        <v>39</v>
      </c>
      <c r="F1438" t="s">
        <v>9</v>
      </c>
      <c r="G1438">
        <v>81.3</v>
      </c>
      <c r="H1438">
        <v>8</v>
      </c>
      <c r="I1438">
        <v>11</v>
      </c>
      <c r="J1438" s="40">
        <v>7</v>
      </c>
      <c r="K1438" s="40">
        <v>9</v>
      </c>
    </row>
    <row r="1439" spans="1:11" x14ac:dyDescent="0.25">
      <c r="A1439" s="2">
        <v>2017</v>
      </c>
      <c r="B1439" s="2" t="s">
        <v>347</v>
      </c>
      <c r="C1439" t="s">
        <v>106</v>
      </c>
      <c r="D1439" s="1">
        <v>91405</v>
      </c>
      <c r="E1439" t="s">
        <v>39</v>
      </c>
      <c r="F1439" t="s">
        <v>10</v>
      </c>
      <c r="G1439">
        <v>78.099999999999994</v>
      </c>
      <c r="H1439">
        <v>8</v>
      </c>
      <c r="I1439">
        <v>10</v>
      </c>
      <c r="J1439" s="40">
        <v>6</v>
      </c>
      <c r="K1439" s="40">
        <v>6</v>
      </c>
    </row>
    <row r="1440" spans="1:11" x14ac:dyDescent="0.25">
      <c r="A1440" s="2">
        <v>2017</v>
      </c>
      <c r="B1440" s="2" t="s">
        <v>347</v>
      </c>
      <c r="C1440" t="s">
        <v>106</v>
      </c>
      <c r="D1440" s="1">
        <v>91405</v>
      </c>
      <c r="E1440" t="s">
        <v>39</v>
      </c>
      <c r="F1440" t="s">
        <v>11</v>
      </c>
      <c r="G1440">
        <v>87.5</v>
      </c>
      <c r="H1440">
        <v>8</v>
      </c>
      <c r="I1440">
        <v>50</v>
      </c>
      <c r="J1440" s="40">
        <v>29</v>
      </c>
      <c r="K1440" s="40">
        <v>30</v>
      </c>
    </row>
    <row r="1441" spans="1:11" x14ac:dyDescent="0.25">
      <c r="A1441" s="2">
        <v>2017</v>
      </c>
      <c r="B1441" s="2" t="s">
        <v>347</v>
      </c>
      <c r="C1441" t="s">
        <v>106</v>
      </c>
      <c r="D1441" s="1">
        <v>91405</v>
      </c>
      <c r="E1441" t="s">
        <v>39</v>
      </c>
      <c r="F1441" t="s">
        <v>12</v>
      </c>
      <c r="G1441">
        <v>84.4</v>
      </c>
      <c r="H1441">
        <v>8</v>
      </c>
      <c r="I1441">
        <v>95</v>
      </c>
      <c r="J1441" s="40">
        <v>69</v>
      </c>
      <c r="K1441" s="40">
        <v>67</v>
      </c>
    </row>
    <row r="1442" spans="1:11" x14ac:dyDescent="0.25">
      <c r="A1442" s="2">
        <v>2017</v>
      </c>
      <c r="B1442" s="2" t="s">
        <v>347</v>
      </c>
      <c r="C1442" t="s">
        <v>106</v>
      </c>
      <c r="D1442" s="1">
        <v>70359</v>
      </c>
      <c r="E1442" t="s">
        <v>19</v>
      </c>
      <c r="F1442" t="s">
        <v>7</v>
      </c>
      <c r="G1442">
        <v>81.3</v>
      </c>
      <c r="H1442">
        <v>6</v>
      </c>
      <c r="I1442">
        <v>18</v>
      </c>
      <c r="J1442" s="40">
        <v>9</v>
      </c>
      <c r="K1442" s="40">
        <v>10</v>
      </c>
    </row>
    <row r="1443" spans="1:11" x14ac:dyDescent="0.25">
      <c r="A1443" s="2">
        <v>2017</v>
      </c>
      <c r="B1443" s="2" t="s">
        <v>347</v>
      </c>
      <c r="C1443" t="s">
        <v>106</v>
      </c>
      <c r="D1443" s="1">
        <v>70359</v>
      </c>
      <c r="E1443" t="s">
        <v>19</v>
      </c>
      <c r="F1443" t="s">
        <v>8</v>
      </c>
      <c r="G1443">
        <v>79.2</v>
      </c>
      <c r="H1443">
        <v>6</v>
      </c>
      <c r="I1443">
        <v>14</v>
      </c>
      <c r="J1443" s="40">
        <v>9</v>
      </c>
      <c r="K1443" s="40">
        <v>8</v>
      </c>
    </row>
    <row r="1444" spans="1:11" x14ac:dyDescent="0.25">
      <c r="A1444" s="2">
        <v>2017</v>
      </c>
      <c r="B1444" s="2" t="s">
        <v>347</v>
      </c>
      <c r="C1444" t="s">
        <v>106</v>
      </c>
      <c r="D1444" s="1">
        <v>70359</v>
      </c>
      <c r="E1444" t="s">
        <v>19</v>
      </c>
      <c r="F1444" t="s">
        <v>9</v>
      </c>
      <c r="G1444">
        <v>79.2</v>
      </c>
      <c r="H1444">
        <v>6</v>
      </c>
      <c r="I1444">
        <v>3</v>
      </c>
      <c r="J1444" s="40">
        <v>4</v>
      </c>
      <c r="K1444" s="40">
        <v>4</v>
      </c>
    </row>
    <row r="1445" spans="1:11" x14ac:dyDescent="0.25">
      <c r="A1445" s="2">
        <v>2017</v>
      </c>
      <c r="B1445" s="2" t="s">
        <v>347</v>
      </c>
      <c r="C1445" t="s">
        <v>106</v>
      </c>
      <c r="D1445" s="1">
        <v>70359</v>
      </c>
      <c r="E1445" t="s">
        <v>19</v>
      </c>
      <c r="F1445" t="s">
        <v>10</v>
      </c>
      <c r="G1445">
        <v>79.2</v>
      </c>
      <c r="H1445">
        <v>6</v>
      </c>
      <c r="I1445">
        <v>13</v>
      </c>
      <c r="J1445" s="40">
        <v>8</v>
      </c>
      <c r="K1445" s="40">
        <v>8</v>
      </c>
    </row>
    <row r="1446" spans="1:11" x14ac:dyDescent="0.25">
      <c r="A1446" s="2">
        <v>2017</v>
      </c>
      <c r="B1446" s="2" t="s">
        <v>347</v>
      </c>
      <c r="C1446" t="s">
        <v>106</v>
      </c>
      <c r="D1446" s="1">
        <v>70359</v>
      </c>
      <c r="E1446" t="s">
        <v>19</v>
      </c>
      <c r="F1446" t="s">
        <v>11</v>
      </c>
      <c r="G1446">
        <v>87.5</v>
      </c>
      <c r="H1446">
        <v>6</v>
      </c>
      <c r="I1446">
        <v>50</v>
      </c>
      <c r="J1446" s="40">
        <v>29</v>
      </c>
      <c r="K1446" s="40">
        <v>30</v>
      </c>
    </row>
    <row r="1447" spans="1:11" x14ac:dyDescent="0.25">
      <c r="A1447" s="2">
        <v>2017</v>
      </c>
      <c r="B1447" s="2" t="s">
        <v>347</v>
      </c>
      <c r="C1447" t="s">
        <v>106</v>
      </c>
      <c r="D1447" s="1">
        <v>70359</v>
      </c>
      <c r="E1447" t="s">
        <v>19</v>
      </c>
      <c r="F1447" t="s">
        <v>12</v>
      </c>
      <c r="G1447">
        <v>62.5</v>
      </c>
      <c r="H1447">
        <v>6</v>
      </c>
      <c r="I1447">
        <v>6</v>
      </c>
      <c r="J1447" s="40">
        <v>3</v>
      </c>
      <c r="K1447" s="40">
        <v>1</v>
      </c>
    </row>
    <row r="1448" spans="1:11" x14ac:dyDescent="0.25">
      <c r="A1448" s="2">
        <v>2017</v>
      </c>
      <c r="B1448" s="2" t="s">
        <v>347</v>
      </c>
      <c r="C1448" t="s">
        <v>106</v>
      </c>
      <c r="D1448" s="1">
        <v>89391</v>
      </c>
      <c r="E1448" t="s">
        <v>27</v>
      </c>
      <c r="F1448" t="s">
        <v>7</v>
      </c>
      <c r="G1448">
        <v>84.6</v>
      </c>
      <c r="H1448">
        <v>15</v>
      </c>
      <c r="I1448">
        <v>39</v>
      </c>
      <c r="J1448" s="40">
        <v>28</v>
      </c>
      <c r="K1448" s="40">
        <v>27</v>
      </c>
    </row>
    <row r="1449" spans="1:11" x14ac:dyDescent="0.25">
      <c r="A1449" s="2">
        <v>2017</v>
      </c>
      <c r="B1449" s="2" t="s">
        <v>347</v>
      </c>
      <c r="C1449" t="s">
        <v>106</v>
      </c>
      <c r="D1449" s="1">
        <v>89391</v>
      </c>
      <c r="E1449" t="s">
        <v>27</v>
      </c>
      <c r="F1449" t="s">
        <v>8</v>
      </c>
      <c r="G1449">
        <v>86.7</v>
      </c>
      <c r="H1449">
        <v>15</v>
      </c>
      <c r="I1449">
        <v>82</v>
      </c>
      <c r="J1449" s="40">
        <v>63</v>
      </c>
      <c r="K1449" s="40">
        <v>57</v>
      </c>
    </row>
    <row r="1450" spans="1:11" x14ac:dyDescent="0.25">
      <c r="A1450" s="2">
        <v>2017</v>
      </c>
      <c r="B1450" s="2" t="s">
        <v>347</v>
      </c>
      <c r="C1450" t="s">
        <v>106</v>
      </c>
      <c r="D1450" s="1">
        <v>89391</v>
      </c>
      <c r="E1450" t="s">
        <v>27</v>
      </c>
      <c r="F1450" t="s">
        <v>9</v>
      </c>
      <c r="G1450">
        <v>86.7</v>
      </c>
      <c r="H1450">
        <v>15</v>
      </c>
      <c r="I1450">
        <v>58</v>
      </c>
      <c r="J1450" s="40">
        <v>49</v>
      </c>
      <c r="K1450" s="40">
        <v>43</v>
      </c>
    </row>
    <row r="1451" spans="1:11" x14ac:dyDescent="0.25">
      <c r="A1451" s="2">
        <v>2017</v>
      </c>
      <c r="B1451" s="2" t="s">
        <v>347</v>
      </c>
      <c r="C1451" t="s">
        <v>106</v>
      </c>
      <c r="D1451" s="1">
        <v>89391</v>
      </c>
      <c r="E1451" t="s">
        <v>27</v>
      </c>
      <c r="F1451" t="s">
        <v>10</v>
      </c>
      <c r="G1451">
        <v>78.3</v>
      </c>
      <c r="H1451">
        <v>15</v>
      </c>
      <c r="I1451">
        <v>10</v>
      </c>
      <c r="J1451" s="40">
        <v>7</v>
      </c>
      <c r="K1451" s="40">
        <v>6</v>
      </c>
    </row>
    <row r="1452" spans="1:11" x14ac:dyDescent="0.25">
      <c r="A1452" s="2">
        <v>2017</v>
      </c>
      <c r="B1452" s="2" t="s">
        <v>347</v>
      </c>
      <c r="C1452" t="s">
        <v>106</v>
      </c>
      <c r="D1452" s="1">
        <v>89391</v>
      </c>
      <c r="E1452" t="s">
        <v>27</v>
      </c>
      <c r="F1452" t="s">
        <v>11</v>
      </c>
      <c r="G1452">
        <v>86.7</v>
      </c>
      <c r="H1452">
        <v>15</v>
      </c>
      <c r="I1452">
        <v>35</v>
      </c>
      <c r="J1452" s="40">
        <v>22</v>
      </c>
      <c r="K1452" s="40">
        <v>23</v>
      </c>
    </row>
    <row r="1453" spans="1:11" x14ac:dyDescent="0.25">
      <c r="A1453" s="2">
        <v>2017</v>
      </c>
      <c r="B1453" s="2" t="s">
        <v>347</v>
      </c>
      <c r="C1453" t="s">
        <v>106</v>
      </c>
      <c r="D1453" s="1">
        <v>89391</v>
      </c>
      <c r="E1453" t="s">
        <v>27</v>
      </c>
      <c r="F1453" t="s">
        <v>12</v>
      </c>
      <c r="G1453">
        <v>83.3</v>
      </c>
      <c r="H1453">
        <v>15</v>
      </c>
      <c r="I1453">
        <v>89</v>
      </c>
      <c r="J1453" s="40">
        <v>65</v>
      </c>
      <c r="K1453" s="40">
        <v>60</v>
      </c>
    </row>
    <row r="1454" spans="1:11" x14ac:dyDescent="0.25">
      <c r="A1454" s="2">
        <v>2017</v>
      </c>
      <c r="B1454" s="2" t="s">
        <v>347</v>
      </c>
      <c r="C1454" t="s">
        <v>106</v>
      </c>
      <c r="D1454" s="1">
        <v>60707</v>
      </c>
      <c r="E1454" t="s">
        <v>42</v>
      </c>
      <c r="F1454" t="s">
        <v>7</v>
      </c>
      <c r="G1454">
        <v>83.5</v>
      </c>
      <c r="H1454">
        <v>11</v>
      </c>
      <c r="I1454">
        <v>31</v>
      </c>
      <c r="J1454" s="40">
        <v>21</v>
      </c>
      <c r="K1454" s="40">
        <v>19</v>
      </c>
    </row>
    <row r="1455" spans="1:11" x14ac:dyDescent="0.25">
      <c r="A1455" s="2">
        <v>2017</v>
      </c>
      <c r="B1455" s="2" t="s">
        <v>347</v>
      </c>
      <c r="C1455" t="s">
        <v>106</v>
      </c>
      <c r="D1455" s="1">
        <v>60707</v>
      </c>
      <c r="E1455" t="s">
        <v>42</v>
      </c>
      <c r="F1455" t="s">
        <v>8</v>
      </c>
      <c r="G1455">
        <v>81.8</v>
      </c>
      <c r="H1455">
        <v>11</v>
      </c>
      <c r="I1455">
        <v>29</v>
      </c>
      <c r="J1455" s="40">
        <v>21</v>
      </c>
      <c r="K1455" s="40">
        <v>18</v>
      </c>
    </row>
    <row r="1456" spans="1:11" x14ac:dyDescent="0.25">
      <c r="A1456" s="2">
        <v>2017</v>
      </c>
      <c r="B1456" s="2" t="s">
        <v>347</v>
      </c>
      <c r="C1456" t="s">
        <v>106</v>
      </c>
      <c r="D1456" s="1">
        <v>60707</v>
      </c>
      <c r="E1456" t="s">
        <v>42</v>
      </c>
      <c r="F1456" t="s">
        <v>9</v>
      </c>
      <c r="G1456">
        <v>84.1</v>
      </c>
      <c r="H1456">
        <v>11</v>
      </c>
      <c r="I1456">
        <v>33</v>
      </c>
      <c r="J1456" s="40">
        <v>23</v>
      </c>
      <c r="K1456" s="40">
        <v>21</v>
      </c>
    </row>
    <row r="1457" spans="1:11" x14ac:dyDescent="0.25">
      <c r="A1457" s="2">
        <v>2017</v>
      </c>
      <c r="B1457" s="2" t="s">
        <v>347</v>
      </c>
      <c r="C1457" t="s">
        <v>106</v>
      </c>
      <c r="D1457" s="1">
        <v>60707</v>
      </c>
      <c r="E1457" t="s">
        <v>42</v>
      </c>
      <c r="F1457" t="s">
        <v>10</v>
      </c>
      <c r="G1457">
        <v>80</v>
      </c>
      <c r="H1457">
        <v>10</v>
      </c>
      <c r="I1457">
        <v>21</v>
      </c>
      <c r="J1457" s="40">
        <v>11</v>
      </c>
      <c r="K1457" s="40">
        <v>10</v>
      </c>
    </row>
    <row r="1458" spans="1:11" x14ac:dyDescent="0.25">
      <c r="A1458" s="2">
        <v>2017</v>
      </c>
      <c r="B1458" s="2" t="s">
        <v>347</v>
      </c>
      <c r="C1458" t="s">
        <v>106</v>
      </c>
      <c r="D1458" s="1">
        <v>60707</v>
      </c>
      <c r="E1458" t="s">
        <v>42</v>
      </c>
      <c r="F1458" t="s">
        <v>11</v>
      </c>
      <c r="G1458">
        <v>86.4</v>
      </c>
      <c r="H1458">
        <v>11</v>
      </c>
      <c r="I1458">
        <v>32</v>
      </c>
      <c r="J1458" s="40">
        <v>21</v>
      </c>
      <c r="K1458" s="40">
        <v>21</v>
      </c>
    </row>
    <row r="1459" spans="1:11" x14ac:dyDescent="0.25">
      <c r="A1459" s="2">
        <v>2017</v>
      </c>
      <c r="B1459" s="2" t="s">
        <v>347</v>
      </c>
      <c r="C1459" t="s">
        <v>106</v>
      </c>
      <c r="D1459" s="1">
        <v>60707</v>
      </c>
      <c r="E1459" t="s">
        <v>42</v>
      </c>
      <c r="F1459" t="s">
        <v>12</v>
      </c>
      <c r="G1459">
        <v>81.8</v>
      </c>
      <c r="H1459">
        <v>11</v>
      </c>
      <c r="I1459">
        <v>80</v>
      </c>
      <c r="J1459" s="40">
        <v>49</v>
      </c>
      <c r="K1459" s="40">
        <v>51</v>
      </c>
    </row>
    <row r="1460" spans="1:11" x14ac:dyDescent="0.25">
      <c r="A1460" s="2">
        <v>2017</v>
      </c>
      <c r="B1460" s="2" t="s">
        <v>347</v>
      </c>
      <c r="C1460" t="s">
        <v>106</v>
      </c>
      <c r="D1460" s="1">
        <v>59899</v>
      </c>
      <c r="E1460" t="s">
        <v>22</v>
      </c>
      <c r="F1460" t="s">
        <v>7</v>
      </c>
      <c r="G1460">
        <v>80.099999999999994</v>
      </c>
      <c r="H1460">
        <v>13</v>
      </c>
      <c r="I1460">
        <v>9</v>
      </c>
      <c r="J1460" s="40">
        <v>6</v>
      </c>
      <c r="K1460" s="40">
        <v>6</v>
      </c>
    </row>
    <row r="1461" spans="1:11" x14ac:dyDescent="0.25">
      <c r="A1461" s="2">
        <v>2017</v>
      </c>
      <c r="B1461" s="2" t="s">
        <v>347</v>
      </c>
      <c r="C1461" t="s">
        <v>106</v>
      </c>
      <c r="D1461" s="1">
        <v>59899</v>
      </c>
      <c r="E1461" t="s">
        <v>22</v>
      </c>
      <c r="F1461" t="s">
        <v>8</v>
      </c>
      <c r="G1461">
        <v>75</v>
      </c>
      <c r="H1461">
        <v>13</v>
      </c>
      <c r="I1461">
        <v>3</v>
      </c>
      <c r="J1461" s="40">
        <v>3</v>
      </c>
      <c r="K1461" s="40">
        <v>2</v>
      </c>
    </row>
    <row r="1462" spans="1:11" x14ac:dyDescent="0.25">
      <c r="A1462" s="2">
        <v>2017</v>
      </c>
      <c r="B1462" s="2" t="s">
        <v>347</v>
      </c>
      <c r="C1462" t="s">
        <v>106</v>
      </c>
      <c r="D1462" s="1">
        <v>59899</v>
      </c>
      <c r="E1462" t="s">
        <v>22</v>
      </c>
      <c r="F1462" t="s">
        <v>9</v>
      </c>
      <c r="G1462">
        <v>78.900000000000006</v>
      </c>
      <c r="H1462">
        <v>13</v>
      </c>
      <c r="I1462">
        <v>3</v>
      </c>
      <c r="J1462" s="40">
        <v>4</v>
      </c>
      <c r="K1462" s="40">
        <v>4</v>
      </c>
    </row>
    <row r="1463" spans="1:11" x14ac:dyDescent="0.25">
      <c r="A1463" s="2">
        <v>2017</v>
      </c>
      <c r="B1463" s="2" t="s">
        <v>347</v>
      </c>
      <c r="C1463" t="s">
        <v>106</v>
      </c>
      <c r="D1463" s="1">
        <v>59899</v>
      </c>
      <c r="E1463" t="s">
        <v>22</v>
      </c>
      <c r="F1463" t="s">
        <v>10</v>
      </c>
      <c r="G1463">
        <v>81.3</v>
      </c>
      <c r="H1463">
        <v>12</v>
      </c>
      <c r="I1463">
        <v>26</v>
      </c>
      <c r="J1463" s="40">
        <v>16</v>
      </c>
      <c r="K1463" s="40">
        <v>15</v>
      </c>
    </row>
    <row r="1464" spans="1:11" x14ac:dyDescent="0.25">
      <c r="A1464" s="2">
        <v>2017</v>
      </c>
      <c r="B1464" s="2" t="s">
        <v>347</v>
      </c>
      <c r="C1464" t="s">
        <v>106</v>
      </c>
      <c r="D1464" s="1">
        <v>59899</v>
      </c>
      <c r="E1464" t="s">
        <v>22</v>
      </c>
      <c r="F1464" t="s">
        <v>11</v>
      </c>
      <c r="G1464">
        <v>84.6</v>
      </c>
      <c r="H1464">
        <v>13</v>
      </c>
      <c r="I1464">
        <v>18</v>
      </c>
      <c r="J1464" s="40">
        <v>7</v>
      </c>
      <c r="K1464" s="40">
        <v>12</v>
      </c>
    </row>
    <row r="1465" spans="1:11" x14ac:dyDescent="0.25">
      <c r="A1465" s="2">
        <v>2017</v>
      </c>
      <c r="B1465" s="2" t="s">
        <v>347</v>
      </c>
      <c r="C1465" t="s">
        <v>106</v>
      </c>
      <c r="D1465" s="1">
        <v>59899</v>
      </c>
      <c r="E1465" t="s">
        <v>22</v>
      </c>
      <c r="F1465" t="s">
        <v>12</v>
      </c>
      <c r="G1465">
        <v>59.6</v>
      </c>
      <c r="H1465">
        <v>13</v>
      </c>
      <c r="I1465">
        <v>3</v>
      </c>
      <c r="J1465" s="40">
        <v>1</v>
      </c>
      <c r="K1465" s="40">
        <v>1</v>
      </c>
    </row>
    <row r="1466" spans="1:11" x14ac:dyDescent="0.25">
      <c r="A1466" s="2">
        <v>2017</v>
      </c>
      <c r="B1466" s="2" t="s">
        <v>347</v>
      </c>
      <c r="C1466" t="s">
        <v>106</v>
      </c>
      <c r="D1466" s="1">
        <v>117465</v>
      </c>
      <c r="E1466" t="s">
        <v>23</v>
      </c>
      <c r="F1466" t="s">
        <v>7</v>
      </c>
      <c r="G1466">
        <v>78.099999999999994</v>
      </c>
      <c r="H1466">
        <v>8</v>
      </c>
      <c r="I1466">
        <v>3</v>
      </c>
      <c r="J1466" s="40">
        <v>4</v>
      </c>
      <c r="K1466" s="40">
        <v>3</v>
      </c>
    </row>
    <row r="1467" spans="1:11" x14ac:dyDescent="0.25">
      <c r="A1467" s="2">
        <v>2017</v>
      </c>
      <c r="B1467" s="2" t="s">
        <v>347</v>
      </c>
      <c r="C1467" t="s">
        <v>106</v>
      </c>
      <c r="D1467" s="1">
        <v>117465</v>
      </c>
      <c r="E1467" t="s">
        <v>23</v>
      </c>
      <c r="F1467" t="s">
        <v>8</v>
      </c>
      <c r="G1467">
        <v>81.3</v>
      </c>
      <c r="H1467">
        <v>8</v>
      </c>
      <c r="I1467">
        <v>27</v>
      </c>
      <c r="J1467" s="40">
        <v>18</v>
      </c>
      <c r="K1467" s="40">
        <v>15</v>
      </c>
    </row>
    <row r="1468" spans="1:11" x14ac:dyDescent="0.25">
      <c r="A1468" s="2">
        <v>2017</v>
      </c>
      <c r="B1468" s="2" t="s">
        <v>347</v>
      </c>
      <c r="C1468" t="s">
        <v>106</v>
      </c>
      <c r="D1468" s="1">
        <v>117465</v>
      </c>
      <c r="E1468" t="s">
        <v>23</v>
      </c>
      <c r="F1468" t="s">
        <v>9</v>
      </c>
      <c r="G1468">
        <v>75</v>
      </c>
      <c r="H1468">
        <v>8</v>
      </c>
      <c r="I1468">
        <v>1</v>
      </c>
      <c r="J1468" s="40">
        <v>1</v>
      </c>
      <c r="K1468" s="40">
        <v>1</v>
      </c>
    </row>
    <row r="1469" spans="1:11" x14ac:dyDescent="0.25">
      <c r="A1469" s="2">
        <v>2017</v>
      </c>
      <c r="B1469" s="2" t="s">
        <v>347</v>
      </c>
      <c r="C1469" t="s">
        <v>106</v>
      </c>
      <c r="D1469" s="1">
        <v>117465</v>
      </c>
      <c r="E1469" t="s">
        <v>23</v>
      </c>
      <c r="F1469" t="s">
        <v>10</v>
      </c>
      <c r="G1469">
        <v>71.900000000000006</v>
      </c>
      <c r="H1469">
        <v>8</v>
      </c>
      <c r="I1469">
        <v>1</v>
      </c>
      <c r="J1469" s="40">
        <v>1</v>
      </c>
      <c r="K1469" s="40">
        <v>1</v>
      </c>
    </row>
    <row r="1470" spans="1:11" x14ac:dyDescent="0.25">
      <c r="A1470" s="2">
        <v>2017</v>
      </c>
      <c r="B1470" s="2" t="s">
        <v>347</v>
      </c>
      <c r="C1470" t="s">
        <v>106</v>
      </c>
      <c r="D1470" s="1">
        <v>117465</v>
      </c>
      <c r="E1470" t="s">
        <v>23</v>
      </c>
      <c r="F1470" t="s">
        <v>11</v>
      </c>
      <c r="G1470">
        <v>84.4</v>
      </c>
      <c r="H1470">
        <v>8</v>
      </c>
      <c r="I1470">
        <v>18</v>
      </c>
      <c r="J1470" s="40">
        <v>7</v>
      </c>
      <c r="K1470" s="40">
        <v>11</v>
      </c>
    </row>
    <row r="1471" spans="1:11" x14ac:dyDescent="0.25">
      <c r="A1471" s="2">
        <v>2017</v>
      </c>
      <c r="B1471" s="2" t="s">
        <v>347</v>
      </c>
      <c r="C1471" t="s">
        <v>106</v>
      </c>
      <c r="D1471" s="1">
        <v>117465</v>
      </c>
      <c r="E1471" t="s">
        <v>23</v>
      </c>
      <c r="F1471" t="s">
        <v>12</v>
      </c>
      <c r="G1471">
        <v>56.3</v>
      </c>
      <c r="H1471">
        <v>8</v>
      </c>
      <c r="I1471">
        <v>1</v>
      </c>
      <c r="J1471" s="40">
        <v>1</v>
      </c>
      <c r="K1471" s="40">
        <v>1</v>
      </c>
    </row>
    <row r="1472" spans="1:11" x14ac:dyDescent="0.25">
      <c r="A1472" s="2">
        <v>2017</v>
      </c>
      <c r="B1472" s="2" t="s">
        <v>347</v>
      </c>
      <c r="C1472" t="s">
        <v>106</v>
      </c>
      <c r="D1472" s="1">
        <v>8888</v>
      </c>
      <c r="E1472" t="s">
        <v>226</v>
      </c>
      <c r="F1472" t="s">
        <v>7</v>
      </c>
      <c r="G1472">
        <v>83.3</v>
      </c>
      <c r="H1472">
        <v>6</v>
      </c>
      <c r="I1472">
        <v>30</v>
      </c>
      <c r="J1472" s="40">
        <v>21</v>
      </c>
      <c r="K1472" s="40">
        <v>18</v>
      </c>
    </row>
    <row r="1473" spans="1:11" x14ac:dyDescent="0.25">
      <c r="A1473" s="2">
        <v>2017</v>
      </c>
      <c r="B1473" s="2" t="s">
        <v>347</v>
      </c>
      <c r="C1473" t="s">
        <v>106</v>
      </c>
      <c r="D1473" s="1">
        <v>8888</v>
      </c>
      <c r="E1473" t="s">
        <v>226</v>
      </c>
      <c r="F1473" t="s">
        <v>8</v>
      </c>
      <c r="G1473">
        <v>83.3</v>
      </c>
      <c r="H1473">
        <v>6</v>
      </c>
      <c r="I1473">
        <v>45</v>
      </c>
      <c r="J1473" s="40">
        <v>29</v>
      </c>
      <c r="K1473" s="40">
        <v>28</v>
      </c>
    </row>
    <row r="1474" spans="1:11" x14ac:dyDescent="0.25">
      <c r="A1474" s="2">
        <v>2017</v>
      </c>
      <c r="B1474" s="2" t="s">
        <v>347</v>
      </c>
      <c r="C1474" t="s">
        <v>106</v>
      </c>
      <c r="D1474" s="1">
        <v>8888</v>
      </c>
      <c r="E1474" t="s">
        <v>226</v>
      </c>
      <c r="F1474" t="s">
        <v>9</v>
      </c>
      <c r="G1474">
        <v>83.3</v>
      </c>
      <c r="H1474">
        <v>6</v>
      </c>
      <c r="I1474">
        <v>26</v>
      </c>
      <c r="J1474" s="40">
        <v>19</v>
      </c>
      <c r="K1474" s="40">
        <v>16</v>
      </c>
    </row>
    <row r="1475" spans="1:11" x14ac:dyDescent="0.25">
      <c r="A1475" s="2">
        <v>2017</v>
      </c>
      <c r="B1475" s="2" t="s">
        <v>347</v>
      </c>
      <c r="C1475" t="s">
        <v>106</v>
      </c>
      <c r="D1475" s="1">
        <v>8888</v>
      </c>
      <c r="E1475" t="s">
        <v>226</v>
      </c>
      <c r="F1475" t="s">
        <v>10</v>
      </c>
      <c r="G1475">
        <v>83.3</v>
      </c>
      <c r="H1475">
        <v>6</v>
      </c>
      <c r="I1475">
        <v>41</v>
      </c>
      <c r="J1475" s="40">
        <v>33</v>
      </c>
      <c r="K1475" s="40">
        <v>27</v>
      </c>
    </row>
    <row r="1476" spans="1:11" x14ac:dyDescent="0.25">
      <c r="A1476" s="2">
        <v>2017</v>
      </c>
      <c r="B1476" s="2" t="s">
        <v>347</v>
      </c>
      <c r="C1476" t="s">
        <v>106</v>
      </c>
      <c r="D1476" s="1">
        <v>8888</v>
      </c>
      <c r="E1476" t="s">
        <v>226</v>
      </c>
      <c r="F1476" t="s">
        <v>11</v>
      </c>
      <c r="G1476">
        <v>83.3</v>
      </c>
      <c r="H1476">
        <v>6</v>
      </c>
      <c r="I1476">
        <v>10</v>
      </c>
      <c r="J1476" s="40">
        <v>5</v>
      </c>
      <c r="K1476" s="40">
        <v>7</v>
      </c>
    </row>
    <row r="1477" spans="1:11" x14ac:dyDescent="0.25">
      <c r="A1477" s="2">
        <v>2017</v>
      </c>
      <c r="B1477" s="2" t="s">
        <v>347</v>
      </c>
      <c r="C1477" t="s">
        <v>106</v>
      </c>
      <c r="D1477" s="1">
        <v>8888</v>
      </c>
      <c r="E1477" t="s">
        <v>226</v>
      </c>
      <c r="F1477" t="s">
        <v>12</v>
      </c>
      <c r="G1477">
        <v>75</v>
      </c>
      <c r="H1477">
        <v>6</v>
      </c>
      <c r="I1477">
        <v>45</v>
      </c>
      <c r="J1477" s="40">
        <v>15</v>
      </c>
      <c r="K1477" s="40">
        <v>19</v>
      </c>
    </row>
    <row r="1478" spans="1:11" x14ac:dyDescent="0.25">
      <c r="A1478" s="2">
        <v>2017</v>
      </c>
      <c r="B1478" s="2" t="s">
        <v>347</v>
      </c>
      <c r="C1478" t="s">
        <v>106</v>
      </c>
      <c r="D1478" s="1">
        <v>103275</v>
      </c>
      <c r="E1478" t="s">
        <v>26</v>
      </c>
      <c r="F1478" t="s">
        <v>7</v>
      </c>
      <c r="G1478">
        <v>73.2</v>
      </c>
      <c r="H1478">
        <v>7</v>
      </c>
      <c r="I1478">
        <v>1</v>
      </c>
      <c r="J1478" s="40">
        <v>1</v>
      </c>
      <c r="K1478" s="40">
        <v>1</v>
      </c>
    </row>
    <row r="1479" spans="1:11" x14ac:dyDescent="0.25">
      <c r="A1479" s="2">
        <v>2017</v>
      </c>
      <c r="B1479" s="2" t="s">
        <v>347</v>
      </c>
      <c r="C1479" t="s">
        <v>106</v>
      </c>
      <c r="D1479" s="1">
        <v>103275</v>
      </c>
      <c r="E1479" t="s">
        <v>26</v>
      </c>
      <c r="F1479" t="s">
        <v>8</v>
      </c>
      <c r="G1479">
        <v>75</v>
      </c>
      <c r="H1479">
        <v>7</v>
      </c>
      <c r="I1479">
        <v>3</v>
      </c>
      <c r="J1479" s="40">
        <v>3</v>
      </c>
      <c r="K1479" s="40">
        <v>2</v>
      </c>
    </row>
    <row r="1480" spans="1:11" x14ac:dyDescent="0.25">
      <c r="A1480" s="2">
        <v>2017</v>
      </c>
      <c r="B1480" s="2" t="s">
        <v>347</v>
      </c>
      <c r="C1480" t="s">
        <v>106</v>
      </c>
      <c r="D1480" s="1">
        <v>103275</v>
      </c>
      <c r="E1480" t="s">
        <v>26</v>
      </c>
      <c r="F1480" t="s">
        <v>9</v>
      </c>
      <c r="G1480">
        <v>75</v>
      </c>
      <c r="H1480">
        <v>7</v>
      </c>
      <c r="I1480">
        <v>1</v>
      </c>
      <c r="J1480" s="40">
        <v>1</v>
      </c>
      <c r="K1480" s="40">
        <v>1</v>
      </c>
    </row>
    <row r="1481" spans="1:11" x14ac:dyDescent="0.25">
      <c r="A1481" s="2">
        <v>2017</v>
      </c>
      <c r="B1481" s="2" t="s">
        <v>347</v>
      </c>
      <c r="C1481" t="s">
        <v>106</v>
      </c>
      <c r="D1481" s="1">
        <v>103275</v>
      </c>
      <c r="E1481" t="s">
        <v>26</v>
      </c>
      <c r="F1481" t="s">
        <v>10</v>
      </c>
      <c r="G1481">
        <v>67.900000000000006</v>
      </c>
      <c r="H1481">
        <v>7</v>
      </c>
      <c r="I1481">
        <v>1</v>
      </c>
      <c r="J1481" s="40">
        <v>1</v>
      </c>
      <c r="K1481" s="40">
        <v>1</v>
      </c>
    </row>
    <row r="1482" spans="1:11" x14ac:dyDescent="0.25">
      <c r="A1482" s="2">
        <v>2017</v>
      </c>
      <c r="B1482" s="2" t="s">
        <v>347</v>
      </c>
      <c r="C1482" t="s">
        <v>106</v>
      </c>
      <c r="D1482" s="1">
        <v>103275</v>
      </c>
      <c r="E1482" t="s">
        <v>26</v>
      </c>
      <c r="F1482" t="s">
        <v>11</v>
      </c>
      <c r="G1482">
        <v>75</v>
      </c>
      <c r="H1482">
        <v>7</v>
      </c>
      <c r="I1482">
        <v>1</v>
      </c>
      <c r="J1482" s="40">
        <v>1</v>
      </c>
      <c r="K1482" s="40">
        <v>1</v>
      </c>
    </row>
    <row r="1483" spans="1:11" x14ac:dyDescent="0.25">
      <c r="A1483" s="2">
        <v>2017</v>
      </c>
      <c r="B1483" s="2" t="s">
        <v>347</v>
      </c>
      <c r="C1483" t="s">
        <v>106</v>
      </c>
      <c r="D1483" s="1">
        <v>103275</v>
      </c>
      <c r="E1483" t="s">
        <v>26</v>
      </c>
      <c r="F1483" t="s">
        <v>12</v>
      </c>
      <c r="G1483">
        <v>82.1</v>
      </c>
      <c r="H1483">
        <v>7</v>
      </c>
      <c r="I1483">
        <v>84</v>
      </c>
      <c r="J1483" s="40">
        <v>52</v>
      </c>
      <c r="K1483" s="40">
        <v>53</v>
      </c>
    </row>
    <row r="1484" spans="1:11" x14ac:dyDescent="0.25">
      <c r="A1484" s="2">
        <v>2017</v>
      </c>
      <c r="B1484" s="2" t="s">
        <v>347</v>
      </c>
      <c r="C1484" t="s">
        <v>106</v>
      </c>
      <c r="D1484" s="1">
        <v>58321</v>
      </c>
      <c r="E1484" t="s">
        <v>40</v>
      </c>
      <c r="F1484" t="s">
        <v>7</v>
      </c>
      <c r="G1484">
        <v>78.900000000000006</v>
      </c>
      <c r="H1484">
        <v>8</v>
      </c>
      <c r="I1484">
        <v>4</v>
      </c>
      <c r="J1484" s="40">
        <v>4</v>
      </c>
      <c r="K1484" s="40">
        <v>4</v>
      </c>
    </row>
    <row r="1485" spans="1:11" x14ac:dyDescent="0.25">
      <c r="A1485" s="2">
        <v>2017</v>
      </c>
      <c r="B1485" s="2" t="s">
        <v>347</v>
      </c>
      <c r="C1485" t="s">
        <v>106</v>
      </c>
      <c r="D1485" s="1">
        <v>58321</v>
      </c>
      <c r="E1485" t="s">
        <v>40</v>
      </c>
      <c r="F1485" t="s">
        <v>8</v>
      </c>
      <c r="G1485">
        <v>78.099999999999994</v>
      </c>
      <c r="H1485">
        <v>8</v>
      </c>
      <c r="I1485">
        <v>7</v>
      </c>
      <c r="J1485" s="40">
        <v>7</v>
      </c>
      <c r="K1485" s="40">
        <v>5</v>
      </c>
    </row>
    <row r="1486" spans="1:11" x14ac:dyDescent="0.25">
      <c r="A1486" s="2">
        <v>2017</v>
      </c>
      <c r="B1486" s="2" t="s">
        <v>347</v>
      </c>
      <c r="C1486" t="s">
        <v>106</v>
      </c>
      <c r="D1486" s="1">
        <v>58321</v>
      </c>
      <c r="E1486" t="s">
        <v>40</v>
      </c>
      <c r="F1486" t="s">
        <v>9</v>
      </c>
      <c r="G1486">
        <v>78.099999999999994</v>
      </c>
      <c r="H1486">
        <v>8</v>
      </c>
      <c r="I1486">
        <v>3</v>
      </c>
      <c r="J1486" s="40">
        <v>4</v>
      </c>
      <c r="K1486" s="40">
        <v>3</v>
      </c>
    </row>
    <row r="1487" spans="1:11" x14ac:dyDescent="0.25">
      <c r="A1487" s="2">
        <v>2017</v>
      </c>
      <c r="B1487" s="2" t="s">
        <v>347</v>
      </c>
      <c r="C1487" t="s">
        <v>106</v>
      </c>
      <c r="D1487" s="1">
        <v>58321</v>
      </c>
      <c r="E1487" t="s">
        <v>40</v>
      </c>
      <c r="F1487" t="s">
        <v>10</v>
      </c>
      <c r="G1487">
        <v>75</v>
      </c>
      <c r="H1487">
        <v>7</v>
      </c>
      <c r="I1487">
        <v>3</v>
      </c>
      <c r="J1487" s="40">
        <v>2</v>
      </c>
      <c r="K1487" s="40">
        <v>2</v>
      </c>
    </row>
    <row r="1488" spans="1:11" x14ac:dyDescent="0.25">
      <c r="A1488" s="2">
        <v>2017</v>
      </c>
      <c r="B1488" s="2" t="s">
        <v>347</v>
      </c>
      <c r="C1488" t="s">
        <v>106</v>
      </c>
      <c r="D1488" s="1">
        <v>58321</v>
      </c>
      <c r="E1488" t="s">
        <v>40</v>
      </c>
      <c r="F1488" t="s">
        <v>11</v>
      </c>
      <c r="G1488">
        <v>81.3</v>
      </c>
      <c r="H1488">
        <v>8</v>
      </c>
      <c r="I1488">
        <v>4</v>
      </c>
      <c r="J1488" s="40">
        <v>4</v>
      </c>
      <c r="K1488" s="40">
        <v>4</v>
      </c>
    </row>
    <row r="1489" spans="1:11" x14ac:dyDescent="0.25">
      <c r="A1489" s="2">
        <v>2017</v>
      </c>
      <c r="B1489" s="2" t="s">
        <v>347</v>
      </c>
      <c r="C1489" t="s">
        <v>106</v>
      </c>
      <c r="D1489" s="1">
        <v>58321</v>
      </c>
      <c r="E1489" t="s">
        <v>40</v>
      </c>
      <c r="F1489" t="s">
        <v>12</v>
      </c>
      <c r="G1489">
        <v>75</v>
      </c>
      <c r="H1489">
        <v>8</v>
      </c>
      <c r="I1489">
        <v>45</v>
      </c>
      <c r="J1489" s="40">
        <v>15</v>
      </c>
      <c r="K1489" s="40">
        <v>19</v>
      </c>
    </row>
    <row r="1490" spans="1:11" x14ac:dyDescent="0.25">
      <c r="A1490" s="2">
        <v>2017</v>
      </c>
      <c r="B1490" s="2" t="s">
        <v>347</v>
      </c>
      <c r="C1490" t="s">
        <v>106</v>
      </c>
      <c r="D1490" s="1">
        <v>99911</v>
      </c>
      <c r="E1490" t="s">
        <v>33</v>
      </c>
      <c r="F1490" t="s">
        <v>7</v>
      </c>
      <c r="G1490">
        <v>75</v>
      </c>
      <c r="H1490">
        <v>13</v>
      </c>
      <c r="I1490">
        <v>2</v>
      </c>
      <c r="J1490" s="40">
        <v>1</v>
      </c>
      <c r="K1490" s="40">
        <v>1</v>
      </c>
    </row>
    <row r="1491" spans="1:11" x14ac:dyDescent="0.25">
      <c r="A1491" s="2">
        <v>2017</v>
      </c>
      <c r="B1491" s="2" t="s">
        <v>347</v>
      </c>
      <c r="C1491" t="s">
        <v>106</v>
      </c>
      <c r="D1491" s="1">
        <v>99911</v>
      </c>
      <c r="E1491" t="s">
        <v>33</v>
      </c>
      <c r="F1491" t="s">
        <v>8</v>
      </c>
      <c r="G1491">
        <v>73.099999999999994</v>
      </c>
      <c r="H1491">
        <v>13</v>
      </c>
      <c r="I1491">
        <v>2</v>
      </c>
      <c r="J1491" s="40">
        <v>2</v>
      </c>
      <c r="K1491" s="40">
        <v>1</v>
      </c>
    </row>
    <row r="1492" spans="1:11" x14ac:dyDescent="0.25">
      <c r="A1492" s="2">
        <v>2017</v>
      </c>
      <c r="B1492" s="2" t="s">
        <v>347</v>
      </c>
      <c r="C1492" t="s">
        <v>106</v>
      </c>
      <c r="D1492" s="1">
        <v>99911</v>
      </c>
      <c r="E1492" t="s">
        <v>33</v>
      </c>
      <c r="F1492" t="s">
        <v>9</v>
      </c>
      <c r="G1492">
        <v>78.900000000000006</v>
      </c>
      <c r="H1492">
        <v>13</v>
      </c>
      <c r="I1492">
        <v>3</v>
      </c>
      <c r="J1492" s="40">
        <v>4</v>
      </c>
      <c r="K1492" s="40">
        <v>4</v>
      </c>
    </row>
    <row r="1493" spans="1:11" x14ac:dyDescent="0.25">
      <c r="A1493" s="2">
        <v>2017</v>
      </c>
      <c r="B1493" s="2" t="s">
        <v>347</v>
      </c>
      <c r="C1493" t="s">
        <v>106</v>
      </c>
      <c r="D1493" s="1">
        <v>99911</v>
      </c>
      <c r="E1493" t="s">
        <v>33</v>
      </c>
      <c r="F1493" t="s">
        <v>10</v>
      </c>
      <c r="G1493">
        <v>71.2</v>
      </c>
      <c r="H1493">
        <v>13</v>
      </c>
      <c r="I1493">
        <v>1</v>
      </c>
      <c r="J1493" s="40">
        <v>1</v>
      </c>
      <c r="K1493" s="40">
        <v>1</v>
      </c>
    </row>
    <row r="1494" spans="1:11" x14ac:dyDescent="0.25">
      <c r="A1494" s="2">
        <v>2017</v>
      </c>
      <c r="B1494" s="2" t="s">
        <v>347</v>
      </c>
      <c r="C1494" t="s">
        <v>106</v>
      </c>
      <c r="D1494" s="1">
        <v>99911</v>
      </c>
      <c r="E1494" t="s">
        <v>33</v>
      </c>
      <c r="F1494" t="s">
        <v>11</v>
      </c>
      <c r="G1494">
        <v>76.900000000000006</v>
      </c>
      <c r="H1494">
        <v>13</v>
      </c>
      <c r="I1494">
        <v>1</v>
      </c>
      <c r="J1494" s="40">
        <v>1</v>
      </c>
      <c r="K1494" s="40">
        <v>1</v>
      </c>
    </row>
    <row r="1495" spans="1:11" x14ac:dyDescent="0.25">
      <c r="A1495" s="2">
        <v>2017</v>
      </c>
      <c r="B1495" s="2" t="s">
        <v>347</v>
      </c>
      <c r="C1495" t="s">
        <v>106</v>
      </c>
      <c r="D1495" s="1">
        <v>99911</v>
      </c>
      <c r="E1495" t="s">
        <v>33</v>
      </c>
      <c r="F1495" t="s">
        <v>12</v>
      </c>
      <c r="G1495">
        <v>76.900000000000006</v>
      </c>
      <c r="H1495">
        <v>13</v>
      </c>
      <c r="I1495">
        <v>54</v>
      </c>
      <c r="J1495" s="40">
        <v>20</v>
      </c>
      <c r="K1495" s="40">
        <v>26</v>
      </c>
    </row>
    <row r="1496" spans="1:11" x14ac:dyDescent="0.25">
      <c r="A1496" s="2">
        <v>2017</v>
      </c>
      <c r="B1496" s="2" t="s">
        <v>347</v>
      </c>
      <c r="C1496" t="s">
        <v>106</v>
      </c>
      <c r="D1496" s="1">
        <v>99093</v>
      </c>
      <c r="E1496" t="s">
        <v>14</v>
      </c>
      <c r="F1496" t="s">
        <v>7</v>
      </c>
      <c r="G1496">
        <v>67.2</v>
      </c>
      <c r="H1496">
        <v>8</v>
      </c>
      <c r="I1496">
        <v>1</v>
      </c>
      <c r="J1496" s="40">
        <v>1</v>
      </c>
      <c r="K1496" s="40">
        <v>1</v>
      </c>
    </row>
    <row r="1497" spans="1:11" x14ac:dyDescent="0.25">
      <c r="A1497" s="2">
        <v>2017</v>
      </c>
      <c r="B1497" s="2" t="s">
        <v>347</v>
      </c>
      <c r="C1497" t="s">
        <v>106</v>
      </c>
      <c r="D1497" s="1">
        <v>99093</v>
      </c>
      <c r="E1497" t="s">
        <v>14</v>
      </c>
      <c r="F1497" t="s">
        <v>8</v>
      </c>
      <c r="G1497">
        <v>56.3</v>
      </c>
      <c r="H1497">
        <v>8</v>
      </c>
      <c r="I1497">
        <v>1</v>
      </c>
      <c r="J1497" s="40">
        <v>1</v>
      </c>
      <c r="K1497" s="40">
        <v>1</v>
      </c>
    </row>
    <row r="1498" spans="1:11" x14ac:dyDescent="0.25">
      <c r="A1498" s="2">
        <v>2017</v>
      </c>
      <c r="B1498" s="2" t="s">
        <v>347</v>
      </c>
      <c r="C1498" t="s">
        <v>106</v>
      </c>
      <c r="D1498" s="1">
        <v>99093</v>
      </c>
      <c r="E1498" t="s">
        <v>14</v>
      </c>
      <c r="F1498" t="s">
        <v>9</v>
      </c>
      <c r="G1498">
        <v>68.8</v>
      </c>
      <c r="H1498">
        <v>8</v>
      </c>
      <c r="I1498">
        <v>1</v>
      </c>
      <c r="J1498" s="40">
        <v>1</v>
      </c>
      <c r="K1498" s="40">
        <v>1</v>
      </c>
    </row>
    <row r="1499" spans="1:11" x14ac:dyDescent="0.25">
      <c r="A1499" s="2">
        <v>2017</v>
      </c>
      <c r="B1499" s="2" t="s">
        <v>347</v>
      </c>
      <c r="C1499" t="s">
        <v>106</v>
      </c>
      <c r="D1499" s="1">
        <v>99093</v>
      </c>
      <c r="E1499" t="s">
        <v>14</v>
      </c>
      <c r="F1499" t="s">
        <v>10</v>
      </c>
      <c r="G1499">
        <v>65.599999999999994</v>
      </c>
      <c r="H1499">
        <v>8</v>
      </c>
      <c r="I1499">
        <v>1</v>
      </c>
      <c r="J1499" s="40">
        <v>1</v>
      </c>
      <c r="K1499" s="40">
        <v>1</v>
      </c>
    </row>
    <row r="1500" spans="1:11" x14ac:dyDescent="0.25">
      <c r="A1500" s="2">
        <v>2017</v>
      </c>
      <c r="B1500" s="2" t="s">
        <v>347</v>
      </c>
      <c r="C1500" t="s">
        <v>106</v>
      </c>
      <c r="D1500" s="1">
        <v>99093</v>
      </c>
      <c r="E1500" t="s">
        <v>14</v>
      </c>
      <c r="F1500" t="s">
        <v>11</v>
      </c>
      <c r="G1500">
        <v>78.099999999999994</v>
      </c>
      <c r="H1500">
        <v>8</v>
      </c>
      <c r="I1500">
        <v>1</v>
      </c>
      <c r="J1500" s="40">
        <v>1</v>
      </c>
      <c r="K1500" s="40">
        <v>1</v>
      </c>
    </row>
    <row r="1501" spans="1:11" x14ac:dyDescent="0.25">
      <c r="A1501" s="2">
        <v>2017</v>
      </c>
      <c r="B1501" s="2" t="s">
        <v>347</v>
      </c>
      <c r="C1501" t="s">
        <v>106</v>
      </c>
      <c r="D1501" s="1">
        <v>99093</v>
      </c>
      <c r="E1501" t="s">
        <v>14</v>
      </c>
      <c r="F1501" t="s">
        <v>12</v>
      </c>
      <c r="G1501">
        <v>53.1</v>
      </c>
      <c r="H1501">
        <v>8</v>
      </c>
      <c r="I1501">
        <v>1</v>
      </c>
      <c r="J1501" s="40">
        <v>1</v>
      </c>
      <c r="K1501" s="40">
        <v>1</v>
      </c>
    </row>
    <row r="1502" spans="1:11" x14ac:dyDescent="0.25">
      <c r="A1502" s="2">
        <v>2017</v>
      </c>
      <c r="B1502" s="2" t="s">
        <v>347</v>
      </c>
      <c r="C1502" t="s">
        <v>106</v>
      </c>
      <c r="D1502" s="1">
        <v>152587</v>
      </c>
      <c r="E1502" t="s">
        <v>28</v>
      </c>
      <c r="F1502" t="s">
        <v>7</v>
      </c>
      <c r="G1502">
        <v>61.6</v>
      </c>
      <c r="H1502">
        <v>7</v>
      </c>
      <c r="I1502">
        <v>1</v>
      </c>
      <c r="J1502" s="40">
        <v>1</v>
      </c>
      <c r="K1502" s="40">
        <v>1</v>
      </c>
    </row>
    <row r="1503" spans="1:11" x14ac:dyDescent="0.25">
      <c r="A1503" s="2">
        <v>2017</v>
      </c>
      <c r="B1503" s="2" t="s">
        <v>347</v>
      </c>
      <c r="C1503" t="s">
        <v>106</v>
      </c>
      <c r="D1503" s="1">
        <v>152587</v>
      </c>
      <c r="E1503" t="s">
        <v>28</v>
      </c>
      <c r="F1503" t="s">
        <v>8</v>
      </c>
      <c r="G1503">
        <v>64.3</v>
      </c>
      <c r="H1503">
        <v>7</v>
      </c>
      <c r="I1503">
        <v>1</v>
      </c>
      <c r="J1503" s="40">
        <v>1</v>
      </c>
      <c r="K1503" s="40">
        <v>1</v>
      </c>
    </row>
    <row r="1504" spans="1:11" x14ac:dyDescent="0.25">
      <c r="A1504" s="2">
        <v>2017</v>
      </c>
      <c r="B1504" s="2" t="s">
        <v>347</v>
      </c>
      <c r="C1504" t="s">
        <v>106</v>
      </c>
      <c r="D1504" s="1">
        <v>152587</v>
      </c>
      <c r="E1504" t="s">
        <v>28</v>
      </c>
      <c r="F1504" t="s">
        <v>9</v>
      </c>
      <c r="G1504">
        <v>60.7</v>
      </c>
      <c r="H1504">
        <v>7</v>
      </c>
      <c r="I1504">
        <v>1</v>
      </c>
      <c r="J1504" s="40">
        <v>1</v>
      </c>
      <c r="K1504" s="40">
        <v>1</v>
      </c>
    </row>
    <row r="1505" spans="1:11" x14ac:dyDescent="0.25">
      <c r="A1505" s="2">
        <v>2017</v>
      </c>
      <c r="B1505" s="2" t="s">
        <v>347</v>
      </c>
      <c r="C1505" t="s">
        <v>106</v>
      </c>
      <c r="D1505" s="1">
        <v>152587</v>
      </c>
      <c r="E1505" t="s">
        <v>28</v>
      </c>
      <c r="F1505" t="s">
        <v>10</v>
      </c>
      <c r="G1505">
        <v>57.1</v>
      </c>
      <c r="H1505">
        <v>7</v>
      </c>
      <c r="I1505">
        <v>1</v>
      </c>
      <c r="J1505" s="40">
        <v>1</v>
      </c>
      <c r="K1505" s="40">
        <v>1</v>
      </c>
    </row>
    <row r="1506" spans="1:11" x14ac:dyDescent="0.25">
      <c r="A1506" s="2">
        <v>2017</v>
      </c>
      <c r="B1506" s="2" t="s">
        <v>347</v>
      </c>
      <c r="C1506" t="s">
        <v>106</v>
      </c>
      <c r="D1506" s="1">
        <v>152587</v>
      </c>
      <c r="E1506" t="s">
        <v>28</v>
      </c>
      <c r="F1506" t="s">
        <v>11</v>
      </c>
      <c r="G1506">
        <v>66.7</v>
      </c>
      <c r="H1506">
        <v>6</v>
      </c>
      <c r="I1506">
        <v>1</v>
      </c>
      <c r="J1506" s="40">
        <v>1</v>
      </c>
      <c r="K1506" s="40">
        <v>1</v>
      </c>
    </row>
    <row r="1507" spans="1:11" x14ac:dyDescent="0.25">
      <c r="A1507" s="2">
        <v>2017</v>
      </c>
      <c r="B1507" s="2" t="s">
        <v>347</v>
      </c>
      <c r="C1507" t="s">
        <v>106</v>
      </c>
      <c r="D1507" s="1">
        <v>152587</v>
      </c>
      <c r="E1507" t="s">
        <v>28</v>
      </c>
      <c r="F1507" t="s">
        <v>12</v>
      </c>
      <c r="G1507">
        <v>57.1</v>
      </c>
      <c r="H1507">
        <v>7</v>
      </c>
      <c r="I1507">
        <v>1</v>
      </c>
      <c r="J1507" s="40">
        <v>1</v>
      </c>
      <c r="K1507" s="40">
        <v>1</v>
      </c>
    </row>
    <row r="1508" spans="1:11" x14ac:dyDescent="0.25">
      <c r="A1508" s="2">
        <v>2017</v>
      </c>
      <c r="B1508" s="2" t="s">
        <v>413</v>
      </c>
      <c r="C1508" t="s">
        <v>106</v>
      </c>
      <c r="D1508" s="1">
        <v>149344</v>
      </c>
      <c r="E1508" t="s">
        <v>35</v>
      </c>
      <c r="F1508" t="s">
        <v>7</v>
      </c>
      <c r="G1508">
        <v>93.8</v>
      </c>
      <c r="H1508">
        <v>1</v>
      </c>
      <c r="I1508">
        <v>99</v>
      </c>
      <c r="J1508">
        <v>95</v>
      </c>
      <c r="K1508">
        <v>99</v>
      </c>
    </row>
    <row r="1509" spans="1:11" x14ac:dyDescent="0.25">
      <c r="A1509" s="2">
        <v>2017</v>
      </c>
      <c r="B1509" s="2" t="s">
        <v>413</v>
      </c>
      <c r="C1509" t="s">
        <v>106</v>
      </c>
      <c r="D1509" s="1">
        <v>149344</v>
      </c>
      <c r="E1509" t="s">
        <v>35</v>
      </c>
      <c r="F1509" t="s">
        <v>8</v>
      </c>
      <c r="G1509">
        <v>100</v>
      </c>
      <c r="H1509">
        <v>1</v>
      </c>
      <c r="I1509">
        <v>99</v>
      </c>
      <c r="J1509">
        <v>99</v>
      </c>
      <c r="K1509">
        <v>99</v>
      </c>
    </row>
    <row r="1510" spans="1:11" x14ac:dyDescent="0.25">
      <c r="A1510" s="2">
        <v>2017</v>
      </c>
      <c r="B1510" s="2" t="s">
        <v>413</v>
      </c>
      <c r="C1510" t="s">
        <v>106</v>
      </c>
      <c r="D1510" s="1">
        <v>149344</v>
      </c>
      <c r="E1510" t="s">
        <v>35</v>
      </c>
      <c r="F1510" t="s">
        <v>9</v>
      </c>
      <c r="G1510">
        <v>100</v>
      </c>
      <c r="H1510">
        <v>1</v>
      </c>
      <c r="I1510">
        <v>99</v>
      </c>
      <c r="J1510">
        <v>99</v>
      </c>
      <c r="K1510">
        <v>99</v>
      </c>
    </row>
    <row r="1511" spans="1:11" x14ac:dyDescent="0.25">
      <c r="A1511" s="2">
        <v>2017</v>
      </c>
      <c r="B1511" s="2" t="s">
        <v>413</v>
      </c>
      <c r="C1511" t="s">
        <v>106</v>
      </c>
      <c r="D1511" s="1">
        <v>149344</v>
      </c>
      <c r="E1511" t="s">
        <v>35</v>
      </c>
      <c r="F1511" t="s">
        <v>10</v>
      </c>
      <c r="G1511">
        <v>75</v>
      </c>
      <c r="H1511">
        <v>1</v>
      </c>
      <c r="I1511">
        <v>1</v>
      </c>
      <c r="J1511">
        <v>1</v>
      </c>
      <c r="K1511">
        <v>2</v>
      </c>
    </row>
    <row r="1512" spans="1:11" x14ac:dyDescent="0.25">
      <c r="A1512" s="2">
        <v>2017</v>
      </c>
      <c r="B1512" s="2" t="s">
        <v>413</v>
      </c>
      <c r="C1512" t="s">
        <v>106</v>
      </c>
      <c r="D1512" s="1">
        <v>149344</v>
      </c>
      <c r="E1512" t="s">
        <v>35</v>
      </c>
      <c r="F1512" t="s">
        <v>11</v>
      </c>
      <c r="G1512">
        <v>100</v>
      </c>
      <c r="H1512">
        <v>1</v>
      </c>
      <c r="I1512">
        <v>99</v>
      </c>
      <c r="J1512">
        <v>99</v>
      </c>
      <c r="K1512">
        <v>99</v>
      </c>
    </row>
    <row r="1513" spans="1:11" x14ac:dyDescent="0.25">
      <c r="A1513" s="2">
        <v>2017</v>
      </c>
      <c r="B1513" s="2" t="s">
        <v>413</v>
      </c>
      <c r="C1513" t="s">
        <v>106</v>
      </c>
      <c r="D1513" s="1">
        <v>149344</v>
      </c>
      <c r="E1513" t="s">
        <v>35</v>
      </c>
      <c r="F1513" t="s">
        <v>12</v>
      </c>
      <c r="G1513">
        <v>50</v>
      </c>
      <c r="H1513">
        <v>1</v>
      </c>
      <c r="I1513">
        <v>1</v>
      </c>
      <c r="J1513">
        <v>1</v>
      </c>
      <c r="K1513">
        <v>1</v>
      </c>
    </row>
    <row r="1514" spans="1:11" x14ac:dyDescent="0.25">
      <c r="A1514" s="2">
        <v>2017</v>
      </c>
      <c r="B1514" s="2" t="s">
        <v>413</v>
      </c>
      <c r="C1514" t="s">
        <v>106</v>
      </c>
      <c r="D1514" s="1">
        <v>22673</v>
      </c>
      <c r="E1514" t="s">
        <v>17</v>
      </c>
      <c r="F1514" t="s">
        <v>7</v>
      </c>
      <c r="G1514">
        <v>99</v>
      </c>
      <c r="H1514">
        <v>6</v>
      </c>
      <c r="I1514">
        <v>99</v>
      </c>
      <c r="J1514">
        <v>99</v>
      </c>
      <c r="K1514">
        <v>99</v>
      </c>
    </row>
    <row r="1515" spans="1:11" x14ac:dyDescent="0.25">
      <c r="A1515" s="2">
        <v>2017</v>
      </c>
      <c r="B1515" s="2" t="s">
        <v>413</v>
      </c>
      <c r="C1515" t="s">
        <v>106</v>
      </c>
      <c r="D1515" s="1">
        <v>22673</v>
      </c>
      <c r="E1515" t="s">
        <v>17</v>
      </c>
      <c r="F1515" t="s">
        <v>8</v>
      </c>
      <c r="G1515">
        <v>100</v>
      </c>
      <c r="H1515">
        <v>6</v>
      </c>
      <c r="I1515">
        <v>99</v>
      </c>
      <c r="J1515">
        <v>99</v>
      </c>
      <c r="K1515">
        <v>99</v>
      </c>
    </row>
    <row r="1516" spans="1:11" x14ac:dyDescent="0.25">
      <c r="A1516" s="2">
        <v>2017</v>
      </c>
      <c r="B1516" s="2" t="s">
        <v>413</v>
      </c>
      <c r="C1516" t="s">
        <v>106</v>
      </c>
      <c r="D1516" s="1">
        <v>22673</v>
      </c>
      <c r="E1516" t="s">
        <v>17</v>
      </c>
      <c r="F1516" t="s">
        <v>9</v>
      </c>
      <c r="G1516">
        <v>100</v>
      </c>
      <c r="H1516">
        <v>6</v>
      </c>
      <c r="I1516">
        <v>99</v>
      </c>
      <c r="J1516">
        <v>99</v>
      </c>
      <c r="K1516">
        <v>99</v>
      </c>
    </row>
    <row r="1517" spans="1:11" x14ac:dyDescent="0.25">
      <c r="A1517" s="2">
        <v>2017</v>
      </c>
      <c r="B1517" s="2" t="s">
        <v>413</v>
      </c>
      <c r="C1517" t="s">
        <v>106</v>
      </c>
      <c r="D1517" s="1">
        <v>22673</v>
      </c>
      <c r="E1517" t="s">
        <v>17</v>
      </c>
      <c r="F1517" t="s">
        <v>10</v>
      </c>
      <c r="G1517">
        <v>100</v>
      </c>
      <c r="H1517">
        <v>5</v>
      </c>
      <c r="I1517">
        <v>99</v>
      </c>
      <c r="J1517">
        <v>99</v>
      </c>
      <c r="K1517">
        <v>99</v>
      </c>
    </row>
    <row r="1518" spans="1:11" x14ac:dyDescent="0.25">
      <c r="A1518" s="2">
        <v>2017</v>
      </c>
      <c r="B1518" s="2" t="s">
        <v>413</v>
      </c>
      <c r="C1518" t="s">
        <v>106</v>
      </c>
      <c r="D1518" s="1">
        <v>22673</v>
      </c>
      <c r="E1518" t="s">
        <v>17</v>
      </c>
      <c r="F1518" t="s">
        <v>11</v>
      </c>
      <c r="G1518">
        <v>95.8</v>
      </c>
      <c r="H1518">
        <v>6</v>
      </c>
      <c r="I1518">
        <v>99</v>
      </c>
      <c r="J1518">
        <v>97</v>
      </c>
      <c r="K1518">
        <v>99</v>
      </c>
    </row>
    <row r="1519" spans="1:11" x14ac:dyDescent="0.25">
      <c r="A1519" s="2">
        <v>2017</v>
      </c>
      <c r="B1519" s="2" t="s">
        <v>413</v>
      </c>
      <c r="C1519" t="s">
        <v>106</v>
      </c>
      <c r="D1519" s="1">
        <v>22673</v>
      </c>
      <c r="E1519" t="s">
        <v>17</v>
      </c>
      <c r="F1519" t="s">
        <v>12</v>
      </c>
      <c r="G1519">
        <v>87.5</v>
      </c>
      <c r="H1519">
        <v>6</v>
      </c>
      <c r="I1519">
        <v>99</v>
      </c>
      <c r="J1519">
        <v>83</v>
      </c>
      <c r="K1519">
        <v>91</v>
      </c>
    </row>
    <row r="1520" spans="1:11" x14ac:dyDescent="0.25">
      <c r="A1520" s="2">
        <v>2017</v>
      </c>
      <c r="B1520" s="2" t="s">
        <v>413</v>
      </c>
      <c r="C1520" t="s">
        <v>106</v>
      </c>
      <c r="D1520" s="1">
        <v>58321</v>
      </c>
      <c r="E1520" t="s">
        <v>40</v>
      </c>
      <c r="F1520" t="s">
        <v>7</v>
      </c>
      <c r="G1520">
        <v>100</v>
      </c>
      <c r="H1520">
        <v>3</v>
      </c>
      <c r="I1520">
        <v>99</v>
      </c>
      <c r="J1520">
        <v>99</v>
      </c>
      <c r="K1520">
        <v>99</v>
      </c>
    </row>
    <row r="1521" spans="1:11" x14ac:dyDescent="0.25">
      <c r="A1521" s="2">
        <v>2017</v>
      </c>
      <c r="B1521" s="2" t="s">
        <v>413</v>
      </c>
      <c r="C1521" t="s">
        <v>106</v>
      </c>
      <c r="D1521" s="1">
        <v>58321</v>
      </c>
      <c r="E1521" t="s">
        <v>40</v>
      </c>
      <c r="F1521" t="s">
        <v>8</v>
      </c>
      <c r="G1521">
        <v>100</v>
      </c>
      <c r="H1521">
        <v>3</v>
      </c>
      <c r="I1521">
        <v>99</v>
      </c>
      <c r="J1521">
        <v>99</v>
      </c>
      <c r="K1521">
        <v>99</v>
      </c>
    </row>
    <row r="1522" spans="1:11" x14ac:dyDescent="0.25">
      <c r="A1522" s="2">
        <v>2017</v>
      </c>
      <c r="B1522" s="2" t="s">
        <v>413</v>
      </c>
      <c r="C1522" t="s">
        <v>106</v>
      </c>
      <c r="D1522" s="1">
        <v>58321</v>
      </c>
      <c r="E1522" t="s">
        <v>40</v>
      </c>
      <c r="F1522" t="s">
        <v>9</v>
      </c>
      <c r="G1522">
        <v>100</v>
      </c>
      <c r="H1522">
        <v>3</v>
      </c>
      <c r="I1522">
        <v>99</v>
      </c>
      <c r="J1522">
        <v>99</v>
      </c>
      <c r="K1522">
        <v>99</v>
      </c>
    </row>
    <row r="1523" spans="1:11" x14ac:dyDescent="0.25">
      <c r="A1523" s="2">
        <v>2017</v>
      </c>
      <c r="B1523" s="2" t="s">
        <v>413</v>
      </c>
      <c r="C1523" t="s">
        <v>106</v>
      </c>
      <c r="D1523" s="1">
        <v>58321</v>
      </c>
      <c r="E1523" t="s">
        <v>40</v>
      </c>
      <c r="F1523" t="s">
        <v>10</v>
      </c>
      <c r="G1523">
        <v>100</v>
      </c>
      <c r="H1523">
        <v>3</v>
      </c>
      <c r="I1523">
        <v>99</v>
      </c>
      <c r="J1523">
        <v>99</v>
      </c>
      <c r="K1523">
        <v>99</v>
      </c>
    </row>
    <row r="1524" spans="1:11" x14ac:dyDescent="0.25">
      <c r="A1524" s="2">
        <v>2017</v>
      </c>
      <c r="B1524" s="2" t="s">
        <v>413</v>
      </c>
      <c r="C1524" t="s">
        <v>106</v>
      </c>
      <c r="D1524" s="1">
        <v>58321</v>
      </c>
      <c r="E1524" t="s">
        <v>40</v>
      </c>
      <c r="F1524" t="s">
        <v>11</v>
      </c>
      <c r="G1524">
        <v>100</v>
      </c>
      <c r="H1524">
        <v>3</v>
      </c>
      <c r="I1524">
        <v>99</v>
      </c>
      <c r="J1524">
        <v>99</v>
      </c>
      <c r="K1524">
        <v>99</v>
      </c>
    </row>
    <row r="1525" spans="1:11" x14ac:dyDescent="0.25">
      <c r="A1525" s="2">
        <v>2017</v>
      </c>
      <c r="B1525" s="2" t="s">
        <v>413</v>
      </c>
      <c r="C1525" t="s">
        <v>106</v>
      </c>
      <c r="D1525" s="1">
        <v>58321</v>
      </c>
      <c r="E1525" t="s">
        <v>40</v>
      </c>
      <c r="F1525" t="s">
        <v>12</v>
      </c>
      <c r="G1525">
        <v>91.7</v>
      </c>
      <c r="H1525">
        <v>3</v>
      </c>
      <c r="I1525">
        <v>99</v>
      </c>
      <c r="J1525">
        <v>94</v>
      </c>
      <c r="K1525">
        <v>99</v>
      </c>
    </row>
    <row r="1526" spans="1:11" x14ac:dyDescent="0.25">
      <c r="A1526" s="2">
        <v>2017</v>
      </c>
      <c r="B1526" s="2" t="s">
        <v>413</v>
      </c>
      <c r="C1526" t="s">
        <v>106</v>
      </c>
      <c r="D1526" s="1">
        <v>121681</v>
      </c>
      <c r="E1526" t="s">
        <v>29</v>
      </c>
      <c r="F1526" t="s">
        <v>7</v>
      </c>
      <c r="G1526">
        <v>95.3</v>
      </c>
      <c r="H1526">
        <v>4</v>
      </c>
      <c r="I1526">
        <v>99</v>
      </c>
      <c r="J1526">
        <v>98</v>
      </c>
      <c r="K1526">
        <v>99</v>
      </c>
    </row>
    <row r="1527" spans="1:11" x14ac:dyDescent="0.25">
      <c r="A1527" s="2">
        <v>2017</v>
      </c>
      <c r="B1527" s="2" t="s">
        <v>413</v>
      </c>
      <c r="C1527" t="s">
        <v>106</v>
      </c>
      <c r="D1527" s="1">
        <v>121681</v>
      </c>
      <c r="E1527" t="s">
        <v>29</v>
      </c>
      <c r="F1527" t="s">
        <v>8</v>
      </c>
      <c r="G1527">
        <v>100</v>
      </c>
      <c r="H1527">
        <v>4</v>
      </c>
      <c r="I1527">
        <v>99</v>
      </c>
      <c r="J1527">
        <v>99</v>
      </c>
      <c r="K1527">
        <v>99</v>
      </c>
    </row>
    <row r="1528" spans="1:11" x14ac:dyDescent="0.25">
      <c r="A1528" s="2">
        <v>2017</v>
      </c>
      <c r="B1528" s="2" t="s">
        <v>413</v>
      </c>
      <c r="C1528" t="s">
        <v>106</v>
      </c>
      <c r="D1528" s="1">
        <v>121681</v>
      </c>
      <c r="E1528" t="s">
        <v>29</v>
      </c>
      <c r="F1528" t="s">
        <v>9</v>
      </c>
      <c r="G1528">
        <v>100</v>
      </c>
      <c r="H1528">
        <v>4</v>
      </c>
      <c r="I1528">
        <v>99</v>
      </c>
      <c r="J1528">
        <v>99</v>
      </c>
      <c r="K1528">
        <v>99</v>
      </c>
    </row>
    <row r="1529" spans="1:11" x14ac:dyDescent="0.25">
      <c r="A1529" s="2">
        <v>2017</v>
      </c>
      <c r="B1529" s="2" t="s">
        <v>413</v>
      </c>
      <c r="C1529" t="s">
        <v>106</v>
      </c>
      <c r="D1529" s="1">
        <v>121681</v>
      </c>
      <c r="E1529" t="s">
        <v>29</v>
      </c>
      <c r="F1529" t="s">
        <v>10</v>
      </c>
      <c r="G1529">
        <v>81.3</v>
      </c>
      <c r="H1529">
        <v>4</v>
      </c>
      <c r="I1529">
        <v>24</v>
      </c>
      <c r="J1529">
        <v>15</v>
      </c>
      <c r="K1529">
        <v>12</v>
      </c>
    </row>
    <row r="1530" spans="1:11" x14ac:dyDescent="0.25">
      <c r="A1530" s="2">
        <v>2017</v>
      </c>
      <c r="B1530" s="2" t="s">
        <v>413</v>
      </c>
      <c r="C1530" t="s">
        <v>106</v>
      </c>
      <c r="D1530" s="1">
        <v>121681</v>
      </c>
      <c r="E1530" t="s">
        <v>29</v>
      </c>
      <c r="F1530" t="s">
        <v>11</v>
      </c>
      <c r="G1530">
        <v>100</v>
      </c>
      <c r="H1530">
        <v>4</v>
      </c>
      <c r="I1530">
        <v>99</v>
      </c>
      <c r="J1530">
        <v>99</v>
      </c>
      <c r="K1530">
        <v>99</v>
      </c>
    </row>
    <row r="1531" spans="1:11" x14ac:dyDescent="0.25">
      <c r="A1531" s="2">
        <v>2017</v>
      </c>
      <c r="B1531" s="2" t="s">
        <v>413</v>
      </c>
      <c r="C1531" t="s">
        <v>106</v>
      </c>
      <c r="D1531" s="1">
        <v>121681</v>
      </c>
      <c r="E1531" t="s">
        <v>29</v>
      </c>
      <c r="F1531" t="s">
        <v>12</v>
      </c>
      <c r="G1531">
        <v>87.5</v>
      </c>
      <c r="H1531">
        <v>4</v>
      </c>
      <c r="I1531">
        <v>99</v>
      </c>
      <c r="J1531">
        <v>83</v>
      </c>
      <c r="K1531">
        <v>91</v>
      </c>
    </row>
    <row r="1532" spans="1:11" x14ac:dyDescent="0.25">
      <c r="A1532" s="2">
        <v>2017</v>
      </c>
      <c r="B1532" s="2" t="s">
        <v>413</v>
      </c>
      <c r="C1532" t="s">
        <v>106</v>
      </c>
      <c r="D1532" s="1">
        <v>88963</v>
      </c>
      <c r="E1532" t="s">
        <v>34</v>
      </c>
      <c r="F1532" t="s">
        <v>7</v>
      </c>
      <c r="G1532">
        <v>95.8</v>
      </c>
      <c r="H1532">
        <v>3</v>
      </c>
      <c r="I1532">
        <v>99</v>
      </c>
      <c r="J1532">
        <v>98</v>
      </c>
      <c r="K1532">
        <v>99</v>
      </c>
    </row>
    <row r="1533" spans="1:11" x14ac:dyDescent="0.25">
      <c r="A1533" s="2">
        <v>2017</v>
      </c>
      <c r="B1533" s="2" t="s">
        <v>413</v>
      </c>
      <c r="C1533" t="s">
        <v>106</v>
      </c>
      <c r="D1533" s="1">
        <v>88963</v>
      </c>
      <c r="E1533" t="s">
        <v>34</v>
      </c>
      <c r="F1533" t="s">
        <v>8</v>
      </c>
      <c r="G1533">
        <v>91.7</v>
      </c>
      <c r="H1533">
        <v>3</v>
      </c>
      <c r="I1533">
        <v>99</v>
      </c>
      <c r="J1533">
        <v>90</v>
      </c>
      <c r="K1533">
        <v>97</v>
      </c>
    </row>
    <row r="1534" spans="1:11" x14ac:dyDescent="0.25">
      <c r="A1534" s="2">
        <v>2017</v>
      </c>
      <c r="B1534" s="2" t="s">
        <v>413</v>
      </c>
      <c r="C1534" t="s">
        <v>106</v>
      </c>
      <c r="D1534" s="1">
        <v>88963</v>
      </c>
      <c r="E1534" t="s">
        <v>34</v>
      </c>
      <c r="F1534" t="s">
        <v>9</v>
      </c>
      <c r="G1534">
        <v>100</v>
      </c>
      <c r="H1534">
        <v>3</v>
      </c>
      <c r="I1534">
        <v>99</v>
      </c>
      <c r="J1534">
        <v>99</v>
      </c>
      <c r="K1534">
        <v>99</v>
      </c>
    </row>
    <row r="1535" spans="1:11" x14ac:dyDescent="0.25">
      <c r="A1535" s="2">
        <v>2017</v>
      </c>
      <c r="B1535" s="2" t="s">
        <v>413</v>
      </c>
      <c r="C1535" t="s">
        <v>106</v>
      </c>
      <c r="D1535" s="1">
        <v>88963</v>
      </c>
      <c r="E1535" t="s">
        <v>34</v>
      </c>
      <c r="F1535" t="s">
        <v>10</v>
      </c>
      <c r="G1535">
        <v>91.7</v>
      </c>
      <c r="H1535">
        <v>3</v>
      </c>
      <c r="I1535">
        <v>99</v>
      </c>
      <c r="J1535">
        <v>90</v>
      </c>
      <c r="K1535">
        <v>97</v>
      </c>
    </row>
    <row r="1536" spans="1:11" x14ac:dyDescent="0.25">
      <c r="A1536" s="2">
        <v>2017</v>
      </c>
      <c r="B1536" s="2" t="s">
        <v>413</v>
      </c>
      <c r="C1536" t="s">
        <v>106</v>
      </c>
      <c r="D1536" s="1">
        <v>88963</v>
      </c>
      <c r="E1536" t="s">
        <v>34</v>
      </c>
      <c r="F1536" t="s">
        <v>11</v>
      </c>
      <c r="G1536">
        <v>100</v>
      </c>
      <c r="H1536">
        <v>3</v>
      </c>
      <c r="I1536">
        <v>99</v>
      </c>
      <c r="J1536">
        <v>99</v>
      </c>
      <c r="K1536">
        <v>99</v>
      </c>
    </row>
    <row r="1537" spans="1:11" x14ac:dyDescent="0.25">
      <c r="A1537" s="2">
        <v>2017</v>
      </c>
      <c r="B1537" s="2" t="s">
        <v>413</v>
      </c>
      <c r="C1537" t="s">
        <v>106</v>
      </c>
      <c r="D1537" s="1">
        <v>88963</v>
      </c>
      <c r="E1537" t="s">
        <v>34</v>
      </c>
      <c r="F1537" t="s">
        <v>12</v>
      </c>
      <c r="G1537">
        <v>50</v>
      </c>
      <c r="H1537">
        <v>3</v>
      </c>
      <c r="I1537">
        <v>1</v>
      </c>
      <c r="J1537">
        <v>1</v>
      </c>
      <c r="K1537">
        <v>1</v>
      </c>
    </row>
    <row r="1538" spans="1:11" x14ac:dyDescent="0.25">
      <c r="A1538" s="2">
        <v>2017</v>
      </c>
      <c r="B1538" s="2" t="s">
        <v>413</v>
      </c>
      <c r="C1538" t="s">
        <v>106</v>
      </c>
      <c r="D1538" s="1">
        <v>103275</v>
      </c>
      <c r="E1538" t="s">
        <v>26</v>
      </c>
      <c r="F1538" t="s">
        <v>7</v>
      </c>
      <c r="G1538">
        <v>91.1</v>
      </c>
      <c r="H1538">
        <v>7</v>
      </c>
      <c r="I1538">
        <v>99</v>
      </c>
      <c r="J1538">
        <v>84</v>
      </c>
      <c r="K1538">
        <v>93</v>
      </c>
    </row>
    <row r="1539" spans="1:11" x14ac:dyDescent="0.25">
      <c r="A1539" s="2">
        <v>2017</v>
      </c>
      <c r="B1539" s="2" t="s">
        <v>413</v>
      </c>
      <c r="C1539" t="s">
        <v>106</v>
      </c>
      <c r="D1539" s="1">
        <v>103275</v>
      </c>
      <c r="E1539" t="s">
        <v>26</v>
      </c>
      <c r="F1539" t="s">
        <v>8</v>
      </c>
      <c r="G1539">
        <v>85.7</v>
      </c>
      <c r="H1539">
        <v>7</v>
      </c>
      <c r="I1539">
        <v>70</v>
      </c>
      <c r="J1539">
        <v>47</v>
      </c>
      <c r="K1539">
        <v>50</v>
      </c>
    </row>
    <row r="1540" spans="1:11" x14ac:dyDescent="0.25">
      <c r="A1540" s="2">
        <v>2017</v>
      </c>
      <c r="B1540" s="2" t="s">
        <v>413</v>
      </c>
      <c r="C1540" t="s">
        <v>106</v>
      </c>
      <c r="D1540" s="1">
        <v>103275</v>
      </c>
      <c r="E1540" t="s">
        <v>26</v>
      </c>
      <c r="F1540" t="s">
        <v>9</v>
      </c>
      <c r="G1540">
        <v>96.4</v>
      </c>
      <c r="H1540">
        <v>7</v>
      </c>
      <c r="I1540">
        <v>99</v>
      </c>
      <c r="J1540">
        <v>98</v>
      </c>
      <c r="K1540">
        <v>99</v>
      </c>
    </row>
    <row r="1541" spans="1:11" x14ac:dyDescent="0.25">
      <c r="A1541" s="2">
        <v>2017</v>
      </c>
      <c r="B1541" s="2" t="s">
        <v>413</v>
      </c>
      <c r="C1541" t="s">
        <v>106</v>
      </c>
      <c r="D1541" s="1">
        <v>103275</v>
      </c>
      <c r="E1541" t="s">
        <v>26</v>
      </c>
      <c r="F1541" t="s">
        <v>10</v>
      </c>
      <c r="G1541">
        <v>82.1</v>
      </c>
      <c r="H1541">
        <v>7</v>
      </c>
      <c r="I1541">
        <v>33</v>
      </c>
      <c r="J1541">
        <v>19</v>
      </c>
      <c r="K1541">
        <v>19</v>
      </c>
    </row>
    <row r="1542" spans="1:11" x14ac:dyDescent="0.25">
      <c r="A1542" s="2">
        <v>2017</v>
      </c>
      <c r="B1542" s="2" t="s">
        <v>413</v>
      </c>
      <c r="C1542" t="s">
        <v>106</v>
      </c>
      <c r="D1542" s="1">
        <v>103275</v>
      </c>
      <c r="E1542" t="s">
        <v>26</v>
      </c>
      <c r="F1542" t="s">
        <v>11</v>
      </c>
      <c r="G1542">
        <v>100</v>
      </c>
      <c r="H1542">
        <v>7</v>
      </c>
      <c r="I1542">
        <v>99</v>
      </c>
      <c r="J1542">
        <v>99</v>
      </c>
      <c r="K1542">
        <v>99</v>
      </c>
    </row>
    <row r="1543" spans="1:11" x14ac:dyDescent="0.25">
      <c r="A1543" s="2">
        <v>2017</v>
      </c>
      <c r="B1543" s="2" t="s">
        <v>413</v>
      </c>
      <c r="C1543" t="s">
        <v>106</v>
      </c>
      <c r="D1543" s="1">
        <v>103275</v>
      </c>
      <c r="E1543" t="s">
        <v>26</v>
      </c>
      <c r="F1543" t="s">
        <v>12</v>
      </c>
      <c r="G1543">
        <v>78.599999999999994</v>
      </c>
      <c r="H1543">
        <v>7</v>
      </c>
      <c r="I1543">
        <v>60</v>
      </c>
      <c r="J1543">
        <v>33</v>
      </c>
      <c r="K1543">
        <v>28</v>
      </c>
    </row>
    <row r="1544" spans="1:11" x14ac:dyDescent="0.25">
      <c r="A1544" s="2">
        <v>2017</v>
      </c>
      <c r="B1544" s="2" t="s">
        <v>413</v>
      </c>
      <c r="C1544" t="s">
        <v>106</v>
      </c>
      <c r="D1544" s="1">
        <v>8888</v>
      </c>
      <c r="E1544" t="s">
        <v>226</v>
      </c>
      <c r="F1544" t="s">
        <v>7</v>
      </c>
      <c r="G1544">
        <v>98.4</v>
      </c>
      <c r="H1544">
        <v>8</v>
      </c>
      <c r="I1544">
        <v>99</v>
      </c>
      <c r="J1544">
        <v>99</v>
      </c>
      <c r="K1544">
        <v>99</v>
      </c>
    </row>
    <row r="1545" spans="1:11" x14ac:dyDescent="0.25">
      <c r="A1545" s="2">
        <v>2017</v>
      </c>
      <c r="B1545" s="2" t="s">
        <v>413</v>
      </c>
      <c r="C1545" t="s">
        <v>106</v>
      </c>
      <c r="D1545" s="1">
        <v>8888</v>
      </c>
      <c r="E1545" t="s">
        <v>226</v>
      </c>
      <c r="F1545" t="s">
        <v>8</v>
      </c>
      <c r="G1545">
        <v>100</v>
      </c>
      <c r="H1545">
        <v>8</v>
      </c>
      <c r="I1545">
        <v>99</v>
      </c>
      <c r="J1545">
        <v>99</v>
      </c>
      <c r="K1545">
        <v>99</v>
      </c>
    </row>
    <row r="1546" spans="1:11" x14ac:dyDescent="0.25">
      <c r="A1546" s="2">
        <v>2017</v>
      </c>
      <c r="B1546" s="2" t="s">
        <v>413</v>
      </c>
      <c r="C1546" t="s">
        <v>106</v>
      </c>
      <c r="D1546" s="1">
        <v>8888</v>
      </c>
      <c r="E1546" t="s">
        <v>226</v>
      </c>
      <c r="F1546" t="s">
        <v>9</v>
      </c>
      <c r="G1546">
        <v>96.9</v>
      </c>
      <c r="H1546">
        <v>8</v>
      </c>
      <c r="I1546">
        <v>99</v>
      </c>
      <c r="J1546">
        <v>99</v>
      </c>
      <c r="K1546">
        <v>99</v>
      </c>
    </row>
    <row r="1547" spans="1:11" x14ac:dyDescent="0.25">
      <c r="A1547" s="2">
        <v>2017</v>
      </c>
      <c r="B1547" s="2" t="s">
        <v>413</v>
      </c>
      <c r="C1547" t="s">
        <v>106</v>
      </c>
      <c r="D1547" s="1">
        <v>8888</v>
      </c>
      <c r="E1547" t="s">
        <v>226</v>
      </c>
      <c r="F1547" t="s">
        <v>10</v>
      </c>
      <c r="G1547">
        <v>96.9</v>
      </c>
      <c r="H1547">
        <v>8</v>
      </c>
      <c r="I1547">
        <v>99</v>
      </c>
      <c r="J1547">
        <v>99</v>
      </c>
      <c r="K1547">
        <v>99</v>
      </c>
    </row>
    <row r="1548" spans="1:11" x14ac:dyDescent="0.25">
      <c r="A1548" s="2">
        <v>2017</v>
      </c>
      <c r="B1548" s="2" t="s">
        <v>413</v>
      </c>
      <c r="C1548" t="s">
        <v>106</v>
      </c>
      <c r="D1548" s="1">
        <v>8888</v>
      </c>
      <c r="E1548" t="s">
        <v>226</v>
      </c>
      <c r="F1548" t="s">
        <v>11</v>
      </c>
      <c r="G1548">
        <v>100</v>
      </c>
      <c r="H1548">
        <v>8</v>
      </c>
      <c r="I1548">
        <v>99</v>
      </c>
      <c r="J1548">
        <v>99</v>
      </c>
      <c r="K1548">
        <v>99</v>
      </c>
    </row>
    <row r="1549" spans="1:11" x14ac:dyDescent="0.25">
      <c r="A1549" s="2">
        <v>2017</v>
      </c>
      <c r="B1549" s="2" t="s">
        <v>413</v>
      </c>
      <c r="C1549" t="s">
        <v>106</v>
      </c>
      <c r="D1549" s="1">
        <v>8888</v>
      </c>
      <c r="E1549" t="s">
        <v>226</v>
      </c>
      <c r="F1549" t="s">
        <v>12</v>
      </c>
      <c r="G1549">
        <v>84.4</v>
      </c>
      <c r="H1549">
        <v>8</v>
      </c>
      <c r="I1549">
        <v>93</v>
      </c>
      <c r="J1549">
        <v>66</v>
      </c>
      <c r="K1549">
        <v>75</v>
      </c>
    </row>
    <row r="1550" spans="1:11" x14ac:dyDescent="0.25">
      <c r="A1550" s="2">
        <v>2017</v>
      </c>
      <c r="B1550" s="2" t="s">
        <v>413</v>
      </c>
      <c r="C1550" t="s">
        <v>106</v>
      </c>
      <c r="D1550" s="1">
        <v>70375</v>
      </c>
      <c r="E1550" t="s">
        <v>24</v>
      </c>
      <c r="F1550" t="s">
        <v>7</v>
      </c>
      <c r="G1550">
        <v>92</v>
      </c>
      <c r="H1550">
        <v>7</v>
      </c>
      <c r="I1550">
        <v>99</v>
      </c>
      <c r="J1550">
        <v>88</v>
      </c>
      <c r="K1550">
        <v>96</v>
      </c>
    </row>
    <row r="1551" spans="1:11" x14ac:dyDescent="0.25">
      <c r="A1551" s="2">
        <v>2017</v>
      </c>
      <c r="B1551" s="2" t="s">
        <v>413</v>
      </c>
      <c r="C1551" t="s">
        <v>106</v>
      </c>
      <c r="D1551" s="1">
        <v>70375</v>
      </c>
      <c r="E1551" t="s">
        <v>24</v>
      </c>
      <c r="F1551" t="s">
        <v>8</v>
      </c>
      <c r="G1551">
        <v>92.9</v>
      </c>
      <c r="H1551">
        <v>7</v>
      </c>
      <c r="I1551">
        <v>99</v>
      </c>
      <c r="J1551">
        <v>94</v>
      </c>
      <c r="K1551">
        <v>99</v>
      </c>
    </row>
    <row r="1552" spans="1:11" x14ac:dyDescent="0.25">
      <c r="A1552" s="2">
        <v>2017</v>
      </c>
      <c r="B1552" s="2" t="s">
        <v>413</v>
      </c>
      <c r="C1552" t="s">
        <v>106</v>
      </c>
      <c r="D1552" s="1">
        <v>70375</v>
      </c>
      <c r="E1552" t="s">
        <v>24</v>
      </c>
      <c r="F1552" t="s">
        <v>9</v>
      </c>
      <c r="G1552">
        <v>92.9</v>
      </c>
      <c r="H1552">
        <v>7</v>
      </c>
      <c r="I1552">
        <v>99</v>
      </c>
      <c r="J1552">
        <v>92</v>
      </c>
      <c r="K1552">
        <v>98</v>
      </c>
    </row>
    <row r="1553" spans="1:11" x14ac:dyDescent="0.25">
      <c r="A1553" s="2">
        <v>2017</v>
      </c>
      <c r="B1553" s="2" t="s">
        <v>413</v>
      </c>
      <c r="C1553" t="s">
        <v>106</v>
      </c>
      <c r="D1553" s="1">
        <v>70375</v>
      </c>
      <c r="E1553" t="s">
        <v>24</v>
      </c>
      <c r="F1553" t="s">
        <v>10</v>
      </c>
      <c r="G1553">
        <v>82.1</v>
      </c>
      <c r="H1553">
        <v>7</v>
      </c>
      <c r="I1553">
        <v>33</v>
      </c>
      <c r="J1553">
        <v>19</v>
      </c>
      <c r="K1553">
        <v>19</v>
      </c>
    </row>
    <row r="1554" spans="1:11" x14ac:dyDescent="0.25">
      <c r="A1554" s="2">
        <v>2017</v>
      </c>
      <c r="B1554" s="2" t="s">
        <v>413</v>
      </c>
      <c r="C1554" t="s">
        <v>106</v>
      </c>
      <c r="D1554" s="1">
        <v>70375</v>
      </c>
      <c r="E1554" t="s">
        <v>24</v>
      </c>
      <c r="F1554" t="s">
        <v>11</v>
      </c>
      <c r="G1554">
        <v>100</v>
      </c>
      <c r="H1554">
        <v>7</v>
      </c>
      <c r="I1554">
        <v>99</v>
      </c>
      <c r="J1554">
        <v>99</v>
      </c>
      <c r="K1554">
        <v>99</v>
      </c>
    </row>
    <row r="1555" spans="1:11" x14ac:dyDescent="0.25">
      <c r="A1555" s="2">
        <v>2017</v>
      </c>
      <c r="B1555" s="2" t="s">
        <v>413</v>
      </c>
      <c r="C1555" t="s">
        <v>106</v>
      </c>
      <c r="D1555" s="1">
        <v>70375</v>
      </c>
      <c r="E1555" t="s">
        <v>24</v>
      </c>
      <c r="F1555" t="s">
        <v>12</v>
      </c>
      <c r="G1555">
        <v>78.599999999999994</v>
      </c>
      <c r="H1555">
        <v>7</v>
      </c>
      <c r="I1555">
        <v>60</v>
      </c>
      <c r="J1555">
        <v>33</v>
      </c>
      <c r="K1555">
        <v>28</v>
      </c>
    </row>
    <row r="1556" spans="1:11" x14ac:dyDescent="0.25">
      <c r="A1556" s="2">
        <v>2017</v>
      </c>
      <c r="B1556" s="2" t="s">
        <v>413</v>
      </c>
      <c r="C1556" t="s">
        <v>106</v>
      </c>
      <c r="D1556" s="1">
        <v>153700</v>
      </c>
      <c r="E1556" t="s">
        <v>38</v>
      </c>
      <c r="F1556" t="s">
        <v>7</v>
      </c>
      <c r="G1556">
        <v>96.1</v>
      </c>
      <c r="H1556">
        <v>8</v>
      </c>
      <c r="I1556">
        <v>99</v>
      </c>
      <c r="J1556">
        <v>98</v>
      </c>
      <c r="K1556">
        <v>99</v>
      </c>
    </row>
    <row r="1557" spans="1:11" x14ac:dyDescent="0.25">
      <c r="A1557" s="2">
        <v>2017</v>
      </c>
      <c r="B1557" s="2" t="s">
        <v>413</v>
      </c>
      <c r="C1557" t="s">
        <v>106</v>
      </c>
      <c r="D1557" s="1">
        <v>153700</v>
      </c>
      <c r="E1557" t="s">
        <v>38</v>
      </c>
      <c r="F1557" t="s">
        <v>8</v>
      </c>
      <c r="G1557">
        <v>96.9</v>
      </c>
      <c r="H1557">
        <v>8</v>
      </c>
      <c r="I1557">
        <v>99</v>
      </c>
      <c r="J1557">
        <v>99</v>
      </c>
      <c r="K1557">
        <v>99</v>
      </c>
    </row>
    <row r="1558" spans="1:11" x14ac:dyDescent="0.25">
      <c r="A1558" s="2">
        <v>2017</v>
      </c>
      <c r="B1558" s="2" t="s">
        <v>413</v>
      </c>
      <c r="C1558" t="s">
        <v>106</v>
      </c>
      <c r="D1558" s="1">
        <v>153700</v>
      </c>
      <c r="E1558" t="s">
        <v>38</v>
      </c>
      <c r="F1558" t="s">
        <v>9</v>
      </c>
      <c r="G1558">
        <v>93.8</v>
      </c>
      <c r="H1558">
        <v>8</v>
      </c>
      <c r="I1558">
        <v>99</v>
      </c>
      <c r="J1558">
        <v>94</v>
      </c>
      <c r="K1558">
        <v>99</v>
      </c>
    </row>
    <row r="1559" spans="1:11" x14ac:dyDescent="0.25">
      <c r="A1559" s="2">
        <v>2017</v>
      </c>
      <c r="B1559" s="2" t="s">
        <v>413</v>
      </c>
      <c r="C1559" t="s">
        <v>106</v>
      </c>
      <c r="D1559" s="1">
        <v>153700</v>
      </c>
      <c r="E1559" t="s">
        <v>38</v>
      </c>
      <c r="F1559" t="s">
        <v>10</v>
      </c>
      <c r="G1559">
        <v>96.9</v>
      </c>
      <c r="H1559">
        <v>8</v>
      </c>
      <c r="I1559">
        <v>99</v>
      </c>
      <c r="J1559">
        <v>99</v>
      </c>
      <c r="K1559">
        <v>99</v>
      </c>
    </row>
    <row r="1560" spans="1:11" x14ac:dyDescent="0.25">
      <c r="A1560" s="2">
        <v>2017</v>
      </c>
      <c r="B1560" s="2" t="s">
        <v>413</v>
      </c>
      <c r="C1560" t="s">
        <v>106</v>
      </c>
      <c r="D1560" s="1">
        <v>153700</v>
      </c>
      <c r="E1560" t="s">
        <v>38</v>
      </c>
      <c r="F1560" t="s">
        <v>11</v>
      </c>
      <c r="G1560">
        <v>96.9</v>
      </c>
      <c r="H1560">
        <v>8</v>
      </c>
      <c r="I1560">
        <v>99</v>
      </c>
      <c r="J1560">
        <v>98</v>
      </c>
      <c r="K1560">
        <v>99</v>
      </c>
    </row>
    <row r="1561" spans="1:11" x14ac:dyDescent="0.25">
      <c r="A1561" s="2">
        <v>2017</v>
      </c>
      <c r="B1561" s="2" t="s">
        <v>413</v>
      </c>
      <c r="C1561" t="s">
        <v>106</v>
      </c>
      <c r="D1561" s="1">
        <v>153700</v>
      </c>
      <c r="E1561" t="s">
        <v>38</v>
      </c>
      <c r="F1561" t="s">
        <v>12</v>
      </c>
      <c r="G1561">
        <v>78.599999999999994</v>
      </c>
      <c r="H1561">
        <v>7</v>
      </c>
      <c r="I1561">
        <v>60</v>
      </c>
      <c r="J1561">
        <v>33</v>
      </c>
      <c r="K1561">
        <v>28</v>
      </c>
    </row>
    <row r="1562" spans="1:11" x14ac:dyDescent="0.25">
      <c r="A1562" s="2">
        <v>2017</v>
      </c>
      <c r="B1562" s="2" t="s">
        <v>413</v>
      </c>
      <c r="C1562" t="s">
        <v>106</v>
      </c>
      <c r="D1562" s="1">
        <v>36541</v>
      </c>
      <c r="E1562" t="s">
        <v>21</v>
      </c>
      <c r="F1562" t="s">
        <v>7</v>
      </c>
      <c r="G1562">
        <v>88.8</v>
      </c>
      <c r="H1562">
        <v>5</v>
      </c>
      <c r="I1562">
        <v>86</v>
      </c>
      <c r="J1562">
        <v>65</v>
      </c>
      <c r="K1562">
        <v>68</v>
      </c>
    </row>
    <row r="1563" spans="1:11" x14ac:dyDescent="0.25">
      <c r="A1563" s="2">
        <v>2017</v>
      </c>
      <c r="B1563" s="2" t="s">
        <v>413</v>
      </c>
      <c r="C1563" t="s">
        <v>106</v>
      </c>
      <c r="D1563" s="1">
        <v>36541</v>
      </c>
      <c r="E1563" t="s">
        <v>21</v>
      </c>
      <c r="F1563" t="s">
        <v>8</v>
      </c>
      <c r="G1563">
        <v>90</v>
      </c>
      <c r="H1563">
        <v>5</v>
      </c>
      <c r="I1563">
        <v>99</v>
      </c>
      <c r="J1563">
        <v>82</v>
      </c>
      <c r="K1563">
        <v>93</v>
      </c>
    </row>
    <row r="1564" spans="1:11" x14ac:dyDescent="0.25">
      <c r="A1564" s="2">
        <v>2017</v>
      </c>
      <c r="B1564" s="2" t="s">
        <v>413</v>
      </c>
      <c r="C1564" t="s">
        <v>106</v>
      </c>
      <c r="D1564" s="1">
        <v>36541</v>
      </c>
      <c r="E1564" t="s">
        <v>21</v>
      </c>
      <c r="F1564" t="s">
        <v>9</v>
      </c>
      <c r="G1564">
        <v>90</v>
      </c>
      <c r="H1564">
        <v>5</v>
      </c>
      <c r="I1564">
        <v>92</v>
      </c>
      <c r="J1564">
        <v>73</v>
      </c>
      <c r="K1564">
        <v>79</v>
      </c>
    </row>
    <row r="1565" spans="1:11" x14ac:dyDescent="0.25">
      <c r="A1565" s="2">
        <v>2017</v>
      </c>
      <c r="B1565" s="2" t="s">
        <v>413</v>
      </c>
      <c r="C1565" t="s">
        <v>106</v>
      </c>
      <c r="D1565" s="1">
        <v>36541</v>
      </c>
      <c r="E1565" t="s">
        <v>21</v>
      </c>
      <c r="F1565" t="s">
        <v>10</v>
      </c>
      <c r="G1565">
        <v>90</v>
      </c>
      <c r="H1565">
        <v>5</v>
      </c>
      <c r="I1565">
        <v>97</v>
      </c>
      <c r="J1565">
        <v>82</v>
      </c>
      <c r="K1565">
        <v>90</v>
      </c>
    </row>
    <row r="1566" spans="1:11" x14ac:dyDescent="0.25">
      <c r="A1566" s="2">
        <v>2017</v>
      </c>
      <c r="B1566" s="2" t="s">
        <v>413</v>
      </c>
      <c r="C1566" t="s">
        <v>106</v>
      </c>
      <c r="D1566" s="1">
        <v>36541</v>
      </c>
      <c r="E1566" t="s">
        <v>21</v>
      </c>
      <c r="F1566" t="s">
        <v>11</v>
      </c>
      <c r="G1566">
        <v>85</v>
      </c>
      <c r="H1566">
        <v>5</v>
      </c>
      <c r="I1566">
        <v>21</v>
      </c>
      <c r="J1566">
        <v>13</v>
      </c>
      <c r="K1566">
        <v>10</v>
      </c>
    </row>
    <row r="1567" spans="1:11" x14ac:dyDescent="0.25">
      <c r="A1567" s="2">
        <v>2017</v>
      </c>
      <c r="B1567" s="2" t="s">
        <v>413</v>
      </c>
      <c r="C1567" t="s">
        <v>106</v>
      </c>
      <c r="D1567" s="1">
        <v>36541</v>
      </c>
      <c r="E1567" t="s">
        <v>21</v>
      </c>
      <c r="F1567" t="s">
        <v>12</v>
      </c>
      <c r="G1567">
        <v>95</v>
      </c>
      <c r="H1567">
        <v>5</v>
      </c>
      <c r="I1567">
        <v>99</v>
      </c>
      <c r="J1567">
        <v>98</v>
      </c>
      <c r="K1567">
        <v>99</v>
      </c>
    </row>
    <row r="1568" spans="1:11" x14ac:dyDescent="0.25">
      <c r="A1568" s="2">
        <v>2017</v>
      </c>
      <c r="B1568" s="2" t="s">
        <v>413</v>
      </c>
      <c r="C1568" t="s">
        <v>106</v>
      </c>
      <c r="D1568" s="1">
        <v>110569</v>
      </c>
      <c r="E1568" t="s">
        <v>18</v>
      </c>
      <c r="F1568" t="s">
        <v>7</v>
      </c>
      <c r="G1568">
        <v>88.8</v>
      </c>
      <c r="H1568">
        <v>14</v>
      </c>
      <c r="I1568">
        <v>86</v>
      </c>
      <c r="J1568">
        <v>65</v>
      </c>
      <c r="K1568">
        <v>68</v>
      </c>
    </row>
    <row r="1569" spans="1:11" x14ac:dyDescent="0.25">
      <c r="A1569" s="2">
        <v>2017</v>
      </c>
      <c r="B1569" s="2" t="s">
        <v>413</v>
      </c>
      <c r="C1569" t="s">
        <v>106</v>
      </c>
      <c r="D1569" s="1">
        <v>110569</v>
      </c>
      <c r="E1569" t="s">
        <v>18</v>
      </c>
      <c r="F1569" t="s">
        <v>8</v>
      </c>
      <c r="G1569">
        <v>83.9</v>
      </c>
      <c r="H1569">
        <v>14</v>
      </c>
      <c r="I1569">
        <v>48</v>
      </c>
      <c r="J1569">
        <v>31</v>
      </c>
      <c r="K1569">
        <v>34</v>
      </c>
    </row>
    <row r="1570" spans="1:11" x14ac:dyDescent="0.25">
      <c r="A1570" s="2">
        <v>2017</v>
      </c>
      <c r="B1570" s="2" t="s">
        <v>413</v>
      </c>
      <c r="C1570" t="s">
        <v>106</v>
      </c>
      <c r="D1570" s="1">
        <v>110569</v>
      </c>
      <c r="E1570" t="s">
        <v>18</v>
      </c>
      <c r="F1570" t="s">
        <v>9</v>
      </c>
      <c r="G1570">
        <v>89.3</v>
      </c>
      <c r="H1570">
        <v>14</v>
      </c>
      <c r="I1570">
        <v>86</v>
      </c>
      <c r="J1570">
        <v>67</v>
      </c>
      <c r="K1570">
        <v>71</v>
      </c>
    </row>
    <row r="1571" spans="1:11" x14ac:dyDescent="0.25">
      <c r="A1571" s="2">
        <v>2017</v>
      </c>
      <c r="B1571" s="2" t="s">
        <v>413</v>
      </c>
      <c r="C1571" t="s">
        <v>106</v>
      </c>
      <c r="D1571" s="1">
        <v>110569</v>
      </c>
      <c r="E1571" t="s">
        <v>18</v>
      </c>
      <c r="F1571" t="s">
        <v>10</v>
      </c>
      <c r="G1571">
        <v>87.5</v>
      </c>
      <c r="H1571">
        <v>14</v>
      </c>
      <c r="I1571">
        <v>85</v>
      </c>
      <c r="J1571">
        <v>61</v>
      </c>
      <c r="K1571">
        <v>67</v>
      </c>
    </row>
    <row r="1572" spans="1:11" x14ac:dyDescent="0.25">
      <c r="A1572" s="2">
        <v>2017</v>
      </c>
      <c r="B1572" s="2" t="s">
        <v>413</v>
      </c>
      <c r="C1572" t="s">
        <v>106</v>
      </c>
      <c r="D1572" s="1">
        <v>110569</v>
      </c>
      <c r="E1572" t="s">
        <v>18</v>
      </c>
      <c r="F1572" t="s">
        <v>11</v>
      </c>
      <c r="G1572">
        <v>94.6</v>
      </c>
      <c r="H1572">
        <v>14</v>
      </c>
      <c r="I1572">
        <v>99</v>
      </c>
      <c r="J1572">
        <v>94</v>
      </c>
      <c r="K1572">
        <v>98</v>
      </c>
    </row>
    <row r="1573" spans="1:11" x14ac:dyDescent="0.25">
      <c r="A1573" s="2">
        <v>2017</v>
      </c>
      <c r="B1573" s="2" t="s">
        <v>413</v>
      </c>
      <c r="C1573" t="s">
        <v>106</v>
      </c>
      <c r="D1573" s="1">
        <v>110569</v>
      </c>
      <c r="E1573" t="s">
        <v>18</v>
      </c>
      <c r="F1573" t="s">
        <v>12</v>
      </c>
      <c r="G1573">
        <v>80.400000000000006</v>
      </c>
      <c r="H1573">
        <v>14</v>
      </c>
      <c r="I1573">
        <v>68</v>
      </c>
      <c r="J1573">
        <v>42</v>
      </c>
      <c r="K1573">
        <v>37</v>
      </c>
    </row>
    <row r="1574" spans="1:11" x14ac:dyDescent="0.25">
      <c r="A1574" s="2">
        <v>2017</v>
      </c>
      <c r="B1574" s="2" t="s">
        <v>413</v>
      </c>
      <c r="C1574" t="s">
        <v>106</v>
      </c>
      <c r="D1574" s="1">
        <v>104133</v>
      </c>
      <c r="E1574" t="s">
        <v>20</v>
      </c>
      <c r="F1574" t="s">
        <v>7</v>
      </c>
      <c r="G1574">
        <v>86.6</v>
      </c>
      <c r="H1574">
        <v>7</v>
      </c>
      <c r="I1574">
        <v>58</v>
      </c>
      <c r="J1574">
        <v>43</v>
      </c>
      <c r="K1574">
        <v>44</v>
      </c>
    </row>
    <row r="1575" spans="1:11" x14ac:dyDescent="0.25">
      <c r="A1575" s="2">
        <v>2017</v>
      </c>
      <c r="B1575" s="2" t="s">
        <v>413</v>
      </c>
      <c r="C1575" t="s">
        <v>106</v>
      </c>
      <c r="D1575" s="1">
        <v>104133</v>
      </c>
      <c r="E1575" t="s">
        <v>20</v>
      </c>
      <c r="F1575" t="s">
        <v>8</v>
      </c>
      <c r="G1575">
        <v>85.7</v>
      </c>
      <c r="H1575">
        <v>7</v>
      </c>
      <c r="I1575">
        <v>70</v>
      </c>
      <c r="J1575">
        <v>47</v>
      </c>
      <c r="K1575">
        <v>50</v>
      </c>
    </row>
    <row r="1576" spans="1:11" x14ac:dyDescent="0.25">
      <c r="A1576" s="2">
        <v>2017</v>
      </c>
      <c r="B1576" s="2" t="s">
        <v>413</v>
      </c>
      <c r="C1576" t="s">
        <v>106</v>
      </c>
      <c r="D1576" s="1">
        <v>104133</v>
      </c>
      <c r="E1576" t="s">
        <v>20</v>
      </c>
      <c r="F1576" t="s">
        <v>9</v>
      </c>
      <c r="G1576">
        <v>82.1</v>
      </c>
      <c r="H1576">
        <v>7</v>
      </c>
      <c r="I1576">
        <v>17</v>
      </c>
      <c r="J1576">
        <v>11</v>
      </c>
      <c r="K1576">
        <v>7</v>
      </c>
    </row>
    <row r="1577" spans="1:11" x14ac:dyDescent="0.25">
      <c r="A1577" s="2">
        <v>2017</v>
      </c>
      <c r="B1577" s="2" t="s">
        <v>413</v>
      </c>
      <c r="C1577" t="s">
        <v>106</v>
      </c>
      <c r="D1577" s="1">
        <v>104133</v>
      </c>
      <c r="E1577" t="s">
        <v>20</v>
      </c>
      <c r="F1577" t="s">
        <v>10</v>
      </c>
      <c r="G1577">
        <v>85.7</v>
      </c>
      <c r="H1577">
        <v>7</v>
      </c>
      <c r="I1577">
        <v>63</v>
      </c>
      <c r="J1577">
        <v>45</v>
      </c>
      <c r="K1577">
        <v>48</v>
      </c>
    </row>
    <row r="1578" spans="1:11" x14ac:dyDescent="0.25">
      <c r="A1578" s="2">
        <v>2017</v>
      </c>
      <c r="B1578" s="2" t="s">
        <v>413</v>
      </c>
      <c r="C1578" t="s">
        <v>106</v>
      </c>
      <c r="D1578" s="1">
        <v>104133</v>
      </c>
      <c r="E1578" t="s">
        <v>20</v>
      </c>
      <c r="F1578" t="s">
        <v>11</v>
      </c>
      <c r="G1578">
        <v>92.9</v>
      </c>
      <c r="H1578">
        <v>7</v>
      </c>
      <c r="I1578">
        <v>98</v>
      </c>
      <c r="J1578">
        <v>83</v>
      </c>
      <c r="K1578">
        <v>93</v>
      </c>
    </row>
    <row r="1579" spans="1:11" x14ac:dyDescent="0.25">
      <c r="A1579" s="2">
        <v>2017</v>
      </c>
      <c r="B1579" s="2" t="s">
        <v>413</v>
      </c>
      <c r="C1579" t="s">
        <v>106</v>
      </c>
      <c r="D1579" s="1">
        <v>104133</v>
      </c>
      <c r="E1579" t="s">
        <v>20</v>
      </c>
      <c r="F1579" t="s">
        <v>12</v>
      </c>
      <c r="G1579">
        <v>60.7</v>
      </c>
      <c r="H1579">
        <v>7</v>
      </c>
      <c r="I1579">
        <v>3</v>
      </c>
      <c r="J1579">
        <v>1</v>
      </c>
      <c r="K1579">
        <v>1</v>
      </c>
    </row>
    <row r="1580" spans="1:11" x14ac:dyDescent="0.25">
      <c r="A1580" s="2">
        <v>2017</v>
      </c>
      <c r="B1580" s="2" t="s">
        <v>413</v>
      </c>
      <c r="C1580" t="s">
        <v>106</v>
      </c>
      <c r="D1580" s="1">
        <v>89391</v>
      </c>
      <c r="E1580" t="s">
        <v>27</v>
      </c>
      <c r="F1580" t="s">
        <v>7</v>
      </c>
      <c r="G1580">
        <v>81.3</v>
      </c>
      <c r="H1580">
        <v>5</v>
      </c>
      <c r="I1580">
        <v>16</v>
      </c>
      <c r="J1580">
        <v>8</v>
      </c>
      <c r="K1580">
        <v>9</v>
      </c>
    </row>
    <row r="1581" spans="1:11" x14ac:dyDescent="0.25">
      <c r="A1581" s="2">
        <v>2017</v>
      </c>
      <c r="B1581" s="2" t="s">
        <v>413</v>
      </c>
      <c r="C1581" t="s">
        <v>106</v>
      </c>
      <c r="D1581" s="1">
        <v>89391</v>
      </c>
      <c r="E1581" t="s">
        <v>27</v>
      </c>
      <c r="F1581" t="s">
        <v>8</v>
      </c>
      <c r="G1581">
        <v>80</v>
      </c>
      <c r="H1581">
        <v>5</v>
      </c>
      <c r="I1581">
        <v>19</v>
      </c>
      <c r="J1581">
        <v>10</v>
      </c>
      <c r="K1581">
        <v>8</v>
      </c>
    </row>
    <row r="1582" spans="1:11" x14ac:dyDescent="0.25">
      <c r="A1582" s="2">
        <v>2017</v>
      </c>
      <c r="B1582" s="2" t="s">
        <v>413</v>
      </c>
      <c r="C1582" t="s">
        <v>106</v>
      </c>
      <c r="D1582" s="1">
        <v>89391</v>
      </c>
      <c r="E1582" t="s">
        <v>27</v>
      </c>
      <c r="F1582" t="s">
        <v>9</v>
      </c>
      <c r="G1582">
        <v>85</v>
      </c>
      <c r="H1582">
        <v>5</v>
      </c>
      <c r="I1582">
        <v>39</v>
      </c>
      <c r="J1582">
        <v>27</v>
      </c>
      <c r="K1582">
        <v>27</v>
      </c>
    </row>
    <row r="1583" spans="1:11" x14ac:dyDescent="0.25">
      <c r="A1583" s="2">
        <v>2017</v>
      </c>
      <c r="B1583" s="2" t="s">
        <v>413</v>
      </c>
      <c r="C1583" t="s">
        <v>106</v>
      </c>
      <c r="D1583" s="1">
        <v>89391</v>
      </c>
      <c r="E1583" t="s">
        <v>27</v>
      </c>
      <c r="F1583" t="s">
        <v>10</v>
      </c>
      <c r="G1583">
        <v>70</v>
      </c>
      <c r="H1583">
        <v>5</v>
      </c>
      <c r="I1583">
        <v>1</v>
      </c>
      <c r="J1583">
        <v>1</v>
      </c>
      <c r="K1583">
        <v>1</v>
      </c>
    </row>
    <row r="1584" spans="1:11" x14ac:dyDescent="0.25">
      <c r="A1584" s="2">
        <v>2017</v>
      </c>
      <c r="B1584" s="2" t="s">
        <v>413</v>
      </c>
      <c r="C1584" t="s">
        <v>106</v>
      </c>
      <c r="D1584" s="1">
        <v>89391</v>
      </c>
      <c r="E1584" t="s">
        <v>27</v>
      </c>
      <c r="F1584" t="s">
        <v>11</v>
      </c>
      <c r="G1584">
        <v>90</v>
      </c>
      <c r="H1584">
        <v>5</v>
      </c>
      <c r="I1584">
        <v>70</v>
      </c>
      <c r="J1584">
        <v>55</v>
      </c>
      <c r="K1584">
        <v>57</v>
      </c>
    </row>
    <row r="1585" spans="1:11" x14ac:dyDescent="0.25">
      <c r="A1585" s="2">
        <v>2017</v>
      </c>
      <c r="B1585" s="2" t="s">
        <v>413</v>
      </c>
      <c r="C1585" t="s">
        <v>106</v>
      </c>
      <c r="D1585" s="1">
        <v>89391</v>
      </c>
      <c r="E1585" t="s">
        <v>27</v>
      </c>
      <c r="F1585" t="s">
        <v>12</v>
      </c>
      <c r="G1585">
        <v>80</v>
      </c>
      <c r="H1585">
        <v>5</v>
      </c>
      <c r="I1585">
        <v>68</v>
      </c>
      <c r="J1585">
        <v>40</v>
      </c>
      <c r="K1585">
        <v>37</v>
      </c>
    </row>
    <row r="1586" spans="1:11" x14ac:dyDescent="0.25">
      <c r="A1586" s="2">
        <v>2017</v>
      </c>
      <c r="B1586" s="2" t="s">
        <v>413</v>
      </c>
      <c r="C1586" t="s">
        <v>106</v>
      </c>
      <c r="D1586" s="1">
        <v>114603</v>
      </c>
      <c r="E1586" t="s">
        <v>36</v>
      </c>
      <c r="F1586" t="s">
        <v>7</v>
      </c>
      <c r="G1586">
        <v>85.7</v>
      </c>
      <c r="H1586">
        <v>14</v>
      </c>
      <c r="I1586">
        <v>54</v>
      </c>
      <c r="J1586">
        <v>35</v>
      </c>
      <c r="K1586">
        <v>36</v>
      </c>
    </row>
    <row r="1587" spans="1:11" x14ac:dyDescent="0.25">
      <c r="A1587" s="2">
        <v>2017</v>
      </c>
      <c r="B1587" s="2" t="s">
        <v>413</v>
      </c>
      <c r="C1587" t="s">
        <v>106</v>
      </c>
      <c r="D1587" s="1">
        <v>114603</v>
      </c>
      <c r="E1587" t="s">
        <v>36</v>
      </c>
      <c r="F1587" t="s">
        <v>8</v>
      </c>
      <c r="G1587">
        <v>89.3</v>
      </c>
      <c r="H1587">
        <v>14</v>
      </c>
      <c r="I1587">
        <v>98</v>
      </c>
      <c r="J1587">
        <v>77</v>
      </c>
      <c r="K1587">
        <v>89</v>
      </c>
    </row>
    <row r="1588" spans="1:11" x14ac:dyDescent="0.25">
      <c r="A1588" s="2">
        <v>2017</v>
      </c>
      <c r="B1588" s="2" t="s">
        <v>413</v>
      </c>
      <c r="C1588" t="s">
        <v>106</v>
      </c>
      <c r="D1588" s="1">
        <v>114603</v>
      </c>
      <c r="E1588" t="s">
        <v>36</v>
      </c>
      <c r="F1588" t="s">
        <v>9</v>
      </c>
      <c r="G1588">
        <v>85.7</v>
      </c>
      <c r="H1588">
        <v>14</v>
      </c>
      <c r="I1588">
        <v>46</v>
      </c>
      <c r="J1588">
        <v>32</v>
      </c>
      <c r="K1588">
        <v>33</v>
      </c>
    </row>
    <row r="1589" spans="1:11" x14ac:dyDescent="0.25">
      <c r="A1589" s="2">
        <v>2017</v>
      </c>
      <c r="B1589" s="2" t="s">
        <v>413</v>
      </c>
      <c r="C1589" t="s">
        <v>106</v>
      </c>
      <c r="D1589" s="1">
        <v>114603</v>
      </c>
      <c r="E1589" t="s">
        <v>36</v>
      </c>
      <c r="F1589" t="s">
        <v>10</v>
      </c>
      <c r="G1589">
        <v>80.400000000000006</v>
      </c>
      <c r="H1589">
        <v>14</v>
      </c>
      <c r="I1589">
        <v>22</v>
      </c>
      <c r="J1589">
        <v>11</v>
      </c>
      <c r="K1589">
        <v>10</v>
      </c>
    </row>
    <row r="1590" spans="1:11" x14ac:dyDescent="0.25">
      <c r="A1590" s="2">
        <v>2017</v>
      </c>
      <c r="B1590" s="2" t="s">
        <v>413</v>
      </c>
      <c r="C1590" t="s">
        <v>106</v>
      </c>
      <c r="D1590" s="1">
        <v>114603</v>
      </c>
      <c r="E1590" t="s">
        <v>36</v>
      </c>
      <c r="F1590" t="s">
        <v>11</v>
      </c>
      <c r="G1590">
        <v>87.5</v>
      </c>
      <c r="H1590">
        <v>14</v>
      </c>
      <c r="I1590">
        <v>45</v>
      </c>
      <c r="J1590">
        <v>29</v>
      </c>
      <c r="K1590">
        <v>28</v>
      </c>
    </row>
    <row r="1591" spans="1:11" x14ac:dyDescent="0.25">
      <c r="A1591" s="2">
        <v>2017</v>
      </c>
      <c r="B1591" s="2" t="s">
        <v>413</v>
      </c>
      <c r="C1591" t="s">
        <v>106</v>
      </c>
      <c r="D1591" s="1">
        <v>114603</v>
      </c>
      <c r="E1591" t="s">
        <v>36</v>
      </c>
      <c r="F1591" t="s">
        <v>12</v>
      </c>
      <c r="G1591">
        <v>73.2</v>
      </c>
      <c r="H1591">
        <v>14</v>
      </c>
      <c r="I1591">
        <v>38</v>
      </c>
      <c r="J1591">
        <v>14</v>
      </c>
      <c r="K1591">
        <v>11</v>
      </c>
    </row>
    <row r="1592" spans="1:11" x14ac:dyDescent="0.25">
      <c r="A1592" s="2">
        <v>2017</v>
      </c>
      <c r="B1592" s="2" t="s">
        <v>413</v>
      </c>
      <c r="C1592" t="s">
        <v>106</v>
      </c>
      <c r="D1592" s="1">
        <v>91405</v>
      </c>
      <c r="E1592" t="s">
        <v>39</v>
      </c>
      <c r="F1592" t="s">
        <v>7</v>
      </c>
      <c r="G1592">
        <v>86.6</v>
      </c>
      <c r="H1592">
        <v>7</v>
      </c>
      <c r="I1592">
        <v>58</v>
      </c>
      <c r="J1592">
        <v>43</v>
      </c>
      <c r="K1592">
        <v>44</v>
      </c>
    </row>
    <row r="1593" spans="1:11" x14ac:dyDescent="0.25">
      <c r="A1593" s="2">
        <v>2017</v>
      </c>
      <c r="B1593" s="2" t="s">
        <v>413</v>
      </c>
      <c r="C1593" t="s">
        <v>106</v>
      </c>
      <c r="D1593" s="1">
        <v>91405</v>
      </c>
      <c r="E1593" t="s">
        <v>39</v>
      </c>
      <c r="F1593" t="s">
        <v>8</v>
      </c>
      <c r="G1593">
        <v>89.3</v>
      </c>
      <c r="H1593">
        <v>7</v>
      </c>
      <c r="I1593">
        <v>98</v>
      </c>
      <c r="J1593">
        <v>77</v>
      </c>
      <c r="K1593">
        <v>89</v>
      </c>
    </row>
    <row r="1594" spans="1:11" x14ac:dyDescent="0.25">
      <c r="A1594" s="2">
        <v>2017</v>
      </c>
      <c r="B1594" s="2" t="s">
        <v>413</v>
      </c>
      <c r="C1594" t="s">
        <v>106</v>
      </c>
      <c r="D1594" s="1">
        <v>91405</v>
      </c>
      <c r="E1594" t="s">
        <v>39</v>
      </c>
      <c r="F1594" t="s">
        <v>9</v>
      </c>
      <c r="G1594">
        <v>89.3</v>
      </c>
      <c r="H1594">
        <v>7</v>
      </c>
      <c r="I1594">
        <v>86</v>
      </c>
      <c r="J1594">
        <v>67</v>
      </c>
      <c r="K1594">
        <v>71</v>
      </c>
    </row>
    <row r="1595" spans="1:11" x14ac:dyDescent="0.25">
      <c r="A1595" s="2">
        <v>2017</v>
      </c>
      <c r="B1595" s="2" t="s">
        <v>413</v>
      </c>
      <c r="C1595" t="s">
        <v>106</v>
      </c>
      <c r="D1595" s="1">
        <v>91405</v>
      </c>
      <c r="E1595" t="s">
        <v>39</v>
      </c>
      <c r="F1595" t="s">
        <v>10</v>
      </c>
      <c r="G1595">
        <v>82.1</v>
      </c>
      <c r="H1595">
        <v>7</v>
      </c>
      <c r="I1595">
        <v>33</v>
      </c>
      <c r="J1595">
        <v>19</v>
      </c>
      <c r="K1595">
        <v>19</v>
      </c>
    </row>
    <row r="1596" spans="1:11" x14ac:dyDescent="0.25">
      <c r="A1596" s="2">
        <v>2017</v>
      </c>
      <c r="B1596" s="2" t="s">
        <v>413</v>
      </c>
      <c r="C1596" t="s">
        <v>106</v>
      </c>
      <c r="D1596" s="1">
        <v>91405</v>
      </c>
      <c r="E1596" t="s">
        <v>39</v>
      </c>
      <c r="F1596" t="s">
        <v>11</v>
      </c>
      <c r="G1596">
        <v>85.7</v>
      </c>
      <c r="H1596">
        <v>7</v>
      </c>
      <c r="I1596">
        <v>27</v>
      </c>
      <c r="J1596">
        <v>17</v>
      </c>
      <c r="K1596">
        <v>11</v>
      </c>
    </row>
    <row r="1597" spans="1:11" x14ac:dyDescent="0.25">
      <c r="A1597" s="2">
        <v>2017</v>
      </c>
      <c r="B1597" s="2" t="s">
        <v>413</v>
      </c>
      <c r="C1597" t="s">
        <v>106</v>
      </c>
      <c r="D1597" s="1">
        <v>91405</v>
      </c>
      <c r="E1597" t="s">
        <v>39</v>
      </c>
      <c r="F1597" t="s">
        <v>12</v>
      </c>
      <c r="G1597">
        <v>85.7</v>
      </c>
      <c r="H1597">
        <v>7</v>
      </c>
      <c r="I1597">
        <v>97</v>
      </c>
      <c r="J1597">
        <v>74</v>
      </c>
      <c r="K1597">
        <v>86</v>
      </c>
    </row>
    <row r="1598" spans="1:11" x14ac:dyDescent="0.25">
      <c r="A1598" s="2">
        <v>2017</v>
      </c>
      <c r="B1598" s="2" t="s">
        <v>413</v>
      </c>
      <c r="C1598" t="s">
        <v>106</v>
      </c>
      <c r="D1598" s="1">
        <v>59899</v>
      </c>
      <c r="E1598" t="s">
        <v>22</v>
      </c>
      <c r="F1598" t="s">
        <v>7</v>
      </c>
      <c r="G1598">
        <v>83</v>
      </c>
      <c r="H1598">
        <v>7</v>
      </c>
      <c r="I1598">
        <v>29</v>
      </c>
      <c r="J1598">
        <v>16</v>
      </c>
      <c r="K1598">
        <v>13</v>
      </c>
    </row>
    <row r="1599" spans="1:11" x14ac:dyDescent="0.25">
      <c r="A1599" s="2">
        <v>2017</v>
      </c>
      <c r="B1599" s="2" t="s">
        <v>413</v>
      </c>
      <c r="C1599" t="s">
        <v>106</v>
      </c>
      <c r="D1599" s="1">
        <v>59899</v>
      </c>
      <c r="E1599" t="s">
        <v>22</v>
      </c>
      <c r="F1599" t="s">
        <v>8</v>
      </c>
      <c r="G1599">
        <v>78.599999999999994</v>
      </c>
      <c r="H1599">
        <v>7</v>
      </c>
      <c r="I1599">
        <v>10</v>
      </c>
      <c r="J1599">
        <v>6</v>
      </c>
      <c r="K1599">
        <v>5</v>
      </c>
    </row>
    <row r="1600" spans="1:11" x14ac:dyDescent="0.25">
      <c r="A1600" s="2">
        <v>2017</v>
      </c>
      <c r="B1600" s="2" t="s">
        <v>413</v>
      </c>
      <c r="C1600" t="s">
        <v>106</v>
      </c>
      <c r="D1600" s="1">
        <v>59899</v>
      </c>
      <c r="E1600" t="s">
        <v>22</v>
      </c>
      <c r="F1600" t="s">
        <v>9</v>
      </c>
      <c r="G1600">
        <v>85.7</v>
      </c>
      <c r="H1600">
        <v>7</v>
      </c>
      <c r="I1600">
        <v>46</v>
      </c>
      <c r="J1600">
        <v>32</v>
      </c>
      <c r="K1600">
        <v>33</v>
      </c>
    </row>
    <row r="1601" spans="1:11" x14ac:dyDescent="0.25">
      <c r="A1601" s="2">
        <v>2017</v>
      </c>
      <c r="B1601" s="2" t="s">
        <v>413</v>
      </c>
      <c r="C1601" t="s">
        <v>106</v>
      </c>
      <c r="D1601" s="1">
        <v>59899</v>
      </c>
      <c r="E1601" t="s">
        <v>22</v>
      </c>
      <c r="F1601" t="s">
        <v>10</v>
      </c>
      <c r="G1601">
        <v>78.599999999999994</v>
      </c>
      <c r="H1601">
        <v>7</v>
      </c>
      <c r="I1601">
        <v>13</v>
      </c>
      <c r="J1601">
        <v>6</v>
      </c>
      <c r="K1601">
        <v>5</v>
      </c>
    </row>
    <row r="1602" spans="1:11" x14ac:dyDescent="0.25">
      <c r="A1602" s="2">
        <v>2017</v>
      </c>
      <c r="B1602" s="2" t="s">
        <v>413</v>
      </c>
      <c r="C1602" t="s">
        <v>106</v>
      </c>
      <c r="D1602" s="1">
        <v>59899</v>
      </c>
      <c r="E1602" t="s">
        <v>22</v>
      </c>
      <c r="F1602" t="s">
        <v>11</v>
      </c>
      <c r="G1602">
        <v>89.3</v>
      </c>
      <c r="H1602">
        <v>7</v>
      </c>
      <c r="I1602">
        <v>65</v>
      </c>
      <c r="J1602">
        <v>47</v>
      </c>
      <c r="K1602">
        <v>49</v>
      </c>
    </row>
    <row r="1603" spans="1:11" x14ac:dyDescent="0.25">
      <c r="A1603" s="2">
        <v>2017</v>
      </c>
      <c r="B1603" s="2" t="s">
        <v>413</v>
      </c>
      <c r="C1603" t="s">
        <v>106</v>
      </c>
      <c r="D1603" s="1">
        <v>59899</v>
      </c>
      <c r="E1603" t="s">
        <v>22</v>
      </c>
      <c r="F1603" t="s">
        <v>12</v>
      </c>
      <c r="G1603">
        <v>64.3</v>
      </c>
      <c r="H1603">
        <v>7</v>
      </c>
      <c r="I1603">
        <v>8</v>
      </c>
      <c r="J1603">
        <v>2</v>
      </c>
      <c r="K1603">
        <v>3</v>
      </c>
    </row>
    <row r="1604" spans="1:11" x14ac:dyDescent="0.25">
      <c r="A1604" s="2">
        <v>2017</v>
      </c>
      <c r="B1604" s="2" t="s">
        <v>413</v>
      </c>
      <c r="C1604" t="s">
        <v>106</v>
      </c>
      <c r="D1604" s="1">
        <v>130674</v>
      </c>
      <c r="E1604" t="s">
        <v>6</v>
      </c>
      <c r="F1604" t="s">
        <v>7</v>
      </c>
      <c r="G1604">
        <v>71.900000000000006</v>
      </c>
      <c r="H1604">
        <v>2</v>
      </c>
      <c r="I1604">
        <v>1</v>
      </c>
      <c r="J1604">
        <v>1</v>
      </c>
      <c r="K1604">
        <v>1</v>
      </c>
    </row>
    <row r="1605" spans="1:11" x14ac:dyDescent="0.25">
      <c r="A1605" s="2">
        <v>2017</v>
      </c>
      <c r="B1605" s="2" t="s">
        <v>413</v>
      </c>
      <c r="C1605" t="s">
        <v>106</v>
      </c>
      <c r="D1605" s="1">
        <v>130674</v>
      </c>
      <c r="E1605" t="s">
        <v>6</v>
      </c>
      <c r="F1605" t="s">
        <v>8</v>
      </c>
      <c r="G1605">
        <v>62.5</v>
      </c>
      <c r="H1605">
        <v>2</v>
      </c>
      <c r="I1605">
        <v>1</v>
      </c>
      <c r="J1605">
        <v>1</v>
      </c>
      <c r="K1605">
        <v>1</v>
      </c>
    </row>
    <row r="1606" spans="1:11" x14ac:dyDescent="0.25">
      <c r="A1606" s="2">
        <v>2017</v>
      </c>
      <c r="B1606" s="2" t="s">
        <v>413</v>
      </c>
      <c r="C1606" t="s">
        <v>106</v>
      </c>
      <c r="D1606" s="1">
        <v>130674</v>
      </c>
      <c r="E1606" t="s">
        <v>6</v>
      </c>
      <c r="F1606" t="s">
        <v>9</v>
      </c>
      <c r="G1606">
        <v>75</v>
      </c>
      <c r="H1606">
        <v>2</v>
      </c>
      <c r="I1606">
        <v>1</v>
      </c>
      <c r="J1606">
        <v>1</v>
      </c>
      <c r="K1606">
        <v>1</v>
      </c>
    </row>
    <row r="1607" spans="1:11" x14ac:dyDescent="0.25">
      <c r="A1607" s="2">
        <v>2017</v>
      </c>
      <c r="B1607" s="2" t="s">
        <v>413</v>
      </c>
      <c r="C1607" t="s">
        <v>106</v>
      </c>
      <c r="D1607" s="1">
        <v>130674</v>
      </c>
      <c r="E1607" t="s">
        <v>6</v>
      </c>
      <c r="F1607" t="s">
        <v>10</v>
      </c>
      <c r="G1607">
        <v>62.5</v>
      </c>
      <c r="H1607">
        <v>2</v>
      </c>
      <c r="I1607">
        <v>1</v>
      </c>
      <c r="J1607">
        <v>1</v>
      </c>
      <c r="K1607">
        <v>1</v>
      </c>
    </row>
    <row r="1608" spans="1:11" x14ac:dyDescent="0.25">
      <c r="A1608" s="2">
        <v>2017</v>
      </c>
      <c r="B1608" s="2" t="s">
        <v>413</v>
      </c>
      <c r="C1608" t="s">
        <v>106</v>
      </c>
      <c r="D1608" s="1">
        <v>130674</v>
      </c>
      <c r="E1608" t="s">
        <v>6</v>
      </c>
      <c r="F1608" t="s">
        <v>11</v>
      </c>
      <c r="G1608">
        <v>87.5</v>
      </c>
      <c r="H1608">
        <v>2</v>
      </c>
      <c r="I1608">
        <v>45</v>
      </c>
      <c r="J1608">
        <v>29</v>
      </c>
      <c r="K1608">
        <v>28</v>
      </c>
    </row>
    <row r="1609" spans="1:11" x14ac:dyDescent="0.25">
      <c r="A1609" s="2">
        <v>2017</v>
      </c>
      <c r="B1609" s="2" t="s">
        <v>413</v>
      </c>
      <c r="C1609" t="s">
        <v>106</v>
      </c>
      <c r="D1609" s="1">
        <v>130674</v>
      </c>
      <c r="E1609" t="s">
        <v>6</v>
      </c>
      <c r="F1609" t="s">
        <v>12</v>
      </c>
      <c r="G1609">
        <v>37.5</v>
      </c>
      <c r="H1609">
        <v>2</v>
      </c>
      <c r="I1609">
        <v>1</v>
      </c>
      <c r="J1609">
        <v>1</v>
      </c>
      <c r="K1609">
        <v>1</v>
      </c>
    </row>
    <row r="1610" spans="1:11" x14ac:dyDescent="0.25">
      <c r="A1610" s="2">
        <v>2017</v>
      </c>
      <c r="B1610" s="2" t="s">
        <v>413</v>
      </c>
      <c r="C1610" t="s">
        <v>106</v>
      </c>
      <c r="D1610" s="1">
        <v>150441</v>
      </c>
      <c r="E1610" t="s">
        <v>30</v>
      </c>
      <c r="F1610" t="s">
        <v>7</v>
      </c>
      <c r="G1610">
        <v>81.8</v>
      </c>
      <c r="H1610">
        <v>11</v>
      </c>
      <c r="I1610">
        <v>19</v>
      </c>
      <c r="J1610">
        <v>11</v>
      </c>
      <c r="K1610">
        <v>9</v>
      </c>
    </row>
    <row r="1611" spans="1:11" x14ac:dyDescent="0.25">
      <c r="A1611" s="2">
        <v>2017</v>
      </c>
      <c r="B1611" s="2" t="s">
        <v>413</v>
      </c>
      <c r="C1611" t="s">
        <v>106</v>
      </c>
      <c r="D1611" s="1">
        <v>150441</v>
      </c>
      <c r="E1611" t="s">
        <v>30</v>
      </c>
      <c r="F1611" t="s">
        <v>8</v>
      </c>
      <c r="G1611">
        <v>77.3</v>
      </c>
      <c r="H1611">
        <v>11</v>
      </c>
      <c r="I1611">
        <v>6</v>
      </c>
      <c r="J1611">
        <v>3</v>
      </c>
      <c r="K1611">
        <v>4</v>
      </c>
    </row>
    <row r="1612" spans="1:11" x14ac:dyDescent="0.25">
      <c r="A1612" s="2">
        <v>2017</v>
      </c>
      <c r="B1612" s="2" t="s">
        <v>413</v>
      </c>
      <c r="C1612" t="s">
        <v>106</v>
      </c>
      <c r="D1612" s="1">
        <v>150441</v>
      </c>
      <c r="E1612" t="s">
        <v>30</v>
      </c>
      <c r="F1612" t="s">
        <v>9</v>
      </c>
      <c r="G1612">
        <v>84.1</v>
      </c>
      <c r="H1612">
        <v>11</v>
      </c>
      <c r="I1612">
        <v>32</v>
      </c>
      <c r="J1612">
        <v>21</v>
      </c>
      <c r="K1612">
        <v>22</v>
      </c>
    </row>
    <row r="1613" spans="1:11" x14ac:dyDescent="0.25">
      <c r="A1613" s="2">
        <v>2017</v>
      </c>
      <c r="B1613" s="2" t="s">
        <v>413</v>
      </c>
      <c r="C1613" t="s">
        <v>106</v>
      </c>
      <c r="D1613" s="1">
        <v>150441</v>
      </c>
      <c r="E1613" t="s">
        <v>30</v>
      </c>
      <c r="F1613" t="s">
        <v>10</v>
      </c>
      <c r="G1613">
        <v>79.599999999999994</v>
      </c>
      <c r="H1613">
        <v>11</v>
      </c>
      <c r="I1613">
        <v>18</v>
      </c>
      <c r="J1613">
        <v>8</v>
      </c>
      <c r="K1613">
        <v>9</v>
      </c>
    </row>
    <row r="1614" spans="1:11" x14ac:dyDescent="0.25">
      <c r="A1614" s="2">
        <v>2017</v>
      </c>
      <c r="B1614" s="2" t="s">
        <v>413</v>
      </c>
      <c r="C1614" t="s">
        <v>106</v>
      </c>
      <c r="D1614" s="1">
        <v>150441</v>
      </c>
      <c r="E1614" t="s">
        <v>30</v>
      </c>
      <c r="F1614" t="s">
        <v>11</v>
      </c>
      <c r="G1614">
        <v>86.4</v>
      </c>
      <c r="H1614">
        <v>11</v>
      </c>
      <c r="I1614">
        <v>31</v>
      </c>
      <c r="J1614">
        <v>21</v>
      </c>
      <c r="K1614">
        <v>17</v>
      </c>
    </row>
    <row r="1615" spans="1:11" x14ac:dyDescent="0.25">
      <c r="A1615" s="2">
        <v>2017</v>
      </c>
      <c r="B1615" s="2" t="s">
        <v>413</v>
      </c>
      <c r="C1615" t="s">
        <v>106</v>
      </c>
      <c r="D1615" s="1">
        <v>150441</v>
      </c>
      <c r="E1615" t="s">
        <v>30</v>
      </c>
      <c r="F1615" t="s">
        <v>12</v>
      </c>
      <c r="G1615">
        <v>72.7</v>
      </c>
      <c r="H1615">
        <v>11</v>
      </c>
      <c r="I1615">
        <v>36</v>
      </c>
      <c r="J1615">
        <v>13</v>
      </c>
      <c r="K1615">
        <v>11</v>
      </c>
    </row>
    <row r="1616" spans="1:11" x14ac:dyDescent="0.25">
      <c r="A1616" s="2">
        <v>2017</v>
      </c>
      <c r="B1616" s="2" t="s">
        <v>413</v>
      </c>
      <c r="C1616" t="s">
        <v>106</v>
      </c>
      <c r="D1616" s="1">
        <v>70359</v>
      </c>
      <c r="E1616" t="s">
        <v>19</v>
      </c>
      <c r="F1616" t="s">
        <v>7</v>
      </c>
      <c r="G1616">
        <v>82.8</v>
      </c>
      <c r="H1616">
        <v>8</v>
      </c>
      <c r="I1616">
        <v>28</v>
      </c>
      <c r="J1616">
        <v>15</v>
      </c>
      <c r="K1616">
        <v>11</v>
      </c>
    </row>
    <row r="1617" spans="1:11" x14ac:dyDescent="0.25">
      <c r="A1617" s="2">
        <v>2017</v>
      </c>
      <c r="B1617" s="2" t="s">
        <v>413</v>
      </c>
      <c r="C1617" t="s">
        <v>106</v>
      </c>
      <c r="D1617" s="1">
        <v>70359</v>
      </c>
      <c r="E1617" t="s">
        <v>19</v>
      </c>
      <c r="F1617" t="s">
        <v>8</v>
      </c>
      <c r="G1617">
        <v>78.099999999999994</v>
      </c>
      <c r="H1617">
        <v>8</v>
      </c>
      <c r="I1617">
        <v>9</v>
      </c>
      <c r="J1617">
        <v>5</v>
      </c>
      <c r="K1617">
        <v>5</v>
      </c>
    </row>
    <row r="1618" spans="1:11" x14ac:dyDescent="0.25">
      <c r="A1618" s="2">
        <v>2017</v>
      </c>
      <c r="B1618" s="2" t="s">
        <v>413</v>
      </c>
      <c r="C1618" t="s">
        <v>106</v>
      </c>
      <c r="D1618" s="1">
        <v>70359</v>
      </c>
      <c r="E1618" t="s">
        <v>19</v>
      </c>
      <c r="F1618" t="s">
        <v>9</v>
      </c>
      <c r="G1618">
        <v>84.4</v>
      </c>
      <c r="H1618">
        <v>8</v>
      </c>
      <c r="I1618">
        <v>35</v>
      </c>
      <c r="J1618">
        <v>23</v>
      </c>
      <c r="K1618">
        <v>23</v>
      </c>
    </row>
    <row r="1619" spans="1:11" x14ac:dyDescent="0.25">
      <c r="A1619" s="2">
        <v>2017</v>
      </c>
      <c r="B1619" s="2" t="s">
        <v>413</v>
      </c>
      <c r="C1619" t="s">
        <v>106</v>
      </c>
      <c r="D1619" s="1">
        <v>70359</v>
      </c>
      <c r="E1619" t="s">
        <v>19</v>
      </c>
      <c r="F1619" t="s">
        <v>10</v>
      </c>
      <c r="G1619">
        <v>84.4</v>
      </c>
      <c r="H1619">
        <v>8</v>
      </c>
      <c r="I1619">
        <v>49</v>
      </c>
      <c r="J1619">
        <v>34</v>
      </c>
      <c r="K1619">
        <v>35</v>
      </c>
    </row>
    <row r="1620" spans="1:11" x14ac:dyDescent="0.25">
      <c r="A1620" s="2">
        <v>2017</v>
      </c>
      <c r="B1620" s="2" t="s">
        <v>413</v>
      </c>
      <c r="C1620" t="s">
        <v>106</v>
      </c>
      <c r="D1620" s="1">
        <v>70359</v>
      </c>
      <c r="E1620" t="s">
        <v>19</v>
      </c>
      <c r="F1620" t="s">
        <v>11</v>
      </c>
      <c r="G1620">
        <v>84.4</v>
      </c>
      <c r="H1620">
        <v>8</v>
      </c>
      <c r="I1620">
        <v>16</v>
      </c>
      <c r="J1620">
        <v>11</v>
      </c>
      <c r="K1620">
        <v>8</v>
      </c>
    </row>
    <row r="1621" spans="1:11" x14ac:dyDescent="0.25">
      <c r="A1621" s="2">
        <v>2017</v>
      </c>
      <c r="B1621" s="2" t="s">
        <v>413</v>
      </c>
      <c r="C1621" t="s">
        <v>106</v>
      </c>
      <c r="D1621" s="1">
        <v>70359</v>
      </c>
      <c r="E1621" t="s">
        <v>19</v>
      </c>
      <c r="F1621" t="s">
        <v>12</v>
      </c>
      <c r="G1621">
        <v>75</v>
      </c>
      <c r="H1621">
        <v>8</v>
      </c>
      <c r="I1621">
        <v>43</v>
      </c>
      <c r="J1621">
        <v>19</v>
      </c>
      <c r="K1621">
        <v>13</v>
      </c>
    </row>
    <row r="1622" spans="1:11" x14ac:dyDescent="0.25">
      <c r="A1622" s="2">
        <v>2017</v>
      </c>
      <c r="B1622" s="2" t="s">
        <v>413</v>
      </c>
      <c r="C1622" t="s">
        <v>106</v>
      </c>
      <c r="D1622" s="1">
        <v>91397</v>
      </c>
      <c r="E1622" t="s">
        <v>41</v>
      </c>
      <c r="F1622" t="s">
        <v>7</v>
      </c>
      <c r="G1622">
        <v>83.3</v>
      </c>
      <c r="H1622">
        <v>6</v>
      </c>
      <c r="I1622">
        <v>29</v>
      </c>
      <c r="J1622">
        <v>18</v>
      </c>
      <c r="K1622">
        <v>15</v>
      </c>
    </row>
    <row r="1623" spans="1:11" x14ac:dyDescent="0.25">
      <c r="A1623" s="2">
        <v>2017</v>
      </c>
      <c r="B1623" s="2" t="s">
        <v>413</v>
      </c>
      <c r="C1623" t="s">
        <v>106</v>
      </c>
      <c r="D1623" s="1">
        <v>91397</v>
      </c>
      <c r="E1623" t="s">
        <v>41</v>
      </c>
      <c r="F1623" t="s">
        <v>8</v>
      </c>
      <c r="G1623">
        <v>83.3</v>
      </c>
      <c r="H1623">
        <v>6</v>
      </c>
      <c r="I1623">
        <v>43</v>
      </c>
      <c r="J1623">
        <v>27</v>
      </c>
      <c r="K1623">
        <v>29</v>
      </c>
    </row>
    <row r="1624" spans="1:11" x14ac:dyDescent="0.25">
      <c r="A1624" s="2">
        <v>2017</v>
      </c>
      <c r="B1624" s="2" t="s">
        <v>413</v>
      </c>
      <c r="C1624" t="s">
        <v>106</v>
      </c>
      <c r="D1624" s="1">
        <v>91397</v>
      </c>
      <c r="E1624" t="s">
        <v>41</v>
      </c>
      <c r="F1624" t="s">
        <v>9</v>
      </c>
      <c r="G1624">
        <v>83.3</v>
      </c>
      <c r="H1624">
        <v>6</v>
      </c>
      <c r="I1624">
        <v>27</v>
      </c>
      <c r="J1624">
        <v>16</v>
      </c>
      <c r="K1624">
        <v>14</v>
      </c>
    </row>
    <row r="1625" spans="1:11" x14ac:dyDescent="0.25">
      <c r="A1625" s="2">
        <v>2017</v>
      </c>
      <c r="B1625" s="2" t="s">
        <v>413</v>
      </c>
      <c r="C1625" t="s">
        <v>106</v>
      </c>
      <c r="D1625" s="1">
        <v>91397</v>
      </c>
      <c r="E1625" t="s">
        <v>41</v>
      </c>
      <c r="F1625" t="s">
        <v>10</v>
      </c>
      <c r="G1625">
        <v>83.3</v>
      </c>
      <c r="H1625">
        <v>6</v>
      </c>
      <c r="I1625">
        <v>41</v>
      </c>
      <c r="J1625">
        <v>26</v>
      </c>
      <c r="K1625">
        <v>30</v>
      </c>
    </row>
    <row r="1626" spans="1:11" x14ac:dyDescent="0.25">
      <c r="A1626" s="2">
        <v>2017</v>
      </c>
      <c r="B1626" s="2" t="s">
        <v>413</v>
      </c>
      <c r="C1626" t="s">
        <v>106</v>
      </c>
      <c r="D1626" s="1">
        <v>91397</v>
      </c>
      <c r="E1626" t="s">
        <v>41</v>
      </c>
      <c r="F1626" t="s">
        <v>11</v>
      </c>
      <c r="G1626">
        <v>83.3</v>
      </c>
      <c r="H1626">
        <v>6</v>
      </c>
      <c r="I1626">
        <v>9</v>
      </c>
      <c r="J1626">
        <v>7</v>
      </c>
      <c r="K1626">
        <v>5</v>
      </c>
    </row>
    <row r="1627" spans="1:11" x14ac:dyDescent="0.25">
      <c r="A1627" s="2">
        <v>2017</v>
      </c>
      <c r="B1627" s="2" t="s">
        <v>413</v>
      </c>
      <c r="C1627" t="s">
        <v>106</v>
      </c>
      <c r="D1627" s="1">
        <v>91397</v>
      </c>
      <c r="E1627" t="s">
        <v>41</v>
      </c>
      <c r="F1627" t="s">
        <v>12</v>
      </c>
      <c r="G1627">
        <v>64.3</v>
      </c>
      <c r="H1627">
        <v>7</v>
      </c>
      <c r="I1627">
        <v>8</v>
      </c>
      <c r="J1627">
        <v>2</v>
      </c>
      <c r="K1627">
        <v>3</v>
      </c>
    </row>
    <row r="1628" spans="1:11" x14ac:dyDescent="0.25">
      <c r="A1628" s="2">
        <v>2017</v>
      </c>
      <c r="B1628" s="2" t="s">
        <v>413</v>
      </c>
      <c r="C1628" t="s">
        <v>106</v>
      </c>
      <c r="D1628" s="1">
        <v>117465</v>
      </c>
      <c r="E1628" t="s">
        <v>23</v>
      </c>
      <c r="F1628" t="s">
        <v>7</v>
      </c>
      <c r="G1628">
        <v>78.8</v>
      </c>
      <c r="H1628">
        <v>10</v>
      </c>
      <c r="I1628">
        <v>4</v>
      </c>
      <c r="J1628">
        <v>3</v>
      </c>
      <c r="K1628">
        <v>3</v>
      </c>
    </row>
    <row r="1629" spans="1:11" x14ac:dyDescent="0.25">
      <c r="A1629" s="2">
        <v>2017</v>
      </c>
      <c r="B1629" s="2" t="s">
        <v>413</v>
      </c>
      <c r="C1629" t="s">
        <v>106</v>
      </c>
      <c r="D1629" s="1">
        <v>117465</v>
      </c>
      <c r="E1629" t="s">
        <v>23</v>
      </c>
      <c r="F1629" t="s">
        <v>8</v>
      </c>
      <c r="G1629">
        <v>72.5</v>
      </c>
      <c r="H1629">
        <v>10</v>
      </c>
      <c r="I1629">
        <v>1</v>
      </c>
      <c r="J1629">
        <v>1</v>
      </c>
      <c r="K1629">
        <v>1</v>
      </c>
    </row>
    <row r="1630" spans="1:11" x14ac:dyDescent="0.25">
      <c r="A1630" s="2">
        <v>2017</v>
      </c>
      <c r="B1630" s="2" t="s">
        <v>413</v>
      </c>
      <c r="C1630" t="s">
        <v>106</v>
      </c>
      <c r="D1630" s="1">
        <v>117465</v>
      </c>
      <c r="E1630" t="s">
        <v>23</v>
      </c>
      <c r="F1630" t="s">
        <v>9</v>
      </c>
      <c r="G1630">
        <v>80</v>
      </c>
      <c r="H1630">
        <v>10</v>
      </c>
      <c r="I1630">
        <v>5</v>
      </c>
      <c r="J1630">
        <v>4</v>
      </c>
      <c r="K1630">
        <v>4</v>
      </c>
    </row>
    <row r="1631" spans="1:11" x14ac:dyDescent="0.25">
      <c r="A1631" s="2">
        <v>2017</v>
      </c>
      <c r="B1631" s="2" t="s">
        <v>413</v>
      </c>
      <c r="C1631" t="s">
        <v>106</v>
      </c>
      <c r="D1631" s="1">
        <v>117465</v>
      </c>
      <c r="E1631" t="s">
        <v>23</v>
      </c>
      <c r="F1631" t="s">
        <v>10</v>
      </c>
      <c r="G1631">
        <v>80</v>
      </c>
      <c r="H1631">
        <v>10</v>
      </c>
      <c r="I1631">
        <v>19</v>
      </c>
      <c r="J1631">
        <v>10</v>
      </c>
      <c r="K1631">
        <v>9</v>
      </c>
    </row>
    <row r="1632" spans="1:11" x14ac:dyDescent="0.25">
      <c r="A1632" s="2">
        <v>2017</v>
      </c>
      <c r="B1632" s="2" t="s">
        <v>413</v>
      </c>
      <c r="C1632" t="s">
        <v>106</v>
      </c>
      <c r="D1632" s="1">
        <v>117465</v>
      </c>
      <c r="E1632" t="s">
        <v>23</v>
      </c>
      <c r="F1632" t="s">
        <v>11</v>
      </c>
      <c r="G1632">
        <v>82.5</v>
      </c>
      <c r="H1632">
        <v>10</v>
      </c>
      <c r="I1632">
        <v>5</v>
      </c>
      <c r="J1632">
        <v>5</v>
      </c>
      <c r="K1632">
        <v>2</v>
      </c>
    </row>
    <row r="1633" spans="1:11" x14ac:dyDescent="0.25">
      <c r="A1633" s="2">
        <v>2017</v>
      </c>
      <c r="B1633" s="2" t="s">
        <v>413</v>
      </c>
      <c r="C1633" t="s">
        <v>106</v>
      </c>
      <c r="D1633" s="1">
        <v>117465</v>
      </c>
      <c r="E1633" t="s">
        <v>23</v>
      </c>
      <c r="F1633" t="s">
        <v>12</v>
      </c>
      <c r="G1633">
        <v>54.6</v>
      </c>
      <c r="H1633">
        <v>11</v>
      </c>
      <c r="I1633">
        <v>1</v>
      </c>
      <c r="J1633">
        <v>1</v>
      </c>
      <c r="K1633">
        <v>1</v>
      </c>
    </row>
    <row r="1634" spans="1:11" x14ac:dyDescent="0.25">
      <c r="A1634" s="2">
        <v>2017</v>
      </c>
      <c r="B1634" s="2" t="s">
        <v>413</v>
      </c>
      <c r="C1634" t="s">
        <v>106</v>
      </c>
      <c r="D1634" s="1">
        <v>177162</v>
      </c>
      <c r="E1634" t="s">
        <v>13</v>
      </c>
      <c r="F1634" t="s">
        <v>7</v>
      </c>
      <c r="G1634">
        <v>77.599999999999994</v>
      </c>
      <c r="H1634">
        <v>17</v>
      </c>
      <c r="I1634">
        <v>2</v>
      </c>
      <c r="J1634">
        <v>2</v>
      </c>
      <c r="K1634">
        <v>2</v>
      </c>
    </row>
    <row r="1635" spans="1:11" x14ac:dyDescent="0.25">
      <c r="A1635" s="2">
        <v>2017</v>
      </c>
      <c r="B1635" s="2" t="s">
        <v>413</v>
      </c>
      <c r="C1635" t="s">
        <v>106</v>
      </c>
      <c r="D1635" s="1">
        <v>177162</v>
      </c>
      <c r="E1635" t="s">
        <v>13</v>
      </c>
      <c r="F1635" t="s">
        <v>8</v>
      </c>
      <c r="G1635">
        <v>75</v>
      </c>
      <c r="H1635">
        <v>17</v>
      </c>
      <c r="I1635">
        <v>2</v>
      </c>
      <c r="J1635">
        <v>2</v>
      </c>
      <c r="K1635">
        <v>3</v>
      </c>
    </row>
    <row r="1636" spans="1:11" x14ac:dyDescent="0.25">
      <c r="A1636" s="2">
        <v>2017</v>
      </c>
      <c r="B1636" s="2" t="s">
        <v>413</v>
      </c>
      <c r="C1636" t="s">
        <v>106</v>
      </c>
      <c r="D1636" s="1">
        <v>177162</v>
      </c>
      <c r="E1636" t="s">
        <v>13</v>
      </c>
      <c r="F1636" t="s">
        <v>9</v>
      </c>
      <c r="G1636">
        <v>80.900000000000006</v>
      </c>
      <c r="H1636">
        <v>17</v>
      </c>
      <c r="I1636">
        <v>11</v>
      </c>
      <c r="J1636">
        <v>7</v>
      </c>
      <c r="K1636">
        <v>5</v>
      </c>
    </row>
    <row r="1637" spans="1:11" x14ac:dyDescent="0.25">
      <c r="A1637" s="2">
        <v>2017</v>
      </c>
      <c r="B1637" s="2" t="s">
        <v>413</v>
      </c>
      <c r="C1637" t="s">
        <v>106</v>
      </c>
      <c r="D1637" s="1">
        <v>177162</v>
      </c>
      <c r="E1637" t="s">
        <v>13</v>
      </c>
      <c r="F1637" t="s">
        <v>10</v>
      </c>
      <c r="G1637">
        <v>72.099999999999994</v>
      </c>
      <c r="H1637">
        <v>17</v>
      </c>
      <c r="I1637">
        <v>1</v>
      </c>
      <c r="J1637">
        <v>1</v>
      </c>
      <c r="K1637">
        <v>1</v>
      </c>
    </row>
    <row r="1638" spans="1:11" x14ac:dyDescent="0.25">
      <c r="A1638" s="2">
        <v>2017</v>
      </c>
      <c r="B1638" s="2" t="s">
        <v>413</v>
      </c>
      <c r="C1638" t="s">
        <v>106</v>
      </c>
      <c r="D1638" s="1">
        <v>177162</v>
      </c>
      <c r="E1638" t="s">
        <v>13</v>
      </c>
      <c r="F1638" t="s">
        <v>11</v>
      </c>
      <c r="G1638">
        <v>82.4</v>
      </c>
      <c r="H1638">
        <v>17</v>
      </c>
      <c r="I1638">
        <v>5</v>
      </c>
      <c r="J1638">
        <v>4</v>
      </c>
      <c r="K1638">
        <v>2</v>
      </c>
    </row>
    <row r="1639" spans="1:11" x14ac:dyDescent="0.25">
      <c r="A1639" s="2">
        <v>2017</v>
      </c>
      <c r="B1639" s="2" t="s">
        <v>413</v>
      </c>
      <c r="C1639" t="s">
        <v>106</v>
      </c>
      <c r="D1639" s="1">
        <v>177162</v>
      </c>
      <c r="E1639" t="s">
        <v>13</v>
      </c>
      <c r="F1639" t="s">
        <v>12</v>
      </c>
      <c r="G1639">
        <v>67.2</v>
      </c>
      <c r="H1639">
        <v>16</v>
      </c>
      <c r="I1639">
        <v>14</v>
      </c>
      <c r="J1639">
        <v>4</v>
      </c>
      <c r="K1639">
        <v>4</v>
      </c>
    </row>
    <row r="1640" spans="1:11" x14ac:dyDescent="0.25">
      <c r="A1640" s="2">
        <v>2017</v>
      </c>
      <c r="B1640" s="2" t="s">
        <v>413</v>
      </c>
      <c r="C1640" t="s">
        <v>106</v>
      </c>
      <c r="D1640" s="1">
        <v>23994</v>
      </c>
      <c r="E1640" t="s">
        <v>31</v>
      </c>
      <c r="F1640" t="s">
        <v>7</v>
      </c>
      <c r="G1640">
        <v>72.599999999999994</v>
      </c>
      <c r="H1640">
        <v>13</v>
      </c>
      <c r="I1640">
        <v>1</v>
      </c>
      <c r="J1640">
        <v>1</v>
      </c>
      <c r="K1640">
        <v>1</v>
      </c>
    </row>
    <row r="1641" spans="1:11" x14ac:dyDescent="0.25">
      <c r="A1641" s="2">
        <v>2017</v>
      </c>
      <c r="B1641" s="2" t="s">
        <v>413</v>
      </c>
      <c r="C1641" t="s">
        <v>106</v>
      </c>
      <c r="D1641" s="1">
        <v>23994</v>
      </c>
      <c r="E1641" t="s">
        <v>31</v>
      </c>
      <c r="F1641" t="s">
        <v>8</v>
      </c>
      <c r="G1641">
        <v>71.2</v>
      </c>
      <c r="H1641">
        <v>13</v>
      </c>
      <c r="I1641">
        <v>1</v>
      </c>
      <c r="J1641">
        <v>1</v>
      </c>
      <c r="K1641">
        <v>1</v>
      </c>
    </row>
    <row r="1642" spans="1:11" x14ac:dyDescent="0.25">
      <c r="A1642" s="2">
        <v>2017</v>
      </c>
      <c r="B1642" s="2" t="s">
        <v>413</v>
      </c>
      <c r="C1642" t="s">
        <v>106</v>
      </c>
      <c r="D1642" s="1">
        <v>23994</v>
      </c>
      <c r="E1642" t="s">
        <v>31</v>
      </c>
      <c r="F1642" t="s">
        <v>9</v>
      </c>
      <c r="G1642">
        <v>79.599999999999994</v>
      </c>
      <c r="H1642">
        <v>11</v>
      </c>
      <c r="I1642">
        <v>5</v>
      </c>
      <c r="J1642">
        <v>4</v>
      </c>
      <c r="K1642">
        <v>4</v>
      </c>
    </row>
    <row r="1643" spans="1:11" x14ac:dyDescent="0.25">
      <c r="A1643" s="2">
        <v>2017</v>
      </c>
      <c r="B1643" s="2" t="s">
        <v>413</v>
      </c>
      <c r="C1643" t="s">
        <v>106</v>
      </c>
      <c r="D1643" s="1">
        <v>23994</v>
      </c>
      <c r="E1643" t="s">
        <v>31</v>
      </c>
      <c r="F1643" t="s">
        <v>10</v>
      </c>
      <c r="G1643">
        <v>73.099999999999994</v>
      </c>
      <c r="H1643">
        <v>13</v>
      </c>
      <c r="I1643">
        <v>1</v>
      </c>
      <c r="J1643">
        <v>1</v>
      </c>
      <c r="K1643">
        <v>1</v>
      </c>
    </row>
    <row r="1644" spans="1:11" x14ac:dyDescent="0.25">
      <c r="A1644" s="2">
        <v>2017</v>
      </c>
      <c r="B1644" s="2" t="s">
        <v>413</v>
      </c>
      <c r="C1644" t="s">
        <v>106</v>
      </c>
      <c r="D1644" s="1">
        <v>23994</v>
      </c>
      <c r="E1644" t="s">
        <v>31</v>
      </c>
      <c r="F1644" t="s">
        <v>11</v>
      </c>
      <c r="G1644">
        <v>79.2</v>
      </c>
      <c r="H1644">
        <v>12</v>
      </c>
      <c r="I1644">
        <v>1</v>
      </c>
      <c r="J1644">
        <v>1</v>
      </c>
      <c r="K1644">
        <v>1</v>
      </c>
    </row>
    <row r="1645" spans="1:11" x14ac:dyDescent="0.25">
      <c r="A1645" s="2">
        <v>2017</v>
      </c>
      <c r="B1645" s="2" t="s">
        <v>413</v>
      </c>
      <c r="C1645" t="s">
        <v>106</v>
      </c>
      <c r="D1645" s="1">
        <v>23994</v>
      </c>
      <c r="E1645" t="s">
        <v>31</v>
      </c>
      <c r="F1645" t="s">
        <v>12</v>
      </c>
      <c r="G1645">
        <v>67.3</v>
      </c>
      <c r="H1645">
        <v>13</v>
      </c>
      <c r="I1645">
        <v>14</v>
      </c>
      <c r="J1645">
        <v>4</v>
      </c>
      <c r="K1645">
        <v>4</v>
      </c>
    </row>
    <row r="1646" spans="1:11" x14ac:dyDescent="0.25">
      <c r="A1646" s="2">
        <v>2017</v>
      </c>
      <c r="B1646" s="2" t="s">
        <v>413</v>
      </c>
      <c r="C1646" t="s">
        <v>106</v>
      </c>
      <c r="D1646" s="1">
        <v>64022</v>
      </c>
      <c r="E1646" t="s">
        <v>37</v>
      </c>
      <c r="F1646" t="s">
        <v>7</v>
      </c>
      <c r="G1646">
        <v>76</v>
      </c>
      <c r="H1646">
        <v>6</v>
      </c>
      <c r="I1646">
        <v>1</v>
      </c>
      <c r="J1646">
        <v>1</v>
      </c>
      <c r="K1646">
        <v>2</v>
      </c>
    </row>
    <row r="1647" spans="1:11" x14ac:dyDescent="0.25">
      <c r="A1647" s="2">
        <v>2017</v>
      </c>
      <c r="B1647" s="2" t="s">
        <v>413</v>
      </c>
      <c r="C1647" t="s">
        <v>106</v>
      </c>
      <c r="D1647" s="1">
        <v>64022</v>
      </c>
      <c r="E1647" t="s">
        <v>37</v>
      </c>
      <c r="F1647" t="s">
        <v>8</v>
      </c>
      <c r="G1647">
        <v>75</v>
      </c>
      <c r="H1647">
        <v>6</v>
      </c>
      <c r="I1647">
        <v>2</v>
      </c>
      <c r="J1647">
        <v>2</v>
      </c>
      <c r="K1647">
        <v>3</v>
      </c>
    </row>
    <row r="1648" spans="1:11" x14ac:dyDescent="0.25">
      <c r="A1648" s="2">
        <v>2017</v>
      </c>
      <c r="B1648" s="2" t="s">
        <v>413</v>
      </c>
      <c r="C1648" t="s">
        <v>106</v>
      </c>
      <c r="D1648" s="1">
        <v>64022</v>
      </c>
      <c r="E1648" t="s">
        <v>37</v>
      </c>
      <c r="F1648" t="s">
        <v>9</v>
      </c>
      <c r="G1648">
        <v>75</v>
      </c>
      <c r="H1648">
        <v>6</v>
      </c>
      <c r="I1648">
        <v>1</v>
      </c>
      <c r="J1648">
        <v>1</v>
      </c>
      <c r="K1648">
        <v>1</v>
      </c>
    </row>
    <row r="1649" spans="1:11" x14ac:dyDescent="0.25">
      <c r="A1649" s="2">
        <v>2017</v>
      </c>
      <c r="B1649" s="2" t="s">
        <v>413</v>
      </c>
      <c r="C1649" t="s">
        <v>106</v>
      </c>
      <c r="D1649" s="1">
        <v>64022</v>
      </c>
      <c r="E1649" t="s">
        <v>37</v>
      </c>
      <c r="F1649" t="s">
        <v>10</v>
      </c>
      <c r="G1649">
        <v>75</v>
      </c>
      <c r="H1649">
        <v>6</v>
      </c>
      <c r="I1649">
        <v>1</v>
      </c>
      <c r="J1649">
        <v>1</v>
      </c>
      <c r="K1649">
        <v>2</v>
      </c>
    </row>
    <row r="1650" spans="1:11" x14ac:dyDescent="0.25">
      <c r="A1650" s="2">
        <v>2017</v>
      </c>
      <c r="B1650" s="2" t="s">
        <v>413</v>
      </c>
      <c r="C1650" t="s">
        <v>106</v>
      </c>
      <c r="D1650" s="1">
        <v>64022</v>
      </c>
      <c r="E1650" t="s">
        <v>37</v>
      </c>
      <c r="F1650" t="s">
        <v>11</v>
      </c>
      <c r="G1650">
        <v>79.2</v>
      </c>
      <c r="H1650">
        <v>6</v>
      </c>
      <c r="I1650">
        <v>1</v>
      </c>
      <c r="J1650">
        <v>1</v>
      </c>
      <c r="K1650">
        <v>1</v>
      </c>
    </row>
    <row r="1651" spans="1:11" x14ac:dyDescent="0.25">
      <c r="A1651" s="2">
        <v>2017</v>
      </c>
      <c r="B1651" s="2" t="s">
        <v>413</v>
      </c>
      <c r="C1651" t="s">
        <v>106</v>
      </c>
      <c r="D1651" s="1">
        <v>64022</v>
      </c>
      <c r="E1651" t="s">
        <v>37</v>
      </c>
      <c r="F1651" t="s">
        <v>12</v>
      </c>
      <c r="G1651">
        <v>66.7</v>
      </c>
      <c r="H1651">
        <v>6</v>
      </c>
      <c r="I1651">
        <v>13</v>
      </c>
      <c r="J1651">
        <v>3</v>
      </c>
      <c r="K1651">
        <v>4</v>
      </c>
    </row>
    <row r="1652" spans="1:11" x14ac:dyDescent="0.25">
      <c r="A1652" s="2">
        <v>2017</v>
      </c>
      <c r="B1652" s="2" t="s">
        <v>413</v>
      </c>
      <c r="C1652" t="s">
        <v>106</v>
      </c>
      <c r="D1652" s="1">
        <v>99093</v>
      </c>
      <c r="E1652" t="s">
        <v>14</v>
      </c>
      <c r="F1652" t="s">
        <v>7</v>
      </c>
      <c r="G1652">
        <v>77.099999999999994</v>
      </c>
      <c r="H1652">
        <v>6</v>
      </c>
      <c r="I1652">
        <v>2</v>
      </c>
      <c r="J1652">
        <v>2</v>
      </c>
      <c r="K1652">
        <v>2</v>
      </c>
    </row>
    <row r="1653" spans="1:11" x14ac:dyDescent="0.25">
      <c r="A1653" s="2">
        <v>2017</v>
      </c>
      <c r="B1653" s="2" t="s">
        <v>413</v>
      </c>
      <c r="C1653" t="s">
        <v>106</v>
      </c>
      <c r="D1653" s="1">
        <v>99093</v>
      </c>
      <c r="E1653" t="s">
        <v>14</v>
      </c>
      <c r="F1653" t="s">
        <v>8</v>
      </c>
      <c r="G1653">
        <v>75</v>
      </c>
      <c r="H1653">
        <v>6</v>
      </c>
      <c r="I1653">
        <v>2</v>
      </c>
      <c r="J1653">
        <v>2</v>
      </c>
      <c r="K1653">
        <v>3</v>
      </c>
    </row>
    <row r="1654" spans="1:11" x14ac:dyDescent="0.25">
      <c r="A1654" s="2">
        <v>2017</v>
      </c>
      <c r="B1654" s="2" t="s">
        <v>413</v>
      </c>
      <c r="C1654" t="s">
        <v>106</v>
      </c>
      <c r="D1654" s="1">
        <v>99093</v>
      </c>
      <c r="E1654" t="s">
        <v>14</v>
      </c>
      <c r="F1654" t="s">
        <v>9</v>
      </c>
      <c r="G1654">
        <v>79.2</v>
      </c>
      <c r="H1654">
        <v>6</v>
      </c>
      <c r="I1654">
        <v>4</v>
      </c>
      <c r="J1654">
        <v>3</v>
      </c>
      <c r="K1654">
        <v>3</v>
      </c>
    </row>
    <row r="1655" spans="1:11" x14ac:dyDescent="0.25">
      <c r="A1655" s="2">
        <v>2017</v>
      </c>
      <c r="B1655" s="2" t="s">
        <v>413</v>
      </c>
      <c r="C1655" t="s">
        <v>106</v>
      </c>
      <c r="D1655" s="1">
        <v>99093</v>
      </c>
      <c r="E1655" t="s">
        <v>14</v>
      </c>
      <c r="F1655" t="s">
        <v>10</v>
      </c>
      <c r="G1655">
        <v>75</v>
      </c>
      <c r="H1655">
        <v>6</v>
      </c>
      <c r="I1655">
        <v>1</v>
      </c>
      <c r="J1655">
        <v>1</v>
      </c>
      <c r="K1655">
        <v>2</v>
      </c>
    </row>
    <row r="1656" spans="1:11" x14ac:dyDescent="0.25">
      <c r="A1656" s="2">
        <v>2017</v>
      </c>
      <c r="B1656" s="2" t="s">
        <v>413</v>
      </c>
      <c r="C1656" t="s">
        <v>106</v>
      </c>
      <c r="D1656" s="1">
        <v>99093</v>
      </c>
      <c r="E1656" t="s">
        <v>14</v>
      </c>
      <c r="F1656" t="s">
        <v>11</v>
      </c>
      <c r="G1656">
        <v>79.2</v>
      </c>
      <c r="H1656">
        <v>6</v>
      </c>
      <c r="I1656">
        <v>1</v>
      </c>
      <c r="J1656">
        <v>1</v>
      </c>
      <c r="K1656">
        <v>1</v>
      </c>
    </row>
    <row r="1657" spans="1:11" x14ac:dyDescent="0.25">
      <c r="A1657" s="2">
        <v>2017</v>
      </c>
      <c r="B1657" s="2" t="s">
        <v>413</v>
      </c>
      <c r="C1657" t="s">
        <v>106</v>
      </c>
      <c r="D1657" s="1">
        <v>99093</v>
      </c>
      <c r="E1657" t="s">
        <v>14</v>
      </c>
      <c r="F1657" t="s">
        <v>12</v>
      </c>
      <c r="G1657">
        <v>70.8</v>
      </c>
      <c r="H1657">
        <v>6</v>
      </c>
      <c r="I1657">
        <v>26</v>
      </c>
      <c r="J1657">
        <v>9</v>
      </c>
      <c r="K1657">
        <v>8</v>
      </c>
    </row>
    <row r="1658" spans="1:11" x14ac:dyDescent="0.25">
      <c r="A1658" s="2">
        <v>2017</v>
      </c>
      <c r="B1658" s="2" t="s">
        <v>413</v>
      </c>
      <c r="C1658" t="s">
        <v>106</v>
      </c>
      <c r="D1658" s="1">
        <v>58222</v>
      </c>
      <c r="E1658" t="s">
        <v>16</v>
      </c>
      <c r="F1658" t="s">
        <v>7</v>
      </c>
      <c r="G1658">
        <v>75.900000000000006</v>
      </c>
      <c r="H1658">
        <v>7</v>
      </c>
      <c r="I1658">
        <v>1</v>
      </c>
      <c r="J1658">
        <v>1</v>
      </c>
      <c r="K1658">
        <v>2</v>
      </c>
    </row>
    <row r="1659" spans="1:11" x14ac:dyDescent="0.25">
      <c r="A1659" s="2">
        <v>2017</v>
      </c>
      <c r="B1659" s="2" t="s">
        <v>413</v>
      </c>
      <c r="C1659" t="s">
        <v>106</v>
      </c>
      <c r="D1659" s="1">
        <v>58222</v>
      </c>
      <c r="E1659" t="s">
        <v>16</v>
      </c>
      <c r="F1659" t="s">
        <v>8</v>
      </c>
      <c r="G1659">
        <v>75</v>
      </c>
      <c r="H1659">
        <v>7</v>
      </c>
      <c r="I1659">
        <v>2</v>
      </c>
      <c r="J1659">
        <v>2</v>
      </c>
      <c r="K1659">
        <v>3</v>
      </c>
    </row>
    <row r="1660" spans="1:11" x14ac:dyDescent="0.25">
      <c r="A1660" s="2">
        <v>2017</v>
      </c>
      <c r="B1660" s="2" t="s">
        <v>413</v>
      </c>
      <c r="C1660" t="s">
        <v>106</v>
      </c>
      <c r="D1660" s="1">
        <v>58222</v>
      </c>
      <c r="E1660" t="s">
        <v>16</v>
      </c>
      <c r="F1660" t="s">
        <v>9</v>
      </c>
      <c r="G1660">
        <v>75</v>
      </c>
      <c r="H1660">
        <v>7</v>
      </c>
      <c r="I1660">
        <v>1</v>
      </c>
      <c r="J1660">
        <v>1</v>
      </c>
      <c r="K1660">
        <v>1</v>
      </c>
    </row>
    <row r="1661" spans="1:11" x14ac:dyDescent="0.25">
      <c r="A1661" s="2">
        <v>2017</v>
      </c>
      <c r="B1661" s="2" t="s">
        <v>413</v>
      </c>
      <c r="C1661" t="s">
        <v>106</v>
      </c>
      <c r="D1661" s="1">
        <v>58222</v>
      </c>
      <c r="E1661" t="s">
        <v>16</v>
      </c>
      <c r="F1661" t="s">
        <v>10</v>
      </c>
      <c r="G1661">
        <v>75</v>
      </c>
      <c r="H1661">
        <v>7</v>
      </c>
      <c r="I1661">
        <v>1</v>
      </c>
      <c r="J1661">
        <v>1</v>
      </c>
      <c r="K1661">
        <v>2</v>
      </c>
    </row>
    <row r="1662" spans="1:11" x14ac:dyDescent="0.25">
      <c r="A1662" s="2">
        <v>2017</v>
      </c>
      <c r="B1662" s="2" t="s">
        <v>413</v>
      </c>
      <c r="C1662" t="s">
        <v>106</v>
      </c>
      <c r="D1662" s="1">
        <v>58222</v>
      </c>
      <c r="E1662" t="s">
        <v>16</v>
      </c>
      <c r="F1662" t="s">
        <v>11</v>
      </c>
      <c r="G1662">
        <v>78.599999999999994</v>
      </c>
      <c r="H1662">
        <v>7</v>
      </c>
      <c r="I1662">
        <v>1</v>
      </c>
      <c r="J1662">
        <v>1</v>
      </c>
      <c r="K1662">
        <v>1</v>
      </c>
    </row>
    <row r="1663" spans="1:11" x14ac:dyDescent="0.25">
      <c r="A1663" s="2">
        <v>2017</v>
      </c>
      <c r="B1663" s="2" t="s">
        <v>413</v>
      </c>
      <c r="C1663" t="s">
        <v>106</v>
      </c>
      <c r="D1663" s="1">
        <v>58222</v>
      </c>
      <c r="E1663" t="s">
        <v>16</v>
      </c>
      <c r="F1663" t="s">
        <v>12</v>
      </c>
      <c r="G1663">
        <v>64.3</v>
      </c>
      <c r="H1663">
        <v>7</v>
      </c>
      <c r="I1663">
        <v>8</v>
      </c>
      <c r="J1663">
        <v>2</v>
      </c>
      <c r="K1663">
        <v>3</v>
      </c>
    </row>
    <row r="1664" spans="1:11" x14ac:dyDescent="0.25">
      <c r="A1664" s="2">
        <v>2017</v>
      </c>
      <c r="B1664" s="2" t="s">
        <v>413</v>
      </c>
      <c r="C1664" t="s">
        <v>106</v>
      </c>
      <c r="D1664" s="1">
        <v>99911</v>
      </c>
      <c r="E1664" t="s">
        <v>33</v>
      </c>
      <c r="F1664" t="s">
        <v>7</v>
      </c>
      <c r="G1664">
        <v>72.5</v>
      </c>
      <c r="H1664">
        <v>9</v>
      </c>
      <c r="I1664">
        <v>1</v>
      </c>
      <c r="J1664">
        <v>1</v>
      </c>
      <c r="K1664">
        <v>1</v>
      </c>
    </row>
    <row r="1665" spans="1:11" x14ac:dyDescent="0.25">
      <c r="A1665" s="2">
        <v>2017</v>
      </c>
      <c r="B1665" s="2" t="s">
        <v>413</v>
      </c>
      <c r="C1665" t="s">
        <v>106</v>
      </c>
      <c r="D1665" s="1">
        <v>99911</v>
      </c>
      <c r="E1665" t="s">
        <v>33</v>
      </c>
      <c r="F1665" t="s">
        <v>8</v>
      </c>
      <c r="G1665">
        <v>69.400000000000006</v>
      </c>
      <c r="H1665">
        <v>9</v>
      </c>
      <c r="I1665">
        <v>1</v>
      </c>
      <c r="J1665">
        <v>1</v>
      </c>
      <c r="K1665">
        <v>1</v>
      </c>
    </row>
    <row r="1666" spans="1:11" x14ac:dyDescent="0.25">
      <c r="A1666" s="2">
        <v>2017</v>
      </c>
      <c r="B1666" s="2" t="s">
        <v>413</v>
      </c>
      <c r="C1666" t="s">
        <v>106</v>
      </c>
      <c r="D1666" s="1">
        <v>99911</v>
      </c>
      <c r="E1666" t="s">
        <v>33</v>
      </c>
      <c r="F1666" t="s">
        <v>9</v>
      </c>
      <c r="G1666">
        <v>71.900000000000006</v>
      </c>
      <c r="H1666">
        <v>8</v>
      </c>
      <c r="I1666">
        <v>1</v>
      </c>
      <c r="J1666">
        <v>1</v>
      </c>
      <c r="K1666">
        <v>1</v>
      </c>
    </row>
    <row r="1667" spans="1:11" x14ac:dyDescent="0.25">
      <c r="A1667" s="2">
        <v>2017</v>
      </c>
      <c r="B1667" s="2" t="s">
        <v>413</v>
      </c>
      <c r="C1667" t="s">
        <v>106</v>
      </c>
      <c r="D1667" s="1">
        <v>99911</v>
      </c>
      <c r="E1667" t="s">
        <v>33</v>
      </c>
      <c r="F1667" t="s">
        <v>10</v>
      </c>
      <c r="G1667">
        <v>69.400000000000006</v>
      </c>
      <c r="H1667">
        <v>9</v>
      </c>
      <c r="I1667">
        <v>1</v>
      </c>
      <c r="J1667">
        <v>1</v>
      </c>
      <c r="K1667">
        <v>1</v>
      </c>
    </row>
    <row r="1668" spans="1:11" x14ac:dyDescent="0.25">
      <c r="A1668" s="2">
        <v>2017</v>
      </c>
      <c r="B1668" s="2" t="s">
        <v>413</v>
      </c>
      <c r="C1668" t="s">
        <v>106</v>
      </c>
      <c r="D1668" s="1">
        <v>99911</v>
      </c>
      <c r="E1668" t="s">
        <v>33</v>
      </c>
      <c r="F1668" t="s">
        <v>11</v>
      </c>
      <c r="G1668">
        <v>77.8</v>
      </c>
      <c r="H1668">
        <v>9</v>
      </c>
      <c r="I1668">
        <v>1</v>
      </c>
      <c r="J1668">
        <v>1</v>
      </c>
      <c r="K1668">
        <v>1</v>
      </c>
    </row>
    <row r="1669" spans="1:11" x14ac:dyDescent="0.25">
      <c r="A1669" s="2">
        <v>2017</v>
      </c>
      <c r="B1669" s="2" t="s">
        <v>413</v>
      </c>
      <c r="C1669" t="s">
        <v>106</v>
      </c>
      <c r="D1669" s="1">
        <v>99911</v>
      </c>
      <c r="E1669" t="s">
        <v>33</v>
      </c>
      <c r="F1669" t="s">
        <v>12</v>
      </c>
      <c r="G1669">
        <v>66.7</v>
      </c>
      <c r="H1669">
        <v>9</v>
      </c>
      <c r="I1669">
        <v>13</v>
      </c>
      <c r="J1669">
        <v>3</v>
      </c>
      <c r="K1669">
        <v>4</v>
      </c>
    </row>
    <row r="1670" spans="1:11" x14ac:dyDescent="0.25">
      <c r="A1670" s="2">
        <v>2017</v>
      </c>
      <c r="B1670" s="2" t="s">
        <v>413</v>
      </c>
      <c r="C1670" t="s">
        <v>106</v>
      </c>
      <c r="D1670" s="1">
        <v>101071</v>
      </c>
      <c r="E1670" t="s">
        <v>43</v>
      </c>
      <c r="F1670" t="s">
        <v>7</v>
      </c>
      <c r="G1670">
        <v>62.5</v>
      </c>
      <c r="H1670">
        <v>11</v>
      </c>
      <c r="I1670">
        <v>1</v>
      </c>
      <c r="J1670">
        <v>1</v>
      </c>
      <c r="K1670">
        <v>1</v>
      </c>
    </row>
    <row r="1671" spans="1:11" x14ac:dyDescent="0.25">
      <c r="A1671" s="2">
        <v>2017</v>
      </c>
      <c r="B1671" s="2" t="s">
        <v>413</v>
      </c>
      <c r="C1671" t="s">
        <v>106</v>
      </c>
      <c r="D1671" s="1">
        <v>101071</v>
      </c>
      <c r="E1671" t="s">
        <v>43</v>
      </c>
      <c r="F1671" t="s">
        <v>8</v>
      </c>
      <c r="G1671">
        <v>50</v>
      </c>
      <c r="H1671">
        <v>11</v>
      </c>
      <c r="I1671">
        <v>1</v>
      </c>
      <c r="J1671">
        <v>1</v>
      </c>
      <c r="K1671">
        <v>1</v>
      </c>
    </row>
    <row r="1672" spans="1:11" x14ac:dyDescent="0.25">
      <c r="A1672" s="2">
        <v>2017</v>
      </c>
      <c r="B1672" s="2" t="s">
        <v>413</v>
      </c>
      <c r="C1672" t="s">
        <v>106</v>
      </c>
      <c r="D1672" s="1">
        <v>101071</v>
      </c>
      <c r="E1672" t="s">
        <v>43</v>
      </c>
      <c r="F1672" t="s">
        <v>9</v>
      </c>
      <c r="G1672">
        <v>65</v>
      </c>
      <c r="H1672">
        <v>10</v>
      </c>
      <c r="I1672">
        <v>1</v>
      </c>
      <c r="J1672">
        <v>1</v>
      </c>
      <c r="K1672">
        <v>1</v>
      </c>
    </row>
    <row r="1673" spans="1:11" x14ac:dyDescent="0.25">
      <c r="A1673" s="2">
        <v>2017</v>
      </c>
      <c r="B1673" s="2" t="s">
        <v>413</v>
      </c>
      <c r="C1673" t="s">
        <v>106</v>
      </c>
      <c r="D1673" s="1">
        <v>101071</v>
      </c>
      <c r="E1673" t="s">
        <v>43</v>
      </c>
      <c r="F1673" t="s">
        <v>10</v>
      </c>
      <c r="G1673">
        <v>56.8</v>
      </c>
      <c r="H1673">
        <v>11</v>
      </c>
      <c r="I1673">
        <v>1</v>
      </c>
      <c r="J1673">
        <v>1</v>
      </c>
      <c r="K1673">
        <v>1</v>
      </c>
    </row>
    <row r="1674" spans="1:11" x14ac:dyDescent="0.25">
      <c r="A1674" s="2">
        <v>2017</v>
      </c>
      <c r="B1674" s="2" t="s">
        <v>413</v>
      </c>
      <c r="C1674" t="s">
        <v>106</v>
      </c>
      <c r="D1674" s="1">
        <v>101071</v>
      </c>
      <c r="E1674" t="s">
        <v>43</v>
      </c>
      <c r="F1674" t="s">
        <v>11</v>
      </c>
      <c r="G1674">
        <v>77.3</v>
      </c>
      <c r="H1674">
        <v>11</v>
      </c>
      <c r="I1674">
        <v>1</v>
      </c>
      <c r="J1674">
        <v>1</v>
      </c>
      <c r="K1674">
        <v>1</v>
      </c>
    </row>
    <row r="1675" spans="1:11" x14ac:dyDescent="0.25">
      <c r="A1675" s="2">
        <v>2017</v>
      </c>
      <c r="B1675" s="2" t="s">
        <v>413</v>
      </c>
      <c r="C1675" t="s">
        <v>106</v>
      </c>
      <c r="D1675" s="1">
        <v>101071</v>
      </c>
      <c r="E1675" t="s">
        <v>43</v>
      </c>
      <c r="F1675" t="s">
        <v>12</v>
      </c>
      <c r="G1675">
        <v>47.7</v>
      </c>
      <c r="H1675">
        <v>11</v>
      </c>
      <c r="I1675">
        <v>1</v>
      </c>
      <c r="J1675">
        <v>1</v>
      </c>
      <c r="K1675">
        <v>1</v>
      </c>
    </row>
    <row r="1676" spans="1:11" x14ac:dyDescent="0.25">
      <c r="A1676" s="2">
        <v>2017</v>
      </c>
      <c r="B1676" s="2" t="s">
        <v>413</v>
      </c>
      <c r="C1676" t="s">
        <v>106</v>
      </c>
      <c r="D1676" s="1">
        <v>152587</v>
      </c>
      <c r="E1676" t="s">
        <v>28</v>
      </c>
      <c r="F1676" t="s">
        <v>7</v>
      </c>
      <c r="G1676">
        <v>67</v>
      </c>
      <c r="H1676">
        <v>7</v>
      </c>
      <c r="I1676">
        <v>1</v>
      </c>
      <c r="J1676">
        <v>1</v>
      </c>
      <c r="K1676">
        <v>1</v>
      </c>
    </row>
    <row r="1677" spans="1:11" x14ac:dyDescent="0.25">
      <c r="A1677" s="2">
        <v>2017</v>
      </c>
      <c r="B1677" s="2" t="s">
        <v>413</v>
      </c>
      <c r="C1677" t="s">
        <v>106</v>
      </c>
      <c r="D1677" s="1">
        <v>152587</v>
      </c>
      <c r="E1677" t="s">
        <v>28</v>
      </c>
      <c r="F1677" t="s">
        <v>8</v>
      </c>
      <c r="G1677">
        <v>60.7</v>
      </c>
      <c r="H1677">
        <v>7</v>
      </c>
      <c r="I1677">
        <v>1</v>
      </c>
      <c r="J1677">
        <v>1</v>
      </c>
      <c r="K1677">
        <v>1</v>
      </c>
    </row>
    <row r="1678" spans="1:11" x14ac:dyDescent="0.25">
      <c r="A1678" s="2">
        <v>2017</v>
      </c>
      <c r="B1678" s="2" t="s">
        <v>413</v>
      </c>
      <c r="C1678" t="s">
        <v>106</v>
      </c>
      <c r="D1678" s="1">
        <v>152587</v>
      </c>
      <c r="E1678" t="s">
        <v>28</v>
      </c>
      <c r="F1678" t="s">
        <v>9</v>
      </c>
      <c r="G1678">
        <v>64.3</v>
      </c>
      <c r="H1678">
        <v>7</v>
      </c>
      <c r="I1678">
        <v>1</v>
      </c>
      <c r="J1678">
        <v>1</v>
      </c>
      <c r="K1678">
        <v>1</v>
      </c>
    </row>
    <row r="1679" spans="1:11" x14ac:dyDescent="0.25">
      <c r="A1679" s="2">
        <v>2017</v>
      </c>
      <c r="B1679" s="2" t="s">
        <v>413</v>
      </c>
      <c r="C1679" t="s">
        <v>106</v>
      </c>
      <c r="D1679" s="1">
        <v>152587</v>
      </c>
      <c r="E1679" t="s">
        <v>28</v>
      </c>
      <c r="F1679" t="s">
        <v>10</v>
      </c>
      <c r="G1679">
        <v>75</v>
      </c>
      <c r="H1679">
        <v>6</v>
      </c>
      <c r="I1679">
        <v>1</v>
      </c>
      <c r="J1679">
        <v>1</v>
      </c>
      <c r="K1679">
        <v>2</v>
      </c>
    </row>
    <row r="1680" spans="1:11" x14ac:dyDescent="0.25">
      <c r="A1680" s="2">
        <v>2017</v>
      </c>
      <c r="B1680" s="2" t="s">
        <v>413</v>
      </c>
      <c r="C1680" t="s">
        <v>106</v>
      </c>
      <c r="D1680" s="1">
        <v>152587</v>
      </c>
      <c r="E1680" t="s">
        <v>28</v>
      </c>
      <c r="F1680" t="s">
        <v>11</v>
      </c>
      <c r="G1680">
        <v>71.400000000000006</v>
      </c>
      <c r="H1680">
        <v>7</v>
      </c>
      <c r="I1680">
        <v>1</v>
      </c>
      <c r="J1680">
        <v>1</v>
      </c>
      <c r="K1680">
        <v>1</v>
      </c>
    </row>
    <row r="1681" spans="1:11" x14ac:dyDescent="0.25">
      <c r="A1681" s="2">
        <v>2017</v>
      </c>
      <c r="B1681" s="2" t="s">
        <v>413</v>
      </c>
      <c r="C1681" t="s">
        <v>106</v>
      </c>
      <c r="D1681" s="1">
        <v>152587</v>
      </c>
      <c r="E1681" t="s">
        <v>28</v>
      </c>
      <c r="F1681" t="s">
        <v>12</v>
      </c>
      <c r="G1681">
        <v>62.5</v>
      </c>
      <c r="H1681">
        <v>8</v>
      </c>
      <c r="I1681">
        <v>6</v>
      </c>
      <c r="J1681">
        <v>1</v>
      </c>
      <c r="K1681">
        <v>2</v>
      </c>
    </row>
    <row r="1682" spans="1:11" x14ac:dyDescent="0.25">
      <c r="A1682" s="2">
        <v>2017</v>
      </c>
      <c r="B1682" s="2" t="s">
        <v>413</v>
      </c>
      <c r="C1682" t="s">
        <v>106</v>
      </c>
      <c r="D1682" s="1">
        <v>117440</v>
      </c>
      <c r="E1682" t="s">
        <v>32</v>
      </c>
      <c r="F1682" t="s">
        <v>7</v>
      </c>
      <c r="G1682">
        <v>72.7</v>
      </c>
      <c r="H1682">
        <v>8</v>
      </c>
      <c r="I1682">
        <v>1</v>
      </c>
      <c r="J1682">
        <v>1</v>
      </c>
      <c r="K1682">
        <v>1</v>
      </c>
    </row>
    <row r="1683" spans="1:11" x14ac:dyDescent="0.25">
      <c r="A1683" s="2">
        <v>2017</v>
      </c>
      <c r="B1683" s="2" t="s">
        <v>413</v>
      </c>
      <c r="C1683" t="s">
        <v>106</v>
      </c>
      <c r="D1683" s="1">
        <v>117440</v>
      </c>
      <c r="E1683" t="s">
        <v>32</v>
      </c>
      <c r="F1683" t="s">
        <v>8</v>
      </c>
      <c r="G1683">
        <v>71.900000000000006</v>
      </c>
      <c r="H1683">
        <v>8</v>
      </c>
      <c r="I1683">
        <v>1</v>
      </c>
      <c r="J1683">
        <v>1</v>
      </c>
      <c r="K1683">
        <v>1</v>
      </c>
    </row>
    <row r="1684" spans="1:11" x14ac:dyDescent="0.25">
      <c r="A1684" s="2">
        <v>2017</v>
      </c>
      <c r="B1684" s="2" t="s">
        <v>413</v>
      </c>
      <c r="C1684" t="s">
        <v>106</v>
      </c>
      <c r="D1684" s="1">
        <v>117440</v>
      </c>
      <c r="E1684" t="s">
        <v>32</v>
      </c>
      <c r="F1684" t="s">
        <v>9</v>
      </c>
      <c r="G1684">
        <v>75</v>
      </c>
      <c r="H1684">
        <v>8</v>
      </c>
      <c r="I1684">
        <v>1</v>
      </c>
      <c r="J1684">
        <v>1</v>
      </c>
      <c r="K1684">
        <v>1</v>
      </c>
    </row>
    <row r="1685" spans="1:11" x14ac:dyDescent="0.25">
      <c r="A1685" s="2">
        <v>2017</v>
      </c>
      <c r="B1685" s="2" t="s">
        <v>413</v>
      </c>
      <c r="C1685" t="s">
        <v>106</v>
      </c>
      <c r="D1685" s="1">
        <v>117440</v>
      </c>
      <c r="E1685" t="s">
        <v>32</v>
      </c>
      <c r="F1685" t="s">
        <v>10</v>
      </c>
      <c r="G1685">
        <v>68.8</v>
      </c>
      <c r="H1685">
        <v>8</v>
      </c>
      <c r="I1685">
        <v>1</v>
      </c>
      <c r="J1685">
        <v>1</v>
      </c>
      <c r="K1685">
        <v>1</v>
      </c>
    </row>
    <row r="1686" spans="1:11" x14ac:dyDescent="0.25">
      <c r="A1686" s="2">
        <v>2017</v>
      </c>
      <c r="B1686" s="2" t="s">
        <v>413</v>
      </c>
      <c r="C1686" t="s">
        <v>106</v>
      </c>
      <c r="D1686" s="1">
        <v>117440</v>
      </c>
      <c r="E1686" t="s">
        <v>32</v>
      </c>
      <c r="F1686" t="s">
        <v>11</v>
      </c>
      <c r="G1686">
        <v>75</v>
      </c>
      <c r="H1686">
        <v>8</v>
      </c>
      <c r="I1686">
        <v>1</v>
      </c>
      <c r="J1686">
        <v>1</v>
      </c>
      <c r="K1686">
        <v>1</v>
      </c>
    </row>
    <row r="1687" spans="1:11" x14ac:dyDescent="0.25">
      <c r="A1687" s="2">
        <v>2017</v>
      </c>
      <c r="B1687" s="2" t="s">
        <v>413</v>
      </c>
      <c r="C1687" t="s">
        <v>106</v>
      </c>
      <c r="D1687" s="1">
        <v>117440</v>
      </c>
      <c r="E1687" t="s">
        <v>32</v>
      </c>
      <c r="F1687" t="s">
        <v>12</v>
      </c>
      <c r="G1687">
        <v>68.8</v>
      </c>
      <c r="H1687">
        <v>8</v>
      </c>
      <c r="I1687">
        <v>18</v>
      </c>
      <c r="J1687">
        <v>6</v>
      </c>
      <c r="K1687">
        <v>5</v>
      </c>
    </row>
    <row r="1688" spans="1:11" x14ac:dyDescent="0.25">
      <c r="A1688" s="2">
        <v>2017</v>
      </c>
      <c r="B1688" s="2" t="s">
        <v>413</v>
      </c>
      <c r="C1688" t="s">
        <v>106</v>
      </c>
      <c r="D1688" s="1">
        <v>117671</v>
      </c>
      <c r="E1688" t="s">
        <v>25</v>
      </c>
      <c r="F1688" t="s">
        <v>7</v>
      </c>
      <c r="G1688">
        <v>65.2</v>
      </c>
      <c r="H1688">
        <v>7</v>
      </c>
      <c r="I1688">
        <v>1</v>
      </c>
      <c r="J1688">
        <v>1</v>
      </c>
      <c r="K1688">
        <v>1</v>
      </c>
    </row>
    <row r="1689" spans="1:11" x14ac:dyDescent="0.25">
      <c r="A1689" s="2">
        <v>2017</v>
      </c>
      <c r="B1689" s="2" t="s">
        <v>413</v>
      </c>
      <c r="C1689" t="s">
        <v>106</v>
      </c>
      <c r="D1689" s="1">
        <v>117671</v>
      </c>
      <c r="E1689" t="s">
        <v>25</v>
      </c>
      <c r="F1689" t="s">
        <v>8</v>
      </c>
      <c r="G1689">
        <v>57.1</v>
      </c>
      <c r="H1689">
        <v>7</v>
      </c>
      <c r="I1689">
        <v>1</v>
      </c>
      <c r="J1689">
        <v>1</v>
      </c>
      <c r="K1689">
        <v>1</v>
      </c>
    </row>
    <row r="1690" spans="1:11" x14ac:dyDescent="0.25">
      <c r="A1690" s="2">
        <v>2017</v>
      </c>
      <c r="B1690" s="2" t="s">
        <v>413</v>
      </c>
      <c r="C1690" t="s">
        <v>106</v>
      </c>
      <c r="D1690" s="1">
        <v>117671</v>
      </c>
      <c r="E1690" t="s">
        <v>25</v>
      </c>
      <c r="F1690" t="s">
        <v>9</v>
      </c>
      <c r="G1690">
        <v>64.3</v>
      </c>
      <c r="H1690">
        <v>7</v>
      </c>
      <c r="I1690">
        <v>1</v>
      </c>
      <c r="J1690">
        <v>1</v>
      </c>
      <c r="K1690">
        <v>1</v>
      </c>
    </row>
    <row r="1691" spans="1:11" x14ac:dyDescent="0.25">
      <c r="A1691" s="2">
        <v>2017</v>
      </c>
      <c r="B1691" s="2" t="s">
        <v>413</v>
      </c>
      <c r="C1691" t="s">
        <v>106</v>
      </c>
      <c r="D1691" s="1">
        <v>117671</v>
      </c>
      <c r="E1691" t="s">
        <v>25</v>
      </c>
      <c r="F1691" t="s">
        <v>10</v>
      </c>
      <c r="G1691">
        <v>67.900000000000006</v>
      </c>
      <c r="H1691">
        <v>7</v>
      </c>
      <c r="I1691">
        <v>1</v>
      </c>
      <c r="J1691">
        <v>1</v>
      </c>
      <c r="K1691">
        <v>1</v>
      </c>
    </row>
    <row r="1692" spans="1:11" x14ac:dyDescent="0.25">
      <c r="A1692" s="2">
        <v>2017</v>
      </c>
      <c r="B1692" s="2" t="s">
        <v>413</v>
      </c>
      <c r="C1692" t="s">
        <v>106</v>
      </c>
      <c r="D1692" s="1">
        <v>117671</v>
      </c>
      <c r="E1692" t="s">
        <v>25</v>
      </c>
      <c r="F1692" t="s">
        <v>11</v>
      </c>
      <c r="G1692">
        <v>71.400000000000006</v>
      </c>
      <c r="H1692">
        <v>7</v>
      </c>
      <c r="I1692">
        <v>1</v>
      </c>
      <c r="J1692">
        <v>1</v>
      </c>
      <c r="K1692">
        <v>1</v>
      </c>
    </row>
    <row r="1693" spans="1:11" x14ac:dyDescent="0.25">
      <c r="A1693" s="2">
        <v>2017</v>
      </c>
      <c r="B1693" s="2" t="s">
        <v>413</v>
      </c>
      <c r="C1693" t="s">
        <v>106</v>
      </c>
      <c r="D1693" s="1">
        <v>117671</v>
      </c>
      <c r="E1693" t="s">
        <v>25</v>
      </c>
      <c r="F1693" t="s">
        <v>12</v>
      </c>
      <c r="G1693">
        <v>53.6</v>
      </c>
      <c r="H1693">
        <v>7</v>
      </c>
      <c r="I1693">
        <v>1</v>
      </c>
      <c r="J1693">
        <v>1</v>
      </c>
      <c r="K1693">
        <v>1</v>
      </c>
    </row>
    <row r="1694" spans="1:11" x14ac:dyDescent="0.25">
      <c r="A1694" s="2">
        <v>2017</v>
      </c>
      <c r="B1694" s="2" t="s">
        <v>413</v>
      </c>
      <c r="C1694" t="s">
        <v>106</v>
      </c>
      <c r="D1694" s="1">
        <v>60707</v>
      </c>
      <c r="E1694" t="s">
        <v>42</v>
      </c>
      <c r="F1694" t="s">
        <v>7</v>
      </c>
      <c r="G1694">
        <v>66.400000000000006</v>
      </c>
      <c r="H1694">
        <v>8</v>
      </c>
      <c r="I1694">
        <v>1</v>
      </c>
      <c r="J1694">
        <v>1</v>
      </c>
      <c r="K1694">
        <v>1</v>
      </c>
    </row>
    <row r="1695" spans="1:11" x14ac:dyDescent="0.25">
      <c r="A1695" s="2">
        <v>2017</v>
      </c>
      <c r="B1695" s="2" t="s">
        <v>413</v>
      </c>
      <c r="C1695" t="s">
        <v>106</v>
      </c>
      <c r="D1695" s="1">
        <v>60707</v>
      </c>
      <c r="E1695" t="s">
        <v>42</v>
      </c>
      <c r="F1695" t="s">
        <v>8</v>
      </c>
      <c r="G1695">
        <v>65.599999999999994</v>
      </c>
      <c r="H1695">
        <v>8</v>
      </c>
      <c r="I1695">
        <v>1</v>
      </c>
      <c r="J1695">
        <v>1</v>
      </c>
      <c r="K1695">
        <v>1</v>
      </c>
    </row>
    <row r="1696" spans="1:11" x14ac:dyDescent="0.25">
      <c r="A1696" s="2">
        <v>2017</v>
      </c>
      <c r="B1696" s="2" t="s">
        <v>413</v>
      </c>
      <c r="C1696" t="s">
        <v>106</v>
      </c>
      <c r="D1696" s="1">
        <v>60707</v>
      </c>
      <c r="E1696" t="s">
        <v>42</v>
      </c>
      <c r="F1696" t="s">
        <v>9</v>
      </c>
      <c r="G1696">
        <v>65.599999999999994</v>
      </c>
      <c r="H1696">
        <v>8</v>
      </c>
      <c r="I1696">
        <v>1</v>
      </c>
      <c r="J1696">
        <v>1</v>
      </c>
      <c r="K1696">
        <v>1</v>
      </c>
    </row>
    <row r="1697" spans="1:11" x14ac:dyDescent="0.25">
      <c r="A1697" s="2">
        <v>2017</v>
      </c>
      <c r="B1697" s="2" t="s">
        <v>413</v>
      </c>
      <c r="C1697" t="s">
        <v>106</v>
      </c>
      <c r="D1697" s="1">
        <v>60707</v>
      </c>
      <c r="E1697" t="s">
        <v>42</v>
      </c>
      <c r="F1697" t="s">
        <v>10</v>
      </c>
      <c r="G1697">
        <v>65.599999999999994</v>
      </c>
      <c r="H1697">
        <v>8</v>
      </c>
      <c r="I1697">
        <v>1</v>
      </c>
      <c r="J1697">
        <v>1</v>
      </c>
      <c r="K1697">
        <v>1</v>
      </c>
    </row>
    <row r="1698" spans="1:11" x14ac:dyDescent="0.25">
      <c r="A1698" s="2">
        <v>2017</v>
      </c>
      <c r="B1698" s="2" t="s">
        <v>413</v>
      </c>
      <c r="C1698" t="s">
        <v>106</v>
      </c>
      <c r="D1698" s="1">
        <v>60707</v>
      </c>
      <c r="E1698" t="s">
        <v>42</v>
      </c>
      <c r="F1698" t="s">
        <v>11</v>
      </c>
      <c r="G1698">
        <v>68.8</v>
      </c>
      <c r="H1698">
        <v>8</v>
      </c>
      <c r="I1698">
        <v>1</v>
      </c>
      <c r="J1698">
        <v>1</v>
      </c>
      <c r="K1698">
        <v>1</v>
      </c>
    </row>
    <row r="1699" spans="1:11" x14ac:dyDescent="0.25">
      <c r="A1699" s="2">
        <v>2017</v>
      </c>
      <c r="B1699" s="2" t="s">
        <v>413</v>
      </c>
      <c r="C1699" t="s">
        <v>106</v>
      </c>
      <c r="D1699" s="1">
        <v>60707</v>
      </c>
      <c r="E1699" t="s">
        <v>42</v>
      </c>
      <c r="F1699" t="s">
        <v>12</v>
      </c>
      <c r="G1699">
        <v>38.9</v>
      </c>
      <c r="H1699">
        <v>9</v>
      </c>
      <c r="I1699">
        <v>1</v>
      </c>
      <c r="J1699">
        <v>1</v>
      </c>
      <c r="K1699">
        <v>1</v>
      </c>
    </row>
  </sheetData>
  <autoFilter ref="A1:K757"/>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860"/>
  <sheetViews>
    <sheetView zoomScale="80" zoomScaleNormal="80" workbookViewId="0">
      <pane ySplit="1" topLeftCell="A594" activePane="bottomLeft" state="frozen"/>
      <selection activeCell="M1" sqref="M1"/>
      <selection pane="bottomLeft" activeCell="E619" sqref="E619"/>
    </sheetView>
  </sheetViews>
  <sheetFormatPr defaultRowHeight="15" x14ac:dyDescent="0.25"/>
  <cols>
    <col min="1" max="2" width="9.140625" style="2"/>
    <col min="3" max="3" width="11.140625" customWidth="1"/>
    <col min="4" max="4" width="12.85546875" style="1" customWidth="1"/>
    <col min="5" max="5" width="12.85546875" customWidth="1"/>
    <col min="6" max="6" width="136.28515625" customWidth="1"/>
  </cols>
  <sheetData>
    <row r="1" spans="1:6" ht="15.75" thickBot="1" x14ac:dyDescent="0.3">
      <c r="A1" s="9" t="s">
        <v>102</v>
      </c>
      <c r="B1" s="9" t="s">
        <v>103</v>
      </c>
      <c r="C1" s="10" t="s">
        <v>104</v>
      </c>
      <c r="D1" s="10" t="s">
        <v>44</v>
      </c>
      <c r="E1" s="10" t="s">
        <v>45</v>
      </c>
      <c r="F1" s="10" t="s">
        <v>46</v>
      </c>
    </row>
    <row r="2" spans="1:6" x14ac:dyDescent="0.25">
      <c r="A2" s="3">
        <v>2017</v>
      </c>
      <c r="B2" s="3" t="s">
        <v>105</v>
      </c>
      <c r="C2" s="4" t="s">
        <v>106</v>
      </c>
      <c r="D2" s="5">
        <v>104133</v>
      </c>
      <c r="E2" s="4" t="s">
        <v>47</v>
      </c>
      <c r="F2" s="6" t="s">
        <v>48</v>
      </c>
    </row>
    <row r="3" spans="1:6" ht="30" x14ac:dyDescent="0.25">
      <c r="A3" s="3">
        <v>2017</v>
      </c>
      <c r="B3" s="3" t="s">
        <v>105</v>
      </c>
      <c r="C3" s="4" t="s">
        <v>106</v>
      </c>
      <c r="D3" s="5">
        <v>114603</v>
      </c>
      <c r="E3" s="4" t="s">
        <v>47</v>
      </c>
      <c r="F3" s="6" t="s">
        <v>49</v>
      </c>
    </row>
    <row r="4" spans="1:6" x14ac:dyDescent="0.25">
      <c r="A4" s="3">
        <v>2017</v>
      </c>
      <c r="B4" s="3" t="s">
        <v>105</v>
      </c>
      <c r="C4" s="4" t="s">
        <v>106</v>
      </c>
      <c r="D4" s="5">
        <v>101071</v>
      </c>
      <c r="E4" s="4" t="s">
        <v>50</v>
      </c>
      <c r="F4" s="6" t="s">
        <v>51</v>
      </c>
    </row>
    <row r="5" spans="1:6" x14ac:dyDescent="0.25">
      <c r="A5" s="3">
        <v>2017</v>
      </c>
      <c r="B5" s="3" t="s">
        <v>105</v>
      </c>
      <c r="C5" s="4" t="s">
        <v>106</v>
      </c>
      <c r="D5" s="5">
        <v>101071</v>
      </c>
      <c r="E5" s="4" t="s">
        <v>50</v>
      </c>
      <c r="F5" s="6" t="s">
        <v>52</v>
      </c>
    </row>
    <row r="6" spans="1:6" x14ac:dyDescent="0.25">
      <c r="A6" s="3">
        <v>2017</v>
      </c>
      <c r="B6" s="3" t="s">
        <v>105</v>
      </c>
      <c r="C6" s="4" t="s">
        <v>106</v>
      </c>
      <c r="D6" s="5">
        <v>101071</v>
      </c>
      <c r="E6" s="4" t="s">
        <v>50</v>
      </c>
      <c r="F6" s="6" t="s">
        <v>53</v>
      </c>
    </row>
    <row r="7" spans="1:6" x14ac:dyDescent="0.25">
      <c r="A7" s="3">
        <v>2017</v>
      </c>
      <c r="B7" s="3" t="s">
        <v>105</v>
      </c>
      <c r="C7" s="4" t="s">
        <v>106</v>
      </c>
      <c r="D7" s="5">
        <v>101071</v>
      </c>
      <c r="E7" s="4" t="s">
        <v>54</v>
      </c>
      <c r="F7" s="6" t="s">
        <v>55</v>
      </c>
    </row>
    <row r="8" spans="1:6" x14ac:dyDescent="0.25">
      <c r="A8" s="3">
        <v>2017</v>
      </c>
      <c r="B8" s="3" t="s">
        <v>105</v>
      </c>
      <c r="C8" s="4" t="s">
        <v>106</v>
      </c>
      <c r="D8" s="5">
        <v>101071</v>
      </c>
      <c r="E8" s="4" t="s">
        <v>54</v>
      </c>
      <c r="F8" s="6" t="s">
        <v>56</v>
      </c>
    </row>
    <row r="9" spans="1:6" x14ac:dyDescent="0.25">
      <c r="A9" s="3">
        <v>2017</v>
      </c>
      <c r="B9" s="3" t="s">
        <v>105</v>
      </c>
      <c r="C9" s="4" t="s">
        <v>106</v>
      </c>
      <c r="D9" s="5">
        <v>110569</v>
      </c>
      <c r="E9" s="4" t="s">
        <v>47</v>
      </c>
      <c r="F9" s="6" t="s">
        <v>57</v>
      </c>
    </row>
    <row r="10" spans="1:6" x14ac:dyDescent="0.25">
      <c r="A10" s="3">
        <v>2017</v>
      </c>
      <c r="B10" s="3" t="s">
        <v>105</v>
      </c>
      <c r="C10" s="4" t="s">
        <v>106</v>
      </c>
      <c r="D10" s="5">
        <v>110569</v>
      </c>
      <c r="E10" s="4" t="s">
        <v>47</v>
      </c>
      <c r="F10" s="6" t="s">
        <v>58</v>
      </c>
    </row>
    <row r="11" spans="1:6" x14ac:dyDescent="0.25">
      <c r="A11" s="3">
        <v>2017</v>
      </c>
      <c r="B11" s="3" t="s">
        <v>105</v>
      </c>
      <c r="C11" s="4" t="s">
        <v>106</v>
      </c>
      <c r="D11" s="5">
        <v>110569</v>
      </c>
      <c r="E11" s="4" t="s">
        <v>47</v>
      </c>
      <c r="F11" s="6" t="s">
        <v>59</v>
      </c>
    </row>
    <row r="12" spans="1:6" ht="30" x14ac:dyDescent="0.25">
      <c r="A12" s="3">
        <v>2017</v>
      </c>
      <c r="B12" s="3" t="s">
        <v>105</v>
      </c>
      <c r="C12" s="4" t="s">
        <v>106</v>
      </c>
      <c r="D12" s="5">
        <v>117465</v>
      </c>
      <c r="E12" s="4" t="s">
        <v>47</v>
      </c>
      <c r="F12" s="6" t="s">
        <v>60</v>
      </c>
    </row>
    <row r="13" spans="1:6" x14ac:dyDescent="0.25">
      <c r="A13" s="3">
        <v>2017</v>
      </c>
      <c r="B13" s="3" t="s">
        <v>105</v>
      </c>
      <c r="C13" s="4" t="s">
        <v>106</v>
      </c>
      <c r="D13" s="5">
        <v>121681</v>
      </c>
      <c r="E13" s="4" t="s">
        <v>50</v>
      </c>
      <c r="F13" s="6" t="s">
        <v>61</v>
      </c>
    </row>
    <row r="14" spans="1:6" x14ac:dyDescent="0.25">
      <c r="A14" s="3">
        <v>2017</v>
      </c>
      <c r="B14" s="3" t="s">
        <v>105</v>
      </c>
      <c r="C14" s="4" t="s">
        <v>106</v>
      </c>
      <c r="D14" s="5">
        <v>121681</v>
      </c>
      <c r="E14" s="4" t="s">
        <v>50</v>
      </c>
      <c r="F14" s="6" t="s">
        <v>62</v>
      </c>
    </row>
    <row r="15" spans="1:6" ht="45" x14ac:dyDescent="0.25">
      <c r="A15" s="3">
        <v>2017</v>
      </c>
      <c r="B15" s="3" t="s">
        <v>105</v>
      </c>
      <c r="C15" s="4" t="s">
        <v>106</v>
      </c>
      <c r="D15" s="5">
        <v>103275</v>
      </c>
      <c r="E15" s="4" t="s">
        <v>63</v>
      </c>
      <c r="F15" s="6" t="s">
        <v>64</v>
      </c>
    </row>
    <row r="16" spans="1:6" x14ac:dyDescent="0.25">
      <c r="A16" s="3">
        <v>2017</v>
      </c>
      <c r="B16" s="3" t="s">
        <v>105</v>
      </c>
      <c r="C16" s="4" t="s">
        <v>106</v>
      </c>
      <c r="D16" s="5">
        <v>150441</v>
      </c>
      <c r="E16" s="4" t="s">
        <v>47</v>
      </c>
      <c r="F16" s="6" t="s">
        <v>65</v>
      </c>
    </row>
    <row r="17" spans="1:6" x14ac:dyDescent="0.25">
      <c r="A17" s="3">
        <v>2017</v>
      </c>
      <c r="B17" s="3" t="s">
        <v>105</v>
      </c>
      <c r="C17" s="4" t="s">
        <v>106</v>
      </c>
      <c r="D17" s="5">
        <v>152587</v>
      </c>
      <c r="E17" s="4" t="s">
        <v>47</v>
      </c>
      <c r="F17" s="6" t="s">
        <v>66</v>
      </c>
    </row>
    <row r="18" spans="1:6" ht="45" x14ac:dyDescent="0.25">
      <c r="A18" s="3">
        <v>2017</v>
      </c>
      <c r="B18" s="3" t="s">
        <v>105</v>
      </c>
      <c r="C18" s="4" t="s">
        <v>106</v>
      </c>
      <c r="D18" s="5">
        <v>152587</v>
      </c>
      <c r="E18" s="4" t="s">
        <v>63</v>
      </c>
      <c r="F18" s="6" t="s">
        <v>67</v>
      </c>
    </row>
    <row r="19" spans="1:6" ht="30" x14ac:dyDescent="0.25">
      <c r="A19" s="3">
        <v>2017</v>
      </c>
      <c r="B19" s="3" t="s">
        <v>105</v>
      </c>
      <c r="C19" s="4" t="s">
        <v>106</v>
      </c>
      <c r="D19" s="5">
        <v>149344</v>
      </c>
      <c r="E19" s="4" t="s">
        <v>50</v>
      </c>
      <c r="F19" s="6" t="s">
        <v>68</v>
      </c>
    </row>
    <row r="20" spans="1:6" x14ac:dyDescent="0.25">
      <c r="A20" s="3">
        <v>2017</v>
      </c>
      <c r="B20" s="3" t="s">
        <v>105</v>
      </c>
      <c r="C20" s="4" t="s">
        <v>106</v>
      </c>
      <c r="D20" s="5">
        <v>117440</v>
      </c>
      <c r="E20" s="4" t="s">
        <v>47</v>
      </c>
      <c r="F20" s="6" t="s">
        <v>69</v>
      </c>
    </row>
    <row r="21" spans="1:6" x14ac:dyDescent="0.25">
      <c r="A21" s="3">
        <v>2017</v>
      </c>
      <c r="B21" s="3" t="s">
        <v>105</v>
      </c>
      <c r="C21" s="4" t="s">
        <v>106</v>
      </c>
      <c r="D21" s="5">
        <v>153700</v>
      </c>
      <c r="E21" s="4" t="s">
        <v>50</v>
      </c>
      <c r="F21" s="6" t="s">
        <v>70</v>
      </c>
    </row>
    <row r="22" spans="1:6" x14ac:dyDescent="0.25">
      <c r="A22" s="3">
        <v>2017</v>
      </c>
      <c r="B22" s="3" t="s">
        <v>105</v>
      </c>
      <c r="C22" s="4" t="s">
        <v>106</v>
      </c>
      <c r="D22" s="5">
        <v>59899</v>
      </c>
      <c r="E22" s="4" t="s">
        <v>50</v>
      </c>
      <c r="F22" s="6" t="s">
        <v>71</v>
      </c>
    </row>
    <row r="23" spans="1:6" x14ac:dyDescent="0.25">
      <c r="A23" s="3">
        <v>2017</v>
      </c>
      <c r="B23" s="3" t="s">
        <v>105</v>
      </c>
      <c r="C23" s="4" t="s">
        <v>106</v>
      </c>
      <c r="D23" s="5">
        <v>59899</v>
      </c>
      <c r="E23" s="4" t="s">
        <v>54</v>
      </c>
      <c r="F23" s="6" t="s">
        <v>72</v>
      </c>
    </row>
    <row r="24" spans="1:6" x14ac:dyDescent="0.25">
      <c r="A24" s="3">
        <v>2017</v>
      </c>
      <c r="B24" s="3" t="s">
        <v>105</v>
      </c>
      <c r="C24" s="4" t="s">
        <v>106</v>
      </c>
      <c r="D24" s="5">
        <v>59899</v>
      </c>
      <c r="E24" s="4" t="s">
        <v>54</v>
      </c>
      <c r="F24" s="6" t="s">
        <v>73</v>
      </c>
    </row>
    <row r="25" spans="1:6" ht="30" x14ac:dyDescent="0.25">
      <c r="A25" s="3">
        <v>2017</v>
      </c>
      <c r="B25" s="3" t="s">
        <v>105</v>
      </c>
      <c r="C25" s="4" t="s">
        <v>106</v>
      </c>
      <c r="D25" s="5">
        <v>99093</v>
      </c>
      <c r="E25" s="4" t="s">
        <v>47</v>
      </c>
      <c r="F25" s="6" t="s">
        <v>74</v>
      </c>
    </row>
    <row r="26" spans="1:6" x14ac:dyDescent="0.25">
      <c r="A26" s="3">
        <v>2017</v>
      </c>
      <c r="B26" s="3" t="s">
        <v>105</v>
      </c>
      <c r="C26" s="4" t="s">
        <v>106</v>
      </c>
      <c r="D26" s="5">
        <v>99093</v>
      </c>
      <c r="E26" s="4" t="s">
        <v>47</v>
      </c>
      <c r="F26" s="6" t="s">
        <v>75</v>
      </c>
    </row>
    <row r="27" spans="1:6" x14ac:dyDescent="0.25">
      <c r="A27" s="3">
        <v>2017</v>
      </c>
      <c r="B27" s="3" t="s">
        <v>105</v>
      </c>
      <c r="C27" s="4" t="s">
        <v>106</v>
      </c>
      <c r="D27" s="5">
        <v>99093</v>
      </c>
      <c r="E27" s="4" t="s">
        <v>54</v>
      </c>
      <c r="F27" s="6" t="s">
        <v>76</v>
      </c>
    </row>
    <row r="28" spans="1:6" ht="30" x14ac:dyDescent="0.25">
      <c r="A28" s="3">
        <v>2017</v>
      </c>
      <c r="B28" s="3" t="s">
        <v>105</v>
      </c>
      <c r="C28" s="4" t="s">
        <v>106</v>
      </c>
      <c r="D28" s="5">
        <v>70375</v>
      </c>
      <c r="E28" s="4" t="s">
        <v>63</v>
      </c>
      <c r="F28" s="6" t="s">
        <v>77</v>
      </c>
    </row>
    <row r="29" spans="1:6" ht="60" x14ac:dyDescent="0.25">
      <c r="A29" s="3">
        <v>2017</v>
      </c>
      <c r="B29" s="3" t="s">
        <v>105</v>
      </c>
      <c r="C29" s="4" t="s">
        <v>106</v>
      </c>
      <c r="D29" s="5">
        <v>70359</v>
      </c>
      <c r="E29" s="4" t="s">
        <v>63</v>
      </c>
      <c r="F29" s="6" t="s">
        <v>78</v>
      </c>
    </row>
    <row r="30" spans="1:6" x14ac:dyDescent="0.25">
      <c r="A30" s="3">
        <v>2017</v>
      </c>
      <c r="B30" s="3" t="s">
        <v>105</v>
      </c>
      <c r="C30" s="4" t="s">
        <v>106</v>
      </c>
      <c r="D30" s="5">
        <v>99911</v>
      </c>
      <c r="E30" s="4" t="s">
        <v>47</v>
      </c>
      <c r="F30" s="6" t="s">
        <v>79</v>
      </c>
    </row>
    <row r="31" spans="1:6" ht="30" x14ac:dyDescent="0.25">
      <c r="A31" s="3">
        <v>2017</v>
      </c>
      <c r="B31" s="3" t="s">
        <v>105</v>
      </c>
      <c r="C31" s="4" t="s">
        <v>106</v>
      </c>
      <c r="D31" s="5">
        <v>99911</v>
      </c>
      <c r="E31" s="4" t="s">
        <v>47</v>
      </c>
      <c r="F31" s="6" t="s">
        <v>80</v>
      </c>
    </row>
    <row r="32" spans="1:6" x14ac:dyDescent="0.25">
      <c r="A32" s="3">
        <v>2017</v>
      </c>
      <c r="B32" s="3" t="s">
        <v>105</v>
      </c>
      <c r="C32" s="4" t="s">
        <v>106</v>
      </c>
      <c r="D32" s="5">
        <v>99911</v>
      </c>
      <c r="E32" s="4" t="s">
        <v>54</v>
      </c>
      <c r="F32" s="6" t="s">
        <v>81</v>
      </c>
    </row>
    <row r="33" spans="1:6" ht="60" x14ac:dyDescent="0.25">
      <c r="A33" s="3">
        <v>2017</v>
      </c>
      <c r="B33" s="3" t="s">
        <v>105</v>
      </c>
      <c r="C33" s="4" t="s">
        <v>106</v>
      </c>
      <c r="D33" s="5">
        <v>177162</v>
      </c>
      <c r="E33" s="4" t="s">
        <v>63</v>
      </c>
      <c r="F33" s="6" t="s">
        <v>82</v>
      </c>
    </row>
    <row r="34" spans="1:6" ht="30" x14ac:dyDescent="0.25">
      <c r="A34" s="3">
        <v>2017</v>
      </c>
      <c r="B34" s="3" t="s">
        <v>105</v>
      </c>
      <c r="C34" s="4" t="s">
        <v>106</v>
      </c>
      <c r="D34" s="5">
        <v>177162</v>
      </c>
      <c r="E34" s="4" t="s">
        <v>63</v>
      </c>
      <c r="F34" s="6" t="s">
        <v>83</v>
      </c>
    </row>
    <row r="35" spans="1:6" ht="30" x14ac:dyDescent="0.25">
      <c r="A35" s="3">
        <v>2017</v>
      </c>
      <c r="B35" s="3" t="s">
        <v>105</v>
      </c>
      <c r="C35" s="4" t="s">
        <v>106</v>
      </c>
      <c r="D35" s="5">
        <v>36541</v>
      </c>
      <c r="E35" s="4" t="s">
        <v>47</v>
      </c>
      <c r="F35" s="6" t="s">
        <v>84</v>
      </c>
    </row>
    <row r="36" spans="1:6" x14ac:dyDescent="0.25">
      <c r="A36" s="3">
        <v>2017</v>
      </c>
      <c r="B36" s="3" t="s">
        <v>105</v>
      </c>
      <c r="C36" s="4" t="s">
        <v>106</v>
      </c>
      <c r="D36" s="5">
        <v>36541</v>
      </c>
      <c r="E36" s="4" t="s">
        <v>47</v>
      </c>
      <c r="F36" s="6" t="s">
        <v>85</v>
      </c>
    </row>
    <row r="37" spans="1:6" x14ac:dyDescent="0.25">
      <c r="A37" s="3">
        <v>2017</v>
      </c>
      <c r="B37" s="3" t="s">
        <v>105</v>
      </c>
      <c r="C37" s="4" t="s">
        <v>106</v>
      </c>
      <c r="D37" s="5">
        <v>36541</v>
      </c>
      <c r="E37" s="4" t="s">
        <v>47</v>
      </c>
      <c r="F37" s="6" t="s">
        <v>86</v>
      </c>
    </row>
    <row r="38" spans="1:6" ht="30" x14ac:dyDescent="0.25">
      <c r="A38" s="3">
        <v>2017</v>
      </c>
      <c r="B38" s="3" t="s">
        <v>105</v>
      </c>
      <c r="C38" s="4" t="s">
        <v>106</v>
      </c>
      <c r="D38" s="5">
        <v>91405</v>
      </c>
      <c r="E38" s="4" t="s">
        <v>50</v>
      </c>
      <c r="F38" s="6" t="s">
        <v>87</v>
      </c>
    </row>
    <row r="39" spans="1:6" x14ac:dyDescent="0.25">
      <c r="A39" s="3">
        <v>2017</v>
      </c>
      <c r="B39" s="3" t="s">
        <v>105</v>
      </c>
      <c r="C39" s="4" t="s">
        <v>106</v>
      </c>
      <c r="D39" s="5">
        <v>91405</v>
      </c>
      <c r="E39" s="4" t="s">
        <v>54</v>
      </c>
      <c r="F39" s="6" t="s">
        <v>88</v>
      </c>
    </row>
    <row r="40" spans="1:6" x14ac:dyDescent="0.25">
      <c r="A40" s="3">
        <v>2017</v>
      </c>
      <c r="B40" s="3" t="s">
        <v>105</v>
      </c>
      <c r="C40" s="4" t="s">
        <v>106</v>
      </c>
      <c r="D40" s="5">
        <v>91405</v>
      </c>
      <c r="E40" s="4" t="s">
        <v>54</v>
      </c>
      <c r="F40" s="6" t="s">
        <v>89</v>
      </c>
    </row>
    <row r="41" spans="1:6" x14ac:dyDescent="0.25">
      <c r="A41" s="3">
        <v>2017</v>
      </c>
      <c r="B41" s="3" t="s">
        <v>105</v>
      </c>
      <c r="C41" s="4" t="s">
        <v>106</v>
      </c>
      <c r="D41" s="5">
        <v>91405</v>
      </c>
      <c r="E41" s="4" t="s">
        <v>54</v>
      </c>
      <c r="F41" s="6" t="s">
        <v>90</v>
      </c>
    </row>
    <row r="42" spans="1:6" x14ac:dyDescent="0.25">
      <c r="A42" s="3">
        <v>2017</v>
      </c>
      <c r="B42" s="3" t="s">
        <v>105</v>
      </c>
      <c r="C42" s="4" t="s">
        <v>106</v>
      </c>
      <c r="D42" s="5">
        <v>58321</v>
      </c>
      <c r="E42" s="4" t="s">
        <v>50</v>
      </c>
      <c r="F42" s="6" t="s">
        <v>91</v>
      </c>
    </row>
    <row r="43" spans="1:6" ht="45" x14ac:dyDescent="0.25">
      <c r="A43" s="3">
        <v>2017</v>
      </c>
      <c r="B43" s="3" t="s">
        <v>105</v>
      </c>
      <c r="C43" s="4" t="s">
        <v>106</v>
      </c>
      <c r="D43" s="5">
        <v>58321</v>
      </c>
      <c r="E43" s="4" t="s">
        <v>50</v>
      </c>
      <c r="F43" s="6" t="s">
        <v>92</v>
      </c>
    </row>
    <row r="44" spans="1:6" x14ac:dyDescent="0.25">
      <c r="A44" s="3">
        <v>2017</v>
      </c>
      <c r="B44" s="3" t="s">
        <v>105</v>
      </c>
      <c r="C44" s="4" t="s">
        <v>106</v>
      </c>
      <c r="D44" s="5">
        <v>58321</v>
      </c>
      <c r="E44" s="4" t="s">
        <v>50</v>
      </c>
      <c r="F44" s="6" t="s">
        <v>93</v>
      </c>
    </row>
    <row r="45" spans="1:6" x14ac:dyDescent="0.25">
      <c r="A45" s="3">
        <v>2017</v>
      </c>
      <c r="B45" s="3" t="s">
        <v>105</v>
      </c>
      <c r="C45" s="4" t="s">
        <v>106</v>
      </c>
      <c r="D45" s="5">
        <v>58321</v>
      </c>
      <c r="E45" s="4" t="s">
        <v>54</v>
      </c>
      <c r="F45" s="6" t="s">
        <v>94</v>
      </c>
    </row>
    <row r="46" spans="1:6" x14ac:dyDescent="0.25">
      <c r="A46" s="3">
        <v>2017</v>
      </c>
      <c r="B46" s="3" t="s">
        <v>105</v>
      </c>
      <c r="C46" s="4" t="s">
        <v>106</v>
      </c>
      <c r="D46" s="5">
        <v>23994</v>
      </c>
      <c r="E46" s="4" t="s">
        <v>54</v>
      </c>
      <c r="F46" s="6" t="s">
        <v>95</v>
      </c>
    </row>
    <row r="47" spans="1:6" x14ac:dyDescent="0.25">
      <c r="A47" s="3">
        <v>2017</v>
      </c>
      <c r="B47" s="3" t="s">
        <v>105</v>
      </c>
      <c r="C47" s="4" t="s">
        <v>106</v>
      </c>
      <c r="D47" s="5">
        <v>22673</v>
      </c>
      <c r="E47" s="4" t="s">
        <v>47</v>
      </c>
      <c r="F47" s="6" t="s">
        <v>86</v>
      </c>
    </row>
    <row r="48" spans="1:6" ht="30" x14ac:dyDescent="0.25">
      <c r="A48" s="3">
        <v>2017</v>
      </c>
      <c r="B48" s="3" t="s">
        <v>105</v>
      </c>
      <c r="C48" s="4" t="s">
        <v>106</v>
      </c>
      <c r="D48" s="5">
        <v>89383</v>
      </c>
      <c r="E48" s="4" t="s">
        <v>47</v>
      </c>
      <c r="F48" s="6" t="s">
        <v>96</v>
      </c>
    </row>
    <row r="49" spans="1:6" x14ac:dyDescent="0.25">
      <c r="A49" s="3">
        <v>2017</v>
      </c>
      <c r="B49" s="3" t="s">
        <v>105</v>
      </c>
      <c r="C49" s="4" t="s">
        <v>106</v>
      </c>
      <c r="D49" s="5">
        <v>89383</v>
      </c>
      <c r="E49" s="4" t="s">
        <v>54</v>
      </c>
      <c r="F49" s="6" t="s">
        <v>97</v>
      </c>
    </row>
    <row r="50" spans="1:6" x14ac:dyDescent="0.25">
      <c r="A50" s="3">
        <v>2017</v>
      </c>
      <c r="B50" s="3" t="s">
        <v>105</v>
      </c>
      <c r="C50" s="4" t="s">
        <v>106</v>
      </c>
      <c r="D50" s="5">
        <v>64022</v>
      </c>
      <c r="E50" s="4" t="s">
        <v>47</v>
      </c>
      <c r="F50" s="6" t="s">
        <v>98</v>
      </c>
    </row>
    <row r="51" spans="1:6" x14ac:dyDescent="0.25">
      <c r="A51" s="3">
        <v>2017</v>
      </c>
      <c r="B51" s="3" t="s">
        <v>105</v>
      </c>
      <c r="C51" s="4" t="s">
        <v>106</v>
      </c>
      <c r="D51" s="5">
        <v>64022</v>
      </c>
      <c r="E51" s="4" t="s">
        <v>50</v>
      </c>
      <c r="F51" s="6" t="s">
        <v>99</v>
      </c>
    </row>
    <row r="52" spans="1:6" ht="45" x14ac:dyDescent="0.25">
      <c r="A52" s="3">
        <v>2017</v>
      </c>
      <c r="B52" s="3" t="s">
        <v>105</v>
      </c>
      <c r="C52" s="4" t="s">
        <v>106</v>
      </c>
      <c r="D52" s="5">
        <v>64022</v>
      </c>
      <c r="E52" s="4" t="s">
        <v>50</v>
      </c>
      <c r="F52" s="6" t="s">
        <v>100</v>
      </c>
    </row>
    <row r="53" spans="1:6" ht="30" x14ac:dyDescent="0.25">
      <c r="A53" s="3">
        <v>2017</v>
      </c>
      <c r="B53" s="3" t="s">
        <v>105</v>
      </c>
      <c r="C53" s="4" t="s">
        <v>106</v>
      </c>
      <c r="D53" s="5">
        <v>64022</v>
      </c>
      <c r="E53" s="4" t="s">
        <v>54</v>
      </c>
      <c r="F53" s="6" t="s">
        <v>101</v>
      </c>
    </row>
    <row r="54" spans="1:6" x14ac:dyDescent="0.25">
      <c r="A54" s="3">
        <v>2017</v>
      </c>
      <c r="B54" s="3" t="s">
        <v>160</v>
      </c>
      <c r="C54" s="4" t="s">
        <v>106</v>
      </c>
      <c r="D54" s="5">
        <v>104133</v>
      </c>
      <c r="E54" s="4" t="s">
        <v>47</v>
      </c>
      <c r="F54" s="6" t="s">
        <v>48</v>
      </c>
    </row>
    <row r="55" spans="1:6" ht="30" x14ac:dyDescent="0.25">
      <c r="A55" s="3">
        <v>2017</v>
      </c>
      <c r="B55" s="3" t="s">
        <v>160</v>
      </c>
      <c r="C55" s="4" t="s">
        <v>106</v>
      </c>
      <c r="D55" s="5">
        <v>114603</v>
      </c>
      <c r="E55" s="4" t="s">
        <v>47</v>
      </c>
      <c r="F55" s="6" t="s">
        <v>49</v>
      </c>
    </row>
    <row r="56" spans="1:6" x14ac:dyDescent="0.25">
      <c r="A56" s="3">
        <v>2017</v>
      </c>
      <c r="B56" s="3" t="s">
        <v>160</v>
      </c>
      <c r="C56" s="4" t="s">
        <v>106</v>
      </c>
      <c r="D56" s="5">
        <v>101071</v>
      </c>
      <c r="E56" s="4" t="s">
        <v>50</v>
      </c>
      <c r="F56" s="6" t="s">
        <v>51</v>
      </c>
    </row>
    <row r="57" spans="1:6" x14ac:dyDescent="0.25">
      <c r="A57" s="3">
        <v>2017</v>
      </c>
      <c r="B57" s="3" t="s">
        <v>160</v>
      </c>
      <c r="C57" s="4" t="s">
        <v>106</v>
      </c>
      <c r="D57" s="5">
        <v>101071</v>
      </c>
      <c r="E57" s="4" t="s">
        <v>50</v>
      </c>
      <c r="F57" s="6" t="s">
        <v>52</v>
      </c>
    </row>
    <row r="58" spans="1:6" x14ac:dyDescent="0.25">
      <c r="A58" s="3">
        <v>2017</v>
      </c>
      <c r="B58" s="3" t="s">
        <v>160</v>
      </c>
      <c r="C58" s="4" t="s">
        <v>106</v>
      </c>
      <c r="D58" s="5">
        <v>101071</v>
      </c>
      <c r="E58" s="4" t="s">
        <v>50</v>
      </c>
      <c r="F58" s="6" t="s">
        <v>53</v>
      </c>
    </row>
    <row r="59" spans="1:6" x14ac:dyDescent="0.25">
      <c r="A59" s="3">
        <v>2017</v>
      </c>
      <c r="B59" s="3" t="s">
        <v>160</v>
      </c>
      <c r="C59" s="4" t="s">
        <v>106</v>
      </c>
      <c r="D59" s="5">
        <v>101071</v>
      </c>
      <c r="E59" s="4" t="s">
        <v>54</v>
      </c>
      <c r="F59" s="6" t="s">
        <v>55</v>
      </c>
    </row>
    <row r="60" spans="1:6" x14ac:dyDescent="0.25">
      <c r="A60" s="3">
        <v>2017</v>
      </c>
      <c r="B60" s="3" t="s">
        <v>160</v>
      </c>
      <c r="C60" s="4" t="s">
        <v>106</v>
      </c>
      <c r="D60" s="5">
        <v>101071</v>
      </c>
      <c r="E60" s="4" t="s">
        <v>54</v>
      </c>
      <c r="F60" s="6" t="s">
        <v>56</v>
      </c>
    </row>
    <row r="61" spans="1:6" x14ac:dyDescent="0.25">
      <c r="A61" s="3">
        <v>2017</v>
      </c>
      <c r="B61" s="3" t="s">
        <v>160</v>
      </c>
      <c r="C61" s="4" t="s">
        <v>106</v>
      </c>
      <c r="D61" s="5">
        <v>110569</v>
      </c>
      <c r="E61" s="4" t="s">
        <v>47</v>
      </c>
      <c r="F61" s="6" t="s">
        <v>57</v>
      </c>
    </row>
    <row r="62" spans="1:6" x14ac:dyDescent="0.25">
      <c r="A62" s="3">
        <v>2017</v>
      </c>
      <c r="B62" s="3" t="s">
        <v>160</v>
      </c>
      <c r="C62" s="4" t="s">
        <v>106</v>
      </c>
      <c r="D62" s="5">
        <v>110569</v>
      </c>
      <c r="E62" s="4" t="s">
        <v>47</v>
      </c>
      <c r="F62" s="6" t="s">
        <v>58</v>
      </c>
    </row>
    <row r="63" spans="1:6" x14ac:dyDescent="0.25">
      <c r="A63" s="3">
        <v>2017</v>
      </c>
      <c r="B63" s="3" t="s">
        <v>160</v>
      </c>
      <c r="C63" s="4" t="s">
        <v>106</v>
      </c>
      <c r="D63" s="5">
        <v>110569</v>
      </c>
      <c r="E63" s="4" t="s">
        <v>47</v>
      </c>
      <c r="F63" s="6" t="s">
        <v>59</v>
      </c>
    </row>
    <row r="64" spans="1:6" ht="30" x14ac:dyDescent="0.25">
      <c r="A64" s="3">
        <v>2017</v>
      </c>
      <c r="B64" s="3" t="s">
        <v>160</v>
      </c>
      <c r="C64" s="4" t="s">
        <v>106</v>
      </c>
      <c r="D64" s="5">
        <v>117465</v>
      </c>
      <c r="E64" s="4" t="s">
        <v>47</v>
      </c>
      <c r="F64" s="6" t="s">
        <v>60</v>
      </c>
    </row>
    <row r="65" spans="1:6" x14ac:dyDescent="0.25">
      <c r="A65" s="3">
        <v>2017</v>
      </c>
      <c r="B65" s="3" t="s">
        <v>160</v>
      </c>
      <c r="C65" s="4" t="s">
        <v>106</v>
      </c>
      <c r="D65" s="5">
        <v>121681</v>
      </c>
      <c r="E65" s="4" t="s">
        <v>50</v>
      </c>
      <c r="F65" s="6" t="s">
        <v>61</v>
      </c>
    </row>
    <row r="66" spans="1:6" x14ac:dyDescent="0.25">
      <c r="A66" s="3">
        <v>2017</v>
      </c>
      <c r="B66" s="3" t="s">
        <v>160</v>
      </c>
      <c r="C66" s="4" t="s">
        <v>106</v>
      </c>
      <c r="D66" s="5">
        <v>121681</v>
      </c>
      <c r="E66" s="4" t="s">
        <v>50</v>
      </c>
      <c r="F66" s="6" t="s">
        <v>62</v>
      </c>
    </row>
    <row r="67" spans="1:6" ht="45" x14ac:dyDescent="0.25">
      <c r="A67" s="3">
        <v>2017</v>
      </c>
      <c r="B67" s="3" t="s">
        <v>160</v>
      </c>
      <c r="C67" s="4" t="s">
        <v>106</v>
      </c>
      <c r="D67" s="5">
        <v>103275</v>
      </c>
      <c r="E67" s="4" t="s">
        <v>63</v>
      </c>
      <c r="F67" s="6" t="s">
        <v>64</v>
      </c>
    </row>
    <row r="68" spans="1:6" x14ac:dyDescent="0.25">
      <c r="A68" s="3">
        <v>2017</v>
      </c>
      <c r="B68" s="3" t="s">
        <v>160</v>
      </c>
      <c r="C68" s="4" t="s">
        <v>106</v>
      </c>
      <c r="D68" s="5">
        <v>150441</v>
      </c>
      <c r="E68" s="4" t="s">
        <v>47</v>
      </c>
      <c r="F68" s="6" t="s">
        <v>65</v>
      </c>
    </row>
    <row r="69" spans="1:6" x14ac:dyDescent="0.25">
      <c r="A69" s="3">
        <v>2017</v>
      </c>
      <c r="B69" s="3" t="s">
        <v>160</v>
      </c>
      <c r="C69" s="4" t="s">
        <v>106</v>
      </c>
      <c r="D69" s="5">
        <v>152587</v>
      </c>
      <c r="E69" s="4" t="s">
        <v>47</v>
      </c>
      <c r="F69" s="6" t="s">
        <v>66</v>
      </c>
    </row>
    <row r="70" spans="1:6" ht="45" x14ac:dyDescent="0.25">
      <c r="A70" s="3">
        <v>2017</v>
      </c>
      <c r="B70" s="3" t="s">
        <v>160</v>
      </c>
      <c r="C70" s="4" t="s">
        <v>106</v>
      </c>
      <c r="D70" s="5">
        <v>152587</v>
      </c>
      <c r="E70" s="4" t="s">
        <v>63</v>
      </c>
      <c r="F70" s="6" t="s">
        <v>67</v>
      </c>
    </row>
    <row r="71" spans="1:6" ht="30" x14ac:dyDescent="0.25">
      <c r="A71" s="3">
        <v>2017</v>
      </c>
      <c r="B71" s="3" t="s">
        <v>160</v>
      </c>
      <c r="C71" s="4" t="s">
        <v>106</v>
      </c>
      <c r="D71" s="5">
        <v>149344</v>
      </c>
      <c r="E71" s="4" t="s">
        <v>50</v>
      </c>
      <c r="F71" s="6" t="s">
        <v>68</v>
      </c>
    </row>
    <row r="72" spans="1:6" x14ac:dyDescent="0.25">
      <c r="A72" s="3">
        <v>2017</v>
      </c>
      <c r="B72" s="3" t="s">
        <v>160</v>
      </c>
      <c r="C72" s="4" t="s">
        <v>106</v>
      </c>
      <c r="D72" s="5">
        <v>117440</v>
      </c>
      <c r="E72" s="4" t="s">
        <v>47</v>
      </c>
      <c r="F72" s="6" t="s">
        <v>69</v>
      </c>
    </row>
    <row r="73" spans="1:6" x14ac:dyDescent="0.25">
      <c r="A73" s="3">
        <v>2017</v>
      </c>
      <c r="B73" s="3" t="s">
        <v>160</v>
      </c>
      <c r="C73" s="4" t="s">
        <v>106</v>
      </c>
      <c r="D73" s="5">
        <v>153700</v>
      </c>
      <c r="E73" s="4" t="s">
        <v>50</v>
      </c>
      <c r="F73" s="6" t="s">
        <v>70</v>
      </c>
    </row>
    <row r="74" spans="1:6" x14ac:dyDescent="0.25">
      <c r="A74" s="3">
        <v>2017</v>
      </c>
      <c r="B74" s="3" t="s">
        <v>160</v>
      </c>
      <c r="C74" s="4" t="s">
        <v>106</v>
      </c>
      <c r="D74" s="5">
        <v>59899</v>
      </c>
      <c r="E74" s="4" t="s">
        <v>50</v>
      </c>
      <c r="F74" s="6" t="s">
        <v>71</v>
      </c>
    </row>
    <row r="75" spans="1:6" x14ac:dyDescent="0.25">
      <c r="A75" s="3">
        <v>2017</v>
      </c>
      <c r="B75" s="3" t="s">
        <v>160</v>
      </c>
      <c r="C75" s="4" t="s">
        <v>106</v>
      </c>
      <c r="D75" s="5">
        <v>59899</v>
      </c>
      <c r="E75" s="4" t="s">
        <v>54</v>
      </c>
      <c r="F75" s="6" t="s">
        <v>72</v>
      </c>
    </row>
    <row r="76" spans="1:6" x14ac:dyDescent="0.25">
      <c r="A76" s="3">
        <v>2017</v>
      </c>
      <c r="B76" s="3" t="s">
        <v>160</v>
      </c>
      <c r="C76" s="4" t="s">
        <v>106</v>
      </c>
      <c r="D76" s="5">
        <v>59899</v>
      </c>
      <c r="E76" s="4" t="s">
        <v>54</v>
      </c>
      <c r="F76" s="6" t="s">
        <v>73</v>
      </c>
    </row>
    <row r="77" spans="1:6" ht="30" x14ac:dyDescent="0.25">
      <c r="A77" s="3">
        <v>2017</v>
      </c>
      <c r="B77" s="3" t="s">
        <v>160</v>
      </c>
      <c r="C77" s="4" t="s">
        <v>106</v>
      </c>
      <c r="D77" s="5">
        <v>99093</v>
      </c>
      <c r="E77" s="4" t="s">
        <v>47</v>
      </c>
      <c r="F77" s="6" t="s">
        <v>74</v>
      </c>
    </row>
    <row r="78" spans="1:6" x14ac:dyDescent="0.25">
      <c r="A78" s="3">
        <v>2017</v>
      </c>
      <c r="B78" s="3" t="s">
        <v>160</v>
      </c>
      <c r="C78" s="4" t="s">
        <v>106</v>
      </c>
      <c r="D78" s="5">
        <v>99093</v>
      </c>
      <c r="E78" s="4" t="s">
        <v>47</v>
      </c>
      <c r="F78" s="6" t="s">
        <v>75</v>
      </c>
    </row>
    <row r="79" spans="1:6" x14ac:dyDescent="0.25">
      <c r="A79" s="3">
        <v>2017</v>
      </c>
      <c r="B79" s="3" t="s">
        <v>160</v>
      </c>
      <c r="C79" s="4" t="s">
        <v>106</v>
      </c>
      <c r="D79" s="5">
        <v>99093</v>
      </c>
      <c r="E79" s="4" t="s">
        <v>54</v>
      </c>
      <c r="F79" s="6" t="s">
        <v>76</v>
      </c>
    </row>
    <row r="80" spans="1:6" ht="30" x14ac:dyDescent="0.25">
      <c r="A80" s="3">
        <v>2017</v>
      </c>
      <c r="B80" s="3" t="s">
        <v>160</v>
      </c>
      <c r="C80" s="4" t="s">
        <v>106</v>
      </c>
      <c r="D80" s="5">
        <v>70375</v>
      </c>
      <c r="E80" s="4" t="s">
        <v>63</v>
      </c>
      <c r="F80" s="6" t="s">
        <v>77</v>
      </c>
    </row>
    <row r="81" spans="1:6" ht="45" x14ac:dyDescent="0.25">
      <c r="A81" s="3">
        <v>2017</v>
      </c>
      <c r="B81" s="3" t="s">
        <v>160</v>
      </c>
      <c r="C81" s="4" t="s">
        <v>106</v>
      </c>
      <c r="D81" s="5">
        <v>117671</v>
      </c>
      <c r="E81" s="4" t="s">
        <v>50</v>
      </c>
      <c r="F81" s="6" t="s">
        <v>107</v>
      </c>
    </row>
    <row r="82" spans="1:6" ht="45" x14ac:dyDescent="0.25">
      <c r="A82" s="3">
        <v>2017</v>
      </c>
      <c r="B82" s="3" t="s">
        <v>160</v>
      </c>
      <c r="C82" s="4" t="s">
        <v>106</v>
      </c>
      <c r="D82" s="5">
        <v>117671</v>
      </c>
      <c r="E82" s="4" t="s">
        <v>50</v>
      </c>
      <c r="F82" s="6" t="s">
        <v>108</v>
      </c>
    </row>
    <row r="83" spans="1:6" ht="30" x14ac:dyDescent="0.25">
      <c r="A83" s="3">
        <v>2017</v>
      </c>
      <c r="B83" s="3" t="s">
        <v>160</v>
      </c>
      <c r="C83" s="4" t="s">
        <v>106</v>
      </c>
      <c r="D83" s="5">
        <v>117671</v>
      </c>
      <c r="E83" s="4" t="s">
        <v>63</v>
      </c>
      <c r="F83" s="6" t="s">
        <v>109</v>
      </c>
    </row>
    <row r="84" spans="1:6" x14ac:dyDescent="0.25">
      <c r="A84" s="3">
        <v>2017</v>
      </c>
      <c r="B84" s="3" t="s">
        <v>160</v>
      </c>
      <c r="C84" s="4" t="s">
        <v>106</v>
      </c>
      <c r="D84" s="5">
        <v>114603</v>
      </c>
      <c r="E84" s="4" t="s">
        <v>47</v>
      </c>
      <c r="F84" s="6" t="s">
        <v>110</v>
      </c>
    </row>
    <row r="85" spans="1:6" x14ac:dyDescent="0.25">
      <c r="A85" s="3">
        <v>2017</v>
      </c>
      <c r="B85" s="3" t="s">
        <v>160</v>
      </c>
      <c r="C85" s="4" t="s">
        <v>106</v>
      </c>
      <c r="D85" s="5">
        <v>101071</v>
      </c>
      <c r="E85" s="4" t="s">
        <v>47</v>
      </c>
      <c r="F85" s="6" t="s">
        <v>111</v>
      </c>
    </row>
    <row r="86" spans="1:6" x14ac:dyDescent="0.25">
      <c r="A86" s="3">
        <v>2017</v>
      </c>
      <c r="B86" s="3" t="s">
        <v>160</v>
      </c>
      <c r="C86" s="4" t="s">
        <v>106</v>
      </c>
      <c r="D86" s="5">
        <v>101071</v>
      </c>
      <c r="E86" s="4" t="s">
        <v>47</v>
      </c>
      <c r="F86" s="6" t="s">
        <v>112</v>
      </c>
    </row>
    <row r="87" spans="1:6" x14ac:dyDescent="0.25">
      <c r="A87" s="3">
        <v>2017</v>
      </c>
      <c r="B87" s="3" t="s">
        <v>160</v>
      </c>
      <c r="C87" s="4" t="s">
        <v>106</v>
      </c>
      <c r="D87" s="5">
        <v>101071</v>
      </c>
      <c r="E87" s="4" t="s">
        <v>50</v>
      </c>
      <c r="F87" s="6" t="s">
        <v>113</v>
      </c>
    </row>
    <row r="88" spans="1:6" ht="60" x14ac:dyDescent="0.25">
      <c r="A88" s="3">
        <v>2017</v>
      </c>
      <c r="B88" s="3" t="s">
        <v>160</v>
      </c>
      <c r="C88" s="4" t="s">
        <v>106</v>
      </c>
      <c r="D88" s="5">
        <v>101071</v>
      </c>
      <c r="E88" s="4" t="s">
        <v>63</v>
      </c>
      <c r="F88" s="6" t="s">
        <v>114</v>
      </c>
    </row>
    <row r="89" spans="1:6" x14ac:dyDescent="0.25">
      <c r="A89" s="3">
        <v>2017</v>
      </c>
      <c r="B89" s="3" t="s">
        <v>160</v>
      </c>
      <c r="C89" s="4" t="s">
        <v>106</v>
      </c>
      <c r="D89" s="5">
        <v>101071</v>
      </c>
      <c r="E89" s="4" t="s">
        <v>54</v>
      </c>
      <c r="F89" s="6" t="s">
        <v>115</v>
      </c>
    </row>
    <row r="90" spans="1:6" x14ac:dyDescent="0.25">
      <c r="A90" s="3">
        <v>2017</v>
      </c>
      <c r="B90" s="3" t="s">
        <v>160</v>
      </c>
      <c r="C90" s="4" t="s">
        <v>106</v>
      </c>
      <c r="D90" s="5">
        <v>110569</v>
      </c>
      <c r="E90" s="4" t="s">
        <v>47</v>
      </c>
      <c r="F90" s="6" t="s">
        <v>86</v>
      </c>
    </row>
    <row r="91" spans="1:6" ht="60" x14ac:dyDescent="0.25">
      <c r="A91" s="3">
        <v>2017</v>
      </c>
      <c r="B91" s="3" t="s">
        <v>160</v>
      </c>
      <c r="C91" s="4" t="s">
        <v>106</v>
      </c>
      <c r="D91" s="5">
        <v>110569</v>
      </c>
      <c r="E91" s="4" t="s">
        <v>47</v>
      </c>
      <c r="F91" s="6" t="s">
        <v>116</v>
      </c>
    </row>
    <row r="92" spans="1:6" ht="75" x14ac:dyDescent="0.25">
      <c r="A92" s="3">
        <v>2017</v>
      </c>
      <c r="B92" s="3" t="s">
        <v>160</v>
      </c>
      <c r="C92" s="4" t="s">
        <v>106</v>
      </c>
      <c r="D92" s="5">
        <v>110569</v>
      </c>
      <c r="E92" s="4" t="s">
        <v>50</v>
      </c>
      <c r="F92" s="6" t="s">
        <v>117</v>
      </c>
    </row>
    <row r="93" spans="1:6" x14ac:dyDescent="0.25">
      <c r="A93" s="3">
        <v>2017</v>
      </c>
      <c r="B93" s="3" t="s">
        <v>160</v>
      </c>
      <c r="C93" s="4" t="s">
        <v>106</v>
      </c>
      <c r="D93" s="5">
        <v>117465</v>
      </c>
      <c r="E93" s="4" t="s">
        <v>54</v>
      </c>
      <c r="F93" s="6" t="s">
        <v>118</v>
      </c>
    </row>
    <row r="94" spans="1:6" x14ac:dyDescent="0.25">
      <c r="A94" s="3">
        <v>2017</v>
      </c>
      <c r="B94" s="3" t="s">
        <v>160</v>
      </c>
      <c r="C94" s="4" t="s">
        <v>106</v>
      </c>
      <c r="D94" s="5">
        <v>121681</v>
      </c>
      <c r="E94" s="4" t="s">
        <v>47</v>
      </c>
      <c r="F94" s="6" t="s">
        <v>119</v>
      </c>
    </row>
    <row r="95" spans="1:6" x14ac:dyDescent="0.25">
      <c r="A95" s="3">
        <v>2017</v>
      </c>
      <c r="B95" s="3" t="s">
        <v>160</v>
      </c>
      <c r="C95" s="4" t="s">
        <v>106</v>
      </c>
      <c r="D95" s="5">
        <v>121681</v>
      </c>
      <c r="E95" s="4" t="s">
        <v>50</v>
      </c>
      <c r="F95" s="6" t="s">
        <v>120</v>
      </c>
    </row>
    <row r="96" spans="1:6" x14ac:dyDescent="0.25">
      <c r="A96" s="3">
        <v>2017</v>
      </c>
      <c r="B96" s="3" t="s">
        <v>160</v>
      </c>
      <c r="C96" s="4" t="s">
        <v>106</v>
      </c>
      <c r="D96" s="5">
        <v>121681</v>
      </c>
      <c r="E96" s="4" t="s">
        <v>54</v>
      </c>
      <c r="F96" s="6" t="s">
        <v>121</v>
      </c>
    </row>
    <row r="97" spans="1:6" ht="30" x14ac:dyDescent="0.25">
      <c r="A97" s="3">
        <v>2017</v>
      </c>
      <c r="B97" s="3" t="s">
        <v>160</v>
      </c>
      <c r="C97" s="4" t="s">
        <v>106</v>
      </c>
      <c r="D97" s="5">
        <v>150441</v>
      </c>
      <c r="E97" s="4" t="s">
        <v>47</v>
      </c>
      <c r="F97" s="6" t="s">
        <v>122</v>
      </c>
    </row>
    <row r="98" spans="1:6" x14ac:dyDescent="0.25">
      <c r="A98" s="3">
        <v>2017</v>
      </c>
      <c r="B98" s="3" t="s">
        <v>160</v>
      </c>
      <c r="C98" s="4" t="s">
        <v>106</v>
      </c>
      <c r="D98" s="5">
        <v>150441</v>
      </c>
      <c r="E98" s="4" t="s">
        <v>47</v>
      </c>
      <c r="F98" s="6" t="s">
        <v>123</v>
      </c>
    </row>
    <row r="99" spans="1:6" x14ac:dyDescent="0.25">
      <c r="A99" s="3">
        <v>2017</v>
      </c>
      <c r="B99" s="3" t="s">
        <v>160</v>
      </c>
      <c r="C99" s="4" t="s">
        <v>106</v>
      </c>
      <c r="D99" s="5">
        <v>150441</v>
      </c>
      <c r="E99" s="4" t="s">
        <v>47</v>
      </c>
      <c r="F99" s="6" t="s">
        <v>124</v>
      </c>
    </row>
    <row r="100" spans="1:6" x14ac:dyDescent="0.25">
      <c r="A100" s="3">
        <v>2017</v>
      </c>
      <c r="B100" s="3" t="s">
        <v>160</v>
      </c>
      <c r="C100" s="4" t="s">
        <v>106</v>
      </c>
      <c r="D100" s="5">
        <v>150441</v>
      </c>
      <c r="E100" s="4" t="s">
        <v>47</v>
      </c>
      <c r="F100" s="6" t="s">
        <v>125</v>
      </c>
    </row>
    <row r="101" spans="1:6" x14ac:dyDescent="0.25">
      <c r="A101" s="3">
        <v>2017</v>
      </c>
      <c r="B101" s="3" t="s">
        <v>160</v>
      </c>
      <c r="C101" s="4" t="s">
        <v>106</v>
      </c>
      <c r="D101" s="5">
        <v>152587</v>
      </c>
      <c r="E101" s="4" t="s">
        <v>47</v>
      </c>
      <c r="F101" s="6" t="s">
        <v>126</v>
      </c>
    </row>
    <row r="102" spans="1:6" ht="30" x14ac:dyDescent="0.25">
      <c r="A102" s="3">
        <v>2017</v>
      </c>
      <c r="B102" s="3" t="s">
        <v>160</v>
      </c>
      <c r="C102" s="4" t="s">
        <v>106</v>
      </c>
      <c r="D102" s="5">
        <v>152587</v>
      </c>
      <c r="E102" s="4" t="s">
        <v>63</v>
      </c>
      <c r="F102" s="6" t="s">
        <v>127</v>
      </c>
    </row>
    <row r="103" spans="1:6" ht="45" x14ac:dyDescent="0.25">
      <c r="A103" s="3">
        <v>2017</v>
      </c>
      <c r="B103" s="3" t="s">
        <v>160</v>
      </c>
      <c r="C103" s="4" t="s">
        <v>106</v>
      </c>
      <c r="D103" s="5">
        <v>152587</v>
      </c>
      <c r="E103" s="4" t="s">
        <v>63</v>
      </c>
      <c r="F103" s="6" t="s">
        <v>128</v>
      </c>
    </row>
    <row r="104" spans="1:6" x14ac:dyDescent="0.25">
      <c r="A104" s="3">
        <v>2017</v>
      </c>
      <c r="B104" s="3" t="s">
        <v>160</v>
      </c>
      <c r="C104" s="4" t="s">
        <v>106</v>
      </c>
      <c r="D104" s="5">
        <v>152587</v>
      </c>
      <c r="E104" s="4" t="s">
        <v>63</v>
      </c>
      <c r="F104" s="6" t="s">
        <v>129</v>
      </c>
    </row>
    <row r="105" spans="1:6" x14ac:dyDescent="0.25">
      <c r="A105" s="3">
        <v>2017</v>
      </c>
      <c r="B105" s="3" t="s">
        <v>160</v>
      </c>
      <c r="C105" s="4" t="s">
        <v>106</v>
      </c>
      <c r="D105" s="5">
        <v>153700</v>
      </c>
      <c r="E105" s="4" t="s">
        <v>50</v>
      </c>
      <c r="F105" s="6" t="s">
        <v>130</v>
      </c>
    </row>
    <row r="106" spans="1:6" ht="30" x14ac:dyDescent="0.25">
      <c r="A106" s="3">
        <v>2017</v>
      </c>
      <c r="B106" s="3" t="s">
        <v>160</v>
      </c>
      <c r="C106" s="4" t="s">
        <v>106</v>
      </c>
      <c r="D106" s="5">
        <v>153700</v>
      </c>
      <c r="E106" s="4" t="s">
        <v>63</v>
      </c>
      <c r="F106" s="6" t="s">
        <v>131</v>
      </c>
    </row>
    <row r="107" spans="1:6" x14ac:dyDescent="0.25">
      <c r="A107" s="3">
        <v>2017</v>
      </c>
      <c r="B107" s="3" t="s">
        <v>160</v>
      </c>
      <c r="C107" s="4" t="s">
        <v>106</v>
      </c>
      <c r="D107" s="5">
        <v>70375</v>
      </c>
      <c r="E107" s="4" t="s">
        <v>47</v>
      </c>
      <c r="F107" s="6" t="s">
        <v>132</v>
      </c>
    </row>
    <row r="108" spans="1:6" x14ac:dyDescent="0.25">
      <c r="A108" s="3">
        <v>2017</v>
      </c>
      <c r="B108" s="3" t="s">
        <v>160</v>
      </c>
      <c r="C108" s="4" t="s">
        <v>106</v>
      </c>
      <c r="D108" s="5">
        <v>70375</v>
      </c>
      <c r="E108" s="4" t="s">
        <v>50</v>
      </c>
      <c r="F108" s="6" t="s">
        <v>133</v>
      </c>
    </row>
    <row r="109" spans="1:6" x14ac:dyDescent="0.25">
      <c r="A109" s="3">
        <v>2017</v>
      </c>
      <c r="B109" s="3" t="s">
        <v>160</v>
      </c>
      <c r="C109" s="4" t="s">
        <v>106</v>
      </c>
      <c r="D109" s="5">
        <v>99911</v>
      </c>
      <c r="E109" s="4" t="s">
        <v>47</v>
      </c>
      <c r="F109" s="6" t="s">
        <v>134</v>
      </c>
    </row>
    <row r="110" spans="1:6" x14ac:dyDescent="0.25">
      <c r="A110" s="3">
        <v>2017</v>
      </c>
      <c r="B110" s="3" t="s">
        <v>160</v>
      </c>
      <c r="C110" s="4" t="s">
        <v>106</v>
      </c>
      <c r="D110" s="5">
        <v>99911</v>
      </c>
      <c r="E110" s="4" t="s">
        <v>50</v>
      </c>
      <c r="F110" s="6" t="s">
        <v>135</v>
      </c>
    </row>
    <row r="111" spans="1:6" x14ac:dyDescent="0.25">
      <c r="A111" s="3">
        <v>2017</v>
      </c>
      <c r="B111" s="3" t="s">
        <v>160</v>
      </c>
      <c r="C111" s="4" t="s">
        <v>106</v>
      </c>
      <c r="D111" s="5">
        <v>177162</v>
      </c>
      <c r="E111" s="4" t="s">
        <v>47</v>
      </c>
      <c r="F111" s="6" t="s">
        <v>136</v>
      </c>
    </row>
    <row r="112" spans="1:6" ht="60" x14ac:dyDescent="0.25">
      <c r="A112" s="3">
        <v>2017</v>
      </c>
      <c r="B112" s="3" t="s">
        <v>160</v>
      </c>
      <c r="C112" s="4" t="s">
        <v>106</v>
      </c>
      <c r="D112" s="5">
        <v>177162</v>
      </c>
      <c r="E112" s="4" t="s">
        <v>50</v>
      </c>
      <c r="F112" s="6" t="s">
        <v>137</v>
      </c>
    </row>
    <row r="113" spans="1:6" ht="30" x14ac:dyDescent="0.25">
      <c r="A113" s="3">
        <v>2017</v>
      </c>
      <c r="B113" s="3" t="s">
        <v>160</v>
      </c>
      <c r="C113" s="4" t="s">
        <v>106</v>
      </c>
      <c r="D113" s="5">
        <v>177162</v>
      </c>
      <c r="E113" s="4" t="s">
        <v>63</v>
      </c>
      <c r="F113" s="6" t="s">
        <v>138</v>
      </c>
    </row>
    <row r="114" spans="1:6" x14ac:dyDescent="0.25">
      <c r="A114" s="3">
        <v>2017</v>
      </c>
      <c r="B114" s="3" t="s">
        <v>160</v>
      </c>
      <c r="C114" s="4" t="s">
        <v>106</v>
      </c>
      <c r="D114" s="5">
        <v>177162</v>
      </c>
      <c r="E114" s="4" t="s">
        <v>54</v>
      </c>
      <c r="F114" s="6" t="s">
        <v>139</v>
      </c>
    </row>
    <row r="115" spans="1:6" x14ac:dyDescent="0.25">
      <c r="A115" s="3">
        <v>2017</v>
      </c>
      <c r="B115" s="3" t="s">
        <v>160</v>
      </c>
      <c r="C115" s="4" t="s">
        <v>106</v>
      </c>
      <c r="D115" s="5">
        <v>60707</v>
      </c>
      <c r="E115" s="4" t="s">
        <v>50</v>
      </c>
      <c r="F115" s="6" t="s">
        <v>140</v>
      </c>
    </row>
    <row r="116" spans="1:6" x14ac:dyDescent="0.25">
      <c r="A116" s="3">
        <v>2017</v>
      </c>
      <c r="B116" s="3" t="s">
        <v>160</v>
      </c>
      <c r="C116" s="4" t="s">
        <v>106</v>
      </c>
      <c r="D116" s="5">
        <v>60707</v>
      </c>
      <c r="E116" s="4" t="s">
        <v>50</v>
      </c>
      <c r="F116" s="6" t="s">
        <v>141</v>
      </c>
    </row>
    <row r="117" spans="1:6" x14ac:dyDescent="0.25">
      <c r="A117" s="3">
        <v>2017</v>
      </c>
      <c r="B117" s="3" t="s">
        <v>160</v>
      </c>
      <c r="C117" s="4" t="s">
        <v>106</v>
      </c>
      <c r="D117" s="5">
        <v>60707</v>
      </c>
      <c r="E117" s="4" t="s">
        <v>50</v>
      </c>
      <c r="F117" s="6" t="s">
        <v>142</v>
      </c>
    </row>
    <row r="118" spans="1:6" x14ac:dyDescent="0.25">
      <c r="A118" s="3">
        <v>2017</v>
      </c>
      <c r="B118" s="3" t="s">
        <v>160</v>
      </c>
      <c r="C118" s="4" t="s">
        <v>106</v>
      </c>
      <c r="D118" s="5">
        <v>60707</v>
      </c>
      <c r="E118" s="4" t="s">
        <v>50</v>
      </c>
      <c r="F118" s="6" t="s">
        <v>143</v>
      </c>
    </row>
    <row r="119" spans="1:6" x14ac:dyDescent="0.25">
      <c r="A119" s="3">
        <v>2017</v>
      </c>
      <c r="B119" s="3" t="s">
        <v>160</v>
      </c>
      <c r="C119" s="4" t="s">
        <v>106</v>
      </c>
      <c r="D119" s="5">
        <v>58222</v>
      </c>
      <c r="E119" s="4" t="s">
        <v>63</v>
      </c>
      <c r="F119" s="6" t="s">
        <v>144</v>
      </c>
    </row>
    <row r="120" spans="1:6" ht="30" x14ac:dyDescent="0.25">
      <c r="A120" s="3">
        <v>2017</v>
      </c>
      <c r="B120" s="3" t="s">
        <v>160</v>
      </c>
      <c r="C120" s="4" t="s">
        <v>106</v>
      </c>
      <c r="D120" s="5">
        <v>58222</v>
      </c>
      <c r="E120" s="4" t="s">
        <v>63</v>
      </c>
      <c r="F120" s="6" t="s">
        <v>145</v>
      </c>
    </row>
    <row r="121" spans="1:6" ht="30" x14ac:dyDescent="0.25">
      <c r="A121" s="3">
        <v>2017</v>
      </c>
      <c r="B121" s="3" t="s">
        <v>160</v>
      </c>
      <c r="C121" s="4" t="s">
        <v>106</v>
      </c>
      <c r="D121" s="5">
        <v>89391</v>
      </c>
      <c r="E121" s="4" t="s">
        <v>47</v>
      </c>
      <c r="F121" s="6" t="s">
        <v>146</v>
      </c>
    </row>
    <row r="122" spans="1:6" x14ac:dyDescent="0.25">
      <c r="A122" s="3">
        <v>2017</v>
      </c>
      <c r="B122" s="3" t="s">
        <v>160</v>
      </c>
      <c r="C122" s="4" t="s">
        <v>106</v>
      </c>
      <c r="D122" s="5">
        <v>36541</v>
      </c>
      <c r="E122" s="4" t="s">
        <v>50</v>
      </c>
      <c r="F122" s="6" t="s">
        <v>147</v>
      </c>
    </row>
    <row r="123" spans="1:6" x14ac:dyDescent="0.25">
      <c r="A123" s="3">
        <v>2017</v>
      </c>
      <c r="B123" s="3" t="s">
        <v>160</v>
      </c>
      <c r="C123" s="4" t="s">
        <v>106</v>
      </c>
      <c r="D123" s="5">
        <v>91405</v>
      </c>
      <c r="E123" s="4" t="s">
        <v>47</v>
      </c>
      <c r="F123" s="6" t="s">
        <v>148</v>
      </c>
    </row>
    <row r="124" spans="1:6" ht="90" x14ac:dyDescent="0.25">
      <c r="A124" s="3">
        <v>2017</v>
      </c>
      <c r="B124" s="3" t="s">
        <v>160</v>
      </c>
      <c r="C124" s="4" t="s">
        <v>106</v>
      </c>
      <c r="D124" s="5">
        <v>91405</v>
      </c>
      <c r="E124" s="4" t="s">
        <v>63</v>
      </c>
      <c r="F124" s="6" t="s">
        <v>149</v>
      </c>
    </row>
    <row r="125" spans="1:6" x14ac:dyDescent="0.25">
      <c r="A125" s="3">
        <v>2017</v>
      </c>
      <c r="B125" s="3" t="s">
        <v>160</v>
      </c>
      <c r="C125" s="4" t="s">
        <v>106</v>
      </c>
      <c r="D125" s="5">
        <v>91405</v>
      </c>
      <c r="E125" s="4" t="s">
        <v>54</v>
      </c>
      <c r="F125" s="6" t="s">
        <v>150</v>
      </c>
    </row>
    <row r="126" spans="1:6" x14ac:dyDescent="0.25">
      <c r="A126" s="3">
        <v>2017</v>
      </c>
      <c r="B126" s="3" t="s">
        <v>160</v>
      </c>
      <c r="C126" s="4" t="s">
        <v>106</v>
      </c>
      <c r="D126" s="5">
        <v>23994</v>
      </c>
      <c r="E126" s="4" t="s">
        <v>47</v>
      </c>
      <c r="F126" s="6" t="s">
        <v>151</v>
      </c>
    </row>
    <row r="127" spans="1:6" x14ac:dyDescent="0.25">
      <c r="A127" s="3">
        <v>2017</v>
      </c>
      <c r="B127" s="3" t="s">
        <v>160</v>
      </c>
      <c r="C127" s="4" t="s">
        <v>106</v>
      </c>
      <c r="D127" s="5">
        <v>23994</v>
      </c>
      <c r="E127" s="4" t="s">
        <v>63</v>
      </c>
      <c r="F127" s="6" t="s">
        <v>152</v>
      </c>
    </row>
    <row r="128" spans="1:6" x14ac:dyDescent="0.25">
      <c r="A128" s="3">
        <v>2017</v>
      </c>
      <c r="B128" s="3" t="s">
        <v>160</v>
      </c>
      <c r="C128" s="4" t="s">
        <v>106</v>
      </c>
      <c r="D128" s="5">
        <v>23994</v>
      </c>
      <c r="E128" s="4" t="s">
        <v>54</v>
      </c>
      <c r="F128" s="6" t="s">
        <v>153</v>
      </c>
    </row>
    <row r="129" spans="1:6" ht="30" x14ac:dyDescent="0.25">
      <c r="A129" s="3">
        <v>2017</v>
      </c>
      <c r="B129" s="3" t="s">
        <v>160</v>
      </c>
      <c r="C129" s="4" t="s">
        <v>106</v>
      </c>
      <c r="D129" s="5">
        <v>91397</v>
      </c>
      <c r="E129" s="4" t="s">
        <v>50</v>
      </c>
      <c r="F129" s="6" t="s">
        <v>154</v>
      </c>
    </row>
    <row r="130" spans="1:6" x14ac:dyDescent="0.25">
      <c r="A130" s="3">
        <v>2017</v>
      </c>
      <c r="B130" s="3" t="s">
        <v>160</v>
      </c>
      <c r="C130" s="4" t="s">
        <v>106</v>
      </c>
      <c r="D130" s="5">
        <v>89383</v>
      </c>
      <c r="E130" s="4" t="s">
        <v>63</v>
      </c>
      <c r="F130" s="6" t="s">
        <v>155</v>
      </c>
    </row>
    <row r="131" spans="1:6" ht="30" x14ac:dyDescent="0.25">
      <c r="A131" s="3">
        <v>2017</v>
      </c>
      <c r="B131" s="3" t="s">
        <v>160</v>
      </c>
      <c r="C131" s="4" t="s">
        <v>106</v>
      </c>
      <c r="D131" s="5">
        <v>89383</v>
      </c>
      <c r="E131" s="4" t="s">
        <v>63</v>
      </c>
      <c r="F131" s="6" t="s">
        <v>156</v>
      </c>
    </row>
    <row r="132" spans="1:6" x14ac:dyDescent="0.25">
      <c r="A132" s="3">
        <v>2017</v>
      </c>
      <c r="B132" s="3" t="s">
        <v>160</v>
      </c>
      <c r="C132" s="4" t="s">
        <v>106</v>
      </c>
      <c r="D132" s="5">
        <v>64022</v>
      </c>
      <c r="E132" s="4" t="s">
        <v>47</v>
      </c>
      <c r="F132" s="6" t="s">
        <v>157</v>
      </c>
    </row>
    <row r="133" spans="1:6" ht="30" x14ac:dyDescent="0.25">
      <c r="A133" s="3">
        <v>2017</v>
      </c>
      <c r="B133" s="3" t="s">
        <v>160</v>
      </c>
      <c r="C133" s="4" t="s">
        <v>106</v>
      </c>
      <c r="D133" s="5">
        <v>88963</v>
      </c>
      <c r="E133" s="4" t="s">
        <v>47</v>
      </c>
      <c r="F133" s="6" t="s">
        <v>158</v>
      </c>
    </row>
    <row r="134" spans="1:6" ht="90" x14ac:dyDescent="0.25">
      <c r="A134" s="3">
        <v>2017</v>
      </c>
      <c r="B134" s="3" t="s">
        <v>160</v>
      </c>
      <c r="C134" s="4" t="s">
        <v>106</v>
      </c>
      <c r="D134" s="5">
        <v>22988</v>
      </c>
      <c r="E134" s="4" t="s">
        <v>63</v>
      </c>
      <c r="F134" s="6" t="s">
        <v>159</v>
      </c>
    </row>
    <row r="135" spans="1:6" x14ac:dyDescent="0.25">
      <c r="A135" s="3">
        <v>2017</v>
      </c>
      <c r="B135" s="3" t="s">
        <v>222</v>
      </c>
      <c r="C135" s="4" t="s">
        <v>106</v>
      </c>
      <c r="D135" s="5">
        <v>104133</v>
      </c>
      <c r="E135" s="4" t="s">
        <v>47</v>
      </c>
      <c r="F135" s="6" t="s">
        <v>48</v>
      </c>
    </row>
    <row r="136" spans="1:6" ht="30" x14ac:dyDescent="0.25">
      <c r="A136" s="3">
        <v>2017</v>
      </c>
      <c r="B136" s="3" t="s">
        <v>222</v>
      </c>
      <c r="C136" s="4" t="s">
        <v>106</v>
      </c>
      <c r="D136" s="5">
        <v>114603</v>
      </c>
      <c r="E136" s="4" t="s">
        <v>47</v>
      </c>
      <c r="F136" s="6" t="s">
        <v>49</v>
      </c>
    </row>
    <row r="137" spans="1:6" x14ac:dyDescent="0.25">
      <c r="A137" s="3">
        <v>2017</v>
      </c>
      <c r="B137" s="3" t="s">
        <v>222</v>
      </c>
      <c r="C137" s="4" t="s">
        <v>106</v>
      </c>
      <c r="D137" s="5">
        <v>101071</v>
      </c>
      <c r="E137" s="4" t="s">
        <v>50</v>
      </c>
      <c r="F137" s="6" t="s">
        <v>51</v>
      </c>
    </row>
    <row r="138" spans="1:6" x14ac:dyDescent="0.25">
      <c r="A138" s="3">
        <v>2017</v>
      </c>
      <c r="B138" s="3" t="s">
        <v>222</v>
      </c>
      <c r="C138" s="4" t="s">
        <v>106</v>
      </c>
      <c r="D138" s="5">
        <v>101071</v>
      </c>
      <c r="E138" s="4" t="s">
        <v>50</v>
      </c>
      <c r="F138" s="6" t="s">
        <v>52</v>
      </c>
    </row>
    <row r="139" spans="1:6" x14ac:dyDescent="0.25">
      <c r="A139" s="3">
        <v>2017</v>
      </c>
      <c r="B139" s="3" t="s">
        <v>222</v>
      </c>
      <c r="C139" s="4" t="s">
        <v>106</v>
      </c>
      <c r="D139" s="5">
        <v>101071</v>
      </c>
      <c r="E139" s="4" t="s">
        <v>50</v>
      </c>
      <c r="F139" s="6" t="s">
        <v>53</v>
      </c>
    </row>
    <row r="140" spans="1:6" x14ac:dyDescent="0.25">
      <c r="A140" s="3">
        <v>2017</v>
      </c>
      <c r="B140" s="3" t="s">
        <v>222</v>
      </c>
      <c r="C140" s="4" t="s">
        <v>106</v>
      </c>
      <c r="D140" s="5">
        <v>101071</v>
      </c>
      <c r="E140" s="4" t="s">
        <v>54</v>
      </c>
      <c r="F140" s="6" t="s">
        <v>55</v>
      </c>
    </row>
    <row r="141" spans="1:6" x14ac:dyDescent="0.25">
      <c r="A141" s="3">
        <v>2017</v>
      </c>
      <c r="B141" s="3" t="s">
        <v>222</v>
      </c>
      <c r="C141" s="4" t="s">
        <v>106</v>
      </c>
      <c r="D141" s="5">
        <v>101071</v>
      </c>
      <c r="E141" s="4" t="s">
        <v>54</v>
      </c>
      <c r="F141" s="6" t="s">
        <v>56</v>
      </c>
    </row>
    <row r="142" spans="1:6" x14ac:dyDescent="0.25">
      <c r="A142" s="3">
        <v>2017</v>
      </c>
      <c r="B142" s="3" t="s">
        <v>222</v>
      </c>
      <c r="C142" s="4" t="s">
        <v>106</v>
      </c>
      <c r="D142" s="5">
        <v>110569</v>
      </c>
      <c r="E142" s="4" t="s">
        <v>47</v>
      </c>
      <c r="F142" s="6" t="s">
        <v>57</v>
      </c>
    </row>
    <row r="143" spans="1:6" x14ac:dyDescent="0.25">
      <c r="A143" s="3">
        <v>2017</v>
      </c>
      <c r="B143" s="3" t="s">
        <v>222</v>
      </c>
      <c r="C143" s="4" t="s">
        <v>106</v>
      </c>
      <c r="D143" s="5">
        <v>110569</v>
      </c>
      <c r="E143" s="4" t="s">
        <v>47</v>
      </c>
      <c r="F143" s="6" t="s">
        <v>58</v>
      </c>
    </row>
    <row r="144" spans="1:6" x14ac:dyDescent="0.25">
      <c r="A144" s="3">
        <v>2017</v>
      </c>
      <c r="B144" s="3" t="s">
        <v>222</v>
      </c>
      <c r="C144" s="4" t="s">
        <v>106</v>
      </c>
      <c r="D144" s="5">
        <v>110569</v>
      </c>
      <c r="E144" s="4" t="s">
        <v>47</v>
      </c>
      <c r="F144" s="6" t="s">
        <v>59</v>
      </c>
    </row>
    <row r="145" spans="1:6" ht="30" x14ac:dyDescent="0.25">
      <c r="A145" s="3">
        <v>2017</v>
      </c>
      <c r="B145" s="3" t="s">
        <v>222</v>
      </c>
      <c r="C145" s="4" t="s">
        <v>106</v>
      </c>
      <c r="D145" s="5">
        <v>117465</v>
      </c>
      <c r="E145" s="4" t="s">
        <v>47</v>
      </c>
      <c r="F145" s="6" t="s">
        <v>60</v>
      </c>
    </row>
    <row r="146" spans="1:6" x14ac:dyDescent="0.25">
      <c r="A146" s="3">
        <v>2017</v>
      </c>
      <c r="B146" s="3" t="s">
        <v>222</v>
      </c>
      <c r="C146" s="4" t="s">
        <v>106</v>
      </c>
      <c r="D146" s="5">
        <v>121681</v>
      </c>
      <c r="E146" s="4" t="s">
        <v>50</v>
      </c>
      <c r="F146" s="6" t="s">
        <v>61</v>
      </c>
    </row>
    <row r="147" spans="1:6" x14ac:dyDescent="0.25">
      <c r="A147" s="3">
        <v>2017</v>
      </c>
      <c r="B147" s="3" t="s">
        <v>222</v>
      </c>
      <c r="C147" s="4" t="s">
        <v>106</v>
      </c>
      <c r="D147" s="5">
        <v>121681</v>
      </c>
      <c r="E147" s="4" t="s">
        <v>50</v>
      </c>
      <c r="F147" s="6" t="s">
        <v>62</v>
      </c>
    </row>
    <row r="148" spans="1:6" ht="45" x14ac:dyDescent="0.25">
      <c r="A148" s="3">
        <v>2017</v>
      </c>
      <c r="B148" s="3" t="s">
        <v>222</v>
      </c>
      <c r="C148" s="4" t="s">
        <v>106</v>
      </c>
      <c r="D148" s="5">
        <v>103275</v>
      </c>
      <c r="E148" s="4" t="s">
        <v>63</v>
      </c>
      <c r="F148" s="6" t="s">
        <v>64</v>
      </c>
    </row>
    <row r="149" spans="1:6" x14ac:dyDescent="0.25">
      <c r="A149" s="3">
        <v>2017</v>
      </c>
      <c r="B149" s="3" t="s">
        <v>222</v>
      </c>
      <c r="C149" s="4" t="s">
        <v>106</v>
      </c>
      <c r="D149" s="5">
        <v>150441</v>
      </c>
      <c r="E149" s="4" t="s">
        <v>47</v>
      </c>
      <c r="F149" s="6" t="s">
        <v>65</v>
      </c>
    </row>
    <row r="150" spans="1:6" x14ac:dyDescent="0.25">
      <c r="A150" s="3">
        <v>2017</v>
      </c>
      <c r="B150" s="3" t="s">
        <v>222</v>
      </c>
      <c r="C150" s="4" t="s">
        <v>106</v>
      </c>
      <c r="D150" s="5">
        <v>152587</v>
      </c>
      <c r="E150" s="4" t="s">
        <v>47</v>
      </c>
      <c r="F150" s="6" t="s">
        <v>66</v>
      </c>
    </row>
    <row r="151" spans="1:6" ht="45" x14ac:dyDescent="0.25">
      <c r="A151" s="3">
        <v>2017</v>
      </c>
      <c r="B151" s="3" t="s">
        <v>222</v>
      </c>
      <c r="C151" s="4" t="s">
        <v>106</v>
      </c>
      <c r="D151" s="5">
        <v>152587</v>
      </c>
      <c r="E151" s="4" t="s">
        <v>63</v>
      </c>
      <c r="F151" s="6" t="s">
        <v>67</v>
      </c>
    </row>
    <row r="152" spans="1:6" ht="30" x14ac:dyDescent="0.25">
      <c r="A152" s="3">
        <v>2017</v>
      </c>
      <c r="B152" s="3" t="s">
        <v>222</v>
      </c>
      <c r="C152" s="4" t="s">
        <v>106</v>
      </c>
      <c r="D152" s="5">
        <v>149344</v>
      </c>
      <c r="E152" s="4" t="s">
        <v>50</v>
      </c>
      <c r="F152" s="6" t="s">
        <v>68</v>
      </c>
    </row>
    <row r="153" spans="1:6" x14ac:dyDescent="0.25">
      <c r="A153" s="3">
        <v>2017</v>
      </c>
      <c r="B153" s="3" t="s">
        <v>222</v>
      </c>
      <c r="C153" s="4" t="s">
        <v>106</v>
      </c>
      <c r="D153" s="5">
        <v>117440</v>
      </c>
      <c r="E153" s="4" t="s">
        <v>47</v>
      </c>
      <c r="F153" s="6" t="s">
        <v>69</v>
      </c>
    </row>
    <row r="154" spans="1:6" x14ac:dyDescent="0.25">
      <c r="A154" s="3">
        <v>2017</v>
      </c>
      <c r="B154" s="3" t="s">
        <v>222</v>
      </c>
      <c r="C154" s="4" t="s">
        <v>106</v>
      </c>
      <c r="D154" s="5">
        <v>153700</v>
      </c>
      <c r="E154" s="4" t="s">
        <v>50</v>
      </c>
      <c r="F154" s="6" t="s">
        <v>70</v>
      </c>
    </row>
    <row r="155" spans="1:6" x14ac:dyDescent="0.25">
      <c r="A155" s="3">
        <v>2017</v>
      </c>
      <c r="B155" s="3" t="s">
        <v>222</v>
      </c>
      <c r="C155" s="4" t="s">
        <v>106</v>
      </c>
      <c r="D155" s="5">
        <v>59899</v>
      </c>
      <c r="E155" s="4" t="s">
        <v>50</v>
      </c>
      <c r="F155" s="6" t="s">
        <v>71</v>
      </c>
    </row>
    <row r="156" spans="1:6" x14ac:dyDescent="0.25">
      <c r="A156" s="3">
        <v>2017</v>
      </c>
      <c r="B156" s="3" t="s">
        <v>222</v>
      </c>
      <c r="C156" s="4" t="s">
        <v>106</v>
      </c>
      <c r="D156" s="5">
        <v>59899</v>
      </c>
      <c r="E156" s="4" t="s">
        <v>54</v>
      </c>
      <c r="F156" s="6" t="s">
        <v>72</v>
      </c>
    </row>
    <row r="157" spans="1:6" x14ac:dyDescent="0.25">
      <c r="A157" s="3">
        <v>2017</v>
      </c>
      <c r="B157" s="3" t="s">
        <v>222</v>
      </c>
      <c r="C157" s="4" t="s">
        <v>106</v>
      </c>
      <c r="D157" s="5">
        <v>59899</v>
      </c>
      <c r="E157" s="4" t="s">
        <v>54</v>
      </c>
      <c r="F157" s="6" t="s">
        <v>73</v>
      </c>
    </row>
    <row r="158" spans="1:6" ht="30" x14ac:dyDescent="0.25">
      <c r="A158" s="3">
        <v>2017</v>
      </c>
      <c r="B158" s="3" t="s">
        <v>222</v>
      </c>
      <c r="C158" s="4" t="s">
        <v>106</v>
      </c>
      <c r="D158" s="5">
        <v>99093</v>
      </c>
      <c r="E158" s="4" t="s">
        <v>47</v>
      </c>
      <c r="F158" s="6" t="s">
        <v>74</v>
      </c>
    </row>
    <row r="159" spans="1:6" x14ac:dyDescent="0.25">
      <c r="A159" s="3">
        <v>2017</v>
      </c>
      <c r="B159" s="3" t="s">
        <v>222</v>
      </c>
      <c r="C159" s="4" t="s">
        <v>106</v>
      </c>
      <c r="D159" s="5">
        <v>99093</v>
      </c>
      <c r="E159" s="4" t="s">
        <v>47</v>
      </c>
      <c r="F159" s="6" t="s">
        <v>75</v>
      </c>
    </row>
    <row r="160" spans="1:6" x14ac:dyDescent="0.25">
      <c r="A160" s="3">
        <v>2017</v>
      </c>
      <c r="B160" s="3" t="s">
        <v>222</v>
      </c>
      <c r="C160" s="4" t="s">
        <v>106</v>
      </c>
      <c r="D160" s="5">
        <v>99093</v>
      </c>
      <c r="E160" s="4" t="s">
        <v>54</v>
      </c>
      <c r="F160" s="6" t="s">
        <v>76</v>
      </c>
    </row>
    <row r="161" spans="1:6" ht="30" x14ac:dyDescent="0.25">
      <c r="A161" s="3">
        <v>2017</v>
      </c>
      <c r="B161" s="3" t="s">
        <v>222</v>
      </c>
      <c r="C161" s="4" t="s">
        <v>106</v>
      </c>
      <c r="D161" s="5">
        <v>70375</v>
      </c>
      <c r="E161" s="4" t="s">
        <v>63</v>
      </c>
      <c r="F161" s="6" t="s">
        <v>77</v>
      </c>
    </row>
    <row r="162" spans="1:6" ht="45" x14ac:dyDescent="0.25">
      <c r="A162" s="3">
        <v>2017</v>
      </c>
      <c r="B162" s="3" t="s">
        <v>222</v>
      </c>
      <c r="C162" s="4" t="s">
        <v>106</v>
      </c>
      <c r="D162" s="5">
        <v>117671</v>
      </c>
      <c r="E162" s="4" t="s">
        <v>50</v>
      </c>
      <c r="F162" s="6" t="s">
        <v>107</v>
      </c>
    </row>
    <row r="163" spans="1:6" ht="45" x14ac:dyDescent="0.25">
      <c r="A163" s="3">
        <v>2017</v>
      </c>
      <c r="B163" s="3" t="s">
        <v>222</v>
      </c>
      <c r="C163" s="4" t="s">
        <v>106</v>
      </c>
      <c r="D163" s="5">
        <v>117671</v>
      </c>
      <c r="E163" s="4" t="s">
        <v>50</v>
      </c>
      <c r="F163" s="6" t="s">
        <v>108</v>
      </c>
    </row>
    <row r="164" spans="1:6" ht="30" x14ac:dyDescent="0.25">
      <c r="A164" s="3">
        <v>2017</v>
      </c>
      <c r="B164" s="3" t="s">
        <v>222</v>
      </c>
      <c r="C164" s="4" t="s">
        <v>106</v>
      </c>
      <c r="D164" s="5">
        <v>117671</v>
      </c>
      <c r="E164" s="4" t="s">
        <v>63</v>
      </c>
      <c r="F164" s="6" t="s">
        <v>109</v>
      </c>
    </row>
    <row r="165" spans="1:6" x14ac:dyDescent="0.25">
      <c r="A165" s="3">
        <v>2017</v>
      </c>
      <c r="B165" s="3" t="s">
        <v>222</v>
      </c>
      <c r="C165" s="4" t="s">
        <v>106</v>
      </c>
      <c r="D165" s="5">
        <v>114603</v>
      </c>
      <c r="E165" s="4" t="s">
        <v>47</v>
      </c>
      <c r="F165" s="6" t="s">
        <v>110</v>
      </c>
    </row>
    <row r="166" spans="1:6" x14ac:dyDescent="0.25">
      <c r="A166" s="3">
        <v>2017</v>
      </c>
      <c r="B166" s="3" t="s">
        <v>222</v>
      </c>
      <c r="C166" s="4" t="s">
        <v>106</v>
      </c>
      <c r="D166" s="5">
        <v>101071</v>
      </c>
      <c r="E166" s="4" t="s">
        <v>47</v>
      </c>
      <c r="F166" s="6" t="s">
        <v>111</v>
      </c>
    </row>
    <row r="167" spans="1:6" x14ac:dyDescent="0.25">
      <c r="A167" s="3">
        <v>2017</v>
      </c>
      <c r="B167" s="3" t="s">
        <v>222</v>
      </c>
      <c r="C167" s="4" t="s">
        <v>106</v>
      </c>
      <c r="D167" s="5">
        <v>101071</v>
      </c>
      <c r="E167" s="4" t="s">
        <v>47</v>
      </c>
      <c r="F167" s="6" t="s">
        <v>112</v>
      </c>
    </row>
    <row r="168" spans="1:6" x14ac:dyDescent="0.25">
      <c r="A168" s="3">
        <v>2017</v>
      </c>
      <c r="B168" s="3" t="s">
        <v>222</v>
      </c>
      <c r="C168" s="4" t="s">
        <v>106</v>
      </c>
      <c r="D168" s="5">
        <v>101071</v>
      </c>
      <c r="E168" s="4" t="s">
        <v>50</v>
      </c>
      <c r="F168" s="6" t="s">
        <v>113</v>
      </c>
    </row>
    <row r="169" spans="1:6" ht="60" x14ac:dyDescent="0.25">
      <c r="A169" s="3">
        <v>2017</v>
      </c>
      <c r="B169" s="3" t="s">
        <v>222</v>
      </c>
      <c r="C169" s="4" t="s">
        <v>106</v>
      </c>
      <c r="D169" s="5">
        <v>101071</v>
      </c>
      <c r="E169" s="4" t="s">
        <v>63</v>
      </c>
      <c r="F169" s="6" t="s">
        <v>114</v>
      </c>
    </row>
    <row r="170" spans="1:6" x14ac:dyDescent="0.25">
      <c r="A170" s="3">
        <v>2017</v>
      </c>
      <c r="B170" s="3" t="s">
        <v>222</v>
      </c>
      <c r="C170" s="4" t="s">
        <v>106</v>
      </c>
      <c r="D170" s="5">
        <v>101071</v>
      </c>
      <c r="E170" s="4" t="s">
        <v>54</v>
      </c>
      <c r="F170" s="6" t="s">
        <v>115</v>
      </c>
    </row>
    <row r="171" spans="1:6" x14ac:dyDescent="0.25">
      <c r="A171" s="3">
        <v>2017</v>
      </c>
      <c r="B171" s="3" t="s">
        <v>222</v>
      </c>
      <c r="C171" s="4" t="s">
        <v>106</v>
      </c>
      <c r="D171" s="5">
        <v>110569</v>
      </c>
      <c r="E171" s="4" t="s">
        <v>47</v>
      </c>
      <c r="F171" s="6" t="s">
        <v>86</v>
      </c>
    </row>
    <row r="172" spans="1:6" ht="60" x14ac:dyDescent="0.25">
      <c r="A172" s="3">
        <v>2017</v>
      </c>
      <c r="B172" s="3" t="s">
        <v>222</v>
      </c>
      <c r="C172" s="4" t="s">
        <v>106</v>
      </c>
      <c r="D172" s="5">
        <v>110569</v>
      </c>
      <c r="E172" s="4" t="s">
        <v>47</v>
      </c>
      <c r="F172" s="6" t="s">
        <v>116</v>
      </c>
    </row>
    <row r="173" spans="1:6" ht="75" x14ac:dyDescent="0.25">
      <c r="A173" s="3">
        <v>2017</v>
      </c>
      <c r="B173" s="3" t="s">
        <v>222</v>
      </c>
      <c r="C173" s="4" t="s">
        <v>106</v>
      </c>
      <c r="D173" s="5">
        <v>110569</v>
      </c>
      <c r="E173" s="4" t="s">
        <v>50</v>
      </c>
      <c r="F173" s="6" t="s">
        <v>117</v>
      </c>
    </row>
    <row r="174" spans="1:6" x14ac:dyDescent="0.25">
      <c r="A174" s="3">
        <v>2017</v>
      </c>
      <c r="B174" s="3" t="s">
        <v>222</v>
      </c>
      <c r="C174" s="4" t="s">
        <v>106</v>
      </c>
      <c r="D174" s="5">
        <v>117465</v>
      </c>
      <c r="E174" s="4" t="s">
        <v>54</v>
      </c>
      <c r="F174" s="6" t="s">
        <v>118</v>
      </c>
    </row>
    <row r="175" spans="1:6" x14ac:dyDescent="0.25">
      <c r="A175" s="3">
        <v>2017</v>
      </c>
      <c r="B175" s="3" t="s">
        <v>222</v>
      </c>
      <c r="C175" s="4" t="s">
        <v>106</v>
      </c>
      <c r="D175" s="5">
        <v>121681</v>
      </c>
      <c r="E175" s="4" t="s">
        <v>47</v>
      </c>
      <c r="F175" s="6" t="s">
        <v>119</v>
      </c>
    </row>
    <row r="176" spans="1:6" x14ac:dyDescent="0.25">
      <c r="A176" s="3">
        <v>2017</v>
      </c>
      <c r="B176" s="3" t="s">
        <v>222</v>
      </c>
      <c r="C176" s="4" t="s">
        <v>106</v>
      </c>
      <c r="D176" s="5">
        <v>121681</v>
      </c>
      <c r="E176" s="4" t="s">
        <v>50</v>
      </c>
      <c r="F176" s="6" t="s">
        <v>120</v>
      </c>
    </row>
    <row r="177" spans="1:6" x14ac:dyDescent="0.25">
      <c r="A177" s="3">
        <v>2017</v>
      </c>
      <c r="B177" s="3" t="s">
        <v>222</v>
      </c>
      <c r="C177" s="4" t="s">
        <v>106</v>
      </c>
      <c r="D177" s="5">
        <v>121681</v>
      </c>
      <c r="E177" s="4" t="s">
        <v>54</v>
      </c>
      <c r="F177" s="6" t="s">
        <v>121</v>
      </c>
    </row>
    <row r="178" spans="1:6" ht="30" x14ac:dyDescent="0.25">
      <c r="A178" s="3">
        <v>2017</v>
      </c>
      <c r="B178" s="3" t="s">
        <v>222</v>
      </c>
      <c r="C178" s="4" t="s">
        <v>106</v>
      </c>
      <c r="D178" s="5">
        <v>150441</v>
      </c>
      <c r="E178" s="4" t="s">
        <v>47</v>
      </c>
      <c r="F178" s="6" t="s">
        <v>122</v>
      </c>
    </row>
    <row r="179" spans="1:6" x14ac:dyDescent="0.25">
      <c r="A179" s="3">
        <v>2017</v>
      </c>
      <c r="B179" s="3" t="s">
        <v>222</v>
      </c>
      <c r="C179" s="4" t="s">
        <v>106</v>
      </c>
      <c r="D179" s="5">
        <v>150441</v>
      </c>
      <c r="E179" s="4" t="s">
        <v>47</v>
      </c>
      <c r="F179" s="6" t="s">
        <v>123</v>
      </c>
    </row>
    <row r="180" spans="1:6" x14ac:dyDescent="0.25">
      <c r="A180" s="3">
        <v>2017</v>
      </c>
      <c r="B180" s="3" t="s">
        <v>222</v>
      </c>
      <c r="C180" s="4" t="s">
        <v>106</v>
      </c>
      <c r="D180" s="5">
        <v>150441</v>
      </c>
      <c r="E180" s="4" t="s">
        <v>47</v>
      </c>
      <c r="F180" s="6" t="s">
        <v>124</v>
      </c>
    </row>
    <row r="181" spans="1:6" x14ac:dyDescent="0.25">
      <c r="A181" s="3">
        <v>2017</v>
      </c>
      <c r="B181" s="3" t="s">
        <v>222</v>
      </c>
      <c r="C181" s="4" t="s">
        <v>106</v>
      </c>
      <c r="D181" s="5">
        <v>150441</v>
      </c>
      <c r="E181" s="4" t="s">
        <v>47</v>
      </c>
      <c r="F181" s="6" t="s">
        <v>125</v>
      </c>
    </row>
    <row r="182" spans="1:6" x14ac:dyDescent="0.25">
      <c r="A182" s="3">
        <v>2017</v>
      </c>
      <c r="B182" s="3" t="s">
        <v>222</v>
      </c>
      <c r="C182" s="4" t="s">
        <v>106</v>
      </c>
      <c r="D182" s="5">
        <v>152587</v>
      </c>
      <c r="E182" s="4" t="s">
        <v>47</v>
      </c>
      <c r="F182" s="6" t="s">
        <v>126</v>
      </c>
    </row>
    <row r="183" spans="1:6" ht="30" x14ac:dyDescent="0.25">
      <c r="A183" s="3">
        <v>2017</v>
      </c>
      <c r="B183" s="3" t="s">
        <v>222</v>
      </c>
      <c r="C183" s="4" t="s">
        <v>106</v>
      </c>
      <c r="D183" s="5">
        <v>152587</v>
      </c>
      <c r="E183" s="4" t="s">
        <v>63</v>
      </c>
      <c r="F183" s="6" t="s">
        <v>127</v>
      </c>
    </row>
    <row r="184" spans="1:6" ht="45" x14ac:dyDescent="0.25">
      <c r="A184" s="3">
        <v>2017</v>
      </c>
      <c r="B184" s="3" t="s">
        <v>222</v>
      </c>
      <c r="C184" s="4" t="s">
        <v>106</v>
      </c>
      <c r="D184" s="5">
        <v>152587</v>
      </c>
      <c r="E184" s="4" t="s">
        <v>63</v>
      </c>
      <c r="F184" s="6" t="s">
        <v>128</v>
      </c>
    </row>
    <row r="185" spans="1:6" x14ac:dyDescent="0.25">
      <c r="A185" s="3">
        <v>2017</v>
      </c>
      <c r="B185" s="3" t="s">
        <v>222</v>
      </c>
      <c r="C185" s="4" t="s">
        <v>106</v>
      </c>
      <c r="D185" s="5">
        <v>152587</v>
      </c>
      <c r="E185" s="4" t="s">
        <v>63</v>
      </c>
      <c r="F185" s="6" t="s">
        <v>129</v>
      </c>
    </row>
    <row r="186" spans="1:6" x14ac:dyDescent="0.25">
      <c r="A186" s="3">
        <v>2017</v>
      </c>
      <c r="B186" s="3" t="s">
        <v>222</v>
      </c>
      <c r="C186" s="4" t="s">
        <v>106</v>
      </c>
      <c r="D186" s="5">
        <v>153700</v>
      </c>
      <c r="E186" s="4" t="s">
        <v>50</v>
      </c>
      <c r="F186" s="6" t="s">
        <v>130</v>
      </c>
    </row>
    <row r="187" spans="1:6" ht="30" x14ac:dyDescent="0.25">
      <c r="A187" s="3">
        <v>2017</v>
      </c>
      <c r="B187" s="3" t="s">
        <v>222</v>
      </c>
      <c r="C187" s="4" t="s">
        <v>106</v>
      </c>
      <c r="D187" s="5">
        <v>153700</v>
      </c>
      <c r="E187" s="4" t="s">
        <v>63</v>
      </c>
      <c r="F187" s="6" t="s">
        <v>131</v>
      </c>
    </row>
    <row r="188" spans="1:6" x14ac:dyDescent="0.25">
      <c r="A188" s="3">
        <v>2017</v>
      </c>
      <c r="B188" s="3" t="s">
        <v>222</v>
      </c>
      <c r="C188" s="4" t="s">
        <v>106</v>
      </c>
      <c r="D188" s="5">
        <v>70375</v>
      </c>
      <c r="E188" s="4" t="s">
        <v>47</v>
      </c>
      <c r="F188" s="6" t="s">
        <v>132</v>
      </c>
    </row>
    <row r="189" spans="1:6" x14ac:dyDescent="0.25">
      <c r="A189" s="3">
        <v>2017</v>
      </c>
      <c r="B189" s="3" t="s">
        <v>222</v>
      </c>
      <c r="C189" s="4" t="s">
        <v>106</v>
      </c>
      <c r="D189" s="5">
        <v>70375</v>
      </c>
      <c r="E189" s="4" t="s">
        <v>50</v>
      </c>
      <c r="F189" s="6" t="s">
        <v>133</v>
      </c>
    </row>
    <row r="190" spans="1:6" x14ac:dyDescent="0.25">
      <c r="A190" s="3">
        <v>2017</v>
      </c>
      <c r="B190" s="3" t="s">
        <v>222</v>
      </c>
      <c r="C190" s="4" t="s">
        <v>106</v>
      </c>
      <c r="D190" s="5">
        <v>99911</v>
      </c>
      <c r="E190" s="4" t="s">
        <v>47</v>
      </c>
      <c r="F190" s="6" t="s">
        <v>134</v>
      </c>
    </row>
    <row r="191" spans="1:6" x14ac:dyDescent="0.25">
      <c r="A191" s="3">
        <v>2017</v>
      </c>
      <c r="B191" s="3" t="s">
        <v>222</v>
      </c>
      <c r="C191" s="4" t="s">
        <v>106</v>
      </c>
      <c r="D191" s="5">
        <v>99911</v>
      </c>
      <c r="E191" s="4" t="s">
        <v>50</v>
      </c>
      <c r="F191" s="6" t="s">
        <v>135</v>
      </c>
    </row>
    <row r="192" spans="1:6" x14ac:dyDescent="0.25">
      <c r="A192" s="3">
        <v>2017</v>
      </c>
      <c r="B192" s="3" t="s">
        <v>222</v>
      </c>
      <c r="C192" s="4" t="s">
        <v>106</v>
      </c>
      <c r="D192" s="5">
        <v>177162</v>
      </c>
      <c r="E192" s="4" t="s">
        <v>47</v>
      </c>
      <c r="F192" s="6" t="s">
        <v>136</v>
      </c>
    </row>
    <row r="193" spans="1:6" ht="60" x14ac:dyDescent="0.25">
      <c r="A193" s="3">
        <v>2017</v>
      </c>
      <c r="B193" s="3" t="s">
        <v>222</v>
      </c>
      <c r="C193" s="4" t="s">
        <v>106</v>
      </c>
      <c r="D193" s="5">
        <v>177162</v>
      </c>
      <c r="E193" s="4" t="s">
        <v>50</v>
      </c>
      <c r="F193" s="6" t="s">
        <v>137</v>
      </c>
    </row>
    <row r="194" spans="1:6" ht="30" x14ac:dyDescent="0.25">
      <c r="A194" s="3">
        <v>2017</v>
      </c>
      <c r="B194" s="3" t="s">
        <v>222</v>
      </c>
      <c r="C194" s="4" t="s">
        <v>106</v>
      </c>
      <c r="D194" s="5">
        <v>177162</v>
      </c>
      <c r="E194" s="4" t="s">
        <v>63</v>
      </c>
      <c r="F194" s="6" t="s">
        <v>138</v>
      </c>
    </row>
    <row r="195" spans="1:6" x14ac:dyDescent="0.25">
      <c r="A195" s="3">
        <v>2017</v>
      </c>
      <c r="B195" s="3" t="s">
        <v>222</v>
      </c>
      <c r="C195" s="4" t="s">
        <v>106</v>
      </c>
      <c r="D195" s="5">
        <v>117671</v>
      </c>
      <c r="E195" s="4" t="s">
        <v>47</v>
      </c>
      <c r="F195" s="6" t="s">
        <v>161</v>
      </c>
    </row>
    <row r="196" spans="1:6" ht="30" x14ac:dyDescent="0.25">
      <c r="A196" s="3">
        <v>2017</v>
      </c>
      <c r="B196" s="3" t="s">
        <v>222</v>
      </c>
      <c r="C196" s="4" t="s">
        <v>106</v>
      </c>
      <c r="D196" s="5">
        <v>117671</v>
      </c>
      <c r="E196" s="4" t="s">
        <v>63</v>
      </c>
      <c r="F196" s="6" t="s">
        <v>162</v>
      </c>
    </row>
    <row r="197" spans="1:6" ht="30" x14ac:dyDescent="0.25">
      <c r="A197" s="3">
        <v>2017</v>
      </c>
      <c r="B197" s="3" t="s">
        <v>222</v>
      </c>
      <c r="C197" s="4" t="s">
        <v>106</v>
      </c>
      <c r="D197" s="5">
        <v>104133</v>
      </c>
      <c r="E197" s="4" t="s">
        <v>47</v>
      </c>
      <c r="F197" s="6" t="s">
        <v>163</v>
      </c>
    </row>
    <row r="198" spans="1:6" x14ac:dyDescent="0.25">
      <c r="A198" s="3">
        <v>2017</v>
      </c>
      <c r="B198" s="3" t="s">
        <v>222</v>
      </c>
      <c r="C198" s="4" t="s">
        <v>106</v>
      </c>
      <c r="D198" s="5">
        <v>104133</v>
      </c>
      <c r="E198" s="4" t="s">
        <v>47</v>
      </c>
      <c r="F198" s="6" t="s">
        <v>164</v>
      </c>
    </row>
    <row r="199" spans="1:6" x14ac:dyDescent="0.25">
      <c r="A199" s="3">
        <v>2017</v>
      </c>
      <c r="B199" s="3" t="s">
        <v>222</v>
      </c>
      <c r="C199" s="4" t="s">
        <v>106</v>
      </c>
      <c r="D199" s="5">
        <v>104133</v>
      </c>
      <c r="E199" s="4" t="s">
        <v>47</v>
      </c>
      <c r="F199" s="6" t="s">
        <v>165</v>
      </c>
    </row>
    <row r="200" spans="1:6" x14ac:dyDescent="0.25">
      <c r="A200" s="3">
        <v>2017</v>
      </c>
      <c r="B200" s="3" t="s">
        <v>222</v>
      </c>
      <c r="C200" s="4" t="s">
        <v>106</v>
      </c>
      <c r="D200" s="5">
        <v>114603</v>
      </c>
      <c r="E200" s="4" t="s">
        <v>47</v>
      </c>
      <c r="F200" s="6" t="s">
        <v>166</v>
      </c>
    </row>
    <row r="201" spans="1:6" x14ac:dyDescent="0.25">
      <c r="A201" s="3">
        <v>2017</v>
      </c>
      <c r="B201" s="3" t="s">
        <v>222</v>
      </c>
      <c r="C201" s="4" t="s">
        <v>106</v>
      </c>
      <c r="D201" s="5">
        <v>114603</v>
      </c>
      <c r="E201" s="4" t="s">
        <v>47</v>
      </c>
      <c r="F201" s="6" t="s">
        <v>167</v>
      </c>
    </row>
    <row r="202" spans="1:6" ht="30" x14ac:dyDescent="0.25">
      <c r="A202" s="3">
        <v>2017</v>
      </c>
      <c r="B202" s="3" t="s">
        <v>222</v>
      </c>
      <c r="C202" s="4" t="s">
        <v>106</v>
      </c>
      <c r="D202" s="5">
        <v>114603</v>
      </c>
      <c r="E202" s="4" t="s">
        <v>63</v>
      </c>
      <c r="F202" s="6" t="s">
        <v>168</v>
      </c>
    </row>
    <row r="203" spans="1:6" x14ac:dyDescent="0.25">
      <c r="A203" s="3">
        <v>2017</v>
      </c>
      <c r="B203" s="3" t="s">
        <v>222</v>
      </c>
      <c r="C203" s="4" t="s">
        <v>106</v>
      </c>
      <c r="D203" s="5">
        <v>114603</v>
      </c>
      <c r="E203" s="4" t="s">
        <v>54</v>
      </c>
      <c r="F203" s="6" t="s">
        <v>169</v>
      </c>
    </row>
    <row r="204" spans="1:6" ht="30" x14ac:dyDescent="0.25">
      <c r="A204" s="3">
        <v>2017</v>
      </c>
      <c r="B204" s="3" t="s">
        <v>222</v>
      </c>
      <c r="C204" s="4" t="s">
        <v>106</v>
      </c>
      <c r="D204" s="5">
        <v>101071</v>
      </c>
      <c r="E204" s="4" t="s">
        <v>50</v>
      </c>
      <c r="F204" s="6" t="s">
        <v>170</v>
      </c>
    </row>
    <row r="205" spans="1:6" x14ac:dyDescent="0.25">
      <c r="A205" s="3">
        <v>2017</v>
      </c>
      <c r="B205" s="3" t="s">
        <v>222</v>
      </c>
      <c r="C205" s="4" t="s">
        <v>106</v>
      </c>
      <c r="D205" s="5">
        <v>101071</v>
      </c>
      <c r="E205" s="4" t="s">
        <v>50</v>
      </c>
      <c r="F205" s="6" t="s">
        <v>171</v>
      </c>
    </row>
    <row r="206" spans="1:6" x14ac:dyDescent="0.25">
      <c r="A206" s="3">
        <v>2017</v>
      </c>
      <c r="B206" s="3" t="s">
        <v>222</v>
      </c>
      <c r="C206" s="4" t="s">
        <v>106</v>
      </c>
      <c r="D206" s="5">
        <v>110569</v>
      </c>
      <c r="E206" s="4" t="s">
        <v>47</v>
      </c>
      <c r="F206" s="6" t="s">
        <v>86</v>
      </c>
    </row>
    <row r="207" spans="1:6" x14ac:dyDescent="0.25">
      <c r="A207" s="3">
        <v>2017</v>
      </c>
      <c r="B207" s="3" t="s">
        <v>222</v>
      </c>
      <c r="C207" s="4" t="s">
        <v>106</v>
      </c>
      <c r="D207" s="5">
        <v>110569</v>
      </c>
      <c r="E207" s="4" t="s">
        <v>47</v>
      </c>
      <c r="F207" s="6" t="s">
        <v>172</v>
      </c>
    </row>
    <row r="208" spans="1:6" x14ac:dyDescent="0.25">
      <c r="A208" s="3">
        <v>2017</v>
      </c>
      <c r="B208" s="3" t="s">
        <v>222</v>
      </c>
      <c r="C208" s="4" t="s">
        <v>106</v>
      </c>
      <c r="D208" s="5">
        <v>110569</v>
      </c>
      <c r="E208" s="4" t="s">
        <v>50</v>
      </c>
      <c r="F208" s="6" t="s">
        <v>173</v>
      </c>
    </row>
    <row r="209" spans="1:6" ht="30" x14ac:dyDescent="0.25">
      <c r="A209" s="3">
        <v>2017</v>
      </c>
      <c r="B209" s="3" t="s">
        <v>222</v>
      </c>
      <c r="C209" s="4" t="s">
        <v>106</v>
      </c>
      <c r="D209" s="5">
        <v>117465</v>
      </c>
      <c r="E209" s="4" t="s">
        <v>50</v>
      </c>
      <c r="F209" s="6" t="s">
        <v>174</v>
      </c>
    </row>
    <row r="210" spans="1:6" ht="30" x14ac:dyDescent="0.25">
      <c r="A210" s="3">
        <v>2017</v>
      </c>
      <c r="B210" s="3" t="s">
        <v>222</v>
      </c>
      <c r="C210" s="4" t="s">
        <v>106</v>
      </c>
      <c r="D210" s="5">
        <v>117465</v>
      </c>
      <c r="E210" s="4" t="s">
        <v>50</v>
      </c>
      <c r="F210" s="6" t="s">
        <v>175</v>
      </c>
    </row>
    <row r="211" spans="1:6" ht="30" x14ac:dyDescent="0.25">
      <c r="A211" s="3">
        <v>2017</v>
      </c>
      <c r="B211" s="3" t="s">
        <v>222</v>
      </c>
      <c r="C211" s="4" t="s">
        <v>106</v>
      </c>
      <c r="D211" s="5">
        <v>121681</v>
      </c>
      <c r="E211" s="4" t="s">
        <v>50</v>
      </c>
      <c r="F211" s="6" t="s">
        <v>176</v>
      </c>
    </row>
    <row r="212" spans="1:6" ht="30" x14ac:dyDescent="0.25">
      <c r="A212" s="3">
        <v>2017</v>
      </c>
      <c r="B212" s="3" t="s">
        <v>222</v>
      </c>
      <c r="C212" s="4" t="s">
        <v>106</v>
      </c>
      <c r="D212" s="5">
        <v>121681</v>
      </c>
      <c r="E212" s="4" t="s">
        <v>63</v>
      </c>
      <c r="F212" s="6" t="s">
        <v>177</v>
      </c>
    </row>
    <row r="213" spans="1:6" x14ac:dyDescent="0.25">
      <c r="A213" s="3">
        <v>2017</v>
      </c>
      <c r="B213" s="3" t="s">
        <v>222</v>
      </c>
      <c r="C213" s="4" t="s">
        <v>106</v>
      </c>
      <c r="D213" s="5">
        <v>103275</v>
      </c>
      <c r="E213" s="4" t="s">
        <v>47</v>
      </c>
      <c r="F213" s="6" t="s">
        <v>178</v>
      </c>
    </row>
    <row r="214" spans="1:6" x14ac:dyDescent="0.25">
      <c r="A214" s="3">
        <v>2017</v>
      </c>
      <c r="B214" s="3" t="s">
        <v>222</v>
      </c>
      <c r="C214" s="4" t="s">
        <v>106</v>
      </c>
      <c r="D214" s="5">
        <v>103275</v>
      </c>
      <c r="E214" s="4" t="s">
        <v>47</v>
      </c>
      <c r="F214" s="6" t="s">
        <v>179</v>
      </c>
    </row>
    <row r="215" spans="1:6" x14ac:dyDescent="0.25">
      <c r="A215" s="3">
        <v>2017</v>
      </c>
      <c r="B215" s="3" t="s">
        <v>222</v>
      </c>
      <c r="C215" s="4" t="s">
        <v>106</v>
      </c>
      <c r="D215" s="5">
        <v>150441</v>
      </c>
      <c r="E215" s="4" t="s">
        <v>54</v>
      </c>
      <c r="F215" s="6" t="s">
        <v>180</v>
      </c>
    </row>
    <row r="216" spans="1:6" x14ac:dyDescent="0.25">
      <c r="A216" s="3">
        <v>2017</v>
      </c>
      <c r="B216" s="3" t="s">
        <v>222</v>
      </c>
      <c r="C216" s="4" t="s">
        <v>106</v>
      </c>
      <c r="D216" s="5">
        <v>152587</v>
      </c>
      <c r="E216" s="4" t="s">
        <v>47</v>
      </c>
      <c r="F216" s="6" t="s">
        <v>151</v>
      </c>
    </row>
    <row r="217" spans="1:6" x14ac:dyDescent="0.25">
      <c r="A217" s="3">
        <v>2017</v>
      </c>
      <c r="B217" s="3" t="s">
        <v>222</v>
      </c>
      <c r="C217" s="4" t="s">
        <v>106</v>
      </c>
      <c r="D217" s="5">
        <v>152587</v>
      </c>
      <c r="E217" s="4" t="s">
        <v>47</v>
      </c>
      <c r="F217" s="6" t="s">
        <v>181</v>
      </c>
    </row>
    <row r="218" spans="1:6" ht="30" x14ac:dyDescent="0.25">
      <c r="A218" s="3">
        <v>2017</v>
      </c>
      <c r="B218" s="3" t="s">
        <v>222</v>
      </c>
      <c r="C218" s="4" t="s">
        <v>106</v>
      </c>
      <c r="D218" s="5">
        <v>152587</v>
      </c>
      <c r="E218" s="4" t="s">
        <v>50</v>
      </c>
      <c r="F218" s="6" t="s">
        <v>182</v>
      </c>
    </row>
    <row r="219" spans="1:6" x14ac:dyDescent="0.25">
      <c r="A219" s="3">
        <v>2017</v>
      </c>
      <c r="B219" s="3" t="s">
        <v>222</v>
      </c>
      <c r="C219" s="4" t="s">
        <v>106</v>
      </c>
      <c r="D219" s="5">
        <v>117440</v>
      </c>
      <c r="E219" s="4" t="s">
        <v>50</v>
      </c>
      <c r="F219" s="6" t="s">
        <v>183</v>
      </c>
    </row>
    <row r="220" spans="1:6" x14ac:dyDescent="0.25">
      <c r="A220" s="3">
        <v>2017</v>
      </c>
      <c r="B220" s="3" t="s">
        <v>222</v>
      </c>
      <c r="C220" s="4" t="s">
        <v>106</v>
      </c>
      <c r="D220" s="5">
        <v>153700</v>
      </c>
      <c r="E220" s="4" t="s">
        <v>47</v>
      </c>
      <c r="F220" s="6" t="s">
        <v>172</v>
      </c>
    </row>
    <row r="221" spans="1:6" ht="75" x14ac:dyDescent="0.25">
      <c r="A221" s="3">
        <v>2017</v>
      </c>
      <c r="B221" s="3" t="s">
        <v>222</v>
      </c>
      <c r="C221" s="4" t="s">
        <v>106</v>
      </c>
      <c r="D221" s="5">
        <v>153700</v>
      </c>
      <c r="E221" s="4" t="s">
        <v>63</v>
      </c>
      <c r="F221" s="6" t="s">
        <v>184</v>
      </c>
    </row>
    <row r="222" spans="1:6" x14ac:dyDescent="0.25">
      <c r="A222" s="3">
        <v>2017</v>
      </c>
      <c r="B222" s="3" t="s">
        <v>222</v>
      </c>
      <c r="C222" s="4" t="s">
        <v>106</v>
      </c>
      <c r="D222" s="5">
        <v>130674</v>
      </c>
      <c r="E222" s="4" t="s">
        <v>47</v>
      </c>
      <c r="F222" s="6" t="s">
        <v>185</v>
      </c>
    </row>
    <row r="223" spans="1:6" x14ac:dyDescent="0.25">
      <c r="A223" s="3">
        <v>2017</v>
      </c>
      <c r="B223" s="3" t="s">
        <v>222</v>
      </c>
      <c r="C223" s="4" t="s">
        <v>106</v>
      </c>
      <c r="D223" s="5">
        <v>130674</v>
      </c>
      <c r="E223" s="4" t="s">
        <v>47</v>
      </c>
      <c r="F223" s="6" t="s">
        <v>186</v>
      </c>
    </row>
    <row r="224" spans="1:6" ht="45" x14ac:dyDescent="0.25">
      <c r="A224" s="3">
        <v>2017</v>
      </c>
      <c r="B224" s="3" t="s">
        <v>222</v>
      </c>
      <c r="C224" s="4" t="s">
        <v>106</v>
      </c>
      <c r="D224" s="5">
        <v>130674</v>
      </c>
      <c r="E224" s="4" t="s">
        <v>50</v>
      </c>
      <c r="F224" s="6" t="s">
        <v>187</v>
      </c>
    </row>
    <row r="225" spans="1:6" ht="30" x14ac:dyDescent="0.25">
      <c r="A225" s="3">
        <v>2017</v>
      </c>
      <c r="B225" s="3" t="s">
        <v>222</v>
      </c>
      <c r="C225" s="4" t="s">
        <v>106</v>
      </c>
      <c r="D225" s="5">
        <v>59899</v>
      </c>
      <c r="E225" s="4" t="s">
        <v>47</v>
      </c>
      <c r="F225" s="6" t="s">
        <v>188</v>
      </c>
    </row>
    <row r="226" spans="1:6" x14ac:dyDescent="0.25">
      <c r="A226" s="3">
        <v>2017</v>
      </c>
      <c r="B226" s="3" t="s">
        <v>222</v>
      </c>
      <c r="C226" s="4" t="s">
        <v>106</v>
      </c>
      <c r="D226" s="5">
        <v>59899</v>
      </c>
      <c r="E226" s="4" t="s">
        <v>47</v>
      </c>
      <c r="F226" s="6" t="s">
        <v>189</v>
      </c>
    </row>
    <row r="227" spans="1:6" x14ac:dyDescent="0.25">
      <c r="A227" s="3">
        <v>2017</v>
      </c>
      <c r="B227" s="3" t="s">
        <v>222</v>
      </c>
      <c r="C227" s="4" t="s">
        <v>106</v>
      </c>
      <c r="D227" s="5">
        <v>99093</v>
      </c>
      <c r="E227" s="4" t="s">
        <v>47</v>
      </c>
      <c r="F227" s="6" t="s">
        <v>190</v>
      </c>
    </row>
    <row r="228" spans="1:6" ht="30" x14ac:dyDescent="0.25">
      <c r="A228" s="3">
        <v>2017</v>
      </c>
      <c r="B228" s="3" t="s">
        <v>222</v>
      </c>
      <c r="C228" s="4" t="s">
        <v>106</v>
      </c>
      <c r="D228" s="5">
        <v>99093</v>
      </c>
      <c r="E228" s="4" t="s">
        <v>47</v>
      </c>
      <c r="F228" s="6" t="s">
        <v>191</v>
      </c>
    </row>
    <row r="229" spans="1:6" x14ac:dyDescent="0.25">
      <c r="A229" s="3">
        <v>2017</v>
      </c>
      <c r="B229" s="3" t="s">
        <v>222</v>
      </c>
      <c r="C229" s="4" t="s">
        <v>106</v>
      </c>
      <c r="D229" s="5">
        <v>99093</v>
      </c>
      <c r="E229" s="4" t="s">
        <v>50</v>
      </c>
      <c r="F229" s="6" t="s">
        <v>192</v>
      </c>
    </row>
    <row r="230" spans="1:6" ht="90" x14ac:dyDescent="0.25">
      <c r="A230" s="3">
        <v>2017</v>
      </c>
      <c r="B230" s="3" t="s">
        <v>222</v>
      </c>
      <c r="C230" s="4" t="s">
        <v>106</v>
      </c>
      <c r="D230" s="5">
        <v>70375</v>
      </c>
      <c r="E230" s="4" t="s">
        <v>63</v>
      </c>
      <c r="F230" s="6" t="s">
        <v>193</v>
      </c>
    </row>
    <row r="231" spans="1:6" x14ac:dyDescent="0.25">
      <c r="A231" s="3">
        <v>2017</v>
      </c>
      <c r="B231" s="3" t="s">
        <v>222</v>
      </c>
      <c r="C231" s="4" t="s">
        <v>106</v>
      </c>
      <c r="D231" s="5">
        <v>70375</v>
      </c>
      <c r="E231" s="4" t="s">
        <v>54</v>
      </c>
      <c r="F231" s="6" t="s">
        <v>194</v>
      </c>
    </row>
    <row r="232" spans="1:6" x14ac:dyDescent="0.25">
      <c r="A232" s="3">
        <v>2017</v>
      </c>
      <c r="B232" s="3" t="s">
        <v>222</v>
      </c>
      <c r="C232" s="4" t="s">
        <v>106</v>
      </c>
      <c r="D232" s="5">
        <v>70359</v>
      </c>
      <c r="E232" s="4" t="s">
        <v>47</v>
      </c>
      <c r="F232" s="6" t="s">
        <v>195</v>
      </c>
    </row>
    <row r="233" spans="1:6" ht="75" x14ac:dyDescent="0.25">
      <c r="A233" s="3">
        <v>2017</v>
      </c>
      <c r="B233" s="3" t="s">
        <v>222</v>
      </c>
      <c r="C233" s="4" t="s">
        <v>106</v>
      </c>
      <c r="D233" s="5">
        <v>70359</v>
      </c>
      <c r="E233" s="4" t="s">
        <v>47</v>
      </c>
      <c r="F233" s="6" t="s">
        <v>196</v>
      </c>
    </row>
    <row r="234" spans="1:6" x14ac:dyDescent="0.25">
      <c r="A234" s="3">
        <v>2017</v>
      </c>
      <c r="B234" s="3" t="s">
        <v>222</v>
      </c>
      <c r="C234" s="4" t="s">
        <v>106</v>
      </c>
      <c r="D234" s="5">
        <v>70359</v>
      </c>
      <c r="E234" s="4" t="s">
        <v>50</v>
      </c>
      <c r="F234" s="6" t="s">
        <v>197</v>
      </c>
    </row>
    <row r="235" spans="1:6" x14ac:dyDescent="0.25">
      <c r="A235" s="3">
        <v>2017</v>
      </c>
      <c r="B235" s="3" t="s">
        <v>222</v>
      </c>
      <c r="C235" s="4" t="s">
        <v>106</v>
      </c>
      <c r="D235" s="5">
        <v>99911</v>
      </c>
      <c r="E235" s="4" t="s">
        <v>47</v>
      </c>
      <c r="F235" s="6" t="s">
        <v>198</v>
      </c>
    </row>
    <row r="236" spans="1:6" x14ac:dyDescent="0.25">
      <c r="A236" s="3">
        <v>2017</v>
      </c>
      <c r="B236" s="3" t="s">
        <v>222</v>
      </c>
      <c r="C236" s="4" t="s">
        <v>106</v>
      </c>
      <c r="D236" s="5">
        <v>99911</v>
      </c>
      <c r="E236" s="4" t="s">
        <v>47</v>
      </c>
      <c r="F236" s="6" t="s">
        <v>79</v>
      </c>
    </row>
    <row r="237" spans="1:6" x14ac:dyDescent="0.25">
      <c r="A237" s="3">
        <v>2017</v>
      </c>
      <c r="B237" s="3" t="s">
        <v>222</v>
      </c>
      <c r="C237" s="4" t="s">
        <v>106</v>
      </c>
      <c r="D237" s="5">
        <v>177162</v>
      </c>
      <c r="E237" s="4" t="s">
        <v>47</v>
      </c>
      <c r="F237" s="6" t="s">
        <v>199</v>
      </c>
    </row>
    <row r="238" spans="1:6" ht="30" x14ac:dyDescent="0.25">
      <c r="A238" s="3">
        <v>2017</v>
      </c>
      <c r="B238" s="3" t="s">
        <v>222</v>
      </c>
      <c r="C238" s="4" t="s">
        <v>106</v>
      </c>
      <c r="D238" s="5">
        <v>177162</v>
      </c>
      <c r="E238" s="4" t="s">
        <v>47</v>
      </c>
      <c r="F238" s="6" t="s">
        <v>200</v>
      </c>
    </row>
    <row r="239" spans="1:6" ht="30" x14ac:dyDescent="0.25">
      <c r="A239" s="3">
        <v>2017</v>
      </c>
      <c r="B239" s="3" t="s">
        <v>222</v>
      </c>
      <c r="C239" s="4" t="s">
        <v>106</v>
      </c>
      <c r="D239" s="5">
        <v>177162</v>
      </c>
      <c r="E239" s="4" t="s">
        <v>63</v>
      </c>
      <c r="F239" s="6" t="s">
        <v>201</v>
      </c>
    </row>
    <row r="240" spans="1:6" x14ac:dyDescent="0.25">
      <c r="A240" s="3">
        <v>2017</v>
      </c>
      <c r="B240" s="3" t="s">
        <v>222</v>
      </c>
      <c r="C240" s="4" t="s">
        <v>106</v>
      </c>
      <c r="D240" s="5">
        <v>177162</v>
      </c>
      <c r="E240" s="4" t="s">
        <v>54</v>
      </c>
      <c r="F240" s="6" t="s">
        <v>202</v>
      </c>
    </row>
    <row r="241" spans="1:6" x14ac:dyDescent="0.25">
      <c r="A241" s="3">
        <v>2017</v>
      </c>
      <c r="B241" s="3" t="s">
        <v>222</v>
      </c>
      <c r="C241" s="4" t="s">
        <v>106</v>
      </c>
      <c r="D241" s="5">
        <v>58222</v>
      </c>
      <c r="E241" s="4" t="s">
        <v>47</v>
      </c>
      <c r="F241" s="6" t="s">
        <v>203</v>
      </c>
    </row>
    <row r="242" spans="1:6" x14ac:dyDescent="0.25">
      <c r="A242" s="3">
        <v>2017</v>
      </c>
      <c r="B242" s="3" t="s">
        <v>222</v>
      </c>
      <c r="C242" s="4" t="s">
        <v>106</v>
      </c>
      <c r="D242" s="5">
        <v>89391</v>
      </c>
      <c r="E242" s="4" t="s">
        <v>47</v>
      </c>
      <c r="F242" s="6" t="s">
        <v>204</v>
      </c>
    </row>
    <row r="243" spans="1:6" x14ac:dyDescent="0.25">
      <c r="A243" s="3">
        <v>2017</v>
      </c>
      <c r="B243" s="3" t="s">
        <v>222</v>
      </c>
      <c r="C243" s="4" t="s">
        <v>106</v>
      </c>
      <c r="D243" s="5">
        <v>91405</v>
      </c>
      <c r="E243" s="4" t="s">
        <v>47</v>
      </c>
      <c r="F243" s="6" t="s">
        <v>205</v>
      </c>
    </row>
    <row r="244" spans="1:6" x14ac:dyDescent="0.25">
      <c r="A244" s="3">
        <v>2017</v>
      </c>
      <c r="B244" s="3" t="s">
        <v>222</v>
      </c>
      <c r="C244" s="4" t="s">
        <v>106</v>
      </c>
      <c r="D244" s="5">
        <v>91405</v>
      </c>
      <c r="E244" s="4" t="s">
        <v>47</v>
      </c>
      <c r="F244" s="6" t="s">
        <v>206</v>
      </c>
    </row>
    <row r="245" spans="1:6" x14ac:dyDescent="0.25">
      <c r="A245" s="3">
        <v>2017</v>
      </c>
      <c r="B245" s="3" t="s">
        <v>222</v>
      </c>
      <c r="C245" s="4" t="s">
        <v>106</v>
      </c>
      <c r="D245" s="5">
        <v>91405</v>
      </c>
      <c r="E245" s="4" t="s">
        <v>50</v>
      </c>
      <c r="F245" s="6" t="s">
        <v>207</v>
      </c>
    </row>
    <row r="246" spans="1:6" ht="30" x14ac:dyDescent="0.25">
      <c r="A246" s="3">
        <v>2017</v>
      </c>
      <c r="B246" s="3" t="s">
        <v>222</v>
      </c>
      <c r="C246" s="4" t="s">
        <v>106</v>
      </c>
      <c r="D246" s="5">
        <v>58321</v>
      </c>
      <c r="E246" s="4" t="s">
        <v>63</v>
      </c>
      <c r="F246" s="6" t="s">
        <v>208</v>
      </c>
    </row>
    <row r="247" spans="1:6" x14ac:dyDescent="0.25">
      <c r="A247" s="3">
        <v>2017</v>
      </c>
      <c r="B247" s="3" t="s">
        <v>222</v>
      </c>
      <c r="C247" s="4" t="s">
        <v>106</v>
      </c>
      <c r="D247" s="5">
        <v>23994</v>
      </c>
      <c r="E247" s="4" t="s">
        <v>47</v>
      </c>
      <c r="F247" s="6" t="s">
        <v>209</v>
      </c>
    </row>
    <row r="248" spans="1:6" ht="30" x14ac:dyDescent="0.25">
      <c r="A248" s="3">
        <v>2017</v>
      </c>
      <c r="B248" s="3" t="s">
        <v>222</v>
      </c>
      <c r="C248" s="4" t="s">
        <v>106</v>
      </c>
      <c r="D248" s="5">
        <v>23994</v>
      </c>
      <c r="E248" s="4" t="s">
        <v>47</v>
      </c>
      <c r="F248" s="6" t="s">
        <v>210</v>
      </c>
    </row>
    <row r="249" spans="1:6" ht="30" x14ac:dyDescent="0.25">
      <c r="A249" s="3">
        <v>2017</v>
      </c>
      <c r="B249" s="3" t="s">
        <v>222</v>
      </c>
      <c r="C249" s="4" t="s">
        <v>106</v>
      </c>
      <c r="D249" s="5">
        <v>23994</v>
      </c>
      <c r="E249" s="4" t="s">
        <v>50</v>
      </c>
      <c r="F249" s="6" t="s">
        <v>211</v>
      </c>
    </row>
    <row r="250" spans="1:6" ht="30" x14ac:dyDescent="0.25">
      <c r="A250" s="3">
        <v>2017</v>
      </c>
      <c r="B250" s="3" t="s">
        <v>222</v>
      </c>
      <c r="C250" s="4" t="s">
        <v>106</v>
      </c>
      <c r="D250" s="5">
        <v>23994</v>
      </c>
      <c r="E250" s="4" t="s">
        <v>50</v>
      </c>
      <c r="F250" s="6" t="s">
        <v>212</v>
      </c>
    </row>
    <row r="251" spans="1:6" x14ac:dyDescent="0.25">
      <c r="A251" s="3">
        <v>2017</v>
      </c>
      <c r="B251" s="3" t="s">
        <v>222</v>
      </c>
      <c r="C251" s="4" t="s">
        <v>106</v>
      </c>
      <c r="D251" s="5">
        <v>22673</v>
      </c>
      <c r="E251" s="4" t="s">
        <v>47</v>
      </c>
      <c r="F251" s="6" t="s">
        <v>213</v>
      </c>
    </row>
    <row r="252" spans="1:6" x14ac:dyDescent="0.25">
      <c r="A252" s="3">
        <v>2017</v>
      </c>
      <c r="B252" s="3" t="s">
        <v>222</v>
      </c>
      <c r="C252" s="4" t="s">
        <v>106</v>
      </c>
      <c r="D252" s="5">
        <v>22673</v>
      </c>
      <c r="E252" s="4" t="s">
        <v>47</v>
      </c>
      <c r="F252" s="6" t="s">
        <v>214</v>
      </c>
    </row>
    <row r="253" spans="1:6" x14ac:dyDescent="0.25">
      <c r="A253" s="3">
        <v>2017</v>
      </c>
      <c r="B253" s="3" t="s">
        <v>222</v>
      </c>
      <c r="C253" s="4" t="s">
        <v>106</v>
      </c>
      <c r="D253" s="5">
        <v>64022</v>
      </c>
      <c r="E253" s="4" t="s">
        <v>50</v>
      </c>
      <c r="F253" s="6" t="s">
        <v>215</v>
      </c>
    </row>
    <row r="254" spans="1:6" x14ac:dyDescent="0.25">
      <c r="A254" s="3">
        <v>2017</v>
      </c>
      <c r="B254" s="3" t="s">
        <v>222</v>
      </c>
      <c r="C254" s="4" t="s">
        <v>106</v>
      </c>
      <c r="D254" s="5">
        <v>64022</v>
      </c>
      <c r="E254" s="4" t="s">
        <v>54</v>
      </c>
      <c r="F254" s="6" t="s">
        <v>216</v>
      </c>
    </row>
    <row r="255" spans="1:6" ht="30" x14ac:dyDescent="0.25">
      <c r="A255" s="3">
        <v>2017</v>
      </c>
      <c r="B255" s="3" t="s">
        <v>222</v>
      </c>
      <c r="C255" s="4" t="s">
        <v>106</v>
      </c>
      <c r="D255" s="5">
        <v>88963</v>
      </c>
      <c r="E255" s="4" t="s">
        <v>47</v>
      </c>
      <c r="F255" s="6" t="s">
        <v>217</v>
      </c>
    </row>
    <row r="256" spans="1:6" x14ac:dyDescent="0.25">
      <c r="A256" s="3">
        <v>2017</v>
      </c>
      <c r="B256" s="3" t="s">
        <v>222</v>
      </c>
      <c r="C256" s="4" t="s">
        <v>106</v>
      </c>
      <c r="D256" s="5">
        <v>8888</v>
      </c>
      <c r="E256" s="4" t="s">
        <v>47</v>
      </c>
      <c r="F256" s="6" t="s">
        <v>218</v>
      </c>
    </row>
    <row r="257" spans="1:6" x14ac:dyDescent="0.25">
      <c r="A257" s="3">
        <v>2017</v>
      </c>
      <c r="B257" s="3" t="s">
        <v>222</v>
      </c>
      <c r="C257" s="4" t="s">
        <v>106</v>
      </c>
      <c r="D257" s="5">
        <v>8888</v>
      </c>
      <c r="E257" s="4" t="s">
        <v>50</v>
      </c>
      <c r="F257" s="6" t="s">
        <v>219</v>
      </c>
    </row>
    <row r="258" spans="1:6" x14ac:dyDescent="0.25">
      <c r="A258" s="3">
        <v>2017</v>
      </c>
      <c r="B258" s="3" t="s">
        <v>222</v>
      </c>
      <c r="C258" s="4" t="s">
        <v>106</v>
      </c>
      <c r="D258" s="5">
        <v>8888</v>
      </c>
      <c r="E258" s="4" t="s">
        <v>50</v>
      </c>
      <c r="F258" s="6" t="s">
        <v>220</v>
      </c>
    </row>
    <row r="259" spans="1:6" x14ac:dyDescent="0.25">
      <c r="A259" s="3">
        <v>2017</v>
      </c>
      <c r="B259" s="3" t="s">
        <v>222</v>
      </c>
      <c r="C259" s="4" t="s">
        <v>106</v>
      </c>
      <c r="D259" s="5">
        <v>8888</v>
      </c>
      <c r="E259" s="4" t="s">
        <v>54</v>
      </c>
      <c r="F259" s="6" t="s">
        <v>221</v>
      </c>
    </row>
    <row r="260" spans="1:6" x14ac:dyDescent="0.25">
      <c r="A260" s="3">
        <v>2017</v>
      </c>
      <c r="B260" s="3" t="s">
        <v>223</v>
      </c>
      <c r="C260" s="4" t="s">
        <v>106</v>
      </c>
      <c r="D260" s="5">
        <v>0</v>
      </c>
      <c r="E260" s="4" t="s">
        <v>224</v>
      </c>
      <c r="F260" s="4" t="s">
        <v>224</v>
      </c>
    </row>
    <row r="261" spans="1:6" x14ac:dyDescent="0.25">
      <c r="A261" s="3">
        <v>2017</v>
      </c>
      <c r="B261" s="3" t="s">
        <v>225</v>
      </c>
      <c r="C261" s="4" t="s">
        <v>106</v>
      </c>
      <c r="D261" s="5">
        <v>117671</v>
      </c>
      <c r="E261" s="4" t="s">
        <v>47</v>
      </c>
      <c r="F261" s="6" t="s">
        <v>161</v>
      </c>
    </row>
    <row r="262" spans="1:6" ht="30" x14ac:dyDescent="0.25">
      <c r="A262" s="3">
        <v>2017</v>
      </c>
      <c r="B262" s="3" t="s">
        <v>225</v>
      </c>
      <c r="C262" s="4" t="s">
        <v>106</v>
      </c>
      <c r="D262" s="5">
        <v>117671</v>
      </c>
      <c r="E262" s="4" t="s">
        <v>63</v>
      </c>
      <c r="F262" s="6" t="s">
        <v>162</v>
      </c>
    </row>
    <row r="263" spans="1:6" ht="30" x14ac:dyDescent="0.25">
      <c r="A263" s="3">
        <v>2017</v>
      </c>
      <c r="B263" s="3" t="s">
        <v>225</v>
      </c>
      <c r="C263" s="4" t="s">
        <v>106</v>
      </c>
      <c r="D263" s="5">
        <v>104133</v>
      </c>
      <c r="E263" s="4" t="s">
        <v>47</v>
      </c>
      <c r="F263" s="6" t="s">
        <v>163</v>
      </c>
    </row>
    <row r="264" spans="1:6" x14ac:dyDescent="0.25">
      <c r="A264" s="3">
        <v>2017</v>
      </c>
      <c r="B264" s="3" t="s">
        <v>225</v>
      </c>
      <c r="C264" s="4" t="s">
        <v>106</v>
      </c>
      <c r="D264" s="5">
        <v>104133</v>
      </c>
      <c r="E264" s="4" t="s">
        <v>47</v>
      </c>
      <c r="F264" s="6" t="s">
        <v>164</v>
      </c>
    </row>
    <row r="265" spans="1:6" x14ac:dyDescent="0.25">
      <c r="A265" s="3">
        <v>2017</v>
      </c>
      <c r="B265" s="3" t="s">
        <v>225</v>
      </c>
      <c r="C265" s="4" t="s">
        <v>106</v>
      </c>
      <c r="D265" s="5">
        <v>104133</v>
      </c>
      <c r="E265" s="4" t="s">
        <v>47</v>
      </c>
      <c r="F265" s="6" t="s">
        <v>165</v>
      </c>
    </row>
    <row r="266" spans="1:6" x14ac:dyDescent="0.25">
      <c r="A266" s="3">
        <v>2017</v>
      </c>
      <c r="B266" s="3" t="s">
        <v>225</v>
      </c>
      <c r="C266" s="4" t="s">
        <v>106</v>
      </c>
      <c r="D266" s="5">
        <v>114603</v>
      </c>
      <c r="E266" s="4" t="s">
        <v>47</v>
      </c>
      <c r="F266" s="6" t="s">
        <v>166</v>
      </c>
    </row>
    <row r="267" spans="1:6" x14ac:dyDescent="0.25">
      <c r="A267" s="3">
        <v>2017</v>
      </c>
      <c r="B267" s="3" t="s">
        <v>225</v>
      </c>
      <c r="C267" s="4" t="s">
        <v>106</v>
      </c>
      <c r="D267" s="5">
        <v>114603</v>
      </c>
      <c r="E267" s="4" t="s">
        <v>47</v>
      </c>
      <c r="F267" s="6" t="s">
        <v>167</v>
      </c>
    </row>
    <row r="268" spans="1:6" ht="30" x14ac:dyDescent="0.25">
      <c r="A268" s="3">
        <v>2017</v>
      </c>
      <c r="B268" s="3" t="s">
        <v>225</v>
      </c>
      <c r="C268" s="4" t="s">
        <v>106</v>
      </c>
      <c r="D268" s="5">
        <v>114603</v>
      </c>
      <c r="E268" s="4" t="s">
        <v>63</v>
      </c>
      <c r="F268" s="6" t="s">
        <v>168</v>
      </c>
    </row>
    <row r="269" spans="1:6" x14ac:dyDescent="0.25">
      <c r="A269" s="3">
        <v>2017</v>
      </c>
      <c r="B269" s="3" t="s">
        <v>225</v>
      </c>
      <c r="C269" s="4" t="s">
        <v>106</v>
      </c>
      <c r="D269" s="5">
        <v>114603</v>
      </c>
      <c r="E269" s="4" t="s">
        <v>54</v>
      </c>
      <c r="F269" s="6" t="s">
        <v>169</v>
      </c>
    </row>
    <row r="270" spans="1:6" x14ac:dyDescent="0.25">
      <c r="A270" s="3">
        <v>2017</v>
      </c>
      <c r="B270" s="3" t="s">
        <v>225</v>
      </c>
      <c r="C270" s="4" t="s">
        <v>106</v>
      </c>
      <c r="D270" s="5">
        <v>117671</v>
      </c>
      <c r="E270" s="4" t="s">
        <v>50</v>
      </c>
      <c r="F270" s="6" t="s">
        <v>228</v>
      </c>
    </row>
    <row r="271" spans="1:6" x14ac:dyDescent="0.25">
      <c r="A271" s="3">
        <v>2017</v>
      </c>
      <c r="B271" s="3" t="s">
        <v>225</v>
      </c>
      <c r="C271" s="4" t="s">
        <v>106</v>
      </c>
      <c r="D271" s="5">
        <v>117671</v>
      </c>
      <c r="E271" s="4" t="s">
        <v>50</v>
      </c>
      <c r="F271" s="6" t="s">
        <v>229</v>
      </c>
    </row>
    <row r="272" spans="1:6" x14ac:dyDescent="0.25">
      <c r="A272" s="3">
        <v>2017</v>
      </c>
      <c r="B272" s="3" t="s">
        <v>225</v>
      </c>
      <c r="C272" s="4" t="s">
        <v>106</v>
      </c>
      <c r="D272" s="5">
        <v>114603</v>
      </c>
      <c r="E272" s="4" t="s">
        <v>50</v>
      </c>
      <c r="F272" s="6" t="s">
        <v>230</v>
      </c>
    </row>
    <row r="273" spans="1:6" ht="45" x14ac:dyDescent="0.25">
      <c r="A273" s="3">
        <v>2017</v>
      </c>
      <c r="B273" s="3" t="s">
        <v>225</v>
      </c>
      <c r="C273" s="4" t="s">
        <v>106</v>
      </c>
      <c r="D273" s="5">
        <v>114603</v>
      </c>
      <c r="E273" s="4" t="s">
        <v>50</v>
      </c>
      <c r="F273" s="6" t="s">
        <v>231</v>
      </c>
    </row>
    <row r="274" spans="1:6" ht="30" x14ac:dyDescent="0.25">
      <c r="A274" s="3">
        <v>2017</v>
      </c>
      <c r="B274" s="3" t="s">
        <v>225</v>
      </c>
      <c r="C274" s="4" t="s">
        <v>106</v>
      </c>
      <c r="D274" s="5">
        <v>114603</v>
      </c>
      <c r="E274" s="4" t="s">
        <v>63</v>
      </c>
      <c r="F274" s="6" t="s">
        <v>232</v>
      </c>
    </row>
    <row r="275" spans="1:6" x14ac:dyDescent="0.25">
      <c r="A275" s="3">
        <v>2017</v>
      </c>
      <c r="B275" s="3" t="s">
        <v>225</v>
      </c>
      <c r="C275" s="4" t="s">
        <v>106</v>
      </c>
      <c r="D275" s="5">
        <v>114603</v>
      </c>
      <c r="E275" s="4" t="s">
        <v>54</v>
      </c>
      <c r="F275" s="6" t="s">
        <v>233</v>
      </c>
    </row>
    <row r="276" spans="1:6" x14ac:dyDescent="0.25">
      <c r="A276" s="3">
        <v>2017</v>
      </c>
      <c r="B276" s="3" t="s">
        <v>225</v>
      </c>
      <c r="C276" s="4" t="s">
        <v>106</v>
      </c>
      <c r="D276" s="5">
        <v>101071</v>
      </c>
      <c r="E276" s="4" t="s">
        <v>50</v>
      </c>
      <c r="F276" s="6" t="s">
        <v>234</v>
      </c>
    </row>
    <row r="277" spans="1:6" x14ac:dyDescent="0.25">
      <c r="A277" s="3">
        <v>2017</v>
      </c>
      <c r="B277" s="3" t="s">
        <v>225</v>
      </c>
      <c r="C277" s="4" t="s">
        <v>106</v>
      </c>
      <c r="D277" s="5">
        <v>110569</v>
      </c>
      <c r="E277" s="4" t="s">
        <v>47</v>
      </c>
      <c r="F277" s="6" t="s">
        <v>235</v>
      </c>
    </row>
    <row r="278" spans="1:6" x14ac:dyDescent="0.25">
      <c r="A278" s="3">
        <v>2017</v>
      </c>
      <c r="B278" s="3" t="s">
        <v>225</v>
      </c>
      <c r="C278" s="4" t="s">
        <v>106</v>
      </c>
      <c r="D278" s="5">
        <v>110569</v>
      </c>
      <c r="E278" s="4" t="s">
        <v>47</v>
      </c>
      <c r="F278" s="6" t="s">
        <v>236</v>
      </c>
    </row>
    <row r="279" spans="1:6" x14ac:dyDescent="0.25">
      <c r="A279" s="3">
        <v>2017</v>
      </c>
      <c r="B279" s="3" t="s">
        <v>225</v>
      </c>
      <c r="C279" s="4" t="s">
        <v>106</v>
      </c>
      <c r="D279" s="5">
        <v>110569</v>
      </c>
      <c r="E279" s="4" t="s">
        <v>47</v>
      </c>
      <c r="F279" s="6" t="s">
        <v>237</v>
      </c>
    </row>
    <row r="280" spans="1:6" x14ac:dyDescent="0.25">
      <c r="A280" s="3">
        <v>2017</v>
      </c>
      <c r="B280" s="3" t="s">
        <v>225</v>
      </c>
      <c r="C280" s="4" t="s">
        <v>106</v>
      </c>
      <c r="D280" s="5">
        <v>117465</v>
      </c>
      <c r="E280" s="4" t="s">
        <v>47</v>
      </c>
      <c r="F280" s="6" t="s">
        <v>238</v>
      </c>
    </row>
    <row r="281" spans="1:6" x14ac:dyDescent="0.25">
      <c r="A281" s="3">
        <v>2017</v>
      </c>
      <c r="B281" s="3" t="s">
        <v>225</v>
      </c>
      <c r="C281" s="4" t="s">
        <v>106</v>
      </c>
      <c r="D281" s="5">
        <v>117465</v>
      </c>
      <c r="E281" s="4" t="s">
        <v>50</v>
      </c>
      <c r="F281" s="6" t="s">
        <v>239</v>
      </c>
    </row>
    <row r="282" spans="1:6" ht="60" x14ac:dyDescent="0.25">
      <c r="A282" s="3">
        <v>2017</v>
      </c>
      <c r="B282" s="3" t="s">
        <v>225</v>
      </c>
      <c r="C282" s="4" t="s">
        <v>106</v>
      </c>
      <c r="D282" s="5">
        <v>117465</v>
      </c>
      <c r="E282" s="4" t="s">
        <v>63</v>
      </c>
      <c r="F282" s="6" t="s">
        <v>240</v>
      </c>
    </row>
    <row r="283" spans="1:6" ht="30" x14ac:dyDescent="0.25">
      <c r="A283" s="3">
        <v>2017</v>
      </c>
      <c r="B283" s="3" t="s">
        <v>225</v>
      </c>
      <c r="C283" s="4" t="s">
        <v>106</v>
      </c>
      <c r="D283" s="5">
        <v>121681</v>
      </c>
      <c r="E283" s="4" t="s">
        <v>47</v>
      </c>
      <c r="F283" s="6" t="s">
        <v>241</v>
      </c>
    </row>
    <row r="284" spans="1:6" ht="30" x14ac:dyDescent="0.25">
      <c r="A284" s="3">
        <v>2017</v>
      </c>
      <c r="B284" s="3" t="s">
        <v>225</v>
      </c>
      <c r="C284" s="4" t="s">
        <v>106</v>
      </c>
      <c r="D284" s="5">
        <v>150441</v>
      </c>
      <c r="E284" s="4" t="s">
        <v>63</v>
      </c>
      <c r="F284" s="6" t="s">
        <v>242</v>
      </c>
    </row>
    <row r="285" spans="1:6" ht="30" x14ac:dyDescent="0.25">
      <c r="A285" s="3">
        <v>2017</v>
      </c>
      <c r="B285" s="3" t="s">
        <v>225</v>
      </c>
      <c r="C285" s="4" t="s">
        <v>106</v>
      </c>
      <c r="D285" s="5">
        <v>117440</v>
      </c>
      <c r="E285" s="4" t="s">
        <v>63</v>
      </c>
      <c r="F285" s="6" t="s">
        <v>243</v>
      </c>
    </row>
    <row r="286" spans="1:6" x14ac:dyDescent="0.25">
      <c r="A286" s="3">
        <v>2017</v>
      </c>
      <c r="B286" s="3" t="s">
        <v>225</v>
      </c>
      <c r="C286" s="4" t="s">
        <v>106</v>
      </c>
      <c r="D286" s="5">
        <v>153700</v>
      </c>
      <c r="E286" s="4" t="s">
        <v>47</v>
      </c>
      <c r="F286" s="6" t="s">
        <v>244</v>
      </c>
    </row>
    <row r="287" spans="1:6" x14ac:dyDescent="0.25">
      <c r="A287" s="3">
        <v>2017</v>
      </c>
      <c r="B287" s="3" t="s">
        <v>225</v>
      </c>
      <c r="C287" s="4" t="s">
        <v>106</v>
      </c>
      <c r="D287" s="5">
        <v>153700</v>
      </c>
      <c r="E287" s="4" t="s">
        <v>47</v>
      </c>
      <c r="F287" s="6" t="s">
        <v>245</v>
      </c>
    </row>
    <row r="288" spans="1:6" x14ac:dyDescent="0.25">
      <c r="A288" s="3">
        <v>2017</v>
      </c>
      <c r="B288" s="3" t="s">
        <v>225</v>
      </c>
      <c r="C288" s="4" t="s">
        <v>106</v>
      </c>
      <c r="D288" s="5">
        <v>153700</v>
      </c>
      <c r="E288" s="4" t="s">
        <v>47</v>
      </c>
      <c r="F288" s="6" t="s">
        <v>246</v>
      </c>
    </row>
    <row r="289" spans="1:6" x14ac:dyDescent="0.25">
      <c r="A289" s="3">
        <v>2017</v>
      </c>
      <c r="B289" s="3" t="s">
        <v>225</v>
      </c>
      <c r="C289" s="4" t="s">
        <v>106</v>
      </c>
      <c r="D289" s="5">
        <v>59899</v>
      </c>
      <c r="E289" s="4" t="s">
        <v>47</v>
      </c>
      <c r="F289" s="6" t="s">
        <v>247</v>
      </c>
    </row>
    <row r="290" spans="1:6" x14ac:dyDescent="0.25">
      <c r="A290" s="3">
        <v>2017</v>
      </c>
      <c r="B290" s="3" t="s">
        <v>225</v>
      </c>
      <c r="C290" s="4" t="s">
        <v>106</v>
      </c>
      <c r="D290" s="5">
        <v>99093</v>
      </c>
      <c r="E290" s="4" t="s">
        <v>47</v>
      </c>
      <c r="F290" s="6" t="s">
        <v>248</v>
      </c>
    </row>
    <row r="291" spans="1:6" x14ac:dyDescent="0.25">
      <c r="A291" s="3">
        <v>2017</v>
      </c>
      <c r="B291" s="3" t="s">
        <v>225</v>
      </c>
      <c r="C291" s="4" t="s">
        <v>106</v>
      </c>
      <c r="D291" s="5">
        <v>99093</v>
      </c>
      <c r="E291" s="4" t="s">
        <v>47</v>
      </c>
      <c r="F291" s="6" t="s">
        <v>79</v>
      </c>
    </row>
    <row r="292" spans="1:6" x14ac:dyDescent="0.25">
      <c r="A292" s="3">
        <v>2017</v>
      </c>
      <c r="B292" s="3" t="s">
        <v>225</v>
      </c>
      <c r="C292" s="4" t="s">
        <v>106</v>
      </c>
      <c r="D292" s="5">
        <v>99093</v>
      </c>
      <c r="E292" s="4" t="s">
        <v>47</v>
      </c>
      <c r="F292" s="6" t="s">
        <v>249</v>
      </c>
    </row>
    <row r="293" spans="1:6" x14ac:dyDescent="0.25">
      <c r="A293" s="3">
        <v>2017</v>
      </c>
      <c r="B293" s="3" t="s">
        <v>225</v>
      </c>
      <c r="C293" s="4" t="s">
        <v>106</v>
      </c>
      <c r="D293" s="5">
        <v>99093</v>
      </c>
      <c r="E293" s="4" t="s">
        <v>50</v>
      </c>
      <c r="F293" s="6" t="s">
        <v>250</v>
      </c>
    </row>
    <row r="294" spans="1:6" x14ac:dyDescent="0.25">
      <c r="A294" s="3">
        <v>2017</v>
      </c>
      <c r="B294" s="3" t="s">
        <v>225</v>
      </c>
      <c r="C294" s="4" t="s">
        <v>106</v>
      </c>
      <c r="D294" s="5">
        <v>70375</v>
      </c>
      <c r="E294" s="4" t="s">
        <v>47</v>
      </c>
      <c r="F294" s="6" t="s">
        <v>251</v>
      </c>
    </row>
    <row r="295" spans="1:6" x14ac:dyDescent="0.25">
      <c r="A295" s="3">
        <v>2017</v>
      </c>
      <c r="B295" s="3" t="s">
        <v>225</v>
      </c>
      <c r="C295" s="4" t="s">
        <v>106</v>
      </c>
      <c r="D295" s="5">
        <v>70375</v>
      </c>
      <c r="E295" s="4" t="s">
        <v>47</v>
      </c>
      <c r="F295" s="6" t="s">
        <v>252</v>
      </c>
    </row>
    <row r="296" spans="1:6" x14ac:dyDescent="0.25">
      <c r="A296" s="3">
        <v>2017</v>
      </c>
      <c r="B296" s="3" t="s">
        <v>225</v>
      </c>
      <c r="C296" s="4" t="s">
        <v>106</v>
      </c>
      <c r="D296" s="5">
        <v>70359</v>
      </c>
      <c r="E296" s="4" t="s">
        <v>47</v>
      </c>
      <c r="F296" s="6" t="s">
        <v>253</v>
      </c>
    </row>
    <row r="297" spans="1:6" ht="30" x14ac:dyDescent="0.25">
      <c r="A297" s="3">
        <v>2017</v>
      </c>
      <c r="B297" s="3" t="s">
        <v>225</v>
      </c>
      <c r="C297" s="4" t="s">
        <v>106</v>
      </c>
      <c r="D297" s="5">
        <v>70359</v>
      </c>
      <c r="E297" s="4" t="s">
        <v>63</v>
      </c>
      <c r="F297" s="6" t="s">
        <v>254</v>
      </c>
    </row>
    <row r="298" spans="1:6" ht="60" x14ac:dyDescent="0.25">
      <c r="A298" s="3">
        <v>2017</v>
      </c>
      <c r="B298" s="3" t="s">
        <v>225</v>
      </c>
      <c r="C298" s="4" t="s">
        <v>106</v>
      </c>
      <c r="D298" s="5">
        <v>99911</v>
      </c>
      <c r="E298" s="4" t="s">
        <v>63</v>
      </c>
      <c r="F298" s="6" t="s">
        <v>255</v>
      </c>
    </row>
    <row r="299" spans="1:6" x14ac:dyDescent="0.25">
      <c r="A299" s="3">
        <v>2017</v>
      </c>
      <c r="B299" s="3" t="s">
        <v>225</v>
      </c>
      <c r="C299" s="4" t="s">
        <v>106</v>
      </c>
      <c r="D299" s="5">
        <v>177162</v>
      </c>
      <c r="E299" s="4" t="s">
        <v>54</v>
      </c>
      <c r="F299" s="6" t="s">
        <v>256</v>
      </c>
    </row>
    <row r="300" spans="1:6" x14ac:dyDescent="0.25">
      <c r="A300" s="3">
        <v>2017</v>
      </c>
      <c r="B300" s="3" t="s">
        <v>225</v>
      </c>
      <c r="C300" s="4" t="s">
        <v>106</v>
      </c>
      <c r="D300" s="5">
        <v>60707</v>
      </c>
      <c r="E300" s="4" t="s">
        <v>47</v>
      </c>
      <c r="F300" s="6" t="s">
        <v>86</v>
      </c>
    </row>
    <row r="301" spans="1:6" x14ac:dyDescent="0.25">
      <c r="A301" s="3">
        <v>2017</v>
      </c>
      <c r="B301" s="3" t="s">
        <v>225</v>
      </c>
      <c r="C301" s="4" t="s">
        <v>106</v>
      </c>
      <c r="D301" s="5">
        <v>60707</v>
      </c>
      <c r="E301" s="4" t="s">
        <v>50</v>
      </c>
      <c r="F301" s="6" t="s">
        <v>257</v>
      </c>
    </row>
    <row r="302" spans="1:6" ht="45" x14ac:dyDescent="0.25">
      <c r="A302" s="3">
        <v>2017</v>
      </c>
      <c r="B302" s="3" t="s">
        <v>225</v>
      </c>
      <c r="C302" s="4" t="s">
        <v>106</v>
      </c>
      <c r="D302" s="5">
        <v>58222</v>
      </c>
      <c r="E302" s="4" t="s">
        <v>50</v>
      </c>
      <c r="F302" s="6" t="s">
        <v>258</v>
      </c>
    </row>
    <row r="303" spans="1:6" x14ac:dyDescent="0.25">
      <c r="A303" s="3">
        <v>2017</v>
      </c>
      <c r="B303" s="3" t="s">
        <v>225</v>
      </c>
      <c r="C303" s="4" t="s">
        <v>106</v>
      </c>
      <c r="D303" s="5">
        <v>58222</v>
      </c>
      <c r="E303" s="4" t="s">
        <v>63</v>
      </c>
      <c r="F303" s="6" t="s">
        <v>259</v>
      </c>
    </row>
    <row r="304" spans="1:6" x14ac:dyDescent="0.25">
      <c r="A304" s="3">
        <v>2017</v>
      </c>
      <c r="B304" s="3" t="s">
        <v>225</v>
      </c>
      <c r="C304" s="4" t="s">
        <v>106</v>
      </c>
      <c r="D304" s="5">
        <v>89391</v>
      </c>
      <c r="E304" s="4" t="s">
        <v>47</v>
      </c>
      <c r="F304" s="6" t="s">
        <v>260</v>
      </c>
    </row>
    <row r="305" spans="1:6" ht="30" x14ac:dyDescent="0.25">
      <c r="A305" s="3">
        <v>2017</v>
      </c>
      <c r="B305" s="3" t="s">
        <v>225</v>
      </c>
      <c r="C305" s="4" t="s">
        <v>106</v>
      </c>
      <c r="D305" s="5">
        <v>89391</v>
      </c>
      <c r="E305" s="4" t="s">
        <v>50</v>
      </c>
      <c r="F305" s="6" t="s">
        <v>261</v>
      </c>
    </row>
    <row r="306" spans="1:6" x14ac:dyDescent="0.25">
      <c r="A306" s="3">
        <v>2017</v>
      </c>
      <c r="B306" s="3" t="s">
        <v>225</v>
      </c>
      <c r="C306" s="4" t="s">
        <v>106</v>
      </c>
      <c r="D306" s="5">
        <v>89391</v>
      </c>
      <c r="E306" s="4" t="s">
        <v>54</v>
      </c>
      <c r="F306" s="6" t="s">
        <v>262</v>
      </c>
    </row>
    <row r="307" spans="1:6" x14ac:dyDescent="0.25">
      <c r="A307" s="3">
        <v>2017</v>
      </c>
      <c r="B307" s="3" t="s">
        <v>225</v>
      </c>
      <c r="C307" s="4" t="s">
        <v>106</v>
      </c>
      <c r="D307" s="5">
        <v>91405</v>
      </c>
      <c r="E307" s="4" t="s">
        <v>47</v>
      </c>
      <c r="F307" s="6" t="s">
        <v>263</v>
      </c>
    </row>
    <row r="308" spans="1:6" x14ac:dyDescent="0.25">
      <c r="A308" s="3">
        <v>2017</v>
      </c>
      <c r="B308" s="3" t="s">
        <v>225</v>
      </c>
      <c r="C308" s="4" t="s">
        <v>106</v>
      </c>
      <c r="D308" s="5">
        <v>91405</v>
      </c>
      <c r="E308" s="4" t="s">
        <v>47</v>
      </c>
      <c r="F308" s="6" t="s">
        <v>264</v>
      </c>
    </row>
    <row r="309" spans="1:6" x14ac:dyDescent="0.25">
      <c r="A309" s="3">
        <v>2017</v>
      </c>
      <c r="B309" s="3" t="s">
        <v>225</v>
      </c>
      <c r="C309" s="4" t="s">
        <v>106</v>
      </c>
      <c r="D309" s="5">
        <v>58321</v>
      </c>
      <c r="E309" s="4" t="s">
        <v>50</v>
      </c>
      <c r="F309" s="6" t="s">
        <v>265</v>
      </c>
    </row>
    <row r="310" spans="1:6" ht="30" x14ac:dyDescent="0.25">
      <c r="A310" s="3">
        <v>2017</v>
      </c>
      <c r="B310" s="3" t="s">
        <v>225</v>
      </c>
      <c r="C310" s="4" t="s">
        <v>106</v>
      </c>
      <c r="D310" s="5">
        <v>23994</v>
      </c>
      <c r="E310" s="4" t="s">
        <v>47</v>
      </c>
      <c r="F310" s="6" t="s">
        <v>266</v>
      </c>
    </row>
    <row r="311" spans="1:6" x14ac:dyDescent="0.25">
      <c r="A311" s="3">
        <v>2017</v>
      </c>
      <c r="B311" s="3" t="s">
        <v>225</v>
      </c>
      <c r="C311" s="4" t="s">
        <v>106</v>
      </c>
      <c r="D311" s="5">
        <v>23994</v>
      </c>
      <c r="E311" s="4" t="s">
        <v>50</v>
      </c>
      <c r="F311" s="6" t="s">
        <v>267</v>
      </c>
    </row>
    <row r="312" spans="1:6" ht="75" x14ac:dyDescent="0.25">
      <c r="A312" s="3">
        <v>2017</v>
      </c>
      <c r="B312" s="3" t="s">
        <v>225</v>
      </c>
      <c r="C312" s="4" t="s">
        <v>106</v>
      </c>
      <c r="D312" s="5">
        <v>23994</v>
      </c>
      <c r="E312" s="4" t="s">
        <v>50</v>
      </c>
      <c r="F312" s="6" t="s">
        <v>268</v>
      </c>
    </row>
    <row r="313" spans="1:6" x14ac:dyDescent="0.25">
      <c r="A313" s="3">
        <v>2017</v>
      </c>
      <c r="B313" s="3" t="s">
        <v>225</v>
      </c>
      <c r="C313" s="4" t="s">
        <v>106</v>
      </c>
      <c r="D313" s="5">
        <v>22673</v>
      </c>
      <c r="E313" s="4" t="s">
        <v>47</v>
      </c>
      <c r="F313" s="6" t="s">
        <v>269</v>
      </c>
    </row>
    <row r="314" spans="1:6" x14ac:dyDescent="0.25">
      <c r="A314" s="3">
        <v>2017</v>
      </c>
      <c r="B314" s="3" t="s">
        <v>225</v>
      </c>
      <c r="C314" s="4" t="s">
        <v>106</v>
      </c>
      <c r="D314" s="5">
        <v>91397</v>
      </c>
      <c r="E314" s="4" t="s">
        <v>50</v>
      </c>
      <c r="F314" s="6" t="s">
        <v>270</v>
      </c>
    </row>
    <row r="315" spans="1:6" x14ac:dyDescent="0.25">
      <c r="A315" s="3">
        <v>2017</v>
      </c>
      <c r="B315" s="3" t="s">
        <v>225</v>
      </c>
      <c r="C315" s="4" t="s">
        <v>106</v>
      </c>
      <c r="D315" s="5">
        <v>8888</v>
      </c>
      <c r="E315" s="4" t="s">
        <v>47</v>
      </c>
      <c r="F315" s="6" t="s">
        <v>271</v>
      </c>
    </row>
    <row r="316" spans="1:6" x14ac:dyDescent="0.25">
      <c r="A316" s="3">
        <v>2017</v>
      </c>
      <c r="B316" s="3" t="s">
        <v>225</v>
      </c>
      <c r="C316" s="4" t="s">
        <v>106</v>
      </c>
      <c r="D316" s="5">
        <v>8888</v>
      </c>
      <c r="E316" s="4" t="s">
        <v>47</v>
      </c>
      <c r="F316" s="6" t="s">
        <v>272</v>
      </c>
    </row>
    <row r="317" spans="1:6" x14ac:dyDescent="0.25">
      <c r="A317" s="3">
        <v>2017</v>
      </c>
      <c r="B317" s="3" t="s">
        <v>225</v>
      </c>
      <c r="C317" s="4" t="s">
        <v>106</v>
      </c>
      <c r="D317" s="5">
        <v>8888</v>
      </c>
      <c r="E317" s="4" t="s">
        <v>47</v>
      </c>
      <c r="F317" s="6" t="s">
        <v>273</v>
      </c>
    </row>
    <row r="318" spans="1:6" ht="45" x14ac:dyDescent="0.25">
      <c r="A318" s="3">
        <v>2017</v>
      </c>
      <c r="B318" s="3" t="s">
        <v>225</v>
      </c>
      <c r="C318" s="4" t="s">
        <v>106</v>
      </c>
      <c r="D318" s="5">
        <v>8888</v>
      </c>
      <c r="E318" s="4" t="s">
        <v>63</v>
      </c>
      <c r="F318" s="6" t="s">
        <v>274</v>
      </c>
    </row>
    <row r="319" spans="1:6" x14ac:dyDescent="0.25">
      <c r="A319" s="3">
        <v>2017</v>
      </c>
      <c r="B319" s="3" t="s">
        <v>275</v>
      </c>
      <c r="C319" s="4" t="s">
        <v>106</v>
      </c>
      <c r="D319" s="5">
        <v>117671</v>
      </c>
      <c r="E319" s="4" t="s">
        <v>47</v>
      </c>
      <c r="F319" s="6" t="s">
        <v>161</v>
      </c>
    </row>
    <row r="320" spans="1:6" ht="30" x14ac:dyDescent="0.25">
      <c r="A320" s="3">
        <v>2017</v>
      </c>
      <c r="B320" s="3" t="s">
        <v>275</v>
      </c>
      <c r="C320" s="4" t="s">
        <v>106</v>
      </c>
      <c r="D320" s="5">
        <v>117671</v>
      </c>
      <c r="E320" s="4" t="s">
        <v>63</v>
      </c>
      <c r="F320" s="6" t="s">
        <v>162</v>
      </c>
    </row>
    <row r="321" spans="1:6" ht="30" x14ac:dyDescent="0.25">
      <c r="A321" s="3">
        <v>2017</v>
      </c>
      <c r="B321" s="3" t="s">
        <v>275</v>
      </c>
      <c r="C321" s="4" t="s">
        <v>106</v>
      </c>
      <c r="D321" s="5">
        <v>104133</v>
      </c>
      <c r="E321" s="4" t="s">
        <v>47</v>
      </c>
      <c r="F321" s="6" t="s">
        <v>163</v>
      </c>
    </row>
    <row r="322" spans="1:6" x14ac:dyDescent="0.25">
      <c r="A322" s="3">
        <v>2017</v>
      </c>
      <c r="B322" s="3" t="s">
        <v>275</v>
      </c>
      <c r="C322" s="4" t="s">
        <v>106</v>
      </c>
      <c r="D322" s="5">
        <v>104133</v>
      </c>
      <c r="E322" s="4" t="s">
        <v>47</v>
      </c>
      <c r="F322" s="6" t="s">
        <v>164</v>
      </c>
    </row>
    <row r="323" spans="1:6" x14ac:dyDescent="0.25">
      <c r="A323" s="3">
        <v>2017</v>
      </c>
      <c r="B323" s="3" t="s">
        <v>275</v>
      </c>
      <c r="C323" s="4" t="s">
        <v>106</v>
      </c>
      <c r="D323" s="5">
        <v>104133</v>
      </c>
      <c r="E323" s="4" t="s">
        <v>47</v>
      </c>
      <c r="F323" s="6" t="s">
        <v>165</v>
      </c>
    </row>
    <row r="324" spans="1:6" x14ac:dyDescent="0.25">
      <c r="A324" s="3">
        <v>2017</v>
      </c>
      <c r="B324" s="3" t="s">
        <v>275</v>
      </c>
      <c r="C324" s="4" t="s">
        <v>106</v>
      </c>
      <c r="D324" s="5">
        <v>114603</v>
      </c>
      <c r="E324" s="4" t="s">
        <v>47</v>
      </c>
      <c r="F324" s="6" t="s">
        <v>166</v>
      </c>
    </row>
    <row r="325" spans="1:6" x14ac:dyDescent="0.25">
      <c r="A325" s="3">
        <v>2017</v>
      </c>
      <c r="B325" s="3" t="s">
        <v>275</v>
      </c>
      <c r="C325" s="4" t="s">
        <v>106</v>
      </c>
      <c r="D325" s="5">
        <v>114603</v>
      </c>
      <c r="E325" s="4" t="s">
        <v>47</v>
      </c>
      <c r="F325" s="6" t="s">
        <v>167</v>
      </c>
    </row>
    <row r="326" spans="1:6" ht="30" x14ac:dyDescent="0.25">
      <c r="A326" s="3">
        <v>2017</v>
      </c>
      <c r="B326" s="3" t="s">
        <v>275</v>
      </c>
      <c r="C326" s="4" t="s">
        <v>106</v>
      </c>
      <c r="D326" s="5">
        <v>114603</v>
      </c>
      <c r="E326" s="4" t="s">
        <v>63</v>
      </c>
      <c r="F326" s="6" t="s">
        <v>168</v>
      </c>
    </row>
    <row r="327" spans="1:6" x14ac:dyDescent="0.25">
      <c r="A327" s="3">
        <v>2017</v>
      </c>
      <c r="B327" s="3" t="s">
        <v>275</v>
      </c>
      <c r="C327" s="4" t="s">
        <v>106</v>
      </c>
      <c r="D327" s="5">
        <v>114603</v>
      </c>
      <c r="E327" s="4" t="s">
        <v>54</v>
      </c>
      <c r="F327" s="6" t="s">
        <v>169</v>
      </c>
    </row>
    <row r="328" spans="1:6" x14ac:dyDescent="0.25">
      <c r="A328" s="3">
        <v>2017</v>
      </c>
      <c r="B328" s="3" t="s">
        <v>275</v>
      </c>
      <c r="C328" s="4" t="s">
        <v>106</v>
      </c>
      <c r="D328" s="5">
        <v>117671</v>
      </c>
      <c r="E328" s="4" t="s">
        <v>50</v>
      </c>
      <c r="F328" s="6" t="s">
        <v>277</v>
      </c>
    </row>
    <row r="329" spans="1:6" x14ac:dyDescent="0.25">
      <c r="A329" s="3">
        <v>2017</v>
      </c>
      <c r="B329" s="3" t="s">
        <v>275</v>
      </c>
      <c r="C329" s="4" t="s">
        <v>106</v>
      </c>
      <c r="D329" s="5">
        <v>117671</v>
      </c>
      <c r="E329" s="4" t="s">
        <v>54</v>
      </c>
      <c r="F329" s="6" t="s">
        <v>278</v>
      </c>
    </row>
    <row r="330" spans="1:6" x14ac:dyDescent="0.25">
      <c r="A330" s="3">
        <v>2017</v>
      </c>
      <c r="B330" s="3" t="s">
        <v>275</v>
      </c>
      <c r="C330" s="4" t="s">
        <v>106</v>
      </c>
      <c r="D330" s="5">
        <v>104133</v>
      </c>
      <c r="E330" s="4" t="s">
        <v>47</v>
      </c>
      <c r="F330" s="6" t="s">
        <v>279</v>
      </c>
    </row>
    <row r="331" spans="1:6" ht="30" x14ac:dyDescent="0.25">
      <c r="A331" s="3">
        <v>2017</v>
      </c>
      <c r="B331" s="3" t="s">
        <v>275</v>
      </c>
      <c r="C331" s="4" t="s">
        <v>106</v>
      </c>
      <c r="D331" s="5">
        <v>104133</v>
      </c>
      <c r="E331" s="4" t="s">
        <v>63</v>
      </c>
      <c r="F331" s="6" t="s">
        <v>280</v>
      </c>
    </row>
    <row r="332" spans="1:6" x14ac:dyDescent="0.25">
      <c r="A332" s="3">
        <v>2017</v>
      </c>
      <c r="B332" s="3" t="s">
        <v>275</v>
      </c>
      <c r="C332" s="4" t="s">
        <v>106</v>
      </c>
      <c r="D332" s="5">
        <v>114603</v>
      </c>
      <c r="E332" s="4" t="s">
        <v>47</v>
      </c>
      <c r="F332" s="6" t="s">
        <v>281</v>
      </c>
    </row>
    <row r="333" spans="1:6" x14ac:dyDescent="0.25">
      <c r="A333" s="3">
        <v>2017</v>
      </c>
      <c r="B333" s="3" t="s">
        <v>275</v>
      </c>
      <c r="C333" s="4" t="s">
        <v>106</v>
      </c>
      <c r="D333" s="5">
        <v>101071</v>
      </c>
      <c r="E333" s="4" t="s">
        <v>47</v>
      </c>
      <c r="F333" s="6" t="s">
        <v>282</v>
      </c>
    </row>
    <row r="334" spans="1:6" x14ac:dyDescent="0.25">
      <c r="A334" s="3">
        <v>2017</v>
      </c>
      <c r="B334" s="3" t="s">
        <v>275</v>
      </c>
      <c r="C334" s="4" t="s">
        <v>106</v>
      </c>
      <c r="D334" s="5">
        <v>101071</v>
      </c>
      <c r="E334" s="4" t="s">
        <v>50</v>
      </c>
      <c r="F334" s="6" t="s">
        <v>283</v>
      </c>
    </row>
    <row r="335" spans="1:6" x14ac:dyDescent="0.25">
      <c r="A335" s="3">
        <v>2017</v>
      </c>
      <c r="B335" s="3" t="s">
        <v>275</v>
      </c>
      <c r="C335" s="4" t="s">
        <v>106</v>
      </c>
      <c r="D335" s="5">
        <v>101071</v>
      </c>
      <c r="E335" s="4" t="s">
        <v>54</v>
      </c>
      <c r="F335" s="6" t="s">
        <v>284</v>
      </c>
    </row>
    <row r="336" spans="1:6" x14ac:dyDescent="0.25">
      <c r="A336" s="3">
        <v>2017</v>
      </c>
      <c r="B336" s="3" t="s">
        <v>275</v>
      </c>
      <c r="C336" s="4" t="s">
        <v>106</v>
      </c>
      <c r="D336" s="5">
        <v>101071</v>
      </c>
      <c r="E336" s="4" t="s">
        <v>54</v>
      </c>
      <c r="F336" s="6" t="s">
        <v>285</v>
      </c>
    </row>
    <row r="337" spans="1:6" x14ac:dyDescent="0.25">
      <c r="A337" s="3">
        <v>2017</v>
      </c>
      <c r="B337" s="3" t="s">
        <v>275</v>
      </c>
      <c r="C337" s="4" t="s">
        <v>106</v>
      </c>
      <c r="D337" s="5">
        <v>110569</v>
      </c>
      <c r="E337" s="4" t="s">
        <v>47</v>
      </c>
      <c r="F337" s="6" t="s">
        <v>86</v>
      </c>
    </row>
    <row r="338" spans="1:6" x14ac:dyDescent="0.25">
      <c r="A338" s="3">
        <v>2017</v>
      </c>
      <c r="B338" s="3" t="s">
        <v>275</v>
      </c>
      <c r="C338" s="4" t="s">
        <v>106</v>
      </c>
      <c r="D338" s="5">
        <v>110569</v>
      </c>
      <c r="E338" s="4" t="s">
        <v>47</v>
      </c>
      <c r="F338" s="6" t="s">
        <v>286</v>
      </c>
    </row>
    <row r="339" spans="1:6" x14ac:dyDescent="0.25">
      <c r="A339" s="3">
        <v>2017</v>
      </c>
      <c r="B339" s="3" t="s">
        <v>275</v>
      </c>
      <c r="C339" s="4" t="s">
        <v>106</v>
      </c>
      <c r="D339" s="5">
        <v>110569</v>
      </c>
      <c r="E339" s="4" t="s">
        <v>47</v>
      </c>
      <c r="F339" s="6" t="s">
        <v>287</v>
      </c>
    </row>
    <row r="340" spans="1:6" x14ac:dyDescent="0.25">
      <c r="A340" s="3">
        <v>2017</v>
      </c>
      <c r="B340" s="3" t="s">
        <v>275</v>
      </c>
      <c r="C340" s="4" t="s">
        <v>106</v>
      </c>
      <c r="D340" s="5">
        <v>110569</v>
      </c>
      <c r="E340" s="4" t="s">
        <v>50</v>
      </c>
      <c r="F340" s="6" t="s">
        <v>288</v>
      </c>
    </row>
    <row r="341" spans="1:6" x14ac:dyDescent="0.25">
      <c r="A341" s="3">
        <v>2017</v>
      </c>
      <c r="B341" s="3" t="s">
        <v>275</v>
      </c>
      <c r="C341" s="4" t="s">
        <v>106</v>
      </c>
      <c r="D341" s="5">
        <v>121681</v>
      </c>
      <c r="E341" s="4" t="s">
        <v>47</v>
      </c>
      <c r="F341" s="6" t="s">
        <v>289</v>
      </c>
    </row>
    <row r="342" spans="1:6" x14ac:dyDescent="0.25">
      <c r="A342" s="3">
        <v>2017</v>
      </c>
      <c r="B342" s="3" t="s">
        <v>275</v>
      </c>
      <c r="C342" s="4" t="s">
        <v>106</v>
      </c>
      <c r="D342" s="5">
        <v>103275</v>
      </c>
      <c r="E342" s="4" t="s">
        <v>47</v>
      </c>
      <c r="F342" s="6" t="s">
        <v>290</v>
      </c>
    </row>
    <row r="343" spans="1:6" x14ac:dyDescent="0.25">
      <c r="A343" s="3">
        <v>2017</v>
      </c>
      <c r="B343" s="3" t="s">
        <v>275</v>
      </c>
      <c r="C343" s="4" t="s">
        <v>106</v>
      </c>
      <c r="D343" s="5">
        <v>150441</v>
      </c>
      <c r="E343" s="4" t="s">
        <v>47</v>
      </c>
      <c r="F343" s="6" t="s">
        <v>291</v>
      </c>
    </row>
    <row r="344" spans="1:6" x14ac:dyDescent="0.25">
      <c r="A344" s="3">
        <v>2017</v>
      </c>
      <c r="B344" s="3" t="s">
        <v>275</v>
      </c>
      <c r="C344" s="4" t="s">
        <v>106</v>
      </c>
      <c r="D344" s="5">
        <v>150441</v>
      </c>
      <c r="E344" s="4" t="s">
        <v>47</v>
      </c>
      <c r="F344" s="6" t="s">
        <v>292</v>
      </c>
    </row>
    <row r="345" spans="1:6" ht="30" x14ac:dyDescent="0.25">
      <c r="A345" s="3">
        <v>2017</v>
      </c>
      <c r="B345" s="3" t="s">
        <v>275</v>
      </c>
      <c r="C345" s="4" t="s">
        <v>106</v>
      </c>
      <c r="D345" s="5">
        <v>152587</v>
      </c>
      <c r="E345" s="4" t="s">
        <v>47</v>
      </c>
      <c r="F345" s="6" t="s">
        <v>293</v>
      </c>
    </row>
    <row r="346" spans="1:6" ht="47.25" customHeight="1" x14ac:dyDescent="0.25">
      <c r="A346" s="3">
        <v>2017</v>
      </c>
      <c r="B346" s="3" t="s">
        <v>275</v>
      </c>
      <c r="C346" s="4" t="s">
        <v>106</v>
      </c>
      <c r="D346" s="5">
        <v>152587</v>
      </c>
      <c r="E346" s="4" t="s">
        <v>50</v>
      </c>
      <c r="F346" s="6" t="s">
        <v>294</v>
      </c>
    </row>
    <row r="347" spans="1:6" x14ac:dyDescent="0.25">
      <c r="A347" s="3">
        <v>2017</v>
      </c>
      <c r="B347" s="3" t="s">
        <v>275</v>
      </c>
      <c r="C347" s="4" t="s">
        <v>106</v>
      </c>
      <c r="D347" s="5">
        <v>152587</v>
      </c>
      <c r="E347" s="4" t="s">
        <v>54</v>
      </c>
      <c r="F347" s="6" t="s">
        <v>295</v>
      </c>
    </row>
    <row r="348" spans="1:6" x14ac:dyDescent="0.25">
      <c r="A348" s="3">
        <v>2017</v>
      </c>
      <c r="B348" s="3" t="s">
        <v>275</v>
      </c>
      <c r="C348" s="4" t="s">
        <v>106</v>
      </c>
      <c r="D348" s="5">
        <v>149344</v>
      </c>
      <c r="E348" s="4" t="s">
        <v>47</v>
      </c>
      <c r="F348" s="6" t="s">
        <v>79</v>
      </c>
    </row>
    <row r="349" spans="1:6" x14ac:dyDescent="0.25">
      <c r="A349" s="3">
        <v>2017</v>
      </c>
      <c r="B349" s="3" t="s">
        <v>275</v>
      </c>
      <c r="C349" s="4" t="s">
        <v>106</v>
      </c>
      <c r="D349" s="5">
        <v>149344</v>
      </c>
      <c r="E349" s="4" t="s">
        <v>54</v>
      </c>
      <c r="F349" s="6" t="s">
        <v>94</v>
      </c>
    </row>
    <row r="350" spans="1:6" ht="30" x14ac:dyDescent="0.25">
      <c r="A350" s="3">
        <v>2017</v>
      </c>
      <c r="B350" s="3" t="s">
        <v>275</v>
      </c>
      <c r="C350" s="4" t="s">
        <v>106</v>
      </c>
      <c r="D350" s="5">
        <v>117440</v>
      </c>
      <c r="E350" s="4" t="s">
        <v>50</v>
      </c>
      <c r="F350" s="6" t="s">
        <v>296</v>
      </c>
    </row>
    <row r="351" spans="1:6" x14ac:dyDescent="0.25">
      <c r="A351" s="3">
        <v>2017</v>
      </c>
      <c r="B351" s="3" t="s">
        <v>275</v>
      </c>
      <c r="C351" s="4" t="s">
        <v>106</v>
      </c>
      <c r="D351" s="5">
        <v>117440</v>
      </c>
      <c r="E351" s="4" t="s">
        <v>50</v>
      </c>
      <c r="F351" s="6" t="s">
        <v>297</v>
      </c>
    </row>
    <row r="352" spans="1:6" x14ac:dyDescent="0.25">
      <c r="A352" s="3">
        <v>2017</v>
      </c>
      <c r="B352" s="3" t="s">
        <v>275</v>
      </c>
      <c r="C352" s="4" t="s">
        <v>106</v>
      </c>
      <c r="D352" s="5">
        <v>117440</v>
      </c>
      <c r="E352" s="4" t="s">
        <v>54</v>
      </c>
      <c r="F352" s="6" t="s">
        <v>298</v>
      </c>
    </row>
    <row r="353" spans="1:6" x14ac:dyDescent="0.25">
      <c r="A353" s="3">
        <v>2017</v>
      </c>
      <c r="B353" s="3" t="s">
        <v>275</v>
      </c>
      <c r="C353" s="4" t="s">
        <v>106</v>
      </c>
      <c r="D353" s="5">
        <v>153700</v>
      </c>
      <c r="E353" s="4" t="s">
        <v>47</v>
      </c>
      <c r="F353" s="6" t="s">
        <v>299</v>
      </c>
    </row>
    <row r="354" spans="1:6" x14ac:dyDescent="0.25">
      <c r="A354" s="3">
        <v>2017</v>
      </c>
      <c r="B354" s="3" t="s">
        <v>275</v>
      </c>
      <c r="C354" s="4" t="s">
        <v>106</v>
      </c>
      <c r="D354" s="5">
        <v>153700</v>
      </c>
      <c r="E354" s="4" t="s">
        <v>50</v>
      </c>
      <c r="F354" s="6" t="s">
        <v>300</v>
      </c>
    </row>
    <row r="355" spans="1:6" x14ac:dyDescent="0.25">
      <c r="A355" s="3">
        <v>2017</v>
      </c>
      <c r="B355" s="3" t="s">
        <v>275</v>
      </c>
      <c r="C355" s="4" t="s">
        <v>106</v>
      </c>
      <c r="D355" s="5">
        <v>130674</v>
      </c>
      <c r="E355" s="4" t="s">
        <v>63</v>
      </c>
      <c r="F355" s="6" t="s">
        <v>301</v>
      </c>
    </row>
    <row r="356" spans="1:6" x14ac:dyDescent="0.25">
      <c r="A356" s="3">
        <v>2017</v>
      </c>
      <c r="B356" s="3" t="s">
        <v>275</v>
      </c>
      <c r="C356" s="4" t="s">
        <v>106</v>
      </c>
      <c r="D356" s="5">
        <v>59899</v>
      </c>
      <c r="E356" s="4" t="s">
        <v>47</v>
      </c>
      <c r="F356" s="6" t="s">
        <v>302</v>
      </c>
    </row>
    <row r="357" spans="1:6" x14ac:dyDescent="0.25">
      <c r="A357" s="3">
        <v>2017</v>
      </c>
      <c r="B357" s="3" t="s">
        <v>275</v>
      </c>
      <c r="C357" s="4" t="s">
        <v>106</v>
      </c>
      <c r="D357" s="5">
        <v>59899</v>
      </c>
      <c r="E357" s="4" t="s">
        <v>47</v>
      </c>
      <c r="F357" s="6" t="s">
        <v>303</v>
      </c>
    </row>
    <row r="358" spans="1:6" ht="30" x14ac:dyDescent="0.25">
      <c r="A358" s="3">
        <v>2017</v>
      </c>
      <c r="B358" s="3" t="s">
        <v>275</v>
      </c>
      <c r="C358" s="4" t="s">
        <v>106</v>
      </c>
      <c r="D358" s="5">
        <v>59899</v>
      </c>
      <c r="E358" s="4" t="s">
        <v>63</v>
      </c>
      <c r="F358" s="6" t="s">
        <v>304</v>
      </c>
    </row>
    <row r="359" spans="1:6" x14ac:dyDescent="0.25">
      <c r="A359" s="3">
        <v>2017</v>
      </c>
      <c r="B359" s="3" t="s">
        <v>275</v>
      </c>
      <c r="C359" s="4" t="s">
        <v>106</v>
      </c>
      <c r="D359" s="5">
        <v>99093</v>
      </c>
      <c r="E359" s="4" t="s">
        <v>47</v>
      </c>
      <c r="F359" s="6" t="s">
        <v>305</v>
      </c>
    </row>
    <row r="360" spans="1:6" x14ac:dyDescent="0.25">
      <c r="A360" s="3">
        <v>2017</v>
      </c>
      <c r="B360" s="3" t="s">
        <v>275</v>
      </c>
      <c r="C360" s="4" t="s">
        <v>106</v>
      </c>
      <c r="D360" s="5">
        <v>99093</v>
      </c>
      <c r="E360" s="4" t="s">
        <v>47</v>
      </c>
      <c r="F360" s="6" t="s">
        <v>306</v>
      </c>
    </row>
    <row r="361" spans="1:6" x14ac:dyDescent="0.25">
      <c r="A361" s="3">
        <v>2017</v>
      </c>
      <c r="B361" s="3" t="s">
        <v>275</v>
      </c>
      <c r="C361" s="4" t="s">
        <v>106</v>
      </c>
      <c r="D361" s="5">
        <v>99093</v>
      </c>
      <c r="E361" s="4" t="s">
        <v>54</v>
      </c>
      <c r="F361" s="6" t="s">
        <v>307</v>
      </c>
    </row>
    <row r="362" spans="1:6" x14ac:dyDescent="0.25">
      <c r="A362" s="3">
        <v>2017</v>
      </c>
      <c r="B362" s="3" t="s">
        <v>275</v>
      </c>
      <c r="C362" s="4" t="s">
        <v>106</v>
      </c>
      <c r="D362" s="5">
        <v>70375</v>
      </c>
      <c r="E362" s="4" t="s">
        <v>47</v>
      </c>
      <c r="F362" s="6" t="s">
        <v>308</v>
      </c>
    </row>
    <row r="363" spans="1:6" x14ac:dyDescent="0.25">
      <c r="A363" s="3">
        <v>2017</v>
      </c>
      <c r="B363" s="3" t="s">
        <v>275</v>
      </c>
      <c r="C363" s="4" t="s">
        <v>106</v>
      </c>
      <c r="D363" s="5">
        <v>70359</v>
      </c>
      <c r="E363" s="4" t="s">
        <v>47</v>
      </c>
      <c r="F363" s="6" t="s">
        <v>309</v>
      </c>
    </row>
    <row r="364" spans="1:6" x14ac:dyDescent="0.25">
      <c r="A364" s="3">
        <v>2017</v>
      </c>
      <c r="B364" s="3" t="s">
        <v>275</v>
      </c>
      <c r="C364" s="4" t="s">
        <v>106</v>
      </c>
      <c r="D364" s="5">
        <v>70359</v>
      </c>
      <c r="E364" s="4" t="s">
        <v>47</v>
      </c>
      <c r="F364" s="6" t="s">
        <v>310</v>
      </c>
    </row>
    <row r="365" spans="1:6" ht="30" x14ac:dyDescent="0.25">
      <c r="A365" s="3">
        <v>2017</v>
      </c>
      <c r="B365" s="3" t="s">
        <v>275</v>
      </c>
      <c r="C365" s="4" t="s">
        <v>106</v>
      </c>
      <c r="D365" s="5">
        <v>70359</v>
      </c>
      <c r="E365" s="4" t="s">
        <v>50</v>
      </c>
      <c r="F365" s="6" t="s">
        <v>311</v>
      </c>
    </row>
    <row r="366" spans="1:6" x14ac:dyDescent="0.25">
      <c r="A366" s="3">
        <v>2017</v>
      </c>
      <c r="B366" s="3" t="s">
        <v>275</v>
      </c>
      <c r="C366" s="4" t="s">
        <v>106</v>
      </c>
      <c r="D366" s="5">
        <v>70359</v>
      </c>
      <c r="E366" s="4" t="s">
        <v>54</v>
      </c>
      <c r="F366" s="6" t="s">
        <v>312</v>
      </c>
    </row>
    <row r="367" spans="1:6" x14ac:dyDescent="0.25">
      <c r="A367" s="3">
        <v>2017</v>
      </c>
      <c r="B367" s="3" t="s">
        <v>275</v>
      </c>
      <c r="C367" s="4" t="s">
        <v>106</v>
      </c>
      <c r="D367" s="5">
        <v>177162</v>
      </c>
      <c r="E367" s="4" t="s">
        <v>47</v>
      </c>
      <c r="F367" s="6" t="s">
        <v>313</v>
      </c>
    </row>
    <row r="368" spans="1:6" x14ac:dyDescent="0.25">
      <c r="A368" s="3">
        <v>2017</v>
      </c>
      <c r="B368" s="3" t="s">
        <v>275</v>
      </c>
      <c r="C368" s="4" t="s">
        <v>106</v>
      </c>
      <c r="D368" s="5">
        <v>177162</v>
      </c>
      <c r="E368" s="4" t="s">
        <v>47</v>
      </c>
      <c r="F368" s="6" t="s">
        <v>314</v>
      </c>
    </row>
    <row r="369" spans="1:6" x14ac:dyDescent="0.25">
      <c r="A369" s="3">
        <v>2017</v>
      </c>
      <c r="B369" s="3" t="s">
        <v>275</v>
      </c>
      <c r="C369" s="4" t="s">
        <v>106</v>
      </c>
      <c r="D369" s="5">
        <v>177162</v>
      </c>
      <c r="E369" s="4" t="s">
        <v>50</v>
      </c>
      <c r="F369" s="6" t="s">
        <v>315</v>
      </c>
    </row>
    <row r="370" spans="1:6" x14ac:dyDescent="0.25">
      <c r="A370" s="3">
        <v>2017</v>
      </c>
      <c r="B370" s="3" t="s">
        <v>275</v>
      </c>
      <c r="C370" s="4" t="s">
        <v>106</v>
      </c>
      <c r="D370" s="5">
        <v>177162</v>
      </c>
      <c r="E370" s="4" t="s">
        <v>50</v>
      </c>
      <c r="F370" s="6" t="s">
        <v>316</v>
      </c>
    </row>
    <row r="371" spans="1:6" x14ac:dyDescent="0.25">
      <c r="A371" s="3">
        <v>2017</v>
      </c>
      <c r="B371" s="3" t="s">
        <v>275</v>
      </c>
      <c r="C371" s="4" t="s">
        <v>106</v>
      </c>
      <c r="D371" s="5">
        <v>177162</v>
      </c>
      <c r="E371" s="4" t="s">
        <v>54</v>
      </c>
      <c r="F371" s="6" t="s">
        <v>317</v>
      </c>
    </row>
    <row r="372" spans="1:6" x14ac:dyDescent="0.25">
      <c r="A372" s="3">
        <v>2017</v>
      </c>
      <c r="B372" s="3" t="s">
        <v>275</v>
      </c>
      <c r="C372" s="4" t="s">
        <v>106</v>
      </c>
      <c r="D372" s="5">
        <v>60707</v>
      </c>
      <c r="E372" s="4" t="s">
        <v>63</v>
      </c>
      <c r="F372" s="6" t="s">
        <v>318</v>
      </c>
    </row>
    <row r="373" spans="1:6" ht="45" x14ac:dyDescent="0.25">
      <c r="A373" s="3">
        <v>2017</v>
      </c>
      <c r="B373" s="3" t="s">
        <v>275</v>
      </c>
      <c r="C373" s="4" t="s">
        <v>106</v>
      </c>
      <c r="D373" s="5">
        <v>60707</v>
      </c>
      <c r="E373" s="4" t="s">
        <v>63</v>
      </c>
      <c r="F373" s="6" t="s">
        <v>319</v>
      </c>
    </row>
    <row r="374" spans="1:6" x14ac:dyDescent="0.25">
      <c r="A374" s="3">
        <v>2017</v>
      </c>
      <c r="B374" s="3" t="s">
        <v>275</v>
      </c>
      <c r="C374" s="4" t="s">
        <v>106</v>
      </c>
      <c r="D374" s="5">
        <v>58222</v>
      </c>
      <c r="E374" s="4" t="s">
        <v>63</v>
      </c>
      <c r="F374" s="6" t="s">
        <v>320</v>
      </c>
    </row>
    <row r="375" spans="1:6" x14ac:dyDescent="0.25">
      <c r="A375" s="3">
        <v>2017</v>
      </c>
      <c r="B375" s="3" t="s">
        <v>275</v>
      </c>
      <c r="C375" s="4" t="s">
        <v>106</v>
      </c>
      <c r="D375" s="5">
        <v>89391</v>
      </c>
      <c r="E375" s="4" t="s">
        <v>47</v>
      </c>
      <c r="F375" s="6" t="s">
        <v>321</v>
      </c>
    </row>
    <row r="376" spans="1:6" x14ac:dyDescent="0.25">
      <c r="A376" s="3">
        <v>2017</v>
      </c>
      <c r="B376" s="3" t="s">
        <v>275</v>
      </c>
      <c r="C376" s="4" t="s">
        <v>106</v>
      </c>
      <c r="D376" s="5">
        <v>89391</v>
      </c>
      <c r="E376" s="4" t="s">
        <v>54</v>
      </c>
      <c r="F376" s="6" t="s">
        <v>322</v>
      </c>
    </row>
    <row r="377" spans="1:6" ht="30" x14ac:dyDescent="0.25">
      <c r="A377" s="3">
        <v>2017</v>
      </c>
      <c r="B377" s="3" t="s">
        <v>275</v>
      </c>
      <c r="C377" s="4" t="s">
        <v>106</v>
      </c>
      <c r="D377" s="5">
        <v>36541</v>
      </c>
      <c r="E377" s="4" t="s">
        <v>63</v>
      </c>
      <c r="F377" s="6" t="s">
        <v>323</v>
      </c>
    </row>
    <row r="378" spans="1:6" x14ac:dyDescent="0.25">
      <c r="A378" s="3">
        <v>2017</v>
      </c>
      <c r="B378" s="3" t="s">
        <v>275</v>
      </c>
      <c r="C378" s="4" t="s">
        <v>106</v>
      </c>
      <c r="D378" s="5">
        <v>91405</v>
      </c>
      <c r="E378" s="4" t="s">
        <v>47</v>
      </c>
      <c r="F378" s="6" t="s">
        <v>324</v>
      </c>
    </row>
    <row r="379" spans="1:6" ht="30" x14ac:dyDescent="0.25">
      <c r="A379" s="3">
        <v>2017</v>
      </c>
      <c r="B379" s="3" t="s">
        <v>275</v>
      </c>
      <c r="C379" s="4" t="s">
        <v>106</v>
      </c>
      <c r="D379" s="5">
        <v>91405</v>
      </c>
      <c r="E379" s="4" t="s">
        <v>47</v>
      </c>
      <c r="F379" s="6" t="s">
        <v>325</v>
      </c>
    </row>
    <row r="380" spans="1:6" ht="45" x14ac:dyDescent="0.25">
      <c r="A380" s="3">
        <v>2017</v>
      </c>
      <c r="B380" s="3" t="s">
        <v>275</v>
      </c>
      <c r="C380" s="4" t="s">
        <v>106</v>
      </c>
      <c r="D380" s="5">
        <v>91405</v>
      </c>
      <c r="E380" s="4" t="s">
        <v>47</v>
      </c>
      <c r="F380" s="6" t="s">
        <v>326</v>
      </c>
    </row>
    <row r="381" spans="1:6" x14ac:dyDescent="0.25">
      <c r="A381" s="3">
        <v>2017</v>
      </c>
      <c r="B381" s="3" t="s">
        <v>275</v>
      </c>
      <c r="C381" s="4" t="s">
        <v>106</v>
      </c>
      <c r="D381" s="5">
        <v>58321</v>
      </c>
      <c r="E381" s="4" t="s">
        <v>47</v>
      </c>
      <c r="F381" s="6" t="s">
        <v>327</v>
      </c>
    </row>
    <row r="382" spans="1:6" x14ac:dyDescent="0.25">
      <c r="A382" s="3">
        <v>2017</v>
      </c>
      <c r="B382" s="3" t="s">
        <v>275</v>
      </c>
      <c r="C382" s="4" t="s">
        <v>106</v>
      </c>
      <c r="D382" s="5">
        <v>58321</v>
      </c>
      <c r="E382" s="4" t="s">
        <v>47</v>
      </c>
      <c r="F382" s="6" t="s">
        <v>328</v>
      </c>
    </row>
    <row r="383" spans="1:6" ht="30" x14ac:dyDescent="0.25">
      <c r="A383" s="3">
        <v>2017</v>
      </c>
      <c r="B383" s="3" t="s">
        <v>275</v>
      </c>
      <c r="C383" s="4" t="s">
        <v>106</v>
      </c>
      <c r="D383" s="5">
        <v>58321</v>
      </c>
      <c r="E383" s="4" t="s">
        <v>63</v>
      </c>
      <c r="F383" s="6" t="s">
        <v>329</v>
      </c>
    </row>
    <row r="384" spans="1:6" ht="90" x14ac:dyDescent="0.25">
      <c r="A384" s="3">
        <v>2017</v>
      </c>
      <c r="B384" s="3" t="s">
        <v>275</v>
      </c>
      <c r="C384" s="4" t="s">
        <v>106</v>
      </c>
      <c r="D384" s="5">
        <v>58321</v>
      </c>
      <c r="E384" s="4" t="s">
        <v>63</v>
      </c>
      <c r="F384" s="6" t="s">
        <v>330</v>
      </c>
    </row>
    <row r="385" spans="1:6" ht="45" x14ac:dyDescent="0.25">
      <c r="A385" s="3">
        <v>2017</v>
      </c>
      <c r="B385" s="3" t="s">
        <v>275</v>
      </c>
      <c r="C385" s="4" t="s">
        <v>106</v>
      </c>
      <c r="D385" s="5">
        <v>23994</v>
      </c>
      <c r="E385" s="4" t="s">
        <v>47</v>
      </c>
      <c r="F385" s="6" t="s">
        <v>331</v>
      </c>
    </row>
    <row r="386" spans="1:6" ht="45" x14ac:dyDescent="0.25">
      <c r="A386" s="3">
        <v>2017</v>
      </c>
      <c r="B386" s="3" t="s">
        <v>275</v>
      </c>
      <c r="C386" s="4" t="s">
        <v>106</v>
      </c>
      <c r="D386" s="5">
        <v>23994</v>
      </c>
      <c r="E386" s="4" t="s">
        <v>50</v>
      </c>
      <c r="F386" s="6" t="s">
        <v>332</v>
      </c>
    </row>
    <row r="387" spans="1:6" x14ac:dyDescent="0.25">
      <c r="A387" s="3">
        <v>2017</v>
      </c>
      <c r="B387" s="3" t="s">
        <v>275</v>
      </c>
      <c r="C387" s="4" t="s">
        <v>106</v>
      </c>
      <c r="D387" s="5">
        <v>23994</v>
      </c>
      <c r="E387" s="4" t="s">
        <v>54</v>
      </c>
      <c r="F387" s="6" t="s">
        <v>333</v>
      </c>
    </row>
    <row r="388" spans="1:6" x14ac:dyDescent="0.25">
      <c r="A388" s="3">
        <v>2017</v>
      </c>
      <c r="B388" s="3" t="s">
        <v>275</v>
      </c>
      <c r="C388" s="4" t="s">
        <v>106</v>
      </c>
      <c r="D388" s="5">
        <v>22673</v>
      </c>
      <c r="E388" s="4" t="s">
        <v>47</v>
      </c>
      <c r="F388" s="6" t="s">
        <v>334</v>
      </c>
    </row>
    <row r="389" spans="1:6" x14ac:dyDescent="0.25">
      <c r="A389" s="3">
        <v>2017</v>
      </c>
      <c r="B389" s="3" t="s">
        <v>275</v>
      </c>
      <c r="C389" s="4" t="s">
        <v>106</v>
      </c>
      <c r="D389" s="5">
        <v>91397</v>
      </c>
      <c r="E389" s="4" t="s">
        <v>47</v>
      </c>
      <c r="F389" s="6" t="s">
        <v>335</v>
      </c>
    </row>
    <row r="390" spans="1:6" x14ac:dyDescent="0.25">
      <c r="A390" s="3">
        <v>2017</v>
      </c>
      <c r="B390" s="3" t="s">
        <v>275</v>
      </c>
      <c r="C390" s="4" t="s">
        <v>106</v>
      </c>
      <c r="D390" s="5">
        <v>91397</v>
      </c>
      <c r="E390" s="4" t="s">
        <v>54</v>
      </c>
      <c r="F390" s="6" t="s">
        <v>336</v>
      </c>
    </row>
    <row r="391" spans="1:6" x14ac:dyDescent="0.25">
      <c r="A391" s="3">
        <v>2017</v>
      </c>
      <c r="B391" s="3" t="s">
        <v>275</v>
      </c>
      <c r="C391" s="4" t="s">
        <v>106</v>
      </c>
      <c r="D391" s="5">
        <v>64022</v>
      </c>
      <c r="E391" s="4" t="s">
        <v>47</v>
      </c>
      <c r="F391" s="6" t="s">
        <v>337</v>
      </c>
    </row>
    <row r="392" spans="1:6" x14ac:dyDescent="0.25">
      <c r="A392" s="3">
        <v>2017</v>
      </c>
      <c r="B392" s="3" t="s">
        <v>275</v>
      </c>
      <c r="C392" s="4" t="s">
        <v>106</v>
      </c>
      <c r="D392" s="5">
        <v>64022</v>
      </c>
      <c r="E392" s="4" t="s">
        <v>47</v>
      </c>
      <c r="F392" s="6" t="s">
        <v>338</v>
      </c>
    </row>
    <row r="393" spans="1:6" ht="30" x14ac:dyDescent="0.25">
      <c r="A393" s="3">
        <v>2017</v>
      </c>
      <c r="B393" s="3" t="s">
        <v>275</v>
      </c>
      <c r="C393" s="4" t="s">
        <v>106</v>
      </c>
      <c r="D393" s="5">
        <v>64022</v>
      </c>
      <c r="E393" s="4" t="s">
        <v>63</v>
      </c>
      <c r="F393" s="6" t="s">
        <v>339</v>
      </c>
    </row>
    <row r="394" spans="1:6" x14ac:dyDescent="0.25">
      <c r="A394" s="3">
        <v>2017</v>
      </c>
      <c r="B394" s="3" t="s">
        <v>275</v>
      </c>
      <c r="C394" s="4" t="s">
        <v>106</v>
      </c>
      <c r="D394" s="5">
        <v>88963</v>
      </c>
      <c r="E394" s="4" t="s">
        <v>47</v>
      </c>
      <c r="F394" s="6" t="s">
        <v>340</v>
      </c>
    </row>
    <row r="395" spans="1:6" x14ac:dyDescent="0.25">
      <c r="A395" s="3">
        <v>2017</v>
      </c>
      <c r="B395" s="3" t="s">
        <v>275</v>
      </c>
      <c r="C395" s="4" t="s">
        <v>106</v>
      </c>
      <c r="D395" s="5">
        <v>8888</v>
      </c>
      <c r="E395" s="4" t="s">
        <v>47</v>
      </c>
      <c r="F395" s="6" t="s">
        <v>172</v>
      </c>
    </row>
    <row r="396" spans="1:6" x14ac:dyDescent="0.25">
      <c r="A396" s="3">
        <v>2017</v>
      </c>
      <c r="B396" s="3" t="s">
        <v>275</v>
      </c>
      <c r="C396" s="4" t="s">
        <v>106</v>
      </c>
      <c r="D396" s="5">
        <v>8888</v>
      </c>
      <c r="E396" s="4" t="s">
        <v>47</v>
      </c>
      <c r="F396" s="6" t="s">
        <v>341</v>
      </c>
    </row>
    <row r="397" spans="1:6" x14ac:dyDescent="0.25">
      <c r="A397" s="3">
        <v>2017</v>
      </c>
      <c r="B397" s="3" t="s">
        <v>275</v>
      </c>
      <c r="C397" s="4" t="s">
        <v>106</v>
      </c>
      <c r="D397" s="5">
        <v>8888</v>
      </c>
      <c r="E397" s="4" t="s">
        <v>47</v>
      </c>
      <c r="F397" s="6" t="s">
        <v>342</v>
      </c>
    </row>
    <row r="398" spans="1:6" x14ac:dyDescent="0.25">
      <c r="A398" s="3">
        <v>2017</v>
      </c>
      <c r="B398" s="3" t="s">
        <v>275</v>
      </c>
      <c r="C398" s="4" t="s">
        <v>106</v>
      </c>
      <c r="D398" s="5">
        <v>8888</v>
      </c>
      <c r="E398" s="4" t="s">
        <v>47</v>
      </c>
      <c r="F398" s="6" t="s">
        <v>343</v>
      </c>
    </row>
    <row r="399" spans="1:6" x14ac:dyDescent="0.25">
      <c r="A399" s="3">
        <v>2017</v>
      </c>
      <c r="B399" s="3" t="s">
        <v>275</v>
      </c>
      <c r="C399" s="4" t="s">
        <v>106</v>
      </c>
      <c r="D399" s="5">
        <v>8888</v>
      </c>
      <c r="E399" s="4" t="s">
        <v>50</v>
      </c>
      <c r="F399" s="6" t="s">
        <v>344</v>
      </c>
    </row>
    <row r="400" spans="1:6" ht="30" x14ac:dyDescent="0.25">
      <c r="A400" s="3">
        <v>2017</v>
      </c>
      <c r="B400" s="3" t="s">
        <v>275</v>
      </c>
      <c r="C400" s="4" t="s">
        <v>106</v>
      </c>
      <c r="D400" s="5">
        <v>8888</v>
      </c>
      <c r="E400" s="4" t="s">
        <v>63</v>
      </c>
      <c r="F400" s="6" t="s">
        <v>345</v>
      </c>
    </row>
    <row r="401" spans="1:6" x14ac:dyDescent="0.25">
      <c r="A401" s="3">
        <v>2017</v>
      </c>
      <c r="B401" s="3" t="s">
        <v>275</v>
      </c>
      <c r="C401" s="4" t="s">
        <v>106</v>
      </c>
      <c r="D401" s="5">
        <v>140335</v>
      </c>
      <c r="E401" s="4" t="s">
        <v>47</v>
      </c>
      <c r="F401" s="6" t="s">
        <v>346</v>
      </c>
    </row>
    <row r="402" spans="1:6" x14ac:dyDescent="0.25">
      <c r="A402" s="3">
        <v>2017</v>
      </c>
      <c r="B402" s="3" t="s">
        <v>276</v>
      </c>
      <c r="C402" s="4" t="s">
        <v>106</v>
      </c>
      <c r="D402" s="5">
        <v>117671</v>
      </c>
      <c r="E402" s="4" t="s">
        <v>47</v>
      </c>
      <c r="F402" s="6" t="s">
        <v>161</v>
      </c>
    </row>
    <row r="403" spans="1:6" ht="30" x14ac:dyDescent="0.25">
      <c r="A403" s="3">
        <v>2017</v>
      </c>
      <c r="B403" s="3" t="s">
        <v>276</v>
      </c>
      <c r="C403" s="4" t="s">
        <v>106</v>
      </c>
      <c r="D403" s="5">
        <v>117671</v>
      </c>
      <c r="E403" s="4" t="s">
        <v>63</v>
      </c>
      <c r="F403" s="6" t="s">
        <v>162</v>
      </c>
    </row>
    <row r="404" spans="1:6" ht="30" x14ac:dyDescent="0.25">
      <c r="A404" s="3">
        <v>2017</v>
      </c>
      <c r="B404" s="3" t="s">
        <v>276</v>
      </c>
      <c r="C404" s="4" t="s">
        <v>106</v>
      </c>
      <c r="D404" s="5">
        <v>104133</v>
      </c>
      <c r="E404" s="4" t="s">
        <v>47</v>
      </c>
      <c r="F404" s="6" t="s">
        <v>163</v>
      </c>
    </row>
    <row r="405" spans="1:6" x14ac:dyDescent="0.25">
      <c r="A405" s="3">
        <v>2017</v>
      </c>
      <c r="B405" s="3" t="s">
        <v>276</v>
      </c>
      <c r="C405" s="4" t="s">
        <v>106</v>
      </c>
      <c r="D405" s="5">
        <v>104133</v>
      </c>
      <c r="E405" s="4" t="s">
        <v>47</v>
      </c>
      <c r="F405" s="6" t="s">
        <v>164</v>
      </c>
    </row>
    <row r="406" spans="1:6" x14ac:dyDescent="0.25">
      <c r="A406" s="3">
        <v>2017</v>
      </c>
      <c r="B406" s="3" t="s">
        <v>276</v>
      </c>
      <c r="C406" s="4" t="s">
        <v>106</v>
      </c>
      <c r="D406" s="5">
        <v>104133</v>
      </c>
      <c r="E406" s="4" t="s">
        <v>47</v>
      </c>
      <c r="F406" s="6" t="s">
        <v>165</v>
      </c>
    </row>
    <row r="407" spans="1:6" x14ac:dyDescent="0.25">
      <c r="A407" s="3">
        <v>2017</v>
      </c>
      <c r="B407" s="3" t="s">
        <v>276</v>
      </c>
      <c r="C407" s="4" t="s">
        <v>106</v>
      </c>
      <c r="D407" s="5">
        <v>114603</v>
      </c>
      <c r="E407" s="4" t="s">
        <v>47</v>
      </c>
      <c r="F407" s="6" t="s">
        <v>166</v>
      </c>
    </row>
    <row r="408" spans="1:6" x14ac:dyDescent="0.25">
      <c r="A408" s="3">
        <v>2017</v>
      </c>
      <c r="B408" s="3" t="s">
        <v>276</v>
      </c>
      <c r="C408" s="4" t="s">
        <v>106</v>
      </c>
      <c r="D408" s="5">
        <v>114603</v>
      </c>
      <c r="E408" s="4" t="s">
        <v>47</v>
      </c>
      <c r="F408" s="6" t="s">
        <v>167</v>
      </c>
    </row>
    <row r="409" spans="1:6" ht="30" x14ac:dyDescent="0.25">
      <c r="A409" s="3">
        <v>2017</v>
      </c>
      <c r="B409" s="3" t="s">
        <v>276</v>
      </c>
      <c r="C409" s="4" t="s">
        <v>106</v>
      </c>
      <c r="D409" s="5">
        <v>114603</v>
      </c>
      <c r="E409" s="4" t="s">
        <v>63</v>
      </c>
      <c r="F409" s="6" t="s">
        <v>168</v>
      </c>
    </row>
    <row r="410" spans="1:6" x14ac:dyDescent="0.25">
      <c r="A410" s="3">
        <v>2017</v>
      </c>
      <c r="B410" s="3" t="s">
        <v>276</v>
      </c>
      <c r="C410" s="4" t="s">
        <v>106</v>
      </c>
      <c r="D410" s="5">
        <v>114603</v>
      </c>
      <c r="E410" s="4" t="s">
        <v>54</v>
      </c>
      <c r="F410" s="6" t="s">
        <v>169</v>
      </c>
    </row>
    <row r="411" spans="1:6" x14ac:dyDescent="0.25">
      <c r="A411" s="3">
        <v>2017</v>
      </c>
      <c r="B411" s="3" t="s">
        <v>276</v>
      </c>
      <c r="C411" s="4" t="s">
        <v>106</v>
      </c>
      <c r="D411" s="5">
        <v>104133</v>
      </c>
      <c r="E411" s="4" t="s">
        <v>47</v>
      </c>
      <c r="F411" s="6" t="s">
        <v>348</v>
      </c>
    </row>
    <row r="412" spans="1:6" x14ac:dyDescent="0.25">
      <c r="A412" s="3">
        <v>2017</v>
      </c>
      <c r="B412" s="3" t="s">
        <v>276</v>
      </c>
      <c r="C412" s="4" t="s">
        <v>106</v>
      </c>
      <c r="D412" s="5">
        <v>104133</v>
      </c>
      <c r="E412" s="4" t="s">
        <v>63</v>
      </c>
      <c r="F412" s="6" t="s">
        <v>349</v>
      </c>
    </row>
    <row r="413" spans="1:6" x14ac:dyDescent="0.25">
      <c r="A413" s="3">
        <v>2017</v>
      </c>
      <c r="B413" s="3" t="s">
        <v>276</v>
      </c>
      <c r="C413" s="4" t="s">
        <v>106</v>
      </c>
      <c r="D413" s="5">
        <v>114603</v>
      </c>
      <c r="E413" s="4" t="s">
        <v>47</v>
      </c>
      <c r="F413" s="6" t="s">
        <v>151</v>
      </c>
    </row>
    <row r="414" spans="1:6" x14ac:dyDescent="0.25">
      <c r="A414" s="3">
        <v>2017</v>
      </c>
      <c r="B414" s="3" t="s">
        <v>276</v>
      </c>
      <c r="C414" s="4" t="s">
        <v>106</v>
      </c>
      <c r="D414" s="5">
        <v>114603</v>
      </c>
      <c r="E414" s="4" t="s">
        <v>54</v>
      </c>
      <c r="F414" s="6" t="s">
        <v>350</v>
      </c>
    </row>
    <row r="415" spans="1:6" x14ac:dyDescent="0.25">
      <c r="A415" s="3">
        <v>2017</v>
      </c>
      <c r="B415" s="3" t="s">
        <v>276</v>
      </c>
      <c r="C415" s="4" t="s">
        <v>106</v>
      </c>
      <c r="D415" s="5">
        <v>114603</v>
      </c>
      <c r="E415" s="4" t="s">
        <v>54</v>
      </c>
      <c r="F415" s="6" t="s">
        <v>351</v>
      </c>
    </row>
    <row r="416" spans="1:6" x14ac:dyDescent="0.25">
      <c r="A416" s="3">
        <v>2017</v>
      </c>
      <c r="B416" s="3" t="s">
        <v>276</v>
      </c>
      <c r="C416" s="4" t="s">
        <v>106</v>
      </c>
      <c r="D416" s="5">
        <v>101071</v>
      </c>
      <c r="E416" s="4" t="s">
        <v>47</v>
      </c>
      <c r="F416" s="6" t="s">
        <v>86</v>
      </c>
    </row>
    <row r="417" spans="1:6" x14ac:dyDescent="0.25">
      <c r="A417" s="3">
        <v>2017</v>
      </c>
      <c r="B417" s="3" t="s">
        <v>276</v>
      </c>
      <c r="C417" s="4" t="s">
        <v>106</v>
      </c>
      <c r="D417" s="5">
        <v>110569</v>
      </c>
      <c r="E417" s="4" t="s">
        <v>47</v>
      </c>
      <c r="F417" s="6" t="s">
        <v>352</v>
      </c>
    </row>
    <row r="418" spans="1:6" ht="30" x14ac:dyDescent="0.25">
      <c r="A418" s="3">
        <v>2017</v>
      </c>
      <c r="B418" s="3" t="s">
        <v>276</v>
      </c>
      <c r="C418" s="4" t="s">
        <v>106</v>
      </c>
      <c r="D418" s="5">
        <v>110569</v>
      </c>
      <c r="E418" s="4" t="s">
        <v>47</v>
      </c>
      <c r="F418" s="6" t="s">
        <v>353</v>
      </c>
    </row>
    <row r="419" spans="1:6" x14ac:dyDescent="0.25">
      <c r="A419" s="3">
        <v>2017</v>
      </c>
      <c r="B419" s="3" t="s">
        <v>276</v>
      </c>
      <c r="C419" s="4" t="s">
        <v>106</v>
      </c>
      <c r="D419" s="5">
        <v>117465</v>
      </c>
      <c r="E419" s="4" t="s">
        <v>47</v>
      </c>
      <c r="F419" s="6" t="s">
        <v>354</v>
      </c>
    </row>
    <row r="420" spans="1:6" x14ac:dyDescent="0.25">
      <c r="A420" s="3">
        <v>2017</v>
      </c>
      <c r="B420" s="3" t="s">
        <v>276</v>
      </c>
      <c r="C420" s="4" t="s">
        <v>106</v>
      </c>
      <c r="D420" s="5">
        <v>117465</v>
      </c>
      <c r="E420" s="4" t="s">
        <v>47</v>
      </c>
      <c r="F420" s="6" t="s">
        <v>355</v>
      </c>
    </row>
    <row r="421" spans="1:6" x14ac:dyDescent="0.25">
      <c r="A421" s="3">
        <v>2017</v>
      </c>
      <c r="B421" s="3" t="s">
        <v>276</v>
      </c>
      <c r="C421" s="4" t="s">
        <v>106</v>
      </c>
      <c r="D421" s="5">
        <v>117465</v>
      </c>
      <c r="E421" s="4" t="s">
        <v>50</v>
      </c>
      <c r="F421" s="6" t="s">
        <v>356</v>
      </c>
    </row>
    <row r="422" spans="1:6" x14ac:dyDescent="0.25">
      <c r="A422" s="3">
        <v>2017</v>
      </c>
      <c r="B422" s="3" t="s">
        <v>276</v>
      </c>
      <c r="C422" s="4" t="s">
        <v>106</v>
      </c>
      <c r="D422" s="5">
        <v>117465</v>
      </c>
      <c r="E422" s="4" t="s">
        <v>50</v>
      </c>
      <c r="F422" s="6" t="s">
        <v>357</v>
      </c>
    </row>
    <row r="423" spans="1:6" ht="60" x14ac:dyDescent="0.25">
      <c r="A423" s="3">
        <v>2017</v>
      </c>
      <c r="B423" s="3" t="s">
        <v>276</v>
      </c>
      <c r="C423" s="4" t="s">
        <v>106</v>
      </c>
      <c r="D423" s="5">
        <v>117465</v>
      </c>
      <c r="E423" s="4" t="s">
        <v>63</v>
      </c>
      <c r="F423" s="6" t="s">
        <v>358</v>
      </c>
    </row>
    <row r="424" spans="1:6" ht="60" x14ac:dyDescent="0.25">
      <c r="A424" s="3">
        <v>2017</v>
      </c>
      <c r="B424" s="3" t="s">
        <v>276</v>
      </c>
      <c r="C424" s="4" t="s">
        <v>106</v>
      </c>
      <c r="D424" s="5">
        <v>103275</v>
      </c>
      <c r="E424" s="4" t="s">
        <v>50</v>
      </c>
      <c r="F424" s="6" t="s">
        <v>359</v>
      </c>
    </row>
    <row r="425" spans="1:6" x14ac:dyDescent="0.25">
      <c r="A425" s="3">
        <v>2017</v>
      </c>
      <c r="B425" s="3" t="s">
        <v>276</v>
      </c>
      <c r="C425" s="4" t="s">
        <v>106</v>
      </c>
      <c r="D425" s="5">
        <v>103275</v>
      </c>
      <c r="E425" s="4" t="s">
        <v>54</v>
      </c>
      <c r="F425" s="6" t="s">
        <v>360</v>
      </c>
    </row>
    <row r="426" spans="1:6" x14ac:dyDescent="0.25">
      <c r="A426" s="3">
        <v>2017</v>
      </c>
      <c r="B426" s="3" t="s">
        <v>276</v>
      </c>
      <c r="C426" s="4" t="s">
        <v>106</v>
      </c>
      <c r="D426" s="5">
        <v>150441</v>
      </c>
      <c r="E426" s="4" t="s">
        <v>47</v>
      </c>
      <c r="F426" s="6" t="s">
        <v>361</v>
      </c>
    </row>
    <row r="427" spans="1:6" x14ac:dyDescent="0.25">
      <c r="A427" s="3">
        <v>2017</v>
      </c>
      <c r="B427" s="3" t="s">
        <v>276</v>
      </c>
      <c r="C427" s="4" t="s">
        <v>106</v>
      </c>
      <c r="D427" s="5">
        <v>150441</v>
      </c>
      <c r="E427" s="4" t="s">
        <v>47</v>
      </c>
      <c r="F427" s="6" t="s">
        <v>86</v>
      </c>
    </row>
    <row r="428" spans="1:6" x14ac:dyDescent="0.25">
      <c r="A428" s="3">
        <v>2017</v>
      </c>
      <c r="B428" s="3" t="s">
        <v>276</v>
      </c>
      <c r="C428" s="4" t="s">
        <v>106</v>
      </c>
      <c r="D428" s="5">
        <v>150441</v>
      </c>
      <c r="E428" s="4" t="s">
        <v>47</v>
      </c>
      <c r="F428" s="6" t="s">
        <v>362</v>
      </c>
    </row>
    <row r="429" spans="1:6" ht="30" x14ac:dyDescent="0.25">
      <c r="A429" s="3">
        <v>2017</v>
      </c>
      <c r="B429" s="3" t="s">
        <v>276</v>
      </c>
      <c r="C429" s="4" t="s">
        <v>106</v>
      </c>
      <c r="D429" s="5">
        <v>152587</v>
      </c>
      <c r="E429" s="4" t="s">
        <v>47</v>
      </c>
      <c r="F429" s="6" t="s">
        <v>363</v>
      </c>
    </row>
    <row r="430" spans="1:6" x14ac:dyDescent="0.25">
      <c r="A430" s="3">
        <v>2017</v>
      </c>
      <c r="B430" s="3" t="s">
        <v>276</v>
      </c>
      <c r="C430" s="4" t="s">
        <v>106</v>
      </c>
      <c r="D430" s="5">
        <v>152587</v>
      </c>
      <c r="E430" s="4" t="s">
        <v>50</v>
      </c>
      <c r="F430" s="6" t="s">
        <v>364</v>
      </c>
    </row>
    <row r="431" spans="1:6" x14ac:dyDescent="0.25">
      <c r="A431" s="3">
        <v>2017</v>
      </c>
      <c r="B431" s="3" t="s">
        <v>276</v>
      </c>
      <c r="C431" s="4" t="s">
        <v>106</v>
      </c>
      <c r="D431" s="5">
        <v>152587</v>
      </c>
      <c r="E431" s="4" t="s">
        <v>50</v>
      </c>
      <c r="F431" s="6" t="s">
        <v>365</v>
      </c>
    </row>
    <row r="432" spans="1:6" ht="45" x14ac:dyDescent="0.25">
      <c r="A432" s="3">
        <v>2017</v>
      </c>
      <c r="B432" s="3" t="s">
        <v>276</v>
      </c>
      <c r="C432" s="4" t="s">
        <v>106</v>
      </c>
      <c r="D432" s="5">
        <v>149344</v>
      </c>
      <c r="E432" s="4" t="s">
        <v>63</v>
      </c>
      <c r="F432" s="6" t="s">
        <v>366</v>
      </c>
    </row>
    <row r="433" spans="1:6" x14ac:dyDescent="0.25">
      <c r="A433" s="3">
        <v>2017</v>
      </c>
      <c r="B433" s="3" t="s">
        <v>276</v>
      </c>
      <c r="C433" s="4" t="s">
        <v>106</v>
      </c>
      <c r="D433" s="5">
        <v>117440</v>
      </c>
      <c r="E433" s="4" t="s">
        <v>47</v>
      </c>
      <c r="F433" s="6" t="s">
        <v>367</v>
      </c>
    </row>
    <row r="434" spans="1:6" ht="30" x14ac:dyDescent="0.25">
      <c r="A434" s="3">
        <v>2017</v>
      </c>
      <c r="B434" s="3" t="s">
        <v>276</v>
      </c>
      <c r="C434" s="4" t="s">
        <v>106</v>
      </c>
      <c r="D434" s="5">
        <v>117440</v>
      </c>
      <c r="E434" s="4" t="s">
        <v>50</v>
      </c>
      <c r="F434" s="6" t="s">
        <v>368</v>
      </c>
    </row>
    <row r="435" spans="1:6" x14ac:dyDescent="0.25">
      <c r="A435" s="3">
        <v>2017</v>
      </c>
      <c r="B435" s="3" t="s">
        <v>276</v>
      </c>
      <c r="C435" s="4" t="s">
        <v>106</v>
      </c>
      <c r="D435" s="5">
        <v>59899</v>
      </c>
      <c r="E435" s="4" t="s">
        <v>54</v>
      </c>
      <c r="F435" s="6" t="s">
        <v>369</v>
      </c>
    </row>
    <row r="436" spans="1:6" x14ac:dyDescent="0.25">
      <c r="A436" s="3">
        <v>2017</v>
      </c>
      <c r="B436" s="3" t="s">
        <v>276</v>
      </c>
      <c r="C436" s="4" t="s">
        <v>106</v>
      </c>
      <c r="D436" s="5">
        <v>59899</v>
      </c>
      <c r="E436" s="4" t="s">
        <v>54</v>
      </c>
      <c r="F436" s="6" t="s">
        <v>370</v>
      </c>
    </row>
    <row r="437" spans="1:6" x14ac:dyDescent="0.25">
      <c r="A437" s="3">
        <v>2017</v>
      </c>
      <c r="B437" s="3" t="s">
        <v>276</v>
      </c>
      <c r="C437" s="4" t="s">
        <v>106</v>
      </c>
      <c r="D437" s="5">
        <v>99093</v>
      </c>
      <c r="E437" s="4" t="s">
        <v>47</v>
      </c>
      <c r="F437" s="6" t="s">
        <v>371</v>
      </c>
    </row>
    <row r="438" spans="1:6" x14ac:dyDescent="0.25">
      <c r="A438" s="3">
        <v>2017</v>
      </c>
      <c r="B438" s="3" t="s">
        <v>276</v>
      </c>
      <c r="C438" s="4" t="s">
        <v>106</v>
      </c>
      <c r="D438" s="5">
        <v>99093</v>
      </c>
      <c r="E438" s="4" t="s">
        <v>47</v>
      </c>
      <c r="F438" s="6" t="s">
        <v>372</v>
      </c>
    </row>
    <row r="439" spans="1:6" ht="30" x14ac:dyDescent="0.25">
      <c r="A439" s="3">
        <v>2017</v>
      </c>
      <c r="B439" s="3" t="s">
        <v>276</v>
      </c>
      <c r="C439" s="4" t="s">
        <v>106</v>
      </c>
      <c r="D439" s="5">
        <v>99093</v>
      </c>
      <c r="E439" s="4" t="s">
        <v>47</v>
      </c>
      <c r="F439" s="6" t="s">
        <v>373</v>
      </c>
    </row>
    <row r="440" spans="1:6" x14ac:dyDescent="0.25">
      <c r="A440" s="3">
        <v>2017</v>
      </c>
      <c r="B440" s="3" t="s">
        <v>276</v>
      </c>
      <c r="C440" s="4" t="s">
        <v>106</v>
      </c>
      <c r="D440" s="5">
        <v>99093</v>
      </c>
      <c r="E440" s="4" t="s">
        <v>47</v>
      </c>
      <c r="F440" s="6" t="s">
        <v>86</v>
      </c>
    </row>
    <row r="441" spans="1:6" ht="30" x14ac:dyDescent="0.25">
      <c r="A441" s="3">
        <v>2017</v>
      </c>
      <c r="B441" s="3" t="s">
        <v>276</v>
      </c>
      <c r="C441" s="4" t="s">
        <v>106</v>
      </c>
      <c r="D441" s="5">
        <v>99093</v>
      </c>
      <c r="E441" s="4" t="s">
        <v>50</v>
      </c>
      <c r="F441" s="6" t="s">
        <v>374</v>
      </c>
    </row>
    <row r="442" spans="1:6" x14ac:dyDescent="0.25">
      <c r="A442" s="3">
        <v>2017</v>
      </c>
      <c r="B442" s="3" t="s">
        <v>276</v>
      </c>
      <c r="C442" s="4" t="s">
        <v>106</v>
      </c>
      <c r="D442" s="5">
        <v>99093</v>
      </c>
      <c r="E442" s="4" t="s">
        <v>54</v>
      </c>
      <c r="F442" s="6" t="s">
        <v>375</v>
      </c>
    </row>
    <row r="443" spans="1:6" ht="30" x14ac:dyDescent="0.25">
      <c r="A443" s="3">
        <v>2017</v>
      </c>
      <c r="B443" s="3" t="s">
        <v>276</v>
      </c>
      <c r="C443" s="4" t="s">
        <v>106</v>
      </c>
      <c r="D443" s="5">
        <v>70359</v>
      </c>
      <c r="E443" s="4" t="s">
        <v>47</v>
      </c>
      <c r="F443" s="6" t="s">
        <v>376</v>
      </c>
    </row>
    <row r="444" spans="1:6" x14ac:dyDescent="0.25">
      <c r="A444" s="3">
        <v>2017</v>
      </c>
      <c r="B444" s="3" t="s">
        <v>276</v>
      </c>
      <c r="C444" s="4" t="s">
        <v>106</v>
      </c>
      <c r="D444" s="5">
        <v>70359</v>
      </c>
      <c r="E444" s="4" t="s">
        <v>50</v>
      </c>
      <c r="F444" s="6" t="s">
        <v>377</v>
      </c>
    </row>
    <row r="445" spans="1:6" x14ac:dyDescent="0.25">
      <c r="A445" s="3">
        <v>2017</v>
      </c>
      <c r="B445" s="3" t="s">
        <v>276</v>
      </c>
      <c r="C445" s="4" t="s">
        <v>106</v>
      </c>
      <c r="D445" s="5">
        <v>177162</v>
      </c>
      <c r="E445" s="4" t="s">
        <v>47</v>
      </c>
      <c r="F445" s="6" t="s">
        <v>79</v>
      </c>
    </row>
    <row r="446" spans="1:6" x14ac:dyDescent="0.25">
      <c r="A446" s="3">
        <v>2017</v>
      </c>
      <c r="B446" s="3" t="s">
        <v>276</v>
      </c>
      <c r="C446" s="4" t="s">
        <v>106</v>
      </c>
      <c r="D446" s="5">
        <v>177162</v>
      </c>
      <c r="E446" s="4" t="s">
        <v>47</v>
      </c>
      <c r="F446" s="6" t="s">
        <v>378</v>
      </c>
    </row>
    <row r="447" spans="1:6" x14ac:dyDescent="0.25">
      <c r="A447" s="3">
        <v>2017</v>
      </c>
      <c r="B447" s="3" t="s">
        <v>276</v>
      </c>
      <c r="C447" s="4" t="s">
        <v>106</v>
      </c>
      <c r="D447" s="5">
        <v>177162</v>
      </c>
      <c r="E447" s="4" t="s">
        <v>47</v>
      </c>
      <c r="F447" s="6" t="s">
        <v>379</v>
      </c>
    </row>
    <row r="448" spans="1:6" ht="45" x14ac:dyDescent="0.25">
      <c r="A448" s="3">
        <v>2017</v>
      </c>
      <c r="B448" s="3" t="s">
        <v>276</v>
      </c>
      <c r="C448" s="4" t="s">
        <v>106</v>
      </c>
      <c r="D448" s="5">
        <v>177162</v>
      </c>
      <c r="E448" s="4" t="s">
        <v>50</v>
      </c>
      <c r="F448" s="6" t="s">
        <v>380</v>
      </c>
    </row>
    <row r="449" spans="1:6" x14ac:dyDescent="0.25">
      <c r="A449" s="3">
        <v>2017</v>
      </c>
      <c r="B449" s="3" t="s">
        <v>276</v>
      </c>
      <c r="C449" s="4" t="s">
        <v>106</v>
      </c>
      <c r="D449" s="5">
        <v>60707</v>
      </c>
      <c r="E449" s="4" t="s">
        <v>54</v>
      </c>
      <c r="F449" s="6" t="s">
        <v>381</v>
      </c>
    </row>
    <row r="450" spans="1:6" x14ac:dyDescent="0.25">
      <c r="A450" s="3">
        <v>2017</v>
      </c>
      <c r="B450" s="3" t="s">
        <v>276</v>
      </c>
      <c r="C450" s="4" t="s">
        <v>106</v>
      </c>
      <c r="D450" s="5">
        <v>89391</v>
      </c>
      <c r="E450" s="4" t="s">
        <v>47</v>
      </c>
      <c r="F450" s="6" t="s">
        <v>382</v>
      </c>
    </row>
    <row r="451" spans="1:6" ht="30" x14ac:dyDescent="0.25">
      <c r="A451" s="3">
        <v>2017</v>
      </c>
      <c r="B451" s="3" t="s">
        <v>276</v>
      </c>
      <c r="C451" s="4" t="s">
        <v>106</v>
      </c>
      <c r="D451" s="5">
        <v>36541</v>
      </c>
      <c r="E451" s="4" t="s">
        <v>50</v>
      </c>
      <c r="F451" s="6" t="s">
        <v>383</v>
      </c>
    </row>
    <row r="452" spans="1:6" x14ac:dyDescent="0.25">
      <c r="A452" s="3">
        <v>2017</v>
      </c>
      <c r="B452" s="3" t="s">
        <v>276</v>
      </c>
      <c r="C452" s="4" t="s">
        <v>106</v>
      </c>
      <c r="D452" s="5">
        <v>91405</v>
      </c>
      <c r="E452" s="4" t="s">
        <v>47</v>
      </c>
      <c r="F452" s="6" t="s">
        <v>384</v>
      </c>
    </row>
    <row r="453" spans="1:6" ht="30" x14ac:dyDescent="0.25">
      <c r="A453" s="3">
        <v>2017</v>
      </c>
      <c r="B453" s="3" t="s">
        <v>276</v>
      </c>
      <c r="C453" s="4" t="s">
        <v>106</v>
      </c>
      <c r="D453" s="5">
        <v>91405</v>
      </c>
      <c r="E453" s="4" t="s">
        <v>50</v>
      </c>
      <c r="F453" s="6" t="s">
        <v>385</v>
      </c>
    </row>
    <row r="454" spans="1:6" ht="30" x14ac:dyDescent="0.25">
      <c r="A454" s="3">
        <v>2017</v>
      </c>
      <c r="B454" s="3" t="s">
        <v>276</v>
      </c>
      <c r="C454" s="4" t="s">
        <v>106</v>
      </c>
      <c r="D454" s="5">
        <v>91405</v>
      </c>
      <c r="E454" s="4" t="s">
        <v>50</v>
      </c>
      <c r="F454" s="6" t="s">
        <v>386</v>
      </c>
    </row>
    <row r="455" spans="1:6" x14ac:dyDescent="0.25">
      <c r="A455" s="3">
        <v>2017</v>
      </c>
      <c r="B455" s="3" t="s">
        <v>276</v>
      </c>
      <c r="C455" s="4" t="s">
        <v>106</v>
      </c>
      <c r="D455" s="5">
        <v>58321</v>
      </c>
      <c r="E455" s="4" t="s">
        <v>47</v>
      </c>
      <c r="F455" s="6" t="s">
        <v>387</v>
      </c>
    </row>
    <row r="456" spans="1:6" x14ac:dyDescent="0.25">
      <c r="A456" s="3">
        <v>2017</v>
      </c>
      <c r="B456" s="3" t="s">
        <v>276</v>
      </c>
      <c r="C456" s="4" t="s">
        <v>106</v>
      </c>
      <c r="D456" s="5">
        <v>58321</v>
      </c>
      <c r="E456" s="4" t="s">
        <v>50</v>
      </c>
      <c r="F456" s="6" t="s">
        <v>388</v>
      </c>
    </row>
    <row r="457" spans="1:6" x14ac:dyDescent="0.25">
      <c r="A457" s="3">
        <v>2017</v>
      </c>
      <c r="B457" s="3" t="s">
        <v>276</v>
      </c>
      <c r="C457" s="4" t="s">
        <v>106</v>
      </c>
      <c r="D457" s="5">
        <v>23994</v>
      </c>
      <c r="E457" s="4" t="s">
        <v>47</v>
      </c>
      <c r="F457" s="6" t="s">
        <v>59</v>
      </c>
    </row>
    <row r="458" spans="1:6" x14ac:dyDescent="0.25">
      <c r="A458" s="3">
        <v>2017</v>
      </c>
      <c r="B458" s="3" t="s">
        <v>276</v>
      </c>
      <c r="C458" s="4" t="s">
        <v>106</v>
      </c>
      <c r="D458" s="5">
        <v>23994</v>
      </c>
      <c r="E458" s="4" t="s">
        <v>47</v>
      </c>
      <c r="F458" s="6" t="s">
        <v>389</v>
      </c>
    </row>
    <row r="459" spans="1:6" ht="45" x14ac:dyDescent="0.25">
      <c r="A459" s="3">
        <v>2017</v>
      </c>
      <c r="B459" s="3" t="s">
        <v>276</v>
      </c>
      <c r="C459" s="4" t="s">
        <v>106</v>
      </c>
      <c r="D459" s="5">
        <v>23994</v>
      </c>
      <c r="E459" s="4" t="s">
        <v>50</v>
      </c>
      <c r="F459" s="6" t="s">
        <v>390</v>
      </c>
    </row>
    <row r="460" spans="1:6" x14ac:dyDescent="0.25">
      <c r="A460" s="3">
        <v>2017</v>
      </c>
      <c r="B460" s="3" t="s">
        <v>276</v>
      </c>
      <c r="C460" s="4" t="s">
        <v>106</v>
      </c>
      <c r="D460" s="5">
        <v>22673</v>
      </c>
      <c r="E460" s="4" t="s">
        <v>50</v>
      </c>
      <c r="F460" s="6" t="s">
        <v>391</v>
      </c>
    </row>
    <row r="461" spans="1:6" x14ac:dyDescent="0.25">
      <c r="A461" s="3">
        <v>2017</v>
      </c>
      <c r="B461" s="3" t="s">
        <v>276</v>
      </c>
      <c r="C461" s="4" t="s">
        <v>106</v>
      </c>
      <c r="D461" s="5">
        <v>22673</v>
      </c>
      <c r="E461" s="4" t="s">
        <v>50</v>
      </c>
      <c r="F461" s="6" t="s">
        <v>392</v>
      </c>
    </row>
    <row r="462" spans="1:6" ht="45" x14ac:dyDescent="0.25">
      <c r="A462" s="3">
        <v>2017</v>
      </c>
      <c r="B462" s="3" t="s">
        <v>276</v>
      </c>
      <c r="C462" s="4" t="s">
        <v>106</v>
      </c>
      <c r="D462" s="5">
        <v>22673</v>
      </c>
      <c r="E462" s="4" t="s">
        <v>50</v>
      </c>
      <c r="F462" s="6" t="s">
        <v>393</v>
      </c>
    </row>
    <row r="463" spans="1:6" ht="30" x14ac:dyDescent="0.25">
      <c r="A463" s="3">
        <v>2017</v>
      </c>
      <c r="B463" s="3" t="s">
        <v>276</v>
      </c>
      <c r="C463" s="4" t="s">
        <v>106</v>
      </c>
      <c r="D463" s="5">
        <v>22673</v>
      </c>
      <c r="E463" s="4" t="s">
        <v>63</v>
      </c>
      <c r="F463" s="6" t="s">
        <v>394</v>
      </c>
    </row>
    <row r="464" spans="1:6" x14ac:dyDescent="0.25">
      <c r="A464" s="3">
        <v>2017</v>
      </c>
      <c r="B464" s="3" t="s">
        <v>276</v>
      </c>
      <c r="C464" s="4" t="s">
        <v>106</v>
      </c>
      <c r="D464" s="5">
        <v>91397</v>
      </c>
      <c r="E464" s="4" t="s">
        <v>47</v>
      </c>
      <c r="F464" s="6" t="s">
        <v>395</v>
      </c>
    </row>
    <row r="465" spans="1:6" ht="30" x14ac:dyDescent="0.25">
      <c r="A465" s="3">
        <v>2017</v>
      </c>
      <c r="B465" s="3" t="s">
        <v>276</v>
      </c>
      <c r="C465" s="4" t="s">
        <v>106</v>
      </c>
      <c r="D465" s="5">
        <v>91397</v>
      </c>
      <c r="E465" s="4" t="s">
        <v>50</v>
      </c>
      <c r="F465" s="6" t="s">
        <v>396</v>
      </c>
    </row>
    <row r="466" spans="1:6" x14ac:dyDescent="0.25">
      <c r="A466" s="3">
        <v>2017</v>
      </c>
      <c r="B466" s="3" t="s">
        <v>276</v>
      </c>
      <c r="C466" s="4" t="s">
        <v>106</v>
      </c>
      <c r="D466" s="5">
        <v>64022</v>
      </c>
      <c r="E466" s="4" t="s">
        <v>47</v>
      </c>
      <c r="F466" s="6" t="s">
        <v>397</v>
      </c>
    </row>
    <row r="467" spans="1:6" x14ac:dyDescent="0.25">
      <c r="A467" s="3">
        <v>2017</v>
      </c>
      <c r="B467" s="3" t="s">
        <v>276</v>
      </c>
      <c r="C467" s="4" t="s">
        <v>106</v>
      </c>
      <c r="D467" s="5">
        <v>64022</v>
      </c>
      <c r="E467" s="4" t="s">
        <v>47</v>
      </c>
      <c r="F467" s="6" t="s">
        <v>398</v>
      </c>
    </row>
    <row r="468" spans="1:6" x14ac:dyDescent="0.25">
      <c r="A468" s="3">
        <v>2017</v>
      </c>
      <c r="B468" s="3" t="s">
        <v>276</v>
      </c>
      <c r="C468" s="4" t="s">
        <v>106</v>
      </c>
      <c r="D468" s="5">
        <v>64022</v>
      </c>
      <c r="E468" s="4" t="s">
        <v>47</v>
      </c>
      <c r="F468" s="6" t="s">
        <v>399</v>
      </c>
    </row>
    <row r="469" spans="1:6" ht="30" x14ac:dyDescent="0.25">
      <c r="A469" s="3">
        <v>2017</v>
      </c>
      <c r="B469" s="3" t="s">
        <v>276</v>
      </c>
      <c r="C469" s="4" t="s">
        <v>106</v>
      </c>
      <c r="D469" s="5">
        <v>64022</v>
      </c>
      <c r="E469" s="4" t="s">
        <v>63</v>
      </c>
      <c r="F469" s="6" t="s">
        <v>400</v>
      </c>
    </row>
    <row r="470" spans="1:6" x14ac:dyDescent="0.25">
      <c r="A470" s="3">
        <v>2017</v>
      </c>
      <c r="B470" s="3" t="s">
        <v>276</v>
      </c>
      <c r="C470" s="4" t="s">
        <v>106</v>
      </c>
      <c r="D470" s="5">
        <v>64022</v>
      </c>
      <c r="E470" s="4" t="s">
        <v>54</v>
      </c>
      <c r="F470" s="6" t="s">
        <v>401</v>
      </c>
    </row>
    <row r="471" spans="1:6" x14ac:dyDescent="0.25">
      <c r="A471" s="3">
        <v>2017</v>
      </c>
      <c r="B471" s="3" t="s">
        <v>276</v>
      </c>
      <c r="C471" s="4" t="s">
        <v>106</v>
      </c>
      <c r="D471" s="5">
        <v>64022</v>
      </c>
      <c r="E471" s="4" t="s">
        <v>54</v>
      </c>
      <c r="F471" s="6" t="s">
        <v>402</v>
      </c>
    </row>
    <row r="472" spans="1:6" ht="30" x14ac:dyDescent="0.25">
      <c r="A472" s="3">
        <v>2017</v>
      </c>
      <c r="B472" s="3" t="s">
        <v>276</v>
      </c>
      <c r="C472" s="4" t="s">
        <v>106</v>
      </c>
      <c r="D472" s="5">
        <v>88963</v>
      </c>
      <c r="E472" s="4" t="s">
        <v>50</v>
      </c>
      <c r="F472" s="6" t="s">
        <v>403</v>
      </c>
    </row>
    <row r="473" spans="1:6" x14ac:dyDescent="0.25">
      <c r="A473" s="3">
        <v>2017</v>
      </c>
      <c r="B473" s="3" t="s">
        <v>276</v>
      </c>
      <c r="C473" s="4" t="s">
        <v>106</v>
      </c>
      <c r="D473" s="5">
        <v>8888</v>
      </c>
      <c r="E473" s="4" t="s">
        <v>47</v>
      </c>
      <c r="F473" s="6" t="s">
        <v>404</v>
      </c>
    </row>
    <row r="474" spans="1:6" x14ac:dyDescent="0.25">
      <c r="A474" s="3">
        <v>2017</v>
      </c>
      <c r="B474" s="3" t="s">
        <v>276</v>
      </c>
      <c r="C474" s="4" t="s">
        <v>106</v>
      </c>
      <c r="D474" s="5">
        <v>8888</v>
      </c>
      <c r="E474" s="4" t="s">
        <v>50</v>
      </c>
      <c r="F474" s="6" t="s">
        <v>405</v>
      </c>
    </row>
    <row r="475" spans="1:6" ht="30" x14ac:dyDescent="0.25">
      <c r="A475" s="3">
        <v>2017</v>
      </c>
      <c r="B475" s="3" t="s">
        <v>276</v>
      </c>
      <c r="C475" s="4" t="s">
        <v>106</v>
      </c>
      <c r="D475" s="5">
        <v>8888</v>
      </c>
      <c r="E475" s="4" t="s">
        <v>63</v>
      </c>
      <c r="F475" s="6" t="s">
        <v>406</v>
      </c>
    </row>
    <row r="476" spans="1:6" ht="30" x14ac:dyDescent="0.25">
      <c r="A476" s="3">
        <v>2017</v>
      </c>
      <c r="B476" s="3" t="s">
        <v>276</v>
      </c>
      <c r="C476" s="4" t="s">
        <v>106</v>
      </c>
      <c r="D476" s="5">
        <v>64022</v>
      </c>
      <c r="E476" s="4" t="s">
        <v>63</v>
      </c>
      <c r="F476" s="6" t="s">
        <v>339</v>
      </c>
    </row>
    <row r="477" spans="1:6" x14ac:dyDescent="0.25">
      <c r="A477" s="3">
        <v>2017</v>
      </c>
      <c r="B477" s="3" t="s">
        <v>276</v>
      </c>
      <c r="C477" s="4" t="s">
        <v>106</v>
      </c>
      <c r="D477" s="5">
        <v>88963</v>
      </c>
      <c r="E477" s="4" t="s">
        <v>47</v>
      </c>
      <c r="F477" s="6" t="s">
        <v>340</v>
      </c>
    </row>
    <row r="478" spans="1:6" x14ac:dyDescent="0.25">
      <c r="A478" s="3">
        <v>2017</v>
      </c>
      <c r="B478" s="3" t="s">
        <v>276</v>
      </c>
      <c r="C478" s="4" t="s">
        <v>106</v>
      </c>
      <c r="D478" s="5">
        <v>8888</v>
      </c>
      <c r="E478" s="4" t="s">
        <v>47</v>
      </c>
      <c r="F478" s="6" t="s">
        <v>172</v>
      </c>
    </row>
    <row r="479" spans="1:6" x14ac:dyDescent="0.25">
      <c r="A479" s="3">
        <v>2017</v>
      </c>
      <c r="B479" s="3" t="s">
        <v>276</v>
      </c>
      <c r="C479" s="4" t="s">
        <v>106</v>
      </c>
      <c r="D479" s="5">
        <v>8888</v>
      </c>
      <c r="E479" s="4" t="s">
        <v>47</v>
      </c>
      <c r="F479" s="6" t="s">
        <v>341</v>
      </c>
    </row>
    <row r="480" spans="1:6" x14ac:dyDescent="0.25">
      <c r="A480" s="3">
        <v>2017</v>
      </c>
      <c r="B480" s="3" t="s">
        <v>276</v>
      </c>
      <c r="C480" s="4" t="s">
        <v>106</v>
      </c>
      <c r="D480" s="5">
        <v>8888</v>
      </c>
      <c r="E480" s="4" t="s">
        <v>47</v>
      </c>
      <c r="F480" s="6" t="s">
        <v>342</v>
      </c>
    </row>
    <row r="481" spans="1:6" x14ac:dyDescent="0.25">
      <c r="A481" s="3">
        <v>2017</v>
      </c>
      <c r="B481" s="3" t="s">
        <v>276</v>
      </c>
      <c r="C481" s="4" t="s">
        <v>106</v>
      </c>
      <c r="D481" s="5">
        <v>8888</v>
      </c>
      <c r="E481" s="4" t="s">
        <v>47</v>
      </c>
      <c r="F481" s="6" t="s">
        <v>343</v>
      </c>
    </row>
    <row r="482" spans="1:6" x14ac:dyDescent="0.25">
      <c r="A482" s="3">
        <v>2017</v>
      </c>
      <c r="B482" s="3" t="s">
        <v>276</v>
      </c>
      <c r="C482" s="4" t="s">
        <v>106</v>
      </c>
      <c r="D482" s="5">
        <v>8888</v>
      </c>
      <c r="E482" s="4" t="s">
        <v>50</v>
      </c>
      <c r="F482" s="6" t="s">
        <v>344</v>
      </c>
    </row>
    <row r="483" spans="1:6" ht="30" x14ac:dyDescent="0.25">
      <c r="A483" s="3">
        <v>2017</v>
      </c>
      <c r="B483" s="3" t="s">
        <v>276</v>
      </c>
      <c r="C483" s="4" t="s">
        <v>106</v>
      </c>
      <c r="D483" s="5">
        <v>8888</v>
      </c>
      <c r="E483" s="4" t="s">
        <v>63</v>
      </c>
      <c r="F483" s="6" t="s">
        <v>345</v>
      </c>
    </row>
    <row r="484" spans="1:6" x14ac:dyDescent="0.25">
      <c r="A484" s="3">
        <v>2017</v>
      </c>
      <c r="B484" s="3" t="s">
        <v>276</v>
      </c>
      <c r="C484" s="4" t="s">
        <v>106</v>
      </c>
      <c r="D484" s="5">
        <v>140335</v>
      </c>
      <c r="E484" s="4" t="s">
        <v>47</v>
      </c>
      <c r="F484" s="6" t="s">
        <v>346</v>
      </c>
    </row>
    <row r="485" spans="1:6" x14ac:dyDescent="0.25">
      <c r="A485" s="3">
        <v>2017</v>
      </c>
      <c r="B485" s="3" t="s">
        <v>347</v>
      </c>
      <c r="C485" s="4" t="s">
        <v>106</v>
      </c>
      <c r="D485" s="5">
        <v>117671</v>
      </c>
      <c r="E485" s="4" t="s">
        <v>47</v>
      </c>
      <c r="F485" s="6" t="s">
        <v>161</v>
      </c>
    </row>
    <row r="486" spans="1:6" ht="30" x14ac:dyDescent="0.25">
      <c r="A486" s="3">
        <v>2017</v>
      </c>
      <c r="B486" s="3" t="s">
        <v>347</v>
      </c>
      <c r="C486" s="4" t="s">
        <v>106</v>
      </c>
      <c r="D486" s="5">
        <v>117671</v>
      </c>
      <c r="E486" s="4" t="s">
        <v>63</v>
      </c>
      <c r="F486" s="6" t="s">
        <v>162</v>
      </c>
    </row>
    <row r="487" spans="1:6" ht="30" x14ac:dyDescent="0.25">
      <c r="A487" s="3">
        <v>2017</v>
      </c>
      <c r="B487" s="3" t="s">
        <v>347</v>
      </c>
      <c r="C487" s="4" t="s">
        <v>106</v>
      </c>
      <c r="D487" s="5">
        <v>104133</v>
      </c>
      <c r="E487" s="4" t="s">
        <v>47</v>
      </c>
      <c r="F487" s="6" t="s">
        <v>163</v>
      </c>
    </row>
    <row r="488" spans="1:6" x14ac:dyDescent="0.25">
      <c r="A488" s="3">
        <v>2017</v>
      </c>
      <c r="B488" s="3" t="s">
        <v>347</v>
      </c>
      <c r="C488" s="4" t="s">
        <v>106</v>
      </c>
      <c r="D488" s="5">
        <v>104133</v>
      </c>
      <c r="E488" s="4" t="s">
        <v>47</v>
      </c>
      <c r="F488" s="6" t="s">
        <v>164</v>
      </c>
    </row>
    <row r="489" spans="1:6" x14ac:dyDescent="0.25">
      <c r="A489" s="3">
        <v>2017</v>
      </c>
      <c r="B489" s="3" t="s">
        <v>347</v>
      </c>
      <c r="C489" s="4" t="s">
        <v>106</v>
      </c>
      <c r="D489" s="5">
        <v>104133</v>
      </c>
      <c r="E489" s="4" t="s">
        <v>47</v>
      </c>
      <c r="F489" s="6" t="s">
        <v>165</v>
      </c>
    </row>
    <row r="490" spans="1:6" x14ac:dyDescent="0.25">
      <c r="A490" s="3">
        <v>2017</v>
      </c>
      <c r="B490" s="3" t="s">
        <v>347</v>
      </c>
      <c r="C490" s="4" t="s">
        <v>106</v>
      </c>
      <c r="D490" s="5">
        <v>114603</v>
      </c>
      <c r="E490" s="4" t="s">
        <v>47</v>
      </c>
      <c r="F490" s="6" t="s">
        <v>166</v>
      </c>
    </row>
    <row r="491" spans="1:6" x14ac:dyDescent="0.25">
      <c r="A491" s="3">
        <v>2017</v>
      </c>
      <c r="B491" s="3" t="s">
        <v>347</v>
      </c>
      <c r="C491" s="4" t="s">
        <v>106</v>
      </c>
      <c r="D491" s="5">
        <v>114603</v>
      </c>
      <c r="E491" s="4" t="s">
        <v>47</v>
      </c>
      <c r="F491" s="6" t="s">
        <v>167</v>
      </c>
    </row>
    <row r="492" spans="1:6" ht="30" x14ac:dyDescent="0.25">
      <c r="A492" s="3">
        <v>2017</v>
      </c>
      <c r="B492" s="3" t="s">
        <v>347</v>
      </c>
      <c r="C492" s="4" t="s">
        <v>106</v>
      </c>
      <c r="D492" s="5">
        <v>114603</v>
      </c>
      <c r="E492" s="4" t="s">
        <v>63</v>
      </c>
      <c r="F492" s="6" t="s">
        <v>168</v>
      </c>
    </row>
    <row r="493" spans="1:6" x14ac:dyDescent="0.25">
      <c r="A493" s="3">
        <v>2017</v>
      </c>
      <c r="B493" s="3" t="s">
        <v>347</v>
      </c>
      <c r="C493" s="4" t="s">
        <v>106</v>
      </c>
      <c r="D493" s="5">
        <v>114603</v>
      </c>
      <c r="E493" s="4" t="s">
        <v>54</v>
      </c>
      <c r="F493" s="6" t="s">
        <v>169</v>
      </c>
    </row>
    <row r="494" spans="1:6" x14ac:dyDescent="0.25">
      <c r="A494" s="3">
        <v>2017</v>
      </c>
      <c r="B494" s="3" t="s">
        <v>347</v>
      </c>
      <c r="C494" s="4" t="s">
        <v>106</v>
      </c>
      <c r="D494" s="5">
        <v>104133</v>
      </c>
      <c r="E494" s="4" t="s">
        <v>47</v>
      </c>
      <c r="F494" s="6" t="s">
        <v>458</v>
      </c>
    </row>
    <row r="495" spans="1:6" x14ac:dyDescent="0.25">
      <c r="A495" s="3">
        <v>2017</v>
      </c>
      <c r="B495" s="3" t="s">
        <v>347</v>
      </c>
      <c r="C495" s="4" t="s">
        <v>106</v>
      </c>
      <c r="D495" s="5">
        <v>104133</v>
      </c>
      <c r="E495" s="4" t="s">
        <v>47</v>
      </c>
      <c r="F495" s="6" t="s">
        <v>459</v>
      </c>
    </row>
    <row r="496" spans="1:6" x14ac:dyDescent="0.25">
      <c r="A496" s="3">
        <v>2017</v>
      </c>
      <c r="B496" s="3" t="s">
        <v>347</v>
      </c>
      <c r="C496" s="4" t="s">
        <v>106</v>
      </c>
      <c r="D496" s="5">
        <v>104133</v>
      </c>
      <c r="E496" s="4" t="s">
        <v>50</v>
      </c>
      <c r="F496" s="6" t="s">
        <v>460</v>
      </c>
    </row>
    <row r="497" spans="1:6" x14ac:dyDescent="0.25">
      <c r="A497" s="3">
        <v>2017</v>
      </c>
      <c r="B497" s="3" t="s">
        <v>347</v>
      </c>
      <c r="C497" s="4" t="s">
        <v>106</v>
      </c>
      <c r="D497" s="5">
        <v>104133</v>
      </c>
      <c r="E497" s="4" t="s">
        <v>50</v>
      </c>
      <c r="F497" s="6" t="s">
        <v>461</v>
      </c>
    </row>
    <row r="498" spans="1:6" x14ac:dyDescent="0.25">
      <c r="A498" s="3">
        <v>2017</v>
      </c>
      <c r="B498" s="3" t="s">
        <v>347</v>
      </c>
      <c r="C498" s="4" t="s">
        <v>106</v>
      </c>
      <c r="D498" s="5">
        <v>110569</v>
      </c>
      <c r="E498" s="4" t="s">
        <v>47</v>
      </c>
      <c r="F498" s="6" t="s">
        <v>462</v>
      </c>
    </row>
    <row r="499" spans="1:6" x14ac:dyDescent="0.25">
      <c r="A499" s="3">
        <v>2017</v>
      </c>
      <c r="B499" s="3" t="s">
        <v>347</v>
      </c>
      <c r="C499" s="4" t="s">
        <v>106</v>
      </c>
      <c r="D499" s="5">
        <v>117465</v>
      </c>
      <c r="E499" s="4" t="s">
        <v>47</v>
      </c>
      <c r="F499" s="6" t="s">
        <v>463</v>
      </c>
    </row>
    <row r="500" spans="1:6" x14ac:dyDescent="0.25">
      <c r="A500" s="3">
        <v>2017</v>
      </c>
      <c r="B500" s="3" t="s">
        <v>347</v>
      </c>
      <c r="C500" s="4" t="s">
        <v>106</v>
      </c>
      <c r="D500" s="5">
        <v>117465</v>
      </c>
      <c r="E500" s="4" t="s">
        <v>50</v>
      </c>
      <c r="F500" s="6" t="s">
        <v>464</v>
      </c>
    </row>
    <row r="501" spans="1:6" x14ac:dyDescent="0.25">
      <c r="A501" s="3">
        <v>2017</v>
      </c>
      <c r="B501" s="3" t="s">
        <v>347</v>
      </c>
      <c r="C501" s="4" t="s">
        <v>106</v>
      </c>
      <c r="D501" s="5">
        <v>121681</v>
      </c>
      <c r="E501" s="4" t="s">
        <v>47</v>
      </c>
      <c r="F501" s="6" t="s">
        <v>465</v>
      </c>
    </row>
    <row r="502" spans="1:6" x14ac:dyDescent="0.25">
      <c r="A502" s="3">
        <v>2017</v>
      </c>
      <c r="B502" s="3" t="s">
        <v>347</v>
      </c>
      <c r="C502" s="4" t="s">
        <v>106</v>
      </c>
      <c r="D502" s="5">
        <v>103275</v>
      </c>
      <c r="E502" s="4" t="s">
        <v>47</v>
      </c>
      <c r="F502" s="6" t="s">
        <v>466</v>
      </c>
    </row>
    <row r="503" spans="1:6" x14ac:dyDescent="0.25">
      <c r="A503" s="3">
        <v>2017</v>
      </c>
      <c r="B503" s="3" t="s">
        <v>347</v>
      </c>
      <c r="C503" s="4" t="s">
        <v>106</v>
      </c>
      <c r="D503" s="5">
        <v>103275</v>
      </c>
      <c r="E503" s="4" t="s">
        <v>47</v>
      </c>
      <c r="F503" s="6" t="s">
        <v>467</v>
      </c>
    </row>
    <row r="504" spans="1:6" x14ac:dyDescent="0.25">
      <c r="A504" s="3">
        <v>2017</v>
      </c>
      <c r="B504" s="3" t="s">
        <v>347</v>
      </c>
      <c r="C504" s="4" t="s">
        <v>106</v>
      </c>
      <c r="D504" s="5">
        <v>103275</v>
      </c>
      <c r="E504" s="4" t="s">
        <v>47</v>
      </c>
      <c r="F504" s="6" t="s">
        <v>468</v>
      </c>
    </row>
    <row r="505" spans="1:6" x14ac:dyDescent="0.25">
      <c r="A505" s="3">
        <v>2017</v>
      </c>
      <c r="B505" s="3" t="s">
        <v>347</v>
      </c>
      <c r="C505" s="4" t="s">
        <v>106</v>
      </c>
      <c r="D505" s="5">
        <v>150441</v>
      </c>
      <c r="E505" s="4" t="s">
        <v>47</v>
      </c>
      <c r="F505" s="6" t="s">
        <v>469</v>
      </c>
    </row>
    <row r="506" spans="1:6" x14ac:dyDescent="0.25">
      <c r="A506" s="3">
        <v>2017</v>
      </c>
      <c r="B506" s="3" t="s">
        <v>347</v>
      </c>
      <c r="C506" s="4" t="s">
        <v>106</v>
      </c>
      <c r="D506" s="5">
        <v>152587</v>
      </c>
      <c r="E506" s="4" t="s">
        <v>50</v>
      </c>
      <c r="F506" s="6" t="s">
        <v>470</v>
      </c>
    </row>
    <row r="507" spans="1:6" x14ac:dyDescent="0.25">
      <c r="A507" s="3">
        <v>2017</v>
      </c>
      <c r="B507" s="3" t="s">
        <v>347</v>
      </c>
      <c r="C507" s="4" t="s">
        <v>106</v>
      </c>
      <c r="D507" s="5">
        <v>149344</v>
      </c>
      <c r="E507" s="4" t="s">
        <v>47</v>
      </c>
      <c r="F507" s="6" t="s">
        <v>471</v>
      </c>
    </row>
    <row r="508" spans="1:6" x14ac:dyDescent="0.25">
      <c r="A508" s="3">
        <v>2017</v>
      </c>
      <c r="B508" s="3" t="s">
        <v>347</v>
      </c>
      <c r="C508" s="4" t="s">
        <v>106</v>
      </c>
      <c r="D508" s="5">
        <v>117440</v>
      </c>
      <c r="E508" s="4" t="s">
        <v>54</v>
      </c>
      <c r="F508" s="6" t="s">
        <v>472</v>
      </c>
    </row>
    <row r="509" spans="1:6" x14ac:dyDescent="0.25">
      <c r="A509" s="3">
        <v>2017</v>
      </c>
      <c r="B509" s="3" t="s">
        <v>347</v>
      </c>
      <c r="C509" s="4" t="s">
        <v>106</v>
      </c>
      <c r="D509" s="5">
        <v>153700</v>
      </c>
      <c r="E509" s="4" t="s">
        <v>47</v>
      </c>
      <c r="F509" s="6" t="s">
        <v>473</v>
      </c>
    </row>
    <row r="510" spans="1:6" ht="60" x14ac:dyDescent="0.25">
      <c r="A510" s="3">
        <v>2017</v>
      </c>
      <c r="B510" s="3" t="s">
        <v>347</v>
      </c>
      <c r="C510" s="4" t="s">
        <v>106</v>
      </c>
      <c r="D510" s="5">
        <v>153700</v>
      </c>
      <c r="E510" s="4" t="s">
        <v>50</v>
      </c>
      <c r="F510" s="6" t="s">
        <v>474</v>
      </c>
    </row>
    <row r="511" spans="1:6" ht="30" x14ac:dyDescent="0.25">
      <c r="A511" s="3">
        <v>2017</v>
      </c>
      <c r="B511" s="3" t="s">
        <v>347</v>
      </c>
      <c r="C511" s="4" t="s">
        <v>106</v>
      </c>
      <c r="D511" s="5">
        <v>59899</v>
      </c>
      <c r="E511" s="4" t="s">
        <v>47</v>
      </c>
      <c r="F511" s="6" t="s">
        <v>475</v>
      </c>
    </row>
    <row r="512" spans="1:6" x14ac:dyDescent="0.25">
      <c r="A512" s="3">
        <v>2017</v>
      </c>
      <c r="B512" s="3" t="s">
        <v>347</v>
      </c>
      <c r="C512" s="4" t="s">
        <v>106</v>
      </c>
      <c r="D512" s="5">
        <v>59899</v>
      </c>
      <c r="E512" s="4" t="s">
        <v>50</v>
      </c>
      <c r="F512" s="6" t="s">
        <v>476</v>
      </c>
    </row>
    <row r="513" spans="1:6" ht="30" x14ac:dyDescent="0.25">
      <c r="A513" s="3">
        <v>2017</v>
      </c>
      <c r="B513" s="3" t="s">
        <v>347</v>
      </c>
      <c r="C513" s="4" t="s">
        <v>106</v>
      </c>
      <c r="D513" s="5">
        <v>99093</v>
      </c>
      <c r="E513" s="4" t="s">
        <v>47</v>
      </c>
      <c r="F513" s="6" t="s">
        <v>477</v>
      </c>
    </row>
    <row r="514" spans="1:6" ht="60" x14ac:dyDescent="0.25">
      <c r="A514" s="3">
        <v>2017</v>
      </c>
      <c r="B514" s="3" t="s">
        <v>347</v>
      </c>
      <c r="C514" s="4" t="s">
        <v>106</v>
      </c>
      <c r="D514" s="5">
        <v>99093</v>
      </c>
      <c r="E514" s="4" t="s">
        <v>63</v>
      </c>
      <c r="F514" s="6" t="s">
        <v>478</v>
      </c>
    </row>
    <row r="515" spans="1:6" x14ac:dyDescent="0.25">
      <c r="A515" s="3">
        <v>2017</v>
      </c>
      <c r="B515" s="3" t="s">
        <v>347</v>
      </c>
      <c r="C515" s="4" t="s">
        <v>106</v>
      </c>
      <c r="D515" s="5">
        <v>70375</v>
      </c>
      <c r="E515" s="4" t="s">
        <v>47</v>
      </c>
      <c r="F515" s="6" t="s">
        <v>479</v>
      </c>
    </row>
    <row r="516" spans="1:6" x14ac:dyDescent="0.25">
      <c r="A516" s="3">
        <v>2017</v>
      </c>
      <c r="B516" s="3" t="s">
        <v>347</v>
      </c>
      <c r="C516" s="4" t="s">
        <v>106</v>
      </c>
      <c r="D516" s="5">
        <v>70375</v>
      </c>
      <c r="E516" s="4" t="s">
        <v>54</v>
      </c>
      <c r="F516" s="6" t="s">
        <v>480</v>
      </c>
    </row>
    <row r="517" spans="1:6" ht="60" x14ac:dyDescent="0.25">
      <c r="A517" s="3">
        <v>2017</v>
      </c>
      <c r="B517" s="3" t="s">
        <v>347</v>
      </c>
      <c r="C517" s="4" t="s">
        <v>106</v>
      </c>
      <c r="D517" s="5">
        <v>70359</v>
      </c>
      <c r="E517" s="4" t="s">
        <v>63</v>
      </c>
      <c r="F517" s="6" t="s">
        <v>481</v>
      </c>
    </row>
    <row r="518" spans="1:6" ht="30" x14ac:dyDescent="0.25">
      <c r="A518" s="3">
        <v>2017</v>
      </c>
      <c r="B518" s="3" t="s">
        <v>347</v>
      </c>
      <c r="C518" s="4" t="s">
        <v>106</v>
      </c>
      <c r="D518" s="5">
        <v>70359</v>
      </c>
      <c r="E518" s="4" t="s">
        <v>63</v>
      </c>
      <c r="F518" s="6" t="s">
        <v>482</v>
      </c>
    </row>
    <row r="519" spans="1:6" x14ac:dyDescent="0.25">
      <c r="A519" s="3">
        <v>2017</v>
      </c>
      <c r="B519" s="3" t="s">
        <v>347</v>
      </c>
      <c r="C519" s="4" t="s">
        <v>106</v>
      </c>
      <c r="D519" s="5">
        <v>99911</v>
      </c>
      <c r="E519" s="4" t="s">
        <v>47</v>
      </c>
      <c r="F519" s="6" t="s">
        <v>79</v>
      </c>
    </row>
    <row r="520" spans="1:6" x14ac:dyDescent="0.25">
      <c r="A520" s="3">
        <v>2017</v>
      </c>
      <c r="B520" s="3" t="s">
        <v>347</v>
      </c>
      <c r="C520" s="4" t="s">
        <v>106</v>
      </c>
      <c r="D520" s="5">
        <v>99911</v>
      </c>
      <c r="E520" s="4" t="s">
        <v>47</v>
      </c>
      <c r="F520" s="6" t="s">
        <v>483</v>
      </c>
    </row>
    <row r="521" spans="1:6" x14ac:dyDescent="0.25">
      <c r="A521" s="3">
        <v>2017</v>
      </c>
      <c r="B521" s="3" t="s">
        <v>347</v>
      </c>
      <c r="C521" s="4" t="s">
        <v>106</v>
      </c>
      <c r="D521" s="5">
        <v>99911</v>
      </c>
      <c r="E521" s="4" t="s">
        <v>50</v>
      </c>
      <c r="F521" s="6" t="s">
        <v>484</v>
      </c>
    </row>
    <row r="522" spans="1:6" ht="60" x14ac:dyDescent="0.25">
      <c r="A522" s="3">
        <v>2017</v>
      </c>
      <c r="B522" s="3" t="s">
        <v>347</v>
      </c>
      <c r="C522" s="4" t="s">
        <v>106</v>
      </c>
      <c r="D522" s="5">
        <v>99911</v>
      </c>
      <c r="E522" s="4" t="s">
        <v>63</v>
      </c>
      <c r="F522" s="6" t="s">
        <v>485</v>
      </c>
    </row>
    <row r="523" spans="1:6" ht="60" x14ac:dyDescent="0.25">
      <c r="A523" s="3">
        <v>2017</v>
      </c>
      <c r="B523" s="3" t="s">
        <v>347</v>
      </c>
      <c r="C523" s="4" t="s">
        <v>106</v>
      </c>
      <c r="D523" s="5">
        <v>99911</v>
      </c>
      <c r="E523" s="4" t="s">
        <v>63</v>
      </c>
      <c r="F523" s="6" t="s">
        <v>486</v>
      </c>
    </row>
    <row r="524" spans="1:6" x14ac:dyDescent="0.25">
      <c r="A524" s="3">
        <v>2017</v>
      </c>
      <c r="B524" s="3" t="s">
        <v>347</v>
      </c>
      <c r="C524" s="4" t="s">
        <v>106</v>
      </c>
      <c r="D524" s="5">
        <v>177162</v>
      </c>
      <c r="E524" s="4" t="s">
        <v>47</v>
      </c>
      <c r="F524" s="6" t="s">
        <v>487</v>
      </c>
    </row>
    <row r="525" spans="1:6" x14ac:dyDescent="0.25">
      <c r="A525" s="3">
        <v>2017</v>
      </c>
      <c r="B525" s="3" t="s">
        <v>347</v>
      </c>
      <c r="C525" s="4" t="s">
        <v>106</v>
      </c>
      <c r="D525" s="5">
        <v>177162</v>
      </c>
      <c r="E525" s="4" t="s">
        <v>47</v>
      </c>
      <c r="F525" s="6" t="s">
        <v>488</v>
      </c>
    </row>
    <row r="526" spans="1:6" ht="135" x14ac:dyDescent="0.25">
      <c r="A526" s="3">
        <v>2017</v>
      </c>
      <c r="B526" s="3" t="s">
        <v>347</v>
      </c>
      <c r="C526" s="4" t="s">
        <v>106</v>
      </c>
      <c r="D526" s="5">
        <v>177162</v>
      </c>
      <c r="E526" s="4" t="s">
        <v>63</v>
      </c>
      <c r="F526" s="6" t="s">
        <v>489</v>
      </c>
    </row>
    <row r="527" spans="1:6" x14ac:dyDescent="0.25">
      <c r="A527" s="3">
        <v>2017</v>
      </c>
      <c r="B527" s="3" t="s">
        <v>347</v>
      </c>
      <c r="C527" s="4" t="s">
        <v>106</v>
      </c>
      <c r="D527" s="5">
        <v>177162</v>
      </c>
      <c r="E527" s="4" t="s">
        <v>54</v>
      </c>
      <c r="F527" s="6" t="s">
        <v>490</v>
      </c>
    </row>
    <row r="528" spans="1:6" ht="30" x14ac:dyDescent="0.25">
      <c r="A528" s="3">
        <v>2017</v>
      </c>
      <c r="B528" s="3" t="s">
        <v>347</v>
      </c>
      <c r="C528" s="4" t="s">
        <v>106</v>
      </c>
      <c r="D528" s="5">
        <v>60707</v>
      </c>
      <c r="E528" s="4" t="s">
        <v>47</v>
      </c>
      <c r="F528" s="6" t="s">
        <v>491</v>
      </c>
    </row>
    <row r="529" spans="1:6" x14ac:dyDescent="0.25">
      <c r="A529" s="3">
        <v>2017</v>
      </c>
      <c r="B529" s="3" t="s">
        <v>347</v>
      </c>
      <c r="C529" s="4" t="s">
        <v>106</v>
      </c>
      <c r="D529" s="5">
        <v>36541</v>
      </c>
      <c r="E529" s="4" t="s">
        <v>47</v>
      </c>
      <c r="F529" s="6" t="s">
        <v>492</v>
      </c>
    </row>
    <row r="530" spans="1:6" x14ac:dyDescent="0.25">
      <c r="A530" s="3">
        <v>2017</v>
      </c>
      <c r="B530" s="3" t="s">
        <v>347</v>
      </c>
      <c r="C530" s="4" t="s">
        <v>106</v>
      </c>
      <c r="D530" s="5">
        <v>36541</v>
      </c>
      <c r="E530" s="4" t="s">
        <v>47</v>
      </c>
      <c r="F530" s="6" t="s">
        <v>493</v>
      </c>
    </row>
    <row r="531" spans="1:6" x14ac:dyDescent="0.25">
      <c r="A531" s="3">
        <v>2017</v>
      </c>
      <c r="B531" s="3" t="s">
        <v>347</v>
      </c>
      <c r="C531" s="4" t="s">
        <v>106</v>
      </c>
      <c r="D531" s="5">
        <v>36541</v>
      </c>
      <c r="E531" s="4" t="s">
        <v>47</v>
      </c>
      <c r="F531" s="6" t="s">
        <v>494</v>
      </c>
    </row>
    <row r="532" spans="1:6" x14ac:dyDescent="0.25">
      <c r="A532" s="3">
        <v>2017</v>
      </c>
      <c r="B532" s="3" t="s">
        <v>347</v>
      </c>
      <c r="C532" s="4" t="s">
        <v>106</v>
      </c>
      <c r="D532" s="5">
        <v>58321</v>
      </c>
      <c r="E532" s="4" t="s">
        <v>54</v>
      </c>
      <c r="F532" s="6" t="s">
        <v>495</v>
      </c>
    </row>
    <row r="533" spans="1:6" ht="30" x14ac:dyDescent="0.25">
      <c r="A533" s="3">
        <v>2017</v>
      </c>
      <c r="B533" s="3" t="s">
        <v>347</v>
      </c>
      <c r="C533" s="4" t="s">
        <v>106</v>
      </c>
      <c r="D533" s="5">
        <v>23994</v>
      </c>
      <c r="E533" s="4" t="s">
        <v>47</v>
      </c>
      <c r="F533" s="6" t="s">
        <v>496</v>
      </c>
    </row>
    <row r="534" spans="1:6" x14ac:dyDescent="0.25">
      <c r="A534" s="3">
        <v>2017</v>
      </c>
      <c r="B534" s="3" t="s">
        <v>347</v>
      </c>
      <c r="C534" s="4" t="s">
        <v>106</v>
      </c>
      <c r="D534" s="5">
        <v>23994</v>
      </c>
      <c r="E534" s="4" t="s">
        <v>50</v>
      </c>
      <c r="F534" s="6" t="s">
        <v>497</v>
      </c>
    </row>
    <row r="535" spans="1:6" x14ac:dyDescent="0.25">
      <c r="A535" s="3">
        <v>2017</v>
      </c>
      <c r="B535" s="3" t="s">
        <v>347</v>
      </c>
      <c r="C535" s="4" t="s">
        <v>106</v>
      </c>
      <c r="D535" s="5">
        <v>23994</v>
      </c>
      <c r="E535" s="4" t="s">
        <v>54</v>
      </c>
      <c r="F535" s="6" t="s">
        <v>498</v>
      </c>
    </row>
    <row r="536" spans="1:6" x14ac:dyDescent="0.25">
      <c r="A536" s="3">
        <v>2017</v>
      </c>
      <c r="B536" s="3" t="s">
        <v>347</v>
      </c>
      <c r="C536" s="4" t="s">
        <v>106</v>
      </c>
      <c r="D536" s="5">
        <v>22673</v>
      </c>
      <c r="E536" s="4" t="s">
        <v>47</v>
      </c>
      <c r="F536" s="6" t="s">
        <v>499</v>
      </c>
    </row>
    <row r="537" spans="1:6" x14ac:dyDescent="0.25">
      <c r="A537" s="3">
        <v>2017</v>
      </c>
      <c r="B537" s="3" t="s">
        <v>347</v>
      </c>
      <c r="C537" s="4" t="s">
        <v>106</v>
      </c>
      <c r="D537" s="5">
        <v>22673</v>
      </c>
      <c r="E537" s="4" t="s">
        <v>47</v>
      </c>
      <c r="F537" s="6" t="s">
        <v>500</v>
      </c>
    </row>
    <row r="538" spans="1:6" x14ac:dyDescent="0.25">
      <c r="A538" s="3">
        <v>2017</v>
      </c>
      <c r="B538" s="3" t="s">
        <v>347</v>
      </c>
      <c r="C538" s="4" t="s">
        <v>106</v>
      </c>
      <c r="D538" s="5">
        <v>91397</v>
      </c>
      <c r="E538" s="4" t="s">
        <v>47</v>
      </c>
      <c r="F538" s="6" t="s">
        <v>86</v>
      </c>
    </row>
    <row r="539" spans="1:6" ht="45" x14ac:dyDescent="0.25">
      <c r="A539" s="3">
        <v>2017</v>
      </c>
      <c r="B539" s="3" t="s">
        <v>347</v>
      </c>
      <c r="C539" s="4" t="s">
        <v>106</v>
      </c>
      <c r="D539" s="5">
        <v>88963</v>
      </c>
      <c r="E539" s="4" t="s">
        <v>47</v>
      </c>
      <c r="F539" s="6" t="s">
        <v>501</v>
      </c>
    </row>
    <row r="540" spans="1:6" x14ac:dyDescent="0.25">
      <c r="A540" s="3">
        <v>2017</v>
      </c>
      <c r="B540" s="3" t="s">
        <v>347</v>
      </c>
      <c r="C540" s="4" t="s">
        <v>106</v>
      </c>
      <c r="D540" s="5">
        <v>88963</v>
      </c>
      <c r="E540" s="4" t="s">
        <v>47</v>
      </c>
      <c r="F540" s="6" t="s">
        <v>459</v>
      </c>
    </row>
    <row r="541" spans="1:6" x14ac:dyDescent="0.25">
      <c r="A541" s="3">
        <v>2017</v>
      </c>
      <c r="B541" s="3" t="s">
        <v>347</v>
      </c>
      <c r="C541" s="4" t="s">
        <v>106</v>
      </c>
      <c r="D541" s="5">
        <v>88963</v>
      </c>
      <c r="E541" s="4" t="s">
        <v>47</v>
      </c>
      <c r="F541" s="6" t="s">
        <v>502</v>
      </c>
    </row>
    <row r="542" spans="1:6" ht="30" x14ac:dyDescent="0.25">
      <c r="A542" s="3">
        <v>2017</v>
      </c>
      <c r="B542" s="3" t="s">
        <v>347</v>
      </c>
      <c r="C542" s="4" t="s">
        <v>106</v>
      </c>
      <c r="D542" s="5">
        <v>88963</v>
      </c>
      <c r="E542" s="4" t="s">
        <v>47</v>
      </c>
      <c r="F542" s="6" t="s">
        <v>503</v>
      </c>
    </row>
    <row r="543" spans="1:6" ht="30" x14ac:dyDescent="0.25">
      <c r="A543" s="3">
        <v>2017</v>
      </c>
      <c r="B543" s="3" t="s">
        <v>347</v>
      </c>
      <c r="C543" s="4" t="s">
        <v>106</v>
      </c>
      <c r="D543" s="5">
        <v>88963</v>
      </c>
      <c r="E543" s="4" t="s">
        <v>50</v>
      </c>
      <c r="F543" s="6" t="s">
        <v>504</v>
      </c>
    </row>
    <row r="544" spans="1:6" ht="30" x14ac:dyDescent="0.25">
      <c r="A544" s="3">
        <v>2017</v>
      </c>
      <c r="B544" s="3" t="s">
        <v>347</v>
      </c>
      <c r="C544" s="4" t="s">
        <v>106</v>
      </c>
      <c r="D544" s="5">
        <v>8888</v>
      </c>
      <c r="E544" s="4" t="s">
        <v>47</v>
      </c>
      <c r="F544" s="6" t="s">
        <v>505</v>
      </c>
    </row>
    <row r="545" spans="1:6" x14ac:dyDescent="0.25">
      <c r="A545" s="3">
        <v>2017</v>
      </c>
      <c r="B545" s="3" t="s">
        <v>347</v>
      </c>
      <c r="C545" s="4" t="s">
        <v>106</v>
      </c>
      <c r="D545" s="5">
        <v>8888</v>
      </c>
      <c r="E545" s="4" t="s">
        <v>54</v>
      </c>
      <c r="F545" s="6" t="s">
        <v>506</v>
      </c>
    </row>
    <row r="546" spans="1:6" x14ac:dyDescent="0.25">
      <c r="A546" s="3">
        <v>2017</v>
      </c>
      <c r="B546" s="3" t="s">
        <v>347</v>
      </c>
      <c r="C546" s="4" t="s">
        <v>106</v>
      </c>
      <c r="D546" s="5">
        <v>8888</v>
      </c>
      <c r="E546" s="4" t="s">
        <v>54</v>
      </c>
      <c r="F546" s="6" t="s">
        <v>94</v>
      </c>
    </row>
    <row r="547" spans="1:6" x14ac:dyDescent="0.25">
      <c r="A547" s="3">
        <v>2017</v>
      </c>
      <c r="B547" s="3" t="s">
        <v>347</v>
      </c>
      <c r="C547" s="4" t="s">
        <v>106</v>
      </c>
      <c r="D547" s="5">
        <v>8888</v>
      </c>
      <c r="E547" s="4" t="s">
        <v>54</v>
      </c>
      <c r="F547" s="6" t="s">
        <v>507</v>
      </c>
    </row>
    <row r="548" spans="1:6" x14ac:dyDescent="0.25">
      <c r="A548" s="3">
        <v>2017</v>
      </c>
      <c r="B548" s="3" t="s">
        <v>413</v>
      </c>
      <c r="C548" s="4" t="s">
        <v>106</v>
      </c>
      <c r="D548" s="5">
        <v>117671</v>
      </c>
      <c r="E548" s="4" t="s">
        <v>50</v>
      </c>
      <c r="F548" s="6" t="s">
        <v>508</v>
      </c>
    </row>
    <row r="549" spans="1:6" ht="30" x14ac:dyDescent="0.25">
      <c r="A549" s="3">
        <v>2017</v>
      </c>
      <c r="B549" s="3" t="s">
        <v>413</v>
      </c>
      <c r="C549" s="4" t="s">
        <v>106</v>
      </c>
      <c r="D549" s="5">
        <v>117671</v>
      </c>
      <c r="E549" s="4" t="s">
        <v>63</v>
      </c>
      <c r="F549" s="6" t="s">
        <v>509</v>
      </c>
    </row>
    <row r="550" spans="1:6" x14ac:dyDescent="0.25">
      <c r="A550" s="3">
        <v>2017</v>
      </c>
      <c r="B550" s="3" t="s">
        <v>413</v>
      </c>
      <c r="C550" s="4" t="s">
        <v>106</v>
      </c>
      <c r="D550" s="5">
        <v>104133</v>
      </c>
      <c r="E550" s="4" t="s">
        <v>50</v>
      </c>
      <c r="F550" s="6" t="s">
        <v>510</v>
      </c>
    </row>
    <row r="551" spans="1:6" x14ac:dyDescent="0.25">
      <c r="A551" s="3">
        <v>2017</v>
      </c>
      <c r="B551" s="3" t="s">
        <v>413</v>
      </c>
      <c r="C551" s="4" t="s">
        <v>106</v>
      </c>
      <c r="D551" s="5">
        <v>114603</v>
      </c>
      <c r="E551" s="4" t="s">
        <v>47</v>
      </c>
      <c r="F551" s="6" t="s">
        <v>511</v>
      </c>
    </row>
    <row r="552" spans="1:6" x14ac:dyDescent="0.25">
      <c r="A552" s="3">
        <v>2017</v>
      </c>
      <c r="B552" s="3" t="s">
        <v>413</v>
      </c>
      <c r="C552" s="4" t="s">
        <v>106</v>
      </c>
      <c r="D552" s="5">
        <v>114603</v>
      </c>
      <c r="E552" s="4" t="s">
        <v>47</v>
      </c>
      <c r="F552" s="6" t="s">
        <v>512</v>
      </c>
    </row>
    <row r="553" spans="1:6" x14ac:dyDescent="0.25">
      <c r="A553" s="3">
        <v>2017</v>
      </c>
      <c r="B553" s="3" t="s">
        <v>413</v>
      </c>
      <c r="C553" s="4" t="s">
        <v>106</v>
      </c>
      <c r="D553" s="5">
        <v>114603</v>
      </c>
      <c r="E553" s="4" t="s">
        <v>50</v>
      </c>
      <c r="F553" s="6" t="s">
        <v>513</v>
      </c>
    </row>
    <row r="554" spans="1:6" ht="60" x14ac:dyDescent="0.25">
      <c r="A554" s="3">
        <v>2017</v>
      </c>
      <c r="B554" s="3" t="s">
        <v>413</v>
      </c>
      <c r="C554" s="4" t="s">
        <v>106</v>
      </c>
      <c r="D554" s="5">
        <v>114603</v>
      </c>
      <c r="E554" s="4" t="s">
        <v>63</v>
      </c>
      <c r="F554" s="6" t="s">
        <v>514</v>
      </c>
    </row>
    <row r="555" spans="1:6" x14ac:dyDescent="0.25">
      <c r="A555" s="3">
        <v>2017</v>
      </c>
      <c r="B555" s="3" t="s">
        <v>413</v>
      </c>
      <c r="C555" s="4" t="s">
        <v>106</v>
      </c>
      <c r="D555" s="5">
        <v>101071</v>
      </c>
      <c r="E555" s="4" t="s">
        <v>47</v>
      </c>
      <c r="F555" s="6" t="s">
        <v>515</v>
      </c>
    </row>
    <row r="556" spans="1:6" x14ac:dyDescent="0.25">
      <c r="A556" s="3">
        <v>2017</v>
      </c>
      <c r="B556" s="3" t="s">
        <v>413</v>
      </c>
      <c r="C556" s="4" t="s">
        <v>106</v>
      </c>
      <c r="D556" s="5">
        <v>101071</v>
      </c>
      <c r="E556" s="4" t="s">
        <v>47</v>
      </c>
      <c r="F556" s="6" t="s">
        <v>516</v>
      </c>
    </row>
    <row r="557" spans="1:6" ht="30" x14ac:dyDescent="0.25">
      <c r="A557" s="3">
        <v>2017</v>
      </c>
      <c r="B557" s="3" t="s">
        <v>413</v>
      </c>
      <c r="C557" s="4" t="s">
        <v>106</v>
      </c>
      <c r="D557" s="5">
        <v>101071</v>
      </c>
      <c r="E557" s="4" t="s">
        <v>50</v>
      </c>
      <c r="F557" s="6" t="s">
        <v>517</v>
      </c>
    </row>
    <row r="558" spans="1:6" ht="45" x14ac:dyDescent="0.25">
      <c r="A558" s="3">
        <v>2017</v>
      </c>
      <c r="B558" s="3" t="s">
        <v>413</v>
      </c>
      <c r="C558" s="4" t="s">
        <v>106</v>
      </c>
      <c r="D558" s="5">
        <v>101071</v>
      </c>
      <c r="E558" s="4" t="s">
        <v>63</v>
      </c>
      <c r="F558" s="6" t="s">
        <v>518</v>
      </c>
    </row>
    <row r="559" spans="1:6" x14ac:dyDescent="0.25">
      <c r="A559" s="3">
        <v>2017</v>
      </c>
      <c r="B559" s="3" t="s">
        <v>413</v>
      </c>
      <c r="C559" s="4" t="s">
        <v>106</v>
      </c>
      <c r="D559" s="5">
        <v>110569</v>
      </c>
      <c r="E559" s="4" t="s">
        <v>47</v>
      </c>
      <c r="F559" s="6" t="s">
        <v>519</v>
      </c>
    </row>
    <row r="560" spans="1:6" ht="60" x14ac:dyDescent="0.25">
      <c r="A560" s="3">
        <v>2017</v>
      </c>
      <c r="B560" s="3" t="s">
        <v>413</v>
      </c>
      <c r="C560" s="4" t="s">
        <v>106</v>
      </c>
      <c r="D560" s="5">
        <v>110569</v>
      </c>
      <c r="E560" s="4" t="s">
        <v>50</v>
      </c>
      <c r="F560" s="6" t="s">
        <v>520</v>
      </c>
    </row>
    <row r="561" spans="1:6" x14ac:dyDescent="0.25">
      <c r="A561" s="3">
        <v>2017</v>
      </c>
      <c r="B561" s="3" t="s">
        <v>413</v>
      </c>
      <c r="C561" s="4" t="s">
        <v>106</v>
      </c>
      <c r="D561" s="5">
        <v>110569</v>
      </c>
      <c r="E561" s="4" t="s">
        <v>50</v>
      </c>
      <c r="F561" s="6" t="s">
        <v>521</v>
      </c>
    </row>
    <row r="562" spans="1:6" ht="30" x14ac:dyDescent="0.25">
      <c r="A562" s="3">
        <v>2017</v>
      </c>
      <c r="B562" s="3" t="s">
        <v>413</v>
      </c>
      <c r="C562" s="4" t="s">
        <v>106</v>
      </c>
      <c r="D562" s="5">
        <v>110569</v>
      </c>
      <c r="E562" s="4" t="s">
        <v>54</v>
      </c>
      <c r="F562" s="6" t="s">
        <v>522</v>
      </c>
    </row>
    <row r="563" spans="1:6" x14ac:dyDescent="0.25">
      <c r="A563" s="3">
        <v>2017</v>
      </c>
      <c r="B563" s="3" t="s">
        <v>413</v>
      </c>
      <c r="C563" s="4" t="s">
        <v>106</v>
      </c>
      <c r="D563" s="5">
        <v>117465</v>
      </c>
      <c r="E563" s="4" t="s">
        <v>47</v>
      </c>
      <c r="F563" s="6" t="s">
        <v>86</v>
      </c>
    </row>
    <row r="564" spans="1:6" x14ac:dyDescent="0.25">
      <c r="A564" s="3">
        <v>2017</v>
      </c>
      <c r="B564" s="3" t="s">
        <v>413</v>
      </c>
      <c r="C564" s="4" t="s">
        <v>106</v>
      </c>
      <c r="D564" s="5">
        <v>117465</v>
      </c>
      <c r="E564" s="4" t="s">
        <v>54</v>
      </c>
      <c r="F564" s="6" t="s">
        <v>523</v>
      </c>
    </row>
    <row r="565" spans="1:6" x14ac:dyDescent="0.25">
      <c r="A565" s="3">
        <v>2017</v>
      </c>
      <c r="B565" s="3" t="s">
        <v>413</v>
      </c>
      <c r="C565" s="4" t="s">
        <v>106</v>
      </c>
      <c r="D565" s="5">
        <v>121681</v>
      </c>
      <c r="E565" s="4" t="s">
        <v>47</v>
      </c>
      <c r="F565" s="6" t="s">
        <v>524</v>
      </c>
    </row>
    <row r="566" spans="1:6" x14ac:dyDescent="0.25">
      <c r="A566" s="3">
        <v>2017</v>
      </c>
      <c r="B566" s="3" t="s">
        <v>413</v>
      </c>
      <c r="C566" s="4" t="s">
        <v>106</v>
      </c>
      <c r="D566" s="5">
        <v>121681</v>
      </c>
      <c r="E566" s="4" t="s">
        <v>47</v>
      </c>
      <c r="F566" s="6" t="s">
        <v>525</v>
      </c>
    </row>
    <row r="567" spans="1:6" ht="30" x14ac:dyDescent="0.25">
      <c r="A567" s="3">
        <v>2017</v>
      </c>
      <c r="B567" s="3" t="s">
        <v>413</v>
      </c>
      <c r="C567" s="4" t="s">
        <v>106</v>
      </c>
      <c r="D567" s="5">
        <v>121681</v>
      </c>
      <c r="E567" s="4" t="s">
        <v>63</v>
      </c>
      <c r="F567" s="6" t="s">
        <v>526</v>
      </c>
    </row>
    <row r="568" spans="1:6" ht="30" x14ac:dyDescent="0.25">
      <c r="A568" s="3">
        <v>2017</v>
      </c>
      <c r="B568" s="3" t="s">
        <v>413</v>
      </c>
      <c r="C568" s="4" t="s">
        <v>106</v>
      </c>
      <c r="D568" s="5">
        <v>103275</v>
      </c>
      <c r="E568" s="4" t="s">
        <v>50</v>
      </c>
      <c r="F568" s="6" t="s">
        <v>527</v>
      </c>
    </row>
    <row r="569" spans="1:6" ht="30" x14ac:dyDescent="0.25">
      <c r="A569" s="3">
        <v>2017</v>
      </c>
      <c r="B569" s="3" t="s">
        <v>413</v>
      </c>
      <c r="C569" s="4" t="s">
        <v>106</v>
      </c>
      <c r="D569" s="5">
        <v>103275</v>
      </c>
      <c r="E569" s="4" t="s">
        <v>63</v>
      </c>
      <c r="F569" s="6" t="s">
        <v>528</v>
      </c>
    </row>
    <row r="570" spans="1:6" ht="30" x14ac:dyDescent="0.25">
      <c r="A570" s="3">
        <v>2017</v>
      </c>
      <c r="B570" s="3" t="s">
        <v>413</v>
      </c>
      <c r="C570" s="4" t="s">
        <v>106</v>
      </c>
      <c r="D570" s="5">
        <v>103275</v>
      </c>
      <c r="E570" s="4" t="s">
        <v>63</v>
      </c>
      <c r="F570" s="6" t="s">
        <v>529</v>
      </c>
    </row>
    <row r="571" spans="1:6" x14ac:dyDescent="0.25">
      <c r="A571" s="3">
        <v>2017</v>
      </c>
      <c r="B571" s="3" t="s">
        <v>413</v>
      </c>
      <c r="C571" s="4" t="s">
        <v>106</v>
      </c>
      <c r="D571" s="5">
        <v>150441</v>
      </c>
      <c r="E571" s="4" t="s">
        <v>47</v>
      </c>
      <c r="F571" s="6" t="s">
        <v>86</v>
      </c>
    </row>
    <row r="572" spans="1:6" x14ac:dyDescent="0.25">
      <c r="A572" s="3">
        <v>2017</v>
      </c>
      <c r="B572" s="3" t="s">
        <v>413</v>
      </c>
      <c r="C572" s="4" t="s">
        <v>106</v>
      </c>
      <c r="D572" s="5">
        <v>152587</v>
      </c>
      <c r="E572" s="4" t="s">
        <v>50</v>
      </c>
      <c r="F572" s="6" t="s">
        <v>530</v>
      </c>
    </row>
    <row r="573" spans="1:6" x14ac:dyDescent="0.25">
      <c r="A573" s="3">
        <v>2017</v>
      </c>
      <c r="B573" s="3" t="s">
        <v>413</v>
      </c>
      <c r="C573" s="4" t="s">
        <v>106</v>
      </c>
      <c r="D573" s="5">
        <v>152587</v>
      </c>
      <c r="E573" s="4" t="s">
        <v>50</v>
      </c>
      <c r="F573" s="6" t="s">
        <v>531</v>
      </c>
    </row>
    <row r="574" spans="1:6" x14ac:dyDescent="0.25">
      <c r="A574" s="3">
        <v>2017</v>
      </c>
      <c r="B574" s="3" t="s">
        <v>413</v>
      </c>
      <c r="C574" s="4" t="s">
        <v>106</v>
      </c>
      <c r="D574" s="5">
        <v>152587</v>
      </c>
      <c r="E574" s="4" t="s">
        <v>63</v>
      </c>
      <c r="F574" s="6" t="s">
        <v>532</v>
      </c>
    </row>
    <row r="575" spans="1:6" x14ac:dyDescent="0.25">
      <c r="A575" s="3">
        <v>2017</v>
      </c>
      <c r="B575" s="3" t="s">
        <v>413</v>
      </c>
      <c r="C575" s="4" t="s">
        <v>106</v>
      </c>
      <c r="D575" s="5">
        <v>152587</v>
      </c>
      <c r="E575" s="4" t="s">
        <v>54</v>
      </c>
      <c r="F575" s="6" t="s">
        <v>533</v>
      </c>
    </row>
    <row r="576" spans="1:6" x14ac:dyDescent="0.25">
      <c r="A576" s="3">
        <v>2017</v>
      </c>
      <c r="B576" s="3" t="s">
        <v>413</v>
      </c>
      <c r="C576" s="4" t="s">
        <v>106</v>
      </c>
      <c r="D576" s="5">
        <v>117440</v>
      </c>
      <c r="E576" s="4" t="s">
        <v>47</v>
      </c>
      <c r="F576" s="6" t="s">
        <v>534</v>
      </c>
    </row>
    <row r="577" spans="1:6" ht="30" x14ac:dyDescent="0.25">
      <c r="A577" s="3">
        <v>2017</v>
      </c>
      <c r="B577" s="3" t="s">
        <v>413</v>
      </c>
      <c r="C577" s="4" t="s">
        <v>106</v>
      </c>
      <c r="D577" s="5">
        <v>117440</v>
      </c>
      <c r="E577" s="4" t="s">
        <v>47</v>
      </c>
      <c r="F577" s="6" t="s">
        <v>535</v>
      </c>
    </row>
    <row r="578" spans="1:6" ht="30" x14ac:dyDescent="0.25">
      <c r="A578" s="3">
        <v>2017</v>
      </c>
      <c r="B578" s="3" t="s">
        <v>413</v>
      </c>
      <c r="C578" s="4" t="s">
        <v>106</v>
      </c>
      <c r="D578" s="5">
        <v>117440</v>
      </c>
      <c r="E578" s="4" t="s">
        <v>50</v>
      </c>
      <c r="F578" s="6" t="s">
        <v>536</v>
      </c>
    </row>
    <row r="579" spans="1:6" x14ac:dyDescent="0.25">
      <c r="A579" s="3">
        <v>2017</v>
      </c>
      <c r="B579" s="3" t="s">
        <v>413</v>
      </c>
      <c r="C579" s="4" t="s">
        <v>106</v>
      </c>
      <c r="D579" s="5">
        <v>153700</v>
      </c>
      <c r="E579" s="4" t="s">
        <v>47</v>
      </c>
      <c r="F579" s="6" t="s">
        <v>537</v>
      </c>
    </row>
    <row r="580" spans="1:6" x14ac:dyDescent="0.25">
      <c r="A580" s="3">
        <v>2017</v>
      </c>
      <c r="B580" s="3" t="s">
        <v>413</v>
      </c>
      <c r="C580" s="4" t="s">
        <v>106</v>
      </c>
      <c r="D580" s="5">
        <v>153700</v>
      </c>
      <c r="E580" s="4" t="s">
        <v>47</v>
      </c>
      <c r="F580" s="6" t="s">
        <v>538</v>
      </c>
    </row>
    <row r="581" spans="1:6" x14ac:dyDescent="0.25">
      <c r="A581" s="3">
        <v>2017</v>
      </c>
      <c r="B581" s="3" t="s">
        <v>413</v>
      </c>
      <c r="C581" s="4" t="s">
        <v>106</v>
      </c>
      <c r="D581" s="5">
        <v>153700</v>
      </c>
      <c r="E581" s="4" t="s">
        <v>47</v>
      </c>
      <c r="F581" s="6" t="s">
        <v>86</v>
      </c>
    </row>
    <row r="582" spans="1:6" x14ac:dyDescent="0.25">
      <c r="A582" s="3">
        <v>2017</v>
      </c>
      <c r="B582" s="3" t="s">
        <v>413</v>
      </c>
      <c r="C582" s="4" t="s">
        <v>106</v>
      </c>
      <c r="D582" s="5">
        <v>59899</v>
      </c>
      <c r="E582" s="4" t="s">
        <v>47</v>
      </c>
      <c r="F582" s="6" t="s">
        <v>539</v>
      </c>
    </row>
    <row r="583" spans="1:6" ht="30" x14ac:dyDescent="0.25">
      <c r="A583" s="3">
        <v>2017</v>
      </c>
      <c r="B583" s="3" t="s">
        <v>413</v>
      </c>
      <c r="C583" s="4" t="s">
        <v>106</v>
      </c>
      <c r="D583" s="5">
        <v>99093</v>
      </c>
      <c r="E583" s="4" t="s">
        <v>47</v>
      </c>
      <c r="F583" s="6" t="s">
        <v>540</v>
      </c>
    </row>
    <row r="584" spans="1:6" x14ac:dyDescent="0.25">
      <c r="A584" s="3">
        <v>2017</v>
      </c>
      <c r="B584" s="3" t="s">
        <v>413</v>
      </c>
      <c r="C584" s="4" t="s">
        <v>106</v>
      </c>
      <c r="D584" s="5">
        <v>99093</v>
      </c>
      <c r="E584" s="4" t="s">
        <v>47</v>
      </c>
      <c r="F584" s="6" t="s">
        <v>79</v>
      </c>
    </row>
    <row r="585" spans="1:6" x14ac:dyDescent="0.25">
      <c r="A585" s="3">
        <v>2017</v>
      </c>
      <c r="B585" s="3" t="s">
        <v>413</v>
      </c>
      <c r="C585" s="4" t="s">
        <v>106</v>
      </c>
      <c r="D585" s="5">
        <v>70375</v>
      </c>
      <c r="E585" s="4" t="s">
        <v>47</v>
      </c>
      <c r="F585" s="6" t="s">
        <v>86</v>
      </c>
    </row>
    <row r="586" spans="1:6" x14ac:dyDescent="0.25">
      <c r="A586" s="3">
        <v>2017</v>
      </c>
      <c r="B586" s="3" t="s">
        <v>413</v>
      </c>
      <c r="C586" s="4" t="s">
        <v>106</v>
      </c>
      <c r="D586" s="5">
        <v>70359</v>
      </c>
      <c r="E586" s="4" t="s">
        <v>47</v>
      </c>
      <c r="F586" s="6" t="s">
        <v>86</v>
      </c>
    </row>
    <row r="587" spans="1:6" x14ac:dyDescent="0.25">
      <c r="A587" s="3">
        <v>2017</v>
      </c>
      <c r="B587" s="3" t="s">
        <v>413</v>
      </c>
      <c r="C587" s="4" t="s">
        <v>106</v>
      </c>
      <c r="D587" s="5">
        <v>70359</v>
      </c>
      <c r="E587" s="4" t="s">
        <v>50</v>
      </c>
      <c r="F587" s="6" t="s">
        <v>541</v>
      </c>
    </row>
    <row r="588" spans="1:6" x14ac:dyDescent="0.25">
      <c r="A588" s="3">
        <v>2017</v>
      </c>
      <c r="B588" s="3" t="s">
        <v>413</v>
      </c>
      <c r="C588" s="4" t="s">
        <v>106</v>
      </c>
      <c r="D588" s="5">
        <v>99911</v>
      </c>
      <c r="E588" s="4" t="s">
        <v>50</v>
      </c>
      <c r="F588" s="6" t="s">
        <v>542</v>
      </c>
    </row>
    <row r="589" spans="1:6" x14ac:dyDescent="0.25">
      <c r="A589" s="3">
        <v>2017</v>
      </c>
      <c r="B589" s="3" t="s">
        <v>413</v>
      </c>
      <c r="C589" s="4" t="s">
        <v>106</v>
      </c>
      <c r="D589" s="5">
        <v>99911</v>
      </c>
      <c r="E589" s="4" t="s">
        <v>54</v>
      </c>
      <c r="F589" s="6" t="s">
        <v>543</v>
      </c>
    </row>
    <row r="590" spans="1:6" x14ac:dyDescent="0.25">
      <c r="A590" s="3">
        <v>2017</v>
      </c>
      <c r="B590" s="3" t="s">
        <v>413</v>
      </c>
      <c r="C590" s="4" t="s">
        <v>106</v>
      </c>
      <c r="D590" s="5">
        <v>177162</v>
      </c>
      <c r="E590" s="4" t="s">
        <v>47</v>
      </c>
      <c r="F590" s="6" t="s">
        <v>544</v>
      </c>
    </row>
    <row r="591" spans="1:6" x14ac:dyDescent="0.25">
      <c r="A591" s="3">
        <v>2017</v>
      </c>
      <c r="B591" s="3" t="s">
        <v>413</v>
      </c>
      <c r="C591" s="4" t="s">
        <v>106</v>
      </c>
      <c r="D591" s="5">
        <v>177162</v>
      </c>
      <c r="E591" s="4" t="s">
        <v>47</v>
      </c>
      <c r="F591" s="6" t="s">
        <v>545</v>
      </c>
    </row>
    <row r="592" spans="1:6" x14ac:dyDescent="0.25">
      <c r="A592" s="3">
        <v>2017</v>
      </c>
      <c r="B592" s="3" t="s">
        <v>413</v>
      </c>
      <c r="C592" s="4" t="s">
        <v>106</v>
      </c>
      <c r="D592" s="5">
        <v>177162</v>
      </c>
      <c r="E592" s="4" t="s">
        <v>50</v>
      </c>
      <c r="F592" s="6" t="s">
        <v>546</v>
      </c>
    </row>
    <row r="593" spans="1:6" ht="30" x14ac:dyDescent="0.25">
      <c r="A593" s="3">
        <v>2017</v>
      </c>
      <c r="B593" s="3" t="s">
        <v>413</v>
      </c>
      <c r="C593" s="4" t="s">
        <v>106</v>
      </c>
      <c r="D593" s="5">
        <v>177162</v>
      </c>
      <c r="E593" s="4" t="s">
        <v>50</v>
      </c>
      <c r="F593" s="6" t="s">
        <v>547</v>
      </c>
    </row>
    <row r="594" spans="1:6" x14ac:dyDescent="0.25">
      <c r="A594" s="3">
        <v>2017</v>
      </c>
      <c r="B594" s="3" t="s">
        <v>413</v>
      </c>
      <c r="C594" s="4" t="s">
        <v>106</v>
      </c>
      <c r="D594" s="5">
        <v>60707</v>
      </c>
      <c r="E594" s="4" t="s">
        <v>50</v>
      </c>
      <c r="F594" s="6" t="s">
        <v>548</v>
      </c>
    </row>
    <row r="595" spans="1:6" ht="30" x14ac:dyDescent="0.25">
      <c r="A595" s="3">
        <v>2017</v>
      </c>
      <c r="B595" s="3" t="s">
        <v>413</v>
      </c>
      <c r="C595" s="4" t="s">
        <v>106</v>
      </c>
      <c r="D595" s="5">
        <v>60707</v>
      </c>
      <c r="E595" s="4" t="s">
        <v>50</v>
      </c>
      <c r="F595" s="6" t="s">
        <v>549</v>
      </c>
    </row>
    <row r="596" spans="1:6" ht="30" x14ac:dyDescent="0.25">
      <c r="A596" s="3">
        <v>2017</v>
      </c>
      <c r="B596" s="3" t="s">
        <v>413</v>
      </c>
      <c r="C596" s="4" t="s">
        <v>106</v>
      </c>
      <c r="D596" s="5">
        <v>89391</v>
      </c>
      <c r="E596" s="4" t="s">
        <v>47</v>
      </c>
      <c r="F596" s="6" t="s">
        <v>550</v>
      </c>
    </row>
    <row r="597" spans="1:6" ht="30" x14ac:dyDescent="0.25">
      <c r="A597" s="3">
        <v>2017</v>
      </c>
      <c r="B597" s="3" t="s">
        <v>413</v>
      </c>
      <c r="C597" s="4" t="s">
        <v>106</v>
      </c>
      <c r="D597" s="5">
        <v>89391</v>
      </c>
      <c r="E597" s="4" t="s">
        <v>50</v>
      </c>
      <c r="F597" s="6" t="s">
        <v>551</v>
      </c>
    </row>
    <row r="598" spans="1:6" x14ac:dyDescent="0.25">
      <c r="A598" s="3">
        <v>2017</v>
      </c>
      <c r="B598" s="3" t="s">
        <v>413</v>
      </c>
      <c r="C598" s="4" t="s">
        <v>106</v>
      </c>
      <c r="D598" s="5">
        <v>36541</v>
      </c>
      <c r="E598" s="4" t="s">
        <v>47</v>
      </c>
      <c r="F598" s="6" t="s">
        <v>552</v>
      </c>
    </row>
    <row r="599" spans="1:6" x14ac:dyDescent="0.25">
      <c r="A599" s="3">
        <v>2017</v>
      </c>
      <c r="B599" s="3" t="s">
        <v>413</v>
      </c>
      <c r="C599" s="4" t="s">
        <v>106</v>
      </c>
      <c r="D599" s="5">
        <v>36541</v>
      </c>
      <c r="E599" s="4" t="s">
        <v>54</v>
      </c>
      <c r="F599" s="6" t="s">
        <v>553</v>
      </c>
    </row>
    <row r="600" spans="1:6" ht="45" x14ac:dyDescent="0.25">
      <c r="A600" s="3">
        <v>2017</v>
      </c>
      <c r="B600" s="3" t="s">
        <v>413</v>
      </c>
      <c r="C600" s="4" t="s">
        <v>106</v>
      </c>
      <c r="D600" s="5">
        <v>91405</v>
      </c>
      <c r="E600" s="4" t="s">
        <v>63</v>
      </c>
      <c r="F600" s="6" t="s">
        <v>554</v>
      </c>
    </row>
    <row r="601" spans="1:6" x14ac:dyDescent="0.25">
      <c r="A601" s="3">
        <v>2017</v>
      </c>
      <c r="B601" s="3" t="s">
        <v>413</v>
      </c>
      <c r="C601" s="4" t="s">
        <v>106</v>
      </c>
      <c r="D601" s="5">
        <v>58321</v>
      </c>
      <c r="E601" s="4" t="s">
        <v>54</v>
      </c>
      <c r="F601" s="6" t="s">
        <v>555</v>
      </c>
    </row>
    <row r="602" spans="1:6" x14ac:dyDescent="0.25">
      <c r="A602" s="3">
        <v>2017</v>
      </c>
      <c r="B602" s="3" t="s">
        <v>413</v>
      </c>
      <c r="C602" s="4" t="s">
        <v>106</v>
      </c>
      <c r="D602" s="5">
        <v>23994</v>
      </c>
      <c r="E602" s="4" t="s">
        <v>47</v>
      </c>
      <c r="F602" s="6" t="s">
        <v>556</v>
      </c>
    </row>
    <row r="603" spans="1:6" x14ac:dyDescent="0.25">
      <c r="A603" s="3">
        <v>2017</v>
      </c>
      <c r="B603" s="3" t="s">
        <v>413</v>
      </c>
      <c r="C603" s="4" t="s">
        <v>106</v>
      </c>
      <c r="D603" s="5">
        <v>23994</v>
      </c>
      <c r="E603" s="4" t="s">
        <v>47</v>
      </c>
      <c r="F603" s="6" t="s">
        <v>557</v>
      </c>
    </row>
    <row r="604" spans="1:6" x14ac:dyDescent="0.25">
      <c r="A604" s="3">
        <v>2017</v>
      </c>
      <c r="B604" s="3" t="s">
        <v>413</v>
      </c>
      <c r="C604" s="4" t="s">
        <v>106</v>
      </c>
      <c r="D604" s="5">
        <v>23994</v>
      </c>
      <c r="E604" s="4" t="s">
        <v>50</v>
      </c>
      <c r="F604" s="6" t="s">
        <v>558</v>
      </c>
    </row>
    <row r="605" spans="1:6" x14ac:dyDescent="0.25">
      <c r="A605" s="3">
        <v>2017</v>
      </c>
      <c r="B605" s="3" t="s">
        <v>413</v>
      </c>
      <c r="C605" s="4" t="s">
        <v>106</v>
      </c>
      <c r="D605" s="5">
        <v>23994</v>
      </c>
      <c r="E605" s="4" t="s">
        <v>50</v>
      </c>
      <c r="F605" s="6" t="s">
        <v>559</v>
      </c>
    </row>
    <row r="606" spans="1:6" ht="45" x14ac:dyDescent="0.25">
      <c r="A606" s="3">
        <v>2017</v>
      </c>
      <c r="B606" s="3" t="s">
        <v>413</v>
      </c>
      <c r="C606" s="4" t="s">
        <v>106</v>
      </c>
      <c r="D606" s="5">
        <v>23994</v>
      </c>
      <c r="E606" s="4" t="s">
        <v>50</v>
      </c>
      <c r="F606" s="6" t="s">
        <v>560</v>
      </c>
    </row>
    <row r="607" spans="1:6" x14ac:dyDescent="0.25">
      <c r="A607" s="3">
        <v>2017</v>
      </c>
      <c r="B607" s="3" t="s">
        <v>413</v>
      </c>
      <c r="C607" s="4" t="s">
        <v>106</v>
      </c>
      <c r="D607" s="5">
        <v>23994</v>
      </c>
      <c r="E607" s="4" t="s">
        <v>54</v>
      </c>
      <c r="F607" s="6" t="s">
        <v>561</v>
      </c>
    </row>
    <row r="608" spans="1:6" x14ac:dyDescent="0.25">
      <c r="A608" s="3">
        <v>2017</v>
      </c>
      <c r="B608" s="3" t="s">
        <v>413</v>
      </c>
      <c r="C608" s="4" t="s">
        <v>106</v>
      </c>
      <c r="D608" s="5">
        <v>22673</v>
      </c>
      <c r="E608" s="4" t="s">
        <v>47</v>
      </c>
      <c r="F608" s="6" t="s">
        <v>562</v>
      </c>
    </row>
    <row r="609" spans="1:6" ht="30" x14ac:dyDescent="0.25">
      <c r="A609" s="3">
        <v>2017</v>
      </c>
      <c r="B609" s="3" t="s">
        <v>413</v>
      </c>
      <c r="C609" s="4" t="s">
        <v>106</v>
      </c>
      <c r="D609" s="5">
        <v>22673</v>
      </c>
      <c r="E609" s="4" t="s">
        <v>63</v>
      </c>
      <c r="F609" s="6" t="s">
        <v>563</v>
      </c>
    </row>
    <row r="610" spans="1:6" x14ac:dyDescent="0.25">
      <c r="A610" s="3">
        <v>2017</v>
      </c>
      <c r="B610" s="3" t="s">
        <v>413</v>
      </c>
      <c r="C610" s="4" t="s">
        <v>106</v>
      </c>
      <c r="D610" s="5">
        <v>91397</v>
      </c>
      <c r="E610" s="4" t="s">
        <v>47</v>
      </c>
      <c r="F610" s="6" t="s">
        <v>564</v>
      </c>
    </row>
    <row r="611" spans="1:6" x14ac:dyDescent="0.25">
      <c r="A611" s="3">
        <v>2017</v>
      </c>
      <c r="B611" s="3" t="s">
        <v>413</v>
      </c>
      <c r="C611" s="4" t="s">
        <v>106</v>
      </c>
      <c r="D611" s="5">
        <v>64022</v>
      </c>
      <c r="E611" s="4" t="s">
        <v>47</v>
      </c>
      <c r="F611" s="6" t="s">
        <v>565</v>
      </c>
    </row>
    <row r="612" spans="1:6" ht="30" x14ac:dyDescent="0.25">
      <c r="A612" s="3">
        <v>2017</v>
      </c>
      <c r="B612" s="3" t="s">
        <v>413</v>
      </c>
      <c r="C612" s="4" t="s">
        <v>106</v>
      </c>
      <c r="D612" s="5">
        <v>64022</v>
      </c>
      <c r="E612" s="4" t="s">
        <v>50</v>
      </c>
      <c r="F612" s="6" t="s">
        <v>566</v>
      </c>
    </row>
    <row r="613" spans="1:6" ht="30" x14ac:dyDescent="0.25">
      <c r="A613" s="3">
        <v>2017</v>
      </c>
      <c r="B613" s="3" t="s">
        <v>413</v>
      </c>
      <c r="C613" s="4" t="s">
        <v>106</v>
      </c>
      <c r="D613" s="5">
        <v>22988</v>
      </c>
      <c r="E613" s="4" t="s">
        <v>47</v>
      </c>
      <c r="F613" s="6" t="s">
        <v>567</v>
      </c>
    </row>
    <row r="614" spans="1:6" x14ac:dyDescent="0.25">
      <c r="A614" s="3">
        <v>2017</v>
      </c>
      <c r="B614" s="3" t="s">
        <v>413</v>
      </c>
      <c r="C614" s="4" t="s">
        <v>106</v>
      </c>
      <c r="D614" s="5">
        <v>67538</v>
      </c>
      <c r="E614" s="4" t="s">
        <v>47</v>
      </c>
      <c r="F614" s="6" t="s">
        <v>568</v>
      </c>
    </row>
    <row r="615" spans="1:6" x14ac:dyDescent="0.25">
      <c r="A615" s="3">
        <v>2017</v>
      </c>
      <c r="B615" s="3" t="s">
        <v>413</v>
      </c>
      <c r="C615" s="4" t="s">
        <v>106</v>
      </c>
      <c r="D615" s="5">
        <v>8888</v>
      </c>
      <c r="E615" s="4" t="s">
        <v>47</v>
      </c>
      <c r="F615" s="6" t="s">
        <v>569</v>
      </c>
    </row>
    <row r="616" spans="1:6" x14ac:dyDescent="0.25">
      <c r="A616" s="3">
        <v>2017</v>
      </c>
      <c r="B616" s="3" t="s">
        <v>413</v>
      </c>
      <c r="C616" s="4" t="s">
        <v>106</v>
      </c>
      <c r="D616" s="5">
        <v>8888</v>
      </c>
      <c r="E616" s="4" t="s">
        <v>47</v>
      </c>
      <c r="F616" s="6" t="s">
        <v>570</v>
      </c>
    </row>
    <row r="617" spans="1:6" x14ac:dyDescent="0.25">
      <c r="A617" s="3">
        <v>2017</v>
      </c>
      <c r="B617" s="3" t="s">
        <v>413</v>
      </c>
      <c r="C617" s="4" t="s">
        <v>106</v>
      </c>
      <c r="D617" s="5">
        <v>8888</v>
      </c>
      <c r="E617" s="4" t="s">
        <v>47</v>
      </c>
      <c r="F617" s="6" t="s">
        <v>86</v>
      </c>
    </row>
    <row r="618" spans="1:6" x14ac:dyDescent="0.25">
      <c r="A618" s="3">
        <v>2017</v>
      </c>
      <c r="B618" s="3" t="s">
        <v>413</v>
      </c>
      <c r="C618" s="4" t="s">
        <v>106</v>
      </c>
      <c r="D618" s="5">
        <v>8888</v>
      </c>
      <c r="E618" s="4" t="s">
        <v>50</v>
      </c>
      <c r="F618" s="6" t="s">
        <v>571</v>
      </c>
    </row>
    <row r="619" spans="1:6" ht="30" x14ac:dyDescent="0.25">
      <c r="A619" s="3">
        <v>2017</v>
      </c>
      <c r="B619" s="3" t="s">
        <v>413</v>
      </c>
      <c r="C619" s="4" t="s">
        <v>106</v>
      </c>
      <c r="D619" s="5">
        <v>8888</v>
      </c>
      <c r="E619" s="4" t="s">
        <v>54</v>
      </c>
      <c r="F619" s="6" t="s">
        <v>572</v>
      </c>
    </row>
    <row r="620" spans="1:6" x14ac:dyDescent="0.25">
      <c r="A620" s="3"/>
      <c r="B620" s="3"/>
      <c r="C620" s="4"/>
      <c r="D620" s="5"/>
      <c r="E620" s="4"/>
      <c r="F620" s="6"/>
    </row>
    <row r="621" spans="1:6" x14ac:dyDescent="0.25">
      <c r="A621" s="3"/>
      <c r="B621" s="3"/>
      <c r="C621" s="4"/>
      <c r="D621" s="5"/>
      <c r="E621" s="4"/>
      <c r="F621" s="6"/>
    </row>
    <row r="622" spans="1:6" x14ac:dyDescent="0.25">
      <c r="A622" s="3"/>
      <c r="B622" s="3"/>
      <c r="C622" s="4"/>
      <c r="D622" s="5"/>
      <c r="E622" s="4"/>
      <c r="F622" s="6"/>
    </row>
    <row r="623" spans="1:6" x14ac:dyDescent="0.25">
      <c r="A623" s="3"/>
      <c r="B623" s="3"/>
      <c r="C623" s="4"/>
      <c r="D623" s="5"/>
      <c r="E623" s="4"/>
      <c r="F623" s="6"/>
    </row>
    <row r="624" spans="1:6" x14ac:dyDescent="0.25">
      <c r="A624" s="3"/>
      <c r="B624" s="3"/>
      <c r="C624" s="4"/>
      <c r="D624" s="5"/>
      <c r="E624" s="4"/>
      <c r="F624" s="6"/>
    </row>
    <row r="625" spans="1:6" x14ac:dyDescent="0.25">
      <c r="A625" s="3"/>
      <c r="B625" s="3"/>
      <c r="C625" s="4"/>
      <c r="D625" s="5"/>
      <c r="E625" s="4"/>
      <c r="F625" s="6"/>
    </row>
    <row r="626" spans="1:6" x14ac:dyDescent="0.25">
      <c r="A626" s="3"/>
      <c r="B626" s="3"/>
      <c r="C626" s="4"/>
      <c r="D626" s="5"/>
      <c r="E626" s="4"/>
      <c r="F626" s="6"/>
    </row>
    <row r="627" spans="1:6" x14ac:dyDescent="0.25">
      <c r="A627" s="3"/>
      <c r="B627" s="3"/>
      <c r="C627" s="4"/>
      <c r="D627" s="5"/>
      <c r="E627" s="4"/>
      <c r="F627" s="6"/>
    </row>
    <row r="628" spans="1:6" x14ac:dyDescent="0.25">
      <c r="A628" s="3"/>
      <c r="B628" s="3"/>
      <c r="C628" s="4"/>
      <c r="D628" s="5"/>
      <c r="E628" s="4"/>
      <c r="F628" s="6"/>
    </row>
    <row r="629" spans="1:6" x14ac:dyDescent="0.25">
      <c r="A629" s="3"/>
      <c r="B629" s="3"/>
      <c r="C629" s="4"/>
      <c r="D629" s="5"/>
      <c r="E629" s="4"/>
      <c r="F629" s="6"/>
    </row>
    <row r="630" spans="1:6" x14ac:dyDescent="0.25">
      <c r="A630" s="3"/>
      <c r="B630" s="3"/>
      <c r="C630" s="4"/>
      <c r="D630" s="5"/>
      <c r="E630" s="4"/>
      <c r="F630" s="6"/>
    </row>
    <row r="631" spans="1:6" x14ac:dyDescent="0.25">
      <c r="A631" s="3"/>
      <c r="B631" s="3"/>
      <c r="C631" s="4"/>
      <c r="D631" s="5"/>
      <c r="E631" s="4"/>
      <c r="F631" s="6"/>
    </row>
    <row r="632" spans="1:6" x14ac:dyDescent="0.25">
      <c r="A632" s="3"/>
      <c r="B632" s="3"/>
      <c r="C632" s="4"/>
      <c r="D632" s="5"/>
      <c r="E632" s="4"/>
      <c r="F632" s="6"/>
    </row>
    <row r="633" spans="1:6" x14ac:dyDescent="0.25">
      <c r="A633" s="3"/>
      <c r="B633" s="3"/>
      <c r="C633" s="4"/>
      <c r="D633" s="5"/>
      <c r="E633" s="4"/>
      <c r="F633" s="6"/>
    </row>
    <row r="634" spans="1:6" x14ac:dyDescent="0.25">
      <c r="A634" s="3"/>
      <c r="B634" s="3"/>
      <c r="C634" s="4"/>
      <c r="D634" s="5"/>
      <c r="E634" s="4"/>
      <c r="F634" s="6"/>
    </row>
    <row r="635" spans="1:6" x14ac:dyDescent="0.25">
      <c r="A635" s="3"/>
      <c r="B635" s="3"/>
      <c r="C635" s="4"/>
      <c r="D635" s="5"/>
      <c r="E635" s="4"/>
      <c r="F635" s="6"/>
    </row>
    <row r="636" spans="1:6" x14ac:dyDescent="0.25">
      <c r="A636" s="3"/>
      <c r="B636" s="3"/>
      <c r="C636" s="4"/>
      <c r="D636" s="5"/>
      <c r="E636" s="4"/>
      <c r="F636" s="6"/>
    </row>
    <row r="637" spans="1:6" x14ac:dyDescent="0.25">
      <c r="A637" s="3"/>
      <c r="B637" s="3"/>
      <c r="C637" s="4"/>
      <c r="D637" s="5"/>
      <c r="E637" s="4"/>
      <c r="F637" s="6"/>
    </row>
    <row r="638" spans="1:6" x14ac:dyDescent="0.25">
      <c r="A638" s="3"/>
      <c r="B638" s="3"/>
      <c r="C638" s="4"/>
      <c r="D638" s="5"/>
      <c r="E638" s="4"/>
      <c r="F638" s="6"/>
    </row>
    <row r="639" spans="1:6" x14ac:dyDescent="0.25">
      <c r="A639" s="3"/>
      <c r="B639" s="3"/>
      <c r="C639" s="4"/>
      <c r="D639" s="5"/>
      <c r="E639" s="4"/>
      <c r="F639" s="6"/>
    </row>
    <row r="640" spans="1:6" x14ac:dyDescent="0.25">
      <c r="A640" s="3"/>
      <c r="B640" s="3"/>
      <c r="C640" s="4"/>
      <c r="D640" s="5"/>
      <c r="E640" s="4"/>
      <c r="F640" s="6"/>
    </row>
    <row r="641" spans="1:6" x14ac:dyDescent="0.25">
      <c r="A641" s="3"/>
      <c r="B641" s="3"/>
      <c r="C641" s="4"/>
      <c r="D641" s="5"/>
      <c r="E641" s="4"/>
      <c r="F641" s="6"/>
    </row>
    <row r="642" spans="1:6" x14ac:dyDescent="0.25">
      <c r="A642" s="3"/>
      <c r="B642" s="3"/>
      <c r="C642" s="4"/>
      <c r="D642" s="5"/>
      <c r="E642" s="4"/>
      <c r="F642" s="6"/>
    </row>
    <row r="643" spans="1:6" x14ac:dyDescent="0.25">
      <c r="A643" s="3"/>
      <c r="B643" s="3"/>
      <c r="C643" s="4"/>
      <c r="D643" s="5"/>
      <c r="E643" s="4"/>
      <c r="F643" s="6"/>
    </row>
    <row r="644" spans="1:6" x14ac:dyDescent="0.25">
      <c r="A644" s="3"/>
      <c r="B644" s="3"/>
      <c r="C644" s="4"/>
      <c r="D644" s="5"/>
      <c r="E644" s="4"/>
      <c r="F644" s="6"/>
    </row>
    <row r="645" spans="1:6" x14ac:dyDescent="0.25">
      <c r="A645" s="3"/>
      <c r="B645" s="3"/>
      <c r="C645" s="4"/>
      <c r="D645" s="5"/>
      <c r="E645" s="4"/>
      <c r="F645" s="6"/>
    </row>
    <row r="646" spans="1:6" x14ac:dyDescent="0.25">
      <c r="A646" s="3"/>
      <c r="B646" s="3"/>
      <c r="C646" s="4"/>
      <c r="D646" s="5"/>
      <c r="E646" s="4"/>
      <c r="F646" s="6"/>
    </row>
    <row r="647" spans="1:6" x14ac:dyDescent="0.25">
      <c r="A647" s="3"/>
      <c r="B647" s="3"/>
      <c r="C647" s="4"/>
      <c r="D647" s="5"/>
      <c r="E647" s="4"/>
      <c r="F647" s="6"/>
    </row>
    <row r="648" spans="1:6" x14ac:dyDescent="0.25">
      <c r="A648" s="3"/>
      <c r="B648" s="3"/>
      <c r="C648" s="4"/>
      <c r="D648" s="5"/>
      <c r="E648" s="4"/>
      <c r="F648" s="6"/>
    </row>
    <row r="649" spans="1:6" x14ac:dyDescent="0.25">
      <c r="A649" s="3"/>
      <c r="B649" s="3"/>
      <c r="C649" s="4"/>
      <c r="D649" s="5"/>
      <c r="E649" s="4"/>
      <c r="F649" s="6"/>
    </row>
    <row r="650" spans="1:6" x14ac:dyDescent="0.25">
      <c r="A650" s="3"/>
      <c r="B650" s="3"/>
      <c r="C650" s="4"/>
      <c r="D650" s="5"/>
      <c r="E650" s="4"/>
      <c r="F650" s="6"/>
    </row>
    <row r="651" spans="1:6" x14ac:dyDescent="0.25">
      <c r="A651" s="3"/>
      <c r="B651" s="3"/>
      <c r="C651" s="4"/>
      <c r="D651" s="5"/>
      <c r="E651" s="4"/>
      <c r="F651" s="6"/>
    </row>
    <row r="652" spans="1:6" x14ac:dyDescent="0.25">
      <c r="A652" s="3"/>
      <c r="B652" s="3"/>
      <c r="C652" s="4"/>
      <c r="D652" s="5"/>
      <c r="E652" s="4"/>
      <c r="F652" s="6"/>
    </row>
    <row r="653" spans="1:6" x14ac:dyDescent="0.25">
      <c r="A653" s="3"/>
      <c r="B653" s="3"/>
      <c r="C653" s="4"/>
      <c r="D653" s="5"/>
      <c r="E653" s="4"/>
      <c r="F653" s="6"/>
    </row>
    <row r="654" spans="1:6" x14ac:dyDescent="0.25">
      <c r="A654" s="3"/>
      <c r="B654" s="3"/>
      <c r="C654" s="4"/>
      <c r="D654" s="5"/>
      <c r="E654" s="4"/>
      <c r="F654" s="6"/>
    </row>
    <row r="655" spans="1:6" x14ac:dyDescent="0.25">
      <c r="A655" s="3"/>
      <c r="B655" s="3"/>
      <c r="C655" s="4"/>
      <c r="D655" s="5"/>
      <c r="E655" s="4"/>
      <c r="F655" s="6"/>
    </row>
    <row r="656" spans="1:6" x14ac:dyDescent="0.25">
      <c r="A656" s="3"/>
      <c r="B656" s="3"/>
      <c r="C656" s="4"/>
      <c r="D656" s="5"/>
      <c r="E656" s="4"/>
      <c r="F656" s="6"/>
    </row>
    <row r="657" spans="1:6" x14ac:dyDescent="0.25">
      <c r="A657" s="3"/>
      <c r="B657" s="3"/>
      <c r="C657" s="4"/>
      <c r="D657" s="5"/>
      <c r="E657" s="4"/>
      <c r="F657" s="6"/>
    </row>
    <row r="658" spans="1:6" x14ac:dyDescent="0.25">
      <c r="A658" s="3"/>
      <c r="B658" s="3"/>
      <c r="C658" s="4"/>
      <c r="D658" s="5"/>
      <c r="E658" s="4"/>
      <c r="F658" s="6"/>
    </row>
    <row r="659" spans="1:6" x14ac:dyDescent="0.25">
      <c r="A659" s="3"/>
      <c r="B659" s="3"/>
      <c r="C659" s="4"/>
      <c r="D659" s="5"/>
      <c r="E659" s="4"/>
      <c r="F659" s="6"/>
    </row>
    <row r="660" spans="1:6" x14ac:dyDescent="0.25">
      <c r="A660" s="3"/>
      <c r="B660" s="3"/>
      <c r="C660" s="4"/>
      <c r="D660" s="5"/>
      <c r="E660" s="4"/>
      <c r="F660" s="6"/>
    </row>
    <row r="661" spans="1:6" x14ac:dyDescent="0.25">
      <c r="A661" s="3"/>
      <c r="B661" s="3"/>
      <c r="C661" s="4"/>
      <c r="D661" s="5"/>
      <c r="E661" s="4"/>
      <c r="F661" s="6"/>
    </row>
    <row r="662" spans="1:6" x14ac:dyDescent="0.25">
      <c r="A662" s="3"/>
      <c r="B662" s="3"/>
      <c r="C662" s="4"/>
      <c r="D662" s="5"/>
      <c r="E662" s="4"/>
      <c r="F662" s="6"/>
    </row>
    <row r="663" spans="1:6" x14ac:dyDescent="0.25">
      <c r="A663" s="3"/>
      <c r="B663" s="3"/>
      <c r="C663" s="4"/>
      <c r="D663" s="5"/>
      <c r="E663" s="4"/>
      <c r="F663" s="6"/>
    </row>
    <row r="664" spans="1:6" x14ac:dyDescent="0.25">
      <c r="A664" s="3"/>
      <c r="B664" s="3"/>
      <c r="C664" s="4"/>
      <c r="D664" s="5"/>
      <c r="E664" s="4"/>
      <c r="F664" s="6"/>
    </row>
    <row r="665" spans="1:6" x14ac:dyDescent="0.25">
      <c r="A665" s="3"/>
      <c r="B665" s="3"/>
      <c r="C665" s="4"/>
      <c r="D665" s="5"/>
      <c r="E665" s="4"/>
      <c r="F665" s="6"/>
    </row>
    <row r="666" spans="1:6" x14ac:dyDescent="0.25">
      <c r="A666" s="3"/>
      <c r="B666" s="3"/>
      <c r="C666" s="4"/>
      <c r="D666" s="5"/>
      <c r="E666" s="4"/>
      <c r="F666" s="6"/>
    </row>
    <row r="667" spans="1:6" x14ac:dyDescent="0.25">
      <c r="A667" s="3"/>
      <c r="B667" s="3"/>
      <c r="C667" s="4"/>
      <c r="D667" s="5"/>
      <c r="E667" s="4"/>
      <c r="F667" s="6"/>
    </row>
    <row r="668" spans="1:6" x14ac:dyDescent="0.25">
      <c r="A668" s="3"/>
      <c r="B668" s="3"/>
      <c r="C668" s="4"/>
      <c r="D668" s="5"/>
      <c r="E668" s="4"/>
      <c r="F668" s="6"/>
    </row>
    <row r="669" spans="1:6" x14ac:dyDescent="0.25">
      <c r="A669" s="3"/>
      <c r="B669" s="3"/>
      <c r="C669" s="4"/>
      <c r="D669" s="5"/>
      <c r="E669" s="4"/>
      <c r="F669" s="6"/>
    </row>
    <row r="670" spans="1:6" x14ac:dyDescent="0.25">
      <c r="A670" s="3"/>
      <c r="B670" s="3"/>
      <c r="C670" s="4"/>
      <c r="D670" s="5"/>
      <c r="E670" s="4"/>
      <c r="F670" s="6"/>
    </row>
    <row r="671" spans="1:6" x14ac:dyDescent="0.25">
      <c r="A671" s="3"/>
      <c r="B671" s="3"/>
      <c r="C671" s="4"/>
      <c r="D671" s="5"/>
      <c r="E671" s="4"/>
      <c r="F671" s="6"/>
    </row>
    <row r="672" spans="1:6" x14ac:dyDescent="0.25">
      <c r="A672" s="3"/>
      <c r="B672" s="3"/>
      <c r="C672" s="4"/>
      <c r="D672" s="5"/>
      <c r="E672" s="4"/>
      <c r="F672" s="6"/>
    </row>
    <row r="673" spans="1:6" x14ac:dyDescent="0.25">
      <c r="A673" s="3"/>
      <c r="B673" s="3"/>
      <c r="C673" s="4"/>
      <c r="D673" s="5"/>
      <c r="E673" s="4"/>
      <c r="F673" s="6"/>
    </row>
    <row r="674" spans="1:6" x14ac:dyDescent="0.25">
      <c r="A674" s="3"/>
      <c r="B674" s="3"/>
      <c r="C674" s="4"/>
      <c r="D674" s="5"/>
      <c r="E674" s="4"/>
      <c r="F674" s="6"/>
    </row>
    <row r="675" spans="1:6" x14ac:dyDescent="0.25">
      <c r="A675" s="3"/>
      <c r="B675" s="3"/>
      <c r="C675" s="4"/>
      <c r="D675" s="5"/>
      <c r="E675" s="4"/>
      <c r="F675" s="6"/>
    </row>
    <row r="676" spans="1:6" x14ac:dyDescent="0.25">
      <c r="A676" s="3"/>
      <c r="B676" s="3"/>
      <c r="C676" s="4"/>
      <c r="D676" s="5"/>
      <c r="E676" s="4"/>
      <c r="F676" s="6"/>
    </row>
    <row r="677" spans="1:6" x14ac:dyDescent="0.25">
      <c r="A677" s="3"/>
      <c r="B677" s="3"/>
      <c r="C677" s="4"/>
      <c r="D677" s="5"/>
      <c r="E677" s="4"/>
      <c r="F677" s="6"/>
    </row>
    <row r="678" spans="1:6" x14ac:dyDescent="0.25">
      <c r="A678" s="3"/>
      <c r="B678" s="3"/>
      <c r="C678" s="4"/>
      <c r="D678" s="5"/>
      <c r="E678" s="4"/>
      <c r="F678" s="6"/>
    </row>
    <row r="679" spans="1:6" x14ac:dyDescent="0.25">
      <c r="A679" s="3"/>
      <c r="B679" s="3"/>
      <c r="C679" s="4"/>
      <c r="D679" s="5"/>
      <c r="E679" s="4"/>
      <c r="F679" s="6"/>
    </row>
    <row r="680" spans="1:6" x14ac:dyDescent="0.25">
      <c r="A680" s="3"/>
      <c r="B680" s="3"/>
      <c r="C680" s="4"/>
      <c r="D680" s="5"/>
      <c r="E680" s="4"/>
      <c r="F680" s="6"/>
    </row>
    <row r="681" spans="1:6" x14ac:dyDescent="0.25">
      <c r="A681" s="3"/>
      <c r="B681" s="3"/>
      <c r="C681" s="4"/>
      <c r="D681" s="5"/>
      <c r="E681" s="4"/>
      <c r="F681" s="6"/>
    </row>
    <row r="682" spans="1:6" x14ac:dyDescent="0.25">
      <c r="A682" s="3"/>
      <c r="B682" s="3"/>
      <c r="C682" s="4"/>
      <c r="D682" s="5"/>
      <c r="E682" s="4"/>
      <c r="F682" s="6"/>
    </row>
    <row r="683" spans="1:6" x14ac:dyDescent="0.25">
      <c r="A683" s="3"/>
      <c r="B683" s="3"/>
      <c r="C683" s="4"/>
      <c r="D683" s="5"/>
      <c r="E683" s="4"/>
      <c r="F683" s="6"/>
    </row>
    <row r="684" spans="1:6" x14ac:dyDescent="0.25">
      <c r="A684" s="3"/>
      <c r="B684" s="3"/>
      <c r="C684" s="4"/>
      <c r="D684" s="5"/>
      <c r="E684" s="4"/>
      <c r="F684" s="6"/>
    </row>
    <row r="685" spans="1:6" x14ac:dyDescent="0.25">
      <c r="A685" s="3"/>
      <c r="B685" s="3"/>
      <c r="C685" s="4"/>
      <c r="D685" s="5"/>
      <c r="E685" s="4"/>
      <c r="F685" s="6"/>
    </row>
    <row r="686" spans="1:6" x14ac:dyDescent="0.25">
      <c r="A686" s="3"/>
      <c r="B686" s="3"/>
      <c r="C686" s="4"/>
      <c r="D686" s="5"/>
      <c r="E686" s="4"/>
      <c r="F686" s="6"/>
    </row>
    <row r="687" spans="1:6" x14ac:dyDescent="0.25">
      <c r="A687" s="3"/>
      <c r="B687" s="3"/>
      <c r="C687" s="4"/>
      <c r="D687" s="5"/>
      <c r="E687" s="4"/>
      <c r="F687" s="6"/>
    </row>
    <row r="688" spans="1:6" x14ac:dyDescent="0.25">
      <c r="A688" s="3"/>
      <c r="B688" s="3"/>
      <c r="C688" s="4"/>
      <c r="D688" s="5"/>
      <c r="E688" s="4"/>
      <c r="F688" s="6"/>
    </row>
    <row r="689" spans="1:6" x14ac:dyDescent="0.25">
      <c r="A689" s="3"/>
      <c r="B689" s="3"/>
      <c r="C689" s="4"/>
      <c r="D689" s="5"/>
      <c r="E689" s="4"/>
      <c r="F689" s="6"/>
    </row>
    <row r="690" spans="1:6" x14ac:dyDescent="0.25">
      <c r="A690" s="3"/>
      <c r="B690" s="3"/>
      <c r="C690" s="4"/>
      <c r="D690" s="5"/>
      <c r="E690" s="4"/>
      <c r="F690" s="6"/>
    </row>
    <row r="691" spans="1:6" x14ac:dyDescent="0.25">
      <c r="A691" s="3"/>
      <c r="B691" s="3"/>
      <c r="C691" s="4"/>
      <c r="D691" s="5"/>
      <c r="E691" s="4"/>
      <c r="F691" s="6"/>
    </row>
    <row r="692" spans="1:6" x14ac:dyDescent="0.25">
      <c r="A692" s="3"/>
      <c r="B692" s="3"/>
      <c r="C692" s="4"/>
      <c r="D692" s="5"/>
      <c r="E692" s="4"/>
      <c r="F692" s="6"/>
    </row>
    <row r="693" spans="1:6" x14ac:dyDescent="0.25">
      <c r="A693" s="3"/>
      <c r="B693" s="3"/>
      <c r="C693" s="4"/>
      <c r="D693" s="5"/>
      <c r="E693" s="4"/>
      <c r="F693" s="6"/>
    </row>
    <row r="694" spans="1:6" x14ac:dyDescent="0.25">
      <c r="A694" s="3"/>
      <c r="B694" s="3"/>
      <c r="C694" s="4"/>
      <c r="D694" s="5"/>
      <c r="E694" s="4"/>
      <c r="F694" s="6"/>
    </row>
    <row r="695" spans="1:6" x14ac:dyDescent="0.25">
      <c r="A695" s="3"/>
      <c r="B695" s="3"/>
      <c r="C695" s="4"/>
      <c r="D695" s="5"/>
      <c r="E695" s="4"/>
      <c r="F695" s="6"/>
    </row>
    <row r="696" spans="1:6" x14ac:dyDescent="0.25">
      <c r="A696" s="3"/>
      <c r="B696" s="3"/>
      <c r="C696" s="4"/>
      <c r="D696" s="5"/>
      <c r="E696" s="4"/>
      <c r="F696" s="6"/>
    </row>
    <row r="697" spans="1:6" x14ac:dyDescent="0.25">
      <c r="A697" s="3"/>
      <c r="B697" s="3"/>
      <c r="C697" s="4"/>
      <c r="D697" s="5"/>
      <c r="E697" s="4"/>
      <c r="F697" s="6"/>
    </row>
    <row r="698" spans="1:6" x14ac:dyDescent="0.25">
      <c r="A698" s="3"/>
      <c r="B698" s="3"/>
      <c r="C698" s="4"/>
      <c r="D698" s="5"/>
      <c r="E698" s="4"/>
      <c r="F698" s="6"/>
    </row>
    <row r="699" spans="1:6" x14ac:dyDescent="0.25">
      <c r="A699" s="3"/>
      <c r="B699" s="3"/>
      <c r="C699" s="4"/>
      <c r="D699" s="5"/>
      <c r="E699" s="4"/>
      <c r="F699" s="6"/>
    </row>
    <row r="700" spans="1:6" x14ac:dyDescent="0.25">
      <c r="A700" s="3"/>
      <c r="B700" s="3"/>
      <c r="C700" s="4"/>
      <c r="D700" s="5"/>
      <c r="E700" s="4"/>
      <c r="F700" s="6"/>
    </row>
    <row r="701" spans="1:6" x14ac:dyDescent="0.25">
      <c r="A701" s="3"/>
      <c r="B701" s="3"/>
      <c r="C701" s="4"/>
      <c r="D701" s="5"/>
      <c r="E701" s="4"/>
      <c r="F701" s="6"/>
    </row>
    <row r="702" spans="1:6" x14ac:dyDescent="0.25">
      <c r="A702" s="3"/>
      <c r="B702" s="3"/>
      <c r="C702" s="4"/>
      <c r="D702" s="5"/>
      <c r="E702" s="4"/>
      <c r="F702" s="6"/>
    </row>
    <row r="703" spans="1:6" x14ac:dyDescent="0.25">
      <c r="A703" s="3"/>
      <c r="B703" s="3"/>
      <c r="C703" s="4"/>
      <c r="D703" s="5"/>
      <c r="E703" s="4"/>
      <c r="F703" s="6"/>
    </row>
    <row r="704" spans="1:6" x14ac:dyDescent="0.25">
      <c r="A704" s="3"/>
      <c r="B704" s="3"/>
      <c r="C704" s="4"/>
      <c r="D704" s="5"/>
      <c r="E704" s="4"/>
      <c r="F704" s="6"/>
    </row>
    <row r="705" spans="1:6" x14ac:dyDescent="0.25">
      <c r="A705" s="3"/>
      <c r="B705" s="3"/>
      <c r="C705" s="4"/>
      <c r="D705" s="5"/>
      <c r="E705" s="4"/>
      <c r="F705" s="6"/>
    </row>
    <row r="706" spans="1:6" x14ac:dyDescent="0.25">
      <c r="A706" s="3"/>
      <c r="B706" s="3"/>
      <c r="C706" s="4"/>
      <c r="D706" s="5"/>
      <c r="E706" s="4"/>
      <c r="F706" s="6"/>
    </row>
    <row r="707" spans="1:6" x14ac:dyDescent="0.25">
      <c r="A707" s="3"/>
      <c r="B707" s="3"/>
      <c r="C707" s="4"/>
      <c r="D707" s="5"/>
      <c r="E707" s="4"/>
      <c r="F707" s="6"/>
    </row>
    <row r="708" spans="1:6" x14ac:dyDescent="0.25">
      <c r="A708" s="3"/>
      <c r="B708" s="3"/>
      <c r="C708" s="4"/>
      <c r="D708" s="5"/>
      <c r="E708" s="4"/>
      <c r="F708" s="6"/>
    </row>
    <row r="709" spans="1:6" x14ac:dyDescent="0.25">
      <c r="A709" s="3"/>
      <c r="B709" s="3"/>
      <c r="C709" s="4"/>
      <c r="D709" s="5"/>
      <c r="E709" s="4"/>
      <c r="F709" s="6"/>
    </row>
    <row r="710" spans="1:6" x14ac:dyDescent="0.25">
      <c r="A710" s="3"/>
      <c r="B710" s="3"/>
      <c r="C710" s="4"/>
      <c r="D710" s="5"/>
      <c r="E710" s="4"/>
      <c r="F710" s="6"/>
    </row>
    <row r="711" spans="1:6" x14ac:dyDescent="0.25">
      <c r="A711" s="3"/>
      <c r="B711" s="3"/>
      <c r="C711" s="4"/>
      <c r="D711" s="5"/>
      <c r="E711" s="4"/>
      <c r="F711" s="6"/>
    </row>
    <row r="712" spans="1:6" x14ac:dyDescent="0.25">
      <c r="A712" s="3"/>
      <c r="B712" s="3"/>
      <c r="C712" s="4"/>
      <c r="D712" s="5"/>
      <c r="E712" s="4"/>
      <c r="F712" s="6"/>
    </row>
    <row r="713" spans="1:6" x14ac:dyDescent="0.25">
      <c r="A713" s="3"/>
      <c r="B713" s="3"/>
      <c r="C713" s="4"/>
      <c r="D713" s="5"/>
      <c r="E713" s="4"/>
      <c r="F713" s="6"/>
    </row>
    <row r="714" spans="1:6" x14ac:dyDescent="0.25">
      <c r="A714" s="3"/>
      <c r="B714" s="3"/>
      <c r="C714" s="4"/>
      <c r="D714" s="5"/>
      <c r="E714" s="4"/>
      <c r="F714" s="6"/>
    </row>
    <row r="715" spans="1:6" x14ac:dyDescent="0.25">
      <c r="A715" s="3"/>
      <c r="B715" s="3"/>
      <c r="C715" s="4"/>
      <c r="D715" s="5"/>
      <c r="E715" s="4"/>
      <c r="F715" s="6"/>
    </row>
    <row r="716" spans="1:6" x14ac:dyDescent="0.25">
      <c r="A716" s="3"/>
      <c r="B716" s="3"/>
      <c r="C716" s="4"/>
      <c r="D716" s="5"/>
      <c r="E716" s="4"/>
      <c r="F716" s="6"/>
    </row>
    <row r="717" spans="1:6" x14ac:dyDescent="0.25">
      <c r="A717" s="3"/>
      <c r="B717" s="3"/>
      <c r="C717" s="4"/>
      <c r="D717" s="5"/>
      <c r="E717" s="4"/>
      <c r="F717" s="6"/>
    </row>
    <row r="718" spans="1:6" x14ac:dyDescent="0.25">
      <c r="A718" s="3"/>
      <c r="B718" s="3"/>
      <c r="C718" s="4"/>
      <c r="D718" s="5"/>
      <c r="E718" s="4"/>
      <c r="F718" s="6"/>
    </row>
    <row r="719" spans="1:6" x14ac:dyDescent="0.25">
      <c r="A719" s="3"/>
      <c r="B719" s="3"/>
      <c r="C719" s="4"/>
      <c r="D719" s="5"/>
      <c r="E719" s="4"/>
      <c r="F719" s="6"/>
    </row>
    <row r="720" spans="1:6" x14ac:dyDescent="0.25">
      <c r="A720" s="3"/>
      <c r="B720" s="3"/>
      <c r="C720" s="4"/>
      <c r="D720" s="5"/>
      <c r="E720" s="4"/>
      <c r="F720" s="6"/>
    </row>
    <row r="721" spans="1:6" x14ac:dyDescent="0.25">
      <c r="A721" s="3"/>
      <c r="B721" s="3"/>
      <c r="C721" s="4"/>
      <c r="D721" s="5"/>
      <c r="E721" s="4"/>
      <c r="F721" s="6"/>
    </row>
    <row r="722" spans="1:6" x14ac:dyDescent="0.25">
      <c r="A722" s="3"/>
      <c r="B722" s="3"/>
      <c r="C722" s="4"/>
      <c r="D722" s="5"/>
      <c r="E722" s="4"/>
      <c r="F722" s="6"/>
    </row>
    <row r="723" spans="1:6" x14ac:dyDescent="0.25">
      <c r="A723" s="3"/>
      <c r="B723" s="3"/>
      <c r="C723" s="4"/>
      <c r="D723" s="5"/>
      <c r="E723" s="4"/>
      <c r="F723" s="6"/>
    </row>
    <row r="724" spans="1:6" x14ac:dyDescent="0.25">
      <c r="A724" s="3"/>
      <c r="B724" s="3"/>
      <c r="C724" s="4"/>
      <c r="D724" s="5"/>
      <c r="E724" s="4"/>
      <c r="F724" s="6"/>
    </row>
    <row r="725" spans="1:6" x14ac:dyDescent="0.25">
      <c r="A725" s="3"/>
      <c r="B725" s="3"/>
      <c r="C725" s="4"/>
      <c r="D725" s="5"/>
      <c r="E725" s="4"/>
      <c r="F725" s="6"/>
    </row>
    <row r="726" spans="1:6" x14ac:dyDescent="0.25">
      <c r="A726" s="3"/>
      <c r="B726" s="3"/>
      <c r="C726" s="4"/>
      <c r="D726" s="5"/>
      <c r="E726" s="4"/>
      <c r="F726" s="6"/>
    </row>
    <row r="727" spans="1:6" x14ac:dyDescent="0.25">
      <c r="A727" s="3"/>
      <c r="B727" s="3"/>
      <c r="C727" s="4"/>
      <c r="D727" s="5"/>
      <c r="E727" s="4"/>
      <c r="F727" s="6"/>
    </row>
    <row r="728" spans="1:6" x14ac:dyDescent="0.25">
      <c r="A728" s="3"/>
      <c r="B728" s="3"/>
      <c r="C728" s="4"/>
      <c r="D728" s="5"/>
      <c r="E728" s="4"/>
      <c r="F728" s="6"/>
    </row>
    <row r="729" spans="1:6" x14ac:dyDescent="0.25">
      <c r="A729" s="3"/>
      <c r="B729" s="3"/>
      <c r="C729" s="4"/>
      <c r="D729" s="5"/>
      <c r="E729" s="4"/>
      <c r="F729" s="6"/>
    </row>
    <row r="730" spans="1:6" x14ac:dyDescent="0.25">
      <c r="A730" s="3"/>
      <c r="B730" s="3"/>
      <c r="C730" s="4"/>
      <c r="D730" s="5"/>
      <c r="E730" s="4"/>
      <c r="F730" s="6"/>
    </row>
    <row r="731" spans="1:6" x14ac:dyDescent="0.25">
      <c r="A731" s="3"/>
      <c r="B731" s="3"/>
      <c r="C731" s="4"/>
      <c r="D731" s="5"/>
      <c r="E731" s="4"/>
      <c r="F731" s="6"/>
    </row>
    <row r="732" spans="1:6" x14ac:dyDescent="0.25">
      <c r="A732" s="3"/>
      <c r="B732" s="3"/>
      <c r="C732" s="4"/>
      <c r="D732" s="5"/>
      <c r="E732" s="4"/>
      <c r="F732" s="6"/>
    </row>
    <row r="733" spans="1:6" x14ac:dyDescent="0.25">
      <c r="A733" s="3"/>
      <c r="B733" s="3"/>
      <c r="C733" s="4"/>
      <c r="D733" s="5"/>
      <c r="E733" s="4"/>
      <c r="F733" s="6"/>
    </row>
    <row r="734" spans="1:6" x14ac:dyDescent="0.25">
      <c r="A734" s="3"/>
      <c r="B734" s="3"/>
      <c r="C734" s="4"/>
      <c r="D734" s="5"/>
      <c r="E734" s="4"/>
      <c r="F734" s="6"/>
    </row>
    <row r="735" spans="1:6" x14ac:dyDescent="0.25">
      <c r="A735" s="3"/>
      <c r="B735" s="3"/>
      <c r="C735" s="4"/>
      <c r="D735" s="5"/>
      <c r="E735" s="4"/>
      <c r="F735" s="6"/>
    </row>
    <row r="736" spans="1:6" x14ac:dyDescent="0.25">
      <c r="A736" s="3"/>
      <c r="B736" s="3"/>
      <c r="C736" s="4"/>
      <c r="D736" s="5"/>
      <c r="E736" s="4"/>
      <c r="F736" s="6"/>
    </row>
    <row r="737" spans="1:6" x14ac:dyDescent="0.25">
      <c r="A737" s="3"/>
      <c r="B737" s="3"/>
      <c r="C737" s="4"/>
      <c r="D737" s="5"/>
      <c r="E737" s="4"/>
      <c r="F737" s="6"/>
    </row>
    <row r="738" spans="1:6" x14ac:dyDescent="0.25">
      <c r="A738" s="3"/>
      <c r="B738" s="3"/>
      <c r="C738" s="4"/>
      <c r="D738" s="5"/>
      <c r="E738" s="4"/>
      <c r="F738" s="6"/>
    </row>
    <row r="739" spans="1:6" x14ac:dyDescent="0.25">
      <c r="A739" s="3"/>
      <c r="B739" s="3"/>
      <c r="C739" s="4"/>
      <c r="D739" s="5"/>
      <c r="E739" s="4"/>
      <c r="F739" s="6"/>
    </row>
    <row r="740" spans="1:6" x14ac:dyDescent="0.25">
      <c r="A740" s="3"/>
      <c r="B740" s="3"/>
      <c r="C740" s="4"/>
      <c r="D740" s="5"/>
      <c r="E740" s="4"/>
      <c r="F740" s="6"/>
    </row>
    <row r="741" spans="1:6" x14ac:dyDescent="0.25">
      <c r="A741" s="3"/>
      <c r="B741" s="3"/>
      <c r="C741" s="4"/>
      <c r="D741" s="5"/>
      <c r="E741" s="4"/>
      <c r="F741" s="6"/>
    </row>
    <row r="742" spans="1:6" x14ac:dyDescent="0.25">
      <c r="A742" s="3"/>
      <c r="B742" s="3"/>
      <c r="C742" s="4"/>
      <c r="D742" s="5"/>
      <c r="E742" s="4"/>
      <c r="F742" s="6"/>
    </row>
    <row r="743" spans="1:6" x14ac:dyDescent="0.25">
      <c r="A743" s="3"/>
      <c r="B743" s="3"/>
      <c r="C743" s="4"/>
      <c r="D743" s="5"/>
      <c r="E743" s="4"/>
      <c r="F743" s="6"/>
    </row>
    <row r="744" spans="1:6" x14ac:dyDescent="0.25">
      <c r="A744" s="3"/>
      <c r="B744" s="3"/>
      <c r="C744" s="4"/>
      <c r="D744" s="5"/>
      <c r="E744" s="4"/>
      <c r="F744" s="6"/>
    </row>
    <row r="745" spans="1:6" x14ac:dyDescent="0.25">
      <c r="A745" s="3"/>
      <c r="B745" s="3"/>
      <c r="C745" s="4"/>
      <c r="D745" s="5"/>
      <c r="E745" s="4"/>
      <c r="F745" s="6"/>
    </row>
    <row r="746" spans="1:6" x14ac:dyDescent="0.25">
      <c r="A746" s="3"/>
      <c r="B746" s="3"/>
      <c r="C746" s="4"/>
      <c r="D746" s="5"/>
      <c r="E746" s="4"/>
      <c r="F746" s="6"/>
    </row>
    <row r="747" spans="1:6" x14ac:dyDescent="0.25">
      <c r="A747" s="3"/>
      <c r="B747" s="3"/>
      <c r="C747" s="4"/>
      <c r="D747" s="5"/>
      <c r="E747" s="4"/>
      <c r="F747" s="6"/>
    </row>
    <row r="748" spans="1:6" x14ac:dyDescent="0.25">
      <c r="A748" s="3"/>
      <c r="B748" s="3"/>
      <c r="C748" s="4"/>
      <c r="D748" s="5"/>
      <c r="E748" s="4"/>
      <c r="F748" s="6"/>
    </row>
    <row r="749" spans="1:6" x14ac:dyDescent="0.25">
      <c r="A749" s="3"/>
      <c r="B749" s="3"/>
      <c r="C749" s="4"/>
      <c r="D749" s="5"/>
      <c r="E749" s="4"/>
      <c r="F749" s="6"/>
    </row>
    <row r="750" spans="1:6" x14ac:dyDescent="0.25">
      <c r="A750" s="3"/>
      <c r="B750" s="3"/>
      <c r="C750" s="4"/>
      <c r="D750" s="5"/>
      <c r="E750" s="4"/>
      <c r="F750" s="6"/>
    </row>
    <row r="751" spans="1:6" x14ac:dyDescent="0.25">
      <c r="A751" s="3"/>
      <c r="B751" s="3"/>
      <c r="C751" s="4"/>
      <c r="D751" s="5"/>
      <c r="E751" s="4"/>
      <c r="F751" s="6"/>
    </row>
    <row r="752" spans="1:6" x14ac:dyDescent="0.25">
      <c r="A752" s="3"/>
      <c r="B752" s="3"/>
      <c r="C752" s="4"/>
      <c r="D752" s="5"/>
      <c r="E752" s="4"/>
      <c r="F752" s="6"/>
    </row>
    <row r="753" spans="1:6" x14ac:dyDescent="0.25">
      <c r="A753" s="3"/>
      <c r="B753" s="3"/>
      <c r="C753" s="4"/>
      <c r="D753" s="5"/>
      <c r="E753" s="4"/>
      <c r="F753" s="6"/>
    </row>
    <row r="754" spans="1:6" x14ac:dyDescent="0.25">
      <c r="A754" s="3"/>
      <c r="B754" s="3"/>
      <c r="C754" s="4"/>
      <c r="D754" s="5"/>
      <c r="E754" s="4"/>
      <c r="F754" s="6"/>
    </row>
    <row r="755" spans="1:6" x14ac:dyDescent="0.25">
      <c r="A755" s="3"/>
      <c r="B755" s="3"/>
      <c r="C755" s="4"/>
      <c r="D755" s="5"/>
      <c r="E755" s="4"/>
      <c r="F755" s="6"/>
    </row>
    <row r="756" spans="1:6" x14ac:dyDescent="0.25">
      <c r="A756" s="3"/>
      <c r="B756" s="3"/>
      <c r="C756" s="4"/>
      <c r="D756" s="5"/>
      <c r="E756" s="4"/>
      <c r="F756" s="6"/>
    </row>
    <row r="757" spans="1:6" x14ac:dyDescent="0.25">
      <c r="A757" s="3"/>
      <c r="B757" s="3"/>
      <c r="C757" s="4"/>
      <c r="D757" s="5"/>
      <c r="E757" s="4"/>
      <c r="F757" s="6"/>
    </row>
    <row r="758" spans="1:6" x14ac:dyDescent="0.25">
      <c r="A758" s="3"/>
      <c r="B758" s="3"/>
      <c r="C758" s="4"/>
      <c r="D758" s="5"/>
      <c r="E758" s="4"/>
      <c r="F758" s="6"/>
    </row>
    <row r="759" spans="1:6" x14ac:dyDescent="0.25">
      <c r="A759" s="3"/>
      <c r="B759" s="3"/>
      <c r="C759" s="4"/>
      <c r="D759" s="5"/>
      <c r="E759" s="4"/>
      <c r="F759" s="6"/>
    </row>
    <row r="760" spans="1:6" x14ac:dyDescent="0.25">
      <c r="A760" s="3"/>
      <c r="B760" s="3"/>
      <c r="C760" s="4"/>
      <c r="D760" s="5"/>
      <c r="E760" s="4"/>
      <c r="F760" s="6"/>
    </row>
    <row r="761" spans="1:6" x14ac:dyDescent="0.25">
      <c r="A761" s="3"/>
      <c r="B761" s="3"/>
      <c r="C761" s="4"/>
      <c r="D761" s="5"/>
      <c r="E761" s="4"/>
      <c r="F761" s="6"/>
    </row>
    <row r="762" spans="1:6" x14ac:dyDescent="0.25">
      <c r="A762" s="3"/>
      <c r="B762" s="3"/>
      <c r="C762" s="4"/>
      <c r="D762" s="5"/>
      <c r="E762" s="4"/>
      <c r="F762" s="6"/>
    </row>
    <row r="763" spans="1:6" x14ac:dyDescent="0.25">
      <c r="A763" s="3"/>
      <c r="B763" s="3"/>
      <c r="C763" s="4"/>
      <c r="D763" s="5"/>
      <c r="E763" s="4"/>
      <c r="F763" s="6"/>
    </row>
    <row r="764" spans="1:6" x14ac:dyDescent="0.25">
      <c r="A764" s="3"/>
      <c r="B764" s="3"/>
      <c r="C764" s="4"/>
      <c r="D764" s="5"/>
      <c r="E764" s="4"/>
      <c r="F764" s="6"/>
    </row>
    <row r="765" spans="1:6" x14ac:dyDescent="0.25">
      <c r="A765" s="3"/>
      <c r="B765" s="3"/>
      <c r="C765" s="4"/>
      <c r="D765" s="5"/>
      <c r="E765" s="4"/>
      <c r="F765" s="6"/>
    </row>
    <row r="766" spans="1:6" x14ac:dyDescent="0.25">
      <c r="A766" s="3"/>
      <c r="B766" s="3"/>
      <c r="C766" s="4"/>
      <c r="D766" s="5"/>
      <c r="E766" s="4"/>
      <c r="F766" s="6"/>
    </row>
    <row r="767" spans="1:6" x14ac:dyDescent="0.25">
      <c r="A767" s="3"/>
      <c r="B767" s="3"/>
      <c r="C767" s="4"/>
      <c r="D767" s="5"/>
      <c r="E767" s="4"/>
      <c r="F767" s="6"/>
    </row>
    <row r="768" spans="1:6" x14ac:dyDescent="0.25">
      <c r="A768" s="3"/>
      <c r="B768" s="3"/>
      <c r="C768" s="4"/>
      <c r="D768" s="5"/>
      <c r="E768" s="4"/>
      <c r="F768" s="6"/>
    </row>
    <row r="769" spans="1:6" x14ac:dyDescent="0.25">
      <c r="A769" s="3"/>
      <c r="B769" s="3"/>
      <c r="C769" s="4"/>
      <c r="D769" s="5"/>
      <c r="E769" s="4"/>
      <c r="F769" s="6"/>
    </row>
    <row r="770" spans="1:6" x14ac:dyDescent="0.25">
      <c r="A770" s="3"/>
      <c r="B770" s="3"/>
      <c r="C770" s="4"/>
      <c r="D770" s="5"/>
      <c r="E770" s="4"/>
      <c r="F770" s="6"/>
    </row>
    <row r="771" spans="1:6" x14ac:dyDescent="0.25">
      <c r="A771" s="3"/>
      <c r="B771" s="3"/>
      <c r="C771" s="4"/>
      <c r="D771" s="5"/>
      <c r="E771" s="4"/>
      <c r="F771" s="6"/>
    </row>
    <row r="772" spans="1:6" x14ac:dyDescent="0.25">
      <c r="A772" s="3"/>
      <c r="B772" s="3"/>
      <c r="C772" s="4"/>
      <c r="D772" s="5"/>
      <c r="E772" s="4"/>
      <c r="F772" s="6"/>
    </row>
    <row r="773" spans="1:6" x14ac:dyDescent="0.25">
      <c r="A773" s="3"/>
      <c r="B773" s="3"/>
      <c r="C773" s="4"/>
      <c r="D773" s="5"/>
      <c r="E773" s="4"/>
      <c r="F773" s="6"/>
    </row>
    <row r="774" spans="1:6" x14ac:dyDescent="0.25">
      <c r="A774" s="3"/>
      <c r="B774" s="3"/>
      <c r="C774" s="4"/>
      <c r="D774" s="5"/>
      <c r="E774" s="4"/>
      <c r="F774" s="6"/>
    </row>
    <row r="775" spans="1:6" x14ac:dyDescent="0.25">
      <c r="A775" s="3"/>
      <c r="B775" s="3"/>
      <c r="C775" s="4"/>
      <c r="D775" s="5"/>
      <c r="E775" s="4"/>
      <c r="F775" s="6"/>
    </row>
    <row r="776" spans="1:6" x14ac:dyDescent="0.25">
      <c r="A776" s="3"/>
      <c r="B776" s="3"/>
      <c r="C776" s="4"/>
      <c r="D776" s="5"/>
      <c r="E776" s="4"/>
      <c r="F776" s="6"/>
    </row>
    <row r="777" spans="1:6" x14ac:dyDescent="0.25">
      <c r="A777" s="3"/>
      <c r="B777" s="3"/>
      <c r="C777" s="4"/>
      <c r="D777" s="5"/>
      <c r="E777" s="4"/>
      <c r="F777" s="6"/>
    </row>
    <row r="778" spans="1:6" x14ac:dyDescent="0.25">
      <c r="A778" s="3"/>
      <c r="B778" s="3"/>
      <c r="C778" s="4"/>
      <c r="D778" s="5"/>
      <c r="E778" s="4"/>
      <c r="F778" s="6"/>
    </row>
    <row r="779" spans="1:6" x14ac:dyDescent="0.25">
      <c r="A779" s="3"/>
      <c r="B779" s="3"/>
      <c r="C779" s="4"/>
      <c r="D779" s="5"/>
      <c r="E779" s="4"/>
      <c r="F779" s="6"/>
    </row>
    <row r="780" spans="1:6" x14ac:dyDescent="0.25">
      <c r="A780" s="3"/>
      <c r="B780" s="3"/>
      <c r="C780" s="4"/>
      <c r="D780" s="5"/>
      <c r="E780" s="4"/>
      <c r="F780" s="6"/>
    </row>
    <row r="781" spans="1:6" x14ac:dyDescent="0.25">
      <c r="A781" s="3"/>
      <c r="B781" s="3"/>
      <c r="C781" s="4"/>
      <c r="D781" s="5"/>
      <c r="E781" s="4"/>
      <c r="F781" s="6"/>
    </row>
    <row r="782" spans="1:6" x14ac:dyDescent="0.25">
      <c r="A782" s="3"/>
      <c r="B782" s="3"/>
      <c r="C782" s="4"/>
      <c r="D782" s="5"/>
      <c r="E782" s="4"/>
      <c r="F782" s="6"/>
    </row>
    <row r="783" spans="1:6" x14ac:dyDescent="0.25">
      <c r="A783" s="3"/>
      <c r="B783" s="3"/>
      <c r="C783" s="4"/>
      <c r="D783" s="5"/>
      <c r="E783" s="4"/>
      <c r="F783" s="6"/>
    </row>
    <row r="784" spans="1:6" x14ac:dyDescent="0.25">
      <c r="A784" s="3"/>
      <c r="B784" s="3"/>
      <c r="C784" s="4"/>
      <c r="D784" s="5"/>
      <c r="E784" s="4"/>
      <c r="F784" s="6"/>
    </row>
    <row r="785" spans="1:6" x14ac:dyDescent="0.25">
      <c r="A785" s="3"/>
      <c r="B785" s="3"/>
      <c r="C785" s="4"/>
      <c r="D785" s="5"/>
      <c r="E785" s="4"/>
      <c r="F785" s="6"/>
    </row>
    <row r="786" spans="1:6" x14ac:dyDescent="0.25">
      <c r="A786" s="3"/>
      <c r="B786" s="3"/>
      <c r="C786" s="4"/>
      <c r="D786" s="5"/>
      <c r="E786" s="4"/>
      <c r="F786" s="6"/>
    </row>
    <row r="787" spans="1:6" x14ac:dyDescent="0.25">
      <c r="A787" s="3"/>
      <c r="B787" s="3"/>
      <c r="C787" s="4"/>
      <c r="D787" s="5"/>
      <c r="E787" s="4"/>
      <c r="F787" s="6"/>
    </row>
    <row r="788" spans="1:6" x14ac:dyDescent="0.25">
      <c r="A788" s="3"/>
      <c r="B788" s="3"/>
      <c r="C788" s="4"/>
      <c r="D788" s="5"/>
      <c r="E788" s="4"/>
      <c r="F788" s="6"/>
    </row>
    <row r="789" spans="1:6" x14ac:dyDescent="0.25">
      <c r="A789" s="3"/>
      <c r="B789" s="3"/>
      <c r="C789" s="4"/>
      <c r="D789" s="5"/>
      <c r="E789" s="4"/>
      <c r="F789" s="6"/>
    </row>
    <row r="790" spans="1:6" x14ac:dyDescent="0.25">
      <c r="A790" s="3"/>
      <c r="B790" s="3"/>
      <c r="C790" s="4"/>
      <c r="D790" s="5"/>
      <c r="E790" s="4"/>
      <c r="F790" s="6"/>
    </row>
    <row r="791" spans="1:6" x14ac:dyDescent="0.25">
      <c r="A791" s="3"/>
      <c r="B791" s="3"/>
      <c r="C791" s="4"/>
      <c r="D791" s="5"/>
      <c r="E791" s="4"/>
      <c r="F791" s="6"/>
    </row>
    <row r="792" spans="1:6" x14ac:dyDescent="0.25">
      <c r="A792" s="3"/>
      <c r="B792" s="3"/>
      <c r="C792" s="4"/>
      <c r="D792" s="5"/>
      <c r="E792" s="4"/>
      <c r="F792" s="6"/>
    </row>
    <row r="793" spans="1:6" x14ac:dyDescent="0.25">
      <c r="A793" s="3"/>
      <c r="B793" s="3"/>
      <c r="C793" s="4"/>
      <c r="D793" s="5"/>
      <c r="E793" s="4"/>
      <c r="F793" s="6"/>
    </row>
    <row r="794" spans="1:6" x14ac:dyDescent="0.25">
      <c r="A794" s="3"/>
      <c r="B794" s="3"/>
      <c r="C794" s="4"/>
      <c r="D794" s="5"/>
      <c r="E794" s="4"/>
      <c r="F794" s="6"/>
    </row>
    <row r="795" spans="1:6" x14ac:dyDescent="0.25">
      <c r="A795" s="3"/>
      <c r="B795" s="3"/>
      <c r="C795" s="4"/>
      <c r="D795" s="5"/>
      <c r="E795" s="4"/>
      <c r="F795" s="6"/>
    </row>
    <row r="796" spans="1:6" x14ac:dyDescent="0.25">
      <c r="A796" s="3"/>
      <c r="B796" s="3"/>
      <c r="C796" s="4"/>
      <c r="D796" s="5"/>
      <c r="E796" s="4"/>
      <c r="F796" s="6"/>
    </row>
    <row r="797" spans="1:6" x14ac:dyDescent="0.25">
      <c r="A797" s="3"/>
      <c r="B797" s="3"/>
      <c r="C797" s="4"/>
      <c r="D797" s="5"/>
      <c r="E797" s="4"/>
      <c r="F797" s="6"/>
    </row>
    <row r="798" spans="1:6" x14ac:dyDescent="0.25">
      <c r="A798" s="3"/>
      <c r="B798" s="3"/>
      <c r="C798" s="4"/>
      <c r="D798" s="5"/>
      <c r="E798" s="4"/>
      <c r="F798" s="6"/>
    </row>
    <row r="799" spans="1:6" x14ac:dyDescent="0.25">
      <c r="A799" s="3"/>
      <c r="B799" s="3"/>
      <c r="C799" s="4"/>
      <c r="D799" s="5"/>
      <c r="E799" s="4"/>
      <c r="F799" s="6"/>
    </row>
    <row r="800" spans="1:6" x14ac:dyDescent="0.25">
      <c r="A800" s="3"/>
      <c r="B800" s="3"/>
      <c r="C800" s="4"/>
      <c r="D800" s="5"/>
      <c r="E800" s="4"/>
      <c r="F800" s="6"/>
    </row>
    <row r="801" spans="1:6" x14ac:dyDescent="0.25">
      <c r="A801" s="3"/>
      <c r="B801" s="3"/>
      <c r="C801" s="4"/>
      <c r="D801" s="5"/>
      <c r="E801" s="4"/>
      <c r="F801" s="6"/>
    </row>
    <row r="802" spans="1:6" x14ac:dyDescent="0.25">
      <c r="A802" s="3"/>
      <c r="B802" s="3"/>
      <c r="C802" s="4"/>
      <c r="D802" s="5"/>
      <c r="E802" s="4"/>
      <c r="F802" s="6"/>
    </row>
    <row r="803" spans="1:6" x14ac:dyDescent="0.25">
      <c r="A803" s="3"/>
      <c r="B803" s="3"/>
      <c r="C803" s="4"/>
      <c r="D803" s="5"/>
      <c r="E803" s="4"/>
      <c r="F803" s="6"/>
    </row>
    <row r="804" spans="1:6" x14ac:dyDescent="0.25">
      <c r="A804" s="3"/>
      <c r="B804" s="3"/>
      <c r="C804" s="4"/>
      <c r="D804" s="5"/>
      <c r="E804" s="4"/>
      <c r="F804" s="6"/>
    </row>
    <row r="805" spans="1:6" x14ac:dyDescent="0.25">
      <c r="A805" s="3"/>
      <c r="B805" s="3"/>
      <c r="C805" s="4"/>
      <c r="D805" s="5"/>
      <c r="E805" s="4"/>
      <c r="F805" s="6"/>
    </row>
    <row r="806" spans="1:6" x14ac:dyDescent="0.25">
      <c r="A806" s="3"/>
      <c r="B806" s="3"/>
      <c r="C806" s="4"/>
      <c r="D806" s="5"/>
      <c r="E806" s="4"/>
      <c r="F806" s="6"/>
    </row>
    <row r="807" spans="1:6" x14ac:dyDescent="0.25">
      <c r="A807" s="3"/>
      <c r="B807" s="3"/>
      <c r="C807" s="4"/>
      <c r="D807" s="5"/>
      <c r="E807" s="4"/>
      <c r="F807" s="6"/>
    </row>
    <row r="808" spans="1:6" x14ac:dyDescent="0.25">
      <c r="A808" s="3"/>
      <c r="B808" s="3"/>
      <c r="C808" s="4"/>
      <c r="D808" s="5"/>
      <c r="E808" s="4"/>
      <c r="F808" s="6"/>
    </row>
    <row r="809" spans="1:6" x14ac:dyDescent="0.25">
      <c r="A809" s="3"/>
      <c r="B809" s="3"/>
      <c r="C809" s="4"/>
      <c r="D809" s="5"/>
      <c r="E809" s="4"/>
      <c r="F809" s="6"/>
    </row>
    <row r="810" spans="1:6" x14ac:dyDescent="0.25">
      <c r="A810" s="3"/>
      <c r="B810" s="3"/>
      <c r="C810" s="4"/>
      <c r="D810" s="5"/>
      <c r="E810" s="4"/>
      <c r="F810" s="6"/>
    </row>
    <row r="811" spans="1:6" x14ac:dyDescent="0.25">
      <c r="A811" s="3"/>
      <c r="B811" s="3"/>
      <c r="C811" s="4"/>
      <c r="D811" s="5"/>
      <c r="E811" s="4"/>
      <c r="F811" s="6"/>
    </row>
    <row r="812" spans="1:6" x14ac:dyDescent="0.25">
      <c r="A812" s="3"/>
      <c r="B812" s="3"/>
      <c r="C812" s="4"/>
      <c r="D812" s="5"/>
      <c r="E812" s="4"/>
      <c r="F812" s="6"/>
    </row>
    <row r="813" spans="1:6" x14ac:dyDescent="0.25">
      <c r="A813" s="3"/>
      <c r="B813" s="3"/>
      <c r="C813" s="4"/>
      <c r="D813" s="5"/>
      <c r="E813" s="4"/>
      <c r="F813" s="6"/>
    </row>
    <row r="814" spans="1:6" x14ac:dyDescent="0.25">
      <c r="A814" s="3"/>
      <c r="B814" s="3"/>
      <c r="C814" s="4"/>
      <c r="D814" s="5"/>
      <c r="E814" s="4"/>
      <c r="F814" s="6"/>
    </row>
    <row r="815" spans="1:6" x14ac:dyDescent="0.25">
      <c r="A815" s="3"/>
      <c r="B815" s="3"/>
      <c r="C815" s="4"/>
      <c r="D815" s="5"/>
      <c r="E815" s="4"/>
      <c r="F815" s="6"/>
    </row>
    <row r="816" spans="1:6" x14ac:dyDescent="0.25">
      <c r="A816" s="3"/>
      <c r="B816" s="3"/>
      <c r="C816" s="4"/>
      <c r="D816" s="5"/>
      <c r="E816" s="4"/>
      <c r="F816" s="6"/>
    </row>
    <row r="817" spans="1:6" x14ac:dyDescent="0.25">
      <c r="A817" s="3"/>
      <c r="B817" s="3"/>
      <c r="C817" s="4"/>
      <c r="D817" s="5"/>
      <c r="E817" s="4"/>
      <c r="F817" s="6"/>
    </row>
    <row r="818" spans="1:6" x14ac:dyDescent="0.25">
      <c r="A818" s="3"/>
      <c r="B818" s="3"/>
      <c r="C818" s="4"/>
      <c r="D818" s="5"/>
      <c r="E818" s="4"/>
      <c r="F818" s="6"/>
    </row>
    <row r="819" spans="1:6" x14ac:dyDescent="0.25">
      <c r="A819" s="3"/>
      <c r="B819" s="3"/>
      <c r="C819" s="4"/>
      <c r="D819" s="5"/>
      <c r="E819" s="4"/>
      <c r="F819" s="6"/>
    </row>
    <row r="820" spans="1:6" x14ac:dyDescent="0.25">
      <c r="A820" s="3"/>
      <c r="B820" s="3"/>
      <c r="C820" s="4"/>
      <c r="D820" s="5"/>
      <c r="E820" s="4"/>
      <c r="F820" s="6"/>
    </row>
    <row r="821" spans="1:6" x14ac:dyDescent="0.25">
      <c r="A821" s="3"/>
      <c r="B821" s="3"/>
      <c r="C821" s="4"/>
      <c r="D821" s="5"/>
      <c r="E821" s="4"/>
      <c r="F821" s="6"/>
    </row>
    <row r="822" spans="1:6" x14ac:dyDescent="0.25">
      <c r="A822" s="3"/>
      <c r="B822" s="3"/>
      <c r="C822" s="4"/>
      <c r="D822" s="5"/>
      <c r="E822" s="4"/>
      <c r="F822" s="6"/>
    </row>
    <row r="823" spans="1:6" x14ac:dyDescent="0.25">
      <c r="A823" s="3"/>
      <c r="B823" s="3"/>
      <c r="C823" s="4"/>
      <c r="D823" s="5"/>
      <c r="E823" s="4"/>
      <c r="F823" s="6"/>
    </row>
    <row r="824" spans="1:6" x14ac:dyDescent="0.25">
      <c r="A824" s="3"/>
      <c r="B824" s="3"/>
      <c r="C824" s="4"/>
      <c r="D824" s="5"/>
      <c r="E824" s="4"/>
      <c r="F824" s="6"/>
    </row>
    <row r="825" spans="1:6" x14ac:dyDescent="0.25">
      <c r="A825" s="3"/>
      <c r="B825" s="3"/>
      <c r="C825" s="4"/>
      <c r="D825" s="5"/>
      <c r="E825" s="4"/>
      <c r="F825" s="6"/>
    </row>
    <row r="826" spans="1:6" x14ac:dyDescent="0.25">
      <c r="A826" s="3"/>
      <c r="B826" s="3"/>
      <c r="C826" s="4"/>
      <c r="D826" s="5"/>
      <c r="E826" s="4"/>
      <c r="F826" s="6"/>
    </row>
    <row r="827" spans="1:6" x14ac:dyDescent="0.25">
      <c r="A827" s="3"/>
      <c r="B827" s="3"/>
      <c r="C827" s="4"/>
      <c r="D827" s="5"/>
      <c r="E827" s="4"/>
      <c r="F827" s="6"/>
    </row>
    <row r="828" spans="1:6" x14ac:dyDescent="0.25">
      <c r="A828" s="3"/>
      <c r="B828" s="3"/>
      <c r="C828" s="4"/>
      <c r="D828" s="5"/>
      <c r="E828" s="4"/>
      <c r="F828" s="6"/>
    </row>
    <row r="829" spans="1:6" x14ac:dyDescent="0.25">
      <c r="A829" s="3"/>
      <c r="B829" s="3"/>
      <c r="C829" s="4"/>
      <c r="D829" s="5"/>
      <c r="E829" s="4"/>
      <c r="F829" s="6"/>
    </row>
    <row r="830" spans="1:6" x14ac:dyDescent="0.25">
      <c r="A830" s="3"/>
      <c r="B830" s="3"/>
      <c r="C830" s="4"/>
      <c r="D830" s="5"/>
      <c r="E830" s="4"/>
      <c r="F830" s="6"/>
    </row>
    <row r="831" spans="1:6" x14ac:dyDescent="0.25">
      <c r="A831" s="3"/>
      <c r="B831" s="3"/>
      <c r="C831" s="4"/>
      <c r="D831" s="5"/>
      <c r="E831" s="4"/>
      <c r="F831" s="6"/>
    </row>
    <row r="832" spans="1:6" x14ac:dyDescent="0.25">
      <c r="A832" s="3"/>
      <c r="B832" s="3"/>
      <c r="C832" s="4"/>
      <c r="D832" s="5"/>
      <c r="E832" s="4"/>
      <c r="F832" s="6"/>
    </row>
    <row r="833" spans="1:6" x14ac:dyDescent="0.25">
      <c r="A833" s="3"/>
      <c r="B833" s="3"/>
      <c r="C833" s="4"/>
      <c r="D833" s="5"/>
      <c r="E833" s="4"/>
      <c r="F833" s="6"/>
    </row>
    <row r="834" spans="1:6" x14ac:dyDescent="0.25">
      <c r="A834" s="3"/>
      <c r="B834" s="3"/>
      <c r="C834" s="4"/>
      <c r="D834" s="5"/>
      <c r="E834" s="4"/>
      <c r="F834" s="6"/>
    </row>
    <row r="835" spans="1:6" x14ac:dyDescent="0.25">
      <c r="A835" s="3"/>
      <c r="B835" s="3"/>
      <c r="C835" s="4"/>
      <c r="D835" s="5"/>
      <c r="E835" s="4"/>
      <c r="F835" s="6"/>
    </row>
    <row r="836" spans="1:6" x14ac:dyDescent="0.25">
      <c r="A836" s="3"/>
      <c r="B836" s="3"/>
      <c r="C836" s="4"/>
      <c r="D836" s="5"/>
      <c r="E836" s="4"/>
      <c r="F836" s="6"/>
    </row>
    <row r="837" spans="1:6" x14ac:dyDescent="0.25">
      <c r="A837" s="3"/>
      <c r="B837" s="3"/>
      <c r="C837" s="4"/>
      <c r="D837" s="5"/>
      <c r="E837" s="4"/>
      <c r="F837" s="6"/>
    </row>
    <row r="838" spans="1:6" x14ac:dyDescent="0.25">
      <c r="A838" s="3"/>
      <c r="B838" s="3"/>
      <c r="C838" s="4"/>
      <c r="D838" s="5"/>
      <c r="E838" s="4"/>
      <c r="F838" s="6"/>
    </row>
    <row r="839" spans="1:6" x14ac:dyDescent="0.25">
      <c r="A839" s="3"/>
      <c r="B839" s="3"/>
      <c r="C839" s="4"/>
      <c r="D839" s="5"/>
      <c r="E839" s="4"/>
      <c r="F839" s="6"/>
    </row>
    <row r="840" spans="1:6" x14ac:dyDescent="0.25">
      <c r="A840" s="3"/>
      <c r="B840" s="3"/>
      <c r="C840" s="4"/>
      <c r="D840" s="5"/>
      <c r="E840" s="4"/>
      <c r="F840" s="6"/>
    </row>
    <row r="841" spans="1:6" x14ac:dyDescent="0.25">
      <c r="A841" s="3"/>
      <c r="B841" s="3"/>
      <c r="C841" s="4"/>
      <c r="D841" s="5"/>
      <c r="E841" s="4"/>
      <c r="F841" s="6"/>
    </row>
    <row r="842" spans="1:6" x14ac:dyDescent="0.25">
      <c r="A842" s="3"/>
      <c r="B842" s="3"/>
      <c r="C842" s="4"/>
      <c r="D842" s="5"/>
      <c r="E842" s="4"/>
      <c r="F842" s="6"/>
    </row>
    <row r="843" spans="1:6" x14ac:dyDescent="0.25">
      <c r="A843" s="3"/>
      <c r="B843" s="3"/>
      <c r="C843" s="4"/>
      <c r="D843" s="5"/>
      <c r="E843" s="4"/>
      <c r="F843" s="6"/>
    </row>
    <row r="844" spans="1:6" x14ac:dyDescent="0.25">
      <c r="A844" s="3"/>
      <c r="B844" s="3"/>
      <c r="C844" s="4"/>
      <c r="D844" s="5"/>
      <c r="E844" s="4"/>
      <c r="F844" s="6"/>
    </row>
    <row r="845" spans="1:6" x14ac:dyDescent="0.25">
      <c r="A845" s="3"/>
      <c r="B845" s="3"/>
      <c r="C845" s="4"/>
      <c r="D845" s="5"/>
      <c r="E845" s="4"/>
      <c r="F845" s="6"/>
    </row>
    <row r="846" spans="1:6" x14ac:dyDescent="0.25">
      <c r="A846" s="3"/>
      <c r="B846" s="3"/>
      <c r="C846" s="4"/>
      <c r="D846" s="5"/>
      <c r="E846" s="4"/>
      <c r="F846" s="6"/>
    </row>
    <row r="847" spans="1:6" x14ac:dyDescent="0.25">
      <c r="A847" s="3"/>
      <c r="B847" s="3"/>
      <c r="C847" s="4"/>
      <c r="D847" s="5"/>
      <c r="E847" s="4"/>
      <c r="F847" s="6"/>
    </row>
    <row r="848" spans="1:6" x14ac:dyDescent="0.25">
      <c r="A848" s="3"/>
      <c r="B848" s="3"/>
      <c r="C848" s="4"/>
      <c r="D848" s="5"/>
      <c r="E848" s="4"/>
      <c r="F848" s="6"/>
    </row>
    <row r="849" spans="1:6" x14ac:dyDescent="0.25">
      <c r="A849" s="3"/>
      <c r="B849" s="3"/>
      <c r="C849" s="4"/>
      <c r="D849" s="5"/>
      <c r="E849" s="4"/>
      <c r="F849" s="6"/>
    </row>
    <row r="850" spans="1:6" x14ac:dyDescent="0.25">
      <c r="A850" s="3"/>
      <c r="B850" s="3"/>
      <c r="C850" s="4"/>
      <c r="D850" s="5"/>
      <c r="E850" s="4"/>
      <c r="F850" s="6"/>
    </row>
    <row r="851" spans="1:6" x14ac:dyDescent="0.25">
      <c r="A851" s="3"/>
      <c r="B851" s="3"/>
      <c r="C851" s="4"/>
      <c r="D851" s="5"/>
      <c r="E851" s="4"/>
      <c r="F851" s="6"/>
    </row>
    <row r="852" spans="1:6" x14ac:dyDescent="0.25">
      <c r="A852" s="3"/>
      <c r="B852" s="3"/>
      <c r="C852" s="4"/>
      <c r="D852" s="5"/>
      <c r="E852" s="4"/>
      <c r="F852" s="6"/>
    </row>
    <row r="853" spans="1:6" x14ac:dyDescent="0.25">
      <c r="A853" s="3"/>
      <c r="B853" s="3"/>
      <c r="C853" s="4"/>
      <c r="D853" s="5"/>
      <c r="E853" s="4"/>
      <c r="F853" s="6"/>
    </row>
    <row r="854" spans="1:6" x14ac:dyDescent="0.25">
      <c r="A854" s="3"/>
      <c r="B854" s="3"/>
      <c r="C854" s="4"/>
      <c r="D854" s="5"/>
      <c r="E854" s="4"/>
      <c r="F854" s="6"/>
    </row>
    <row r="855" spans="1:6" x14ac:dyDescent="0.25">
      <c r="A855" s="3"/>
      <c r="B855" s="3"/>
      <c r="C855" s="4"/>
      <c r="D855" s="5"/>
      <c r="E855" s="4"/>
      <c r="F855" s="6"/>
    </row>
    <row r="856" spans="1:6" x14ac:dyDescent="0.25">
      <c r="A856" s="3"/>
      <c r="B856" s="3"/>
      <c r="C856" s="4"/>
      <c r="D856" s="5"/>
      <c r="E856" s="4"/>
      <c r="F856" s="6"/>
    </row>
    <row r="857" spans="1:6" x14ac:dyDescent="0.25">
      <c r="A857" s="3"/>
      <c r="B857" s="3"/>
      <c r="C857" s="4"/>
      <c r="D857" s="5"/>
      <c r="E857" s="4"/>
      <c r="F857" s="6"/>
    </row>
    <row r="858" spans="1:6" x14ac:dyDescent="0.25">
      <c r="A858" s="3"/>
      <c r="B858" s="3"/>
      <c r="C858" s="4"/>
      <c r="D858" s="5"/>
      <c r="E858" s="4"/>
      <c r="F858" s="6"/>
    </row>
    <row r="859" spans="1:6" x14ac:dyDescent="0.25">
      <c r="A859" s="3"/>
      <c r="B859" s="3"/>
      <c r="C859" s="4"/>
      <c r="D859" s="5"/>
      <c r="E859" s="4"/>
      <c r="F859" s="6"/>
    </row>
    <row r="860" spans="1:6" x14ac:dyDescent="0.25">
      <c r="A860" s="3"/>
      <c r="B860" s="3"/>
      <c r="C860" s="4"/>
      <c r="D860" s="5"/>
      <c r="E860" s="4"/>
      <c r="F860" s="6"/>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6</vt:i4>
      </vt:variant>
    </vt:vector>
  </HeadingPairs>
  <TitlesOfParts>
    <vt:vector size="12" baseType="lpstr">
      <vt:lpstr>Sheet1</vt:lpstr>
      <vt:lpstr>Reg1</vt:lpstr>
      <vt:lpstr>Satisfaction</vt:lpstr>
      <vt:lpstr>Pivot</vt:lpstr>
      <vt:lpstr>survey_data</vt:lpstr>
      <vt:lpstr>comments</vt:lpstr>
      <vt:lpstr>Category</vt:lpstr>
      <vt:lpstr>n_apr</vt:lpstr>
      <vt:lpstr>Period</vt:lpstr>
      <vt:lpstr>Provider</vt:lpstr>
      <vt:lpstr>Responses</vt:lpstr>
      <vt:lpstr>Score</vt:lpstr>
    </vt:vector>
  </TitlesOfParts>
  <Company>Sheridan Healthcorp, Inc.</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Baumgarten, Allen</dc:creator>
  <cp:lastModifiedBy>Baumgarten, Allen</cp:lastModifiedBy>
  <dcterms:created xsi:type="dcterms:W3CDTF">2017-12-22T15:19:03Z</dcterms:created>
  <dcterms:modified xsi:type="dcterms:W3CDTF">2018-02-13T21:11:10Z</dcterms:modified>
</cp:coreProperties>
</file>