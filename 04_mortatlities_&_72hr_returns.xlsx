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435"/>
  </bookViews>
  <sheets>
    <sheet name="Summary" sheetId="1" r:id="rId1"/>
    <sheet name="mortalities_72hr_retur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7" i="2" l="1"/>
  <c r="E97" i="2"/>
  <c r="F85" i="2"/>
  <c r="E85" i="2"/>
  <c r="F73" i="2"/>
  <c r="E73" i="2"/>
  <c r="F61" i="2"/>
  <c r="E61" i="2"/>
  <c r="F49" i="2"/>
  <c r="E49" i="2"/>
  <c r="F37" i="2"/>
  <c r="E37" i="2"/>
  <c r="F25" i="2"/>
  <c r="E25" i="2"/>
  <c r="F96" i="2"/>
  <c r="E96" i="2"/>
  <c r="F84" i="2"/>
  <c r="E84" i="2"/>
  <c r="F72" i="2"/>
  <c r="E72" i="2"/>
  <c r="F60" i="2"/>
  <c r="E60" i="2"/>
  <c r="F48" i="2"/>
  <c r="E48" i="2"/>
  <c r="F36" i="2"/>
  <c r="E36" i="2"/>
  <c r="F24" i="2"/>
  <c r="E24" i="2"/>
  <c r="F13" i="2"/>
  <c r="F12" i="2"/>
  <c r="F11" i="2"/>
  <c r="E13" i="2"/>
  <c r="E12" i="2"/>
  <c r="E11" i="2"/>
  <c r="D85" i="2"/>
  <c r="D84" i="2"/>
  <c r="D97" i="2"/>
  <c r="D96" i="2"/>
  <c r="D73" i="2"/>
  <c r="D72" i="2"/>
  <c r="D61" i="2"/>
  <c r="D60" i="2"/>
  <c r="D49" i="2"/>
  <c r="D48" i="2"/>
  <c r="D37" i="2"/>
  <c r="D36" i="2"/>
  <c r="D25" i="2"/>
  <c r="D24" i="2"/>
  <c r="D13" i="2"/>
  <c r="D12" i="2"/>
  <c r="D11" i="2"/>
  <c r="F95" i="2" l="1"/>
  <c r="F94" i="2"/>
  <c r="F93" i="2"/>
  <c r="F92" i="2"/>
  <c r="F91" i="2"/>
  <c r="F90" i="2"/>
  <c r="F89" i="2"/>
  <c r="F88" i="2"/>
  <c r="F87" i="2"/>
  <c r="F86" i="2"/>
  <c r="E95" i="2"/>
  <c r="E94" i="2"/>
  <c r="E93" i="2"/>
  <c r="E92" i="2"/>
  <c r="E91" i="2"/>
  <c r="E90" i="2"/>
  <c r="E89" i="2"/>
  <c r="E88" i="2"/>
  <c r="E87" i="2"/>
  <c r="E86" i="2"/>
  <c r="D95" i="2"/>
  <c r="D94" i="2"/>
  <c r="D93" i="2"/>
  <c r="D92" i="2"/>
  <c r="D91" i="2"/>
  <c r="D90" i="2"/>
  <c r="D89" i="2"/>
  <c r="D88" i="2"/>
  <c r="D87" i="2"/>
  <c r="D86" i="2"/>
  <c r="F83" i="2"/>
  <c r="F82" i="2"/>
  <c r="F81" i="2"/>
  <c r="F80" i="2"/>
  <c r="F79" i="2"/>
  <c r="F78" i="2"/>
  <c r="F77" i="2"/>
  <c r="F76" i="2"/>
  <c r="F75" i="2"/>
  <c r="F74" i="2"/>
  <c r="E83" i="2"/>
  <c r="E82" i="2"/>
  <c r="E81" i="2"/>
  <c r="E80" i="2"/>
  <c r="E79" i="2"/>
  <c r="E78" i="2"/>
  <c r="E77" i="2"/>
  <c r="E76" i="2"/>
  <c r="E75" i="2"/>
  <c r="E74" i="2"/>
  <c r="D83" i="2"/>
  <c r="D82" i="2"/>
  <c r="D81" i="2"/>
  <c r="D80" i="2"/>
  <c r="D79" i="2"/>
  <c r="D78" i="2"/>
  <c r="D77" i="2"/>
  <c r="D76" i="2"/>
  <c r="D75" i="2"/>
  <c r="D74" i="2"/>
  <c r="F71" i="2"/>
  <c r="F70" i="2"/>
  <c r="F69" i="2"/>
  <c r="F68" i="2"/>
  <c r="F67" i="2"/>
  <c r="F66" i="2"/>
  <c r="F65" i="2"/>
  <c r="F64" i="2"/>
  <c r="F63" i="2"/>
  <c r="F62" i="2"/>
  <c r="E71" i="2"/>
  <c r="E70" i="2"/>
  <c r="E69" i="2"/>
  <c r="E68" i="2"/>
  <c r="E67" i="2"/>
  <c r="E66" i="2"/>
  <c r="E65" i="2"/>
  <c r="E64" i="2"/>
  <c r="E63" i="2"/>
  <c r="E62" i="2"/>
  <c r="D71" i="2"/>
  <c r="D70" i="2"/>
  <c r="D69" i="2"/>
  <c r="D68" i="2"/>
  <c r="D67" i="2"/>
  <c r="D66" i="2"/>
  <c r="D65" i="2"/>
  <c r="D64" i="2"/>
  <c r="D63" i="2"/>
  <c r="D62" i="2"/>
  <c r="F59" i="2"/>
  <c r="F58" i="2"/>
  <c r="F57" i="2"/>
  <c r="F56" i="2"/>
  <c r="F55" i="2"/>
  <c r="F54" i="2"/>
  <c r="F53" i="2"/>
  <c r="F52" i="2"/>
  <c r="F51" i="2"/>
  <c r="F50" i="2"/>
  <c r="E59" i="2"/>
  <c r="E58" i="2"/>
  <c r="E57" i="2"/>
  <c r="E56" i="2"/>
  <c r="E55" i="2"/>
  <c r="E54" i="2"/>
  <c r="E53" i="2"/>
  <c r="E52" i="2"/>
  <c r="E51" i="2"/>
  <c r="E50" i="2"/>
  <c r="D59" i="2"/>
  <c r="D58" i="2"/>
  <c r="D57" i="2"/>
  <c r="D56" i="2"/>
  <c r="D55" i="2"/>
  <c r="D54" i="2"/>
  <c r="D53" i="2"/>
  <c r="D52" i="2"/>
  <c r="D51" i="2"/>
  <c r="D50" i="2"/>
  <c r="F47" i="2"/>
  <c r="F46" i="2"/>
  <c r="F45" i="2"/>
  <c r="F44" i="2"/>
  <c r="F43" i="2"/>
  <c r="F42" i="2"/>
  <c r="F41" i="2"/>
  <c r="F40" i="2"/>
  <c r="F39" i="2"/>
  <c r="F38" i="2"/>
  <c r="E47" i="2"/>
  <c r="E46" i="2"/>
  <c r="E45" i="2"/>
  <c r="E44" i="2"/>
  <c r="E43" i="2"/>
  <c r="E42" i="2"/>
  <c r="E41" i="2"/>
  <c r="E40" i="2"/>
  <c r="E39" i="2"/>
  <c r="E38" i="2"/>
  <c r="D47" i="2"/>
  <c r="D46" i="2"/>
  <c r="D45" i="2"/>
  <c r="D44" i="2"/>
  <c r="D43" i="2"/>
  <c r="D42" i="2"/>
  <c r="D41" i="2"/>
  <c r="D40" i="2"/>
  <c r="D39" i="2"/>
  <c r="D38" i="2"/>
  <c r="F35" i="2"/>
  <c r="F34" i="2"/>
  <c r="F33" i="2"/>
  <c r="F32" i="2"/>
  <c r="F31" i="2"/>
  <c r="F30" i="2"/>
  <c r="F29" i="2"/>
  <c r="F28" i="2"/>
  <c r="F27" i="2"/>
  <c r="F26" i="2"/>
  <c r="E35" i="2"/>
  <c r="E34" i="2"/>
  <c r="E33" i="2"/>
  <c r="E32" i="2"/>
  <c r="E31" i="2"/>
  <c r="E30" i="2"/>
  <c r="E29" i="2"/>
  <c r="E28" i="2"/>
  <c r="E27" i="2"/>
  <c r="E26" i="2"/>
  <c r="D35" i="2"/>
  <c r="D34" i="2"/>
  <c r="D33" i="2"/>
  <c r="D32" i="2"/>
  <c r="D31" i="2"/>
  <c r="D30" i="2"/>
  <c r="D29" i="2"/>
  <c r="D28" i="2"/>
  <c r="D27" i="2"/>
  <c r="D26" i="2"/>
  <c r="F23" i="2"/>
  <c r="F22" i="2"/>
  <c r="F21" i="2"/>
  <c r="F20" i="2"/>
  <c r="F19" i="2"/>
  <c r="F18" i="2"/>
  <c r="F17" i="2"/>
  <c r="F16" i="2"/>
  <c r="F15" i="2"/>
  <c r="F14" i="2"/>
  <c r="E23" i="2"/>
  <c r="E22" i="2"/>
  <c r="E21" i="2"/>
  <c r="E20" i="2"/>
  <c r="E19" i="2"/>
  <c r="E18" i="2"/>
  <c r="E17" i="2"/>
  <c r="E16" i="2"/>
  <c r="E15" i="2"/>
  <c r="E14" i="2"/>
  <c r="D23" i="2"/>
  <c r="D22" i="2"/>
  <c r="D21" i="2"/>
  <c r="D20" i="2"/>
  <c r="D19" i="2"/>
  <c r="D18" i="2"/>
  <c r="D17" i="2"/>
  <c r="D16" i="2"/>
  <c r="D15" i="2"/>
  <c r="D14" i="2"/>
  <c r="F10" i="2"/>
  <c r="F9" i="2"/>
  <c r="F8" i="2"/>
  <c r="F7" i="2"/>
  <c r="F6" i="2"/>
  <c r="F5" i="2"/>
  <c r="F4" i="2"/>
  <c r="F3" i="2"/>
  <c r="F2" i="2"/>
  <c r="E10" i="2"/>
  <c r="E9" i="2"/>
  <c r="E8" i="2"/>
  <c r="E7" i="2"/>
  <c r="E6" i="2"/>
  <c r="E5" i="2"/>
  <c r="E4" i="2"/>
  <c r="E3" i="2"/>
  <c r="E2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<sst xmlns="http://schemas.openxmlformats.org/spreadsheetml/2006/main" count="263" uniqueCount="28">
  <si>
    <t>Site</t>
  </si>
  <si>
    <t>Meausre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</si>
  <si>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</si>
  <si>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</si>
  <si>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</si>
  <si>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</si>
  <si>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</si>
  <si>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</si>
  <si>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</si>
  <si>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</si>
  <si>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</si>
  <si>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</si>
  <si>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</si>
  <si>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</si>
  <si>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</si>
  <si>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Kendall</t>
  </si>
  <si>
    <t>Mortalities</t>
  </si>
  <si>
    <t>72hr_Returns_Total</t>
  </si>
  <si>
    <t>72hr_Returns_Admit</t>
  </si>
  <si>
    <t>Ocala</t>
  </si>
  <si>
    <t>Summerfield</t>
  </si>
  <si>
    <t>Westchester</t>
  </si>
  <si>
    <t>Jupiter</t>
  </si>
  <si>
    <t>Baptist</t>
  </si>
  <si>
    <t>San Ramon</t>
  </si>
  <si>
    <t>West Marion</t>
  </si>
  <si>
    <t>Period</t>
  </si>
  <si>
    <t>Per PM, don't have this metric currently but MAY get it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</si>
</sst>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.0;\(###.0\);\-"/>
    <numFmt numFmtId="165" formatCode="0.0%"/>
    <numFmt numFmtId="166" formatCode="###;\(###\);\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Fill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64" fontId="0" fillId="0" borderId="0" xfId="0" applyNumberFormat="1" applyFill="1"/>
    <xf numFmtId="164" fontId="0" fillId="0" borderId="0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0" fontId="0" fillId="0" borderId="1" xfId="0" applyFill="1" applyBorder="1"/>
    <xf numFmtId="164" fontId="0" fillId="3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ill="1"/>
    <xf numFmtId="164" fontId="0" fillId="4" borderId="0" xfId="0" applyNumberFormat="1" applyFill="1"/>
    <xf numFmtId="164" fontId="0" fillId="4" borderId="0" xfId="0" applyNumberFormat="1" applyFill="1" applyBorder="1"/>
    <xf numFmtId="164" fontId="0" fillId="4" borderId="1" xfId="0" applyNumberFormat="1" applyFill="1" applyBorder="1"/>
    <xf numFmtId="164" fontId="0" fillId="2" borderId="0" xfId="0" applyNumberFormat="1" applyFill="1" applyBorder="1"/>
    <xf numFmtId="164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6"/>
  <sheetViews>
    <sheetView showGridLines="0" tabSelected="1" zoomScale="90" zoomScaleNormal="90" workbookViewId="0">
      <selection activeCell="R19" sqref="R19"/>
    </sheetView>
  </sheetViews>
  <sheetFormatPr defaultRowHeight="15" x14ac:dyDescent="0.25"/>
  <cols>
    <col min="1" max="1" width="17.7109375" customWidth="1"/>
    <col min="2" max="2" width="27" customWidth="1"/>
  </cols>
  <sheetData>
    <row r="3" spans="1:16" ht="17.25" x14ac:dyDescent="0.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1:16" ht="6.75" customHeight="1" x14ac:dyDescent="0.25"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x14ac:dyDescent="0.25">
      <c r="A5" t="s">
        <v>23</v>
      </c>
      <c r="B5" t="s">
        <v>16</v>
      </c>
      <c r="C5" s="1">
        <v>2017</v>
      </c>
      <c r="D5" s="20">
        <v>8</v>
      </c>
      <c r="E5" s="20">
        <v>12</v>
      </c>
      <c r="F5" s="20">
        <v>11</v>
      </c>
      <c r="G5" s="20">
        <v>4</v>
      </c>
      <c r="H5" s="20">
        <v>5</v>
      </c>
      <c r="I5" s="20">
        <v>6</v>
      </c>
      <c r="J5" s="20">
        <v>7</v>
      </c>
      <c r="K5" s="20">
        <v>9</v>
      </c>
      <c r="L5" s="20">
        <v>13</v>
      </c>
      <c r="M5" s="20">
        <v>7</v>
      </c>
      <c r="N5" s="20">
        <v>6</v>
      </c>
      <c r="O5" s="20">
        <v>10</v>
      </c>
    </row>
    <row r="6" spans="1:16" x14ac:dyDescent="0.25">
      <c r="A6" t="s">
        <v>23</v>
      </c>
      <c r="B6" t="s">
        <v>17</v>
      </c>
      <c r="C6" s="1">
        <v>2017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t="s">
        <v>27</v>
      </c>
    </row>
    <row r="7" spans="1:16" x14ac:dyDescent="0.25">
      <c r="A7" t="s">
        <v>23</v>
      </c>
      <c r="B7" t="s">
        <v>18</v>
      </c>
      <c r="C7" s="1">
        <v>2017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t="s">
        <v>27</v>
      </c>
    </row>
    <row r="8" spans="1:16" x14ac:dyDescent="0.25">
      <c r="C8" s="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5">
      <c r="A9" t="s">
        <v>22</v>
      </c>
      <c r="B9" t="s">
        <v>16</v>
      </c>
      <c r="C9" s="1">
        <v>2017</v>
      </c>
      <c r="D9" s="20">
        <v>7</v>
      </c>
      <c r="E9" s="20">
        <v>0</v>
      </c>
      <c r="F9" s="20">
        <v>6</v>
      </c>
      <c r="G9" s="20">
        <v>0</v>
      </c>
      <c r="H9" s="20">
        <v>0</v>
      </c>
      <c r="I9" s="20">
        <v>0</v>
      </c>
      <c r="J9" s="20">
        <v>3</v>
      </c>
      <c r="K9" s="20">
        <v>4</v>
      </c>
      <c r="L9" s="20">
        <v>0</v>
      </c>
      <c r="M9" s="20">
        <v>3</v>
      </c>
      <c r="N9" s="21">
        <v>0</v>
      </c>
      <c r="O9" s="21">
        <v>0</v>
      </c>
    </row>
    <row r="10" spans="1:16" x14ac:dyDescent="0.25">
      <c r="A10" t="s">
        <v>22</v>
      </c>
      <c r="B10" t="s">
        <v>17</v>
      </c>
      <c r="C10" s="1">
        <v>2017</v>
      </c>
      <c r="D10" s="20">
        <v>74</v>
      </c>
      <c r="E10" s="20">
        <v>64</v>
      </c>
      <c r="F10" s="20">
        <v>79</v>
      </c>
      <c r="G10" s="20">
        <v>70</v>
      </c>
      <c r="H10" s="20">
        <v>74</v>
      </c>
      <c r="I10" s="20">
        <v>78</v>
      </c>
      <c r="J10" s="20">
        <v>72</v>
      </c>
      <c r="K10" s="20">
        <v>81</v>
      </c>
      <c r="L10" s="20">
        <v>53</v>
      </c>
      <c r="M10" s="20">
        <v>60</v>
      </c>
      <c r="N10" s="21">
        <v>0</v>
      </c>
      <c r="O10" s="21">
        <v>0</v>
      </c>
    </row>
    <row r="11" spans="1:16" x14ac:dyDescent="0.25">
      <c r="A11" t="s">
        <v>22</v>
      </c>
      <c r="B11" t="s">
        <v>18</v>
      </c>
      <c r="C11" s="1">
        <v>2017</v>
      </c>
      <c r="D11" s="20">
        <v>29</v>
      </c>
      <c r="E11" s="20">
        <v>24</v>
      </c>
      <c r="F11" s="20">
        <v>29</v>
      </c>
      <c r="G11" s="20">
        <v>29</v>
      </c>
      <c r="H11" s="20">
        <v>24</v>
      </c>
      <c r="I11" s="20">
        <v>31</v>
      </c>
      <c r="J11" s="20">
        <v>31</v>
      </c>
      <c r="K11" s="20">
        <v>33</v>
      </c>
      <c r="L11" s="20">
        <v>25</v>
      </c>
      <c r="M11" s="20">
        <v>21</v>
      </c>
      <c r="N11" s="21">
        <v>0</v>
      </c>
      <c r="O11" s="21">
        <v>0</v>
      </c>
    </row>
    <row r="12" spans="1:16" x14ac:dyDescent="0.25">
      <c r="C12" s="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6" x14ac:dyDescent="0.25">
      <c r="A13" t="s">
        <v>19</v>
      </c>
      <c r="B13" t="s">
        <v>16</v>
      </c>
      <c r="C13" s="1">
        <v>2017</v>
      </c>
      <c r="D13" s="22">
        <v>5</v>
      </c>
      <c r="E13" s="20">
        <v>0</v>
      </c>
      <c r="F13" s="20">
        <v>2</v>
      </c>
      <c r="G13" s="20">
        <v>3</v>
      </c>
      <c r="H13" s="20">
        <v>5</v>
      </c>
      <c r="I13" s="20">
        <v>3</v>
      </c>
      <c r="J13" s="20">
        <v>3</v>
      </c>
      <c r="K13" s="20">
        <v>5</v>
      </c>
      <c r="L13" s="20">
        <v>1</v>
      </c>
      <c r="M13" s="20">
        <v>0</v>
      </c>
      <c r="N13" s="20">
        <v>0</v>
      </c>
      <c r="O13" s="20">
        <v>0</v>
      </c>
    </row>
    <row r="14" spans="1:16" x14ac:dyDescent="0.25">
      <c r="A14" t="s">
        <v>19</v>
      </c>
      <c r="B14" t="s">
        <v>17</v>
      </c>
      <c r="C14" s="1">
        <v>2017</v>
      </c>
      <c r="D14" s="22">
        <v>26</v>
      </c>
      <c r="E14" s="20">
        <v>17</v>
      </c>
      <c r="F14" s="20">
        <v>17</v>
      </c>
      <c r="G14" s="20">
        <v>19</v>
      </c>
      <c r="H14" s="20">
        <v>16</v>
      </c>
      <c r="I14" s="20">
        <v>17</v>
      </c>
      <c r="J14" s="20">
        <v>47</v>
      </c>
      <c r="K14" s="20">
        <v>63</v>
      </c>
      <c r="L14" s="20">
        <v>42</v>
      </c>
      <c r="M14" s="20">
        <v>38</v>
      </c>
      <c r="N14" s="20">
        <v>39</v>
      </c>
      <c r="O14" s="20">
        <v>30</v>
      </c>
    </row>
    <row r="15" spans="1:16" x14ac:dyDescent="0.25">
      <c r="A15" t="s">
        <v>19</v>
      </c>
      <c r="B15" t="s">
        <v>18</v>
      </c>
      <c r="C15" s="1">
        <v>2017</v>
      </c>
      <c r="D15" s="22">
        <v>1</v>
      </c>
      <c r="E15" s="20">
        <v>2</v>
      </c>
      <c r="F15" s="20">
        <v>0</v>
      </c>
      <c r="G15" s="20">
        <v>3</v>
      </c>
      <c r="H15" s="20">
        <v>1</v>
      </c>
      <c r="I15" s="20">
        <v>1</v>
      </c>
      <c r="J15" s="20">
        <v>0</v>
      </c>
      <c r="K15" s="20">
        <v>4</v>
      </c>
      <c r="L15" s="20">
        <v>2</v>
      </c>
      <c r="M15" s="20">
        <v>2</v>
      </c>
      <c r="N15" s="20">
        <v>0</v>
      </c>
      <c r="O15" s="20">
        <v>2</v>
      </c>
    </row>
    <row r="16" spans="1:16" x14ac:dyDescent="0.25">
      <c r="C16" s="1"/>
      <c r="D16" s="2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x14ac:dyDescent="0.25">
      <c r="A17" t="s">
        <v>25</v>
      </c>
      <c r="B17" t="s">
        <v>16</v>
      </c>
      <c r="C17" s="1">
        <v>2017</v>
      </c>
      <c r="D17" s="22">
        <v>1</v>
      </c>
      <c r="E17" s="20">
        <v>2</v>
      </c>
      <c r="F17" s="20">
        <v>0</v>
      </c>
      <c r="G17" s="20">
        <v>2</v>
      </c>
      <c r="H17" s="20">
        <v>1</v>
      </c>
      <c r="I17" s="20">
        <v>1</v>
      </c>
      <c r="J17" s="20">
        <v>0</v>
      </c>
      <c r="K17" s="20">
        <v>1</v>
      </c>
      <c r="L17" s="20">
        <v>1</v>
      </c>
      <c r="M17" s="20">
        <v>0</v>
      </c>
      <c r="N17" s="20">
        <v>0</v>
      </c>
      <c r="O17" s="20">
        <v>0</v>
      </c>
    </row>
    <row r="18" spans="1:15" x14ac:dyDescent="0.25">
      <c r="A18" t="s">
        <v>25</v>
      </c>
      <c r="B18" t="s">
        <v>17</v>
      </c>
      <c r="C18" s="1">
        <v>2017</v>
      </c>
      <c r="D18" s="22">
        <v>20</v>
      </c>
      <c r="E18" s="20">
        <v>27</v>
      </c>
      <c r="F18" s="20">
        <v>21</v>
      </c>
      <c r="G18" s="20">
        <v>14</v>
      </c>
      <c r="H18" s="20">
        <v>30</v>
      </c>
      <c r="I18" s="20">
        <v>20</v>
      </c>
      <c r="J18" s="20">
        <v>35</v>
      </c>
      <c r="K18" s="20">
        <v>43</v>
      </c>
      <c r="L18" s="20">
        <v>60</v>
      </c>
      <c r="M18" s="20">
        <v>57</v>
      </c>
      <c r="N18" s="20">
        <v>64</v>
      </c>
      <c r="O18" s="20">
        <v>55</v>
      </c>
    </row>
    <row r="19" spans="1:15" x14ac:dyDescent="0.25">
      <c r="A19" t="s">
        <v>25</v>
      </c>
      <c r="B19" t="s">
        <v>18</v>
      </c>
      <c r="C19" s="1">
        <v>2017</v>
      </c>
      <c r="D19" s="22">
        <v>1</v>
      </c>
      <c r="E19" s="20">
        <v>8</v>
      </c>
      <c r="F19" s="20">
        <v>3</v>
      </c>
      <c r="G19" s="20">
        <v>0</v>
      </c>
      <c r="H19" s="20">
        <v>1</v>
      </c>
      <c r="I19" s="20">
        <v>0</v>
      </c>
      <c r="J19" s="20">
        <v>2</v>
      </c>
      <c r="K19" s="20">
        <v>4</v>
      </c>
      <c r="L19" s="20">
        <v>1</v>
      </c>
      <c r="M19" s="20">
        <v>6</v>
      </c>
      <c r="N19" s="20">
        <v>0</v>
      </c>
      <c r="O19" s="20">
        <v>1</v>
      </c>
    </row>
    <row r="20" spans="1:15" x14ac:dyDescent="0.25">
      <c r="C20" s="1"/>
      <c r="D20" s="2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25">
      <c r="A21" t="s">
        <v>20</v>
      </c>
      <c r="B21" t="s">
        <v>16</v>
      </c>
      <c r="C21" s="1">
        <v>2017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1</v>
      </c>
      <c r="J21" s="20">
        <v>1</v>
      </c>
      <c r="K21" s="20">
        <v>2</v>
      </c>
      <c r="L21" s="20">
        <v>0</v>
      </c>
      <c r="M21" s="20">
        <v>0</v>
      </c>
      <c r="N21" s="20">
        <v>0</v>
      </c>
      <c r="O21" s="20">
        <v>0</v>
      </c>
    </row>
    <row r="22" spans="1:15" x14ac:dyDescent="0.25">
      <c r="A22" t="s">
        <v>20</v>
      </c>
      <c r="B22" t="s">
        <v>17</v>
      </c>
      <c r="C22" s="1">
        <v>2017</v>
      </c>
      <c r="D22" s="20">
        <v>2</v>
      </c>
      <c r="E22" s="20">
        <v>4</v>
      </c>
      <c r="F22" s="20">
        <v>8</v>
      </c>
      <c r="G22" s="20">
        <v>5</v>
      </c>
      <c r="H22" s="20">
        <v>3</v>
      </c>
      <c r="I22" s="20">
        <v>10</v>
      </c>
      <c r="J22" s="20">
        <v>13</v>
      </c>
      <c r="K22" s="20">
        <v>0</v>
      </c>
      <c r="L22" s="20">
        <v>0</v>
      </c>
      <c r="M22" s="20">
        <v>35</v>
      </c>
      <c r="N22" s="20">
        <v>28</v>
      </c>
      <c r="O22" s="20">
        <v>24</v>
      </c>
    </row>
    <row r="23" spans="1:15" x14ac:dyDescent="0.25">
      <c r="A23" t="s">
        <v>20</v>
      </c>
      <c r="B23" t="s">
        <v>18</v>
      </c>
      <c r="C23" s="1">
        <v>2017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</row>
    <row r="24" spans="1:15" x14ac:dyDescent="0.25">
      <c r="C24" s="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x14ac:dyDescent="0.25">
      <c r="A25" t="s">
        <v>24</v>
      </c>
      <c r="B25" t="s">
        <v>16</v>
      </c>
      <c r="C25" s="1">
        <v>2017</v>
      </c>
      <c r="D25" s="20">
        <v>0</v>
      </c>
      <c r="E25" s="20">
        <v>4</v>
      </c>
      <c r="F25" s="20">
        <v>2</v>
      </c>
      <c r="G25" s="20">
        <v>4</v>
      </c>
      <c r="H25" s="20">
        <v>2</v>
      </c>
      <c r="I25" s="20">
        <v>2</v>
      </c>
      <c r="J25" s="20">
        <v>2</v>
      </c>
      <c r="K25" s="20">
        <v>3</v>
      </c>
      <c r="L25" s="20">
        <v>3</v>
      </c>
      <c r="M25" s="20">
        <v>3</v>
      </c>
      <c r="N25" s="20">
        <v>2</v>
      </c>
      <c r="O25" s="20">
        <v>6</v>
      </c>
    </row>
    <row r="26" spans="1:15" x14ac:dyDescent="0.25">
      <c r="A26" t="s">
        <v>24</v>
      </c>
      <c r="B26" t="s">
        <v>17</v>
      </c>
      <c r="C26" s="1">
        <v>2017</v>
      </c>
      <c r="D26" s="20">
        <v>63</v>
      </c>
      <c r="E26" s="20">
        <v>61</v>
      </c>
      <c r="F26" s="20">
        <v>46</v>
      </c>
      <c r="G26" s="20">
        <v>48</v>
      </c>
      <c r="H26" s="20">
        <v>56</v>
      </c>
      <c r="I26" s="20">
        <v>75</v>
      </c>
      <c r="J26" s="20">
        <v>69</v>
      </c>
      <c r="K26" s="20">
        <v>52</v>
      </c>
      <c r="L26" s="20">
        <v>61</v>
      </c>
      <c r="M26" s="20">
        <v>64</v>
      </c>
      <c r="N26" s="20">
        <v>43</v>
      </c>
      <c r="O26" s="20">
        <v>59</v>
      </c>
    </row>
    <row r="27" spans="1:15" x14ac:dyDescent="0.25">
      <c r="A27" t="s">
        <v>24</v>
      </c>
      <c r="B27" t="s">
        <v>18</v>
      </c>
      <c r="C27" s="1">
        <v>2017</v>
      </c>
      <c r="D27" s="20">
        <v>14</v>
      </c>
      <c r="E27" s="20">
        <v>13</v>
      </c>
      <c r="F27" s="20">
        <v>8</v>
      </c>
      <c r="G27" s="20">
        <v>12</v>
      </c>
      <c r="H27" s="20">
        <v>9</v>
      </c>
      <c r="I27" s="20">
        <v>19</v>
      </c>
      <c r="J27" s="20">
        <v>12</v>
      </c>
      <c r="K27" s="20">
        <v>12</v>
      </c>
      <c r="L27" s="20">
        <v>9</v>
      </c>
      <c r="M27" s="20">
        <v>7</v>
      </c>
      <c r="N27" s="20">
        <v>7</v>
      </c>
      <c r="O27" s="20">
        <v>13</v>
      </c>
    </row>
    <row r="28" spans="1:15" x14ac:dyDescent="0.25"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t="s">
        <v>21</v>
      </c>
      <c r="B29" t="s">
        <v>16</v>
      </c>
      <c r="C29" s="1">
        <v>2017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1</v>
      </c>
    </row>
    <row r="30" spans="1:15" x14ac:dyDescent="0.25">
      <c r="A30" t="s">
        <v>21</v>
      </c>
      <c r="B30" t="s">
        <v>17</v>
      </c>
      <c r="C30" s="1">
        <v>2017</v>
      </c>
      <c r="D30" s="20">
        <v>30</v>
      </c>
      <c r="E30" s="20">
        <v>19</v>
      </c>
      <c r="F30" s="20">
        <v>15</v>
      </c>
      <c r="G30" s="20">
        <v>22</v>
      </c>
      <c r="H30" s="20">
        <v>16</v>
      </c>
      <c r="I30" s="20">
        <v>17</v>
      </c>
      <c r="J30" s="20">
        <v>23</v>
      </c>
      <c r="K30" s="20">
        <v>13</v>
      </c>
      <c r="L30" s="20">
        <v>19</v>
      </c>
      <c r="M30" s="20">
        <v>21</v>
      </c>
      <c r="N30" s="20">
        <v>18</v>
      </c>
      <c r="O30" s="20">
        <v>19</v>
      </c>
    </row>
    <row r="31" spans="1:15" x14ac:dyDescent="0.25">
      <c r="A31" t="s">
        <v>21</v>
      </c>
      <c r="B31" t="s">
        <v>18</v>
      </c>
      <c r="C31" s="1">
        <v>2017</v>
      </c>
      <c r="D31" s="20">
        <v>10</v>
      </c>
      <c r="E31" s="20">
        <v>8</v>
      </c>
      <c r="F31" s="20">
        <v>4</v>
      </c>
      <c r="G31" s="20">
        <v>4</v>
      </c>
      <c r="H31" s="20">
        <v>3</v>
      </c>
      <c r="I31" s="20">
        <v>6</v>
      </c>
      <c r="J31" s="20">
        <v>10</v>
      </c>
      <c r="K31" s="20">
        <v>2</v>
      </c>
      <c r="L31" s="20">
        <v>7</v>
      </c>
      <c r="M31" s="20">
        <v>8</v>
      </c>
      <c r="N31" s="20">
        <v>4</v>
      </c>
      <c r="O31" s="20">
        <v>7</v>
      </c>
    </row>
    <row r="32" spans="1:15" x14ac:dyDescent="0.25">
      <c r="C32" s="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x14ac:dyDescent="0.25">
      <c r="A33" t="s">
        <v>15</v>
      </c>
      <c r="B33" t="s">
        <v>16</v>
      </c>
      <c r="C33" s="1">
        <v>2017</v>
      </c>
      <c r="D33" s="22">
        <v>25</v>
      </c>
      <c r="E33" s="20">
        <v>18</v>
      </c>
      <c r="F33" s="20">
        <v>23</v>
      </c>
      <c r="G33" s="20">
        <v>9</v>
      </c>
      <c r="H33" s="20">
        <v>8</v>
      </c>
      <c r="I33" s="20">
        <v>8</v>
      </c>
      <c r="J33" s="20">
        <v>11</v>
      </c>
      <c r="K33" s="20">
        <v>13</v>
      </c>
      <c r="L33" s="20">
        <v>26</v>
      </c>
      <c r="M33" s="20">
        <v>13</v>
      </c>
      <c r="N33" s="20">
        <v>7</v>
      </c>
      <c r="O33" s="20">
        <v>25</v>
      </c>
    </row>
    <row r="34" spans="1:15" x14ac:dyDescent="0.25">
      <c r="A34" t="s">
        <v>15</v>
      </c>
      <c r="B34" t="s">
        <v>17</v>
      </c>
      <c r="C34" s="1">
        <v>2017</v>
      </c>
      <c r="D34" s="22">
        <v>230</v>
      </c>
      <c r="E34" s="20">
        <v>190</v>
      </c>
      <c r="F34" s="20">
        <v>221</v>
      </c>
      <c r="G34" s="20">
        <v>184</v>
      </c>
      <c r="H34" s="20">
        <v>190</v>
      </c>
      <c r="I34" s="20">
        <v>189</v>
      </c>
      <c r="J34" s="20">
        <v>204</v>
      </c>
      <c r="K34" s="20">
        <v>184</v>
      </c>
      <c r="L34" s="20">
        <v>204</v>
      </c>
      <c r="M34" s="20">
        <v>143</v>
      </c>
      <c r="N34" s="20">
        <v>189</v>
      </c>
      <c r="O34" s="20">
        <v>174</v>
      </c>
    </row>
    <row r="35" spans="1:15" x14ac:dyDescent="0.25">
      <c r="A35" t="s">
        <v>15</v>
      </c>
      <c r="B35" t="s">
        <v>18</v>
      </c>
      <c r="C35" s="1">
        <v>2017</v>
      </c>
      <c r="D35" s="22">
        <v>57</v>
      </c>
      <c r="E35" s="20">
        <v>42</v>
      </c>
      <c r="F35" s="20">
        <v>34</v>
      </c>
      <c r="G35" s="20">
        <v>25</v>
      </c>
      <c r="H35" s="20">
        <v>31</v>
      </c>
      <c r="I35" s="20">
        <v>22</v>
      </c>
      <c r="J35" s="20">
        <v>63</v>
      </c>
      <c r="K35" s="20">
        <v>33</v>
      </c>
      <c r="L35" s="20">
        <v>22</v>
      </c>
      <c r="M35" s="20">
        <v>25</v>
      </c>
      <c r="N35" s="20">
        <v>22</v>
      </c>
      <c r="O35" s="20">
        <v>27</v>
      </c>
    </row>
    <row r="36" spans="1:15" x14ac:dyDescent="0.25">
      <c r="C36" s="1"/>
      <c r="D36" s="4"/>
      <c r="E36" s="4"/>
      <c r="F36" s="4"/>
      <c r="G36" s="4"/>
      <c r="H36" s="4"/>
      <c r="I36" s="4"/>
      <c r="J36" s="4"/>
      <c r="K36" s="4"/>
      <c r="L36" s="4"/>
      <c r="M36" s="5"/>
      <c r="N36" s="5"/>
      <c r="O3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showGridLines="0" zoomScale="90" zoomScaleNormal="90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.5703125" bestFit="1" customWidth="1"/>
    <col min="4" max="4" width="11.28515625" customWidth="1"/>
    <col min="5" max="5" width="19.42578125" customWidth="1"/>
    <col min="6" max="6" width="20.28515625" customWidth="1"/>
  </cols>
  <sheetData>
    <row r="1" spans="1:6" ht="17.25" x14ac:dyDescent="0.4">
      <c r="A1" s="2" t="s">
        <v>0</v>
      </c>
      <c r="B1" s="2" t="s">
        <v>2</v>
      </c>
      <c r="C1" s="2" t="s">
        <v>26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23</v>
      </c>
      <c r="B2" s="1">
        <v>2017</v>
      </c>
      <c r="C2" s="1" t="s">
        <v>3</v>
      </c>
      <c r="D2" s="14">
        <f>Summary!$D$5</f>
        <v>8</v>
      </c>
      <c r="E2" s="24">
        <f>Summary!$D$6</f>
        <v>0</v>
      </c>
      <c r="F2" s="24">
        <f>Summary!$D$7</f>
        <v>0</v>
      </c>
    </row>
    <row r="3" spans="1:6" x14ac:dyDescent="0.25">
      <c r="A3" t="s">
        <v>23</v>
      </c>
      <c r="B3" s="1">
        <v>2017</v>
      </c>
      <c r="C3" s="1" t="s">
        <v>4</v>
      </c>
      <c r="D3" s="14">
        <f>Summary!$E$5</f>
        <v>12</v>
      </c>
      <c r="E3" s="24">
        <f>Summary!$E$6</f>
        <v>0</v>
      </c>
      <c r="F3" s="24">
        <f>Summary!$E$7</f>
        <v>0</v>
      </c>
    </row>
    <row r="4" spans="1:6" x14ac:dyDescent="0.25">
      <c r="A4" t="s">
        <v>23</v>
      </c>
      <c r="B4" s="1">
        <v>2017</v>
      </c>
      <c r="C4" s="1" t="s">
        <v>5</v>
      </c>
      <c r="D4" s="14">
        <f>Summary!$F$5</f>
        <v>11</v>
      </c>
      <c r="E4" s="24">
        <f>Summary!$F$6</f>
        <v>0</v>
      </c>
      <c r="F4" s="24">
        <f>Summary!$F$7</f>
        <v>0</v>
      </c>
    </row>
    <row r="5" spans="1:6" x14ac:dyDescent="0.25">
      <c r="A5" t="s">
        <v>23</v>
      </c>
      <c r="B5" s="1">
        <v>2017</v>
      </c>
      <c r="C5" s="1" t="s">
        <v>6</v>
      </c>
      <c r="D5" s="14">
        <f>Summary!$G$5</f>
        <v>4</v>
      </c>
      <c r="E5" s="24">
        <f>Summary!$G$6</f>
        <v>0</v>
      </c>
      <c r="F5" s="24">
        <f>Summary!$G$7</f>
        <v>0</v>
      </c>
    </row>
    <row r="6" spans="1:6" x14ac:dyDescent="0.25">
      <c r="A6" t="s">
        <v>23</v>
      </c>
      <c r="B6" s="1">
        <v>2017</v>
      </c>
      <c r="C6" s="1" t="s">
        <v>7</v>
      </c>
      <c r="D6" s="14">
        <f>Summary!$H$5</f>
        <v>5</v>
      </c>
      <c r="E6" s="24">
        <f>Summary!$H$6</f>
        <v>0</v>
      </c>
      <c r="F6" s="24">
        <f>Summary!$H$7</f>
        <v>0</v>
      </c>
    </row>
    <row r="7" spans="1:6" x14ac:dyDescent="0.25">
      <c r="A7" t="s">
        <v>23</v>
      </c>
      <c r="B7" s="1">
        <v>2017</v>
      </c>
      <c r="C7" s="1" t="s">
        <v>8</v>
      </c>
      <c r="D7" s="14">
        <f>Summary!$I$5</f>
        <v>6</v>
      </c>
      <c r="E7" s="24">
        <f>Summary!$I$6</f>
        <v>0</v>
      </c>
      <c r="F7" s="24">
        <f>Summary!$I$7</f>
        <v>0</v>
      </c>
    </row>
    <row r="8" spans="1:6" x14ac:dyDescent="0.25">
      <c r="A8" t="s">
        <v>23</v>
      </c>
      <c r="B8" s="1">
        <v>2017</v>
      </c>
      <c r="C8" s="1" t="s">
        <v>9</v>
      </c>
      <c r="D8" s="14">
        <f>Summary!$J$5</f>
        <v>7</v>
      </c>
      <c r="E8" s="24">
        <f>Summary!$J$6</f>
        <v>0</v>
      </c>
      <c r="F8" s="24">
        <f>Summary!$J$7</f>
        <v>0</v>
      </c>
    </row>
    <row r="9" spans="1:6" x14ac:dyDescent="0.25">
      <c r="A9" t="s">
        <v>23</v>
      </c>
      <c r="B9" s="1">
        <v>2017</v>
      </c>
      <c r="C9" s="1" t="s">
        <v>10</v>
      </c>
      <c r="D9" s="14">
        <f>Summary!$K$5</f>
        <v>9</v>
      </c>
      <c r="E9" s="24">
        <f>Summary!$K$6</f>
        <v>0</v>
      </c>
      <c r="F9" s="24">
        <f>Summary!$K$7</f>
        <v>0</v>
      </c>
    </row>
    <row r="10" spans="1:6" x14ac:dyDescent="0.25">
      <c r="A10" t="s">
        <v>23</v>
      </c>
      <c r="B10" s="1">
        <v>2017</v>
      </c>
      <c r="C10" s="1" t="s">
        <v>11</v>
      </c>
      <c r="D10" s="14">
        <f>Summary!$L$5</f>
        <v>13</v>
      </c>
      <c r="E10" s="24">
        <f>Summary!$L$6</f>
        <v>0</v>
      </c>
      <c r="F10" s="24">
        <f>Summary!$L$7</f>
        <v>0</v>
      </c>
    </row>
    <row r="11" spans="1:6" x14ac:dyDescent="0.25">
      <c r="A11" t="s">
        <v>23</v>
      </c>
      <c r="B11" s="1">
        <v>2017</v>
      </c>
      <c r="C11" s="1" t="s">
        <v>12</v>
      </c>
      <c r="D11" s="14">
        <f>Summary!$M$5</f>
        <v>7</v>
      </c>
      <c r="E11" s="24">
        <f>Summary!$M$6</f>
        <v>0</v>
      </c>
      <c r="F11" s="24">
        <f>Summary!$M$7</f>
        <v>0</v>
      </c>
    </row>
    <row r="12" spans="1:6" x14ac:dyDescent="0.25">
      <c r="A12" s="11" t="s">
        <v>23</v>
      </c>
      <c r="B12" s="12">
        <v>2017</v>
      </c>
      <c r="C12" s="12" t="s">
        <v>13</v>
      </c>
      <c r="D12" s="13">
        <f>Summary!$N$5</f>
        <v>6</v>
      </c>
      <c r="E12" s="25">
        <f>Summary!$N$6</f>
        <v>0</v>
      </c>
      <c r="F12" s="25">
        <f>Summary!$N$7</f>
        <v>0</v>
      </c>
    </row>
    <row r="13" spans="1:6" x14ac:dyDescent="0.25">
      <c r="A13" s="8" t="s">
        <v>23</v>
      </c>
      <c r="B13" s="9">
        <v>2017</v>
      </c>
      <c r="C13" s="9" t="s">
        <v>14</v>
      </c>
      <c r="D13" s="10">
        <f>Summary!$O$5</f>
        <v>10</v>
      </c>
      <c r="E13" s="26">
        <f>Summary!$O$6</f>
        <v>0</v>
      </c>
      <c r="F13" s="26">
        <f>Summary!$O$7</f>
        <v>0</v>
      </c>
    </row>
    <row r="14" spans="1:6" x14ac:dyDescent="0.25">
      <c r="A14" t="s">
        <v>22</v>
      </c>
      <c r="B14" s="1">
        <v>2017</v>
      </c>
      <c r="C14" s="1" t="s">
        <v>3</v>
      </c>
      <c r="D14" s="7">
        <f>Summary!$D$9</f>
        <v>7</v>
      </c>
      <c r="E14" s="7">
        <f>Summary!$D$10</f>
        <v>74</v>
      </c>
      <c r="F14" s="7">
        <f>Summary!$D$11</f>
        <v>29</v>
      </c>
    </row>
    <row r="15" spans="1:6" x14ac:dyDescent="0.25">
      <c r="A15" t="s">
        <v>22</v>
      </c>
      <c r="B15" s="1">
        <v>2017</v>
      </c>
      <c r="C15" s="1" t="s">
        <v>4</v>
      </c>
      <c r="D15" s="7">
        <f>Summary!$E$9</f>
        <v>0</v>
      </c>
      <c r="E15" s="7">
        <f>Summary!$E$10</f>
        <v>64</v>
      </c>
      <c r="F15" s="7">
        <f>Summary!$E$11</f>
        <v>24</v>
      </c>
    </row>
    <row r="16" spans="1:6" x14ac:dyDescent="0.25">
      <c r="A16" t="s">
        <v>22</v>
      </c>
      <c r="B16" s="1">
        <v>2017</v>
      </c>
      <c r="C16" s="1" t="s">
        <v>5</v>
      </c>
      <c r="D16" s="7">
        <f>Summary!$F$9</f>
        <v>6</v>
      </c>
      <c r="E16" s="7">
        <f>Summary!$F$10</f>
        <v>79</v>
      </c>
      <c r="F16" s="7">
        <f>Summary!$F$11</f>
        <v>29</v>
      </c>
    </row>
    <row r="17" spans="1:6" x14ac:dyDescent="0.25">
      <c r="A17" t="s">
        <v>22</v>
      </c>
      <c r="B17" s="1">
        <v>2017</v>
      </c>
      <c r="C17" s="1" t="s">
        <v>6</v>
      </c>
      <c r="D17" s="7">
        <f>Summary!$G$9</f>
        <v>0</v>
      </c>
      <c r="E17" s="7">
        <f>Summary!$G$10</f>
        <v>70</v>
      </c>
      <c r="F17" s="7">
        <f>Summary!$G$11</f>
        <v>29</v>
      </c>
    </row>
    <row r="18" spans="1:6" x14ac:dyDescent="0.25">
      <c r="A18" t="s">
        <v>22</v>
      </c>
      <c r="B18" s="1">
        <v>2017</v>
      </c>
      <c r="C18" s="1" t="s">
        <v>7</v>
      </c>
      <c r="D18" s="7">
        <f>Summary!$H$9</f>
        <v>0</v>
      </c>
      <c r="E18" s="7">
        <f>Summary!$H$10</f>
        <v>74</v>
      </c>
      <c r="F18" s="7">
        <f>Summary!$H$11</f>
        <v>24</v>
      </c>
    </row>
    <row r="19" spans="1:6" x14ac:dyDescent="0.25">
      <c r="A19" t="s">
        <v>22</v>
      </c>
      <c r="B19" s="1">
        <v>2017</v>
      </c>
      <c r="C19" s="1" t="s">
        <v>8</v>
      </c>
      <c r="D19" s="7">
        <f>Summary!$I$9</f>
        <v>0</v>
      </c>
      <c r="E19" s="7">
        <f>Summary!$I$10</f>
        <v>78</v>
      </c>
      <c r="F19" s="7">
        <f>Summary!$I$11</f>
        <v>31</v>
      </c>
    </row>
    <row r="20" spans="1:6" x14ac:dyDescent="0.25">
      <c r="A20" t="s">
        <v>22</v>
      </c>
      <c r="B20" s="1">
        <v>2017</v>
      </c>
      <c r="C20" s="1" t="s">
        <v>9</v>
      </c>
      <c r="D20" s="7">
        <f>Summary!$J$9</f>
        <v>3</v>
      </c>
      <c r="E20" s="7">
        <f>Summary!$J$10</f>
        <v>72</v>
      </c>
      <c r="F20" s="7">
        <f>Summary!$J$11</f>
        <v>31</v>
      </c>
    </row>
    <row r="21" spans="1:6" x14ac:dyDescent="0.25">
      <c r="A21" t="s">
        <v>22</v>
      </c>
      <c r="B21" s="1">
        <v>2017</v>
      </c>
      <c r="C21" s="1" t="s">
        <v>10</v>
      </c>
      <c r="D21" s="7">
        <f>Summary!$K$9</f>
        <v>4</v>
      </c>
      <c r="E21" s="7">
        <f>Summary!$K$10</f>
        <v>81</v>
      </c>
      <c r="F21" s="7">
        <f>Summary!$K$11</f>
        <v>33</v>
      </c>
    </row>
    <row r="22" spans="1:6" x14ac:dyDescent="0.25">
      <c r="A22" t="s">
        <v>22</v>
      </c>
      <c r="B22" s="1">
        <v>2017</v>
      </c>
      <c r="C22" s="1" t="s">
        <v>11</v>
      </c>
      <c r="D22" s="7">
        <f>Summary!$L$9</f>
        <v>0</v>
      </c>
      <c r="E22" s="7">
        <f>Summary!$L$10</f>
        <v>53</v>
      </c>
      <c r="F22" s="7">
        <f>Summary!$L$11</f>
        <v>25</v>
      </c>
    </row>
    <row r="23" spans="1:6" x14ac:dyDescent="0.25">
      <c r="A23" s="11" t="s">
        <v>22</v>
      </c>
      <c r="B23" s="12">
        <v>2017</v>
      </c>
      <c r="C23" s="12" t="s">
        <v>12</v>
      </c>
      <c r="D23" s="13">
        <f>Summary!$M$9</f>
        <v>3</v>
      </c>
      <c r="E23" s="13">
        <f>Summary!$M$10</f>
        <v>60</v>
      </c>
      <c r="F23" s="13">
        <f>Summary!$M$11</f>
        <v>21</v>
      </c>
    </row>
    <row r="24" spans="1:6" x14ac:dyDescent="0.25">
      <c r="A24" s="11" t="s">
        <v>22</v>
      </c>
      <c r="B24" s="12">
        <v>2017</v>
      </c>
      <c r="C24" s="12" t="s">
        <v>13</v>
      </c>
      <c r="D24" s="13">
        <f>Summary!$N$9</f>
        <v>0</v>
      </c>
      <c r="E24" s="27">
        <f>Summary!$N$10</f>
        <v>0</v>
      </c>
      <c r="F24" s="27">
        <f>Summary!$N$11</f>
        <v>0</v>
      </c>
    </row>
    <row r="25" spans="1:6" x14ac:dyDescent="0.25">
      <c r="A25" s="8" t="s">
        <v>22</v>
      </c>
      <c r="B25" s="9">
        <v>2017</v>
      </c>
      <c r="C25" s="9" t="s">
        <v>14</v>
      </c>
      <c r="D25" s="10">
        <f>Summary!$O$9</f>
        <v>0</v>
      </c>
      <c r="E25" s="28">
        <f>Summary!$O$10</f>
        <v>0</v>
      </c>
      <c r="F25" s="28">
        <f>Summary!$O$11</f>
        <v>0</v>
      </c>
    </row>
    <row r="26" spans="1:6" x14ac:dyDescent="0.25">
      <c r="A26" s="11" t="s">
        <v>19</v>
      </c>
      <c r="B26" s="12">
        <v>2017</v>
      </c>
      <c r="C26" s="12" t="s">
        <v>3</v>
      </c>
      <c r="D26" s="13">
        <f>Summary!$D$13</f>
        <v>5</v>
      </c>
      <c r="E26" s="13">
        <f>Summary!$D$14</f>
        <v>26</v>
      </c>
      <c r="F26" s="13">
        <f>Summary!$D$15</f>
        <v>1</v>
      </c>
    </row>
    <row r="27" spans="1:6" x14ac:dyDescent="0.25">
      <c r="A27" s="11" t="s">
        <v>19</v>
      </c>
      <c r="B27" s="12">
        <v>2017</v>
      </c>
      <c r="C27" s="12" t="s">
        <v>4</v>
      </c>
      <c r="D27" s="13">
        <f>Summary!$E$13</f>
        <v>0</v>
      </c>
      <c r="E27" s="13">
        <f>Summary!$E$14</f>
        <v>17</v>
      </c>
      <c r="F27" s="13">
        <f>Summary!$E$15</f>
        <v>2</v>
      </c>
    </row>
    <row r="28" spans="1:6" x14ac:dyDescent="0.25">
      <c r="A28" s="11" t="s">
        <v>19</v>
      </c>
      <c r="B28" s="12">
        <v>2017</v>
      </c>
      <c r="C28" s="12" t="s">
        <v>5</v>
      </c>
      <c r="D28" s="13">
        <f>Summary!$F$13</f>
        <v>2</v>
      </c>
      <c r="E28" s="13">
        <f>Summary!$F$14</f>
        <v>17</v>
      </c>
      <c r="F28" s="15">
        <f>Summary!$F$15</f>
        <v>0</v>
      </c>
    </row>
    <row r="29" spans="1:6" x14ac:dyDescent="0.25">
      <c r="A29" s="11" t="s">
        <v>19</v>
      </c>
      <c r="B29" s="12">
        <v>2017</v>
      </c>
      <c r="C29" s="12" t="s">
        <v>6</v>
      </c>
      <c r="D29" s="13">
        <f>Summary!$G$13</f>
        <v>3</v>
      </c>
      <c r="E29" s="13">
        <f>Summary!$G$14</f>
        <v>19</v>
      </c>
      <c r="F29" s="15">
        <f>Summary!$G$15</f>
        <v>3</v>
      </c>
    </row>
    <row r="30" spans="1:6" x14ac:dyDescent="0.25">
      <c r="A30" s="11" t="s">
        <v>19</v>
      </c>
      <c r="B30" s="12">
        <v>2017</v>
      </c>
      <c r="C30" s="12" t="s">
        <v>7</v>
      </c>
      <c r="D30" s="13">
        <f>Summary!$H$13</f>
        <v>5</v>
      </c>
      <c r="E30" s="13">
        <f>Summary!$H$14</f>
        <v>16</v>
      </c>
      <c r="F30" s="15">
        <f>Summary!$H$15</f>
        <v>1</v>
      </c>
    </row>
    <row r="31" spans="1:6" x14ac:dyDescent="0.25">
      <c r="A31" s="11" t="s">
        <v>19</v>
      </c>
      <c r="B31" s="12">
        <v>2017</v>
      </c>
      <c r="C31" s="12" t="s">
        <v>8</v>
      </c>
      <c r="D31" s="13">
        <f>Summary!$I$13</f>
        <v>3</v>
      </c>
      <c r="E31" s="13">
        <f>Summary!$I$14</f>
        <v>17</v>
      </c>
      <c r="F31" s="15">
        <f>Summary!$I$15</f>
        <v>1</v>
      </c>
    </row>
    <row r="32" spans="1:6" x14ac:dyDescent="0.25">
      <c r="A32" s="11" t="s">
        <v>19</v>
      </c>
      <c r="B32" s="12">
        <v>2017</v>
      </c>
      <c r="C32" s="12" t="s">
        <v>9</v>
      </c>
      <c r="D32" s="13">
        <f>Summary!$J$13</f>
        <v>3</v>
      </c>
      <c r="E32" s="13">
        <f>Summary!$J$14</f>
        <v>47</v>
      </c>
      <c r="F32" s="15">
        <f>Summary!$J$15</f>
        <v>0</v>
      </c>
    </row>
    <row r="33" spans="1:6" x14ac:dyDescent="0.25">
      <c r="A33" s="11" t="s">
        <v>19</v>
      </c>
      <c r="B33" s="12">
        <v>2017</v>
      </c>
      <c r="C33" s="12" t="s">
        <v>10</v>
      </c>
      <c r="D33" s="13">
        <f>Summary!$K$13</f>
        <v>5</v>
      </c>
      <c r="E33" s="13">
        <f>Summary!$K$14</f>
        <v>63</v>
      </c>
      <c r="F33" s="15">
        <f>Summary!$K$15</f>
        <v>4</v>
      </c>
    </row>
    <row r="34" spans="1:6" x14ac:dyDescent="0.25">
      <c r="A34" s="11" t="s">
        <v>19</v>
      </c>
      <c r="B34" s="12">
        <v>2017</v>
      </c>
      <c r="C34" s="12" t="s">
        <v>11</v>
      </c>
      <c r="D34" s="13">
        <f>Summary!$L$13</f>
        <v>1</v>
      </c>
      <c r="E34" s="13">
        <f>Summary!$L$14</f>
        <v>42</v>
      </c>
      <c r="F34" s="15">
        <f>Summary!$L$15</f>
        <v>2</v>
      </c>
    </row>
    <row r="35" spans="1:6" x14ac:dyDescent="0.25">
      <c r="A35" s="11" t="s">
        <v>19</v>
      </c>
      <c r="B35" s="12">
        <v>2017</v>
      </c>
      <c r="C35" s="12" t="s">
        <v>12</v>
      </c>
      <c r="D35" s="13">
        <f>Summary!$M$13</f>
        <v>0</v>
      </c>
      <c r="E35" s="13">
        <f>Summary!$M$14</f>
        <v>38</v>
      </c>
      <c r="F35" s="13">
        <f>Summary!$M$15</f>
        <v>2</v>
      </c>
    </row>
    <row r="36" spans="1:6" x14ac:dyDescent="0.25">
      <c r="A36" s="11" t="s">
        <v>19</v>
      </c>
      <c r="B36" s="12">
        <v>2017</v>
      </c>
      <c r="C36" s="12" t="s">
        <v>13</v>
      </c>
      <c r="D36" s="13">
        <f>Summary!$N$13</f>
        <v>0</v>
      </c>
      <c r="E36" s="15">
        <f>Summary!$N$14</f>
        <v>39</v>
      </c>
      <c r="F36" s="15">
        <f>Summary!$N$15</f>
        <v>0</v>
      </c>
    </row>
    <row r="37" spans="1:6" x14ac:dyDescent="0.25">
      <c r="A37" s="8" t="s">
        <v>19</v>
      </c>
      <c r="B37" s="9">
        <v>2017</v>
      </c>
      <c r="C37" s="9" t="s">
        <v>14</v>
      </c>
      <c r="D37" s="10">
        <f>Summary!$O$13</f>
        <v>0</v>
      </c>
      <c r="E37" s="16">
        <f>Summary!$O$14</f>
        <v>30</v>
      </c>
      <c r="F37" s="16">
        <f>Summary!$O$15</f>
        <v>2</v>
      </c>
    </row>
    <row r="38" spans="1:6" x14ac:dyDescent="0.25">
      <c r="A38" s="11" t="s">
        <v>25</v>
      </c>
      <c r="B38" s="12">
        <v>2017</v>
      </c>
      <c r="C38" s="12" t="s">
        <v>3</v>
      </c>
      <c r="D38" s="13">
        <f>Summary!$D$17</f>
        <v>1</v>
      </c>
      <c r="E38" s="13">
        <f>Summary!$D$18</f>
        <v>20</v>
      </c>
      <c r="F38" s="13">
        <f>Summary!$D$19</f>
        <v>1</v>
      </c>
    </row>
    <row r="39" spans="1:6" x14ac:dyDescent="0.25">
      <c r="A39" s="11" t="s">
        <v>25</v>
      </c>
      <c r="B39" s="12">
        <v>2017</v>
      </c>
      <c r="C39" s="12" t="s">
        <v>4</v>
      </c>
      <c r="D39" s="13">
        <f>Summary!$E$17</f>
        <v>2</v>
      </c>
      <c r="E39" s="13">
        <f>Summary!$E$18</f>
        <v>27</v>
      </c>
      <c r="F39" s="13">
        <f>Summary!$E$19</f>
        <v>8</v>
      </c>
    </row>
    <row r="40" spans="1:6" x14ac:dyDescent="0.25">
      <c r="A40" s="11" t="s">
        <v>25</v>
      </c>
      <c r="B40" s="12">
        <v>2017</v>
      </c>
      <c r="C40" s="12" t="s">
        <v>5</v>
      </c>
      <c r="D40" s="13">
        <f>Summary!$F$17</f>
        <v>0</v>
      </c>
      <c r="E40" s="13">
        <f>Summary!$F$18</f>
        <v>21</v>
      </c>
      <c r="F40" s="13">
        <f>Summary!$F$19</f>
        <v>3</v>
      </c>
    </row>
    <row r="41" spans="1:6" x14ac:dyDescent="0.25">
      <c r="A41" s="11" t="s">
        <v>25</v>
      </c>
      <c r="B41" s="12">
        <v>2017</v>
      </c>
      <c r="C41" s="12" t="s">
        <v>6</v>
      </c>
      <c r="D41" s="13">
        <f>Summary!$G$17</f>
        <v>2</v>
      </c>
      <c r="E41" s="13">
        <f>Summary!$G$18</f>
        <v>14</v>
      </c>
      <c r="F41" s="15">
        <f>Summary!$G$19</f>
        <v>0</v>
      </c>
    </row>
    <row r="42" spans="1:6" x14ac:dyDescent="0.25">
      <c r="A42" s="11" t="s">
        <v>25</v>
      </c>
      <c r="B42" s="12">
        <v>2017</v>
      </c>
      <c r="C42" s="12" t="s">
        <v>7</v>
      </c>
      <c r="D42" s="13">
        <f>Summary!$H$17</f>
        <v>1</v>
      </c>
      <c r="E42" s="13">
        <f>Summary!$H$18</f>
        <v>30</v>
      </c>
      <c r="F42" s="15">
        <f>Summary!$H$19</f>
        <v>1</v>
      </c>
    </row>
    <row r="43" spans="1:6" x14ac:dyDescent="0.25">
      <c r="A43" s="11" t="s">
        <v>25</v>
      </c>
      <c r="B43" s="12">
        <v>2017</v>
      </c>
      <c r="C43" s="12" t="s">
        <v>8</v>
      </c>
      <c r="D43" s="13">
        <f>Summary!$I$17</f>
        <v>1</v>
      </c>
      <c r="E43" s="13">
        <f>Summary!$I$18</f>
        <v>20</v>
      </c>
      <c r="F43" s="15">
        <f>Summary!$I$19</f>
        <v>0</v>
      </c>
    </row>
    <row r="44" spans="1:6" x14ac:dyDescent="0.25">
      <c r="A44" s="11" t="s">
        <v>25</v>
      </c>
      <c r="B44" s="12">
        <v>2017</v>
      </c>
      <c r="C44" s="12" t="s">
        <v>9</v>
      </c>
      <c r="D44" s="13">
        <f>Summary!$J$17</f>
        <v>0</v>
      </c>
      <c r="E44" s="13">
        <f>Summary!$J$18</f>
        <v>35</v>
      </c>
      <c r="F44" s="13">
        <f>Summary!$J$19</f>
        <v>2</v>
      </c>
    </row>
    <row r="45" spans="1:6" x14ac:dyDescent="0.25">
      <c r="A45" s="11" t="s">
        <v>25</v>
      </c>
      <c r="B45" s="12">
        <v>2017</v>
      </c>
      <c r="C45" s="12" t="s">
        <v>10</v>
      </c>
      <c r="D45" s="13">
        <f>Summary!$K$17</f>
        <v>1</v>
      </c>
      <c r="E45" s="13">
        <f>Summary!$K$18</f>
        <v>43</v>
      </c>
      <c r="F45" s="13">
        <f>Summary!$K$19</f>
        <v>4</v>
      </c>
    </row>
    <row r="46" spans="1:6" x14ac:dyDescent="0.25">
      <c r="A46" s="11" t="s">
        <v>25</v>
      </c>
      <c r="B46" s="12">
        <v>2017</v>
      </c>
      <c r="C46" s="12" t="s">
        <v>11</v>
      </c>
      <c r="D46" s="13">
        <f>Summary!$L$17</f>
        <v>1</v>
      </c>
      <c r="E46" s="13">
        <f>Summary!$L$18</f>
        <v>60</v>
      </c>
      <c r="F46" s="13">
        <f>Summary!$L$19</f>
        <v>1</v>
      </c>
    </row>
    <row r="47" spans="1:6" x14ac:dyDescent="0.25">
      <c r="A47" s="11" t="s">
        <v>25</v>
      </c>
      <c r="B47" s="12">
        <v>2017</v>
      </c>
      <c r="C47" s="12" t="s">
        <v>12</v>
      </c>
      <c r="D47" s="13">
        <f>Summary!$M$17</f>
        <v>0</v>
      </c>
      <c r="E47" s="13">
        <f>Summary!$M$18</f>
        <v>57</v>
      </c>
      <c r="F47" s="13">
        <f>Summary!$M$19</f>
        <v>6</v>
      </c>
    </row>
    <row r="48" spans="1:6" x14ac:dyDescent="0.25">
      <c r="A48" s="11" t="s">
        <v>25</v>
      </c>
      <c r="B48" s="12">
        <v>2017</v>
      </c>
      <c r="C48" s="12" t="s">
        <v>13</v>
      </c>
      <c r="D48" s="13">
        <f>Summary!$N$17</f>
        <v>0</v>
      </c>
      <c r="E48" s="15">
        <f>Summary!$N$18</f>
        <v>64</v>
      </c>
      <c r="F48" s="15">
        <f>Summary!$N$19</f>
        <v>0</v>
      </c>
    </row>
    <row r="49" spans="1:6" x14ac:dyDescent="0.25">
      <c r="A49" s="8" t="s">
        <v>25</v>
      </c>
      <c r="B49" s="9">
        <v>2017</v>
      </c>
      <c r="C49" s="9" t="s">
        <v>14</v>
      </c>
      <c r="D49" s="10">
        <f>Summary!$O$17</f>
        <v>0</v>
      </c>
      <c r="E49" s="16">
        <f>Summary!$O$18</f>
        <v>55</v>
      </c>
      <c r="F49" s="16">
        <f>Summary!$O$19</f>
        <v>1</v>
      </c>
    </row>
    <row r="50" spans="1:6" x14ac:dyDescent="0.25">
      <c r="A50" s="11" t="s">
        <v>20</v>
      </c>
      <c r="B50" s="12">
        <v>2017</v>
      </c>
      <c r="C50" s="12" t="s">
        <v>3</v>
      </c>
      <c r="D50" s="13">
        <f>Summary!$D$21</f>
        <v>0</v>
      </c>
      <c r="E50" s="13">
        <f>Summary!$D$22</f>
        <v>2</v>
      </c>
      <c r="F50" s="15">
        <f>Summary!$D$23</f>
        <v>0</v>
      </c>
    </row>
    <row r="51" spans="1:6" x14ac:dyDescent="0.25">
      <c r="A51" s="11" t="s">
        <v>20</v>
      </c>
      <c r="B51" s="12">
        <v>2017</v>
      </c>
      <c r="C51" s="12" t="s">
        <v>4</v>
      </c>
      <c r="D51" s="13">
        <f>Summary!$E$21</f>
        <v>0</v>
      </c>
      <c r="E51" s="13">
        <f>Summary!$E$22</f>
        <v>4</v>
      </c>
      <c r="F51" s="15">
        <f>Summary!$E$23</f>
        <v>0</v>
      </c>
    </row>
    <row r="52" spans="1:6" x14ac:dyDescent="0.25">
      <c r="A52" s="11" t="s">
        <v>20</v>
      </c>
      <c r="B52" s="12">
        <v>2017</v>
      </c>
      <c r="C52" s="12" t="s">
        <v>5</v>
      </c>
      <c r="D52" s="13">
        <f>Summary!$F$21</f>
        <v>0</v>
      </c>
      <c r="E52" s="13">
        <f>Summary!$F$22</f>
        <v>8</v>
      </c>
      <c r="F52" s="15">
        <f>Summary!$F$23</f>
        <v>0</v>
      </c>
    </row>
    <row r="53" spans="1:6" x14ac:dyDescent="0.25">
      <c r="A53" s="11" t="s">
        <v>20</v>
      </c>
      <c r="B53" s="12">
        <v>2017</v>
      </c>
      <c r="C53" s="12" t="s">
        <v>6</v>
      </c>
      <c r="D53" s="13">
        <f>Summary!$G$21</f>
        <v>0</v>
      </c>
      <c r="E53" s="13">
        <f>Summary!$G$22</f>
        <v>5</v>
      </c>
      <c r="F53" s="15">
        <f>Summary!$G$23</f>
        <v>0</v>
      </c>
    </row>
    <row r="54" spans="1:6" x14ac:dyDescent="0.25">
      <c r="A54" s="11" t="s">
        <v>20</v>
      </c>
      <c r="B54" s="12">
        <v>2017</v>
      </c>
      <c r="C54" s="12" t="s">
        <v>7</v>
      </c>
      <c r="D54" s="13">
        <f>Summary!$H$21</f>
        <v>0</v>
      </c>
      <c r="E54" s="13">
        <f>Summary!$H$22</f>
        <v>3</v>
      </c>
      <c r="F54" s="15">
        <f>Summary!$H$23</f>
        <v>0</v>
      </c>
    </row>
    <row r="55" spans="1:6" x14ac:dyDescent="0.25">
      <c r="A55" s="11" t="s">
        <v>20</v>
      </c>
      <c r="B55" s="12">
        <v>2017</v>
      </c>
      <c r="C55" s="12" t="s">
        <v>8</v>
      </c>
      <c r="D55" s="13">
        <f>Summary!$I$21</f>
        <v>1</v>
      </c>
      <c r="E55" s="13">
        <f>Summary!$I$22</f>
        <v>10</v>
      </c>
      <c r="F55" s="15">
        <f>Summary!$I$23</f>
        <v>0</v>
      </c>
    </row>
    <row r="56" spans="1:6" x14ac:dyDescent="0.25">
      <c r="A56" s="11" t="s">
        <v>20</v>
      </c>
      <c r="B56" s="12">
        <v>2017</v>
      </c>
      <c r="C56" s="12" t="s">
        <v>9</v>
      </c>
      <c r="D56" s="13">
        <f>Summary!$J$21</f>
        <v>1</v>
      </c>
      <c r="E56" s="13">
        <f>Summary!$J$22</f>
        <v>13</v>
      </c>
      <c r="F56" s="15">
        <f>Summary!$J$23</f>
        <v>0</v>
      </c>
    </row>
    <row r="57" spans="1:6" x14ac:dyDescent="0.25">
      <c r="A57" s="11" t="s">
        <v>20</v>
      </c>
      <c r="B57" s="12">
        <v>2017</v>
      </c>
      <c r="C57" s="12" t="s">
        <v>10</v>
      </c>
      <c r="D57" s="13">
        <f>Summary!$K$21</f>
        <v>2</v>
      </c>
      <c r="E57" s="15">
        <f>Summary!$K$22</f>
        <v>0</v>
      </c>
      <c r="F57" s="15">
        <f>Summary!$K$23</f>
        <v>0</v>
      </c>
    </row>
    <row r="58" spans="1:6" x14ac:dyDescent="0.25">
      <c r="A58" s="11" t="s">
        <v>20</v>
      </c>
      <c r="B58" s="12">
        <v>2017</v>
      </c>
      <c r="C58" s="12" t="s">
        <v>11</v>
      </c>
      <c r="D58" s="13">
        <f>Summary!$L$21</f>
        <v>0</v>
      </c>
      <c r="E58" s="15">
        <f>Summary!$L$22</f>
        <v>0</v>
      </c>
      <c r="F58" s="15">
        <f>Summary!$L$23</f>
        <v>0</v>
      </c>
    </row>
    <row r="59" spans="1:6" x14ac:dyDescent="0.25">
      <c r="A59" s="11" t="s">
        <v>20</v>
      </c>
      <c r="B59" s="12">
        <v>2017</v>
      </c>
      <c r="C59" s="12" t="s">
        <v>12</v>
      </c>
      <c r="D59" s="13">
        <f>Summary!$M$21</f>
        <v>0</v>
      </c>
      <c r="E59" s="13">
        <f>Summary!$M$22</f>
        <v>35</v>
      </c>
      <c r="F59" s="15">
        <f>Summary!$M$23</f>
        <v>0</v>
      </c>
    </row>
    <row r="60" spans="1:6" x14ac:dyDescent="0.25">
      <c r="A60" s="11" t="s">
        <v>20</v>
      </c>
      <c r="B60" s="12">
        <v>2017</v>
      </c>
      <c r="C60" s="12" t="s">
        <v>13</v>
      </c>
      <c r="D60" s="13">
        <f>Summary!$N$21</f>
        <v>0</v>
      </c>
      <c r="E60" s="15">
        <f>Summary!$N$22</f>
        <v>28</v>
      </c>
      <c r="F60" s="15">
        <f>Summary!$N$23</f>
        <v>0</v>
      </c>
    </row>
    <row r="61" spans="1:6" x14ac:dyDescent="0.25">
      <c r="A61" s="8" t="s">
        <v>20</v>
      </c>
      <c r="B61" s="9">
        <v>2017</v>
      </c>
      <c r="C61" s="9" t="s">
        <v>14</v>
      </c>
      <c r="D61" s="10">
        <f>Summary!$O$21</f>
        <v>0</v>
      </c>
      <c r="E61" s="16">
        <f>Summary!$O$22</f>
        <v>24</v>
      </c>
      <c r="F61" s="16">
        <f>Summary!$O$23</f>
        <v>0</v>
      </c>
    </row>
    <row r="62" spans="1:6" x14ac:dyDescent="0.25">
      <c r="A62" s="11" t="s">
        <v>24</v>
      </c>
      <c r="B62" s="12">
        <v>2017</v>
      </c>
      <c r="C62" s="12" t="s">
        <v>3</v>
      </c>
      <c r="D62" s="13">
        <f>Summary!$D$25</f>
        <v>0</v>
      </c>
      <c r="E62" s="13">
        <f>Summary!$D$26</f>
        <v>63</v>
      </c>
      <c r="F62" s="13">
        <f>Summary!$D$27</f>
        <v>14</v>
      </c>
    </row>
    <row r="63" spans="1:6" x14ac:dyDescent="0.25">
      <c r="A63" s="11" t="s">
        <v>24</v>
      </c>
      <c r="B63" s="12">
        <v>2017</v>
      </c>
      <c r="C63" s="12" t="s">
        <v>4</v>
      </c>
      <c r="D63" s="13">
        <f>Summary!$E$25</f>
        <v>4</v>
      </c>
      <c r="E63" s="13">
        <f>Summary!$E$26</f>
        <v>61</v>
      </c>
      <c r="F63" s="13">
        <f>Summary!$E$27</f>
        <v>13</v>
      </c>
    </row>
    <row r="64" spans="1:6" x14ac:dyDescent="0.25">
      <c r="A64" s="11" t="s">
        <v>24</v>
      </c>
      <c r="B64" s="12">
        <v>2017</v>
      </c>
      <c r="C64" s="12" t="s">
        <v>5</v>
      </c>
      <c r="D64" s="13">
        <f>Summary!$F$25</f>
        <v>2</v>
      </c>
      <c r="E64" s="13">
        <f>Summary!$F$26</f>
        <v>46</v>
      </c>
      <c r="F64" s="13">
        <f>Summary!$F$27</f>
        <v>8</v>
      </c>
    </row>
    <row r="65" spans="1:6" x14ac:dyDescent="0.25">
      <c r="A65" s="11" t="s">
        <v>24</v>
      </c>
      <c r="B65" s="12">
        <v>2017</v>
      </c>
      <c r="C65" s="12" t="s">
        <v>6</v>
      </c>
      <c r="D65" s="13">
        <f>Summary!$G$25</f>
        <v>4</v>
      </c>
      <c r="E65" s="13">
        <f>Summary!$G$26</f>
        <v>48</v>
      </c>
      <c r="F65" s="13">
        <f>Summary!$G$27</f>
        <v>12</v>
      </c>
    </row>
    <row r="66" spans="1:6" x14ac:dyDescent="0.25">
      <c r="A66" s="11" t="s">
        <v>24</v>
      </c>
      <c r="B66" s="12">
        <v>2017</v>
      </c>
      <c r="C66" s="12" t="s">
        <v>7</v>
      </c>
      <c r="D66" s="13">
        <f>Summary!$H$25</f>
        <v>2</v>
      </c>
      <c r="E66" s="13">
        <f>Summary!$H$26</f>
        <v>56</v>
      </c>
      <c r="F66" s="13">
        <f>Summary!$H$27</f>
        <v>9</v>
      </c>
    </row>
    <row r="67" spans="1:6" x14ac:dyDescent="0.25">
      <c r="A67" s="11" t="s">
        <v>24</v>
      </c>
      <c r="B67" s="12">
        <v>2017</v>
      </c>
      <c r="C67" s="12" t="s">
        <v>8</v>
      </c>
      <c r="D67" s="13">
        <f>Summary!$I$25</f>
        <v>2</v>
      </c>
      <c r="E67" s="13">
        <f>Summary!$I$26</f>
        <v>75</v>
      </c>
      <c r="F67" s="13">
        <f>Summary!$I$27</f>
        <v>19</v>
      </c>
    </row>
    <row r="68" spans="1:6" x14ac:dyDescent="0.25">
      <c r="A68" s="11" t="s">
        <v>24</v>
      </c>
      <c r="B68" s="12">
        <v>2017</v>
      </c>
      <c r="C68" s="12" t="s">
        <v>9</v>
      </c>
      <c r="D68" s="13">
        <f>Summary!$J$25</f>
        <v>2</v>
      </c>
      <c r="E68" s="13">
        <f>Summary!$J$26</f>
        <v>69</v>
      </c>
      <c r="F68" s="13">
        <f>Summary!$J$27</f>
        <v>12</v>
      </c>
    </row>
    <row r="69" spans="1:6" x14ac:dyDescent="0.25">
      <c r="A69" s="11" t="s">
        <v>24</v>
      </c>
      <c r="B69" s="12">
        <v>2017</v>
      </c>
      <c r="C69" s="12" t="s">
        <v>10</v>
      </c>
      <c r="D69" s="13">
        <f>Summary!$K$25</f>
        <v>3</v>
      </c>
      <c r="E69" s="13">
        <f>Summary!$K$26</f>
        <v>52</v>
      </c>
      <c r="F69" s="13">
        <f>Summary!$K$27</f>
        <v>12</v>
      </c>
    </row>
    <row r="70" spans="1:6" x14ac:dyDescent="0.25">
      <c r="A70" s="11" t="s">
        <v>24</v>
      </c>
      <c r="B70" s="12">
        <v>2017</v>
      </c>
      <c r="C70" s="12" t="s">
        <v>11</v>
      </c>
      <c r="D70" s="13">
        <f>Summary!$L$25</f>
        <v>3</v>
      </c>
      <c r="E70" s="13">
        <f>Summary!$L$26</f>
        <v>61</v>
      </c>
      <c r="F70" s="13">
        <f>Summary!$L$27</f>
        <v>9</v>
      </c>
    </row>
    <row r="71" spans="1:6" x14ac:dyDescent="0.25">
      <c r="A71" s="11" t="s">
        <v>24</v>
      </c>
      <c r="B71" s="12">
        <v>2017</v>
      </c>
      <c r="C71" s="12" t="s">
        <v>12</v>
      </c>
      <c r="D71" s="13">
        <f>Summary!$M$25</f>
        <v>3</v>
      </c>
      <c r="E71" s="13">
        <f>Summary!$M$26</f>
        <v>64</v>
      </c>
      <c r="F71" s="13">
        <f>Summary!$M$27</f>
        <v>7</v>
      </c>
    </row>
    <row r="72" spans="1:6" x14ac:dyDescent="0.25">
      <c r="A72" s="11" t="s">
        <v>24</v>
      </c>
      <c r="B72" s="12">
        <v>2017</v>
      </c>
      <c r="C72" s="12" t="s">
        <v>13</v>
      </c>
      <c r="D72" s="13">
        <f>Summary!$N$25</f>
        <v>2</v>
      </c>
      <c r="E72" s="15">
        <f>Summary!$N$26</f>
        <v>43</v>
      </c>
      <c r="F72" s="15">
        <f>Summary!$N$27</f>
        <v>7</v>
      </c>
    </row>
    <row r="73" spans="1:6" x14ac:dyDescent="0.25">
      <c r="A73" s="8" t="s">
        <v>24</v>
      </c>
      <c r="B73" s="9">
        <v>2017</v>
      </c>
      <c r="C73" s="9" t="s">
        <v>14</v>
      </c>
      <c r="D73" s="10">
        <f>Summary!$O$25</f>
        <v>6</v>
      </c>
      <c r="E73" s="16">
        <f>Summary!$O$26</f>
        <v>59</v>
      </c>
      <c r="F73" s="16">
        <f>Summary!$O$27</f>
        <v>13</v>
      </c>
    </row>
    <row r="74" spans="1:6" x14ac:dyDescent="0.25">
      <c r="A74" s="11" t="s">
        <v>21</v>
      </c>
      <c r="B74" s="12">
        <v>2017</v>
      </c>
      <c r="C74" s="12" t="s">
        <v>3</v>
      </c>
      <c r="D74" s="13">
        <f>Summary!$D$29</f>
        <v>0</v>
      </c>
      <c r="E74" s="13">
        <f>Summary!$D$30</f>
        <v>30</v>
      </c>
      <c r="F74" s="13">
        <f>Summary!$D$31</f>
        <v>10</v>
      </c>
    </row>
    <row r="75" spans="1:6" x14ac:dyDescent="0.25">
      <c r="A75" s="11" t="s">
        <v>21</v>
      </c>
      <c r="B75" s="12">
        <v>2017</v>
      </c>
      <c r="C75" s="12" t="s">
        <v>4</v>
      </c>
      <c r="D75" s="13">
        <f>Summary!$E$29</f>
        <v>0</v>
      </c>
      <c r="E75" s="13">
        <f>Summary!$E$30</f>
        <v>19</v>
      </c>
      <c r="F75" s="13">
        <f>Summary!$E$31</f>
        <v>8</v>
      </c>
    </row>
    <row r="76" spans="1:6" x14ac:dyDescent="0.25">
      <c r="A76" s="11" t="s">
        <v>21</v>
      </c>
      <c r="B76" s="12">
        <v>2017</v>
      </c>
      <c r="C76" s="12" t="s">
        <v>5</v>
      </c>
      <c r="D76" s="13">
        <f>Summary!$F$29</f>
        <v>0</v>
      </c>
      <c r="E76" s="13">
        <f>Summary!$F$30</f>
        <v>15</v>
      </c>
      <c r="F76" s="13">
        <f>Summary!$F$31</f>
        <v>4</v>
      </c>
    </row>
    <row r="77" spans="1:6" x14ac:dyDescent="0.25">
      <c r="A77" s="11" t="s">
        <v>21</v>
      </c>
      <c r="B77" s="12">
        <v>2017</v>
      </c>
      <c r="C77" s="12" t="s">
        <v>6</v>
      </c>
      <c r="D77" s="13">
        <f>Summary!$G$29</f>
        <v>0</v>
      </c>
      <c r="E77" s="13">
        <f>Summary!$G$30</f>
        <v>22</v>
      </c>
      <c r="F77" s="13">
        <f>Summary!$G$31</f>
        <v>4</v>
      </c>
    </row>
    <row r="78" spans="1:6" x14ac:dyDescent="0.25">
      <c r="A78" s="11" t="s">
        <v>21</v>
      </c>
      <c r="B78" s="12">
        <v>2017</v>
      </c>
      <c r="C78" s="12" t="s">
        <v>7</v>
      </c>
      <c r="D78" s="13">
        <f>Summary!$H$29</f>
        <v>0</v>
      </c>
      <c r="E78" s="13">
        <f>Summary!$H$30</f>
        <v>16</v>
      </c>
      <c r="F78" s="13">
        <f>Summary!$H$31</f>
        <v>3</v>
      </c>
    </row>
    <row r="79" spans="1:6" x14ac:dyDescent="0.25">
      <c r="A79" s="11" t="s">
        <v>21</v>
      </c>
      <c r="B79" s="12">
        <v>2017</v>
      </c>
      <c r="C79" s="12" t="s">
        <v>8</v>
      </c>
      <c r="D79" s="13">
        <f>Summary!$I$29</f>
        <v>0</v>
      </c>
      <c r="E79" s="13">
        <f>Summary!$I$30</f>
        <v>17</v>
      </c>
      <c r="F79" s="13">
        <f>Summary!$I$31</f>
        <v>6</v>
      </c>
    </row>
    <row r="80" spans="1:6" x14ac:dyDescent="0.25">
      <c r="A80" s="11" t="s">
        <v>21</v>
      </c>
      <c r="B80" s="12">
        <v>2017</v>
      </c>
      <c r="C80" s="12" t="s">
        <v>9</v>
      </c>
      <c r="D80" s="13">
        <f>Summary!$J$29</f>
        <v>0</v>
      </c>
      <c r="E80" s="13">
        <f>Summary!$J$30</f>
        <v>23</v>
      </c>
      <c r="F80" s="13">
        <f>Summary!$J$31</f>
        <v>10</v>
      </c>
    </row>
    <row r="81" spans="1:6" x14ac:dyDescent="0.25">
      <c r="A81" s="11" t="s">
        <v>21</v>
      </c>
      <c r="B81" s="12">
        <v>2017</v>
      </c>
      <c r="C81" s="12" t="s">
        <v>10</v>
      </c>
      <c r="D81" s="13">
        <f>Summary!$K$29</f>
        <v>0</v>
      </c>
      <c r="E81" s="13">
        <f>Summary!$K$30</f>
        <v>13</v>
      </c>
      <c r="F81" s="13">
        <f>Summary!$K$31</f>
        <v>2</v>
      </c>
    </row>
    <row r="82" spans="1:6" x14ac:dyDescent="0.25">
      <c r="A82" s="11" t="s">
        <v>21</v>
      </c>
      <c r="B82" s="12">
        <v>2017</v>
      </c>
      <c r="C82" s="12" t="s">
        <v>11</v>
      </c>
      <c r="D82" s="13">
        <f>Summary!$L$29</f>
        <v>0</v>
      </c>
      <c r="E82" s="13">
        <f>Summary!$L$30</f>
        <v>19</v>
      </c>
      <c r="F82" s="13">
        <f>Summary!$L$31</f>
        <v>7</v>
      </c>
    </row>
    <row r="83" spans="1:6" x14ac:dyDescent="0.25">
      <c r="A83" s="11" t="s">
        <v>21</v>
      </c>
      <c r="B83" s="12">
        <v>2017</v>
      </c>
      <c r="C83" s="12" t="s">
        <v>12</v>
      </c>
      <c r="D83" s="13">
        <f>Summary!$M$29</f>
        <v>0</v>
      </c>
      <c r="E83" s="13">
        <f>Summary!$M$30</f>
        <v>21</v>
      </c>
      <c r="F83" s="13">
        <f>Summary!$M$31</f>
        <v>8</v>
      </c>
    </row>
    <row r="84" spans="1:6" x14ac:dyDescent="0.25">
      <c r="A84" s="11" t="s">
        <v>21</v>
      </c>
      <c r="B84" s="12">
        <v>2017</v>
      </c>
      <c r="C84" s="12" t="s">
        <v>13</v>
      </c>
      <c r="D84" s="13">
        <f>Summary!$N$29</f>
        <v>0</v>
      </c>
      <c r="E84" s="15">
        <f>Summary!$N$30</f>
        <v>18</v>
      </c>
      <c r="F84" s="15">
        <f>Summary!$N$31</f>
        <v>4</v>
      </c>
    </row>
    <row r="85" spans="1:6" x14ac:dyDescent="0.25">
      <c r="A85" s="8" t="s">
        <v>21</v>
      </c>
      <c r="B85" s="9">
        <v>2017</v>
      </c>
      <c r="C85" s="9" t="s">
        <v>14</v>
      </c>
      <c r="D85" s="10">
        <f>Summary!$O$29</f>
        <v>1</v>
      </c>
      <c r="E85" s="16">
        <f>Summary!$O$30</f>
        <v>19</v>
      </c>
      <c r="F85" s="16">
        <f>Summary!$O$31</f>
        <v>7</v>
      </c>
    </row>
    <row r="86" spans="1:6" x14ac:dyDescent="0.25">
      <c r="A86" t="s">
        <v>15</v>
      </c>
      <c r="B86" s="1">
        <v>2017</v>
      </c>
      <c r="C86" s="1" t="s">
        <v>3</v>
      </c>
      <c r="D86" s="13">
        <f>Summary!$D$33</f>
        <v>25</v>
      </c>
      <c r="E86" s="7">
        <f>Summary!$D$34</f>
        <v>230</v>
      </c>
      <c r="F86" s="7">
        <f>Summary!$D$35</f>
        <v>57</v>
      </c>
    </row>
    <row r="87" spans="1:6" x14ac:dyDescent="0.25">
      <c r="A87" t="s">
        <v>15</v>
      </c>
      <c r="B87" s="1">
        <v>2017</v>
      </c>
      <c r="C87" s="1" t="s">
        <v>4</v>
      </c>
      <c r="D87" s="13">
        <f>Summary!$E$33</f>
        <v>18</v>
      </c>
      <c r="E87" s="7">
        <f>Summary!$E$34</f>
        <v>190</v>
      </c>
      <c r="F87" s="7">
        <f>Summary!$E$35</f>
        <v>42</v>
      </c>
    </row>
    <row r="88" spans="1:6" x14ac:dyDescent="0.25">
      <c r="A88" t="s">
        <v>15</v>
      </c>
      <c r="B88" s="1">
        <v>2017</v>
      </c>
      <c r="C88" s="1" t="s">
        <v>5</v>
      </c>
      <c r="D88" s="13">
        <f>Summary!$F$33</f>
        <v>23</v>
      </c>
      <c r="E88" s="7">
        <f>Summary!$F$34</f>
        <v>221</v>
      </c>
      <c r="F88" s="7">
        <f>Summary!$F$35</f>
        <v>34</v>
      </c>
    </row>
    <row r="89" spans="1:6" x14ac:dyDescent="0.25">
      <c r="A89" t="s">
        <v>15</v>
      </c>
      <c r="B89" s="1">
        <v>2017</v>
      </c>
      <c r="C89" s="1" t="s">
        <v>6</v>
      </c>
      <c r="D89" s="13">
        <f>Summary!$G$33</f>
        <v>9</v>
      </c>
      <c r="E89" s="7">
        <f>Summary!$G$34</f>
        <v>184</v>
      </c>
      <c r="F89" s="7">
        <f>Summary!$G$35</f>
        <v>25</v>
      </c>
    </row>
    <row r="90" spans="1:6" x14ac:dyDescent="0.25">
      <c r="A90" t="s">
        <v>15</v>
      </c>
      <c r="B90" s="1">
        <v>2017</v>
      </c>
      <c r="C90" s="1" t="s">
        <v>7</v>
      </c>
      <c r="D90" s="13">
        <f>Summary!$H$33</f>
        <v>8</v>
      </c>
      <c r="E90" s="7">
        <f>Summary!$H$34</f>
        <v>190</v>
      </c>
      <c r="F90" s="7">
        <f>Summary!$H$35</f>
        <v>31</v>
      </c>
    </row>
    <row r="91" spans="1:6" x14ac:dyDescent="0.25">
      <c r="A91" t="s">
        <v>15</v>
      </c>
      <c r="B91" s="1">
        <v>2017</v>
      </c>
      <c r="C91" s="1" t="s">
        <v>8</v>
      </c>
      <c r="D91" s="13">
        <f>Summary!$I$33</f>
        <v>8</v>
      </c>
      <c r="E91" s="7">
        <f>Summary!$I$34</f>
        <v>189</v>
      </c>
      <c r="F91" s="7">
        <f>Summary!$I$35</f>
        <v>22</v>
      </c>
    </row>
    <row r="92" spans="1:6" x14ac:dyDescent="0.25">
      <c r="A92" t="s">
        <v>15</v>
      </c>
      <c r="B92" s="1">
        <v>2017</v>
      </c>
      <c r="C92" s="1" t="s">
        <v>9</v>
      </c>
      <c r="D92" s="13">
        <f>Summary!$J$33</f>
        <v>11</v>
      </c>
      <c r="E92" s="7">
        <f>Summary!$J$34</f>
        <v>204</v>
      </c>
      <c r="F92" s="7">
        <f>Summary!$J$35</f>
        <v>63</v>
      </c>
    </row>
    <row r="93" spans="1:6" x14ac:dyDescent="0.25">
      <c r="A93" t="s">
        <v>15</v>
      </c>
      <c r="B93" s="1">
        <v>2017</v>
      </c>
      <c r="C93" s="1" t="s">
        <v>10</v>
      </c>
      <c r="D93" s="13">
        <f>Summary!$K$33</f>
        <v>13</v>
      </c>
      <c r="E93" s="7">
        <f>Summary!$K$34</f>
        <v>184</v>
      </c>
      <c r="F93" s="7">
        <f>Summary!$K$35</f>
        <v>33</v>
      </c>
    </row>
    <row r="94" spans="1:6" x14ac:dyDescent="0.25">
      <c r="A94" t="s">
        <v>15</v>
      </c>
      <c r="B94" s="1">
        <v>2017</v>
      </c>
      <c r="C94" s="1" t="s">
        <v>11</v>
      </c>
      <c r="D94" s="13">
        <f>Summary!$L$33</f>
        <v>26</v>
      </c>
      <c r="E94" s="7">
        <f>Summary!$L$34</f>
        <v>204</v>
      </c>
      <c r="F94" s="7">
        <f>Summary!$L$35</f>
        <v>22</v>
      </c>
    </row>
    <row r="95" spans="1:6" x14ac:dyDescent="0.25">
      <c r="A95" t="s">
        <v>15</v>
      </c>
      <c r="B95" s="1">
        <v>2017</v>
      </c>
      <c r="C95" s="1" t="s">
        <v>12</v>
      </c>
      <c r="D95" s="13">
        <f>Summary!$M$33</f>
        <v>13</v>
      </c>
      <c r="E95" s="7">
        <f>Summary!$M$34</f>
        <v>143</v>
      </c>
      <c r="F95" s="7">
        <f>Summary!$M$35</f>
        <v>25</v>
      </c>
    </row>
    <row r="96" spans="1:6" x14ac:dyDescent="0.25">
      <c r="A96" t="s">
        <v>15</v>
      </c>
      <c r="B96" s="1">
        <v>2017</v>
      </c>
      <c r="C96" s="12" t="s">
        <v>13</v>
      </c>
      <c r="D96" s="13">
        <f>Summary!$N$33</f>
        <v>7</v>
      </c>
      <c r="E96" s="17">
        <f>Summary!$N$34</f>
        <v>189</v>
      </c>
      <c r="F96" s="17">
        <f>Summary!$N$35</f>
        <v>22</v>
      </c>
    </row>
    <row r="97" spans="1:6" x14ac:dyDescent="0.25">
      <c r="A97" s="8" t="s">
        <v>15</v>
      </c>
      <c r="B97" s="9">
        <v>2017</v>
      </c>
      <c r="C97" s="9" t="s">
        <v>14</v>
      </c>
      <c r="D97" s="10">
        <f>Summary!$O$33</f>
        <v>25</v>
      </c>
      <c r="E97" s="18">
        <f>Summary!$O$34</f>
        <v>174</v>
      </c>
      <c r="F97" s="18">
        <f>Summary!$O$35</f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mortalities_72hr_returns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Vicents, Evora</dc:creator>
  <cp:lastModifiedBy>Baumgarten, Allen</cp:lastModifiedBy>
  <dcterms:created xsi:type="dcterms:W3CDTF">2017-12-13T13:55:52Z</dcterms:created>
  <dcterms:modified xsi:type="dcterms:W3CDTF">2018-01-15T15:36:07Z</dcterms:modified>
</cp:coreProperties>
</file>