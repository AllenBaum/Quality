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Anesthesia\_DropOff\ED_Reports\Site_Data_Capture\CONSOLIDATED_DATA\Supporting_Detail\"/>
    </mc:Choice>
  </mc:AlternateContent>
  <bookViews>
    <workbookView xWindow="0" yWindow="0" windowWidth="23040" windowHeight="9405"/>
  </bookViews>
  <sheets>
    <sheet name="PQRS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23" i="1" l="1"/>
  <c r="AU23" i="1"/>
  <c r="AK23" i="1"/>
  <c r="AI23" i="1"/>
  <c r="Y23" i="1"/>
  <c r="W23" i="1"/>
  <c r="M23" i="1"/>
  <c r="K23" i="1"/>
  <c r="AW22" i="1"/>
  <c r="AU22" i="1"/>
  <c r="AS22" i="1"/>
  <c r="AQ22" i="1"/>
  <c r="AO22" i="1"/>
  <c r="AM22" i="1"/>
  <c r="AK22" i="1"/>
  <c r="AI22" i="1"/>
  <c r="AG22" i="1"/>
  <c r="AE22" i="1"/>
  <c r="AC22" i="1"/>
  <c r="AA22" i="1"/>
  <c r="Y22" i="1"/>
  <c r="W22" i="1"/>
  <c r="U22" i="1"/>
  <c r="S22" i="1"/>
  <c r="Q22" i="1"/>
  <c r="O22" i="1"/>
  <c r="M22" i="1"/>
  <c r="K22" i="1"/>
  <c r="I22" i="1"/>
  <c r="G22" i="1"/>
  <c r="E22" i="1"/>
  <c r="C22" i="1"/>
  <c r="AW21" i="1"/>
  <c r="AU21" i="1"/>
  <c r="AS21" i="1"/>
  <c r="AQ21" i="1"/>
  <c r="AO21" i="1"/>
  <c r="AM21" i="1"/>
  <c r="AK21" i="1"/>
  <c r="AI21" i="1"/>
  <c r="AG21" i="1"/>
  <c r="AE21" i="1"/>
  <c r="AC21" i="1"/>
  <c r="AA21" i="1"/>
  <c r="Y21" i="1"/>
  <c r="W21" i="1"/>
  <c r="U21" i="1"/>
  <c r="S21" i="1"/>
  <c r="Q21" i="1"/>
  <c r="O21" i="1"/>
  <c r="M21" i="1"/>
  <c r="K21" i="1"/>
  <c r="I21" i="1"/>
  <c r="G21" i="1"/>
  <c r="E21" i="1"/>
  <c r="C21" i="1"/>
  <c r="AW20" i="1"/>
  <c r="AU20" i="1"/>
  <c r="AS20" i="1"/>
  <c r="AQ20" i="1"/>
  <c r="AO20" i="1"/>
  <c r="AM20" i="1"/>
  <c r="AK20" i="1"/>
  <c r="AI20" i="1"/>
  <c r="AG20" i="1"/>
  <c r="AE20" i="1"/>
  <c r="AC20" i="1"/>
  <c r="AA20" i="1"/>
  <c r="Y20" i="1"/>
  <c r="W20" i="1"/>
  <c r="U20" i="1"/>
  <c r="S20" i="1"/>
  <c r="Q20" i="1"/>
  <c r="O20" i="1"/>
  <c r="M20" i="1"/>
  <c r="K20" i="1"/>
  <c r="I20" i="1"/>
  <c r="G20" i="1"/>
  <c r="E20" i="1"/>
  <c r="C20" i="1"/>
  <c r="AW19" i="1"/>
  <c r="AU19" i="1"/>
  <c r="AS19" i="1"/>
  <c r="AQ19" i="1"/>
  <c r="AO19" i="1"/>
  <c r="AM19" i="1"/>
  <c r="AK19" i="1"/>
  <c r="AI19" i="1"/>
  <c r="AG19" i="1"/>
  <c r="AE19" i="1"/>
  <c r="AC19" i="1"/>
  <c r="AA19" i="1"/>
  <c r="Y19" i="1"/>
  <c r="W19" i="1"/>
  <c r="U19" i="1"/>
  <c r="S19" i="1"/>
  <c r="Q19" i="1"/>
  <c r="O19" i="1"/>
  <c r="M19" i="1"/>
  <c r="K19" i="1"/>
  <c r="I19" i="1"/>
  <c r="G19" i="1"/>
  <c r="E19" i="1"/>
  <c r="C19" i="1"/>
  <c r="AW18" i="1"/>
  <c r="AU18" i="1"/>
  <c r="AS18" i="1"/>
  <c r="AQ18" i="1"/>
  <c r="AO18" i="1"/>
  <c r="AM18" i="1"/>
  <c r="AK18" i="1"/>
  <c r="AI18" i="1"/>
  <c r="AG18" i="1"/>
  <c r="AE18" i="1"/>
  <c r="AC18" i="1"/>
  <c r="AA18" i="1"/>
  <c r="Y18" i="1"/>
  <c r="W18" i="1"/>
  <c r="U18" i="1"/>
  <c r="S18" i="1"/>
  <c r="Q18" i="1"/>
  <c r="O18" i="1"/>
  <c r="M18" i="1"/>
  <c r="K18" i="1"/>
  <c r="I18" i="1"/>
  <c r="G18" i="1"/>
  <c r="E18" i="1"/>
  <c r="C18" i="1"/>
  <c r="AW17" i="1"/>
  <c r="AW24" i="1" s="1"/>
  <c r="AU17" i="1"/>
  <c r="AU24" i="1" s="1"/>
  <c r="AS17" i="1"/>
  <c r="AS24" i="1" s="1"/>
  <c r="AQ17" i="1"/>
  <c r="AO17" i="1"/>
  <c r="AM17" i="1"/>
  <c r="AM24" i="1" s="1"/>
  <c r="AK17" i="1"/>
  <c r="AI17" i="1"/>
  <c r="AG17" i="1"/>
  <c r="AG24" i="1" s="1"/>
  <c r="AE17" i="1"/>
  <c r="AC17" i="1"/>
  <c r="AC24" i="1" s="1"/>
  <c r="AA17" i="1"/>
  <c r="AA24" i="1" s="1"/>
  <c r="Y17" i="1"/>
  <c r="Y24" i="1" s="1"/>
  <c r="W17" i="1"/>
  <c r="U17" i="1"/>
  <c r="S17" i="1"/>
  <c r="Q17" i="1"/>
  <c r="Q24" i="1" s="1"/>
  <c r="O17" i="1"/>
  <c r="O24" i="1" s="1"/>
  <c r="M17" i="1"/>
  <c r="K17" i="1"/>
  <c r="I17" i="1"/>
  <c r="I24" i="1" s="1"/>
  <c r="G17" i="1"/>
  <c r="G24" i="1" s="1"/>
  <c r="E17" i="1"/>
  <c r="E24" i="1" s="1"/>
  <c r="C17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O24" i="1" l="1"/>
  <c r="AQ24" i="1"/>
  <c r="W24" i="1"/>
  <c r="U24" i="1"/>
  <c r="S24" i="1"/>
  <c r="K24" i="1"/>
  <c r="M24" i="1"/>
  <c r="C24" i="1"/>
  <c r="AI24" i="1"/>
  <c r="AK24" i="1"/>
  <c r="AE24" i="1"/>
</calcChain>
</file>

<file path=xl/sharedStrings.xml><?xml version="1.0" encoding="utf-8"?>
<sst xmlns="http://schemas.openxmlformats.org/spreadsheetml/2006/main" count="126" uniqueCount="33">
  <si>
    <t>PQRS Raw Data
2017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</si>
  <si>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</si>
  <si>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</si>
  <si>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</si>
  <si>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</si>
  <si>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</si>
  <si>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</si>
  <si>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</si>
  <si>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</si>
  <si>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</si>
  <si>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</si>
  <si>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</si>
  <si>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</si>
  <si>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ECG - Chest Pain Cases (Num)</t>
  </si>
  <si>
    <t>ECG - Chest Pain Cases (Denom)</t>
  </si>
  <si>
    <t>Blood Presssure Screening          (Num)</t>
  </si>
  <si>
    <t>Blood Presssure Screening (Denom)</t>
  </si>
  <si>
    <t>Baptist</t>
  </si>
  <si>
    <t>JFK</t>
  </si>
  <si>
    <t>Jupiter</t>
  </si>
  <si>
    <t>Kendall</t>
  </si>
  <si>
    <t>Ocala</t>
  </si>
  <si>
    <t>W. Marion</t>
  </si>
  <si>
    <t>San Ramon (Quarterly Only)</t>
  </si>
  <si>
    <t>MONTHLY TOTAL</t>
  </si>
  <si>
    <t>ED PQRS %</t>
  </si>
  <si>
    <t>EKG</t>
  </si>
  <si>
    <t>BP</t>
  </si>
  <si>
    <t>San Ramon  (Quarterly)</t>
  </si>
  <si>
    <t>MONTHLY %</t>
  </si>
  <si>
    <t>JUN</t>
  </si>
  <si>
    <t>JUL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</si>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</sst>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Black"/>
      <family val="2"/>
    </font>
    <font>
      <b/>
      <sz val="11"/>
      <color theme="1"/>
      <name val="Arial Narrow"/>
      <family val="2"/>
    </font>
    <font>
      <b/>
      <u val="singleAccounting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0" borderId="5" xfId="0" applyFont="1" applyBorder="1"/>
    <xf numFmtId="1" fontId="0" fillId="2" borderId="9" xfId="1" applyNumberFormat="1" applyFont="1" applyFill="1" applyBorder="1" applyAlignment="1">
      <alignment horizontal="center"/>
    </xf>
    <xf numFmtId="1" fontId="0" fillId="2" borderId="10" xfId="1" applyNumberFormat="1" applyFont="1" applyFill="1" applyBorder="1" applyAlignment="1">
      <alignment horizontal="center"/>
    </xf>
    <xf numFmtId="1" fontId="0" fillId="3" borderId="11" xfId="1" applyNumberFormat="1" applyFont="1" applyFill="1" applyBorder="1" applyAlignment="1">
      <alignment horizontal="center"/>
    </xf>
    <xf numFmtId="1" fontId="0" fillId="3" borderId="9" xfId="1" applyNumberFormat="1" applyFont="1" applyFill="1" applyBorder="1" applyAlignment="1">
      <alignment horizontal="center"/>
    </xf>
    <xf numFmtId="1" fontId="0" fillId="3" borderId="10" xfId="1" applyNumberFormat="1" applyFont="1" applyFill="1" applyBorder="1" applyAlignment="1">
      <alignment horizontal="center"/>
    </xf>
    <xf numFmtId="1" fontId="0" fillId="2" borderId="11" xfId="1" applyNumberFormat="1" applyFont="1" applyFill="1" applyBorder="1" applyAlignment="1">
      <alignment horizontal="center"/>
    </xf>
    <xf numFmtId="1" fontId="0" fillId="4" borderId="0" xfId="1" applyNumberFormat="1" applyFont="1" applyFill="1" applyBorder="1" applyAlignment="1">
      <alignment horizontal="center"/>
    </xf>
    <xf numFmtId="1" fontId="0" fillId="4" borderId="12" xfId="1" applyNumberFormat="1" applyFon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0" fillId="2" borderId="10" xfId="0" applyNumberFormat="1" applyFill="1" applyBorder="1" applyAlignment="1">
      <alignment horizontal="center"/>
    </xf>
    <xf numFmtId="1" fontId="0" fillId="3" borderId="11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" fontId="0" fillId="3" borderId="10" xfId="0" applyNumberFormat="1" applyFill="1" applyBorder="1" applyAlignment="1">
      <alignment horizontal="center"/>
    </xf>
    <xf numFmtId="1" fontId="0" fillId="3" borderId="13" xfId="1" applyNumberFormat="1" applyFont="1" applyFill="1" applyBorder="1" applyAlignment="1">
      <alignment horizontal="center"/>
    </xf>
    <xf numFmtId="0" fontId="0" fillId="0" borderId="5" xfId="0" applyBorder="1"/>
    <xf numFmtId="0" fontId="2" fillId="2" borderId="14" xfId="0" applyFont="1" applyFill="1" applyBorder="1"/>
    <xf numFmtId="1" fontId="0" fillId="2" borderId="15" xfId="0" applyNumberForma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1" fontId="0" fillId="3" borderId="18" xfId="0" applyNumberFormat="1" applyFill="1" applyBorder="1" applyAlignment="1">
      <alignment horizontal="center"/>
    </xf>
    <xf numFmtId="1" fontId="0" fillId="3" borderId="16" xfId="0" applyNumberFormat="1" applyFill="1" applyBorder="1" applyAlignment="1">
      <alignment horizontal="center"/>
    </xf>
    <xf numFmtId="1" fontId="0" fillId="3" borderId="17" xfId="0" applyNumberFormat="1" applyFill="1" applyBorder="1" applyAlignment="1">
      <alignment horizontal="center"/>
    </xf>
    <xf numFmtId="1" fontId="0" fillId="2" borderId="18" xfId="0" applyNumberFormat="1" applyFill="1" applyBorder="1" applyAlignment="1">
      <alignment horizontal="center"/>
    </xf>
    <xf numFmtId="1" fontId="0" fillId="3" borderId="19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0" fillId="3" borderId="20" xfId="0" applyNumberFormat="1" applyFill="1" applyBorder="1" applyAlignment="1">
      <alignment horizontal="center"/>
    </xf>
    <xf numFmtId="1" fontId="0" fillId="2" borderId="19" xfId="0" applyNumberForma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1" xfId="0" applyFont="1" applyFill="1" applyBorder="1"/>
    <xf numFmtId="0" fontId="2" fillId="0" borderId="22" xfId="0" applyFont="1" applyFill="1" applyBorder="1"/>
    <xf numFmtId="0" fontId="2" fillId="0" borderId="23" xfId="0" applyFont="1" applyFill="1" applyBorder="1"/>
    <xf numFmtId="0" fontId="2" fillId="5" borderId="24" xfId="0" applyFont="1" applyFill="1" applyBorder="1"/>
    <xf numFmtId="0" fontId="3" fillId="5" borderId="25" xfId="0" applyFont="1" applyFill="1" applyBorder="1" applyAlignment="1">
      <alignment horizontal="center" vertical="top"/>
    </xf>
    <xf numFmtId="0" fontId="3" fillId="5" borderId="24" xfId="0" applyFont="1" applyFill="1" applyBorder="1" applyAlignment="1">
      <alignment horizontal="center" vertical="top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9" fontId="2" fillId="0" borderId="0" xfId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5" fillId="0" borderId="0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25"/>
  <sheetViews>
    <sheetView showGridLines="0"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S28" sqref="S28"/>
    </sheetView>
  </sheetViews>
  <sheetFormatPr defaultRowHeight="15" x14ac:dyDescent="0.25"/>
  <cols>
    <col min="1" max="1" width="27.7109375" customWidth="1"/>
    <col min="4" max="5" width="9.7109375" customWidth="1"/>
    <col min="8" max="9" width="9.7109375" customWidth="1"/>
    <col min="12" max="13" width="10.42578125" customWidth="1"/>
    <col min="16" max="17" width="10" customWidth="1"/>
    <col min="20" max="21" width="9.85546875" customWidth="1"/>
    <col min="24" max="25" width="10.28515625" customWidth="1"/>
    <col min="28" max="29" width="9.7109375" customWidth="1"/>
    <col min="32" max="33" width="10.28515625" customWidth="1"/>
    <col min="36" max="37" width="9.85546875" customWidth="1"/>
    <col min="40" max="41" width="9.85546875" customWidth="1"/>
    <col min="44" max="45" width="9.85546875" customWidth="1"/>
    <col min="48" max="49" width="9.85546875" customWidth="1"/>
  </cols>
  <sheetData>
    <row r="2" spans="1:50" ht="15.75" thickBot="1" x14ac:dyDescent="0.3"/>
    <row r="3" spans="1:50" ht="18" customHeight="1" thickBot="1" x14ac:dyDescent="0.3">
      <c r="A3" s="47" t="s">
        <v>0</v>
      </c>
      <c r="B3" s="49" t="s">
        <v>1</v>
      </c>
      <c r="C3" s="50"/>
      <c r="D3" s="50"/>
      <c r="E3" s="51"/>
      <c r="F3" s="52" t="s">
        <v>2</v>
      </c>
      <c r="G3" s="53"/>
      <c r="H3" s="53"/>
      <c r="I3" s="54"/>
      <c r="J3" s="55" t="s">
        <v>3</v>
      </c>
      <c r="K3" s="55"/>
      <c r="L3" s="55"/>
      <c r="M3" s="56"/>
      <c r="N3" s="41" t="s">
        <v>4</v>
      </c>
      <c r="O3" s="42"/>
      <c r="P3" s="42"/>
      <c r="Q3" s="43"/>
      <c r="R3" s="44" t="s">
        <v>5</v>
      </c>
      <c r="S3" s="44"/>
      <c r="T3" s="44"/>
      <c r="U3" s="45"/>
      <c r="V3" s="41" t="s">
        <v>6</v>
      </c>
      <c r="W3" s="42"/>
      <c r="X3" s="42"/>
      <c r="Y3" s="43"/>
      <c r="Z3" s="44" t="s">
        <v>7</v>
      </c>
      <c r="AA3" s="44"/>
      <c r="AB3" s="44"/>
      <c r="AC3" s="45"/>
      <c r="AD3" s="41" t="s">
        <v>8</v>
      </c>
      <c r="AE3" s="42"/>
      <c r="AF3" s="42"/>
      <c r="AG3" s="43"/>
      <c r="AH3" s="46" t="s">
        <v>9</v>
      </c>
      <c r="AI3" s="44"/>
      <c r="AJ3" s="44"/>
      <c r="AK3" s="45"/>
      <c r="AL3" s="38" t="s">
        <v>10</v>
      </c>
      <c r="AM3" s="39"/>
      <c r="AN3" s="39"/>
      <c r="AO3" s="40"/>
      <c r="AP3" s="46" t="s">
        <v>11</v>
      </c>
      <c r="AQ3" s="44"/>
      <c r="AR3" s="44"/>
      <c r="AS3" s="45"/>
      <c r="AT3" s="38" t="s">
        <v>12</v>
      </c>
      <c r="AU3" s="39"/>
      <c r="AV3" s="39"/>
      <c r="AW3" s="40"/>
    </row>
    <row r="4" spans="1:50" ht="82.5" x14ac:dyDescent="0.25">
      <c r="A4" s="48"/>
      <c r="B4" s="1" t="s">
        <v>13</v>
      </c>
      <c r="C4" s="1" t="s">
        <v>14</v>
      </c>
      <c r="D4" s="1" t="s">
        <v>15</v>
      </c>
      <c r="E4" s="2" t="s">
        <v>16</v>
      </c>
      <c r="F4" s="3" t="s">
        <v>13</v>
      </c>
      <c r="G4" s="4" t="s">
        <v>14</v>
      </c>
      <c r="H4" s="4" t="s">
        <v>15</v>
      </c>
      <c r="I4" s="5" t="s">
        <v>16</v>
      </c>
      <c r="J4" s="6" t="s">
        <v>13</v>
      </c>
      <c r="K4" s="1" t="s">
        <v>14</v>
      </c>
      <c r="L4" s="1" t="s">
        <v>15</v>
      </c>
      <c r="M4" s="2" t="s">
        <v>16</v>
      </c>
      <c r="N4" s="3" t="s">
        <v>13</v>
      </c>
      <c r="O4" s="4" t="s">
        <v>14</v>
      </c>
      <c r="P4" s="4" t="s">
        <v>15</v>
      </c>
      <c r="Q4" s="5" t="s">
        <v>16</v>
      </c>
      <c r="R4" s="6" t="s">
        <v>13</v>
      </c>
      <c r="S4" s="1" t="s">
        <v>14</v>
      </c>
      <c r="T4" s="1" t="s">
        <v>15</v>
      </c>
      <c r="U4" s="2" t="s">
        <v>16</v>
      </c>
      <c r="V4" s="3" t="s">
        <v>13</v>
      </c>
      <c r="W4" s="4" t="s">
        <v>14</v>
      </c>
      <c r="X4" s="4" t="s">
        <v>15</v>
      </c>
      <c r="Y4" s="5" t="s">
        <v>16</v>
      </c>
      <c r="Z4" s="6" t="s">
        <v>13</v>
      </c>
      <c r="AA4" s="1" t="s">
        <v>14</v>
      </c>
      <c r="AB4" s="1" t="s">
        <v>15</v>
      </c>
      <c r="AC4" s="2" t="s">
        <v>16</v>
      </c>
      <c r="AD4" s="3" t="s">
        <v>13</v>
      </c>
      <c r="AE4" s="4" t="s">
        <v>14</v>
      </c>
      <c r="AF4" s="4" t="s">
        <v>15</v>
      </c>
      <c r="AG4" s="5" t="s">
        <v>16</v>
      </c>
      <c r="AH4" s="6" t="s">
        <v>13</v>
      </c>
      <c r="AI4" s="1" t="s">
        <v>14</v>
      </c>
      <c r="AJ4" s="1" t="s">
        <v>15</v>
      </c>
      <c r="AK4" s="2" t="s">
        <v>16</v>
      </c>
      <c r="AL4" s="3" t="s">
        <v>13</v>
      </c>
      <c r="AM4" s="4" t="s">
        <v>14</v>
      </c>
      <c r="AN4" s="4" t="s">
        <v>15</v>
      </c>
      <c r="AO4" s="5" t="s">
        <v>16</v>
      </c>
      <c r="AP4" s="6" t="s">
        <v>13</v>
      </c>
      <c r="AQ4" s="1" t="s">
        <v>14</v>
      </c>
      <c r="AR4" s="1" t="s">
        <v>15</v>
      </c>
      <c r="AS4" s="2" t="s">
        <v>16</v>
      </c>
      <c r="AT4" s="3" t="s">
        <v>13</v>
      </c>
      <c r="AU4" s="4" t="s">
        <v>14</v>
      </c>
      <c r="AV4" s="4" t="s">
        <v>15</v>
      </c>
      <c r="AW4" s="5" t="s">
        <v>16</v>
      </c>
    </row>
    <row r="5" spans="1:50" x14ac:dyDescent="0.25">
      <c r="A5" s="7" t="s">
        <v>17</v>
      </c>
      <c r="B5" s="8">
        <v>141</v>
      </c>
      <c r="C5" s="8">
        <v>141</v>
      </c>
      <c r="D5" s="8">
        <v>2821</v>
      </c>
      <c r="E5" s="9">
        <v>2830</v>
      </c>
      <c r="F5" s="10">
        <v>297</v>
      </c>
      <c r="G5" s="11">
        <v>297</v>
      </c>
      <c r="H5" s="11">
        <v>5229</v>
      </c>
      <c r="I5" s="12">
        <v>5233</v>
      </c>
      <c r="J5" s="13">
        <v>395</v>
      </c>
      <c r="K5" s="8">
        <v>395</v>
      </c>
      <c r="L5" s="8">
        <v>6502</v>
      </c>
      <c r="M5" s="9">
        <v>6524</v>
      </c>
      <c r="N5" s="10">
        <v>391</v>
      </c>
      <c r="O5" s="11">
        <v>391</v>
      </c>
      <c r="P5" s="11">
        <v>6191</v>
      </c>
      <c r="Q5" s="12">
        <v>6211</v>
      </c>
      <c r="R5" s="13">
        <v>455</v>
      </c>
      <c r="S5" s="8">
        <v>456</v>
      </c>
      <c r="T5" s="8">
        <v>6606</v>
      </c>
      <c r="U5" s="9">
        <v>6625</v>
      </c>
      <c r="V5" s="10">
        <v>426</v>
      </c>
      <c r="W5" s="11">
        <v>427</v>
      </c>
      <c r="X5" s="11">
        <v>6413</v>
      </c>
      <c r="Y5" s="12">
        <v>6422</v>
      </c>
      <c r="Z5" s="13">
        <v>468</v>
      </c>
      <c r="AA5" s="8">
        <v>471</v>
      </c>
      <c r="AB5" s="8">
        <v>6797</v>
      </c>
      <c r="AC5" s="9">
        <v>6804</v>
      </c>
      <c r="AD5" s="10">
        <v>392</v>
      </c>
      <c r="AE5" s="11">
        <v>393</v>
      </c>
      <c r="AF5" s="11">
        <v>6322</v>
      </c>
      <c r="AG5" s="12">
        <v>6328</v>
      </c>
      <c r="AH5" s="13">
        <v>366</v>
      </c>
      <c r="AI5" s="8">
        <v>367</v>
      </c>
      <c r="AJ5" s="8">
        <v>6336</v>
      </c>
      <c r="AK5" s="9">
        <v>6342</v>
      </c>
      <c r="AL5" s="10">
        <v>444</v>
      </c>
      <c r="AM5" s="11">
        <v>445</v>
      </c>
      <c r="AN5" s="11">
        <v>6147</v>
      </c>
      <c r="AO5" s="12">
        <v>6160</v>
      </c>
      <c r="AP5" s="13">
        <v>163</v>
      </c>
      <c r="AQ5" s="8">
        <v>164</v>
      </c>
      <c r="AR5" s="8">
        <v>2738</v>
      </c>
      <c r="AS5" s="9">
        <v>2738</v>
      </c>
      <c r="AT5" s="10">
        <v>215</v>
      </c>
      <c r="AU5" s="11">
        <v>216</v>
      </c>
      <c r="AV5" s="11">
        <v>3493</v>
      </c>
      <c r="AW5" s="12">
        <v>3493</v>
      </c>
    </row>
    <row r="6" spans="1:50" x14ac:dyDescent="0.25">
      <c r="A6" s="7" t="s">
        <v>18</v>
      </c>
      <c r="B6" s="8">
        <v>398</v>
      </c>
      <c r="C6" s="8">
        <v>399</v>
      </c>
      <c r="D6" s="8">
        <v>4177</v>
      </c>
      <c r="E6" s="9">
        <v>4237</v>
      </c>
      <c r="F6" s="10">
        <v>444</v>
      </c>
      <c r="G6" s="11">
        <v>447</v>
      </c>
      <c r="H6" s="11">
        <v>6990</v>
      </c>
      <c r="I6" s="12">
        <v>7045</v>
      </c>
      <c r="J6" s="13">
        <v>448</v>
      </c>
      <c r="K6" s="8">
        <v>450</v>
      </c>
      <c r="L6" s="8">
        <v>6508</v>
      </c>
      <c r="M6" s="9">
        <v>6552</v>
      </c>
      <c r="N6" s="10">
        <v>423</v>
      </c>
      <c r="O6" s="11">
        <v>425</v>
      </c>
      <c r="P6" s="11">
        <v>5999</v>
      </c>
      <c r="Q6" s="12">
        <v>6075</v>
      </c>
      <c r="R6" s="13">
        <v>447</v>
      </c>
      <c r="S6" s="8">
        <v>453</v>
      </c>
      <c r="T6" s="8">
        <v>6193</v>
      </c>
      <c r="U6" s="9">
        <v>6251</v>
      </c>
      <c r="V6" s="10">
        <v>388</v>
      </c>
      <c r="W6" s="11">
        <v>393</v>
      </c>
      <c r="X6" s="11">
        <v>5211</v>
      </c>
      <c r="Y6" s="12">
        <v>5279</v>
      </c>
      <c r="Z6" s="13">
        <v>445</v>
      </c>
      <c r="AA6" s="8">
        <v>446</v>
      </c>
      <c r="AB6" s="8">
        <v>5970</v>
      </c>
      <c r="AC6" s="9">
        <v>6029</v>
      </c>
      <c r="AD6" s="10">
        <v>428</v>
      </c>
      <c r="AE6" s="11">
        <v>429</v>
      </c>
      <c r="AF6" s="11">
        <v>5840</v>
      </c>
      <c r="AG6" s="12">
        <v>5877</v>
      </c>
      <c r="AH6" s="13">
        <v>377</v>
      </c>
      <c r="AI6" s="8">
        <v>379</v>
      </c>
      <c r="AJ6" s="8">
        <v>5473</v>
      </c>
      <c r="AK6" s="9">
        <v>5524</v>
      </c>
      <c r="AL6" s="10">
        <v>393</v>
      </c>
      <c r="AM6" s="11">
        <v>396</v>
      </c>
      <c r="AN6" s="11">
        <v>5752</v>
      </c>
      <c r="AO6" s="12">
        <v>5773</v>
      </c>
      <c r="AP6" s="13">
        <v>399</v>
      </c>
      <c r="AQ6" s="8">
        <v>401</v>
      </c>
      <c r="AR6" s="8">
        <v>5551</v>
      </c>
      <c r="AS6" s="9">
        <v>5605</v>
      </c>
      <c r="AT6" s="10">
        <v>225</v>
      </c>
      <c r="AU6" s="11">
        <v>225</v>
      </c>
      <c r="AV6" s="11">
        <v>3410</v>
      </c>
      <c r="AW6" s="12">
        <v>3383</v>
      </c>
    </row>
    <row r="7" spans="1:50" x14ac:dyDescent="0.25">
      <c r="A7" s="7" t="s">
        <v>19</v>
      </c>
      <c r="B7" s="8">
        <v>121</v>
      </c>
      <c r="C7" s="8">
        <v>121</v>
      </c>
      <c r="D7" s="8">
        <v>1610</v>
      </c>
      <c r="E7" s="9">
        <v>1624</v>
      </c>
      <c r="F7" s="10">
        <v>157</v>
      </c>
      <c r="G7" s="11">
        <v>157</v>
      </c>
      <c r="H7" s="11">
        <v>2885</v>
      </c>
      <c r="I7" s="12">
        <v>2894</v>
      </c>
      <c r="J7" s="13">
        <v>189</v>
      </c>
      <c r="K7" s="8">
        <v>189</v>
      </c>
      <c r="L7" s="8">
        <v>3184</v>
      </c>
      <c r="M7" s="9">
        <v>3197</v>
      </c>
      <c r="N7" s="10">
        <v>159</v>
      </c>
      <c r="O7" s="11">
        <v>159</v>
      </c>
      <c r="P7" s="11">
        <v>2811</v>
      </c>
      <c r="Q7" s="12">
        <v>2826</v>
      </c>
      <c r="R7" s="13">
        <v>156</v>
      </c>
      <c r="S7" s="8">
        <v>156</v>
      </c>
      <c r="T7" s="8">
        <v>2694</v>
      </c>
      <c r="U7" s="9">
        <v>2712</v>
      </c>
      <c r="V7" s="10">
        <v>131</v>
      </c>
      <c r="W7" s="11">
        <v>131</v>
      </c>
      <c r="X7" s="11">
        <v>2347</v>
      </c>
      <c r="Y7" s="12">
        <v>2371</v>
      </c>
      <c r="Z7" s="13">
        <v>168</v>
      </c>
      <c r="AA7" s="8">
        <v>169</v>
      </c>
      <c r="AB7" s="8">
        <v>2513</v>
      </c>
      <c r="AC7" s="9">
        <v>2531</v>
      </c>
      <c r="AD7" s="10">
        <v>161</v>
      </c>
      <c r="AE7" s="11">
        <v>161</v>
      </c>
      <c r="AF7" s="11">
        <v>2415</v>
      </c>
      <c r="AG7" s="12">
        <v>2430</v>
      </c>
      <c r="AH7" s="13">
        <v>120</v>
      </c>
      <c r="AI7" s="8">
        <v>120</v>
      </c>
      <c r="AJ7" s="8">
        <v>2493</v>
      </c>
      <c r="AK7" s="9">
        <v>2500</v>
      </c>
      <c r="AL7" s="10">
        <v>133</v>
      </c>
      <c r="AM7" s="11">
        <v>134</v>
      </c>
      <c r="AN7" s="11">
        <v>2409</v>
      </c>
      <c r="AO7" s="12">
        <v>2412</v>
      </c>
      <c r="AP7" s="13">
        <v>161</v>
      </c>
      <c r="AQ7" s="8">
        <v>161</v>
      </c>
      <c r="AR7" s="8">
        <v>2662</v>
      </c>
      <c r="AS7" s="9">
        <v>2674</v>
      </c>
      <c r="AT7" s="10">
        <v>46</v>
      </c>
      <c r="AU7" s="11">
        <v>46</v>
      </c>
      <c r="AV7" s="11">
        <v>1604</v>
      </c>
      <c r="AW7" s="12">
        <v>1609</v>
      </c>
    </row>
    <row r="8" spans="1:50" x14ac:dyDescent="0.25">
      <c r="A8" s="7" t="s">
        <v>20</v>
      </c>
      <c r="B8" s="8">
        <v>214</v>
      </c>
      <c r="C8" s="8">
        <v>215</v>
      </c>
      <c r="D8" s="8">
        <v>3465</v>
      </c>
      <c r="E8" s="9">
        <v>3479</v>
      </c>
      <c r="F8" s="10">
        <v>262</v>
      </c>
      <c r="G8" s="11">
        <v>262</v>
      </c>
      <c r="H8" s="11">
        <v>4684</v>
      </c>
      <c r="I8" s="12">
        <v>4716</v>
      </c>
      <c r="J8" s="13">
        <v>230</v>
      </c>
      <c r="K8" s="8">
        <v>230</v>
      </c>
      <c r="L8" s="8">
        <v>4998</v>
      </c>
      <c r="M8" s="9">
        <v>5018</v>
      </c>
      <c r="N8" s="10">
        <v>216</v>
      </c>
      <c r="O8" s="11">
        <v>216</v>
      </c>
      <c r="P8" s="11">
        <v>4746</v>
      </c>
      <c r="Q8" s="12">
        <v>4768</v>
      </c>
      <c r="R8" s="13">
        <v>269</v>
      </c>
      <c r="S8" s="8">
        <v>269</v>
      </c>
      <c r="T8" s="8">
        <v>4774</v>
      </c>
      <c r="U8" s="9">
        <v>4814</v>
      </c>
      <c r="V8" s="10">
        <v>222</v>
      </c>
      <c r="W8" s="11">
        <v>223</v>
      </c>
      <c r="X8" s="11">
        <v>4344</v>
      </c>
      <c r="Y8" s="12">
        <v>4365</v>
      </c>
      <c r="Z8" s="13">
        <v>237</v>
      </c>
      <c r="AA8" s="8">
        <v>237</v>
      </c>
      <c r="AB8" s="8">
        <v>4781</v>
      </c>
      <c r="AC8" s="9">
        <v>4805</v>
      </c>
      <c r="AD8" s="10">
        <v>274</v>
      </c>
      <c r="AE8" s="11">
        <v>274</v>
      </c>
      <c r="AF8" s="11">
        <v>4812</v>
      </c>
      <c r="AG8" s="12">
        <v>4834</v>
      </c>
      <c r="AH8" s="13">
        <v>234</v>
      </c>
      <c r="AI8" s="8">
        <v>235</v>
      </c>
      <c r="AJ8" s="8">
        <v>4479</v>
      </c>
      <c r="AK8" s="9">
        <v>4500</v>
      </c>
      <c r="AL8" s="10">
        <v>277</v>
      </c>
      <c r="AM8" s="11">
        <v>279</v>
      </c>
      <c r="AN8" s="11">
        <v>4709</v>
      </c>
      <c r="AO8" s="12">
        <v>4723</v>
      </c>
      <c r="AP8" s="13">
        <v>226</v>
      </c>
      <c r="AQ8" s="8">
        <v>228</v>
      </c>
      <c r="AR8" s="8">
        <v>4414</v>
      </c>
      <c r="AS8" s="9">
        <v>4427</v>
      </c>
      <c r="AT8" s="10">
        <v>142</v>
      </c>
      <c r="AU8" s="11">
        <v>142</v>
      </c>
      <c r="AV8" s="11">
        <v>2797</v>
      </c>
      <c r="AW8" s="12">
        <v>2800</v>
      </c>
    </row>
    <row r="9" spans="1:50" x14ac:dyDescent="0.25">
      <c r="A9" s="7" t="s">
        <v>21</v>
      </c>
      <c r="B9" s="8">
        <v>171</v>
      </c>
      <c r="C9" s="8">
        <v>171</v>
      </c>
      <c r="D9" s="8">
        <v>2130</v>
      </c>
      <c r="E9" s="9">
        <v>2181</v>
      </c>
      <c r="F9" s="10">
        <v>187</v>
      </c>
      <c r="G9" s="11">
        <v>188</v>
      </c>
      <c r="H9" s="11">
        <v>3110</v>
      </c>
      <c r="I9" s="12">
        <v>3124</v>
      </c>
      <c r="J9" s="13">
        <v>212</v>
      </c>
      <c r="K9" s="8">
        <v>213</v>
      </c>
      <c r="L9" s="8">
        <v>3117</v>
      </c>
      <c r="M9" s="9">
        <v>3129</v>
      </c>
      <c r="N9" s="10">
        <v>180</v>
      </c>
      <c r="O9" s="11">
        <v>180</v>
      </c>
      <c r="P9" s="11">
        <v>3177</v>
      </c>
      <c r="Q9" s="12">
        <v>3192</v>
      </c>
      <c r="R9" s="13">
        <v>235</v>
      </c>
      <c r="S9" s="8">
        <v>235</v>
      </c>
      <c r="T9" s="8">
        <v>3459</v>
      </c>
      <c r="U9" s="9">
        <v>3473</v>
      </c>
      <c r="V9" s="10">
        <v>215</v>
      </c>
      <c r="W9" s="11">
        <v>216</v>
      </c>
      <c r="X9" s="11">
        <v>3004</v>
      </c>
      <c r="Y9" s="12">
        <v>3014</v>
      </c>
      <c r="Z9" s="13">
        <v>241</v>
      </c>
      <c r="AA9" s="8">
        <v>241</v>
      </c>
      <c r="AB9" s="8">
        <v>3244</v>
      </c>
      <c r="AC9" s="9">
        <v>3259</v>
      </c>
      <c r="AD9" s="10">
        <v>228</v>
      </c>
      <c r="AE9" s="11">
        <v>228</v>
      </c>
      <c r="AF9" s="11">
        <v>3304</v>
      </c>
      <c r="AG9" s="12">
        <v>3317</v>
      </c>
      <c r="AH9" s="13">
        <v>229</v>
      </c>
      <c r="AI9" s="8">
        <v>231</v>
      </c>
      <c r="AJ9" s="8">
        <v>3208</v>
      </c>
      <c r="AK9" s="9">
        <v>3216</v>
      </c>
      <c r="AL9" s="10">
        <v>232</v>
      </c>
      <c r="AM9" s="11">
        <v>232</v>
      </c>
      <c r="AN9" s="11">
        <v>3271</v>
      </c>
      <c r="AO9" s="12">
        <v>3281</v>
      </c>
      <c r="AP9" s="13">
        <v>193</v>
      </c>
      <c r="AQ9" s="8">
        <v>196</v>
      </c>
      <c r="AR9" s="8">
        <v>3058</v>
      </c>
      <c r="AS9" s="9">
        <v>3073</v>
      </c>
      <c r="AT9" s="10">
        <v>143</v>
      </c>
      <c r="AU9" s="11">
        <v>143</v>
      </c>
      <c r="AV9" s="11">
        <v>2215</v>
      </c>
      <c r="AW9" s="12">
        <v>2234</v>
      </c>
    </row>
    <row r="10" spans="1:50" x14ac:dyDescent="0.25">
      <c r="A10" s="7" t="s">
        <v>22</v>
      </c>
      <c r="B10" s="8">
        <v>130</v>
      </c>
      <c r="C10" s="8">
        <v>130</v>
      </c>
      <c r="D10" s="8">
        <v>2242</v>
      </c>
      <c r="E10" s="9">
        <v>2272</v>
      </c>
      <c r="F10" s="10">
        <v>167</v>
      </c>
      <c r="G10" s="11">
        <v>169</v>
      </c>
      <c r="H10" s="11">
        <v>3335</v>
      </c>
      <c r="I10" s="12">
        <v>3346</v>
      </c>
      <c r="J10" s="13">
        <v>164</v>
      </c>
      <c r="K10" s="8">
        <v>165</v>
      </c>
      <c r="L10" s="8">
        <v>3237</v>
      </c>
      <c r="M10" s="9">
        <v>3247</v>
      </c>
      <c r="N10" s="10">
        <v>120</v>
      </c>
      <c r="O10" s="11">
        <v>120</v>
      </c>
      <c r="P10" s="11">
        <v>2763</v>
      </c>
      <c r="Q10" s="12">
        <v>2771</v>
      </c>
      <c r="R10" s="13">
        <v>195</v>
      </c>
      <c r="S10" s="8">
        <v>195</v>
      </c>
      <c r="T10" s="8">
        <v>3124</v>
      </c>
      <c r="U10" s="9">
        <v>3136</v>
      </c>
      <c r="V10" s="10">
        <v>151</v>
      </c>
      <c r="W10" s="11">
        <v>152</v>
      </c>
      <c r="X10" s="11">
        <v>2821</v>
      </c>
      <c r="Y10" s="12">
        <v>2827</v>
      </c>
      <c r="Z10" s="13">
        <v>190</v>
      </c>
      <c r="AA10" s="8">
        <v>190</v>
      </c>
      <c r="AB10" s="8">
        <v>3252</v>
      </c>
      <c r="AC10" s="9">
        <v>3257</v>
      </c>
      <c r="AD10" s="10">
        <v>161</v>
      </c>
      <c r="AE10" s="11">
        <v>162</v>
      </c>
      <c r="AF10" s="11">
        <v>3131</v>
      </c>
      <c r="AG10" s="12">
        <v>3137</v>
      </c>
      <c r="AH10" s="13">
        <v>142</v>
      </c>
      <c r="AI10" s="8">
        <v>143</v>
      </c>
      <c r="AJ10" s="8">
        <v>3224</v>
      </c>
      <c r="AK10" s="9">
        <v>3226</v>
      </c>
      <c r="AL10" s="10">
        <v>144</v>
      </c>
      <c r="AM10" s="11">
        <v>146</v>
      </c>
      <c r="AN10" s="11">
        <v>3108</v>
      </c>
      <c r="AO10" s="12">
        <v>3117</v>
      </c>
      <c r="AP10" s="13">
        <v>133</v>
      </c>
      <c r="AQ10" s="8">
        <v>135</v>
      </c>
      <c r="AR10" s="8">
        <v>2955</v>
      </c>
      <c r="AS10" s="9">
        <v>2961</v>
      </c>
      <c r="AT10" s="10">
        <v>82</v>
      </c>
      <c r="AU10" s="11">
        <v>82</v>
      </c>
      <c r="AV10" s="11">
        <v>1960</v>
      </c>
      <c r="AW10" s="12">
        <v>1964</v>
      </c>
    </row>
    <row r="11" spans="1:50" x14ac:dyDescent="0.25">
      <c r="A11" s="7" t="s">
        <v>23</v>
      </c>
      <c r="B11" s="14"/>
      <c r="C11" s="14"/>
      <c r="D11" s="14"/>
      <c r="E11" s="15"/>
      <c r="F11" s="14"/>
      <c r="G11" s="14"/>
      <c r="H11" s="14"/>
      <c r="I11" s="15"/>
      <c r="J11" s="16">
        <v>224</v>
      </c>
      <c r="K11" s="17">
        <v>224</v>
      </c>
      <c r="L11" s="17">
        <v>3701</v>
      </c>
      <c r="M11" s="18">
        <v>3723</v>
      </c>
      <c r="N11" s="14"/>
      <c r="O11" s="14"/>
      <c r="P11" s="14"/>
      <c r="Q11" s="15"/>
      <c r="R11" s="14"/>
      <c r="S11" s="14"/>
      <c r="T11" s="14"/>
      <c r="U11" s="15"/>
      <c r="V11" s="19">
        <v>187</v>
      </c>
      <c r="W11" s="20">
        <v>187</v>
      </c>
      <c r="X11" s="20">
        <v>3490</v>
      </c>
      <c r="Y11" s="21">
        <v>3515</v>
      </c>
      <c r="Z11" s="14"/>
      <c r="AA11" s="14"/>
      <c r="AB11" s="14"/>
      <c r="AC11" s="15"/>
      <c r="AD11" s="14"/>
      <c r="AE11" s="14"/>
      <c r="AF11" s="14"/>
      <c r="AG11" s="15"/>
      <c r="AH11" s="16">
        <v>217</v>
      </c>
      <c r="AI11" s="17">
        <v>217</v>
      </c>
      <c r="AJ11" s="17">
        <v>3681</v>
      </c>
      <c r="AK11" s="18">
        <v>3688</v>
      </c>
      <c r="AL11" s="14"/>
      <c r="AM11" s="14"/>
      <c r="AN11" s="14"/>
      <c r="AO11" s="15"/>
      <c r="AP11" s="14"/>
      <c r="AQ11" s="14"/>
      <c r="AR11" s="14"/>
      <c r="AS11" s="14"/>
      <c r="AT11" s="11">
        <v>179</v>
      </c>
      <c r="AU11" s="11">
        <v>179</v>
      </c>
      <c r="AV11" s="11">
        <v>3210</v>
      </c>
      <c r="AW11" s="22">
        <v>3218</v>
      </c>
      <c r="AX11" s="23"/>
    </row>
    <row r="12" spans="1:50" ht="15.75" thickBot="1" x14ac:dyDescent="0.3">
      <c r="A12" s="24" t="s">
        <v>24</v>
      </c>
      <c r="B12" s="25">
        <f t="shared" ref="B12:AS12" si="0">SUM(B5:B11)</f>
        <v>1175</v>
      </c>
      <c r="C12" s="26">
        <f t="shared" si="0"/>
        <v>1177</v>
      </c>
      <c r="D12" s="26">
        <f t="shared" si="0"/>
        <v>16445</v>
      </c>
      <c r="E12" s="27">
        <f t="shared" si="0"/>
        <v>16623</v>
      </c>
      <c r="F12" s="28">
        <f t="shared" si="0"/>
        <v>1514</v>
      </c>
      <c r="G12" s="29">
        <f t="shared" si="0"/>
        <v>1520</v>
      </c>
      <c r="H12" s="29">
        <f t="shared" si="0"/>
        <v>26233</v>
      </c>
      <c r="I12" s="30">
        <f t="shared" si="0"/>
        <v>26358</v>
      </c>
      <c r="J12" s="31">
        <f t="shared" si="0"/>
        <v>1862</v>
      </c>
      <c r="K12" s="26">
        <f t="shared" si="0"/>
        <v>1866</v>
      </c>
      <c r="L12" s="26">
        <f t="shared" si="0"/>
        <v>31247</v>
      </c>
      <c r="M12" s="27">
        <f t="shared" si="0"/>
        <v>31390</v>
      </c>
      <c r="N12" s="28">
        <f t="shared" si="0"/>
        <v>1489</v>
      </c>
      <c r="O12" s="32">
        <f t="shared" si="0"/>
        <v>1491</v>
      </c>
      <c r="P12" s="33">
        <f t="shared" si="0"/>
        <v>25687</v>
      </c>
      <c r="Q12" s="30">
        <f t="shared" si="0"/>
        <v>25843</v>
      </c>
      <c r="R12" s="31">
        <f t="shared" si="0"/>
        <v>1757</v>
      </c>
      <c r="S12" s="34">
        <f t="shared" si="0"/>
        <v>1764</v>
      </c>
      <c r="T12" s="26">
        <f t="shared" si="0"/>
        <v>26850</v>
      </c>
      <c r="U12" s="27">
        <f t="shared" si="0"/>
        <v>27011</v>
      </c>
      <c r="V12" s="28">
        <f t="shared" si="0"/>
        <v>1720</v>
      </c>
      <c r="W12" s="29">
        <f t="shared" si="0"/>
        <v>1729</v>
      </c>
      <c r="X12" s="29">
        <f t="shared" si="0"/>
        <v>27630</v>
      </c>
      <c r="Y12" s="30">
        <f t="shared" si="0"/>
        <v>27793</v>
      </c>
      <c r="Z12" s="31">
        <f t="shared" si="0"/>
        <v>1749</v>
      </c>
      <c r="AA12" s="26">
        <f t="shared" si="0"/>
        <v>1754</v>
      </c>
      <c r="AB12" s="26">
        <f t="shared" si="0"/>
        <v>26557</v>
      </c>
      <c r="AC12" s="27">
        <f t="shared" si="0"/>
        <v>26685</v>
      </c>
      <c r="AD12" s="32">
        <f t="shared" si="0"/>
        <v>1644</v>
      </c>
      <c r="AE12" s="35">
        <f t="shared" si="0"/>
        <v>1647</v>
      </c>
      <c r="AF12" s="35">
        <f t="shared" si="0"/>
        <v>25824</v>
      </c>
      <c r="AG12" s="30">
        <f t="shared" si="0"/>
        <v>25923</v>
      </c>
      <c r="AH12" s="31">
        <f t="shared" si="0"/>
        <v>1685</v>
      </c>
      <c r="AI12" s="26">
        <f t="shared" si="0"/>
        <v>1692</v>
      </c>
      <c r="AJ12" s="26">
        <f t="shared" si="0"/>
        <v>28894</v>
      </c>
      <c r="AK12" s="34">
        <f t="shared" si="0"/>
        <v>28996</v>
      </c>
      <c r="AL12" s="33">
        <f t="shared" si="0"/>
        <v>1623</v>
      </c>
      <c r="AM12" s="29">
        <f t="shared" si="0"/>
        <v>1632</v>
      </c>
      <c r="AN12" s="29">
        <f t="shared" si="0"/>
        <v>25396</v>
      </c>
      <c r="AO12" s="30">
        <f t="shared" si="0"/>
        <v>25466</v>
      </c>
      <c r="AP12" s="36">
        <f t="shared" si="0"/>
        <v>1275</v>
      </c>
      <c r="AQ12" s="34">
        <f t="shared" si="0"/>
        <v>1285</v>
      </c>
      <c r="AR12" s="34">
        <f t="shared" si="0"/>
        <v>21378</v>
      </c>
      <c r="AS12" s="27">
        <f t="shared" si="0"/>
        <v>21478</v>
      </c>
      <c r="AT12" s="28">
        <f>SUM(AT5:AT11)</f>
        <v>1032</v>
      </c>
      <c r="AU12" s="29">
        <f>SUM(AU5:AU11)</f>
        <v>1033</v>
      </c>
      <c r="AV12" s="29">
        <f>SUM(AV5:AV11)</f>
        <v>18689</v>
      </c>
      <c r="AW12" s="30">
        <f>SUM(AW5:AW11)</f>
        <v>18701</v>
      </c>
    </row>
    <row r="15" spans="1:50" ht="18.75" x14ac:dyDescent="0.25">
      <c r="A15" s="61" t="s">
        <v>25</v>
      </c>
      <c r="B15" s="64"/>
      <c r="C15" s="65" t="s">
        <v>1</v>
      </c>
      <c r="D15" s="65"/>
      <c r="E15" s="65" t="s">
        <v>1</v>
      </c>
      <c r="F15" s="65"/>
      <c r="G15" s="65" t="s">
        <v>2</v>
      </c>
      <c r="H15" s="65"/>
      <c r="I15" s="65" t="s">
        <v>2</v>
      </c>
      <c r="J15" s="65"/>
      <c r="K15" s="65" t="s">
        <v>3</v>
      </c>
      <c r="L15" s="65"/>
      <c r="M15" s="65" t="s">
        <v>3</v>
      </c>
      <c r="N15" s="65"/>
      <c r="O15" s="65" t="s">
        <v>4</v>
      </c>
      <c r="P15" s="65"/>
      <c r="Q15" s="65" t="s">
        <v>4</v>
      </c>
      <c r="R15" s="65"/>
      <c r="S15" s="65" t="s">
        <v>5</v>
      </c>
      <c r="T15" s="65"/>
      <c r="U15" s="65" t="s">
        <v>5</v>
      </c>
      <c r="V15" s="65"/>
      <c r="W15" s="65" t="s">
        <v>30</v>
      </c>
      <c r="X15" s="65"/>
      <c r="Y15" s="65" t="s">
        <v>30</v>
      </c>
      <c r="Z15" s="65"/>
      <c r="AA15" s="65" t="s">
        <v>31</v>
      </c>
      <c r="AB15" s="65"/>
      <c r="AC15" s="65" t="s">
        <v>31</v>
      </c>
      <c r="AD15" s="65"/>
      <c r="AE15" s="65" t="s">
        <v>8</v>
      </c>
      <c r="AF15" s="65"/>
      <c r="AG15" s="65" t="s">
        <v>8</v>
      </c>
      <c r="AH15" s="65"/>
      <c r="AI15" s="65" t="s">
        <v>32</v>
      </c>
      <c r="AJ15" s="65"/>
      <c r="AK15" s="65" t="s">
        <v>32</v>
      </c>
      <c r="AL15" s="65"/>
      <c r="AM15" s="65" t="s">
        <v>10</v>
      </c>
      <c r="AN15" s="65"/>
      <c r="AO15" s="65" t="s">
        <v>10</v>
      </c>
      <c r="AP15" s="65"/>
      <c r="AQ15" s="65" t="s">
        <v>11</v>
      </c>
      <c r="AR15" s="65"/>
      <c r="AS15" s="65" t="s">
        <v>11</v>
      </c>
      <c r="AT15" s="65"/>
      <c r="AU15" s="65" t="s">
        <v>12</v>
      </c>
      <c r="AV15" s="65"/>
      <c r="AW15" s="65" t="s">
        <v>12</v>
      </c>
    </row>
    <row r="16" spans="1:50" ht="19.5" thickBot="1" x14ac:dyDescent="0.45">
      <c r="A16" s="62"/>
      <c r="B16" s="64"/>
      <c r="C16" s="68" t="s">
        <v>26</v>
      </c>
      <c r="D16" s="66"/>
      <c r="E16" s="69" t="s">
        <v>27</v>
      </c>
      <c r="F16" s="65"/>
      <c r="G16" s="69" t="s">
        <v>26</v>
      </c>
      <c r="H16" s="65"/>
      <c r="I16" s="69" t="s">
        <v>27</v>
      </c>
      <c r="J16" s="65"/>
      <c r="K16" s="69" t="s">
        <v>26</v>
      </c>
      <c r="L16" s="65"/>
      <c r="M16" s="69" t="s">
        <v>27</v>
      </c>
      <c r="N16" s="65"/>
      <c r="O16" s="69" t="s">
        <v>26</v>
      </c>
      <c r="P16" s="65"/>
      <c r="Q16" s="69" t="s">
        <v>27</v>
      </c>
      <c r="R16" s="65"/>
      <c r="S16" s="69" t="s">
        <v>26</v>
      </c>
      <c r="T16" s="65"/>
      <c r="U16" s="69" t="s">
        <v>27</v>
      </c>
      <c r="V16" s="65"/>
      <c r="W16" s="69" t="s">
        <v>26</v>
      </c>
      <c r="X16" s="65"/>
      <c r="Y16" s="69" t="s">
        <v>27</v>
      </c>
      <c r="Z16" s="65"/>
      <c r="AA16" s="69" t="s">
        <v>26</v>
      </c>
      <c r="AB16" s="65"/>
      <c r="AC16" s="69" t="s">
        <v>27</v>
      </c>
      <c r="AD16" s="65"/>
      <c r="AE16" s="69" t="s">
        <v>26</v>
      </c>
      <c r="AF16" s="65"/>
      <c r="AG16" s="69" t="s">
        <v>27</v>
      </c>
      <c r="AH16" s="65"/>
      <c r="AI16" s="69" t="s">
        <v>26</v>
      </c>
      <c r="AJ16" s="65"/>
      <c r="AK16" s="69" t="s">
        <v>27</v>
      </c>
      <c r="AL16" s="65"/>
      <c r="AM16" s="69" t="s">
        <v>26</v>
      </c>
      <c r="AN16" s="65"/>
      <c r="AO16" s="69" t="s">
        <v>27</v>
      </c>
      <c r="AP16" s="65"/>
      <c r="AQ16" s="69" t="s">
        <v>26</v>
      </c>
      <c r="AR16" s="65"/>
      <c r="AS16" s="69" t="s">
        <v>27</v>
      </c>
      <c r="AT16" s="65"/>
      <c r="AU16" s="69" t="s">
        <v>26</v>
      </c>
      <c r="AV16" s="65"/>
      <c r="AW16" s="69" t="s">
        <v>27</v>
      </c>
    </row>
    <row r="17" spans="1:49" ht="15.75" thickTop="1" x14ac:dyDescent="0.25">
      <c r="A17" s="57" t="s">
        <v>17</v>
      </c>
      <c r="B17" s="63"/>
      <c r="C17" s="67">
        <f>B5/C5</f>
        <v>1</v>
      </c>
      <c r="D17" s="67"/>
      <c r="E17" s="67">
        <f>D5/E5</f>
        <v>0.99681978798586568</v>
      </c>
      <c r="F17" s="67"/>
      <c r="G17" s="67">
        <f>F5/G5</f>
        <v>1</v>
      </c>
      <c r="H17" s="67"/>
      <c r="I17" s="67">
        <f>H5/I5</f>
        <v>0.99923562010319134</v>
      </c>
      <c r="J17" s="67"/>
      <c r="K17" s="67">
        <f>J5/K5</f>
        <v>1</v>
      </c>
      <c r="L17" s="67"/>
      <c r="M17" s="67">
        <f>L5/M5</f>
        <v>0.99662783568362967</v>
      </c>
      <c r="N17" s="67"/>
      <c r="O17" s="67">
        <f>N5/O5</f>
        <v>1</v>
      </c>
      <c r="P17" s="67"/>
      <c r="Q17" s="67">
        <f>P5/Q5</f>
        <v>0.99677990661729188</v>
      </c>
      <c r="R17" s="67"/>
      <c r="S17" s="67">
        <f>R5/S5</f>
        <v>0.9978070175438597</v>
      </c>
      <c r="T17" s="67"/>
      <c r="U17" s="67">
        <f>T5/U5</f>
        <v>0.99713207547169813</v>
      </c>
      <c r="V17" s="67"/>
      <c r="W17" s="67">
        <f>V5/W5</f>
        <v>0.99765807962529274</v>
      </c>
      <c r="X17" s="67"/>
      <c r="Y17" s="67">
        <f>X5/Y5</f>
        <v>0.99859856742447839</v>
      </c>
      <c r="Z17" s="67"/>
      <c r="AA17" s="67">
        <f>Z5/AA5</f>
        <v>0.99363057324840764</v>
      </c>
      <c r="AB17" s="67"/>
      <c r="AC17" s="67">
        <f>AB5/AC5</f>
        <v>0.99897119341563789</v>
      </c>
      <c r="AD17" s="67"/>
      <c r="AE17" s="67">
        <f>AD5/AE5</f>
        <v>0.99745547073791352</v>
      </c>
      <c r="AF17" s="67"/>
      <c r="AG17" s="67">
        <f>AF5/AG5</f>
        <v>0.99905183312262957</v>
      </c>
      <c r="AH17" s="67"/>
      <c r="AI17" s="67">
        <f>AH5/AI5</f>
        <v>0.99727520435967298</v>
      </c>
      <c r="AJ17" s="67"/>
      <c r="AK17" s="67">
        <f>AJ5/AK5</f>
        <v>0.99905392620624411</v>
      </c>
      <c r="AL17" s="67"/>
      <c r="AM17" s="67">
        <f>AL5/AM5</f>
        <v>0.99775280898876406</v>
      </c>
      <c r="AN17" s="67"/>
      <c r="AO17" s="67">
        <f>AN5/AO5</f>
        <v>0.99788961038961044</v>
      </c>
      <c r="AP17" s="67"/>
      <c r="AQ17" s="67">
        <f>AP5/AQ5</f>
        <v>0.99390243902439024</v>
      </c>
      <c r="AR17" s="67"/>
      <c r="AS17" s="67">
        <f>AR5/AS5</f>
        <v>1</v>
      </c>
      <c r="AT17" s="67"/>
      <c r="AU17" s="67">
        <f>AT5/AU5</f>
        <v>0.99537037037037035</v>
      </c>
      <c r="AV17" s="67"/>
      <c r="AW17" s="67">
        <f>AV5/AW5</f>
        <v>1</v>
      </c>
    </row>
    <row r="18" spans="1:49" x14ac:dyDescent="0.25">
      <c r="A18" s="58" t="s">
        <v>18</v>
      </c>
      <c r="B18" s="63"/>
      <c r="C18" s="67">
        <f>B6/C6</f>
        <v>0.99749373433583954</v>
      </c>
      <c r="D18" s="67"/>
      <c r="E18" s="67">
        <f>D6/E6</f>
        <v>0.9858390370545197</v>
      </c>
      <c r="F18" s="67"/>
      <c r="G18" s="67">
        <f>F6/G6</f>
        <v>0.99328859060402686</v>
      </c>
      <c r="H18" s="67"/>
      <c r="I18" s="67">
        <f>H6/I6</f>
        <v>0.99219304471256209</v>
      </c>
      <c r="J18" s="67"/>
      <c r="K18" s="67">
        <f>J6/K6</f>
        <v>0.99555555555555553</v>
      </c>
      <c r="L18" s="67"/>
      <c r="M18" s="67">
        <f>L6/M6</f>
        <v>0.99328449328449331</v>
      </c>
      <c r="N18" s="67"/>
      <c r="O18" s="67">
        <f>N6/O6</f>
        <v>0.99529411764705877</v>
      </c>
      <c r="P18" s="67"/>
      <c r="Q18" s="67">
        <f>P6/Q6</f>
        <v>0.98748971193415636</v>
      </c>
      <c r="R18" s="67"/>
      <c r="S18" s="67">
        <f>R6/S6</f>
        <v>0.98675496688741726</v>
      </c>
      <c r="T18" s="67"/>
      <c r="U18" s="67">
        <f>T6/U6</f>
        <v>0.99072148456247</v>
      </c>
      <c r="V18" s="67"/>
      <c r="W18" s="67">
        <f>V6/W6</f>
        <v>0.98727735368956748</v>
      </c>
      <c r="X18" s="67"/>
      <c r="Y18" s="67">
        <f>X6/Y6</f>
        <v>0.98711877249479063</v>
      </c>
      <c r="Z18" s="67"/>
      <c r="AA18" s="67">
        <f>Z6/AA6</f>
        <v>0.99775784753363228</v>
      </c>
      <c r="AB18" s="67"/>
      <c r="AC18" s="67">
        <f>AB6/AC6</f>
        <v>0.99021396583181287</v>
      </c>
      <c r="AD18" s="67"/>
      <c r="AE18" s="67">
        <f>AD6/AE6</f>
        <v>0.99766899766899764</v>
      </c>
      <c r="AF18" s="67"/>
      <c r="AG18" s="67">
        <f>AF6/AG6</f>
        <v>0.9937042708865067</v>
      </c>
      <c r="AH18" s="67"/>
      <c r="AI18" s="67">
        <f>AH6/AI6</f>
        <v>0.99472295514511877</v>
      </c>
      <c r="AJ18" s="67"/>
      <c r="AK18" s="67">
        <f>AJ6/AK6</f>
        <v>0.99076755973931929</v>
      </c>
      <c r="AL18" s="67"/>
      <c r="AM18" s="67">
        <f>AL6/AM6</f>
        <v>0.99242424242424243</v>
      </c>
      <c r="AN18" s="67"/>
      <c r="AO18" s="67">
        <f>AN6/AO6</f>
        <v>0.99636237658063398</v>
      </c>
      <c r="AP18" s="67"/>
      <c r="AQ18" s="67">
        <f>AP6/AQ6</f>
        <v>0.99501246882793015</v>
      </c>
      <c r="AR18" s="67"/>
      <c r="AS18" s="67">
        <f>AR6/AS6</f>
        <v>0.99036574487065121</v>
      </c>
      <c r="AT18" s="67"/>
      <c r="AU18" s="67">
        <f>AT6/AU6</f>
        <v>1</v>
      </c>
      <c r="AV18" s="67"/>
      <c r="AW18" s="67">
        <f>AV6/AW6</f>
        <v>1.0079810818799881</v>
      </c>
    </row>
    <row r="19" spans="1:49" x14ac:dyDescent="0.25">
      <c r="A19" s="58" t="s">
        <v>19</v>
      </c>
      <c r="B19" s="63"/>
      <c r="C19" s="67">
        <f>B7/C7</f>
        <v>1</v>
      </c>
      <c r="D19" s="67"/>
      <c r="E19" s="67">
        <f>D7/E7</f>
        <v>0.99137931034482762</v>
      </c>
      <c r="F19" s="67"/>
      <c r="G19" s="67">
        <f>F7/G7</f>
        <v>1</v>
      </c>
      <c r="H19" s="67"/>
      <c r="I19" s="67">
        <f>H7/I7</f>
        <v>0.99689011748445056</v>
      </c>
      <c r="J19" s="67"/>
      <c r="K19" s="67">
        <f>J7/K7</f>
        <v>1</v>
      </c>
      <c r="L19" s="67"/>
      <c r="M19" s="67">
        <f>L7/M7</f>
        <v>0.99593368783234282</v>
      </c>
      <c r="N19" s="67"/>
      <c r="O19" s="67">
        <f>N7/O7</f>
        <v>1</v>
      </c>
      <c r="P19" s="67"/>
      <c r="Q19" s="67">
        <f>P7/Q7</f>
        <v>0.99469214437367304</v>
      </c>
      <c r="R19" s="67"/>
      <c r="S19" s="67">
        <f>R7/S7</f>
        <v>1</v>
      </c>
      <c r="T19" s="67"/>
      <c r="U19" s="67">
        <f>T7/U7</f>
        <v>0.99336283185840712</v>
      </c>
      <c r="V19" s="67"/>
      <c r="W19" s="67">
        <f>V7/W7</f>
        <v>1</v>
      </c>
      <c r="X19" s="67"/>
      <c r="Y19" s="67">
        <f>X7/Y7</f>
        <v>0.98987768873892867</v>
      </c>
      <c r="Z19" s="67"/>
      <c r="AA19" s="67">
        <f>Z7/AA7</f>
        <v>0.99408284023668636</v>
      </c>
      <c r="AB19" s="67"/>
      <c r="AC19" s="67">
        <f>AB7/AC7</f>
        <v>0.99288818648755428</v>
      </c>
      <c r="AD19" s="67"/>
      <c r="AE19" s="67">
        <f>AD7/AE7</f>
        <v>1</v>
      </c>
      <c r="AF19" s="67"/>
      <c r="AG19" s="67">
        <f>AF7/AG7</f>
        <v>0.99382716049382713</v>
      </c>
      <c r="AH19" s="67"/>
      <c r="AI19" s="67">
        <f>AH7/AI7</f>
        <v>1</v>
      </c>
      <c r="AJ19" s="67"/>
      <c r="AK19" s="67">
        <f>AJ7/AK7</f>
        <v>0.99719999999999998</v>
      </c>
      <c r="AL19" s="67"/>
      <c r="AM19" s="67">
        <f>AL7/AM7</f>
        <v>0.9925373134328358</v>
      </c>
      <c r="AN19" s="67"/>
      <c r="AO19" s="67">
        <f>AN7/AO7</f>
        <v>0.99875621890547261</v>
      </c>
      <c r="AP19" s="67"/>
      <c r="AQ19" s="67">
        <f>AP7/AQ7</f>
        <v>1</v>
      </c>
      <c r="AR19" s="67"/>
      <c r="AS19" s="67">
        <f>AR7/AS7</f>
        <v>0.99551234106207931</v>
      </c>
      <c r="AT19" s="67"/>
      <c r="AU19" s="67">
        <f>AT7/AU7</f>
        <v>1</v>
      </c>
      <c r="AV19" s="67"/>
      <c r="AW19" s="67">
        <f>AV7/AW7</f>
        <v>0.99689247980111872</v>
      </c>
    </row>
    <row r="20" spans="1:49" x14ac:dyDescent="0.25">
      <c r="A20" s="58" t="s">
        <v>20</v>
      </c>
      <c r="B20" s="63"/>
      <c r="C20" s="67">
        <f>B8/C8</f>
        <v>0.99534883720930234</v>
      </c>
      <c r="D20" s="67"/>
      <c r="E20" s="67">
        <f>D8/E8</f>
        <v>0.99597585513078468</v>
      </c>
      <c r="F20" s="67"/>
      <c r="G20" s="67">
        <f>F8/G8</f>
        <v>1</v>
      </c>
      <c r="H20" s="67"/>
      <c r="I20" s="67">
        <f>H8/I8</f>
        <v>0.99321458863443601</v>
      </c>
      <c r="J20" s="67"/>
      <c r="K20" s="67">
        <f>J8/K8</f>
        <v>1</v>
      </c>
      <c r="L20" s="67"/>
      <c r="M20" s="67">
        <f>L8/M8</f>
        <v>0.99601434834595459</v>
      </c>
      <c r="N20" s="67"/>
      <c r="O20" s="67">
        <f>N8/O8</f>
        <v>1</v>
      </c>
      <c r="P20" s="67"/>
      <c r="Q20" s="67">
        <f>P8/Q8</f>
        <v>0.99538590604026844</v>
      </c>
      <c r="R20" s="67"/>
      <c r="S20" s="67">
        <f>R8/S8</f>
        <v>1</v>
      </c>
      <c r="T20" s="67"/>
      <c r="U20" s="67">
        <f>T8/U8</f>
        <v>0.9916909015371832</v>
      </c>
      <c r="V20" s="67"/>
      <c r="W20" s="67">
        <f>V8/W8</f>
        <v>0.99551569506726456</v>
      </c>
      <c r="X20" s="67"/>
      <c r="Y20" s="67">
        <f>X8/Y8</f>
        <v>0.99518900343642613</v>
      </c>
      <c r="Z20" s="67"/>
      <c r="AA20" s="67">
        <f>Z8/AA8</f>
        <v>1</v>
      </c>
      <c r="AB20" s="67"/>
      <c r="AC20" s="67">
        <f>AB8/AC8</f>
        <v>0.99500520291363159</v>
      </c>
      <c r="AD20" s="67"/>
      <c r="AE20" s="67">
        <f>AD8/AE8</f>
        <v>1</v>
      </c>
      <c r="AF20" s="67"/>
      <c r="AG20" s="67">
        <f>AF8/AG8</f>
        <v>0.99544890359950355</v>
      </c>
      <c r="AH20" s="67"/>
      <c r="AI20" s="67">
        <f>AH8/AI8</f>
        <v>0.99574468085106382</v>
      </c>
      <c r="AJ20" s="67"/>
      <c r="AK20" s="67">
        <f>AJ8/AK8</f>
        <v>0.99533333333333329</v>
      </c>
      <c r="AL20" s="67"/>
      <c r="AM20" s="67">
        <f>AL8/AM8</f>
        <v>0.99283154121863804</v>
      </c>
      <c r="AN20" s="67"/>
      <c r="AO20" s="67">
        <f>AN8/AO8</f>
        <v>0.99703578234173196</v>
      </c>
      <c r="AP20" s="67"/>
      <c r="AQ20" s="67">
        <f>AP8/AQ8</f>
        <v>0.99122807017543857</v>
      </c>
      <c r="AR20" s="67"/>
      <c r="AS20" s="67">
        <f>AR8/AS8</f>
        <v>0.99706347413598373</v>
      </c>
      <c r="AT20" s="67"/>
      <c r="AU20" s="67">
        <f>AT8/AU8</f>
        <v>1</v>
      </c>
      <c r="AV20" s="67"/>
      <c r="AW20" s="67">
        <f>AV8/AW8</f>
        <v>0.99892857142857139</v>
      </c>
    </row>
    <row r="21" spans="1:49" x14ac:dyDescent="0.25">
      <c r="A21" s="58" t="s">
        <v>21</v>
      </c>
      <c r="B21" s="63"/>
      <c r="C21" s="67">
        <f>B9/C9</f>
        <v>1</v>
      </c>
      <c r="D21" s="67"/>
      <c r="E21" s="67">
        <f>D9/E9</f>
        <v>0.97661623108665752</v>
      </c>
      <c r="F21" s="67"/>
      <c r="G21" s="67">
        <f>F9/G9</f>
        <v>0.99468085106382975</v>
      </c>
      <c r="H21" s="67"/>
      <c r="I21" s="67">
        <f>H9/I9</f>
        <v>0.99551856594110111</v>
      </c>
      <c r="J21" s="67"/>
      <c r="K21" s="67">
        <f>J9/K9</f>
        <v>0.99530516431924887</v>
      </c>
      <c r="L21" s="67"/>
      <c r="M21" s="67">
        <f>L9/M9</f>
        <v>0.99616490891658682</v>
      </c>
      <c r="N21" s="67"/>
      <c r="O21" s="67">
        <f>N9/O9</f>
        <v>1</v>
      </c>
      <c r="P21" s="67"/>
      <c r="Q21" s="67">
        <f>P9/Q9</f>
        <v>0.99530075187969924</v>
      </c>
      <c r="R21" s="67"/>
      <c r="S21" s="67">
        <f>R9/S9</f>
        <v>1</v>
      </c>
      <c r="T21" s="67"/>
      <c r="U21" s="67">
        <f>T9/U9</f>
        <v>0.9959689029657357</v>
      </c>
      <c r="V21" s="67"/>
      <c r="W21" s="67">
        <f>V9/W9</f>
        <v>0.99537037037037035</v>
      </c>
      <c r="X21" s="67"/>
      <c r="Y21" s="67">
        <f>X9/Y9</f>
        <v>0.99668214996682147</v>
      </c>
      <c r="Z21" s="67"/>
      <c r="AA21" s="67">
        <f>Z9/AA9</f>
        <v>1</v>
      </c>
      <c r="AB21" s="67"/>
      <c r="AC21" s="67">
        <f>AB9/AC9</f>
        <v>0.99539736115372812</v>
      </c>
      <c r="AD21" s="67"/>
      <c r="AE21" s="67">
        <f>AD9/AE9</f>
        <v>1</v>
      </c>
      <c r="AF21" s="67"/>
      <c r="AG21" s="67">
        <f>AF9/AG9</f>
        <v>0.99608079589990961</v>
      </c>
      <c r="AH21" s="67"/>
      <c r="AI21" s="67">
        <f>AH9/AI9</f>
        <v>0.9913419913419913</v>
      </c>
      <c r="AJ21" s="67"/>
      <c r="AK21" s="67">
        <f>AJ9/AK9</f>
        <v>0.99751243781094523</v>
      </c>
      <c r="AL21" s="67"/>
      <c r="AM21" s="67">
        <f>AL9/AM9</f>
        <v>1</v>
      </c>
      <c r="AN21" s="67"/>
      <c r="AO21" s="67">
        <f>AN9/AO9</f>
        <v>0.99695214873514171</v>
      </c>
      <c r="AP21" s="67"/>
      <c r="AQ21" s="67">
        <f>AP9/AQ9</f>
        <v>0.98469387755102045</v>
      </c>
      <c r="AR21" s="67"/>
      <c r="AS21" s="67">
        <f>AR9/AS9</f>
        <v>0.99511877643996094</v>
      </c>
      <c r="AT21" s="67"/>
      <c r="AU21" s="67">
        <f>AT9/AU9</f>
        <v>1</v>
      </c>
      <c r="AV21" s="67"/>
      <c r="AW21" s="67">
        <f>AV9/AW9</f>
        <v>0.99149507609668752</v>
      </c>
    </row>
    <row r="22" spans="1:49" x14ac:dyDescent="0.25">
      <c r="A22" s="58" t="s">
        <v>22</v>
      </c>
      <c r="B22" s="63"/>
      <c r="C22" s="67">
        <f>B10/C10</f>
        <v>1</v>
      </c>
      <c r="D22" s="67"/>
      <c r="E22" s="67">
        <f>D10/E10</f>
        <v>0.98679577464788737</v>
      </c>
      <c r="F22" s="67"/>
      <c r="G22" s="67">
        <f>F10/G10</f>
        <v>0.98816568047337283</v>
      </c>
      <c r="H22" s="67"/>
      <c r="I22" s="67">
        <f>H10/I10</f>
        <v>0.99671249252839211</v>
      </c>
      <c r="J22" s="67"/>
      <c r="K22" s="67">
        <f>J10/K10</f>
        <v>0.9939393939393939</v>
      </c>
      <c r="L22" s="67"/>
      <c r="M22" s="67">
        <f>L10/M10</f>
        <v>0.99692023406221131</v>
      </c>
      <c r="N22" s="67"/>
      <c r="O22" s="67">
        <f>N10/O10</f>
        <v>1</v>
      </c>
      <c r="P22" s="67"/>
      <c r="Q22" s="67">
        <f>P10/Q10</f>
        <v>0.99711295561169255</v>
      </c>
      <c r="R22" s="67"/>
      <c r="S22" s="67">
        <f>R10/S10</f>
        <v>1</v>
      </c>
      <c r="T22" s="67"/>
      <c r="U22" s="67">
        <f>T10/U10</f>
        <v>0.99617346938775508</v>
      </c>
      <c r="V22" s="67"/>
      <c r="W22" s="67">
        <f>V10/W10</f>
        <v>0.99342105263157898</v>
      </c>
      <c r="X22" s="67"/>
      <c r="Y22" s="67">
        <f>X10/Y10</f>
        <v>0.99787760877255038</v>
      </c>
      <c r="Z22" s="67"/>
      <c r="AA22" s="67">
        <f>Z10/AA10</f>
        <v>1</v>
      </c>
      <c r="AB22" s="67"/>
      <c r="AC22" s="67">
        <f>AB10/AC10</f>
        <v>0.99846484494933985</v>
      </c>
      <c r="AD22" s="67"/>
      <c r="AE22" s="67">
        <f>AD10/AE10</f>
        <v>0.99382716049382713</v>
      </c>
      <c r="AF22" s="67"/>
      <c r="AG22" s="67">
        <f>AF10/AG10</f>
        <v>0.99808734459674853</v>
      </c>
      <c r="AH22" s="67"/>
      <c r="AI22" s="67">
        <f>AH10/AI10</f>
        <v>0.99300699300699302</v>
      </c>
      <c r="AJ22" s="67"/>
      <c r="AK22" s="67">
        <f>AJ10/AK10</f>
        <v>0.99938003719776813</v>
      </c>
      <c r="AL22" s="67"/>
      <c r="AM22" s="67">
        <f>AL10/AM10</f>
        <v>0.98630136986301364</v>
      </c>
      <c r="AN22" s="67"/>
      <c r="AO22" s="67">
        <f>AN10/AO10</f>
        <v>0.99711260827718962</v>
      </c>
      <c r="AP22" s="67"/>
      <c r="AQ22" s="67">
        <f>AP10/AQ10</f>
        <v>0.98518518518518516</v>
      </c>
      <c r="AR22" s="67"/>
      <c r="AS22" s="67">
        <f>AR10/AS10</f>
        <v>0.99797365754812561</v>
      </c>
      <c r="AT22" s="67"/>
      <c r="AU22" s="67">
        <f>AT10/AU10</f>
        <v>1</v>
      </c>
      <c r="AV22" s="67"/>
      <c r="AW22" s="67">
        <f>AV10/AW10</f>
        <v>0.99796334012219956</v>
      </c>
    </row>
    <row r="23" spans="1:49" ht="15.75" thickBot="1" x14ac:dyDescent="0.3">
      <c r="A23" s="59" t="s">
        <v>28</v>
      </c>
      <c r="B23" s="63"/>
      <c r="C23" s="67"/>
      <c r="D23" s="67"/>
      <c r="E23" s="67"/>
      <c r="F23" s="67"/>
      <c r="G23" s="67"/>
      <c r="H23" s="67"/>
      <c r="I23" s="67"/>
      <c r="J23" s="67"/>
      <c r="K23" s="67">
        <f>J11/K11</f>
        <v>1</v>
      </c>
      <c r="L23" s="67"/>
      <c r="M23" s="67">
        <f>L11/M11</f>
        <v>0.99409078699973141</v>
      </c>
      <c r="N23" s="67"/>
      <c r="O23" s="67"/>
      <c r="P23" s="67"/>
      <c r="Q23" s="67"/>
      <c r="R23" s="67"/>
      <c r="S23" s="67"/>
      <c r="T23" s="67"/>
      <c r="U23" s="67"/>
      <c r="V23" s="67"/>
      <c r="W23" s="67">
        <f>V11/W11</f>
        <v>1</v>
      </c>
      <c r="X23" s="67"/>
      <c r="Y23" s="67">
        <f>X11/Y11</f>
        <v>0.99288762446657186</v>
      </c>
      <c r="Z23" s="67"/>
      <c r="AA23" s="67"/>
      <c r="AB23" s="67"/>
      <c r="AC23" s="67"/>
      <c r="AD23" s="67"/>
      <c r="AE23" s="67"/>
      <c r="AF23" s="67"/>
      <c r="AG23" s="67"/>
      <c r="AH23" s="67"/>
      <c r="AI23" s="67">
        <f>AH11/AI11</f>
        <v>1</v>
      </c>
      <c r="AJ23" s="67"/>
      <c r="AK23" s="67">
        <f>AJ11/AK11</f>
        <v>0.9981019522776573</v>
      </c>
      <c r="AL23" s="67"/>
      <c r="AM23" s="67"/>
      <c r="AN23" s="67"/>
      <c r="AO23" s="67"/>
      <c r="AP23" s="67"/>
      <c r="AQ23" s="67"/>
      <c r="AR23" s="67"/>
      <c r="AS23" s="67"/>
      <c r="AT23" s="67"/>
      <c r="AU23" s="67">
        <f>AT11/AU11</f>
        <v>1</v>
      </c>
      <c r="AV23" s="67"/>
      <c r="AW23" s="67">
        <f>AV11/AW11</f>
        <v>0.99751398384089496</v>
      </c>
    </row>
    <row r="24" spans="1:49" ht="16.5" thickTop="1" thickBot="1" x14ac:dyDescent="0.3">
      <c r="A24" s="60" t="s">
        <v>29</v>
      </c>
      <c r="B24" s="63"/>
      <c r="C24" s="67">
        <f>AVERAGE(C17:C23)</f>
        <v>0.99880709525752354</v>
      </c>
      <c r="D24" s="67"/>
      <c r="E24" s="67">
        <f t="shared" ref="E24:AW24" si="1">AVERAGE(E17:E23)</f>
        <v>0.98890433270842371</v>
      </c>
      <c r="F24" s="67"/>
      <c r="G24" s="67">
        <f t="shared" si="1"/>
        <v>0.99602252035687167</v>
      </c>
      <c r="H24" s="67"/>
      <c r="I24" s="67">
        <f t="shared" si="1"/>
        <v>0.99562740490068879</v>
      </c>
      <c r="J24" s="67"/>
      <c r="K24" s="67">
        <f t="shared" si="1"/>
        <v>0.99782858768774274</v>
      </c>
      <c r="L24" s="67"/>
      <c r="M24" s="67">
        <f t="shared" si="1"/>
        <v>0.99557661358927851</v>
      </c>
      <c r="N24" s="67"/>
      <c r="O24" s="67">
        <f t="shared" si="1"/>
        <v>0.99921568627450974</v>
      </c>
      <c r="P24" s="67"/>
      <c r="Q24" s="67">
        <f t="shared" si="1"/>
        <v>0.99446022940946355</v>
      </c>
      <c r="R24" s="67"/>
      <c r="S24" s="67">
        <f t="shared" si="1"/>
        <v>0.9974269974052129</v>
      </c>
      <c r="T24" s="67"/>
      <c r="U24" s="67">
        <f t="shared" si="1"/>
        <v>0.99417494429720821</v>
      </c>
      <c r="V24" s="67"/>
      <c r="W24" s="67">
        <f t="shared" si="1"/>
        <v>0.99560607876915341</v>
      </c>
      <c r="X24" s="67"/>
      <c r="Y24" s="67">
        <f t="shared" si="1"/>
        <v>0.99403305932865238</v>
      </c>
      <c r="Z24" s="67"/>
      <c r="AA24" s="67">
        <f t="shared" si="1"/>
        <v>0.99757854350312103</v>
      </c>
      <c r="AB24" s="67"/>
      <c r="AC24" s="67">
        <f t="shared" si="1"/>
        <v>0.99515679245861743</v>
      </c>
      <c r="AD24" s="67"/>
      <c r="AE24" s="67">
        <f t="shared" si="1"/>
        <v>0.99815860481678964</v>
      </c>
      <c r="AF24" s="67"/>
      <c r="AG24" s="67">
        <f t="shared" si="1"/>
        <v>0.99603338476652092</v>
      </c>
      <c r="AH24" s="67"/>
      <c r="AI24" s="67">
        <f t="shared" si="1"/>
        <v>0.99601311781497714</v>
      </c>
      <c r="AJ24" s="67"/>
      <c r="AK24" s="67">
        <f t="shared" si="1"/>
        <v>0.99676417808075235</v>
      </c>
      <c r="AL24" s="67"/>
      <c r="AM24" s="67">
        <f t="shared" si="1"/>
        <v>0.9936412126545825</v>
      </c>
      <c r="AN24" s="67"/>
      <c r="AO24" s="67">
        <f t="shared" si="1"/>
        <v>0.99735145753829679</v>
      </c>
      <c r="AP24" s="67"/>
      <c r="AQ24" s="67">
        <f t="shared" si="1"/>
        <v>0.99167034012732735</v>
      </c>
      <c r="AR24" s="67"/>
      <c r="AS24" s="67">
        <f t="shared" si="1"/>
        <v>0.99600566567613324</v>
      </c>
      <c r="AT24" s="67"/>
      <c r="AU24" s="67">
        <f t="shared" si="1"/>
        <v>0.9993386243386243</v>
      </c>
      <c r="AV24" s="67"/>
      <c r="AW24" s="67">
        <f t="shared" si="1"/>
        <v>0.99868207616706572</v>
      </c>
    </row>
    <row r="25" spans="1:49" ht="15.75" thickTop="1" x14ac:dyDescent="0.25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</sheetData>
  <mergeCells count="14">
    <mergeCell ref="A3:A4"/>
    <mergeCell ref="B3:E3"/>
    <mergeCell ref="F3:I3"/>
    <mergeCell ref="J3:M3"/>
    <mergeCell ref="N3:Q3"/>
    <mergeCell ref="V3:Y3"/>
    <mergeCell ref="R3:U3"/>
    <mergeCell ref="A15:A16"/>
    <mergeCell ref="AT3:AW3"/>
    <mergeCell ref="Z3:AC3"/>
    <mergeCell ref="AD3:AG3"/>
    <mergeCell ref="AH3:AK3"/>
    <mergeCell ref="AL3:AO3"/>
    <mergeCell ref="AP3:AS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PQRS Data</vt:lpstr>
    </vt:vector>
  </TitlesOfParts>
  <Company>Sheridan Healthcorp,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Adeife, Abby</dc:creator>
  <cp:lastModifiedBy>Baumgarten, Allen</cp:lastModifiedBy>
  <dcterms:created xsi:type="dcterms:W3CDTF">2018-02-01T19:16:45Z</dcterms:created>
  <dcterms:modified xsi:type="dcterms:W3CDTF">2018-02-02T16:10:44Z</dcterms:modified>
</cp:coreProperties>
</file>