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omments1.xml" ContentType="application/vnd.openxmlformats-officedocument.spreadsheetml.comments+xml"/>
  <Override PartName="/xl/drawings/drawing16.xml" ContentType="application/vnd.openxmlformats-officedocument.drawing+xml"/>
  <Override PartName="/xl/comments2.xml" ContentType="application/vnd.openxmlformats-officedocument.spreadsheetml.comments+xml"/>
  <Override PartName="/xl/drawings/drawing17.xml" ContentType="application/vnd.openxmlformats-officedocument.drawing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tables/table2.xml" ContentType="application/vnd.openxmlformats-officedocument.spreadsheetml.table+xml"/>
  <Override PartName="/xl/drawings/drawing20.xml" ContentType="application/vnd.openxmlformats-officedocument.drawing+xml"/>
  <Override PartName="/xl/charts/chart16.xml" ContentType="application/vnd.openxmlformats-officedocument.drawingml.chart+xml"/>
  <Override PartName="/xl/drawings/drawing21.xml" ContentType="application/vnd.openxmlformats-officedocument.drawing+xml"/>
  <Override PartName="/xl/charts/chart17.xml" ContentType="application/vnd.openxmlformats-officedocument.drawingml.chart+xml"/>
  <Override PartName="/xl/theme/themeOverride3.xml" ContentType="application/vnd.openxmlformats-officedocument.themeOverrid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8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9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20.xml" ContentType="application/vnd.openxmlformats-officedocument.drawingml.chart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21.xml" ContentType="application/vnd.openxmlformats-officedocument.drawingml.chart+xml"/>
  <Override PartName="/xl/drawings/drawing30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31.xml" ContentType="application/vnd.openxmlformats-officedocument.drawing+xml"/>
  <Override PartName="/xl/charts/chart24.xml" ContentType="application/vnd.openxmlformats-officedocument.drawingml.chart+xml"/>
  <Override PartName="/xl/drawings/drawing32.xml" ContentType="application/vnd.openxmlformats-officedocument.drawing+xml"/>
  <Override PartName="/xl/charts/chart25.xml" ContentType="application/vnd.openxmlformats-officedocument.drawingml.chart+xml"/>
  <Override PartName="/xl/drawings/drawing33.xml" ContentType="application/vnd.openxmlformats-officedocument.drawing+xml"/>
  <Override PartName="/xl/charts/chart26.xml" ContentType="application/vnd.openxmlformats-officedocument.drawingml.chart+xml"/>
  <Override PartName="/xl/drawings/drawing3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harts/chart30.xml" ContentType="application/vnd.openxmlformats-officedocument.drawingml.chart+xml"/>
  <Override PartName="/xl/drawings/drawing37.xml" ContentType="application/vnd.openxmlformats-officedocument.drawing+xml"/>
  <Override PartName="/xl/charts/chart31.xml" ContentType="application/vnd.openxmlformats-officedocument.drawingml.chart+xml"/>
  <Override PartName="/xl/drawings/drawing38.xml" ContentType="application/vnd.openxmlformats-officedocument.drawingml.chartshapes+xml"/>
  <Override PartName="/xl/charts/chart32.xml" ContentType="application/vnd.openxmlformats-officedocument.drawingml.chart+xml"/>
  <Override PartName="/xl/drawings/drawing39.xml" ContentType="application/vnd.openxmlformats-officedocument.drawingml.chartshapes+xml"/>
  <Override PartName="/xl/charts/chart33.xml" ContentType="application/vnd.openxmlformats-officedocument.drawingml.chart+xml"/>
  <Override PartName="/xl/drawings/drawing40.xml" ContentType="application/vnd.openxmlformats-officedocument.drawingml.chartshapes+xml"/>
  <Override PartName="/xl/charts/chart34.xml" ContentType="application/vnd.openxmlformats-officedocument.drawingml.chart+xml"/>
  <Override PartName="/xl/drawings/drawing41.xml" ContentType="application/vnd.openxmlformats-officedocument.drawingml.chartshapes+xml"/>
  <Override PartName="/xl/drawings/drawing42.xml" ContentType="application/vnd.openxmlformats-officedocument.drawing+xml"/>
  <Override PartName="/xl/charts/chart35.xml" ContentType="application/vnd.openxmlformats-officedocument.drawingml.chart+xml"/>
  <Override PartName="/xl/drawings/drawing43.xml" ContentType="application/vnd.openxmlformats-officedocument.drawingml.chartshapes+xml"/>
  <Override PartName="/xl/drawings/drawing44.xml" ContentType="application/vnd.openxmlformats-officedocument.drawing+xml"/>
  <Override PartName="/xl/charts/chart36.xml" ContentType="application/vnd.openxmlformats-officedocument.drawingml.chart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Q:\Anesthesia\_DropOff\ED_Reports\Site_Data_Capture\CONSOLIDATED_DATA\"/>
    </mc:Choice>
  </mc:AlternateContent>
  <bookViews>
    <workbookView xWindow="0" yWindow="120" windowWidth="11085" windowHeight="7635" tabRatio="846" firstSheet="16" activeTab="14"/>
  </bookViews>
  <sheets>
    <sheet name="JV QUARTER" sheetId="159" r:id="rId1"/>
    <sheet name="Timeliness Graph by Month" sheetId="30" state="hidden" r:id="rId2"/>
    <sheet name="PPH Graph" sheetId="86" state="hidden" r:id="rId3"/>
    <sheet name="Labor Cost_Case" sheetId="88" state="hidden" r:id="rId4"/>
    <sheet name="JV DATA YTD" sheetId="169" r:id="rId5"/>
    <sheet name="EDP PREMIUM LABOR (COST &amp; HRS)" sheetId="170" state="hidden" r:id="rId6"/>
    <sheet name="BUDGET HOURS" sheetId="154" state="hidden" r:id="rId7"/>
    <sheet name="MLP PREMIUM LABOR" sheetId="153" state="hidden" r:id="rId8"/>
    <sheet name="LABOR COST VARIANCE" sheetId="148" state="hidden" r:id="rId9"/>
    <sheet name="LABOR COST PER CASE" sheetId="166" state="hidden" r:id="rId10"/>
    <sheet name="PQRS GRAPH" sheetId="126" r:id="rId11"/>
    <sheet name="GRAPH DATA" sheetId="9" r:id="rId12"/>
    <sheet name="TOTAL LABOR COST" sheetId="124" state="hidden" r:id="rId13"/>
    <sheet name=" CASE  VOLUME - BUDGET VARIANCE" sheetId="143" state="hidden" r:id="rId14"/>
    <sheet name="COMPOSITE" sheetId="8" r:id="rId15"/>
    <sheet name="FACILITIES" sheetId="83" r:id="rId16"/>
    <sheet name="TABLE OF CONTENTS" sheetId="140" r:id="rId17"/>
    <sheet name="2016 EM EXECUTIVE COMMITTEE" sheetId="156" r:id="rId18"/>
    <sheet name="EM ACTION PLAN" sheetId="157" r:id="rId19"/>
    <sheet name="JV All Sites Exec Committee" sheetId="158" state="hidden" r:id="rId20"/>
    <sheet name="QUALITY COMPOSITE" sheetId="32" r:id="rId21"/>
    <sheet name="ARR TO PROVIDER" sheetId="164" r:id="rId22"/>
    <sheet name="PPH" sheetId="165" r:id="rId23"/>
    <sheet name="EDP PREMIUM LABOR (HOURS)" sheetId="152" r:id="rId24"/>
    <sheet name="EDP PREMIUM LABOR (HOURS) (2)" sheetId="171" r:id="rId25"/>
    <sheet name="LBBS" sheetId="141" r:id="rId26"/>
    <sheet name="ADMISSIONS" sheetId="146" r:id="rId27"/>
    <sheet name="REASON CODES" sheetId="147" r:id="rId28"/>
    <sheet name="TERMINATIONS" sheetId="145" r:id="rId29"/>
    <sheet name="PROVIDER PRODUCTIVITY" sheetId="155" r:id="rId30"/>
    <sheet name="EFFICIENCY" sheetId="150" r:id="rId31"/>
    <sheet name="PT SATISFACTION" sheetId="160" r:id="rId32"/>
    <sheet name="FPPE_OPPE" sheetId="151" r:id="rId33"/>
    <sheet name="PQRS" sheetId="161" r:id="rId34"/>
    <sheet name="72HR RETURNS" sheetId="162" r:id="rId35"/>
    <sheet name="MORTALITIES" sheetId="163" r:id="rId36"/>
    <sheet name="NATIONAL QUALITY MEASURES" sheetId="167" state="hidden" r:id="rId37"/>
  </sheets>
  <externalReferences>
    <externalReference r:id="rId38"/>
  </externalReferences>
  <definedNames>
    <definedName name="_xlnm._FilterDatabase" localSheetId="13" hidden="1">' CASE  VOLUME - BUDGET VARIANCE'!$A$18:$A$32</definedName>
    <definedName name="_xlnm._FilterDatabase" localSheetId="34" hidden="1">'72HR RETURNS'!$B$20:$B$34</definedName>
    <definedName name="_xlnm._FilterDatabase" localSheetId="26" hidden="1">ADMISSIONS!$A$19:$A$32</definedName>
    <definedName name="_xlnm._FilterDatabase" localSheetId="6" hidden="1">'BUDGET HOURS'!$B$20:$B$34</definedName>
    <definedName name="_xlnm._FilterDatabase" localSheetId="5" hidden="1">'EDP PREMIUM LABOR (COST &amp; HRS)'!$B$18:$B$32</definedName>
    <definedName name="_xlnm._FilterDatabase" localSheetId="23" hidden="1">'EDP PREMIUM LABOR (HOURS)'!$A$21:$A$35</definedName>
    <definedName name="_xlnm._FilterDatabase" localSheetId="24" hidden="1">'EDP PREMIUM LABOR (HOURS) (2)'!$A$21:$A$35</definedName>
    <definedName name="_xlnm._FilterDatabase" localSheetId="30" hidden="1">EFFICIENCY!$B$18:$B$31</definedName>
    <definedName name="_xlnm._FilterDatabase" localSheetId="32" hidden="1">FPPE_OPPE!$A$20:$A$33</definedName>
    <definedName name="_xlnm._FilterDatabase" localSheetId="8" hidden="1">'LABOR COST VARIANCE'!$B$21:$B$34</definedName>
    <definedName name="_xlnm._FilterDatabase" localSheetId="25" hidden="1">LBBS!$B$1:$B$15</definedName>
    <definedName name="_xlnm._FilterDatabase" localSheetId="7" hidden="1">'MLP PREMIUM LABOR'!$A$2:$A$16</definedName>
    <definedName name="_xlnm._FilterDatabase" localSheetId="35" hidden="1">MORTALITIES!$B$22:$B$36</definedName>
    <definedName name="_xlnm._FilterDatabase" localSheetId="36" hidden="1">'NATIONAL QUALITY MEASURES'!$A$3:$A$16</definedName>
    <definedName name="_xlnm._FilterDatabase" localSheetId="33" hidden="1">PQRS!$C$44:$C$57</definedName>
    <definedName name="_xlnm._FilterDatabase" localSheetId="29" hidden="1">'PROVIDER PRODUCTIVITY'!$A$24:$A$37</definedName>
    <definedName name="_xlnm._FilterDatabase" localSheetId="31" hidden="1">'PT SATISFACTION'!$A$4:$A$18</definedName>
    <definedName name="_xlnm._FilterDatabase" localSheetId="27" hidden="1">'REASON CODES'!$B$24:$B$38</definedName>
    <definedName name="_xlnm._FilterDatabase" localSheetId="28" hidden="1">TERMINATIONS!$B$24:$B$38</definedName>
    <definedName name="Clinical_Performance" localSheetId="5">#REF!</definedName>
    <definedName name="Clinical_Performance">#REF!</definedName>
    <definedName name="DataRange" localSheetId="13">#REF!</definedName>
    <definedName name="DataRange" localSheetId="17">#REF!</definedName>
    <definedName name="DataRange" localSheetId="34">#REF!</definedName>
    <definedName name="DataRange" localSheetId="26">#REF!</definedName>
    <definedName name="DataRange" localSheetId="6">#REF!</definedName>
    <definedName name="DataRange" localSheetId="5">#REF!</definedName>
    <definedName name="DataRange" localSheetId="23">#REF!</definedName>
    <definedName name="DataRange" localSheetId="24">#REF!</definedName>
    <definedName name="DataRange" localSheetId="30">#REF!</definedName>
    <definedName name="DataRange" localSheetId="18">#REF!</definedName>
    <definedName name="DataRange" localSheetId="15">#REF!</definedName>
    <definedName name="DataRange" localSheetId="32">#REF!</definedName>
    <definedName name="DataRange" localSheetId="19">#REF!</definedName>
    <definedName name="DataRange" localSheetId="4">#REF!</definedName>
    <definedName name="DataRange" localSheetId="0">#REF!</definedName>
    <definedName name="DataRange" localSheetId="8">#REF!</definedName>
    <definedName name="DataRange" localSheetId="7">#REF!</definedName>
    <definedName name="DataRange" localSheetId="35">#REF!</definedName>
    <definedName name="DataRange" localSheetId="36">#REF!</definedName>
    <definedName name="DataRange" localSheetId="33">#REF!</definedName>
    <definedName name="DataRange" localSheetId="10">#REF!</definedName>
    <definedName name="DataRange" localSheetId="29">#REF!</definedName>
    <definedName name="DataRange" localSheetId="31">#REF!</definedName>
    <definedName name="DataRange" localSheetId="27">#REF!</definedName>
    <definedName name="DataRange" localSheetId="28">#REF!</definedName>
    <definedName name="DataRange">#REF!</definedName>
    <definedName name="HeaderRange" localSheetId="13">#REF!</definedName>
    <definedName name="HeaderRange" localSheetId="17">#REF!</definedName>
    <definedName name="HeaderRange" localSheetId="34">#REF!</definedName>
    <definedName name="HeaderRange" localSheetId="26">#REF!</definedName>
    <definedName name="HeaderRange" localSheetId="6">#REF!</definedName>
    <definedName name="HeaderRange" localSheetId="5">#REF!</definedName>
    <definedName name="HeaderRange" localSheetId="23">#REF!</definedName>
    <definedName name="HeaderRange" localSheetId="24">#REF!</definedName>
    <definedName name="HeaderRange" localSheetId="30">#REF!</definedName>
    <definedName name="HeaderRange" localSheetId="18">#REF!</definedName>
    <definedName name="HeaderRange" localSheetId="15">#REF!</definedName>
    <definedName name="HeaderRange" localSheetId="32">#REF!</definedName>
    <definedName name="HeaderRange" localSheetId="19">#REF!</definedName>
    <definedName name="HeaderRange" localSheetId="4">#REF!</definedName>
    <definedName name="HeaderRange" localSheetId="0">#REF!</definedName>
    <definedName name="HeaderRange" localSheetId="8">#REF!</definedName>
    <definedName name="HeaderRange" localSheetId="7">#REF!</definedName>
    <definedName name="HeaderRange" localSheetId="35">#REF!</definedName>
    <definedName name="HeaderRange" localSheetId="36">#REF!</definedName>
    <definedName name="HeaderRange" localSheetId="33">#REF!</definedName>
    <definedName name="HeaderRange" localSheetId="10">#REF!</definedName>
    <definedName name="HeaderRange" localSheetId="29">#REF!</definedName>
    <definedName name="HeaderRange" localSheetId="31">#REF!</definedName>
    <definedName name="HeaderRange" localSheetId="27">#REF!</definedName>
    <definedName name="HeaderRange" localSheetId="28">#REF!</definedName>
    <definedName name="HeaderRange">#REF!</definedName>
    <definedName name="_xlnm.Print_Area" localSheetId="13">' CASE  VOLUME - BUDGET VARIANCE'!$A$1:$AW$48</definedName>
    <definedName name="_xlnm.Print_Area" localSheetId="17">'2016 EM EXECUTIVE COMMITTEE'!$A$1:$S$42</definedName>
    <definedName name="_xlnm.Print_Area" localSheetId="34">'72HR RETURNS'!$B$2:$AI$39</definedName>
    <definedName name="_xlnm.Print_Area" localSheetId="26">ADMISSIONS!$A$1:$W$52</definedName>
    <definedName name="_xlnm.Print_Area" localSheetId="21">'ARR TO PROVIDER'!$B$1:$S$33</definedName>
    <definedName name="_xlnm.Print_Area" localSheetId="6">'BUDGET HOURS'!$A$1:$AT$68</definedName>
    <definedName name="_xlnm.Print_Area" localSheetId="14">COMPOSITE!$A$120:$C$144</definedName>
    <definedName name="_xlnm.Print_Area" localSheetId="5">'EDP PREMIUM LABOR (COST &amp; HRS)'!$B$1:$BD$49</definedName>
    <definedName name="_xlnm.Print_Area" localSheetId="23">'EDP PREMIUM LABOR (HOURS)'!$A$1:$O$19</definedName>
    <definedName name="_xlnm.Print_Area" localSheetId="24">'EDP PREMIUM LABOR (HOURS) (2)'!$A$1:$AB$19</definedName>
    <definedName name="_xlnm.Print_Area" localSheetId="30">EFFICIENCY!$B$1:$X$93</definedName>
    <definedName name="_xlnm.Print_Area" localSheetId="18">'EM ACTION PLAN'!$A$1:$G$19</definedName>
    <definedName name="_xlnm.Print_Area" localSheetId="15">FACILITIES!$A$1:$M$422</definedName>
    <definedName name="_xlnm.Print_Area" localSheetId="32">FPPE_OPPE!$A$1:$T$37</definedName>
    <definedName name="_xlnm.Print_Area" localSheetId="11">'GRAPH DATA'!$A$1:$T$40</definedName>
    <definedName name="_xlnm.Print_Area" localSheetId="19">'JV All Sites Exec Committee'!$A$1:$X$34</definedName>
    <definedName name="_xlnm.Print_Area" localSheetId="4">'JV DATA YTD'!$A$3:$N$81</definedName>
    <definedName name="_xlnm.Print_Area" localSheetId="0">'JV QUARTER'!$A$3:$S$67</definedName>
    <definedName name="_xlnm.Print_Area" localSheetId="9">'LABOR COST PER CASE'!$A$1:$P$30</definedName>
    <definedName name="_xlnm.Print_Area" localSheetId="8">'LABOR COST VARIANCE'!$B$1:$Y$37</definedName>
    <definedName name="_xlnm.Print_Area" localSheetId="25">LBBS!$B$1:$BN$35</definedName>
    <definedName name="_xlnm.Print_Area" localSheetId="7">'MLP PREMIUM LABOR'!$A$1:$BE$55</definedName>
    <definedName name="_xlnm.Print_Area" localSheetId="35">MORTALITIES!$B$1:$AD$40</definedName>
    <definedName name="_xlnm.Print_Area" localSheetId="36">'NATIONAL QUALITY MEASURES'!$A$1:$Q$52</definedName>
    <definedName name="_xlnm.Print_Area" localSheetId="22">PPH!$A$1:$Q$30</definedName>
    <definedName name="_xlnm.Print_Area" localSheetId="33">PQRS!$A$1:$BA$73</definedName>
    <definedName name="_xlnm.Print_Area" localSheetId="10">'PQRS GRAPH'!$A$1:$P$28</definedName>
    <definedName name="_xlnm.Print_Area" localSheetId="29">'PROVIDER PRODUCTIVITY'!$A$1:$BT$38</definedName>
    <definedName name="_xlnm.Print_Area" localSheetId="31">'PT SATISFACTION'!$A$1:$U$18</definedName>
    <definedName name="_xlnm.Print_Area" localSheetId="20">'QUALITY COMPOSITE'!$A$1:$N$33</definedName>
    <definedName name="_xlnm.Print_Area" localSheetId="27">'REASON CODES'!$B$1:$BJ$38</definedName>
    <definedName name="_xlnm.Print_Area" localSheetId="16">'TABLE OF CONTENTS'!$A$1:$Q$26</definedName>
    <definedName name="_xlnm.Print_Area" localSheetId="28">TERMINATIONS!$B$1:$AN$38</definedName>
    <definedName name="_xlnm.Print_Area" localSheetId="12">'TOTAL LABOR COST'!$A$1:$N$25</definedName>
    <definedName name="_xlnm.Print_Titles" localSheetId="27">'REASON CODES'!$24:$25</definedName>
    <definedName name="_xlnm.Print_Titles" localSheetId="12">'TOTAL LABOR COST'!$1:$4</definedName>
    <definedName name="SortRange" localSheetId="13">#REF!</definedName>
    <definedName name="SortRange" localSheetId="17">#REF!</definedName>
    <definedName name="SortRange" localSheetId="34">#REF!</definedName>
    <definedName name="SortRange" localSheetId="26">#REF!</definedName>
    <definedName name="SortRange" localSheetId="6">#REF!</definedName>
    <definedName name="SortRange" localSheetId="5">#REF!</definedName>
    <definedName name="SortRange" localSheetId="23">#REF!</definedName>
    <definedName name="SortRange" localSheetId="24">#REF!</definedName>
    <definedName name="SortRange" localSheetId="30">#REF!</definedName>
    <definedName name="SortRange" localSheetId="18">#REF!</definedName>
    <definedName name="SortRange" localSheetId="15">#REF!</definedName>
    <definedName name="SortRange" localSheetId="32">#REF!</definedName>
    <definedName name="SortRange" localSheetId="19">#REF!</definedName>
    <definedName name="SortRange" localSheetId="4">#REF!</definedName>
    <definedName name="SortRange" localSheetId="0">#REF!</definedName>
    <definedName name="SortRange" localSheetId="8">#REF!</definedName>
    <definedName name="SortRange" localSheetId="7">#REF!</definedName>
    <definedName name="SortRange" localSheetId="35">#REF!</definedName>
    <definedName name="SortRange" localSheetId="36">#REF!</definedName>
    <definedName name="SortRange" localSheetId="33">#REF!</definedName>
    <definedName name="SortRange" localSheetId="10">#REF!</definedName>
    <definedName name="SortRange" localSheetId="29">#REF!</definedName>
    <definedName name="SortRange" localSheetId="31">#REF!</definedName>
    <definedName name="SortRange" localSheetId="27">#REF!</definedName>
    <definedName name="SortRange" localSheetId="28">#REF!</definedName>
    <definedName name="SortRange">#REF!</definedName>
    <definedName name="Titles" localSheetId="13">#REF!</definedName>
    <definedName name="Titles" localSheetId="17">#REF!</definedName>
    <definedName name="Titles" localSheetId="34">#REF!</definedName>
    <definedName name="Titles" localSheetId="26">#REF!</definedName>
    <definedName name="Titles" localSheetId="6">#REF!</definedName>
    <definedName name="Titles" localSheetId="5">#REF!</definedName>
    <definedName name="Titles" localSheetId="23">#REF!</definedName>
    <definedName name="Titles" localSheetId="24">#REF!</definedName>
    <definedName name="Titles" localSheetId="30">#REF!</definedName>
    <definedName name="Titles" localSheetId="18">#REF!</definedName>
    <definedName name="Titles" localSheetId="15">#REF!</definedName>
    <definedName name="Titles" localSheetId="32">#REF!</definedName>
    <definedName name="Titles" localSheetId="19">#REF!</definedName>
    <definedName name="Titles" localSheetId="4">#REF!</definedName>
    <definedName name="Titles" localSheetId="0">#REF!</definedName>
    <definedName name="Titles" localSheetId="8">#REF!</definedName>
    <definedName name="Titles" localSheetId="7">#REF!</definedName>
    <definedName name="Titles" localSheetId="35">#REF!</definedName>
    <definedName name="Titles" localSheetId="36">#REF!</definedName>
    <definedName name="Titles" localSheetId="33">#REF!</definedName>
    <definedName name="Titles" localSheetId="10">#REF!</definedName>
    <definedName name="Titles" localSheetId="29">#REF!</definedName>
    <definedName name="Titles" localSheetId="31">#REF!</definedName>
    <definedName name="Titles" localSheetId="27">#REF!</definedName>
    <definedName name="Titles" localSheetId="28">#REF!</definedName>
    <definedName name="Titles">#REF!</definedName>
    <definedName name="TopSection" localSheetId="13">#REF!</definedName>
    <definedName name="TopSection" localSheetId="17">#REF!</definedName>
    <definedName name="TopSection" localSheetId="34">#REF!</definedName>
    <definedName name="TopSection" localSheetId="26">#REF!</definedName>
    <definedName name="TopSection" localSheetId="6">#REF!</definedName>
    <definedName name="TopSection" localSheetId="5">#REF!</definedName>
    <definedName name="TopSection" localSheetId="23">#REF!</definedName>
    <definedName name="TopSection" localSheetId="24">#REF!</definedName>
    <definedName name="TopSection" localSheetId="30">#REF!</definedName>
    <definedName name="TopSection" localSheetId="18">#REF!</definedName>
    <definedName name="TopSection" localSheetId="15">#REF!</definedName>
    <definedName name="TopSection" localSheetId="32">#REF!</definedName>
    <definedName name="TopSection" localSheetId="19">#REF!</definedName>
    <definedName name="TopSection" localSheetId="4">#REF!</definedName>
    <definedName name="TopSection" localSheetId="0">#REF!</definedName>
    <definedName name="TopSection" localSheetId="8">#REF!</definedName>
    <definedName name="TopSection" localSheetId="7">#REF!</definedName>
    <definedName name="TopSection" localSheetId="35">#REF!</definedName>
    <definedName name="TopSection" localSheetId="36">#REF!</definedName>
    <definedName name="TopSection" localSheetId="33">#REF!</definedName>
    <definedName name="TopSection" localSheetId="10">#REF!</definedName>
    <definedName name="TopSection" localSheetId="29">#REF!</definedName>
    <definedName name="TopSection" localSheetId="31">#REF!</definedName>
    <definedName name="TopSection" localSheetId="27">#REF!</definedName>
    <definedName name="TopSection" localSheetId="28">#REF!</definedName>
    <definedName name="TopSection">#REF!</definedName>
  </definedNames>
  <calcPr calcId="152511"/>
</workbook>
</file>

<file path=xl/calcChain.xml><?xml version="1.0" encoding="utf-8"?>
<calcChain xmlns="http://schemas.openxmlformats.org/spreadsheetml/2006/main">
  <c r="A21" i="160" l="1"/>
  <c r="A19" i="160"/>
  <c r="D21" i="160"/>
  <c r="E22" i="160"/>
  <c r="F22" i="160"/>
  <c r="G22" i="160"/>
  <c r="H22" i="160"/>
  <c r="K22" i="160"/>
  <c r="L22" i="160"/>
  <c r="M22" i="160"/>
  <c r="N22" i="160"/>
  <c r="P22" i="160"/>
  <c r="Q22" i="160"/>
  <c r="R22" i="160"/>
  <c r="S22" i="160"/>
  <c r="D22" i="160"/>
  <c r="S19" i="160"/>
  <c r="T19" i="160"/>
  <c r="U19" i="160"/>
  <c r="S20" i="160"/>
  <c r="T20" i="160"/>
  <c r="U20" i="160"/>
  <c r="S21" i="160"/>
  <c r="P19" i="160"/>
  <c r="Q19" i="160"/>
  <c r="R19" i="160"/>
  <c r="P20" i="160"/>
  <c r="Q20" i="160"/>
  <c r="R20" i="160"/>
  <c r="P21" i="160"/>
  <c r="Q21" i="160"/>
  <c r="R21" i="160"/>
  <c r="J19" i="160"/>
  <c r="K19" i="160"/>
  <c r="L19" i="160"/>
  <c r="M19" i="160"/>
  <c r="N19" i="160"/>
  <c r="J20" i="160"/>
  <c r="K20" i="160"/>
  <c r="L20" i="160"/>
  <c r="M20" i="160"/>
  <c r="N20" i="160"/>
  <c r="J21" i="160"/>
  <c r="K21" i="160"/>
  <c r="L21" i="160"/>
  <c r="M21" i="160"/>
  <c r="N21" i="160"/>
  <c r="F19" i="160"/>
  <c r="G19" i="160"/>
  <c r="H19" i="160"/>
  <c r="F20" i="160"/>
  <c r="G20" i="160"/>
  <c r="H20" i="160"/>
  <c r="F21" i="160"/>
  <c r="G21" i="160"/>
  <c r="H21" i="160"/>
  <c r="D19" i="160"/>
  <c r="E19" i="160"/>
  <c r="D20" i="160"/>
  <c r="E20" i="160"/>
  <c r="E21" i="160"/>
  <c r="C21" i="160"/>
  <c r="C20" i="160"/>
  <c r="C19" i="160"/>
  <c r="D32" i="150"/>
  <c r="U17" i="141"/>
  <c r="D95" i="150"/>
  <c r="D63" i="150"/>
  <c r="C34" i="146"/>
  <c r="B21" i="146"/>
  <c r="B22" i="146"/>
  <c r="B23" i="146"/>
  <c r="B24" i="146"/>
  <c r="B25" i="146"/>
  <c r="B26" i="146"/>
  <c r="B27" i="146"/>
  <c r="B28" i="146"/>
  <c r="B29" i="146"/>
  <c r="B30" i="146"/>
  <c r="B31" i="146"/>
  <c r="B20" i="146"/>
  <c r="J35" i="171"/>
  <c r="H35" i="171"/>
  <c r="G35" i="171"/>
  <c r="F35" i="171"/>
  <c r="E35" i="171"/>
  <c r="D35" i="171"/>
  <c r="C35" i="171"/>
  <c r="BR35" i="171"/>
  <c r="BQ35" i="171"/>
  <c r="BP35" i="171"/>
  <c r="BO35" i="171"/>
  <c r="BN35" i="171"/>
  <c r="BM35" i="171"/>
  <c r="BL35" i="171"/>
  <c r="BK35" i="171"/>
  <c r="BJ35" i="171"/>
  <c r="BI35" i="171"/>
  <c r="BH35" i="171"/>
  <c r="BF35" i="171"/>
  <c r="BE35" i="171"/>
  <c r="BC35" i="171"/>
  <c r="BB35" i="171"/>
  <c r="BA35" i="171"/>
  <c r="AZ35" i="171"/>
  <c r="AY35" i="171"/>
  <c r="AX35" i="171"/>
  <c r="AW35" i="171"/>
  <c r="AV35" i="171"/>
  <c r="AU35" i="171"/>
  <c r="AT35" i="171"/>
  <c r="AS35" i="171"/>
  <c r="AQ35" i="171"/>
  <c r="AP35" i="171"/>
  <c r="AN35" i="171"/>
  <c r="AM35" i="171"/>
  <c r="AK35" i="171"/>
  <c r="AJ35" i="171"/>
  <c r="AI35" i="171"/>
  <c r="AH35" i="171"/>
  <c r="AG35" i="171"/>
  <c r="AF35" i="171"/>
  <c r="AB35" i="171"/>
  <c r="AA35" i="171"/>
  <c r="Y35" i="171"/>
  <c r="X35" i="171"/>
  <c r="W35" i="171"/>
  <c r="V35" i="171"/>
  <c r="U35" i="171"/>
  <c r="T35" i="171"/>
  <c r="S35" i="171"/>
  <c r="R35" i="171"/>
  <c r="P35" i="171"/>
  <c r="O35" i="171"/>
  <c r="M35" i="171"/>
  <c r="M23" i="171"/>
  <c r="L35" i="171"/>
  <c r="BR24" i="171"/>
  <c r="BR25" i="171"/>
  <c r="BR26" i="171"/>
  <c r="BR27" i="171"/>
  <c r="BR28" i="171"/>
  <c r="BR29" i="171"/>
  <c r="BR30" i="171"/>
  <c r="BR31" i="171"/>
  <c r="BR32" i="171"/>
  <c r="BR33" i="171"/>
  <c r="BR34" i="171"/>
  <c r="BR23" i="171"/>
  <c r="BO24" i="171"/>
  <c r="BO25" i="171"/>
  <c r="BO26" i="171"/>
  <c r="BO27" i="171"/>
  <c r="BO28" i="171"/>
  <c r="BO29" i="171"/>
  <c r="BO30" i="171"/>
  <c r="BO31" i="171"/>
  <c r="BO32" i="171"/>
  <c r="BO33" i="171"/>
  <c r="BO34" i="171"/>
  <c r="BO23" i="171"/>
  <c r="BL24" i="171"/>
  <c r="BL25" i="171"/>
  <c r="BL26" i="171"/>
  <c r="BL27" i="171"/>
  <c r="BL28" i="171"/>
  <c r="BL29" i="171"/>
  <c r="BL30" i="171"/>
  <c r="BL31" i="171"/>
  <c r="BL32" i="171"/>
  <c r="BL33" i="171"/>
  <c r="BL34" i="171"/>
  <c r="BL23" i="171"/>
  <c r="BI24" i="171"/>
  <c r="BI25" i="171"/>
  <c r="BI26" i="171"/>
  <c r="BI27" i="171"/>
  <c r="BI28" i="171"/>
  <c r="BI29" i="171"/>
  <c r="BI30" i="171"/>
  <c r="BI31" i="171"/>
  <c r="BI32" i="171"/>
  <c r="BI33" i="171"/>
  <c r="BI34" i="171"/>
  <c r="BI23" i="171"/>
  <c r="BF24" i="171"/>
  <c r="BF25" i="171"/>
  <c r="BF26" i="171"/>
  <c r="BF27" i="171"/>
  <c r="BF28" i="171"/>
  <c r="BF29" i="171"/>
  <c r="BF30" i="171"/>
  <c r="BF31" i="171"/>
  <c r="BF32" i="171"/>
  <c r="BF33" i="171"/>
  <c r="BF34" i="171"/>
  <c r="BF23" i="171"/>
  <c r="BC24" i="171"/>
  <c r="BC25" i="171"/>
  <c r="BC26" i="171"/>
  <c r="BC27" i="171"/>
  <c r="BC28" i="171"/>
  <c r="BC29" i="171"/>
  <c r="BC30" i="171"/>
  <c r="BC31" i="171"/>
  <c r="BC32" i="171"/>
  <c r="BC33" i="171"/>
  <c r="BC34" i="171"/>
  <c r="BC23" i="171"/>
  <c r="AZ24" i="171"/>
  <c r="AZ25" i="171"/>
  <c r="AZ26" i="171"/>
  <c r="AZ27" i="171"/>
  <c r="AZ28" i="171"/>
  <c r="AZ29" i="171"/>
  <c r="AZ30" i="171"/>
  <c r="AZ31" i="171"/>
  <c r="AZ32" i="171"/>
  <c r="AZ33" i="171"/>
  <c r="AZ34" i="171"/>
  <c r="AZ23" i="171"/>
  <c r="AW24" i="171"/>
  <c r="AW25" i="171"/>
  <c r="AW26" i="171"/>
  <c r="AW27" i="171"/>
  <c r="AW28" i="171"/>
  <c r="AW29" i="171"/>
  <c r="AW30" i="171"/>
  <c r="AW31" i="171"/>
  <c r="AW32" i="171"/>
  <c r="AW33" i="171"/>
  <c r="AW34" i="171"/>
  <c r="AW23" i="171"/>
  <c r="AT24" i="171"/>
  <c r="AT25" i="171"/>
  <c r="AT26" i="171"/>
  <c r="AT27" i="171"/>
  <c r="AT28" i="171"/>
  <c r="AT29" i="171"/>
  <c r="AT30" i="171"/>
  <c r="AT31" i="171"/>
  <c r="AT32" i="171"/>
  <c r="AT33" i="171"/>
  <c r="AT34" i="171"/>
  <c r="AT23" i="171"/>
  <c r="AQ24" i="171"/>
  <c r="AQ25" i="171"/>
  <c r="AQ26" i="171"/>
  <c r="AQ27" i="171"/>
  <c r="AQ28" i="171"/>
  <c r="AQ29" i="171"/>
  <c r="AQ30" i="171"/>
  <c r="AQ31" i="171"/>
  <c r="AQ32" i="171"/>
  <c r="AQ33" i="171"/>
  <c r="AQ34" i="171"/>
  <c r="AQ23" i="171"/>
  <c r="AN24" i="171"/>
  <c r="AN25" i="171"/>
  <c r="AN26" i="171"/>
  <c r="AN27" i="171"/>
  <c r="AN28" i="171"/>
  <c r="AN29" i="171"/>
  <c r="AN30" i="171"/>
  <c r="AN31" i="171"/>
  <c r="AN32" i="171"/>
  <c r="AN33" i="171"/>
  <c r="AN34" i="171"/>
  <c r="AN23" i="171"/>
  <c r="AK24" i="171"/>
  <c r="AK25" i="171"/>
  <c r="AK26" i="171"/>
  <c r="AK27" i="171"/>
  <c r="AK28" i="171"/>
  <c r="AK29" i="171"/>
  <c r="AK30" i="171"/>
  <c r="AK31" i="171"/>
  <c r="AK32" i="171"/>
  <c r="AK33" i="171"/>
  <c r="AK34" i="171"/>
  <c r="AK23" i="171"/>
  <c r="AH24" i="171"/>
  <c r="AH25" i="171"/>
  <c r="AH26" i="171"/>
  <c r="AH27" i="171"/>
  <c r="AH28" i="171"/>
  <c r="AH29" i="171"/>
  <c r="AH30" i="171"/>
  <c r="AH31" i="171"/>
  <c r="AH32" i="171"/>
  <c r="AH33" i="171"/>
  <c r="AH34" i="171"/>
  <c r="AH23" i="171"/>
  <c r="AB24" i="171"/>
  <c r="AB25" i="171"/>
  <c r="AB26" i="171"/>
  <c r="AB27" i="171"/>
  <c r="AB28" i="171"/>
  <c r="AB29" i="171"/>
  <c r="AB30" i="171"/>
  <c r="AB31" i="171"/>
  <c r="AB32" i="171"/>
  <c r="AB33" i="171"/>
  <c r="AB34" i="171"/>
  <c r="AB23" i="171"/>
  <c r="Y24" i="171"/>
  <c r="Y25" i="171"/>
  <c r="Y26" i="171"/>
  <c r="Y27" i="171"/>
  <c r="Y28" i="171"/>
  <c r="Y29" i="171"/>
  <c r="Y30" i="171"/>
  <c r="Y31" i="171"/>
  <c r="Y32" i="171"/>
  <c r="Y33" i="171"/>
  <c r="Y34" i="171"/>
  <c r="Y23" i="171"/>
  <c r="V24" i="171"/>
  <c r="V25" i="171"/>
  <c r="V26" i="171"/>
  <c r="V27" i="171"/>
  <c r="V28" i="171"/>
  <c r="V29" i="171"/>
  <c r="V30" i="171"/>
  <c r="V31" i="171"/>
  <c r="V32" i="171"/>
  <c r="V33" i="171"/>
  <c r="V34" i="171"/>
  <c r="V23" i="171"/>
  <c r="S24" i="171"/>
  <c r="S25" i="171"/>
  <c r="S26" i="171"/>
  <c r="S27" i="171"/>
  <c r="S28" i="171"/>
  <c r="S29" i="171"/>
  <c r="S30" i="171"/>
  <c r="S31" i="171"/>
  <c r="S32" i="171"/>
  <c r="S33" i="171"/>
  <c r="S34" i="171"/>
  <c r="S23" i="171"/>
  <c r="P24" i="171"/>
  <c r="P25" i="171"/>
  <c r="P26" i="171"/>
  <c r="P27" i="171"/>
  <c r="P28" i="171"/>
  <c r="P29" i="171"/>
  <c r="P30" i="171"/>
  <c r="P31" i="171"/>
  <c r="P32" i="171"/>
  <c r="P33" i="171"/>
  <c r="P34" i="171"/>
  <c r="Z33" i="171"/>
  <c r="Z31" i="171"/>
  <c r="Z28" i="171"/>
  <c r="Z26" i="171"/>
  <c r="Z24" i="171"/>
  <c r="Z25" i="171"/>
  <c r="Z27" i="171"/>
  <c r="Z29" i="171"/>
  <c r="Z30" i="171"/>
  <c r="Z32" i="171"/>
  <c r="Z34" i="171"/>
  <c r="Z23" i="171"/>
  <c r="T34" i="171"/>
  <c r="T33" i="171"/>
  <c r="T32" i="171"/>
  <c r="T31" i="171"/>
  <c r="T30" i="171"/>
  <c r="T29" i="171"/>
  <c r="T28" i="171"/>
  <c r="T27" i="171"/>
  <c r="T26" i="171"/>
  <c r="T25" i="171"/>
  <c r="T24" i="171"/>
  <c r="T23" i="171"/>
  <c r="Q34" i="171"/>
  <c r="Q33" i="171"/>
  <c r="Q32" i="171"/>
  <c r="Q31" i="171"/>
  <c r="Q30" i="171"/>
  <c r="Q29" i="171"/>
  <c r="Q28" i="171"/>
  <c r="Q27" i="171"/>
  <c r="Q26" i="171"/>
  <c r="Q25" i="171"/>
  <c r="Q24" i="171"/>
  <c r="Q23" i="171"/>
  <c r="BP34" i="171"/>
  <c r="BP33" i="171"/>
  <c r="BP32" i="171"/>
  <c r="BP31" i="171"/>
  <c r="BP30" i="171"/>
  <c r="BP29" i="171"/>
  <c r="BP28" i="171"/>
  <c r="BP27" i="171"/>
  <c r="BP26" i="171"/>
  <c r="BP25" i="171"/>
  <c r="BP24" i="171"/>
  <c r="BP23" i="171"/>
  <c r="N24" i="171"/>
  <c r="N25" i="171"/>
  <c r="N26" i="171"/>
  <c r="N27" i="171"/>
  <c r="N28" i="171"/>
  <c r="N29" i="171"/>
  <c r="N30" i="171"/>
  <c r="N31" i="171"/>
  <c r="N32" i="171"/>
  <c r="N33" i="171"/>
  <c r="N34" i="171"/>
  <c r="N23" i="171"/>
  <c r="BM33" i="171"/>
  <c r="BM31" i="171"/>
  <c r="BM28" i="171"/>
  <c r="BM26" i="171"/>
  <c r="BM24" i="171"/>
  <c r="BM25" i="171"/>
  <c r="BM27" i="171"/>
  <c r="BM29" i="171"/>
  <c r="BM30" i="171"/>
  <c r="BM32" i="171"/>
  <c r="BM34" i="171"/>
  <c r="BM23" i="171"/>
  <c r="BJ33" i="171"/>
  <c r="BJ31" i="171"/>
  <c r="BJ28" i="171"/>
  <c r="BJ26" i="171"/>
  <c r="BJ24" i="171"/>
  <c r="BJ25" i="171"/>
  <c r="BJ27" i="171"/>
  <c r="BJ29" i="171"/>
  <c r="BJ30" i="171"/>
  <c r="BJ32" i="171"/>
  <c r="BJ34" i="171"/>
  <c r="BJ23" i="171"/>
  <c r="AO34" i="171"/>
  <c r="AO33" i="171"/>
  <c r="AO32" i="171"/>
  <c r="AO31" i="171"/>
  <c r="AO30" i="171"/>
  <c r="AO29" i="171"/>
  <c r="AO28" i="171"/>
  <c r="AO27" i="171"/>
  <c r="AO26" i="171"/>
  <c r="AO25" i="171"/>
  <c r="AO24" i="171"/>
  <c r="AO23" i="171"/>
  <c r="AC28" i="171"/>
  <c r="AC26" i="171"/>
  <c r="AC24" i="171"/>
  <c r="AC25" i="171"/>
  <c r="AC27" i="171"/>
  <c r="AC29" i="171"/>
  <c r="AC23" i="171"/>
  <c r="AL33" i="171"/>
  <c r="AL31" i="171"/>
  <c r="AL28" i="171"/>
  <c r="AL26" i="171"/>
  <c r="AL24" i="171"/>
  <c r="AL25" i="171"/>
  <c r="AL27" i="171"/>
  <c r="AL29" i="171"/>
  <c r="AL30" i="171"/>
  <c r="AL32" i="171"/>
  <c r="AL34" i="171"/>
  <c r="AL23" i="171"/>
  <c r="AF23" i="171"/>
  <c r="AF34" i="171"/>
  <c r="AF33" i="171"/>
  <c r="AF32" i="171"/>
  <c r="AF31" i="171"/>
  <c r="AF30" i="171"/>
  <c r="AF29" i="171"/>
  <c r="AF28" i="171"/>
  <c r="AF27" i="171"/>
  <c r="AF26" i="171"/>
  <c r="AF25" i="171"/>
  <c r="AF24" i="171"/>
  <c r="BD33" i="171"/>
  <c r="BD31" i="171"/>
  <c r="BD28" i="171"/>
  <c r="BD26" i="171"/>
  <c r="BD24" i="171"/>
  <c r="BD25" i="171"/>
  <c r="BD27" i="171"/>
  <c r="BD29" i="171"/>
  <c r="BD30" i="171"/>
  <c r="BD32" i="171"/>
  <c r="BD34" i="171"/>
  <c r="BD23" i="171"/>
  <c r="BG34" i="171"/>
  <c r="BG33" i="171"/>
  <c r="BG32" i="171"/>
  <c r="BG31" i="171"/>
  <c r="BG30" i="171"/>
  <c r="BG29" i="171"/>
  <c r="BG28" i="171"/>
  <c r="BG27" i="171"/>
  <c r="BG26" i="171"/>
  <c r="BG25" i="171"/>
  <c r="BG24" i="171"/>
  <c r="BG23" i="171"/>
  <c r="W33" i="171"/>
  <c r="W31" i="171"/>
  <c r="W28" i="171"/>
  <c r="W26" i="171"/>
  <c r="AI33" i="171"/>
  <c r="AI31" i="171"/>
  <c r="AI28" i="171"/>
  <c r="AI26" i="171"/>
  <c r="W24" i="171"/>
  <c r="W25" i="171"/>
  <c r="W27" i="171"/>
  <c r="W29" i="171"/>
  <c r="W30" i="171"/>
  <c r="W32" i="171"/>
  <c r="W34" i="171"/>
  <c r="W23" i="171"/>
  <c r="BA34" i="171"/>
  <c r="BA33" i="171"/>
  <c r="BA32" i="171"/>
  <c r="BA31" i="171"/>
  <c r="BA30" i="171"/>
  <c r="BA29" i="171"/>
  <c r="BA28" i="171"/>
  <c r="BA27" i="171"/>
  <c r="BA26" i="171"/>
  <c r="BA25" i="171"/>
  <c r="BA24" i="171"/>
  <c r="BA23" i="171"/>
  <c r="AI24" i="171"/>
  <c r="AI25" i="171"/>
  <c r="AI27" i="171"/>
  <c r="AI29" i="171"/>
  <c r="AI30" i="171"/>
  <c r="AI32" i="171"/>
  <c r="AI34" i="171"/>
  <c r="AI23" i="171"/>
  <c r="AX33" i="171"/>
  <c r="AX31" i="171"/>
  <c r="AX28" i="171"/>
  <c r="AX26" i="171"/>
  <c r="AX24" i="171"/>
  <c r="AX25" i="171"/>
  <c r="AX27" i="171"/>
  <c r="AX29" i="171"/>
  <c r="AX30" i="171"/>
  <c r="AX32" i="171"/>
  <c r="AX34" i="171"/>
  <c r="AX23" i="171"/>
  <c r="AR33" i="171"/>
  <c r="AR31" i="171"/>
  <c r="AR28" i="171"/>
  <c r="AR26" i="171"/>
  <c r="AR24" i="171"/>
  <c r="AR25" i="171"/>
  <c r="AR27" i="171"/>
  <c r="AR29" i="171"/>
  <c r="AR30" i="171"/>
  <c r="AR32" i="171"/>
  <c r="AR34" i="171"/>
  <c r="AR23" i="171"/>
  <c r="AU34" i="171"/>
  <c r="AU33" i="171"/>
  <c r="AU32" i="171"/>
  <c r="AU31" i="171"/>
  <c r="AU30" i="171"/>
  <c r="AU29" i="171"/>
  <c r="AU28" i="171"/>
  <c r="AU27" i="171"/>
  <c r="AU26" i="171"/>
  <c r="AU25" i="171"/>
  <c r="AU24" i="171"/>
  <c r="AU23" i="171"/>
  <c r="K33" i="171"/>
  <c r="K31" i="171"/>
  <c r="K28" i="171"/>
  <c r="K26" i="171"/>
  <c r="K24" i="171"/>
  <c r="K25" i="171"/>
  <c r="K27" i="171"/>
  <c r="K29" i="171"/>
  <c r="K30" i="171"/>
  <c r="K32" i="171"/>
  <c r="K34" i="171"/>
  <c r="K23" i="171"/>
  <c r="B33" i="171"/>
  <c r="B31" i="171"/>
  <c r="B28" i="171"/>
  <c r="B26" i="171"/>
  <c r="B24" i="171"/>
  <c r="B25" i="171"/>
  <c r="B27" i="171"/>
  <c r="B29" i="171"/>
  <c r="B30" i="171"/>
  <c r="B32" i="171"/>
  <c r="B34" i="171"/>
  <c r="B23" i="171"/>
  <c r="E33" i="171"/>
  <c r="E31" i="171"/>
  <c r="E28" i="171"/>
  <c r="E26" i="171"/>
  <c r="E24" i="171"/>
  <c r="E23" i="171"/>
  <c r="E25" i="171"/>
  <c r="E27" i="171"/>
  <c r="E29" i="171"/>
  <c r="E30" i="171"/>
  <c r="E32" i="171"/>
  <c r="E34" i="171"/>
  <c r="H33" i="171"/>
  <c r="H31" i="171"/>
  <c r="H28" i="171"/>
  <c r="H26" i="171"/>
  <c r="H24" i="171"/>
  <c r="H25" i="171"/>
  <c r="H27" i="171"/>
  <c r="H29" i="171"/>
  <c r="H30" i="171"/>
  <c r="H32" i="171"/>
  <c r="H34" i="171"/>
  <c r="H23" i="171"/>
  <c r="AD29" i="171"/>
  <c r="AD28" i="171"/>
  <c r="AD27" i="171"/>
  <c r="AD26" i="171"/>
  <c r="AD25" i="171"/>
  <c r="AD24" i="171"/>
  <c r="AD23" i="171"/>
  <c r="BQ34" i="171"/>
  <c r="BQ33" i="171"/>
  <c r="BQ32" i="171"/>
  <c r="BQ31" i="171"/>
  <c r="BQ30" i="171"/>
  <c r="BQ29" i="171"/>
  <c r="BQ28" i="171"/>
  <c r="BQ27" i="171"/>
  <c r="BQ26" i="171"/>
  <c r="BQ25" i="171"/>
  <c r="BQ24" i="171"/>
  <c r="BQ23" i="171"/>
  <c r="BN23" i="171"/>
  <c r="BN33" i="171"/>
  <c r="BN34" i="171"/>
  <c r="BN32" i="171"/>
  <c r="BN31" i="171"/>
  <c r="BN30" i="171"/>
  <c r="BN29" i="171"/>
  <c r="BN28" i="171"/>
  <c r="BN27" i="171"/>
  <c r="BN26" i="171"/>
  <c r="BN25" i="171"/>
  <c r="BN24" i="171"/>
  <c r="BK34" i="171"/>
  <c r="BK33" i="171"/>
  <c r="BK32" i="171"/>
  <c r="BK31" i="171"/>
  <c r="BK30" i="171"/>
  <c r="BK29" i="171"/>
  <c r="BK28" i="171"/>
  <c r="BK27" i="171"/>
  <c r="BK26" i="171"/>
  <c r="BK25" i="171"/>
  <c r="BK24" i="171"/>
  <c r="BH23" i="171"/>
  <c r="BH34" i="171"/>
  <c r="BH33" i="171"/>
  <c r="BH32" i="171"/>
  <c r="BH31" i="171"/>
  <c r="BH30" i="171"/>
  <c r="BH29" i="171"/>
  <c r="BH28" i="171"/>
  <c r="BH27" i="171"/>
  <c r="BH26" i="171"/>
  <c r="BH25" i="171"/>
  <c r="BH24" i="171"/>
  <c r="BK23" i="171"/>
  <c r="BE34" i="171"/>
  <c r="BE33" i="171"/>
  <c r="BE32" i="171"/>
  <c r="BE31" i="171"/>
  <c r="BE30" i="171"/>
  <c r="BE29" i="171"/>
  <c r="BE28" i="171"/>
  <c r="BE27" i="171"/>
  <c r="BE26" i="171"/>
  <c r="BE25" i="171"/>
  <c r="BE24" i="171"/>
  <c r="BE23" i="171"/>
  <c r="BB23" i="171"/>
  <c r="BB34" i="171"/>
  <c r="BB33" i="171"/>
  <c r="BB32" i="171"/>
  <c r="BB31" i="171"/>
  <c r="BB30" i="171"/>
  <c r="BB29" i="171"/>
  <c r="BB28" i="171"/>
  <c r="BB27" i="171"/>
  <c r="BB26" i="171"/>
  <c r="BB25" i="171"/>
  <c r="BB24" i="171"/>
  <c r="AV23" i="171"/>
  <c r="AY34" i="171"/>
  <c r="AY33" i="171"/>
  <c r="AV33" i="171"/>
  <c r="AV34" i="171"/>
  <c r="AV32" i="171"/>
  <c r="AV31" i="171"/>
  <c r="AV30" i="171"/>
  <c r="AV29" i="171"/>
  <c r="AV28" i="171"/>
  <c r="AV27" i="171"/>
  <c r="AV26" i="171"/>
  <c r="AV25" i="171"/>
  <c r="AV24" i="171"/>
  <c r="AS34" i="171"/>
  <c r="AS33" i="171"/>
  <c r="AS32" i="171"/>
  <c r="AS31" i="171"/>
  <c r="AS30" i="171"/>
  <c r="AS29" i="171"/>
  <c r="AS28" i="171"/>
  <c r="AS27" i="171"/>
  <c r="AS26" i="171"/>
  <c r="AS25" i="171"/>
  <c r="AS24" i="171"/>
  <c r="AS23" i="171"/>
  <c r="AP34" i="171"/>
  <c r="AP33" i="171"/>
  <c r="AP32" i="171"/>
  <c r="AP31" i="171"/>
  <c r="AP30" i="171"/>
  <c r="AP29" i="171"/>
  <c r="AP28" i="171"/>
  <c r="AP27" i="171"/>
  <c r="AP26" i="171"/>
  <c r="AP25" i="171"/>
  <c r="AP24" i="171"/>
  <c r="AP23" i="171"/>
  <c r="AM34" i="171"/>
  <c r="AM33" i="171"/>
  <c r="AM32" i="171"/>
  <c r="AM31" i="171"/>
  <c r="AM30" i="171"/>
  <c r="AM29" i="171"/>
  <c r="AM28" i="171"/>
  <c r="AM27" i="171"/>
  <c r="AM26" i="171"/>
  <c r="AM25" i="171"/>
  <c r="AM24" i="171"/>
  <c r="AM23" i="171"/>
  <c r="AJ23" i="171"/>
  <c r="AJ34" i="171"/>
  <c r="AJ33" i="171"/>
  <c r="AJ32" i="171"/>
  <c r="AJ31" i="171"/>
  <c r="AJ30" i="171"/>
  <c r="AJ29" i="171"/>
  <c r="AJ28" i="171"/>
  <c r="AJ27" i="171"/>
  <c r="AJ26" i="171"/>
  <c r="AJ25" i="171"/>
  <c r="AJ24" i="171"/>
  <c r="AG34" i="171"/>
  <c r="F34" i="171"/>
  <c r="G34" i="171"/>
  <c r="AG33" i="171"/>
  <c r="F33" i="171"/>
  <c r="G33" i="171"/>
  <c r="AG32" i="171"/>
  <c r="F32" i="171"/>
  <c r="G32" i="171"/>
  <c r="AG31" i="171"/>
  <c r="F31" i="171"/>
  <c r="G31" i="171"/>
  <c r="AG30" i="171"/>
  <c r="F30" i="171"/>
  <c r="G30" i="171"/>
  <c r="AG29" i="171"/>
  <c r="F29" i="171"/>
  <c r="G29" i="171"/>
  <c r="AG28" i="171"/>
  <c r="F28" i="171"/>
  <c r="G28" i="171"/>
  <c r="AG27" i="171"/>
  <c r="F27" i="171"/>
  <c r="G27" i="171"/>
  <c r="AG26" i="171"/>
  <c r="F26" i="171"/>
  <c r="G26" i="171"/>
  <c r="AG25" i="171"/>
  <c r="F25" i="171"/>
  <c r="G25" i="171"/>
  <c r="AG23" i="171"/>
  <c r="F23" i="171"/>
  <c r="G23" i="171"/>
  <c r="AG24" i="171"/>
  <c r="F24" i="171"/>
  <c r="G24" i="171"/>
  <c r="AA34" i="171"/>
  <c r="AA33" i="171"/>
  <c r="AA32" i="171"/>
  <c r="AA31" i="171"/>
  <c r="AA30" i="171"/>
  <c r="AA29" i="171"/>
  <c r="AA28" i="171"/>
  <c r="AA27" i="171"/>
  <c r="AA26" i="171"/>
  <c r="AA25" i="171"/>
  <c r="AA24" i="171"/>
  <c r="AA23" i="171"/>
  <c r="X34" i="171"/>
  <c r="X33" i="171"/>
  <c r="X32" i="171"/>
  <c r="X31" i="171"/>
  <c r="X30" i="171"/>
  <c r="X29" i="171"/>
  <c r="X28" i="171"/>
  <c r="X27" i="171"/>
  <c r="X26" i="171"/>
  <c r="X25" i="171"/>
  <c r="X24" i="171"/>
  <c r="X23" i="171"/>
  <c r="U23" i="171"/>
  <c r="U34" i="171"/>
  <c r="U33" i="171"/>
  <c r="U32" i="171"/>
  <c r="U31" i="171"/>
  <c r="U30" i="171"/>
  <c r="U29" i="171"/>
  <c r="U28" i="171"/>
  <c r="U27" i="171"/>
  <c r="U26" i="171"/>
  <c r="U25" i="171"/>
  <c r="U24" i="171"/>
  <c r="R34" i="171"/>
  <c r="R33" i="171"/>
  <c r="R32" i="171"/>
  <c r="R31" i="171"/>
  <c r="R30" i="171"/>
  <c r="R29" i="171"/>
  <c r="R28" i="171"/>
  <c r="R27" i="171"/>
  <c r="R26" i="171"/>
  <c r="R25" i="171"/>
  <c r="R24" i="171"/>
  <c r="R23" i="171"/>
  <c r="O23" i="171"/>
  <c r="O24" i="171"/>
  <c r="O34" i="171"/>
  <c r="C34" i="171"/>
  <c r="D34" i="171"/>
  <c r="O33" i="171"/>
  <c r="O32" i="171"/>
  <c r="O31" i="171"/>
  <c r="C31" i="171"/>
  <c r="D31" i="171"/>
  <c r="O30" i="171"/>
  <c r="O29" i="171"/>
  <c r="O28" i="171"/>
  <c r="O27" i="171"/>
  <c r="C27" i="171"/>
  <c r="D27" i="171"/>
  <c r="O26" i="171"/>
  <c r="C26" i="171"/>
  <c r="D26" i="171"/>
  <c r="O25" i="171"/>
  <c r="L25" i="171"/>
  <c r="L24" i="171"/>
  <c r="M24" i="171"/>
  <c r="I24" i="171"/>
  <c r="J24" i="171"/>
  <c r="M25" i="171"/>
  <c r="I25" i="171"/>
  <c r="J25" i="171"/>
  <c r="C32" i="171"/>
  <c r="D32" i="171"/>
  <c r="C25" i="171"/>
  <c r="D25" i="171"/>
  <c r="C33" i="171"/>
  <c r="D33" i="171"/>
  <c r="C24" i="171"/>
  <c r="D24" i="171"/>
  <c r="C28" i="171"/>
  <c r="D28" i="171"/>
  <c r="C29" i="171"/>
  <c r="D29" i="171"/>
  <c r="P23" i="171"/>
  <c r="C23" i="171"/>
  <c r="D23" i="171"/>
  <c r="C30" i="171"/>
  <c r="D30" i="171"/>
  <c r="L23" i="171"/>
  <c r="L34" i="171"/>
  <c r="L33" i="171"/>
  <c r="L32" i="171"/>
  <c r="L31" i="171"/>
  <c r="L30" i="171"/>
  <c r="L29" i="171"/>
  <c r="L28" i="171"/>
  <c r="L27" i="171"/>
  <c r="L26" i="171"/>
  <c r="D23" i="152"/>
  <c r="I28" i="171"/>
  <c r="J28" i="171"/>
  <c r="M28" i="171"/>
  <c r="M33" i="171"/>
  <c r="I33" i="171"/>
  <c r="J33" i="171"/>
  <c r="I26" i="171"/>
  <c r="J26" i="171"/>
  <c r="M26" i="171"/>
  <c r="I34" i="171"/>
  <c r="J34" i="171"/>
  <c r="M34" i="171"/>
  <c r="I27" i="171"/>
  <c r="J27" i="171"/>
  <c r="M27" i="171"/>
  <c r="I23" i="171"/>
  <c r="J23" i="171"/>
  <c r="M31" i="171"/>
  <c r="I31" i="171"/>
  <c r="J31" i="171"/>
  <c r="M29" i="171"/>
  <c r="I29" i="171"/>
  <c r="J29" i="171"/>
  <c r="M30" i="171"/>
  <c r="I30" i="171"/>
  <c r="J30" i="171"/>
  <c r="M32" i="171"/>
  <c r="I32" i="171"/>
  <c r="J32" i="171"/>
  <c r="AI197" i="8"/>
  <c r="AH199" i="8"/>
  <c r="AG199" i="8"/>
  <c r="AF199" i="8"/>
  <c r="M32" i="8"/>
  <c r="M31" i="8"/>
  <c r="O26" i="152"/>
  <c r="O25" i="152"/>
  <c r="N23" i="152"/>
  <c r="L23" i="152"/>
  <c r="AL35" i="171"/>
  <c r="Z35" i="171"/>
  <c r="N35" i="171"/>
  <c r="BG35" i="171"/>
  <c r="BD35" i="171"/>
  <c r="AR35" i="171"/>
  <c r="AO35" i="171"/>
  <c r="AC35" i="171"/>
  <c r="Q35" i="171"/>
  <c r="K35" i="171"/>
  <c r="AD35" i="171"/>
  <c r="B35" i="171"/>
  <c r="I35" i="171"/>
  <c r="AC35" i="163"/>
  <c r="AD35" i="163"/>
  <c r="W35" i="163"/>
  <c r="U35" i="163"/>
  <c r="V35" i="163"/>
  <c r="T35" i="163"/>
  <c r="S35" i="163"/>
  <c r="L35" i="163"/>
  <c r="K35" i="163"/>
  <c r="G35" i="163"/>
  <c r="H35" i="163"/>
  <c r="D35" i="163"/>
  <c r="C35" i="163"/>
  <c r="B17" i="160"/>
  <c r="S16" i="160"/>
  <c r="R16" i="160"/>
  <c r="N17" i="160"/>
  <c r="M17" i="160"/>
  <c r="K17" i="160"/>
  <c r="H16" i="160"/>
  <c r="H15" i="160"/>
  <c r="G17" i="160"/>
  <c r="F16" i="160"/>
  <c r="E16" i="160"/>
  <c r="D16" i="160"/>
  <c r="C37" i="145"/>
  <c r="H37" i="147"/>
  <c r="G37" i="147"/>
  <c r="F37" i="147"/>
  <c r="BD37" i="147"/>
  <c r="BC37" i="147"/>
  <c r="BB37" i="147"/>
  <c r="BA37" i="147"/>
  <c r="AZ37" i="147"/>
  <c r="AY37" i="147"/>
  <c r="AR37" i="147"/>
  <c r="AQ37" i="147"/>
  <c r="AP37" i="147"/>
  <c r="AO37" i="147"/>
  <c r="AM37" i="147"/>
  <c r="AN37" i="147"/>
  <c r="AL37" i="147"/>
  <c r="AK37" i="147"/>
  <c r="AJ37" i="147"/>
  <c r="AI37" i="147"/>
  <c r="AH37" i="147"/>
  <c r="AG37" i="147"/>
  <c r="AF37" i="147"/>
  <c r="AE37" i="147"/>
  <c r="AD37" i="147"/>
  <c r="AB37" i="147"/>
  <c r="AA37" i="147"/>
  <c r="AC37" i="147"/>
  <c r="AA36" i="147"/>
  <c r="W37" i="147"/>
  <c r="V37" i="147"/>
  <c r="U37" i="147"/>
  <c r="C37" i="147"/>
  <c r="D37" i="147"/>
  <c r="U36" i="147"/>
  <c r="T37" i="147"/>
  <c r="S37" i="147"/>
  <c r="R37" i="147"/>
  <c r="Q37" i="147"/>
  <c r="P37" i="147"/>
  <c r="O37" i="147"/>
  <c r="N37" i="147"/>
  <c r="E37" i="147"/>
  <c r="M37" i="147"/>
  <c r="L37" i="147"/>
  <c r="L36" i="147"/>
  <c r="K37" i="147"/>
  <c r="J37" i="147"/>
  <c r="I37" i="147"/>
  <c r="W47" i="146"/>
  <c r="V47" i="146"/>
  <c r="U47" i="146"/>
  <c r="S47" i="146"/>
  <c r="P47" i="146"/>
  <c r="O47" i="146"/>
  <c r="N47" i="146"/>
  <c r="M47" i="146"/>
  <c r="L47" i="146"/>
  <c r="K47" i="146"/>
  <c r="J47" i="146"/>
  <c r="H47" i="146"/>
  <c r="G47" i="146"/>
  <c r="F47" i="146"/>
  <c r="E47" i="146"/>
  <c r="B47" i="146"/>
  <c r="D47" i="146"/>
  <c r="W31" i="146"/>
  <c r="V31" i="146"/>
  <c r="U31" i="146"/>
  <c r="T31" i="146"/>
  <c r="S31" i="146"/>
  <c r="P31" i="146"/>
  <c r="N31" i="146"/>
  <c r="M31" i="146"/>
  <c r="L31" i="146"/>
  <c r="K31" i="146"/>
  <c r="H31" i="146"/>
  <c r="G31" i="146"/>
  <c r="F31" i="146"/>
  <c r="E31" i="146"/>
  <c r="D31" i="146"/>
  <c r="D4" i="141"/>
  <c r="D5" i="141"/>
  <c r="D6" i="141"/>
  <c r="D7" i="141"/>
  <c r="D8" i="141"/>
  <c r="D9" i="141"/>
  <c r="D10" i="141"/>
  <c r="D11" i="141"/>
  <c r="D12" i="141"/>
  <c r="D13" i="141"/>
  <c r="D3" i="141"/>
  <c r="D14" i="141"/>
  <c r="C14" i="141"/>
  <c r="E14" i="141"/>
  <c r="BM14" i="141"/>
  <c r="BL14" i="141"/>
  <c r="BN14" i="141"/>
  <c r="BM13" i="141"/>
  <c r="BN13" i="141"/>
  <c r="BL13" i="141"/>
  <c r="BM12" i="141"/>
  <c r="BL12" i="141"/>
  <c r="BN12" i="141"/>
  <c r="BJ14" i="141"/>
  <c r="BI14" i="141"/>
  <c r="BK14" i="141"/>
  <c r="BJ13" i="141"/>
  <c r="BI13" i="141"/>
  <c r="BK13" i="141"/>
  <c r="BJ12" i="141"/>
  <c r="BK12" i="141"/>
  <c r="BI12" i="141"/>
  <c r="BG14" i="141"/>
  <c r="BF14" i="141"/>
  <c r="BH14" i="141"/>
  <c r="BD14" i="141"/>
  <c r="BC14" i="141"/>
  <c r="BE14" i="141"/>
  <c r="BA14" i="141"/>
  <c r="BB14" i="141"/>
  <c r="AZ14" i="141"/>
  <c r="AR14" i="141"/>
  <c r="AQ14" i="141"/>
  <c r="AS14" i="141"/>
  <c r="AO14" i="141"/>
  <c r="AP14" i="141"/>
  <c r="AN14" i="141"/>
  <c r="AL14" i="141"/>
  <c r="AK14" i="141"/>
  <c r="AM14" i="141"/>
  <c r="AI14" i="141"/>
  <c r="AH14" i="141"/>
  <c r="AJ14" i="141"/>
  <c r="AF14" i="141"/>
  <c r="AE14" i="141"/>
  <c r="AG14" i="141"/>
  <c r="W14" i="141"/>
  <c r="V14" i="141"/>
  <c r="X14" i="141"/>
  <c r="T14" i="141"/>
  <c r="S14" i="141"/>
  <c r="U14" i="141"/>
  <c r="Q14" i="141"/>
  <c r="P14" i="141"/>
  <c r="R14" i="141"/>
  <c r="N14" i="141"/>
  <c r="M14" i="141"/>
  <c r="O14" i="141"/>
  <c r="K14" i="141"/>
  <c r="J14" i="141"/>
  <c r="L14" i="141"/>
  <c r="C92" i="150"/>
  <c r="W92" i="150"/>
  <c r="V92" i="150"/>
  <c r="U92" i="150"/>
  <c r="T92" i="150"/>
  <c r="S92" i="150"/>
  <c r="P92" i="150"/>
  <c r="O92" i="150"/>
  <c r="N92" i="150"/>
  <c r="M92" i="150"/>
  <c r="L92" i="150"/>
  <c r="I92" i="150"/>
  <c r="H92" i="150"/>
  <c r="G92" i="150"/>
  <c r="F92" i="150"/>
  <c r="E92" i="150"/>
  <c r="C61" i="150"/>
  <c r="W61" i="150"/>
  <c r="V61" i="150"/>
  <c r="U61" i="150"/>
  <c r="T61" i="150"/>
  <c r="S61" i="150"/>
  <c r="R61" i="150"/>
  <c r="O61" i="150"/>
  <c r="N61" i="150"/>
  <c r="M61" i="150"/>
  <c r="L61" i="150"/>
  <c r="I61" i="150"/>
  <c r="H61" i="150"/>
  <c r="G61" i="150"/>
  <c r="F61" i="150"/>
  <c r="E61" i="150"/>
  <c r="BR36" i="155"/>
  <c r="BR35" i="155"/>
  <c r="BR34" i="155"/>
  <c r="BR33" i="155"/>
  <c r="BR32" i="155"/>
  <c r="BR31" i="155"/>
  <c r="BR30" i="155"/>
  <c r="BR29" i="155"/>
  <c r="BR28" i="155"/>
  <c r="BR27" i="155"/>
  <c r="BR26" i="155"/>
  <c r="BR25" i="155"/>
  <c r="BO36" i="155"/>
  <c r="BO35" i="155"/>
  <c r="BO34" i="155"/>
  <c r="BO33" i="155"/>
  <c r="BO32" i="155"/>
  <c r="BO31" i="155"/>
  <c r="BO30" i="155"/>
  <c r="BO29" i="155"/>
  <c r="BO28" i="155"/>
  <c r="BO27" i="155"/>
  <c r="BO26" i="155"/>
  <c r="BO25" i="155"/>
  <c r="BL36" i="155"/>
  <c r="BL35" i="155"/>
  <c r="BL34" i="155"/>
  <c r="BL33" i="155"/>
  <c r="BL32" i="155"/>
  <c r="BL31" i="155"/>
  <c r="BL30" i="155"/>
  <c r="BL29" i="155"/>
  <c r="BL28" i="155"/>
  <c r="BL27" i="155"/>
  <c r="BL26" i="155"/>
  <c r="BL25" i="155"/>
  <c r="BI26" i="155"/>
  <c r="BI25" i="155"/>
  <c r="BF36" i="155"/>
  <c r="BF35" i="155"/>
  <c r="BF34" i="155"/>
  <c r="BF33" i="155"/>
  <c r="BF32" i="155"/>
  <c r="BF31" i="155"/>
  <c r="BF30" i="155"/>
  <c r="BF29" i="155"/>
  <c r="BF28" i="155"/>
  <c r="BF27" i="155"/>
  <c r="BF26" i="155"/>
  <c r="BF25" i="155"/>
  <c r="AZ34" i="155"/>
  <c r="AZ33" i="155"/>
  <c r="AZ32" i="155"/>
  <c r="AZ31" i="155"/>
  <c r="AZ30" i="155"/>
  <c r="AZ29" i="155"/>
  <c r="AZ28" i="155"/>
  <c r="AZ27" i="155"/>
  <c r="AZ26" i="155"/>
  <c r="AZ25" i="155"/>
  <c r="AT36" i="155"/>
  <c r="AT35" i="155"/>
  <c r="AT34" i="155"/>
  <c r="AT33" i="155"/>
  <c r="AT32" i="155"/>
  <c r="AT31" i="155"/>
  <c r="AT30" i="155"/>
  <c r="AT29" i="155"/>
  <c r="AT28" i="155"/>
  <c r="AT27" i="155"/>
  <c r="AT26" i="155"/>
  <c r="AT25" i="155"/>
  <c r="AQ36" i="155"/>
  <c r="AQ35" i="155"/>
  <c r="AQ34" i="155"/>
  <c r="AQ33" i="155"/>
  <c r="AQ32" i="155"/>
  <c r="AQ31" i="155"/>
  <c r="AQ30" i="155"/>
  <c r="AQ29" i="155"/>
  <c r="AQ28" i="155"/>
  <c r="AQ27" i="155"/>
  <c r="AQ26" i="155"/>
  <c r="AQ25" i="155"/>
  <c r="AN36" i="155"/>
  <c r="AN35" i="155"/>
  <c r="AN34" i="155"/>
  <c r="AN33" i="155"/>
  <c r="AN32" i="155"/>
  <c r="AN31" i="155"/>
  <c r="AN30" i="155"/>
  <c r="AN29" i="155"/>
  <c r="AN28" i="155"/>
  <c r="AN27" i="155"/>
  <c r="AN26" i="155"/>
  <c r="AN25" i="155"/>
  <c r="AH36" i="155"/>
  <c r="AH35" i="155"/>
  <c r="AH34" i="155"/>
  <c r="AH33" i="155"/>
  <c r="AH32" i="155"/>
  <c r="AH31" i="155"/>
  <c r="AH30" i="155"/>
  <c r="AH29" i="155"/>
  <c r="AH28" i="155"/>
  <c r="AH27" i="155"/>
  <c r="AH26" i="155"/>
  <c r="AH25" i="155"/>
  <c r="Y36" i="155"/>
  <c r="Y35" i="155"/>
  <c r="Y34" i="155"/>
  <c r="Y33" i="155"/>
  <c r="Y32" i="155"/>
  <c r="Y31" i="155"/>
  <c r="Y30" i="155"/>
  <c r="Y29" i="155"/>
  <c r="Y28" i="155"/>
  <c r="Y27" i="155"/>
  <c r="Y26" i="155"/>
  <c r="Y25" i="155"/>
  <c r="V36" i="155"/>
  <c r="V35" i="155"/>
  <c r="V34" i="155"/>
  <c r="V33" i="155"/>
  <c r="V32" i="155"/>
  <c r="V31" i="155"/>
  <c r="V30" i="155"/>
  <c r="V29" i="155"/>
  <c r="V28" i="155"/>
  <c r="V27" i="155"/>
  <c r="V26" i="155"/>
  <c r="V25" i="155"/>
  <c r="S36" i="155"/>
  <c r="S35" i="155"/>
  <c r="S34" i="155"/>
  <c r="S33" i="155"/>
  <c r="S32" i="155"/>
  <c r="S31" i="155"/>
  <c r="S30" i="155"/>
  <c r="S29" i="155"/>
  <c r="S28" i="155"/>
  <c r="S27" i="155"/>
  <c r="S26" i="155"/>
  <c r="S25" i="155"/>
  <c r="J36" i="155"/>
  <c r="J35" i="155"/>
  <c r="J34" i="155"/>
  <c r="J33" i="155"/>
  <c r="J32" i="155"/>
  <c r="J31" i="155"/>
  <c r="J30" i="155"/>
  <c r="J29" i="155"/>
  <c r="J28" i="155"/>
  <c r="J27" i="155"/>
  <c r="J26" i="155"/>
  <c r="J25" i="155"/>
  <c r="AK33" i="162"/>
  <c r="AJ33" i="162"/>
  <c r="AI33" i="162"/>
  <c r="AH33" i="162"/>
  <c r="AC33" i="162"/>
  <c r="AB33" i="162"/>
  <c r="AA33" i="162"/>
  <c r="Z33" i="162"/>
  <c r="Y33" i="162"/>
  <c r="X33" i="162"/>
  <c r="W33" i="162"/>
  <c r="V33" i="162"/>
  <c r="U33" i="162"/>
  <c r="T33" i="162"/>
  <c r="Q33" i="162"/>
  <c r="P33" i="162"/>
  <c r="O33" i="162"/>
  <c r="E33" i="162"/>
  <c r="N33" i="162"/>
  <c r="M33" i="162"/>
  <c r="L33" i="162"/>
  <c r="K33" i="162"/>
  <c r="J33" i="162"/>
  <c r="I33" i="162"/>
  <c r="H33" i="162"/>
  <c r="D33" i="162"/>
  <c r="AM34" i="152"/>
  <c r="AL34" i="152"/>
  <c r="AK34" i="152"/>
  <c r="AJ34" i="152"/>
  <c r="AI34" i="152"/>
  <c r="AH34" i="152"/>
  <c r="AG34" i="152"/>
  <c r="AF34" i="152"/>
  <c r="AE34" i="152"/>
  <c r="AD34" i="152"/>
  <c r="AC34" i="152"/>
  <c r="AB34" i="152"/>
  <c r="AA34" i="152"/>
  <c r="Z34" i="152"/>
  <c r="Y34" i="152"/>
  <c r="X34" i="152"/>
  <c r="W34" i="152"/>
  <c r="V34" i="152"/>
  <c r="U34" i="152"/>
  <c r="T34" i="152"/>
  <c r="S34" i="152"/>
  <c r="R34" i="152"/>
  <c r="O34" i="152"/>
  <c r="N34" i="152"/>
  <c r="M34" i="152"/>
  <c r="L34" i="152"/>
  <c r="K34" i="152"/>
  <c r="J34" i="152"/>
  <c r="I34" i="152"/>
  <c r="H34" i="152"/>
  <c r="G34" i="152"/>
  <c r="F34" i="152"/>
  <c r="E34" i="152"/>
  <c r="D34" i="152"/>
  <c r="E36" i="155"/>
  <c r="BT35" i="155"/>
  <c r="BS35" i="155"/>
  <c r="BS36" i="155"/>
  <c r="BT36" i="155"/>
  <c r="BP36" i="155"/>
  <c r="BQ36" i="155"/>
  <c r="BM36" i="155"/>
  <c r="BN36" i="155"/>
  <c r="BJ36" i="155"/>
  <c r="BI36" i="155"/>
  <c r="BG36" i="155"/>
  <c r="BH36" i="155"/>
  <c r="AX36" i="155"/>
  <c r="AW36" i="155"/>
  <c r="AU36" i="155"/>
  <c r="AV36" i="155"/>
  <c r="AR36" i="155"/>
  <c r="AS36" i="155"/>
  <c r="AO36" i="155"/>
  <c r="AP36" i="155"/>
  <c r="AL36" i="155"/>
  <c r="AK36" i="155"/>
  <c r="AI36" i="155"/>
  <c r="AJ36" i="155"/>
  <c r="AF36" i="155"/>
  <c r="AE36" i="155"/>
  <c r="Z36" i="155"/>
  <c r="AA36" i="155"/>
  <c r="W36" i="155"/>
  <c r="X36" i="155"/>
  <c r="T36" i="155"/>
  <c r="U36" i="155"/>
  <c r="Q36" i="155"/>
  <c r="P36" i="155"/>
  <c r="N36" i="155"/>
  <c r="M36" i="155"/>
  <c r="K36" i="155"/>
  <c r="L36" i="155"/>
  <c r="B36" i="155"/>
  <c r="M39" i="8"/>
  <c r="L34" i="8"/>
  <c r="M34" i="8"/>
  <c r="AJ303" i="8"/>
  <c r="AJ305" i="8"/>
  <c r="AJ306" i="8"/>
  <c r="AJ308" i="8"/>
  <c r="AJ309" i="8"/>
  <c r="AJ310" i="8"/>
  <c r="AJ311" i="8"/>
  <c r="AJ313" i="8"/>
  <c r="AJ315" i="8"/>
  <c r="AJ317" i="8"/>
  <c r="AJ318" i="8"/>
  <c r="AJ319" i="8"/>
  <c r="AJ302" i="8"/>
  <c r="T18" i="9"/>
  <c r="S18" i="9"/>
  <c r="T19" i="9"/>
  <c r="S19" i="9"/>
  <c r="C30" i="150"/>
  <c r="C29" i="150"/>
  <c r="D29" i="150"/>
  <c r="E31" i="150"/>
  <c r="D30" i="150"/>
  <c r="X30" i="150"/>
  <c r="X29" i="150"/>
  <c r="X28" i="150"/>
  <c r="X27" i="150"/>
  <c r="X26" i="150"/>
  <c r="X25" i="150"/>
  <c r="X24" i="150"/>
  <c r="X23" i="150"/>
  <c r="X22" i="150"/>
  <c r="X21" i="150"/>
  <c r="X20" i="150"/>
  <c r="X19" i="150"/>
  <c r="W19" i="150"/>
  <c r="W30" i="150"/>
  <c r="W29" i="150"/>
  <c r="W28" i="150"/>
  <c r="W27" i="150"/>
  <c r="W26" i="150"/>
  <c r="W25" i="150"/>
  <c r="W24" i="150"/>
  <c r="W23" i="150"/>
  <c r="W22" i="150"/>
  <c r="W21" i="150"/>
  <c r="V30" i="150"/>
  <c r="V20" i="150"/>
  <c r="U30" i="150"/>
  <c r="T30" i="150"/>
  <c r="Q30" i="150"/>
  <c r="P30" i="150"/>
  <c r="O30" i="150"/>
  <c r="N30" i="150"/>
  <c r="M30" i="150"/>
  <c r="J30" i="150"/>
  <c r="I30" i="150"/>
  <c r="H30" i="150"/>
  <c r="G30" i="150"/>
  <c r="F30" i="150"/>
  <c r="M14" i="8"/>
  <c r="M10" i="8"/>
  <c r="M11" i="8"/>
  <c r="M9" i="8"/>
  <c r="M41" i="8"/>
  <c r="M6" i="8"/>
  <c r="M5" i="8"/>
  <c r="F36" i="155"/>
  <c r="C36" i="155"/>
  <c r="M38" i="8"/>
  <c r="D36" i="155"/>
  <c r="M37" i="8"/>
  <c r="T24" i="9"/>
  <c r="M7" i="8"/>
  <c r="T8" i="9"/>
  <c r="N28" i="32"/>
  <c r="Y493" i="8"/>
  <c r="X493" i="8"/>
  <c r="T9" i="9"/>
  <c r="N29" i="32"/>
  <c r="T11" i="9"/>
  <c r="C35" i="145"/>
  <c r="C36" i="145"/>
  <c r="B31" i="151"/>
  <c r="B33" i="151"/>
  <c r="B28" i="151"/>
  <c r="B26" i="151"/>
  <c r="B30" i="151"/>
  <c r="B27" i="151"/>
  <c r="B25" i="151"/>
  <c r="E22" i="156"/>
  <c r="E19" i="156"/>
  <c r="E18" i="156"/>
  <c r="E16" i="156"/>
  <c r="E13" i="156"/>
  <c r="E12" i="156"/>
  <c r="O33" i="156"/>
  <c r="O32" i="156"/>
  <c r="M32" i="156"/>
  <c r="K32" i="156"/>
  <c r="K28" i="156"/>
  <c r="K27" i="156"/>
  <c r="K23" i="156"/>
  <c r="O22" i="156"/>
  <c r="K22" i="156"/>
  <c r="O21" i="156"/>
  <c r="O19" i="156"/>
  <c r="M19" i="156"/>
  <c r="K19" i="156"/>
  <c r="O18" i="156"/>
  <c r="M18" i="156"/>
  <c r="K18" i="156"/>
  <c r="O16" i="156"/>
  <c r="O13" i="156"/>
  <c r="O12" i="156"/>
  <c r="M11" i="156"/>
  <c r="K11" i="156"/>
  <c r="M10" i="156"/>
  <c r="K10" i="156"/>
  <c r="M9" i="156"/>
  <c r="K9" i="156"/>
  <c r="M8" i="156"/>
  <c r="K8" i="156"/>
  <c r="K5" i="156"/>
  <c r="I5" i="156"/>
  <c r="D28" i="150"/>
  <c r="C28" i="150"/>
  <c r="AC34" i="163"/>
  <c r="AD34" i="163"/>
  <c r="W34" i="163"/>
  <c r="X34" i="163"/>
  <c r="U34" i="163"/>
  <c r="V34" i="163"/>
  <c r="T34" i="163"/>
  <c r="S34" i="163"/>
  <c r="Q34" i="163"/>
  <c r="R34" i="163"/>
  <c r="I34" i="163"/>
  <c r="J34" i="163"/>
  <c r="G34" i="163"/>
  <c r="H34" i="163"/>
  <c r="AK32" i="162"/>
  <c r="AJ32" i="162"/>
  <c r="AI32" i="162"/>
  <c r="AH32" i="162"/>
  <c r="AC32" i="162"/>
  <c r="AB32" i="162"/>
  <c r="AA32" i="162"/>
  <c r="Z32" i="162"/>
  <c r="Y32" i="162"/>
  <c r="X32" i="162"/>
  <c r="W32" i="162"/>
  <c r="V32" i="162"/>
  <c r="U32" i="162"/>
  <c r="T32" i="162"/>
  <c r="O32" i="162"/>
  <c r="N32" i="162"/>
  <c r="O31" i="162"/>
  <c r="N31" i="162"/>
  <c r="M32" i="162"/>
  <c r="L32" i="162"/>
  <c r="K32" i="162"/>
  <c r="J32" i="162"/>
  <c r="I32" i="162"/>
  <c r="H32" i="162"/>
  <c r="AY55" i="161"/>
  <c r="AX55" i="161"/>
  <c r="AR55" i="161"/>
  <c r="AQ55" i="161"/>
  <c r="AS55" i="161"/>
  <c r="AJ55" i="161"/>
  <c r="AK55" i="161"/>
  <c r="AL55" i="161"/>
  <c r="AD55" i="161"/>
  <c r="AE55" i="161"/>
  <c r="AC55" i="161"/>
  <c r="W55" i="161"/>
  <c r="X55" i="161"/>
  <c r="V55" i="161"/>
  <c r="P55" i="161"/>
  <c r="O55" i="161"/>
  <c r="G55" i="161"/>
  <c r="Q55" i="161"/>
  <c r="P54" i="161"/>
  <c r="O54" i="161"/>
  <c r="AY54" i="161"/>
  <c r="AX54" i="161"/>
  <c r="AY53" i="161"/>
  <c r="AX53" i="161"/>
  <c r="AR54" i="161"/>
  <c r="AQ54" i="161"/>
  <c r="AS54" i="161"/>
  <c r="AR53" i="161"/>
  <c r="AQ53" i="161"/>
  <c r="AD54" i="161"/>
  <c r="AC54" i="161"/>
  <c r="W54" i="161"/>
  <c r="V54" i="161"/>
  <c r="X54" i="161"/>
  <c r="AD53" i="161"/>
  <c r="AC53" i="161"/>
  <c r="K16" i="160"/>
  <c r="S15" i="160"/>
  <c r="R15" i="160"/>
  <c r="Q15" i="160"/>
  <c r="P15" i="160"/>
  <c r="N16" i="160"/>
  <c r="M16" i="160"/>
  <c r="G16" i="160"/>
  <c r="F15" i="160"/>
  <c r="E15" i="160"/>
  <c r="D15" i="160"/>
  <c r="AE54" i="161"/>
  <c r="H55" i="161"/>
  <c r="AZ54" i="161"/>
  <c r="Q54" i="161"/>
  <c r="AZ55" i="161"/>
  <c r="J55" i="161"/>
  <c r="B16" i="160"/>
  <c r="C36" i="147"/>
  <c r="D36" i="147"/>
  <c r="E36" i="147"/>
  <c r="AR36" i="147"/>
  <c r="AQ36" i="147"/>
  <c r="AP36" i="147"/>
  <c r="AO36" i="147"/>
  <c r="AM36" i="147"/>
  <c r="AN36" i="147"/>
  <c r="AL36" i="147"/>
  <c r="AK36" i="147"/>
  <c r="AJ36" i="147"/>
  <c r="AI36" i="147"/>
  <c r="AH36" i="147"/>
  <c r="AG36" i="147"/>
  <c r="AF36" i="147"/>
  <c r="AE36" i="147"/>
  <c r="AD36" i="147"/>
  <c r="AC36" i="147"/>
  <c r="AB36" i="147"/>
  <c r="W36" i="147"/>
  <c r="V36" i="147"/>
  <c r="T36" i="147"/>
  <c r="R36" i="147"/>
  <c r="S36" i="147"/>
  <c r="Q36" i="147"/>
  <c r="P36" i="147"/>
  <c r="O36" i="147"/>
  <c r="N36" i="147"/>
  <c r="M36" i="147"/>
  <c r="K36" i="147"/>
  <c r="J36" i="147"/>
  <c r="I36" i="147"/>
  <c r="H36" i="147"/>
  <c r="G36" i="147"/>
  <c r="F36" i="147"/>
  <c r="W46" i="146"/>
  <c r="V46" i="146"/>
  <c r="U46" i="146"/>
  <c r="S46" i="146"/>
  <c r="R46" i="146"/>
  <c r="Q46" i="146"/>
  <c r="P46" i="146"/>
  <c r="O46" i="146"/>
  <c r="N46" i="146"/>
  <c r="M46" i="146"/>
  <c r="L46" i="146"/>
  <c r="K46" i="146"/>
  <c r="J46" i="146"/>
  <c r="H46" i="146"/>
  <c r="G46" i="146"/>
  <c r="F46" i="146"/>
  <c r="E46" i="146"/>
  <c r="D46" i="146"/>
  <c r="W30" i="146"/>
  <c r="V30" i="146"/>
  <c r="U30" i="146"/>
  <c r="T30" i="146"/>
  <c r="S30" i="146"/>
  <c r="R30" i="146"/>
  <c r="Q30" i="146"/>
  <c r="P30" i="146"/>
  <c r="N30" i="146"/>
  <c r="M30" i="146"/>
  <c r="L30" i="146"/>
  <c r="K30" i="146"/>
  <c r="F30" i="146"/>
  <c r="E30" i="146"/>
  <c r="D30" i="146"/>
  <c r="L31" i="8"/>
  <c r="BG13" i="141"/>
  <c r="BF13" i="141"/>
  <c r="BH13" i="141"/>
  <c r="BD13" i="141"/>
  <c r="BC13" i="141"/>
  <c r="BE13" i="141"/>
  <c r="BA13" i="141"/>
  <c r="AZ13" i="141"/>
  <c r="AX13" i="141"/>
  <c r="AW13" i="141"/>
  <c r="AU13" i="141"/>
  <c r="AT13" i="141"/>
  <c r="AR13" i="141"/>
  <c r="AS13" i="141"/>
  <c r="AQ13" i="141"/>
  <c r="AO13" i="141"/>
  <c r="AP13" i="141"/>
  <c r="AN13" i="141"/>
  <c r="AL13" i="141"/>
  <c r="AM13" i="141"/>
  <c r="AK13" i="141"/>
  <c r="AI13" i="141"/>
  <c r="AH13" i="141"/>
  <c r="AJ13" i="141"/>
  <c r="AF13" i="141"/>
  <c r="AG13" i="141"/>
  <c r="AE13" i="141"/>
  <c r="W13" i="141"/>
  <c r="V13" i="141"/>
  <c r="X13" i="141"/>
  <c r="T13" i="141"/>
  <c r="S13" i="141"/>
  <c r="U13" i="141"/>
  <c r="Q13" i="141"/>
  <c r="P13" i="141"/>
  <c r="R13" i="141"/>
  <c r="N13" i="141"/>
  <c r="M13" i="141"/>
  <c r="O13" i="141"/>
  <c r="K13" i="141"/>
  <c r="J13" i="141"/>
  <c r="L13" i="141"/>
  <c r="B33" i="152"/>
  <c r="AM33" i="152"/>
  <c r="AL33" i="152"/>
  <c r="AK33" i="152"/>
  <c r="AJ33" i="152"/>
  <c r="AI33" i="152"/>
  <c r="AH33" i="152"/>
  <c r="AG33" i="152"/>
  <c r="AF33" i="152"/>
  <c r="AE33" i="152"/>
  <c r="AD33" i="152"/>
  <c r="AC33" i="152"/>
  <c r="AB33" i="152"/>
  <c r="AA33" i="152"/>
  <c r="Z33" i="152"/>
  <c r="Y33" i="152"/>
  <c r="X33" i="152"/>
  <c r="W33" i="152"/>
  <c r="V33" i="152"/>
  <c r="U33" i="152"/>
  <c r="T33" i="152"/>
  <c r="S33" i="152"/>
  <c r="R33" i="152"/>
  <c r="O33" i="152"/>
  <c r="N33" i="152"/>
  <c r="M33" i="152"/>
  <c r="L33" i="152"/>
  <c r="K33" i="152"/>
  <c r="J33" i="152"/>
  <c r="I33" i="152"/>
  <c r="H33" i="152"/>
  <c r="G33" i="152"/>
  <c r="F33" i="152"/>
  <c r="E33" i="152"/>
  <c r="D33" i="152"/>
  <c r="W91" i="150"/>
  <c r="V91" i="150"/>
  <c r="U91" i="150"/>
  <c r="T91" i="150"/>
  <c r="S91" i="150"/>
  <c r="P91" i="150"/>
  <c r="O91" i="150"/>
  <c r="N91" i="150"/>
  <c r="M91" i="150"/>
  <c r="L91" i="150"/>
  <c r="H91" i="150"/>
  <c r="G91" i="150"/>
  <c r="F91" i="150"/>
  <c r="E91" i="150"/>
  <c r="K58" i="150"/>
  <c r="W60" i="150"/>
  <c r="V60" i="150"/>
  <c r="U60" i="150"/>
  <c r="T60" i="150"/>
  <c r="S60" i="150"/>
  <c r="R60" i="150"/>
  <c r="Q60" i="150"/>
  <c r="P60" i="150"/>
  <c r="O60" i="150"/>
  <c r="N60" i="150"/>
  <c r="M60" i="150"/>
  <c r="L60" i="150"/>
  <c r="H60" i="150"/>
  <c r="G60" i="150"/>
  <c r="F60" i="150"/>
  <c r="E60" i="150"/>
  <c r="M28" i="150"/>
  <c r="M27" i="150"/>
  <c r="U29" i="150"/>
  <c r="T29" i="150"/>
  <c r="Q29" i="150"/>
  <c r="P29" i="150"/>
  <c r="O29" i="150"/>
  <c r="N29" i="150"/>
  <c r="M29" i="150"/>
  <c r="I29" i="150"/>
  <c r="H29" i="150"/>
  <c r="G29" i="150"/>
  <c r="F29" i="150"/>
  <c r="E35" i="155"/>
  <c r="BQ35" i="155"/>
  <c r="BP35" i="155"/>
  <c r="BN35" i="155"/>
  <c r="BM35" i="155"/>
  <c r="BJ35" i="155"/>
  <c r="BI35" i="155"/>
  <c r="BH35" i="155"/>
  <c r="BG35" i="155"/>
  <c r="AX35" i="155"/>
  <c r="AW35" i="155"/>
  <c r="AV35" i="155"/>
  <c r="AU35" i="155"/>
  <c r="AS35" i="155"/>
  <c r="AR35" i="155"/>
  <c r="AP35" i="155"/>
  <c r="AO35" i="155"/>
  <c r="AL35" i="155"/>
  <c r="AK35" i="155"/>
  <c r="AJ35" i="155"/>
  <c r="AI35" i="155"/>
  <c r="AF35" i="155"/>
  <c r="AE35" i="155"/>
  <c r="U35" i="155"/>
  <c r="T35" i="155"/>
  <c r="Q35" i="155"/>
  <c r="P35" i="155"/>
  <c r="N35" i="155"/>
  <c r="M35" i="155"/>
  <c r="L35" i="155"/>
  <c r="K35" i="155"/>
  <c r="H35" i="155"/>
  <c r="M30" i="32"/>
  <c r="S12" i="9"/>
  <c r="R12" i="9"/>
  <c r="L30" i="32"/>
  <c r="L29" i="8"/>
  <c r="K29" i="8"/>
  <c r="L21" i="8"/>
  <c r="L23" i="8"/>
  <c r="K23" i="8"/>
  <c r="K21" i="8"/>
  <c r="DU443" i="8"/>
  <c r="DT443" i="8"/>
  <c r="DS443" i="8"/>
  <c r="DR443" i="8"/>
  <c r="B46" i="146"/>
  <c r="C60" i="150"/>
  <c r="C91" i="150"/>
  <c r="C13" i="141"/>
  <c r="C35" i="155"/>
  <c r="G35" i="155"/>
  <c r="B35" i="155"/>
  <c r="BB13" i="141"/>
  <c r="AY13" i="141"/>
  <c r="AV13" i="141"/>
  <c r="E53" i="8"/>
  <c r="D53" i="8"/>
  <c r="C53" i="8"/>
  <c r="B53" i="8"/>
  <c r="L38" i="8"/>
  <c r="S25" i="9"/>
  <c r="T26" i="9"/>
  <c r="L32" i="8"/>
  <c r="E13" i="141"/>
  <c r="L39" i="8"/>
  <c r="S26" i="9"/>
  <c r="K34" i="163"/>
  <c r="C34" i="163"/>
  <c r="Q32" i="162"/>
  <c r="E32" i="162"/>
  <c r="P32" i="162"/>
  <c r="D32" i="162"/>
  <c r="AK54" i="161"/>
  <c r="H54" i="161"/>
  <c r="AJ54" i="161"/>
  <c r="AA35" i="155"/>
  <c r="Z35" i="155"/>
  <c r="X35" i="155"/>
  <c r="F35" i="155"/>
  <c r="W35" i="155"/>
  <c r="I91" i="150"/>
  <c r="I60" i="150"/>
  <c r="J29" i="150"/>
  <c r="H30" i="146"/>
  <c r="L34" i="163"/>
  <c r="D34" i="163"/>
  <c r="AL54" i="161"/>
  <c r="J54" i="161"/>
  <c r="G54" i="161"/>
  <c r="D35" i="155"/>
  <c r="AG319" i="8"/>
  <c r="AG318" i="8"/>
  <c r="AG317" i="8"/>
  <c r="AG315" i="8"/>
  <c r="AG313" i="8"/>
  <c r="AG311" i="8"/>
  <c r="AG310" i="8"/>
  <c r="AG309" i="8"/>
  <c r="AG308" i="8"/>
  <c r="AG306" i="8"/>
  <c r="AG305" i="8"/>
  <c r="AG303" i="8"/>
  <c r="AG302" i="8"/>
  <c r="C33" i="152"/>
  <c r="L37" i="8"/>
  <c r="S24" i="9"/>
  <c r="T25" i="9"/>
  <c r="DI443" i="8"/>
  <c r="DH443" i="8"/>
  <c r="DG443" i="8"/>
  <c r="DF443" i="8"/>
  <c r="K396" i="83"/>
  <c r="L396" i="83"/>
  <c r="D27" i="150"/>
  <c r="C27" i="150"/>
  <c r="AC33" i="163"/>
  <c r="AD33" i="163"/>
  <c r="W33" i="163"/>
  <c r="X33" i="163"/>
  <c r="V33" i="163"/>
  <c r="U33" i="163"/>
  <c r="S33" i="163"/>
  <c r="Q33" i="163"/>
  <c r="R33" i="163"/>
  <c r="O33" i="163"/>
  <c r="K33" i="163"/>
  <c r="L33" i="163"/>
  <c r="I33" i="163"/>
  <c r="G33" i="163"/>
  <c r="H33" i="163"/>
  <c r="E33" i="163"/>
  <c r="F33" i="163"/>
  <c r="AK31" i="162"/>
  <c r="E31" i="162"/>
  <c r="AJ31" i="162"/>
  <c r="AI31" i="162"/>
  <c r="AH31" i="162"/>
  <c r="AC31" i="162"/>
  <c r="AB31" i="162"/>
  <c r="AA31" i="162"/>
  <c r="Z31" i="162"/>
  <c r="Y31" i="162"/>
  <c r="X31" i="162"/>
  <c r="W31" i="162"/>
  <c r="V31" i="162"/>
  <c r="U31" i="162"/>
  <c r="T31" i="162"/>
  <c r="Q31" i="162"/>
  <c r="P31" i="162"/>
  <c r="O30" i="162"/>
  <c r="N30" i="162"/>
  <c r="M31" i="162"/>
  <c r="L31" i="162"/>
  <c r="K31" i="162"/>
  <c r="J31" i="162"/>
  <c r="I31" i="162"/>
  <c r="H31" i="162"/>
  <c r="D31" i="162"/>
  <c r="G53" i="161"/>
  <c r="O53" i="161"/>
  <c r="Q53" i="161"/>
  <c r="AZ53" i="161"/>
  <c r="AS53" i="161"/>
  <c r="AK53" i="161"/>
  <c r="AJ53" i="161"/>
  <c r="AL53" i="161"/>
  <c r="AE53" i="161"/>
  <c r="W53" i="161"/>
  <c r="V53" i="161"/>
  <c r="X53" i="161"/>
  <c r="P53" i="161"/>
  <c r="H53" i="161"/>
  <c r="O52" i="161"/>
  <c r="B29" i="151"/>
  <c r="B24" i="151"/>
  <c r="C33" i="163"/>
  <c r="J53" i="161"/>
  <c r="J33" i="163"/>
  <c r="D33" i="163"/>
  <c r="K15" i="160"/>
  <c r="N15" i="160"/>
  <c r="M15" i="160"/>
  <c r="M18" i="160"/>
  <c r="L15" i="160"/>
  <c r="G15" i="160"/>
  <c r="B14" i="160"/>
  <c r="S14" i="160"/>
  <c r="R14" i="160"/>
  <c r="Q14" i="160"/>
  <c r="Q13" i="160"/>
  <c r="P14" i="160"/>
  <c r="P13" i="160"/>
  <c r="N14" i="160"/>
  <c r="M14" i="160"/>
  <c r="L14" i="160"/>
  <c r="L13" i="160"/>
  <c r="K14" i="160"/>
  <c r="J14" i="160"/>
  <c r="H14" i="160"/>
  <c r="G14" i="160"/>
  <c r="F14" i="160"/>
  <c r="E14" i="160"/>
  <c r="D14" i="160"/>
  <c r="C14" i="160"/>
  <c r="BD35" i="147"/>
  <c r="BC35" i="147"/>
  <c r="BB35" i="147"/>
  <c r="BA35" i="147"/>
  <c r="AZ35" i="147"/>
  <c r="AY35" i="147"/>
  <c r="AX35" i="147"/>
  <c r="AW35" i="147"/>
  <c r="AV35" i="147"/>
  <c r="AU35" i="147"/>
  <c r="AT35" i="147"/>
  <c r="AS35" i="147"/>
  <c r="AR35" i="147"/>
  <c r="AQ35" i="147"/>
  <c r="AP35" i="147"/>
  <c r="AO35" i="147"/>
  <c r="AM35" i="147"/>
  <c r="AN35" i="147"/>
  <c r="AL35" i="147"/>
  <c r="AK35" i="147"/>
  <c r="AJ35" i="147"/>
  <c r="AI35" i="147"/>
  <c r="AH35" i="147"/>
  <c r="AG35" i="147"/>
  <c r="AF35" i="147"/>
  <c r="AE35" i="147"/>
  <c r="AD35" i="147"/>
  <c r="AC35" i="147"/>
  <c r="AB35" i="147"/>
  <c r="AA35" i="147"/>
  <c r="W35" i="147"/>
  <c r="V35" i="147"/>
  <c r="U35" i="147"/>
  <c r="T35" i="147"/>
  <c r="S35" i="147"/>
  <c r="R35" i="147"/>
  <c r="Q35" i="147"/>
  <c r="P35" i="147"/>
  <c r="O35" i="147"/>
  <c r="N35" i="147"/>
  <c r="M35" i="147"/>
  <c r="L35" i="147"/>
  <c r="K35" i="147"/>
  <c r="E35" i="147"/>
  <c r="J35" i="147"/>
  <c r="I35" i="147"/>
  <c r="G35" i="147"/>
  <c r="H35" i="147"/>
  <c r="F35" i="147"/>
  <c r="C35" i="147"/>
  <c r="D35" i="147"/>
  <c r="B15" i="160"/>
  <c r="W45" i="146"/>
  <c r="V45" i="146"/>
  <c r="U45" i="146"/>
  <c r="S45" i="146"/>
  <c r="R45" i="146"/>
  <c r="Q45" i="146"/>
  <c r="P45" i="146"/>
  <c r="O45" i="146"/>
  <c r="N45" i="146"/>
  <c r="M45" i="146"/>
  <c r="L45" i="146"/>
  <c r="K45" i="146"/>
  <c r="J45" i="146"/>
  <c r="H45" i="146"/>
  <c r="G45" i="146"/>
  <c r="F45" i="146"/>
  <c r="E45" i="146"/>
  <c r="D45" i="146"/>
  <c r="C45" i="146"/>
  <c r="W29" i="146"/>
  <c r="V29" i="146"/>
  <c r="U29" i="146"/>
  <c r="T29" i="146"/>
  <c r="S29" i="146"/>
  <c r="R29" i="146"/>
  <c r="Q29" i="146"/>
  <c r="P29" i="146"/>
  <c r="N29" i="146"/>
  <c r="M29" i="146"/>
  <c r="L29" i="146"/>
  <c r="K29" i="146"/>
  <c r="J29" i="146"/>
  <c r="H29" i="146"/>
  <c r="G29" i="146"/>
  <c r="F29" i="146"/>
  <c r="E29" i="146"/>
  <c r="D29" i="146"/>
  <c r="C29" i="146"/>
  <c r="B32" i="152"/>
  <c r="AM32" i="152"/>
  <c r="AL32" i="152"/>
  <c r="AK32" i="152"/>
  <c r="AJ32" i="152"/>
  <c r="AI32" i="152"/>
  <c r="AH32" i="152"/>
  <c r="AH31" i="152"/>
  <c r="AG32" i="152"/>
  <c r="AF32" i="152"/>
  <c r="AE32" i="152"/>
  <c r="AD32" i="152"/>
  <c r="AC32" i="152"/>
  <c r="AB32" i="152"/>
  <c r="AA32" i="152"/>
  <c r="Z32" i="152"/>
  <c r="Y32" i="152"/>
  <c r="X32" i="152"/>
  <c r="W32" i="152"/>
  <c r="V32" i="152"/>
  <c r="U32" i="152"/>
  <c r="T32" i="152"/>
  <c r="S31" i="152"/>
  <c r="S32" i="152"/>
  <c r="R32" i="152"/>
  <c r="O32" i="152"/>
  <c r="N32" i="152"/>
  <c r="M32" i="152"/>
  <c r="L32" i="152"/>
  <c r="K32" i="152"/>
  <c r="J32" i="152"/>
  <c r="I32" i="152"/>
  <c r="H32" i="152"/>
  <c r="G32" i="152"/>
  <c r="F32" i="152"/>
  <c r="E32" i="152"/>
  <c r="D32" i="152"/>
  <c r="K30" i="32"/>
  <c r="K34" i="8"/>
  <c r="J34" i="8"/>
  <c r="K31" i="8"/>
  <c r="J31" i="8"/>
  <c r="H30" i="8"/>
  <c r="W90" i="150"/>
  <c r="V90" i="150"/>
  <c r="U90" i="150"/>
  <c r="T90" i="150"/>
  <c r="S90" i="150"/>
  <c r="P90" i="150"/>
  <c r="O90" i="150"/>
  <c r="N90" i="150"/>
  <c r="M90" i="150"/>
  <c r="L90" i="150"/>
  <c r="K90" i="150"/>
  <c r="I90" i="150"/>
  <c r="G90" i="150"/>
  <c r="F90" i="150"/>
  <c r="E90" i="150"/>
  <c r="D90" i="150"/>
  <c r="H89" i="150"/>
  <c r="H90" i="150"/>
  <c r="H83" i="150"/>
  <c r="W59" i="150"/>
  <c r="V59" i="150"/>
  <c r="U59" i="150"/>
  <c r="T59" i="150"/>
  <c r="S59" i="150"/>
  <c r="R59" i="150"/>
  <c r="Q59" i="150"/>
  <c r="P59" i="150"/>
  <c r="O59" i="150"/>
  <c r="N59" i="150"/>
  <c r="M59" i="150"/>
  <c r="L59" i="150"/>
  <c r="K59" i="150"/>
  <c r="I59" i="150"/>
  <c r="H59" i="150"/>
  <c r="G59" i="150"/>
  <c r="F59" i="150"/>
  <c r="E59" i="150"/>
  <c r="D59" i="150"/>
  <c r="R18" i="9"/>
  <c r="R19" i="9"/>
  <c r="U28" i="150"/>
  <c r="T28" i="150"/>
  <c r="Q28" i="150"/>
  <c r="P28" i="150"/>
  <c r="O28" i="150"/>
  <c r="N28" i="150"/>
  <c r="L28" i="150"/>
  <c r="J28" i="150"/>
  <c r="I28" i="150"/>
  <c r="H28" i="150"/>
  <c r="G28" i="150"/>
  <c r="F28" i="150"/>
  <c r="BT34" i="155"/>
  <c r="BS34" i="155"/>
  <c r="BQ34" i="155"/>
  <c r="BP34" i="155"/>
  <c r="BN34" i="155"/>
  <c r="BM34" i="155"/>
  <c r="BJ34" i="155"/>
  <c r="BI34" i="155"/>
  <c r="BH34" i="155"/>
  <c r="BG34" i="155"/>
  <c r="BD34" i="155"/>
  <c r="BC34" i="155"/>
  <c r="BB34" i="155"/>
  <c r="BA34" i="155"/>
  <c r="AX34" i="155"/>
  <c r="AW34" i="155"/>
  <c r="AV34" i="155"/>
  <c r="AU34" i="155"/>
  <c r="AS34" i="155"/>
  <c r="AR34" i="155"/>
  <c r="E34" i="155"/>
  <c r="AP34" i="155"/>
  <c r="AO34" i="155"/>
  <c r="AL34" i="155"/>
  <c r="AK34" i="155"/>
  <c r="AJ34" i="155"/>
  <c r="AI34" i="155"/>
  <c r="AF34" i="155"/>
  <c r="AE34" i="155"/>
  <c r="AA34" i="155"/>
  <c r="Z34" i="155"/>
  <c r="X34" i="155"/>
  <c r="W34" i="155"/>
  <c r="U34" i="155"/>
  <c r="T34" i="155"/>
  <c r="Q34" i="155"/>
  <c r="P34" i="155"/>
  <c r="N34" i="155"/>
  <c r="M34" i="155"/>
  <c r="L34" i="155"/>
  <c r="K34" i="155"/>
  <c r="H34" i="155"/>
  <c r="G34" i="155"/>
  <c r="BM11" i="141"/>
  <c r="BM10" i="141"/>
  <c r="BM9" i="141"/>
  <c r="BM8" i="141"/>
  <c r="BM7" i="141"/>
  <c r="BM6" i="141"/>
  <c r="BM5" i="141"/>
  <c r="BM4" i="141"/>
  <c r="BM3" i="141"/>
  <c r="BJ11" i="141"/>
  <c r="BJ10" i="141"/>
  <c r="BJ9" i="141"/>
  <c r="BJ8" i="141"/>
  <c r="BJ7" i="141"/>
  <c r="BJ6" i="141"/>
  <c r="BJ5" i="141"/>
  <c r="BJ4" i="141"/>
  <c r="BJ3" i="141"/>
  <c r="BH12" i="141"/>
  <c r="BG12" i="141"/>
  <c r="BF12" i="141"/>
  <c r="BE12" i="141"/>
  <c r="BD12" i="141"/>
  <c r="BC12" i="141"/>
  <c r="BB12" i="141"/>
  <c r="BA12" i="141"/>
  <c r="AZ12" i="141"/>
  <c r="AY12" i="141"/>
  <c r="AX12" i="141"/>
  <c r="AW12" i="141"/>
  <c r="AV12" i="141"/>
  <c r="AU12" i="141"/>
  <c r="AT12" i="141"/>
  <c r="AS12" i="141"/>
  <c r="AR12" i="141"/>
  <c r="AQ12" i="141"/>
  <c r="AP12" i="141"/>
  <c r="AO12" i="141"/>
  <c r="AN12" i="141"/>
  <c r="AM12" i="141"/>
  <c r="AL12" i="141"/>
  <c r="AK12" i="141"/>
  <c r="AJ12" i="141"/>
  <c r="AI12" i="141"/>
  <c r="AH12" i="141"/>
  <c r="AG12" i="141"/>
  <c r="AF12" i="141"/>
  <c r="AE12" i="141"/>
  <c r="AD12" i="141"/>
  <c r="AC12" i="141"/>
  <c r="AB12" i="141"/>
  <c r="X12" i="141"/>
  <c r="W12" i="141"/>
  <c r="V12" i="141"/>
  <c r="U12" i="141"/>
  <c r="T12" i="141"/>
  <c r="S12" i="141"/>
  <c r="R12" i="141"/>
  <c r="Q12" i="141"/>
  <c r="P12" i="141"/>
  <c r="O12" i="141"/>
  <c r="N12" i="141"/>
  <c r="M12" i="141"/>
  <c r="K12" i="141"/>
  <c r="J12" i="141"/>
  <c r="L12" i="141"/>
  <c r="I12" i="141"/>
  <c r="H12" i="141"/>
  <c r="G12" i="141"/>
  <c r="Q12" i="9"/>
  <c r="J29" i="8"/>
  <c r="J23" i="8"/>
  <c r="J21" i="8"/>
  <c r="K35" i="8"/>
  <c r="E23" i="156"/>
  <c r="B45" i="146"/>
  <c r="C12" i="141"/>
  <c r="C90" i="150"/>
  <c r="C59" i="150"/>
  <c r="B34" i="155"/>
  <c r="F34" i="155"/>
  <c r="D34" i="155"/>
  <c r="K37" i="8"/>
  <c r="R24" i="9"/>
  <c r="C34" i="155"/>
  <c r="K38" i="8"/>
  <c r="R25" i="9"/>
  <c r="CW443" i="8"/>
  <c r="CV443" i="8"/>
  <c r="CU443" i="8"/>
  <c r="CT443" i="8"/>
  <c r="K39" i="8"/>
  <c r="R26" i="9"/>
  <c r="E21" i="156"/>
  <c r="E12" i="141"/>
  <c r="K32" i="8"/>
  <c r="AD319" i="8"/>
  <c r="AD318" i="8"/>
  <c r="AD317" i="8"/>
  <c r="AD315" i="8"/>
  <c r="AD313" i="8"/>
  <c r="AD311" i="8"/>
  <c r="AD310" i="8"/>
  <c r="AD309" i="8"/>
  <c r="AD308" i="8"/>
  <c r="X306" i="8"/>
  <c r="AD306" i="8"/>
  <c r="X305" i="8"/>
  <c r="AD305" i="8"/>
  <c r="AD303" i="8"/>
  <c r="X302" i="8"/>
  <c r="AD302" i="8"/>
  <c r="BD34" i="147"/>
  <c r="BC34" i="147"/>
  <c r="BB34" i="147"/>
  <c r="BA34" i="147"/>
  <c r="AY34" i="147"/>
  <c r="AZ34" i="147"/>
  <c r="AX34" i="147"/>
  <c r="AW34" i="147"/>
  <c r="AV34" i="147"/>
  <c r="AU34" i="147"/>
  <c r="AT34" i="147"/>
  <c r="AS34" i="147"/>
  <c r="AR34" i="147"/>
  <c r="AQ34" i="147"/>
  <c r="AP34" i="147"/>
  <c r="AO34" i="147"/>
  <c r="AM34" i="147"/>
  <c r="AN34" i="147"/>
  <c r="AL34" i="147"/>
  <c r="AK34" i="147"/>
  <c r="AJ34" i="147"/>
  <c r="AI34" i="147"/>
  <c r="AH34" i="147"/>
  <c r="AG34" i="147"/>
  <c r="AF34" i="147"/>
  <c r="AE34" i="147"/>
  <c r="AD34" i="147"/>
  <c r="AC34" i="147"/>
  <c r="AB34" i="147"/>
  <c r="AA34" i="147"/>
  <c r="W34" i="147"/>
  <c r="V34" i="147"/>
  <c r="U34" i="147"/>
  <c r="T34" i="147"/>
  <c r="S34" i="147"/>
  <c r="R34" i="147"/>
  <c r="Q34" i="147"/>
  <c r="P34" i="147"/>
  <c r="O34" i="147"/>
  <c r="N34" i="147"/>
  <c r="M34" i="147"/>
  <c r="L34" i="147"/>
  <c r="K34" i="147"/>
  <c r="J34" i="147"/>
  <c r="I34" i="147"/>
  <c r="H34" i="147"/>
  <c r="G34" i="147"/>
  <c r="F34" i="147"/>
  <c r="C34" i="147"/>
  <c r="D34" i="147"/>
  <c r="E34" i="147"/>
  <c r="E32" i="156"/>
  <c r="E5" i="156"/>
  <c r="N6" i="163"/>
  <c r="E32" i="163"/>
  <c r="F32" i="163"/>
  <c r="E31" i="163"/>
  <c r="F31" i="163"/>
  <c r="E30" i="163"/>
  <c r="F30" i="163"/>
  <c r="W32" i="163"/>
  <c r="X32" i="163"/>
  <c r="U32" i="163"/>
  <c r="V32" i="163"/>
  <c r="S32" i="163"/>
  <c r="T32" i="163"/>
  <c r="Q32" i="163"/>
  <c r="O32" i="163"/>
  <c r="L32" i="163"/>
  <c r="K32" i="163"/>
  <c r="I32" i="163"/>
  <c r="G32" i="163"/>
  <c r="H32" i="163"/>
  <c r="AK30" i="162"/>
  <c r="AJ30" i="162"/>
  <c r="AI30" i="162"/>
  <c r="AH30" i="162"/>
  <c r="AC30" i="162"/>
  <c r="AB30" i="162"/>
  <c r="AA30" i="162"/>
  <c r="Z30" i="162"/>
  <c r="Y30" i="162"/>
  <c r="X30" i="162"/>
  <c r="W30" i="162"/>
  <c r="V30" i="162"/>
  <c r="U30" i="162"/>
  <c r="T30" i="162"/>
  <c r="S29" i="162"/>
  <c r="R29" i="162"/>
  <c r="Q30" i="162"/>
  <c r="P30" i="162"/>
  <c r="M30" i="162"/>
  <c r="L30" i="162"/>
  <c r="K30" i="162"/>
  <c r="J30" i="162"/>
  <c r="I30" i="162"/>
  <c r="E30" i="162"/>
  <c r="H30" i="162"/>
  <c r="D30" i="162"/>
  <c r="AY52" i="161"/>
  <c r="AX52" i="161"/>
  <c r="AZ52" i="161"/>
  <c r="AX49" i="161"/>
  <c r="AR52" i="161"/>
  <c r="AQ52" i="161"/>
  <c r="AQ50" i="161"/>
  <c r="AK52" i="161"/>
  <c r="AJ52" i="161"/>
  <c r="AL52" i="161"/>
  <c r="AJ49" i="161"/>
  <c r="AD52" i="161"/>
  <c r="AC52" i="161"/>
  <c r="AC49" i="161"/>
  <c r="W52" i="161"/>
  <c r="V52" i="161"/>
  <c r="G52" i="161"/>
  <c r="V50" i="161"/>
  <c r="X52" i="161"/>
  <c r="P52" i="161"/>
  <c r="H52" i="161"/>
  <c r="B23" i="151"/>
  <c r="D32" i="163"/>
  <c r="Q52" i="161"/>
  <c r="C32" i="163"/>
  <c r="AE52" i="161"/>
  <c r="AS52" i="161"/>
  <c r="W89" i="150"/>
  <c r="C89" i="150"/>
  <c r="W88" i="150"/>
  <c r="W87" i="150"/>
  <c r="W86" i="150"/>
  <c r="W85" i="150"/>
  <c r="C85" i="150"/>
  <c r="W84" i="150"/>
  <c r="V89" i="150"/>
  <c r="V88" i="150"/>
  <c r="V87" i="150"/>
  <c r="V86" i="150"/>
  <c r="C86" i="150"/>
  <c r="V85" i="150"/>
  <c r="V84" i="150"/>
  <c r="C84" i="150"/>
  <c r="J52" i="161"/>
  <c r="C87" i="150"/>
  <c r="C88" i="150"/>
  <c r="AG34" i="162"/>
  <c r="AF34" i="162"/>
  <c r="AE34" i="162"/>
  <c r="AD34" i="162"/>
  <c r="S13" i="160"/>
  <c r="R13" i="160"/>
  <c r="N13" i="160"/>
  <c r="M13" i="160"/>
  <c r="K13" i="160"/>
  <c r="J13" i="160"/>
  <c r="H13" i="160"/>
  <c r="G13" i="160"/>
  <c r="F13" i="160"/>
  <c r="E13" i="160"/>
  <c r="D13" i="160"/>
  <c r="C13" i="160"/>
  <c r="B13" i="160"/>
  <c r="K12" i="160"/>
  <c r="K11" i="160"/>
  <c r="K10" i="160"/>
  <c r="K9" i="160"/>
  <c r="L12" i="160"/>
  <c r="N12" i="160"/>
  <c r="N11" i="160"/>
  <c r="N10" i="160"/>
  <c r="N9" i="160"/>
  <c r="N8" i="160"/>
  <c r="N7" i="160"/>
  <c r="U89" i="150"/>
  <c r="T89" i="150"/>
  <c r="S89" i="150"/>
  <c r="P89" i="150"/>
  <c r="O89" i="150"/>
  <c r="N89" i="150"/>
  <c r="M89" i="150"/>
  <c r="L89" i="150"/>
  <c r="K89" i="150"/>
  <c r="I89" i="150"/>
  <c r="G89" i="150"/>
  <c r="F89" i="150"/>
  <c r="E89" i="150"/>
  <c r="D89" i="150"/>
  <c r="W58" i="150"/>
  <c r="V58" i="150"/>
  <c r="U58" i="150"/>
  <c r="T58" i="150"/>
  <c r="S58" i="150"/>
  <c r="R58" i="150"/>
  <c r="Q58" i="150"/>
  <c r="P58" i="150"/>
  <c r="O58" i="150"/>
  <c r="N58" i="150"/>
  <c r="M58" i="150"/>
  <c r="L58" i="150"/>
  <c r="H58" i="150"/>
  <c r="I58" i="150"/>
  <c r="G58" i="150"/>
  <c r="F58" i="150"/>
  <c r="E58" i="150"/>
  <c r="D58" i="150"/>
  <c r="D57" i="150"/>
  <c r="V27" i="150"/>
  <c r="U27" i="150"/>
  <c r="T27" i="150"/>
  <c r="S27" i="150"/>
  <c r="R27" i="150"/>
  <c r="Q27" i="150"/>
  <c r="P27" i="150"/>
  <c r="O27" i="150"/>
  <c r="N27" i="150"/>
  <c r="L27" i="150"/>
  <c r="J27" i="150"/>
  <c r="I27" i="150"/>
  <c r="I26" i="150"/>
  <c r="H27" i="150"/>
  <c r="G27" i="150"/>
  <c r="Q19" i="9"/>
  <c r="F27" i="150"/>
  <c r="BT33" i="155"/>
  <c r="BS33" i="155"/>
  <c r="BQ33" i="155"/>
  <c r="BP33" i="155"/>
  <c r="BN33" i="155"/>
  <c r="BM33" i="155"/>
  <c r="BJ33" i="155"/>
  <c r="BI33" i="155"/>
  <c r="BH33" i="155"/>
  <c r="BG33" i="155"/>
  <c r="BD33" i="155"/>
  <c r="BC33" i="155"/>
  <c r="BB33" i="155"/>
  <c r="BA33" i="155"/>
  <c r="AX33" i="155"/>
  <c r="AW33" i="155"/>
  <c r="AV33" i="155"/>
  <c r="AU33" i="155"/>
  <c r="AS33" i="155"/>
  <c r="AR33" i="155"/>
  <c r="E33" i="155"/>
  <c r="AP33" i="155"/>
  <c r="AO33" i="155"/>
  <c r="AL33" i="155"/>
  <c r="AK33" i="155"/>
  <c r="AJ33" i="155"/>
  <c r="AI33" i="155"/>
  <c r="AF33" i="155"/>
  <c r="AE33" i="155"/>
  <c r="AA33" i="155"/>
  <c r="Z33" i="155"/>
  <c r="X33" i="155"/>
  <c r="W33" i="155"/>
  <c r="U33" i="155"/>
  <c r="T33" i="155"/>
  <c r="Q33" i="155"/>
  <c r="P33" i="155"/>
  <c r="N33" i="155"/>
  <c r="M33" i="155"/>
  <c r="L33" i="155"/>
  <c r="K33" i="155"/>
  <c r="H33" i="155"/>
  <c r="G33" i="155"/>
  <c r="W44" i="146"/>
  <c r="V44" i="146"/>
  <c r="U44" i="146"/>
  <c r="S44" i="146"/>
  <c r="R44" i="146"/>
  <c r="Q44" i="146"/>
  <c r="P44" i="146"/>
  <c r="O44" i="146"/>
  <c r="N44" i="146"/>
  <c r="M44" i="146"/>
  <c r="L44" i="146"/>
  <c r="K44" i="146"/>
  <c r="J44" i="146"/>
  <c r="H44" i="146"/>
  <c r="G44" i="146"/>
  <c r="F44" i="146"/>
  <c r="E44" i="146"/>
  <c r="D44" i="146"/>
  <c r="C44" i="146"/>
  <c r="BL11" i="141"/>
  <c r="BL10" i="141"/>
  <c r="BI11" i="141"/>
  <c r="BK11" i="141"/>
  <c r="BI10" i="141"/>
  <c r="BG11" i="141"/>
  <c r="BF11" i="141"/>
  <c r="BH11" i="141"/>
  <c r="BG10" i="141"/>
  <c r="BF10" i="141"/>
  <c r="BD11" i="141"/>
  <c r="BC11" i="141"/>
  <c r="BE11" i="141"/>
  <c r="BD10" i="141"/>
  <c r="BC10" i="141"/>
  <c r="BA11" i="141"/>
  <c r="AZ11" i="141"/>
  <c r="BB11" i="141"/>
  <c r="BA10" i="141"/>
  <c r="AZ10" i="141"/>
  <c r="AX11" i="141"/>
  <c r="AY11" i="141"/>
  <c r="AW11" i="141"/>
  <c r="AX10" i="141"/>
  <c r="AW10" i="141"/>
  <c r="AU11" i="141"/>
  <c r="AT11" i="141"/>
  <c r="AU10" i="141"/>
  <c r="AT10" i="141"/>
  <c r="AR11" i="141"/>
  <c r="AS11" i="141"/>
  <c r="AQ11" i="141"/>
  <c r="AR10" i="141"/>
  <c r="AQ10" i="141"/>
  <c r="AO11" i="141"/>
  <c r="AN11" i="141"/>
  <c r="AP11" i="141"/>
  <c r="AO10" i="141"/>
  <c r="AN10" i="141"/>
  <c r="AL11" i="141"/>
  <c r="AK11" i="141"/>
  <c r="AL10" i="141"/>
  <c r="AK10" i="141"/>
  <c r="AI11" i="141"/>
  <c r="AH11" i="141"/>
  <c r="AI10" i="141"/>
  <c r="AH10" i="141"/>
  <c r="AF11" i="141"/>
  <c r="AE11" i="141"/>
  <c r="AF10" i="141"/>
  <c r="AE10" i="141"/>
  <c r="AC11" i="141"/>
  <c r="AB11" i="141"/>
  <c r="AC10" i="141"/>
  <c r="AB10" i="141"/>
  <c r="W11" i="141"/>
  <c r="V11" i="141"/>
  <c r="W10" i="141"/>
  <c r="V10" i="141"/>
  <c r="T11" i="141"/>
  <c r="S11" i="141"/>
  <c r="T10" i="141"/>
  <c r="S10" i="141"/>
  <c r="Q11" i="141"/>
  <c r="P11" i="141"/>
  <c r="Q10" i="141"/>
  <c r="P10" i="141"/>
  <c r="N11" i="141"/>
  <c r="M11" i="141"/>
  <c r="N10" i="141"/>
  <c r="M10" i="141"/>
  <c r="K11" i="141"/>
  <c r="J11" i="141"/>
  <c r="H11" i="141"/>
  <c r="I11" i="141"/>
  <c r="G11" i="141"/>
  <c r="AM31" i="152"/>
  <c r="AL31" i="152"/>
  <c r="AK31" i="152"/>
  <c r="AJ31" i="152"/>
  <c r="AI31" i="152"/>
  <c r="AG31" i="152"/>
  <c r="AF31" i="152"/>
  <c r="AE31" i="152"/>
  <c r="AD31" i="152"/>
  <c r="AC31" i="152"/>
  <c r="AB31" i="152"/>
  <c r="AA31" i="152"/>
  <c r="Z31" i="152"/>
  <c r="Y31" i="152"/>
  <c r="X31" i="152"/>
  <c r="W31" i="152"/>
  <c r="V31" i="152"/>
  <c r="U31" i="152"/>
  <c r="T31" i="152"/>
  <c r="R31" i="152"/>
  <c r="O31" i="152"/>
  <c r="N31" i="152"/>
  <c r="M31" i="152"/>
  <c r="L31" i="152"/>
  <c r="K31" i="152"/>
  <c r="J31" i="152"/>
  <c r="I31" i="152"/>
  <c r="H31" i="152"/>
  <c r="G31" i="152"/>
  <c r="F31" i="152"/>
  <c r="E31" i="152"/>
  <c r="D31" i="152"/>
  <c r="N30" i="152"/>
  <c r="CK443" i="8"/>
  <c r="CJ443" i="8"/>
  <c r="I23" i="8"/>
  <c r="CI443" i="8"/>
  <c r="CH443" i="8"/>
  <c r="I21" i="8"/>
  <c r="I29" i="8"/>
  <c r="P12" i="9"/>
  <c r="AA319" i="8"/>
  <c r="AA318" i="8"/>
  <c r="AA317" i="8"/>
  <c r="AA315" i="8"/>
  <c r="AA313" i="8"/>
  <c r="AA311" i="8"/>
  <c r="AA310" i="8"/>
  <c r="AA309" i="8"/>
  <c r="AA308" i="8"/>
  <c r="AA305" i="8"/>
  <c r="AA306" i="8"/>
  <c r="AA303" i="8"/>
  <c r="AA302" i="8"/>
  <c r="B44" i="146"/>
  <c r="C58" i="150"/>
  <c r="BN11" i="141"/>
  <c r="C11" i="141"/>
  <c r="J32" i="8"/>
  <c r="B33" i="155"/>
  <c r="J39" i="8"/>
  <c r="Q26" i="9"/>
  <c r="F33" i="155"/>
  <c r="J30" i="32"/>
  <c r="D33" i="155"/>
  <c r="J37" i="8"/>
  <c r="Q24" i="9"/>
  <c r="C33" i="155"/>
  <c r="J38" i="8"/>
  <c r="Q25" i="9"/>
  <c r="AV11" i="141"/>
  <c r="AM11" i="141"/>
  <c r="AJ11" i="141"/>
  <c r="AG11" i="141"/>
  <c r="AD11" i="141"/>
  <c r="X11" i="141"/>
  <c r="U11" i="141"/>
  <c r="R11" i="141"/>
  <c r="O11" i="141"/>
  <c r="L11" i="141"/>
  <c r="J69" i="8"/>
  <c r="I69" i="8"/>
  <c r="H69" i="8"/>
  <c r="G69" i="8"/>
  <c r="F69" i="8"/>
  <c r="E69" i="8"/>
  <c r="D69" i="8"/>
  <c r="C69" i="8"/>
  <c r="B69" i="8"/>
  <c r="J97" i="8"/>
  <c r="I97" i="8"/>
  <c r="H97" i="8"/>
  <c r="G97" i="8"/>
  <c r="F97" i="8"/>
  <c r="E97" i="8"/>
  <c r="D97" i="8"/>
  <c r="C97" i="8"/>
  <c r="B97" i="8"/>
  <c r="J118" i="8"/>
  <c r="I118" i="8"/>
  <c r="H118" i="8"/>
  <c r="G118" i="8"/>
  <c r="F118" i="8"/>
  <c r="E118" i="8"/>
  <c r="C118" i="8"/>
  <c r="B118" i="8"/>
  <c r="D115" i="8"/>
  <c r="D118" i="8"/>
  <c r="J144" i="8"/>
  <c r="I144" i="8"/>
  <c r="H144" i="8"/>
  <c r="G144" i="8"/>
  <c r="F144" i="8"/>
  <c r="E144" i="8"/>
  <c r="D144" i="8"/>
  <c r="C144" i="8"/>
  <c r="B144" i="8"/>
  <c r="J41" i="8"/>
  <c r="Q10" i="9"/>
  <c r="K31" i="32"/>
  <c r="Q18" i="9"/>
  <c r="E11" i="141"/>
  <c r="G36" i="167"/>
  <c r="G48" i="167"/>
  <c r="D36" i="167"/>
  <c r="D48" i="167"/>
  <c r="C36" i="167"/>
  <c r="C48" i="167"/>
  <c r="Q32" i="167"/>
  <c r="P32" i="167"/>
  <c r="O32" i="167"/>
  <c r="N32" i="167"/>
  <c r="M32" i="167"/>
  <c r="L32" i="167"/>
  <c r="K32" i="167"/>
  <c r="J32" i="167"/>
  <c r="I32" i="167"/>
  <c r="H32" i="167"/>
  <c r="F32" i="167"/>
  <c r="E32" i="167"/>
  <c r="D32" i="167"/>
  <c r="C32" i="167"/>
  <c r="G20" i="167"/>
  <c r="G32" i="167"/>
  <c r="Q16" i="167"/>
  <c r="P16" i="167"/>
  <c r="O16" i="167"/>
  <c r="N16" i="167"/>
  <c r="M16" i="167"/>
  <c r="L16" i="167"/>
  <c r="K16" i="167"/>
  <c r="J16" i="167"/>
  <c r="I16" i="167"/>
  <c r="H16" i="167"/>
  <c r="G16" i="167"/>
  <c r="F16" i="167"/>
  <c r="E16" i="167"/>
  <c r="D16" i="167"/>
  <c r="C4" i="167"/>
  <c r="C16" i="167"/>
  <c r="AD36" i="163"/>
  <c r="W31" i="163"/>
  <c r="U31" i="163"/>
  <c r="V31" i="163"/>
  <c r="S31" i="163"/>
  <c r="Q31" i="163"/>
  <c r="R31" i="163"/>
  <c r="O31" i="163"/>
  <c r="P31" i="163"/>
  <c r="K31" i="163"/>
  <c r="I31" i="163"/>
  <c r="G31" i="163"/>
  <c r="H31" i="163"/>
  <c r="AC30" i="163"/>
  <c r="AA30" i="163"/>
  <c r="Y30" i="163"/>
  <c r="Z30" i="163"/>
  <c r="W30" i="163"/>
  <c r="X30" i="163"/>
  <c r="U30" i="163"/>
  <c r="V30" i="163"/>
  <c r="S30" i="163"/>
  <c r="T30" i="163"/>
  <c r="Q30" i="163"/>
  <c r="R30" i="163"/>
  <c r="O30" i="163"/>
  <c r="M30" i="163"/>
  <c r="K30" i="163"/>
  <c r="I30" i="163"/>
  <c r="G30" i="163"/>
  <c r="H30" i="163"/>
  <c r="AC29" i="163"/>
  <c r="AA29" i="163"/>
  <c r="AB29" i="163"/>
  <c r="Y29" i="163"/>
  <c r="Z29" i="163"/>
  <c r="W29" i="163"/>
  <c r="U29" i="163"/>
  <c r="V29" i="163"/>
  <c r="S29" i="163"/>
  <c r="T29" i="163"/>
  <c r="Q29" i="163"/>
  <c r="R29" i="163"/>
  <c r="O29" i="163"/>
  <c r="M29" i="163"/>
  <c r="K29" i="163"/>
  <c r="L29" i="163"/>
  <c r="I29" i="163"/>
  <c r="J29" i="163"/>
  <c r="G29" i="163"/>
  <c r="H29" i="163"/>
  <c r="E29" i="163"/>
  <c r="F29" i="163"/>
  <c r="AC28" i="163"/>
  <c r="AA28" i="163"/>
  <c r="Y28" i="163"/>
  <c r="Z28" i="163"/>
  <c r="W28" i="163"/>
  <c r="U28" i="163"/>
  <c r="V28" i="163"/>
  <c r="S28" i="163"/>
  <c r="Q28" i="163"/>
  <c r="R28" i="163"/>
  <c r="O28" i="163"/>
  <c r="M28" i="163"/>
  <c r="K28" i="163"/>
  <c r="L28" i="163"/>
  <c r="I28" i="163"/>
  <c r="J28" i="163"/>
  <c r="G28" i="163"/>
  <c r="H28" i="163"/>
  <c r="E28" i="163"/>
  <c r="F28" i="163"/>
  <c r="C28" i="163"/>
  <c r="AC27" i="163"/>
  <c r="AA27" i="163"/>
  <c r="Y27" i="163"/>
  <c r="Z27" i="163"/>
  <c r="W27" i="163"/>
  <c r="U27" i="163"/>
  <c r="V27" i="163"/>
  <c r="S27" i="163"/>
  <c r="Q27" i="163"/>
  <c r="R27" i="163"/>
  <c r="O27" i="163"/>
  <c r="M27" i="163"/>
  <c r="K27" i="163"/>
  <c r="L27" i="163"/>
  <c r="I27" i="163"/>
  <c r="J27" i="163"/>
  <c r="G27" i="163"/>
  <c r="H27" i="163"/>
  <c r="E27" i="163"/>
  <c r="F27" i="163"/>
  <c r="AC26" i="163"/>
  <c r="AA26" i="163"/>
  <c r="AB26" i="163"/>
  <c r="Z26" i="163"/>
  <c r="Y26" i="163"/>
  <c r="X26" i="163"/>
  <c r="W26" i="163"/>
  <c r="U26" i="163"/>
  <c r="V26" i="163"/>
  <c r="S26" i="163"/>
  <c r="T26" i="163"/>
  <c r="Q26" i="163"/>
  <c r="O26" i="163"/>
  <c r="P26" i="163"/>
  <c r="M26" i="163"/>
  <c r="K26" i="163"/>
  <c r="L26" i="163"/>
  <c r="I26" i="163"/>
  <c r="J26" i="163"/>
  <c r="G26" i="163"/>
  <c r="H26" i="163"/>
  <c r="E26" i="163"/>
  <c r="F26" i="163"/>
  <c r="AC25" i="163"/>
  <c r="AA25" i="163"/>
  <c r="AB25" i="163"/>
  <c r="Y25" i="163"/>
  <c r="Z25" i="163"/>
  <c r="W25" i="163"/>
  <c r="U25" i="163"/>
  <c r="V25" i="163"/>
  <c r="S25" i="163"/>
  <c r="T25" i="163"/>
  <c r="Q25" i="163"/>
  <c r="R25" i="163"/>
  <c r="O25" i="163"/>
  <c r="M25" i="163"/>
  <c r="K25" i="163"/>
  <c r="L25" i="163"/>
  <c r="I25" i="163"/>
  <c r="J25" i="163"/>
  <c r="G25" i="163"/>
  <c r="H25" i="163"/>
  <c r="E25" i="163"/>
  <c r="F25" i="163"/>
  <c r="AC24" i="163"/>
  <c r="AA24" i="163"/>
  <c r="Y24" i="163"/>
  <c r="W24" i="163"/>
  <c r="W36" i="163"/>
  <c r="U24" i="163"/>
  <c r="S24" i="163"/>
  <c r="Q24" i="163"/>
  <c r="O24" i="163"/>
  <c r="M24" i="163"/>
  <c r="K24" i="163"/>
  <c r="I24" i="163"/>
  <c r="G24" i="163"/>
  <c r="E24" i="163"/>
  <c r="F24" i="163"/>
  <c r="N12" i="163"/>
  <c r="N11" i="163"/>
  <c r="N10" i="163"/>
  <c r="N9" i="163"/>
  <c r="N8" i="163"/>
  <c r="N7" i="163"/>
  <c r="N5" i="163"/>
  <c r="N4" i="163"/>
  <c r="N3" i="163"/>
  <c r="AK29" i="162"/>
  <c r="AJ29" i="162"/>
  <c r="AI29" i="162"/>
  <c r="AH29" i="162"/>
  <c r="AC29" i="162"/>
  <c r="AB29" i="162"/>
  <c r="AA29" i="162"/>
  <c r="Z29" i="162"/>
  <c r="Y29" i="162"/>
  <c r="X29" i="162"/>
  <c r="W29" i="162"/>
  <c r="V29" i="162"/>
  <c r="U29" i="162"/>
  <c r="S11" i="162"/>
  <c r="T29" i="162"/>
  <c r="Q29" i="162"/>
  <c r="P29" i="162"/>
  <c r="O29" i="162"/>
  <c r="N29" i="162"/>
  <c r="M29" i="162"/>
  <c r="L29" i="162"/>
  <c r="K29" i="162"/>
  <c r="E29" i="162"/>
  <c r="J29" i="162"/>
  <c r="D29" i="162"/>
  <c r="I29" i="162"/>
  <c r="H29" i="162"/>
  <c r="AK28" i="162"/>
  <c r="AJ28" i="162"/>
  <c r="AI28" i="162"/>
  <c r="AH28" i="162"/>
  <c r="AC28" i="162"/>
  <c r="AB28" i="162"/>
  <c r="AA28" i="162"/>
  <c r="Z28" i="162"/>
  <c r="Y28" i="162"/>
  <c r="X28" i="162"/>
  <c r="W28" i="162"/>
  <c r="V28" i="162"/>
  <c r="U28" i="162"/>
  <c r="T28" i="162"/>
  <c r="S28" i="162"/>
  <c r="R28" i="162"/>
  <c r="Q28" i="162"/>
  <c r="P28" i="162"/>
  <c r="O28" i="162"/>
  <c r="N28" i="162"/>
  <c r="M28" i="162"/>
  <c r="L28" i="162"/>
  <c r="K28" i="162"/>
  <c r="J28" i="162"/>
  <c r="I28" i="162"/>
  <c r="H28" i="162"/>
  <c r="E28" i="162"/>
  <c r="D28" i="162"/>
  <c r="AK27" i="162"/>
  <c r="AJ27" i="162"/>
  <c r="AI27" i="162"/>
  <c r="AH27" i="162"/>
  <c r="AC27" i="162"/>
  <c r="AB27" i="162"/>
  <c r="AA27" i="162"/>
  <c r="Z27" i="162"/>
  <c r="Y27" i="162"/>
  <c r="X27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E27" i="162"/>
  <c r="J27" i="162"/>
  <c r="D27" i="162"/>
  <c r="I27" i="162"/>
  <c r="H27" i="162"/>
  <c r="AK26" i="162"/>
  <c r="AJ26" i="162"/>
  <c r="AI26" i="162"/>
  <c r="AH26" i="162"/>
  <c r="AC26" i="162"/>
  <c r="AB26" i="162"/>
  <c r="AA26" i="162"/>
  <c r="Z26" i="162"/>
  <c r="Y26" i="162"/>
  <c r="X26" i="162"/>
  <c r="W26" i="162"/>
  <c r="V26" i="162"/>
  <c r="U26" i="162"/>
  <c r="T26" i="162"/>
  <c r="S26" i="162"/>
  <c r="R26" i="162"/>
  <c r="Q26" i="162"/>
  <c r="P26" i="162"/>
  <c r="O26" i="162"/>
  <c r="N26" i="162"/>
  <c r="M26" i="162"/>
  <c r="L26" i="162"/>
  <c r="K26" i="162"/>
  <c r="J26" i="162"/>
  <c r="I26" i="162"/>
  <c r="H26" i="162"/>
  <c r="E26" i="162"/>
  <c r="D26" i="162"/>
  <c r="AK25" i="162"/>
  <c r="AJ25" i="162"/>
  <c r="AI25" i="162"/>
  <c r="AH25" i="162"/>
  <c r="AC25" i="162"/>
  <c r="AB25" i="162"/>
  <c r="AA25" i="162"/>
  <c r="Z25" i="162"/>
  <c r="Y25" i="162"/>
  <c r="X25" i="162"/>
  <c r="W25" i="162"/>
  <c r="V25" i="162"/>
  <c r="U25" i="162"/>
  <c r="T25" i="162"/>
  <c r="S25" i="162"/>
  <c r="R25" i="162"/>
  <c r="Q25" i="162"/>
  <c r="P25" i="162"/>
  <c r="O25" i="162"/>
  <c r="N25" i="162"/>
  <c r="M25" i="162"/>
  <c r="L25" i="162"/>
  <c r="K25" i="162"/>
  <c r="E25" i="162"/>
  <c r="J25" i="162"/>
  <c r="D25" i="162"/>
  <c r="I25" i="162"/>
  <c r="H25" i="162"/>
  <c r="AK24" i="162"/>
  <c r="AJ24" i="162"/>
  <c r="AI24" i="162"/>
  <c r="AH24" i="162"/>
  <c r="AC24" i="162"/>
  <c r="AB24" i="162"/>
  <c r="AA24" i="162"/>
  <c r="Z24" i="162"/>
  <c r="Y24" i="162"/>
  <c r="X24" i="162"/>
  <c r="W24" i="162"/>
  <c r="V24" i="162"/>
  <c r="U24" i="162"/>
  <c r="T24" i="162"/>
  <c r="S24" i="162"/>
  <c r="R24" i="162"/>
  <c r="Q24" i="162"/>
  <c r="P24" i="162"/>
  <c r="O24" i="162"/>
  <c r="N24" i="162"/>
  <c r="M24" i="162"/>
  <c r="L24" i="162"/>
  <c r="K24" i="162"/>
  <c r="J24" i="162"/>
  <c r="I24" i="162"/>
  <c r="H24" i="162"/>
  <c r="E24" i="162"/>
  <c r="D24" i="162"/>
  <c r="AK23" i="162"/>
  <c r="AJ23" i="162"/>
  <c r="AI23" i="162"/>
  <c r="AH23" i="162"/>
  <c r="AC23" i="162"/>
  <c r="AB23" i="162"/>
  <c r="AA23" i="162"/>
  <c r="S14" i="162"/>
  <c r="Z23" i="162"/>
  <c r="Y23" i="162"/>
  <c r="X23" i="162"/>
  <c r="W23" i="162"/>
  <c r="V23" i="162"/>
  <c r="U23" i="162"/>
  <c r="T23" i="162"/>
  <c r="S23" i="162"/>
  <c r="R23" i="162"/>
  <c r="Q23" i="162"/>
  <c r="P23" i="162"/>
  <c r="O23" i="162"/>
  <c r="N23" i="162"/>
  <c r="M23" i="162"/>
  <c r="S7" i="162"/>
  <c r="L23" i="162"/>
  <c r="K23" i="162"/>
  <c r="E23" i="162"/>
  <c r="J23" i="162"/>
  <c r="D23" i="162"/>
  <c r="I23" i="162"/>
  <c r="H23" i="162"/>
  <c r="AK22" i="162"/>
  <c r="AK34" i="162"/>
  <c r="AJ22" i="162"/>
  <c r="AJ34" i="162"/>
  <c r="AI22" i="162"/>
  <c r="S16" i="162"/>
  <c r="AH22" i="162"/>
  <c r="AH34" i="162"/>
  <c r="AC22" i="162"/>
  <c r="AB22" i="162"/>
  <c r="AA22" i="162"/>
  <c r="Z22" i="162"/>
  <c r="Y22" i="162"/>
  <c r="Y34" i="162"/>
  <c r="X22" i="162"/>
  <c r="X34" i="162"/>
  <c r="W22" i="162"/>
  <c r="W34" i="162"/>
  <c r="V22" i="162"/>
  <c r="V34" i="162"/>
  <c r="U22" i="162"/>
  <c r="T22" i="162"/>
  <c r="S22" i="162"/>
  <c r="R22" i="162"/>
  <c r="Q22" i="162"/>
  <c r="Q34" i="162"/>
  <c r="P22" i="162"/>
  <c r="P34" i="162"/>
  <c r="O22" i="162"/>
  <c r="O34" i="162"/>
  <c r="N22" i="162"/>
  <c r="N34" i="162"/>
  <c r="M22" i="162"/>
  <c r="L22" i="162"/>
  <c r="K22" i="162"/>
  <c r="J22" i="162"/>
  <c r="I22" i="162"/>
  <c r="I34" i="162"/>
  <c r="H22" i="162"/>
  <c r="H34" i="162"/>
  <c r="E22" i="162"/>
  <c r="D22" i="162"/>
  <c r="S10" i="162"/>
  <c r="S9" i="162"/>
  <c r="S4" i="162"/>
  <c r="AY51" i="161"/>
  <c r="AZ51" i="161"/>
  <c r="AR51" i="161"/>
  <c r="AS51" i="161"/>
  <c r="AK51" i="161"/>
  <c r="AL51" i="161"/>
  <c r="AD51" i="161"/>
  <c r="AE51" i="161"/>
  <c r="W51" i="161"/>
  <c r="X51" i="161"/>
  <c r="P51" i="161"/>
  <c r="O51" i="161"/>
  <c r="AY50" i="161"/>
  <c r="AX50" i="161"/>
  <c r="AR50" i="161"/>
  <c r="AK50" i="161"/>
  <c r="AJ50" i="161"/>
  <c r="AD50" i="161"/>
  <c r="AC50" i="161"/>
  <c r="W50" i="161"/>
  <c r="P50" i="161"/>
  <c r="O50" i="161"/>
  <c r="AY49" i="161"/>
  <c r="AZ49" i="161"/>
  <c r="AR49" i="161"/>
  <c r="AQ49" i="161"/>
  <c r="AS49" i="161"/>
  <c r="AK49" i="161"/>
  <c r="AL49" i="161"/>
  <c r="AD49" i="161"/>
  <c r="AE49" i="161"/>
  <c r="W49" i="161"/>
  <c r="V49" i="161"/>
  <c r="P49" i="161"/>
  <c r="O49" i="161"/>
  <c r="Q49" i="161"/>
  <c r="AY48" i="161"/>
  <c r="AX48" i="161"/>
  <c r="AZ48" i="161"/>
  <c r="AR48" i="161"/>
  <c r="AQ48" i="161"/>
  <c r="AS48" i="161"/>
  <c r="AK48" i="161"/>
  <c r="AJ48" i="161"/>
  <c r="AD48" i="161"/>
  <c r="AC48" i="161"/>
  <c r="AE48" i="161"/>
  <c r="W48" i="161"/>
  <c r="V48" i="161"/>
  <c r="X48" i="161"/>
  <c r="P48" i="161"/>
  <c r="O48" i="161"/>
  <c r="Q48" i="161"/>
  <c r="AW47" i="161"/>
  <c r="AV47" i="161"/>
  <c r="AU47" i="161"/>
  <c r="AT47" i="161"/>
  <c r="AP47" i="161"/>
  <c r="AO47" i="161"/>
  <c r="AN47" i="161"/>
  <c r="AM47" i="161"/>
  <c r="AI47" i="161"/>
  <c r="AH47" i="161"/>
  <c r="AG47" i="161"/>
  <c r="AF47" i="161"/>
  <c r="AB47" i="161"/>
  <c r="AA47" i="161"/>
  <c r="Z47" i="161"/>
  <c r="Y47" i="161"/>
  <c r="U47" i="161"/>
  <c r="T47" i="161"/>
  <c r="S47" i="161"/>
  <c r="R47" i="161"/>
  <c r="N47" i="161"/>
  <c r="M47" i="161"/>
  <c r="L47" i="161"/>
  <c r="K47" i="161"/>
  <c r="AW46" i="161"/>
  <c r="AV46" i="161"/>
  <c r="AU46" i="161"/>
  <c r="AT46" i="161"/>
  <c r="AP46" i="161"/>
  <c r="AO46" i="161"/>
  <c r="AN46" i="161"/>
  <c r="AM46" i="161"/>
  <c r="AI46" i="161"/>
  <c r="AH46" i="161"/>
  <c r="AG46" i="161"/>
  <c r="AF46" i="161"/>
  <c r="AB46" i="161"/>
  <c r="AA46" i="161"/>
  <c r="Z46" i="161"/>
  <c r="Y46" i="161"/>
  <c r="U46" i="161"/>
  <c r="T46" i="161"/>
  <c r="S46" i="161"/>
  <c r="R46" i="161"/>
  <c r="N46" i="161"/>
  <c r="M46" i="161"/>
  <c r="L46" i="161"/>
  <c r="K46" i="161"/>
  <c r="AW45" i="161"/>
  <c r="AV45" i="161"/>
  <c r="AU45" i="161"/>
  <c r="AT45" i="161"/>
  <c r="AP45" i="161"/>
  <c r="AO45" i="161"/>
  <c r="AN45" i="161"/>
  <c r="AM45" i="161"/>
  <c r="AI45" i="161"/>
  <c r="AH45" i="161"/>
  <c r="AG45" i="161"/>
  <c r="AF45" i="161"/>
  <c r="AB45" i="161"/>
  <c r="AA45" i="161"/>
  <c r="Z45" i="161"/>
  <c r="Y45" i="161"/>
  <c r="U45" i="161"/>
  <c r="T45" i="161"/>
  <c r="S45" i="161"/>
  <c r="R45" i="161"/>
  <c r="N45" i="161"/>
  <c r="M45" i="161"/>
  <c r="L45" i="161"/>
  <c r="K45" i="161"/>
  <c r="B22" i="151"/>
  <c r="B21" i="151"/>
  <c r="S12" i="160"/>
  <c r="R12" i="160"/>
  <c r="Q12" i="160"/>
  <c r="P12" i="160"/>
  <c r="M12" i="160"/>
  <c r="J12" i="160"/>
  <c r="H12" i="160"/>
  <c r="G12" i="160"/>
  <c r="F12" i="160"/>
  <c r="E12" i="160"/>
  <c r="D12" i="160"/>
  <c r="C12" i="160"/>
  <c r="U11" i="160"/>
  <c r="T11" i="160"/>
  <c r="S11" i="160"/>
  <c r="R11" i="160"/>
  <c r="Q11" i="160"/>
  <c r="P11" i="160"/>
  <c r="M11" i="160"/>
  <c r="L11" i="160"/>
  <c r="J11" i="160"/>
  <c r="I11" i="160"/>
  <c r="H11" i="160"/>
  <c r="G11" i="160"/>
  <c r="F11" i="160"/>
  <c r="E11" i="160"/>
  <c r="D11" i="160"/>
  <c r="C11" i="160"/>
  <c r="B11" i="160"/>
  <c r="U10" i="160"/>
  <c r="T10" i="160"/>
  <c r="S10" i="160"/>
  <c r="R10" i="160"/>
  <c r="Q10" i="160"/>
  <c r="P10" i="160"/>
  <c r="M10" i="160"/>
  <c r="L10" i="160"/>
  <c r="J10" i="160"/>
  <c r="I10" i="160"/>
  <c r="H10" i="160"/>
  <c r="G10" i="160"/>
  <c r="F10" i="160"/>
  <c r="E10" i="160"/>
  <c r="D10" i="160"/>
  <c r="C10" i="160"/>
  <c r="U9" i="160"/>
  <c r="T9" i="160"/>
  <c r="S9" i="160"/>
  <c r="R9" i="160"/>
  <c r="Q9" i="160"/>
  <c r="P9" i="160"/>
  <c r="M9" i="160"/>
  <c r="L9" i="160"/>
  <c r="J9" i="160"/>
  <c r="I9" i="160"/>
  <c r="H9" i="160"/>
  <c r="G9" i="160"/>
  <c r="F9" i="160"/>
  <c r="E9" i="160"/>
  <c r="D9" i="160"/>
  <c r="C9" i="160"/>
  <c r="U8" i="160"/>
  <c r="T8" i="160"/>
  <c r="S8" i="160"/>
  <c r="R8" i="160"/>
  <c r="Q8" i="160"/>
  <c r="P8" i="160"/>
  <c r="M8" i="160"/>
  <c r="L8" i="160"/>
  <c r="K8" i="160"/>
  <c r="J8" i="160"/>
  <c r="I8" i="160"/>
  <c r="H8" i="160"/>
  <c r="G8" i="160"/>
  <c r="F8" i="160"/>
  <c r="E8" i="160"/>
  <c r="D8" i="160"/>
  <c r="C8" i="160"/>
  <c r="B8" i="160"/>
  <c r="U7" i="160"/>
  <c r="T7" i="160"/>
  <c r="S7" i="160"/>
  <c r="R7" i="160"/>
  <c r="Q7" i="160"/>
  <c r="P7" i="160"/>
  <c r="M7" i="160"/>
  <c r="L7" i="160"/>
  <c r="K7" i="160"/>
  <c r="J7" i="160"/>
  <c r="I7" i="160"/>
  <c r="H7" i="160"/>
  <c r="G7" i="160"/>
  <c r="F7" i="160"/>
  <c r="E7" i="160"/>
  <c r="D7" i="160"/>
  <c r="C7" i="160"/>
  <c r="U6" i="160"/>
  <c r="U18" i="160"/>
  <c r="T6" i="160"/>
  <c r="S6" i="160"/>
  <c r="S18" i="160"/>
  <c r="R6" i="160"/>
  <c r="Q6" i="160"/>
  <c r="Q18" i="160"/>
  <c r="P6" i="160"/>
  <c r="N6" i="160"/>
  <c r="N18" i="160"/>
  <c r="M6" i="160"/>
  <c r="L6" i="160"/>
  <c r="L18" i="160"/>
  <c r="K6" i="160"/>
  <c r="J6" i="160"/>
  <c r="J18" i="160"/>
  <c r="I6" i="160"/>
  <c r="H6" i="160"/>
  <c r="H18" i="160"/>
  <c r="G6" i="160"/>
  <c r="F6" i="160"/>
  <c r="F18" i="160"/>
  <c r="E6" i="160"/>
  <c r="D6" i="160"/>
  <c r="D18" i="160"/>
  <c r="C6" i="160"/>
  <c r="Q93" i="150"/>
  <c r="U88" i="150"/>
  <c r="T88" i="150"/>
  <c r="S88" i="150"/>
  <c r="P88" i="150"/>
  <c r="O88" i="150"/>
  <c r="N88" i="150"/>
  <c r="M88" i="150"/>
  <c r="L88" i="150"/>
  <c r="K88" i="150"/>
  <c r="I88" i="150"/>
  <c r="G88" i="150"/>
  <c r="F88" i="150"/>
  <c r="E88" i="150"/>
  <c r="D88" i="150"/>
  <c r="U87" i="150"/>
  <c r="T87" i="150"/>
  <c r="S87" i="150"/>
  <c r="P87" i="150"/>
  <c r="O87" i="150"/>
  <c r="N87" i="150"/>
  <c r="M87" i="150"/>
  <c r="L87" i="150"/>
  <c r="K87" i="150"/>
  <c r="I87" i="150"/>
  <c r="G87" i="150"/>
  <c r="F87" i="150"/>
  <c r="E87" i="150"/>
  <c r="D87" i="150"/>
  <c r="U86" i="150"/>
  <c r="T86" i="150"/>
  <c r="S86" i="150"/>
  <c r="P86" i="150"/>
  <c r="O86" i="150"/>
  <c r="N86" i="150"/>
  <c r="M86" i="150"/>
  <c r="L86" i="150"/>
  <c r="K86" i="150"/>
  <c r="J86" i="150"/>
  <c r="I86" i="150"/>
  <c r="G86" i="150"/>
  <c r="F86" i="150"/>
  <c r="E86" i="150"/>
  <c r="D86" i="150"/>
  <c r="U85" i="150"/>
  <c r="T85" i="150"/>
  <c r="S85" i="150"/>
  <c r="P85" i="150"/>
  <c r="O85" i="150"/>
  <c r="N85" i="150"/>
  <c r="M85" i="150"/>
  <c r="L85" i="150"/>
  <c r="K85" i="150"/>
  <c r="J85" i="150"/>
  <c r="I85" i="150"/>
  <c r="G85" i="150"/>
  <c r="F85" i="150"/>
  <c r="E85" i="150"/>
  <c r="D85" i="150"/>
  <c r="U84" i="150"/>
  <c r="T84" i="150"/>
  <c r="S84" i="150"/>
  <c r="P84" i="150"/>
  <c r="O84" i="150"/>
  <c r="N84" i="150"/>
  <c r="M84" i="150"/>
  <c r="L84" i="150"/>
  <c r="K84" i="150"/>
  <c r="J84" i="150"/>
  <c r="I84" i="150"/>
  <c r="G84" i="150"/>
  <c r="F84" i="150"/>
  <c r="E84" i="150"/>
  <c r="D84" i="150"/>
  <c r="W83" i="150"/>
  <c r="V83" i="150"/>
  <c r="U83" i="150"/>
  <c r="T83" i="150"/>
  <c r="S83" i="150"/>
  <c r="P83" i="150"/>
  <c r="O83" i="150"/>
  <c r="N83" i="150"/>
  <c r="M83" i="150"/>
  <c r="L83" i="150"/>
  <c r="K83" i="150"/>
  <c r="J83" i="150"/>
  <c r="I83" i="150"/>
  <c r="G83" i="150"/>
  <c r="F83" i="150"/>
  <c r="E83" i="150"/>
  <c r="D83" i="150"/>
  <c r="W82" i="150"/>
  <c r="V82" i="150"/>
  <c r="U82" i="150"/>
  <c r="T82" i="150"/>
  <c r="S82" i="150"/>
  <c r="P82" i="150"/>
  <c r="O82" i="150"/>
  <c r="N82" i="150"/>
  <c r="M82" i="150"/>
  <c r="L82" i="150"/>
  <c r="K82" i="150"/>
  <c r="J82" i="150"/>
  <c r="I82" i="150"/>
  <c r="H82" i="150"/>
  <c r="G82" i="150"/>
  <c r="F82" i="150"/>
  <c r="E82" i="150"/>
  <c r="D82" i="150"/>
  <c r="W81" i="150"/>
  <c r="V81" i="150"/>
  <c r="U81" i="150"/>
  <c r="T81" i="150"/>
  <c r="S81" i="150"/>
  <c r="P81" i="150"/>
  <c r="O81" i="150"/>
  <c r="N81" i="150"/>
  <c r="M81" i="150"/>
  <c r="L81" i="150"/>
  <c r="K81" i="150"/>
  <c r="J81" i="150"/>
  <c r="J93" i="150"/>
  <c r="I81" i="150"/>
  <c r="H81" i="150"/>
  <c r="G81" i="150"/>
  <c r="F81" i="150"/>
  <c r="E81" i="150"/>
  <c r="D81" i="150"/>
  <c r="C81" i="150"/>
  <c r="W57" i="150"/>
  <c r="V57" i="150"/>
  <c r="U57" i="150"/>
  <c r="T57" i="150"/>
  <c r="S57" i="150"/>
  <c r="R57" i="150"/>
  <c r="Q57" i="150"/>
  <c r="P57" i="150"/>
  <c r="O57" i="150"/>
  <c r="N57" i="150"/>
  <c r="M57" i="150"/>
  <c r="L57" i="150"/>
  <c r="K57" i="150"/>
  <c r="I57" i="150"/>
  <c r="G57" i="150"/>
  <c r="F57" i="150"/>
  <c r="E57" i="150"/>
  <c r="W56" i="150"/>
  <c r="V56" i="150"/>
  <c r="C56" i="150"/>
  <c r="U56" i="150"/>
  <c r="T56" i="150"/>
  <c r="S56" i="150"/>
  <c r="R56" i="150"/>
  <c r="Q56" i="150"/>
  <c r="P56" i="150"/>
  <c r="O56" i="150"/>
  <c r="N56" i="150"/>
  <c r="M56" i="150"/>
  <c r="L56" i="150"/>
  <c r="K56" i="150"/>
  <c r="I56" i="150"/>
  <c r="G56" i="150"/>
  <c r="F56" i="150"/>
  <c r="E56" i="150"/>
  <c r="D56" i="150"/>
  <c r="W55" i="150"/>
  <c r="V55" i="150"/>
  <c r="C55" i="150"/>
  <c r="U55" i="150"/>
  <c r="T55" i="150"/>
  <c r="S55" i="150"/>
  <c r="R55" i="150"/>
  <c r="Q55" i="150"/>
  <c r="P55" i="150"/>
  <c r="O55" i="150"/>
  <c r="N55" i="150"/>
  <c r="M55" i="150"/>
  <c r="L55" i="150"/>
  <c r="K55" i="150"/>
  <c r="J55" i="150"/>
  <c r="I55" i="150"/>
  <c r="G55" i="150"/>
  <c r="F55" i="150"/>
  <c r="E55" i="150"/>
  <c r="D55" i="150"/>
  <c r="W54" i="150"/>
  <c r="V54" i="150"/>
  <c r="U54" i="150"/>
  <c r="T54" i="150"/>
  <c r="S54" i="150"/>
  <c r="R54" i="150"/>
  <c r="Q54" i="150"/>
  <c r="P54" i="150"/>
  <c r="O54" i="150"/>
  <c r="N54" i="150"/>
  <c r="M54" i="150"/>
  <c r="L54" i="150"/>
  <c r="K54" i="150"/>
  <c r="J54" i="150"/>
  <c r="I54" i="150"/>
  <c r="G54" i="150"/>
  <c r="F54" i="150"/>
  <c r="E54" i="150"/>
  <c r="D54" i="150"/>
  <c r="W53" i="150"/>
  <c r="V53" i="150"/>
  <c r="C53" i="150"/>
  <c r="U53" i="150"/>
  <c r="T53" i="150"/>
  <c r="S53" i="150"/>
  <c r="R53" i="150"/>
  <c r="Q53" i="150"/>
  <c r="P53" i="150"/>
  <c r="O53" i="150"/>
  <c r="N53" i="150"/>
  <c r="M53" i="150"/>
  <c r="L53" i="150"/>
  <c r="K53" i="150"/>
  <c r="J53" i="150"/>
  <c r="I53" i="150"/>
  <c r="G53" i="150"/>
  <c r="F53" i="150"/>
  <c r="E53" i="150"/>
  <c r="D53" i="150"/>
  <c r="W52" i="150"/>
  <c r="V52" i="150"/>
  <c r="U52" i="150"/>
  <c r="T52" i="150"/>
  <c r="S52" i="150"/>
  <c r="R52" i="150"/>
  <c r="Q52" i="150"/>
  <c r="P52" i="150"/>
  <c r="O52" i="150"/>
  <c r="N52" i="150"/>
  <c r="M52" i="150"/>
  <c r="L52" i="150"/>
  <c r="K52" i="150"/>
  <c r="J52" i="150"/>
  <c r="I52" i="150"/>
  <c r="H52" i="150"/>
  <c r="G52" i="150"/>
  <c r="F52" i="150"/>
  <c r="E52" i="150"/>
  <c r="D52" i="150"/>
  <c r="W51" i="150"/>
  <c r="V51" i="150"/>
  <c r="U51" i="150"/>
  <c r="T51" i="150"/>
  <c r="S51" i="150"/>
  <c r="R51" i="150"/>
  <c r="Q51" i="150"/>
  <c r="P51" i="150"/>
  <c r="O51" i="150"/>
  <c r="N51" i="150"/>
  <c r="M51" i="150"/>
  <c r="L51" i="150"/>
  <c r="K51" i="150"/>
  <c r="J51" i="150"/>
  <c r="I51" i="150"/>
  <c r="H51" i="150"/>
  <c r="G51" i="150"/>
  <c r="F51" i="150"/>
  <c r="E51" i="150"/>
  <c r="D51" i="150"/>
  <c r="W50" i="150"/>
  <c r="V50" i="150"/>
  <c r="U50" i="150"/>
  <c r="U62" i="150"/>
  <c r="T50" i="150"/>
  <c r="S50" i="150"/>
  <c r="R50" i="150"/>
  <c r="Q50" i="150"/>
  <c r="Q62" i="150"/>
  <c r="P50" i="150"/>
  <c r="O50" i="150"/>
  <c r="O62" i="150"/>
  <c r="N50" i="150"/>
  <c r="M50" i="150"/>
  <c r="L50" i="150"/>
  <c r="K50" i="150"/>
  <c r="J50" i="150"/>
  <c r="I50" i="150"/>
  <c r="I62" i="150"/>
  <c r="H50" i="150"/>
  <c r="G50" i="150"/>
  <c r="G62" i="150"/>
  <c r="F50" i="150"/>
  <c r="E50" i="150"/>
  <c r="E62" i="150"/>
  <c r="D50" i="150"/>
  <c r="X31" i="150"/>
  <c r="V26" i="150"/>
  <c r="U26" i="150"/>
  <c r="T26" i="150"/>
  <c r="S26" i="150"/>
  <c r="R26" i="150"/>
  <c r="Q26" i="150"/>
  <c r="P26" i="150"/>
  <c r="O26" i="150"/>
  <c r="N26" i="150"/>
  <c r="M26" i="150"/>
  <c r="L26" i="150"/>
  <c r="J26" i="150"/>
  <c r="H26" i="150"/>
  <c r="G26" i="150"/>
  <c r="F26" i="150"/>
  <c r="V25" i="150"/>
  <c r="U25" i="150"/>
  <c r="T25" i="150"/>
  <c r="S25" i="150"/>
  <c r="R25" i="150"/>
  <c r="Q25" i="150"/>
  <c r="P25" i="150"/>
  <c r="O25" i="150"/>
  <c r="N25" i="150"/>
  <c r="M25" i="150"/>
  <c r="L25" i="150"/>
  <c r="J25" i="150"/>
  <c r="I25" i="150"/>
  <c r="H25" i="150"/>
  <c r="G25" i="150"/>
  <c r="F25" i="150"/>
  <c r="E25" i="150"/>
  <c r="V24" i="150"/>
  <c r="U24" i="150"/>
  <c r="T24" i="150"/>
  <c r="S24" i="150"/>
  <c r="R24" i="150"/>
  <c r="Q24" i="150"/>
  <c r="P24" i="150"/>
  <c r="O24" i="150"/>
  <c r="N24" i="150"/>
  <c r="M24" i="150"/>
  <c r="L24" i="150"/>
  <c r="K24" i="150"/>
  <c r="J24" i="150"/>
  <c r="I24" i="150"/>
  <c r="H24" i="150"/>
  <c r="G24" i="150"/>
  <c r="D24" i="150"/>
  <c r="F24" i="150"/>
  <c r="E24" i="150"/>
  <c r="C24" i="150"/>
  <c r="G34" i="8"/>
  <c r="V23" i="150"/>
  <c r="U23" i="150"/>
  <c r="T23" i="150"/>
  <c r="S23" i="150"/>
  <c r="R23" i="150"/>
  <c r="Q23" i="150"/>
  <c r="P23" i="150"/>
  <c r="O23" i="150"/>
  <c r="N23" i="150"/>
  <c r="M23" i="150"/>
  <c r="L23" i="150"/>
  <c r="K23" i="150"/>
  <c r="J23" i="150"/>
  <c r="I23" i="150"/>
  <c r="H23" i="150"/>
  <c r="G23" i="150"/>
  <c r="D23" i="150"/>
  <c r="F23" i="150"/>
  <c r="E23" i="150"/>
  <c r="C23" i="150"/>
  <c r="F34" i="8"/>
  <c r="V22" i="150"/>
  <c r="U22" i="150"/>
  <c r="T22" i="150"/>
  <c r="S22" i="150"/>
  <c r="R22" i="150"/>
  <c r="Q22" i="150"/>
  <c r="P22" i="150"/>
  <c r="O22" i="150"/>
  <c r="N22" i="150"/>
  <c r="M22" i="150"/>
  <c r="L22" i="150"/>
  <c r="K22" i="150"/>
  <c r="J22" i="150"/>
  <c r="I22" i="150"/>
  <c r="H22" i="150"/>
  <c r="G22" i="150"/>
  <c r="F22" i="150"/>
  <c r="E22" i="150"/>
  <c r="V21" i="150"/>
  <c r="U21" i="150"/>
  <c r="T21" i="150"/>
  <c r="S21" i="150"/>
  <c r="R21" i="150"/>
  <c r="Q21" i="150"/>
  <c r="P21" i="150"/>
  <c r="O21" i="150"/>
  <c r="N21" i="150"/>
  <c r="M21" i="150"/>
  <c r="L21" i="150"/>
  <c r="K21" i="150"/>
  <c r="J21" i="150"/>
  <c r="I21" i="150"/>
  <c r="H21" i="150"/>
  <c r="G21" i="150"/>
  <c r="F21" i="150"/>
  <c r="E21" i="150"/>
  <c r="C21" i="150"/>
  <c r="D34" i="8"/>
  <c r="W20" i="150"/>
  <c r="U20" i="150"/>
  <c r="T20" i="150"/>
  <c r="S20" i="150"/>
  <c r="R20" i="150"/>
  <c r="Q20" i="150"/>
  <c r="P20" i="150"/>
  <c r="O20" i="150"/>
  <c r="N20" i="150"/>
  <c r="M20" i="150"/>
  <c r="L20" i="150"/>
  <c r="K20" i="150"/>
  <c r="J20" i="150"/>
  <c r="I20" i="150"/>
  <c r="H20" i="150"/>
  <c r="G20" i="150"/>
  <c r="F20" i="150"/>
  <c r="C20" i="150"/>
  <c r="C34" i="8"/>
  <c r="E20" i="150"/>
  <c r="D20" i="150"/>
  <c r="J19" i="9"/>
  <c r="V19" i="150"/>
  <c r="U19" i="150"/>
  <c r="T19" i="150"/>
  <c r="S19" i="150"/>
  <c r="R19" i="150"/>
  <c r="Q19" i="150"/>
  <c r="P19" i="150"/>
  <c r="O19" i="150"/>
  <c r="N19" i="150"/>
  <c r="M19" i="150"/>
  <c r="L19" i="150"/>
  <c r="K19" i="150"/>
  <c r="J19" i="150"/>
  <c r="I19" i="150"/>
  <c r="H19" i="150"/>
  <c r="G19" i="150"/>
  <c r="F19" i="150"/>
  <c r="E19" i="150"/>
  <c r="C19" i="150"/>
  <c r="BT32" i="155"/>
  <c r="BS32" i="155"/>
  <c r="BQ32" i="155"/>
  <c r="BP32" i="155"/>
  <c r="BN32" i="155"/>
  <c r="BM32" i="155"/>
  <c r="BJ32" i="155"/>
  <c r="BI32" i="155"/>
  <c r="BH32" i="155"/>
  <c r="BG32" i="155"/>
  <c r="BD32" i="155"/>
  <c r="BC32" i="155"/>
  <c r="BB32" i="155"/>
  <c r="BA32" i="155"/>
  <c r="AX32" i="155"/>
  <c r="AW32" i="155"/>
  <c r="AV32" i="155"/>
  <c r="AU32" i="155"/>
  <c r="AS32" i="155"/>
  <c r="AR32" i="155"/>
  <c r="E32" i="155"/>
  <c r="AP32" i="155"/>
  <c r="AO32" i="155"/>
  <c r="AL32" i="155"/>
  <c r="AK32" i="155"/>
  <c r="AJ32" i="155"/>
  <c r="AI32" i="155"/>
  <c r="AF32" i="155"/>
  <c r="AE32" i="155"/>
  <c r="AA32" i="155"/>
  <c r="Z32" i="155"/>
  <c r="X32" i="155"/>
  <c r="W32" i="155"/>
  <c r="U32" i="155"/>
  <c r="T32" i="155"/>
  <c r="Q32" i="155"/>
  <c r="P32" i="155"/>
  <c r="N32" i="155"/>
  <c r="M32" i="155"/>
  <c r="L32" i="155"/>
  <c r="K32" i="155"/>
  <c r="H32" i="155"/>
  <c r="BT31" i="155"/>
  <c r="BS31" i="155"/>
  <c r="BQ31" i="155"/>
  <c r="BP31" i="155"/>
  <c r="BN31" i="155"/>
  <c r="BM31" i="155"/>
  <c r="BJ31" i="155"/>
  <c r="BI31" i="155"/>
  <c r="BH31" i="155"/>
  <c r="BG31" i="155"/>
  <c r="BD31" i="155"/>
  <c r="BC31" i="155"/>
  <c r="BB31" i="155"/>
  <c r="BA31" i="155"/>
  <c r="AX31" i="155"/>
  <c r="AW31" i="155"/>
  <c r="AV31" i="155"/>
  <c r="AU31" i="155"/>
  <c r="AS31" i="155"/>
  <c r="AR31" i="155"/>
  <c r="E31" i="155"/>
  <c r="AP31" i="155"/>
  <c r="AO31" i="155"/>
  <c r="AL31" i="155"/>
  <c r="AK31" i="155"/>
  <c r="AJ31" i="155"/>
  <c r="AI31" i="155"/>
  <c r="AF31" i="155"/>
  <c r="AE31" i="155"/>
  <c r="AC31" i="155"/>
  <c r="AB31" i="155"/>
  <c r="AA31" i="155"/>
  <c r="Z31" i="155"/>
  <c r="X31" i="155"/>
  <c r="W31" i="155"/>
  <c r="U31" i="155"/>
  <c r="T31" i="155"/>
  <c r="Q31" i="155"/>
  <c r="P31" i="155"/>
  <c r="N31" i="155"/>
  <c r="M31" i="155"/>
  <c r="L31" i="155"/>
  <c r="K31" i="155"/>
  <c r="H31" i="155"/>
  <c r="BT30" i="155"/>
  <c r="BS30" i="155"/>
  <c r="BQ30" i="155"/>
  <c r="BP30" i="155"/>
  <c r="BN30" i="155"/>
  <c r="BM30" i="155"/>
  <c r="BJ30" i="155"/>
  <c r="BI30" i="155"/>
  <c r="BH30" i="155"/>
  <c r="BG30" i="155"/>
  <c r="BD30" i="155"/>
  <c r="BC30" i="155"/>
  <c r="BB30" i="155"/>
  <c r="BA30" i="155"/>
  <c r="AX30" i="155"/>
  <c r="AW30" i="155"/>
  <c r="AV30" i="155"/>
  <c r="AU30" i="155"/>
  <c r="AS30" i="155"/>
  <c r="AR30" i="155"/>
  <c r="E30" i="155"/>
  <c r="AP30" i="155"/>
  <c r="AO30" i="155"/>
  <c r="AL30" i="155"/>
  <c r="AK30" i="155"/>
  <c r="AJ30" i="155"/>
  <c r="AI30" i="155"/>
  <c r="AF30" i="155"/>
  <c r="AE30" i="155"/>
  <c r="AC30" i="155"/>
  <c r="AB30" i="155"/>
  <c r="AA30" i="155"/>
  <c r="Z30" i="155"/>
  <c r="X30" i="155"/>
  <c r="W30" i="155"/>
  <c r="U30" i="155"/>
  <c r="T30" i="155"/>
  <c r="Q30" i="155"/>
  <c r="P30" i="155"/>
  <c r="N30" i="155"/>
  <c r="M30" i="155"/>
  <c r="L30" i="155"/>
  <c r="K30" i="155"/>
  <c r="H30" i="155"/>
  <c r="BT29" i="155"/>
  <c r="BS29" i="155"/>
  <c r="BQ29" i="155"/>
  <c r="BP29" i="155"/>
  <c r="BN29" i="155"/>
  <c r="BM29" i="155"/>
  <c r="BJ29" i="155"/>
  <c r="BI29" i="155"/>
  <c r="BH29" i="155"/>
  <c r="BG29" i="155"/>
  <c r="BD29" i="155"/>
  <c r="BC29" i="155"/>
  <c r="BB29" i="155"/>
  <c r="BA29" i="155"/>
  <c r="AX29" i="155"/>
  <c r="AW29" i="155"/>
  <c r="AV29" i="155"/>
  <c r="AU29" i="155"/>
  <c r="AS29" i="155"/>
  <c r="AR29" i="155"/>
  <c r="E29" i="155"/>
  <c r="AP29" i="155"/>
  <c r="AO29" i="155"/>
  <c r="AL29" i="155"/>
  <c r="AK29" i="155"/>
  <c r="AJ29" i="155"/>
  <c r="AI29" i="155"/>
  <c r="AF29" i="155"/>
  <c r="AE29" i="155"/>
  <c r="AC29" i="155"/>
  <c r="AB29" i="155"/>
  <c r="AA29" i="155"/>
  <c r="Z29" i="155"/>
  <c r="X29" i="155"/>
  <c r="W29" i="155"/>
  <c r="U29" i="155"/>
  <c r="T29" i="155"/>
  <c r="Q29" i="155"/>
  <c r="P29" i="155"/>
  <c r="N29" i="155"/>
  <c r="M29" i="155"/>
  <c r="L29" i="155"/>
  <c r="K29" i="155"/>
  <c r="H29" i="155"/>
  <c r="BT28" i="155"/>
  <c r="BS28" i="155"/>
  <c r="BQ28" i="155"/>
  <c r="BP28" i="155"/>
  <c r="BN28" i="155"/>
  <c r="BM28" i="155"/>
  <c r="BJ28" i="155"/>
  <c r="BI28" i="155"/>
  <c r="BH28" i="155"/>
  <c r="BG28" i="155"/>
  <c r="BD28" i="155"/>
  <c r="BC28" i="155"/>
  <c r="BB28" i="155"/>
  <c r="BA28" i="155"/>
  <c r="AX28" i="155"/>
  <c r="AW28" i="155"/>
  <c r="AV28" i="155"/>
  <c r="AU28" i="155"/>
  <c r="AS28" i="155"/>
  <c r="AR28" i="155"/>
  <c r="E28" i="155"/>
  <c r="AP28" i="155"/>
  <c r="AO28" i="155"/>
  <c r="AL28" i="155"/>
  <c r="AK28" i="155"/>
  <c r="AJ28" i="155"/>
  <c r="AI28" i="155"/>
  <c r="AF28" i="155"/>
  <c r="AE28" i="155"/>
  <c r="AC28" i="155"/>
  <c r="AA28" i="155"/>
  <c r="Z28" i="155"/>
  <c r="X28" i="155"/>
  <c r="W28" i="155"/>
  <c r="U28" i="155"/>
  <c r="T28" i="155"/>
  <c r="Q28" i="155"/>
  <c r="P28" i="155"/>
  <c r="N28" i="155"/>
  <c r="M28" i="155"/>
  <c r="L28" i="155"/>
  <c r="K28" i="155"/>
  <c r="H28" i="155"/>
  <c r="G28" i="155"/>
  <c r="BT27" i="155"/>
  <c r="BS27" i="155"/>
  <c r="BQ27" i="155"/>
  <c r="BP27" i="155"/>
  <c r="BN27" i="155"/>
  <c r="BM27" i="155"/>
  <c r="BJ27" i="155"/>
  <c r="BI27" i="155"/>
  <c r="BH27" i="155"/>
  <c r="BG27" i="155"/>
  <c r="BD27" i="155"/>
  <c r="BC27" i="155"/>
  <c r="BB27" i="155"/>
  <c r="BA27" i="155"/>
  <c r="AX27" i="155"/>
  <c r="AW27" i="155"/>
  <c r="AV27" i="155"/>
  <c r="AU27" i="155"/>
  <c r="AS27" i="155"/>
  <c r="AR27" i="155"/>
  <c r="E27" i="155"/>
  <c r="AP27" i="155"/>
  <c r="AO27" i="155"/>
  <c r="AL27" i="155"/>
  <c r="AK27" i="155"/>
  <c r="AJ27" i="155"/>
  <c r="AI27" i="155"/>
  <c r="AF27" i="155"/>
  <c r="AE27" i="155"/>
  <c r="AC27" i="155"/>
  <c r="AA27" i="155"/>
  <c r="Z27" i="155"/>
  <c r="X27" i="155"/>
  <c r="W27" i="155"/>
  <c r="U27" i="155"/>
  <c r="T27" i="155"/>
  <c r="Q27" i="155"/>
  <c r="P27" i="155"/>
  <c r="N27" i="155"/>
  <c r="M27" i="155"/>
  <c r="L27" i="155"/>
  <c r="K27" i="155"/>
  <c r="H27" i="155"/>
  <c r="G27" i="155"/>
  <c r="BS26" i="155"/>
  <c r="BP26" i="155"/>
  <c r="BN26" i="155"/>
  <c r="BM26" i="155"/>
  <c r="BH26" i="155"/>
  <c r="BG26" i="155"/>
  <c r="BB26" i="155"/>
  <c r="AX26" i="155"/>
  <c r="AW26" i="155"/>
  <c r="AV26" i="155"/>
  <c r="AU26" i="155"/>
  <c r="AS26" i="155"/>
  <c r="AR26" i="155"/>
  <c r="AP26" i="155"/>
  <c r="AO26" i="155"/>
  <c r="AL26" i="155"/>
  <c r="AK26" i="155"/>
  <c r="AJ26" i="155"/>
  <c r="AI26" i="155"/>
  <c r="AF26" i="155"/>
  <c r="AE26" i="155"/>
  <c r="AC26" i="155"/>
  <c r="AB26" i="155"/>
  <c r="AA26" i="155"/>
  <c r="Z26" i="155"/>
  <c r="X26" i="155"/>
  <c r="W26" i="155"/>
  <c r="U26" i="155"/>
  <c r="T26" i="155"/>
  <c r="Q26" i="155"/>
  <c r="P26" i="155"/>
  <c r="N26" i="155"/>
  <c r="L26" i="155"/>
  <c r="K26" i="155"/>
  <c r="H26" i="155"/>
  <c r="G26" i="155"/>
  <c r="E26" i="155"/>
  <c r="BT25" i="155"/>
  <c r="BS25" i="155"/>
  <c r="BQ25" i="155"/>
  <c r="BP25" i="155"/>
  <c r="BN25" i="155"/>
  <c r="BM25" i="155"/>
  <c r="BK25" i="155"/>
  <c r="BJ25" i="155"/>
  <c r="BH25" i="155"/>
  <c r="BG25" i="155"/>
  <c r="BD25" i="155"/>
  <c r="BB25" i="155"/>
  <c r="BA25" i="155"/>
  <c r="AX25" i="155"/>
  <c r="AW25" i="155"/>
  <c r="AV25" i="155"/>
  <c r="AU25" i="155"/>
  <c r="AR25" i="155"/>
  <c r="E25" i="155"/>
  <c r="AP25" i="155"/>
  <c r="AO25" i="155"/>
  <c r="AL25" i="155"/>
  <c r="AJ25" i="155"/>
  <c r="AI25" i="155"/>
  <c r="AF25" i="155"/>
  <c r="AC25" i="155"/>
  <c r="AA25" i="155"/>
  <c r="Z25" i="155"/>
  <c r="X25" i="155"/>
  <c r="W25" i="155"/>
  <c r="U25" i="155"/>
  <c r="T25" i="155"/>
  <c r="Q25" i="155"/>
  <c r="N25" i="155"/>
  <c r="L25" i="155"/>
  <c r="K25" i="155"/>
  <c r="H25" i="155"/>
  <c r="AO38" i="145"/>
  <c r="AN38" i="145"/>
  <c r="AM38" i="145"/>
  <c r="AL38" i="145"/>
  <c r="AK38" i="145"/>
  <c r="AJ38" i="145"/>
  <c r="AI38" i="145"/>
  <c r="AH38" i="145"/>
  <c r="AG38" i="145"/>
  <c r="AF38" i="145"/>
  <c r="AE38" i="145"/>
  <c r="AD38" i="145"/>
  <c r="AC38" i="145"/>
  <c r="AB38" i="145"/>
  <c r="AA38" i="145"/>
  <c r="Z38" i="145"/>
  <c r="Y38" i="145"/>
  <c r="X38" i="145"/>
  <c r="W38" i="145"/>
  <c r="V38" i="145"/>
  <c r="U38" i="145"/>
  <c r="T38" i="145"/>
  <c r="S38" i="145"/>
  <c r="R38" i="145"/>
  <c r="Q38" i="145"/>
  <c r="P38" i="145"/>
  <c r="O38" i="145"/>
  <c r="N38" i="145"/>
  <c r="M38" i="145"/>
  <c r="L38" i="145"/>
  <c r="K38" i="145"/>
  <c r="J38" i="145"/>
  <c r="I38" i="145"/>
  <c r="H38" i="145"/>
  <c r="G38" i="145"/>
  <c r="F38" i="145"/>
  <c r="E38" i="145"/>
  <c r="D38" i="145"/>
  <c r="C34" i="145"/>
  <c r="C33" i="145"/>
  <c r="C32" i="145"/>
  <c r="C31" i="145"/>
  <c r="C30" i="145"/>
  <c r="C29" i="145"/>
  <c r="C28" i="145"/>
  <c r="C27" i="145"/>
  <c r="C38" i="145"/>
  <c r="C26" i="145"/>
  <c r="BJ38" i="147"/>
  <c r="BI38" i="147"/>
  <c r="BH38" i="147"/>
  <c r="BG38" i="147"/>
  <c r="BF38" i="147"/>
  <c r="BE38" i="147"/>
  <c r="BD33" i="147"/>
  <c r="BC33" i="147"/>
  <c r="BB33" i="147"/>
  <c r="BA33" i="147"/>
  <c r="AY33" i="147"/>
  <c r="AZ33" i="147"/>
  <c r="AX33" i="147"/>
  <c r="AW33" i="147"/>
  <c r="AV33" i="147"/>
  <c r="AU33" i="147"/>
  <c r="AT33" i="147"/>
  <c r="AS33" i="147"/>
  <c r="AR33" i="147"/>
  <c r="AQ33" i="147"/>
  <c r="AP33" i="147"/>
  <c r="AO33" i="147"/>
  <c r="AM33" i="147"/>
  <c r="AN33" i="147"/>
  <c r="AL33" i="147"/>
  <c r="AK33" i="147"/>
  <c r="AJ33" i="147"/>
  <c r="AI33" i="147"/>
  <c r="AH33" i="147"/>
  <c r="AG33" i="147"/>
  <c r="AF33" i="147"/>
  <c r="AE33" i="147"/>
  <c r="AD33" i="147"/>
  <c r="AC33" i="147"/>
  <c r="AB33" i="147"/>
  <c r="AA33" i="147"/>
  <c r="W33" i="147"/>
  <c r="V33" i="147"/>
  <c r="U33" i="147"/>
  <c r="T33" i="147"/>
  <c r="R33" i="147"/>
  <c r="S33" i="147"/>
  <c r="Q33" i="147"/>
  <c r="P33" i="147"/>
  <c r="O33" i="147"/>
  <c r="N33" i="147"/>
  <c r="M33" i="147"/>
  <c r="L33" i="147"/>
  <c r="K33" i="147"/>
  <c r="J33" i="147"/>
  <c r="I33" i="147"/>
  <c r="H33" i="147"/>
  <c r="G33" i="147"/>
  <c r="F33" i="147"/>
  <c r="BD32" i="147"/>
  <c r="BC32" i="147"/>
  <c r="BB32" i="147"/>
  <c r="BA32" i="147"/>
  <c r="AY32" i="147"/>
  <c r="AZ32" i="147"/>
  <c r="AX32" i="147"/>
  <c r="AW32" i="147"/>
  <c r="AV32" i="147"/>
  <c r="AU32" i="147"/>
  <c r="AT32" i="147"/>
  <c r="AS32" i="147"/>
  <c r="AR32" i="147"/>
  <c r="AQ32" i="147"/>
  <c r="AP32" i="147"/>
  <c r="AO32" i="147"/>
  <c r="AN32" i="147"/>
  <c r="AM32" i="147"/>
  <c r="AL32" i="147"/>
  <c r="AK32" i="147"/>
  <c r="AJ32" i="147"/>
  <c r="AI32" i="147"/>
  <c r="AH32" i="147"/>
  <c r="AG32" i="147"/>
  <c r="AF32" i="147"/>
  <c r="AE32" i="147"/>
  <c r="AD32" i="147"/>
  <c r="AC32" i="147"/>
  <c r="AB32" i="147"/>
  <c r="AA32" i="147"/>
  <c r="Z32" i="147"/>
  <c r="Y32" i="147"/>
  <c r="X32" i="147"/>
  <c r="W32" i="147"/>
  <c r="V32" i="147"/>
  <c r="U32" i="147"/>
  <c r="T32" i="147"/>
  <c r="R32" i="147"/>
  <c r="S32" i="147"/>
  <c r="Q32" i="147"/>
  <c r="P32" i="147"/>
  <c r="O32" i="147"/>
  <c r="N32" i="147"/>
  <c r="M32" i="147"/>
  <c r="L32" i="147"/>
  <c r="K32" i="147"/>
  <c r="J32" i="147"/>
  <c r="I32" i="147"/>
  <c r="H32" i="147"/>
  <c r="G32" i="147"/>
  <c r="F32" i="147"/>
  <c r="BD31" i="147"/>
  <c r="BC31" i="147"/>
  <c r="BB31" i="147"/>
  <c r="BA31" i="147"/>
  <c r="AZ31" i="147"/>
  <c r="AY31" i="147"/>
  <c r="AX31" i="147"/>
  <c r="AW31" i="147"/>
  <c r="AV31" i="147"/>
  <c r="AU31" i="147"/>
  <c r="AT31" i="147"/>
  <c r="AS31" i="147"/>
  <c r="AR31" i="147"/>
  <c r="AQ31" i="147"/>
  <c r="AP31" i="147"/>
  <c r="AO31" i="147"/>
  <c r="AM31" i="147"/>
  <c r="AN31" i="147"/>
  <c r="AL31" i="147"/>
  <c r="AK31" i="147"/>
  <c r="AJ31" i="147"/>
  <c r="AI31" i="147"/>
  <c r="AH31" i="147"/>
  <c r="AG31" i="147"/>
  <c r="AF31" i="147"/>
  <c r="AE31" i="147"/>
  <c r="AD31" i="147"/>
  <c r="AC31" i="147"/>
  <c r="AB31" i="147"/>
  <c r="AA31" i="147"/>
  <c r="Z31" i="147"/>
  <c r="Y31" i="147"/>
  <c r="X31" i="147"/>
  <c r="W31" i="147"/>
  <c r="V31" i="147"/>
  <c r="U31" i="147"/>
  <c r="T31" i="147"/>
  <c r="R31" i="147"/>
  <c r="S31" i="147"/>
  <c r="Q31" i="147"/>
  <c r="P31" i="147"/>
  <c r="O31" i="147"/>
  <c r="N31" i="147"/>
  <c r="M31" i="147"/>
  <c r="L31" i="147"/>
  <c r="K31" i="147"/>
  <c r="J31" i="147"/>
  <c r="I31" i="147"/>
  <c r="H31" i="147"/>
  <c r="G31" i="147"/>
  <c r="F31" i="147"/>
  <c r="BD30" i="147"/>
  <c r="BC30" i="147"/>
  <c r="BB30" i="147"/>
  <c r="BA30" i="147"/>
  <c r="AZ30" i="147"/>
  <c r="AY30" i="147"/>
  <c r="AX30" i="147"/>
  <c r="AW30" i="147"/>
  <c r="AV30" i="147"/>
  <c r="AU30" i="147"/>
  <c r="AT30" i="147"/>
  <c r="AS30" i="147"/>
  <c r="AR30" i="147"/>
  <c r="AQ30" i="147"/>
  <c r="AP30" i="147"/>
  <c r="AO30" i="147"/>
  <c r="AM30" i="147"/>
  <c r="AN30" i="147"/>
  <c r="AL30" i="147"/>
  <c r="AK30" i="147"/>
  <c r="AJ30" i="147"/>
  <c r="AI30" i="147"/>
  <c r="AH30" i="147"/>
  <c r="AG30" i="147"/>
  <c r="AF30" i="147"/>
  <c r="AE30" i="147"/>
  <c r="AD30" i="147"/>
  <c r="AC30" i="147"/>
  <c r="AB30" i="147"/>
  <c r="AA30" i="147"/>
  <c r="Z30" i="147"/>
  <c r="Y30" i="147"/>
  <c r="X30" i="147"/>
  <c r="W30" i="147"/>
  <c r="V30" i="147"/>
  <c r="U30" i="147"/>
  <c r="T30" i="147"/>
  <c r="R30" i="147"/>
  <c r="S30" i="147"/>
  <c r="Q30" i="147"/>
  <c r="P30" i="147"/>
  <c r="O30" i="147"/>
  <c r="N30" i="147"/>
  <c r="M30" i="147"/>
  <c r="L30" i="147"/>
  <c r="K30" i="147"/>
  <c r="J30" i="147"/>
  <c r="I30" i="147"/>
  <c r="H30" i="147"/>
  <c r="G30" i="147"/>
  <c r="F30" i="147"/>
  <c r="BD29" i="147"/>
  <c r="BC29" i="147"/>
  <c r="BB29" i="147"/>
  <c r="BA29" i="147"/>
  <c r="AY29" i="147"/>
  <c r="AZ29" i="147"/>
  <c r="AX29" i="147"/>
  <c r="AW29" i="147"/>
  <c r="AV29" i="147"/>
  <c r="AU29" i="147"/>
  <c r="AT29" i="147"/>
  <c r="AS29" i="147"/>
  <c r="AR29" i="147"/>
  <c r="AQ29" i="147"/>
  <c r="AP29" i="147"/>
  <c r="AO29" i="147"/>
  <c r="AM29" i="147"/>
  <c r="AN29" i="147"/>
  <c r="AL29" i="147"/>
  <c r="AK29" i="147"/>
  <c r="AJ29" i="147"/>
  <c r="AI29" i="147"/>
  <c r="AH29" i="147"/>
  <c r="AG29" i="147"/>
  <c r="AF29" i="147"/>
  <c r="AE29" i="147"/>
  <c r="AD29" i="147"/>
  <c r="AC29" i="147"/>
  <c r="AB29" i="147"/>
  <c r="AA29" i="147"/>
  <c r="Z29" i="147"/>
  <c r="Y29" i="147"/>
  <c r="X29" i="147"/>
  <c r="W29" i="147"/>
  <c r="V29" i="147"/>
  <c r="U29" i="147"/>
  <c r="T29" i="147"/>
  <c r="R29" i="147"/>
  <c r="S29" i="147"/>
  <c r="Q29" i="147"/>
  <c r="P29" i="147"/>
  <c r="O29" i="147"/>
  <c r="N29" i="147"/>
  <c r="M29" i="147"/>
  <c r="L29" i="147"/>
  <c r="K29" i="147"/>
  <c r="J29" i="147"/>
  <c r="I29" i="147"/>
  <c r="H29" i="147"/>
  <c r="G29" i="147"/>
  <c r="F29" i="147"/>
  <c r="BD28" i="147"/>
  <c r="BC28" i="147"/>
  <c r="BB28" i="147"/>
  <c r="BA28" i="147"/>
  <c r="AY28" i="147"/>
  <c r="AZ28" i="147"/>
  <c r="AX28" i="147"/>
  <c r="AW28" i="147"/>
  <c r="AV28" i="147"/>
  <c r="AU28" i="147"/>
  <c r="AT28" i="147"/>
  <c r="AS28" i="147"/>
  <c r="AR28" i="147"/>
  <c r="AQ28" i="147"/>
  <c r="AP28" i="147"/>
  <c r="AO28" i="147"/>
  <c r="AN28" i="147"/>
  <c r="AM28" i="147"/>
  <c r="AL28" i="147"/>
  <c r="AK28" i="147"/>
  <c r="AJ28" i="147"/>
  <c r="AI28" i="147"/>
  <c r="AH28" i="147"/>
  <c r="AG28" i="147"/>
  <c r="AF28" i="147"/>
  <c r="AE28" i="147"/>
  <c r="AD28" i="147"/>
  <c r="AC28" i="147"/>
  <c r="AB28" i="147"/>
  <c r="AA28" i="147"/>
  <c r="Z28" i="147"/>
  <c r="Y28" i="147"/>
  <c r="X28" i="147"/>
  <c r="W28" i="147"/>
  <c r="V28" i="147"/>
  <c r="U28" i="147"/>
  <c r="T28" i="147"/>
  <c r="R28" i="147"/>
  <c r="S28" i="147"/>
  <c r="Q28" i="147"/>
  <c r="P28" i="147"/>
  <c r="O28" i="147"/>
  <c r="N28" i="147"/>
  <c r="M28" i="147"/>
  <c r="L28" i="147"/>
  <c r="K28" i="147"/>
  <c r="J28" i="147"/>
  <c r="I28" i="147"/>
  <c r="H28" i="147"/>
  <c r="G28" i="147"/>
  <c r="F28" i="147"/>
  <c r="BD27" i="147"/>
  <c r="BC27" i="147"/>
  <c r="BB27" i="147"/>
  <c r="BA27" i="147"/>
  <c r="AY27" i="147"/>
  <c r="AZ27" i="147"/>
  <c r="AX27" i="147"/>
  <c r="AW27" i="147"/>
  <c r="AV27" i="147"/>
  <c r="AU27" i="147"/>
  <c r="AT27" i="147"/>
  <c r="AS27" i="147"/>
  <c r="AR27" i="147"/>
  <c r="AQ27" i="147"/>
  <c r="AP27" i="147"/>
  <c r="AO27" i="147"/>
  <c r="AM27" i="147"/>
  <c r="AN27" i="147"/>
  <c r="AL27" i="147"/>
  <c r="AK27" i="147"/>
  <c r="AJ27" i="147"/>
  <c r="AI27" i="147"/>
  <c r="AH27" i="147"/>
  <c r="AG27" i="147"/>
  <c r="AF27" i="147"/>
  <c r="AE27" i="147"/>
  <c r="AD27" i="147"/>
  <c r="AC27" i="147"/>
  <c r="AB27" i="147"/>
  <c r="AA27" i="147"/>
  <c r="Z27" i="147"/>
  <c r="Y27" i="147"/>
  <c r="X27" i="147"/>
  <c r="W27" i="147"/>
  <c r="V27" i="147"/>
  <c r="U27" i="147"/>
  <c r="T27" i="147"/>
  <c r="R27" i="147"/>
  <c r="S27" i="147"/>
  <c r="Q27" i="147"/>
  <c r="P27" i="147"/>
  <c r="O27" i="147"/>
  <c r="N27" i="147"/>
  <c r="M27" i="147"/>
  <c r="L27" i="147"/>
  <c r="K27" i="147"/>
  <c r="J27" i="147"/>
  <c r="I27" i="147"/>
  <c r="H27" i="147"/>
  <c r="G27" i="147"/>
  <c r="F27" i="147"/>
  <c r="BD26" i="147"/>
  <c r="BD38" i="147"/>
  <c r="BC26" i="147"/>
  <c r="BC38" i="147"/>
  <c r="BB26" i="147"/>
  <c r="BA26" i="147"/>
  <c r="AZ26" i="147"/>
  <c r="AY26" i="147"/>
  <c r="AX26" i="147"/>
  <c r="AW26" i="147"/>
  <c r="AV26" i="147"/>
  <c r="AV38" i="147"/>
  <c r="AU26" i="147"/>
  <c r="AU38" i="147"/>
  <c r="AT26" i="147"/>
  <c r="AS26" i="147"/>
  <c r="AR26" i="147"/>
  <c r="AQ26" i="147"/>
  <c r="AP26" i="147"/>
  <c r="AO26" i="147"/>
  <c r="AM26" i="147"/>
  <c r="AM38" i="147"/>
  <c r="AL26" i="147"/>
  <c r="AK26" i="147"/>
  <c r="AJ26" i="147"/>
  <c r="AI26" i="147"/>
  <c r="AH26" i="147"/>
  <c r="AG26" i="147"/>
  <c r="AF26" i="147"/>
  <c r="AF38" i="147"/>
  <c r="AE26" i="147"/>
  <c r="AE38" i="147"/>
  <c r="AD26" i="147"/>
  <c r="AC26" i="147"/>
  <c r="AB26" i="147"/>
  <c r="AA26" i="147"/>
  <c r="Z26" i="147"/>
  <c r="Y26" i="147"/>
  <c r="X26" i="147"/>
  <c r="X38" i="147"/>
  <c r="W26" i="147"/>
  <c r="W38" i="147"/>
  <c r="V26" i="147"/>
  <c r="U26" i="147"/>
  <c r="T26" i="147"/>
  <c r="R26" i="147"/>
  <c r="Q26" i="147"/>
  <c r="P26" i="147"/>
  <c r="O26" i="147"/>
  <c r="O38" i="147"/>
  <c r="N26" i="147"/>
  <c r="N38" i="147"/>
  <c r="M26" i="147"/>
  <c r="L26" i="147"/>
  <c r="K26" i="147"/>
  <c r="J26" i="147"/>
  <c r="I26" i="147"/>
  <c r="H26" i="147"/>
  <c r="G26" i="147"/>
  <c r="G38" i="147"/>
  <c r="F26" i="147"/>
  <c r="F38" i="147"/>
  <c r="I48" i="146"/>
  <c r="W43" i="146"/>
  <c r="V43" i="146"/>
  <c r="U43" i="146"/>
  <c r="S43" i="146"/>
  <c r="R43" i="146"/>
  <c r="Q43" i="146"/>
  <c r="P43" i="146"/>
  <c r="O43" i="146"/>
  <c r="N43" i="146"/>
  <c r="M43" i="146"/>
  <c r="L43" i="146"/>
  <c r="K43" i="146"/>
  <c r="J43" i="146"/>
  <c r="H43" i="146"/>
  <c r="G43" i="146"/>
  <c r="F43" i="146"/>
  <c r="E43" i="146"/>
  <c r="D43" i="146"/>
  <c r="C43" i="146"/>
  <c r="W42" i="146"/>
  <c r="V42" i="146"/>
  <c r="U42" i="146"/>
  <c r="S42" i="146"/>
  <c r="R42" i="146"/>
  <c r="Q42" i="146"/>
  <c r="P42" i="146"/>
  <c r="O42" i="146"/>
  <c r="N42" i="146"/>
  <c r="M42" i="146"/>
  <c r="L42" i="146"/>
  <c r="K42" i="146"/>
  <c r="J42" i="146"/>
  <c r="I42" i="146"/>
  <c r="H42" i="146"/>
  <c r="G42" i="146"/>
  <c r="F42" i="146"/>
  <c r="E42" i="146"/>
  <c r="D42" i="146"/>
  <c r="C42" i="146"/>
  <c r="B42" i="146"/>
  <c r="W41" i="146"/>
  <c r="V41" i="146"/>
  <c r="U41" i="146"/>
  <c r="S41" i="146"/>
  <c r="R41" i="146"/>
  <c r="Q41" i="146"/>
  <c r="P41" i="146"/>
  <c r="O41" i="146"/>
  <c r="N41" i="146"/>
  <c r="M41" i="146"/>
  <c r="L41" i="146"/>
  <c r="K41" i="146"/>
  <c r="J41" i="146"/>
  <c r="I41" i="146"/>
  <c r="H41" i="146"/>
  <c r="G41" i="146"/>
  <c r="F41" i="146"/>
  <c r="E41" i="146"/>
  <c r="D41" i="146"/>
  <c r="C41" i="146"/>
  <c r="W40" i="146"/>
  <c r="V40" i="146"/>
  <c r="U40" i="146"/>
  <c r="S40" i="146"/>
  <c r="R40" i="146"/>
  <c r="Q40" i="146"/>
  <c r="P40" i="146"/>
  <c r="O40" i="146"/>
  <c r="N40" i="146"/>
  <c r="M40" i="146"/>
  <c r="L40" i="146"/>
  <c r="K40" i="146"/>
  <c r="J40" i="146"/>
  <c r="I40" i="146"/>
  <c r="H40" i="146"/>
  <c r="G40" i="146"/>
  <c r="F40" i="146"/>
  <c r="E40" i="146"/>
  <c r="D40" i="146"/>
  <c r="C40" i="146"/>
  <c r="B40" i="146"/>
  <c r="W39" i="146"/>
  <c r="V39" i="146"/>
  <c r="U39" i="146"/>
  <c r="S39" i="146"/>
  <c r="R39" i="146"/>
  <c r="Q39" i="146"/>
  <c r="P39" i="146"/>
  <c r="O39" i="146"/>
  <c r="N39" i="146"/>
  <c r="M39" i="146"/>
  <c r="L39" i="146"/>
  <c r="K39" i="146"/>
  <c r="J39" i="146"/>
  <c r="I39" i="146"/>
  <c r="H39" i="146"/>
  <c r="G39" i="146"/>
  <c r="F39" i="146"/>
  <c r="E39" i="146"/>
  <c r="D39" i="146"/>
  <c r="C39" i="146"/>
  <c r="W38" i="146"/>
  <c r="V38" i="146"/>
  <c r="U38" i="146"/>
  <c r="S38" i="146"/>
  <c r="R38" i="146"/>
  <c r="Q38" i="146"/>
  <c r="P38" i="146"/>
  <c r="O38" i="146"/>
  <c r="N38" i="146"/>
  <c r="M38" i="146"/>
  <c r="L38" i="146"/>
  <c r="K38" i="146"/>
  <c r="J38" i="146"/>
  <c r="I38" i="146"/>
  <c r="H38" i="146"/>
  <c r="G38" i="146"/>
  <c r="F38" i="146"/>
  <c r="E38" i="146"/>
  <c r="D38" i="146"/>
  <c r="C38" i="146"/>
  <c r="B38" i="146"/>
  <c r="W37" i="146"/>
  <c r="V37" i="146"/>
  <c r="U37" i="146"/>
  <c r="S37" i="146"/>
  <c r="R37" i="146"/>
  <c r="Q37" i="146"/>
  <c r="P37" i="146"/>
  <c r="O37" i="146"/>
  <c r="N37" i="146"/>
  <c r="M37" i="146"/>
  <c r="L37" i="146"/>
  <c r="K37" i="146"/>
  <c r="J37" i="146"/>
  <c r="I37" i="146"/>
  <c r="H37" i="146"/>
  <c r="G37" i="146"/>
  <c r="F37" i="146"/>
  <c r="E37" i="146"/>
  <c r="D37" i="146"/>
  <c r="C37" i="146"/>
  <c r="W36" i="146"/>
  <c r="V36" i="146"/>
  <c r="U36" i="146"/>
  <c r="S36" i="146"/>
  <c r="R36" i="146"/>
  <c r="Q36" i="146"/>
  <c r="P36" i="146"/>
  <c r="O36" i="146"/>
  <c r="N36" i="146"/>
  <c r="M36" i="146"/>
  <c r="L36" i="146"/>
  <c r="K36" i="146"/>
  <c r="J36" i="146"/>
  <c r="I36" i="146"/>
  <c r="H36" i="146"/>
  <c r="G36" i="146"/>
  <c r="F36" i="146"/>
  <c r="E36" i="146"/>
  <c r="D36" i="146"/>
  <c r="C36" i="146"/>
  <c r="B36" i="146"/>
  <c r="V27" i="146"/>
  <c r="M27" i="146"/>
  <c r="V26" i="146"/>
  <c r="V25" i="146"/>
  <c r="V24" i="146"/>
  <c r="R24" i="146"/>
  <c r="V23" i="146"/>
  <c r="L23" i="146"/>
  <c r="V22" i="146"/>
  <c r="P22" i="146"/>
  <c r="C22" i="146"/>
  <c r="V21" i="146"/>
  <c r="V20" i="146"/>
  <c r="R20" i="146"/>
  <c r="BN10" i="141"/>
  <c r="BK10" i="141"/>
  <c r="BH10" i="141"/>
  <c r="BE10" i="141"/>
  <c r="BB10" i="141"/>
  <c r="AY10" i="141"/>
  <c r="AV10" i="141"/>
  <c r="AS10" i="141"/>
  <c r="AP10" i="141"/>
  <c r="AM10" i="141"/>
  <c r="AJ10" i="141"/>
  <c r="AG10" i="141"/>
  <c r="AD10" i="141"/>
  <c r="X10" i="141"/>
  <c r="U10" i="141"/>
  <c r="O10" i="141"/>
  <c r="K10" i="141"/>
  <c r="J10" i="141"/>
  <c r="L10" i="141"/>
  <c r="H10" i="141"/>
  <c r="G10" i="141"/>
  <c r="C10" i="141"/>
  <c r="I32" i="8"/>
  <c r="BL9" i="141"/>
  <c r="BI9" i="141"/>
  <c r="BK9" i="141"/>
  <c r="BG9" i="141"/>
  <c r="BF9" i="141"/>
  <c r="BD9" i="141"/>
  <c r="BC9" i="141"/>
  <c r="BE9" i="141"/>
  <c r="BA9" i="141"/>
  <c r="AZ9" i="141"/>
  <c r="AX9" i="141"/>
  <c r="AW9" i="141"/>
  <c r="AY9" i="141"/>
  <c r="AU9" i="141"/>
  <c r="AT9" i="141"/>
  <c r="AR9" i="141"/>
  <c r="AQ9" i="141"/>
  <c r="AS9" i="141"/>
  <c r="AO9" i="141"/>
  <c r="AN9" i="141"/>
  <c r="AL9" i="141"/>
  <c r="AK9" i="141"/>
  <c r="AM9" i="141"/>
  <c r="AI9" i="141"/>
  <c r="AH9" i="141"/>
  <c r="AF9" i="141"/>
  <c r="AE9" i="141"/>
  <c r="AG9" i="141"/>
  <c r="AC9" i="141"/>
  <c r="AB9" i="141"/>
  <c r="W9" i="141"/>
  <c r="V9" i="141"/>
  <c r="X9" i="141"/>
  <c r="T9" i="141"/>
  <c r="S9" i="141"/>
  <c r="Q9" i="141"/>
  <c r="P9" i="141"/>
  <c r="R9" i="141"/>
  <c r="N9" i="141"/>
  <c r="M9" i="141"/>
  <c r="K9" i="141"/>
  <c r="J9" i="141"/>
  <c r="L9" i="141"/>
  <c r="H9" i="141"/>
  <c r="G9" i="141"/>
  <c r="C9" i="141"/>
  <c r="H32" i="8"/>
  <c r="BL8" i="141"/>
  <c r="BI8" i="141"/>
  <c r="BG8" i="141"/>
  <c r="BH8" i="141"/>
  <c r="BF8" i="141"/>
  <c r="BD8" i="141"/>
  <c r="BC8" i="141"/>
  <c r="BA8" i="141"/>
  <c r="BB8" i="141"/>
  <c r="AZ8" i="141"/>
  <c r="AX8" i="141"/>
  <c r="AW8" i="141"/>
  <c r="AU8" i="141"/>
  <c r="AV8" i="141"/>
  <c r="AT8" i="141"/>
  <c r="AR8" i="141"/>
  <c r="AQ8" i="141"/>
  <c r="AO8" i="141"/>
  <c r="AP8" i="141"/>
  <c r="AN8" i="141"/>
  <c r="AL8" i="141"/>
  <c r="AK8" i="141"/>
  <c r="AI8" i="141"/>
  <c r="AJ8" i="141"/>
  <c r="AH8" i="141"/>
  <c r="AF8" i="141"/>
  <c r="AE8" i="141"/>
  <c r="AC8" i="141"/>
  <c r="AD8" i="141"/>
  <c r="AB8" i="141"/>
  <c r="Z8" i="141"/>
  <c r="Y8" i="141"/>
  <c r="W8" i="141"/>
  <c r="X8" i="141"/>
  <c r="V8" i="141"/>
  <c r="T8" i="141"/>
  <c r="S8" i="141"/>
  <c r="Q8" i="141"/>
  <c r="R8" i="141"/>
  <c r="P8" i="141"/>
  <c r="N8" i="141"/>
  <c r="M8" i="141"/>
  <c r="K8" i="141"/>
  <c r="L8" i="141"/>
  <c r="J8" i="141"/>
  <c r="H8" i="141"/>
  <c r="G8" i="141"/>
  <c r="C8" i="141"/>
  <c r="G32" i="8"/>
  <c r="BL7" i="141"/>
  <c r="BK7" i="141"/>
  <c r="BI7" i="141"/>
  <c r="BG7" i="141"/>
  <c r="BF7" i="141"/>
  <c r="BD7" i="141"/>
  <c r="BE7" i="141"/>
  <c r="BC7" i="141"/>
  <c r="BA7" i="141"/>
  <c r="AZ7" i="141"/>
  <c r="AX7" i="141"/>
  <c r="AY7" i="141"/>
  <c r="AW7" i="141"/>
  <c r="AU7" i="141"/>
  <c r="AT7" i="141"/>
  <c r="AR7" i="141"/>
  <c r="AS7" i="141"/>
  <c r="AQ7" i="141"/>
  <c r="AO7" i="141"/>
  <c r="AN7" i="141"/>
  <c r="AL7" i="141"/>
  <c r="AM7" i="141"/>
  <c r="AK7" i="141"/>
  <c r="AI7" i="141"/>
  <c r="AH7" i="141"/>
  <c r="AF7" i="141"/>
  <c r="AG7" i="141"/>
  <c r="AE7" i="141"/>
  <c r="AC7" i="141"/>
  <c r="AB7" i="141"/>
  <c r="Z7" i="141"/>
  <c r="AA7" i="141"/>
  <c r="Y7" i="141"/>
  <c r="W7" i="141"/>
  <c r="V7" i="141"/>
  <c r="T7" i="141"/>
  <c r="U7" i="141"/>
  <c r="S7" i="141"/>
  <c r="Q7" i="141"/>
  <c r="P7" i="141"/>
  <c r="N7" i="141"/>
  <c r="O7" i="141"/>
  <c r="M7" i="141"/>
  <c r="K7" i="141"/>
  <c r="J7" i="141"/>
  <c r="H7" i="141"/>
  <c r="G7" i="141"/>
  <c r="BN6" i="141"/>
  <c r="BL6" i="141"/>
  <c r="BI6" i="141"/>
  <c r="BG6" i="141"/>
  <c r="BH6" i="141"/>
  <c r="BF6" i="141"/>
  <c r="BD6" i="141"/>
  <c r="BC6" i="141"/>
  <c r="BA6" i="141"/>
  <c r="BB6" i="141"/>
  <c r="AZ6" i="141"/>
  <c r="AX6" i="141"/>
  <c r="AW6" i="141"/>
  <c r="AU6" i="141"/>
  <c r="AV6" i="141"/>
  <c r="AT6" i="141"/>
  <c r="AR6" i="141"/>
  <c r="AQ6" i="141"/>
  <c r="AO6" i="141"/>
  <c r="AP6" i="141"/>
  <c r="AN6" i="141"/>
  <c r="AL6" i="141"/>
  <c r="AK6" i="141"/>
  <c r="AI6" i="141"/>
  <c r="AJ6" i="141"/>
  <c r="AH6" i="141"/>
  <c r="AF6" i="141"/>
  <c r="AE6" i="141"/>
  <c r="AC6" i="141"/>
  <c r="AD6" i="141"/>
  <c r="AB6" i="141"/>
  <c r="Z6" i="141"/>
  <c r="Y6" i="141"/>
  <c r="W6" i="141"/>
  <c r="X6" i="141"/>
  <c r="V6" i="141"/>
  <c r="T6" i="141"/>
  <c r="S6" i="141"/>
  <c r="Q6" i="141"/>
  <c r="R6" i="141"/>
  <c r="P6" i="141"/>
  <c r="N6" i="141"/>
  <c r="M6" i="141"/>
  <c r="K6" i="141"/>
  <c r="L6" i="141"/>
  <c r="J6" i="141"/>
  <c r="H6" i="141"/>
  <c r="G6" i="141"/>
  <c r="BL5" i="141"/>
  <c r="BN5" i="141"/>
  <c r="BI5" i="141"/>
  <c r="BG5" i="141"/>
  <c r="BF5" i="141"/>
  <c r="BH5" i="141"/>
  <c r="BD5" i="141"/>
  <c r="BC5" i="141"/>
  <c r="BA5" i="141"/>
  <c r="AZ5" i="141"/>
  <c r="BB5" i="141"/>
  <c r="AX5" i="141"/>
  <c r="AW5" i="141"/>
  <c r="AU5" i="141"/>
  <c r="AT5" i="141"/>
  <c r="AV5" i="141"/>
  <c r="AR5" i="141"/>
  <c r="AQ5" i="141"/>
  <c r="AO5" i="141"/>
  <c r="AN5" i="141"/>
  <c r="AP5" i="141"/>
  <c r="AL5" i="141"/>
  <c r="AK5" i="141"/>
  <c r="AI5" i="141"/>
  <c r="AH5" i="141"/>
  <c r="AJ5" i="141"/>
  <c r="AF5" i="141"/>
  <c r="AE5" i="141"/>
  <c r="AC5" i="141"/>
  <c r="AB5" i="141"/>
  <c r="AD5" i="141"/>
  <c r="Z5" i="141"/>
  <c r="Y5" i="141"/>
  <c r="W5" i="141"/>
  <c r="V5" i="141"/>
  <c r="X5" i="141"/>
  <c r="T5" i="141"/>
  <c r="S5" i="141"/>
  <c r="Q5" i="141"/>
  <c r="P5" i="141"/>
  <c r="R5" i="141"/>
  <c r="N5" i="141"/>
  <c r="M5" i="141"/>
  <c r="K5" i="141"/>
  <c r="J5" i="141"/>
  <c r="L5" i="141"/>
  <c r="H5" i="141"/>
  <c r="G5" i="141"/>
  <c r="C5" i="141"/>
  <c r="BN4" i="141"/>
  <c r="BL4" i="141"/>
  <c r="BI4" i="141"/>
  <c r="BG4" i="141"/>
  <c r="BH4" i="141"/>
  <c r="BF4" i="141"/>
  <c r="BD4" i="141"/>
  <c r="BC4" i="141"/>
  <c r="BA4" i="141"/>
  <c r="BB4" i="141"/>
  <c r="AZ4" i="141"/>
  <c r="AX4" i="141"/>
  <c r="AW4" i="141"/>
  <c r="AU4" i="141"/>
  <c r="AV4" i="141"/>
  <c r="AT4" i="141"/>
  <c r="AR4" i="141"/>
  <c r="AQ4" i="141"/>
  <c r="AO4" i="141"/>
  <c r="AP4" i="141"/>
  <c r="AN4" i="141"/>
  <c r="AL4" i="141"/>
  <c r="AK4" i="141"/>
  <c r="AI4" i="141"/>
  <c r="AJ4" i="141"/>
  <c r="AH4" i="141"/>
  <c r="AF4" i="141"/>
  <c r="AE4" i="141"/>
  <c r="AC4" i="141"/>
  <c r="AD4" i="141"/>
  <c r="AB4" i="141"/>
  <c r="Z4" i="141"/>
  <c r="Y4" i="141"/>
  <c r="W4" i="141"/>
  <c r="X4" i="141"/>
  <c r="V4" i="141"/>
  <c r="T4" i="141"/>
  <c r="S4" i="141"/>
  <c r="Q4" i="141"/>
  <c r="R4" i="141"/>
  <c r="P4" i="141"/>
  <c r="N4" i="141"/>
  <c r="M4" i="141"/>
  <c r="K4" i="141"/>
  <c r="L4" i="141"/>
  <c r="J4" i="141"/>
  <c r="H4" i="141"/>
  <c r="G4" i="141"/>
  <c r="BL3" i="141"/>
  <c r="BK3" i="141"/>
  <c r="BI3" i="141"/>
  <c r="BG3" i="141"/>
  <c r="BG15" i="141"/>
  <c r="BF3" i="141"/>
  <c r="BD3" i="141"/>
  <c r="BE3" i="141"/>
  <c r="BC3" i="141"/>
  <c r="BA3" i="141"/>
  <c r="AZ3" i="141"/>
  <c r="AX3" i="141"/>
  <c r="AY3" i="141"/>
  <c r="AW3" i="141"/>
  <c r="AU3" i="141"/>
  <c r="AU15" i="141"/>
  <c r="AT3" i="141"/>
  <c r="AR3" i="141"/>
  <c r="AS3" i="141"/>
  <c r="AQ3" i="141"/>
  <c r="AO3" i="141"/>
  <c r="AN3" i="141"/>
  <c r="AL3" i="141"/>
  <c r="AM3" i="141"/>
  <c r="AK3" i="141"/>
  <c r="AI3" i="141"/>
  <c r="AI15" i="141"/>
  <c r="AH3" i="141"/>
  <c r="AF3" i="141"/>
  <c r="AG3" i="141"/>
  <c r="AE3" i="141"/>
  <c r="AC3" i="141"/>
  <c r="AB3" i="141"/>
  <c r="Z3" i="141"/>
  <c r="AA3" i="141"/>
  <c r="Y3" i="141"/>
  <c r="W3" i="141"/>
  <c r="W15" i="141"/>
  <c r="V3" i="141"/>
  <c r="T3" i="141"/>
  <c r="U3" i="141"/>
  <c r="S3" i="141"/>
  <c r="Q3" i="141"/>
  <c r="P3" i="141"/>
  <c r="N3" i="141"/>
  <c r="O3" i="141"/>
  <c r="M3" i="141"/>
  <c r="K3" i="141"/>
  <c r="K15" i="141"/>
  <c r="J3" i="141"/>
  <c r="H3" i="141"/>
  <c r="G3" i="141"/>
  <c r="AM30" i="152"/>
  <c r="AL30" i="152"/>
  <c r="AK30" i="152"/>
  <c r="AJ30" i="152"/>
  <c r="AI30" i="152"/>
  <c r="AH30" i="152"/>
  <c r="AG30" i="152"/>
  <c r="AF30" i="152"/>
  <c r="AE30" i="152"/>
  <c r="AD30" i="152"/>
  <c r="AC30" i="152"/>
  <c r="AB30" i="152"/>
  <c r="AA30" i="152"/>
  <c r="Z30" i="152"/>
  <c r="Y30" i="152"/>
  <c r="X30" i="152"/>
  <c r="W30" i="152"/>
  <c r="V30" i="152"/>
  <c r="U30" i="152"/>
  <c r="T30" i="152"/>
  <c r="S30" i="152"/>
  <c r="R30" i="152"/>
  <c r="O30" i="152"/>
  <c r="M30" i="152"/>
  <c r="L30" i="152"/>
  <c r="K30" i="152"/>
  <c r="J30" i="152"/>
  <c r="I30" i="152"/>
  <c r="H30" i="152"/>
  <c r="G30" i="152"/>
  <c r="F30" i="152"/>
  <c r="E30" i="152"/>
  <c r="D30" i="152"/>
  <c r="AM29" i="152"/>
  <c r="AL29" i="152"/>
  <c r="AK29" i="152"/>
  <c r="AJ29" i="152"/>
  <c r="AI29" i="152"/>
  <c r="AH29" i="152"/>
  <c r="AG29" i="152"/>
  <c r="AF29" i="152"/>
  <c r="AE29" i="152"/>
  <c r="AD29" i="152"/>
  <c r="AC29" i="152"/>
  <c r="AB29" i="152"/>
  <c r="AA29" i="152"/>
  <c r="Z29" i="152"/>
  <c r="Y29" i="152"/>
  <c r="X29" i="152"/>
  <c r="W29" i="152"/>
  <c r="V29" i="152"/>
  <c r="U29" i="152"/>
  <c r="T29" i="152"/>
  <c r="S29" i="152"/>
  <c r="R29" i="152"/>
  <c r="Q29" i="152"/>
  <c r="P29" i="152"/>
  <c r="O29" i="152"/>
  <c r="N29" i="152"/>
  <c r="M29" i="152"/>
  <c r="L29" i="152"/>
  <c r="K29" i="152"/>
  <c r="J29" i="152"/>
  <c r="I29" i="152"/>
  <c r="H29" i="152"/>
  <c r="G29" i="152"/>
  <c r="F29" i="152"/>
  <c r="E29" i="152"/>
  <c r="D29" i="152"/>
  <c r="AM28" i="152"/>
  <c r="AL28" i="152"/>
  <c r="AK28" i="152"/>
  <c r="AJ28" i="152"/>
  <c r="AI28" i="152"/>
  <c r="AH28" i="152"/>
  <c r="AG28" i="152"/>
  <c r="AF28" i="152"/>
  <c r="AE28" i="152"/>
  <c r="AD28" i="152"/>
  <c r="AC28" i="152"/>
  <c r="AB28" i="152"/>
  <c r="AA28" i="152"/>
  <c r="Z28" i="152"/>
  <c r="Y28" i="152"/>
  <c r="X28" i="152"/>
  <c r="W28" i="152"/>
  <c r="V28" i="152"/>
  <c r="U28" i="152"/>
  <c r="T28" i="152"/>
  <c r="S28" i="152"/>
  <c r="R28" i="152"/>
  <c r="Q28" i="152"/>
  <c r="P28" i="152"/>
  <c r="O28" i="152"/>
  <c r="N28" i="152"/>
  <c r="M28" i="152"/>
  <c r="L28" i="152"/>
  <c r="K28" i="152"/>
  <c r="J28" i="152"/>
  <c r="I28" i="152"/>
  <c r="H28" i="152"/>
  <c r="G28" i="152"/>
  <c r="F28" i="152"/>
  <c r="E28" i="152"/>
  <c r="D28" i="152"/>
  <c r="AM27" i="152"/>
  <c r="AL27" i="152"/>
  <c r="AK27" i="152"/>
  <c r="AJ27" i="152"/>
  <c r="AI27" i="152"/>
  <c r="AH27" i="152"/>
  <c r="AG27" i="152"/>
  <c r="AF27" i="152"/>
  <c r="AE27" i="152"/>
  <c r="AD27" i="152"/>
  <c r="AC27" i="152"/>
  <c r="AB27" i="152"/>
  <c r="AA27" i="152"/>
  <c r="Z27" i="152"/>
  <c r="Y27" i="152"/>
  <c r="X27" i="152"/>
  <c r="W27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AM26" i="152"/>
  <c r="AL26" i="152"/>
  <c r="AK26" i="152"/>
  <c r="AJ26" i="152"/>
  <c r="AI26" i="152"/>
  <c r="AH26" i="152"/>
  <c r="AG26" i="152"/>
  <c r="AF26" i="152"/>
  <c r="AE26" i="152"/>
  <c r="AD26" i="152"/>
  <c r="AC26" i="152"/>
  <c r="AB26" i="152"/>
  <c r="AA26" i="152"/>
  <c r="Z26" i="152"/>
  <c r="Y26" i="152"/>
  <c r="X26" i="152"/>
  <c r="W26" i="152"/>
  <c r="V26" i="152"/>
  <c r="U26" i="152"/>
  <c r="T26" i="152"/>
  <c r="S26" i="152"/>
  <c r="R26" i="152"/>
  <c r="Q26" i="152"/>
  <c r="P26" i="152"/>
  <c r="N26" i="152"/>
  <c r="M26" i="152"/>
  <c r="L26" i="152"/>
  <c r="K26" i="152"/>
  <c r="J26" i="152"/>
  <c r="I26" i="152"/>
  <c r="H26" i="152"/>
  <c r="G26" i="152"/>
  <c r="F26" i="152"/>
  <c r="E26" i="152"/>
  <c r="D26" i="152"/>
  <c r="AM25" i="152"/>
  <c r="AL25" i="152"/>
  <c r="AK25" i="152"/>
  <c r="AJ25" i="152"/>
  <c r="AI25" i="152"/>
  <c r="AH25" i="152"/>
  <c r="AG25" i="152"/>
  <c r="AF25" i="152"/>
  <c r="AE25" i="152"/>
  <c r="AD25" i="152"/>
  <c r="AC25" i="152"/>
  <c r="AB25" i="152"/>
  <c r="AA25" i="152"/>
  <c r="Z25" i="152"/>
  <c r="Y25" i="152"/>
  <c r="X25" i="152"/>
  <c r="W25" i="152"/>
  <c r="V25" i="152"/>
  <c r="U25" i="152"/>
  <c r="T25" i="152"/>
  <c r="S25" i="152"/>
  <c r="R25" i="152"/>
  <c r="Q25" i="152"/>
  <c r="P25" i="152"/>
  <c r="N25" i="152"/>
  <c r="M25" i="152"/>
  <c r="L25" i="152"/>
  <c r="K25" i="152"/>
  <c r="J25" i="152"/>
  <c r="I25" i="152"/>
  <c r="H25" i="152"/>
  <c r="G25" i="152"/>
  <c r="F25" i="152"/>
  <c r="E25" i="152"/>
  <c r="D25" i="152"/>
  <c r="AM24" i="152"/>
  <c r="AL24" i="152"/>
  <c r="AK24" i="152"/>
  <c r="AJ24" i="152"/>
  <c r="AI24" i="152"/>
  <c r="AH24" i="152"/>
  <c r="AG24" i="152"/>
  <c r="AF24" i="152"/>
  <c r="AE24" i="152"/>
  <c r="AD24" i="152"/>
  <c r="AC24" i="152"/>
  <c r="AB24" i="152"/>
  <c r="AA24" i="152"/>
  <c r="Z24" i="152"/>
  <c r="Y24" i="152"/>
  <c r="X24" i="152"/>
  <c r="W24" i="152"/>
  <c r="V24" i="152"/>
  <c r="U24" i="152"/>
  <c r="T24" i="152"/>
  <c r="S24" i="152"/>
  <c r="R24" i="152"/>
  <c r="Q24" i="152"/>
  <c r="P24" i="152"/>
  <c r="O24" i="152"/>
  <c r="N24" i="152"/>
  <c r="M24" i="152"/>
  <c r="L24" i="152"/>
  <c r="K24" i="152"/>
  <c r="J24" i="152"/>
  <c r="I24" i="152"/>
  <c r="H24" i="152"/>
  <c r="G24" i="152"/>
  <c r="F24" i="152"/>
  <c r="E24" i="152"/>
  <c r="D24" i="152"/>
  <c r="AM23" i="152"/>
  <c r="AL23" i="152"/>
  <c r="AK23" i="152"/>
  <c r="AJ23" i="152"/>
  <c r="AI23" i="152"/>
  <c r="AH23" i="152"/>
  <c r="AG23" i="152"/>
  <c r="AF23" i="152"/>
  <c r="AE23" i="152"/>
  <c r="AD23" i="152"/>
  <c r="AC23" i="152"/>
  <c r="AB23" i="152"/>
  <c r="AA23" i="152"/>
  <c r="Z23" i="152"/>
  <c r="Y23" i="152"/>
  <c r="X23" i="152"/>
  <c r="W23" i="152"/>
  <c r="V23" i="152"/>
  <c r="U23" i="152"/>
  <c r="T23" i="152"/>
  <c r="S23" i="152"/>
  <c r="R23" i="152"/>
  <c r="Q23" i="152"/>
  <c r="P23" i="152"/>
  <c r="O23" i="152"/>
  <c r="M23" i="152"/>
  <c r="L35" i="152"/>
  <c r="K23" i="152"/>
  <c r="J23" i="152"/>
  <c r="I23" i="152"/>
  <c r="H23" i="152"/>
  <c r="G23" i="152"/>
  <c r="F23" i="152"/>
  <c r="E23" i="152"/>
  <c r="D35" i="152"/>
  <c r="E27" i="158"/>
  <c r="E24" i="158"/>
  <c r="E22" i="158"/>
  <c r="E33" i="156"/>
  <c r="M418" i="83"/>
  <c r="J418" i="83"/>
  <c r="I418" i="83"/>
  <c r="H418" i="83"/>
  <c r="G418" i="83"/>
  <c r="F418" i="83"/>
  <c r="E418" i="83"/>
  <c r="D418" i="83"/>
  <c r="C418" i="83"/>
  <c r="B418" i="83"/>
  <c r="M416" i="83"/>
  <c r="L416" i="83"/>
  <c r="K416" i="83"/>
  <c r="I416" i="83"/>
  <c r="H416" i="83"/>
  <c r="G416" i="83"/>
  <c r="F416" i="83"/>
  <c r="E416" i="83"/>
  <c r="D416" i="83"/>
  <c r="C416" i="83"/>
  <c r="B416" i="83"/>
  <c r="M413" i="83"/>
  <c r="L413" i="83"/>
  <c r="L412" i="83"/>
  <c r="K413" i="83"/>
  <c r="K412" i="83"/>
  <c r="J413" i="83"/>
  <c r="J412" i="83"/>
  <c r="I413" i="83"/>
  <c r="I412" i="83"/>
  <c r="H413" i="83"/>
  <c r="H412" i="83"/>
  <c r="G413" i="83"/>
  <c r="G412" i="83"/>
  <c r="F413" i="83"/>
  <c r="E413" i="83"/>
  <c r="D413" i="83"/>
  <c r="C413" i="83"/>
  <c r="B413" i="83"/>
  <c r="M412" i="83"/>
  <c r="F412" i="83"/>
  <c r="E412" i="83"/>
  <c r="D412" i="83"/>
  <c r="C412" i="83"/>
  <c r="B412" i="83"/>
  <c r="W28" i="146"/>
  <c r="I410" i="83"/>
  <c r="W27" i="146"/>
  <c r="H410" i="83"/>
  <c r="W26" i="146"/>
  <c r="G410" i="83"/>
  <c r="W25" i="146"/>
  <c r="F410" i="83"/>
  <c r="W24" i="146"/>
  <c r="E410" i="83"/>
  <c r="W23" i="146"/>
  <c r="D410" i="83"/>
  <c r="W22" i="146"/>
  <c r="C410" i="83"/>
  <c r="W21" i="146"/>
  <c r="B410" i="83"/>
  <c r="W20" i="146"/>
  <c r="M398" i="83"/>
  <c r="J398" i="83"/>
  <c r="H398" i="83"/>
  <c r="G398" i="83"/>
  <c r="F398" i="83"/>
  <c r="E398" i="83"/>
  <c r="D398" i="83"/>
  <c r="C398" i="83"/>
  <c r="B398" i="83"/>
  <c r="M396" i="83"/>
  <c r="I396" i="83"/>
  <c r="H396" i="83"/>
  <c r="G396" i="83"/>
  <c r="F396" i="83"/>
  <c r="E396" i="83"/>
  <c r="D396" i="83"/>
  <c r="C396" i="83"/>
  <c r="B396" i="83"/>
  <c r="M393" i="83"/>
  <c r="L393" i="83"/>
  <c r="L392" i="83"/>
  <c r="K393" i="83"/>
  <c r="K392" i="83"/>
  <c r="J393" i="83"/>
  <c r="J392" i="83"/>
  <c r="I393" i="83"/>
  <c r="I392" i="83"/>
  <c r="H393" i="83"/>
  <c r="H392" i="83"/>
  <c r="G393" i="83"/>
  <c r="G392" i="83"/>
  <c r="F393" i="83"/>
  <c r="E393" i="83"/>
  <c r="D393" i="83"/>
  <c r="D392" i="83"/>
  <c r="C393" i="83"/>
  <c r="C392" i="83"/>
  <c r="B393" i="83"/>
  <c r="B392" i="83"/>
  <c r="M392" i="83"/>
  <c r="F392" i="83"/>
  <c r="E392" i="83"/>
  <c r="V28" i="146"/>
  <c r="M378" i="83"/>
  <c r="L378" i="83"/>
  <c r="K378" i="83"/>
  <c r="J378" i="83"/>
  <c r="I378" i="83"/>
  <c r="H378" i="83"/>
  <c r="G378" i="83"/>
  <c r="F378" i="83"/>
  <c r="E378" i="83"/>
  <c r="D378" i="83"/>
  <c r="C378" i="83"/>
  <c r="B378" i="83"/>
  <c r="M376" i="83"/>
  <c r="L376" i="83"/>
  <c r="K376" i="83"/>
  <c r="J376" i="83"/>
  <c r="I376" i="83"/>
  <c r="H376" i="83"/>
  <c r="F376" i="83"/>
  <c r="E376" i="83"/>
  <c r="D376" i="83"/>
  <c r="C376" i="83"/>
  <c r="B375" i="83"/>
  <c r="B376" i="83"/>
  <c r="L372" i="83"/>
  <c r="G373" i="83"/>
  <c r="F373" i="83"/>
  <c r="E373" i="83"/>
  <c r="D373" i="83"/>
  <c r="C373" i="83"/>
  <c r="B373" i="83"/>
  <c r="M372" i="83"/>
  <c r="K372" i="83"/>
  <c r="J372" i="83"/>
  <c r="I372" i="83"/>
  <c r="H372" i="83"/>
  <c r="G372" i="83"/>
  <c r="F372" i="83"/>
  <c r="E372" i="83"/>
  <c r="D372" i="83"/>
  <c r="C372" i="83"/>
  <c r="B372" i="83"/>
  <c r="M370" i="83"/>
  <c r="L370" i="83"/>
  <c r="K370" i="83"/>
  <c r="J370" i="83"/>
  <c r="U28" i="146"/>
  <c r="I370" i="83"/>
  <c r="U27" i="146"/>
  <c r="H370" i="83"/>
  <c r="U26" i="146"/>
  <c r="G370" i="83"/>
  <c r="U25" i="146"/>
  <c r="F370" i="83"/>
  <c r="U24" i="146"/>
  <c r="E370" i="83"/>
  <c r="U23" i="146"/>
  <c r="D370" i="83"/>
  <c r="U22" i="146"/>
  <c r="C370" i="83"/>
  <c r="U21" i="146"/>
  <c r="B370" i="83"/>
  <c r="U20" i="146"/>
  <c r="M368" i="83"/>
  <c r="L368" i="83"/>
  <c r="K368" i="83"/>
  <c r="J368" i="83"/>
  <c r="I368" i="83"/>
  <c r="H368" i="83"/>
  <c r="G368" i="83"/>
  <c r="F368" i="83"/>
  <c r="E368" i="83"/>
  <c r="D368" i="83"/>
  <c r="C368" i="83"/>
  <c r="B368" i="83"/>
  <c r="M358" i="83"/>
  <c r="L358" i="83"/>
  <c r="K358" i="83"/>
  <c r="J358" i="83"/>
  <c r="I358" i="83"/>
  <c r="H358" i="83"/>
  <c r="G358" i="83"/>
  <c r="F358" i="83"/>
  <c r="E358" i="83"/>
  <c r="D358" i="83"/>
  <c r="C358" i="83"/>
  <c r="B358" i="83"/>
  <c r="M356" i="83"/>
  <c r="L356" i="83"/>
  <c r="K356" i="83"/>
  <c r="J356" i="83"/>
  <c r="I356" i="83"/>
  <c r="H356" i="83"/>
  <c r="G356" i="83"/>
  <c r="F356" i="83"/>
  <c r="E356" i="83"/>
  <c r="D356" i="83"/>
  <c r="C356" i="83"/>
  <c r="B356" i="83"/>
  <c r="M352" i="83"/>
  <c r="K352" i="83"/>
  <c r="G353" i="83"/>
  <c r="F353" i="83"/>
  <c r="E353" i="83"/>
  <c r="D353" i="83"/>
  <c r="C353" i="83"/>
  <c r="B353" i="83"/>
  <c r="L352" i="83"/>
  <c r="J352" i="83"/>
  <c r="I352" i="83"/>
  <c r="H352" i="83"/>
  <c r="G352" i="83"/>
  <c r="F352" i="83"/>
  <c r="E352" i="83"/>
  <c r="D352" i="83"/>
  <c r="C352" i="83"/>
  <c r="B352" i="83"/>
  <c r="M350" i="83"/>
  <c r="L350" i="83"/>
  <c r="K350" i="83"/>
  <c r="J350" i="83"/>
  <c r="T28" i="146"/>
  <c r="I350" i="83"/>
  <c r="T27" i="146"/>
  <c r="H350" i="83"/>
  <c r="T26" i="146"/>
  <c r="G350" i="83"/>
  <c r="T25" i="146"/>
  <c r="F350" i="83"/>
  <c r="T24" i="146"/>
  <c r="E350" i="83"/>
  <c r="T23" i="146"/>
  <c r="D350" i="83"/>
  <c r="T22" i="146"/>
  <c r="C350" i="83"/>
  <c r="T21" i="146"/>
  <c r="B350" i="83"/>
  <c r="T20" i="146"/>
  <c r="M348" i="83"/>
  <c r="L348" i="83"/>
  <c r="K348" i="83"/>
  <c r="J348" i="83"/>
  <c r="I348" i="83"/>
  <c r="H348" i="83"/>
  <c r="G348" i="83"/>
  <c r="F348" i="83"/>
  <c r="E348" i="83"/>
  <c r="D348" i="83"/>
  <c r="C348" i="83"/>
  <c r="B348" i="83"/>
  <c r="M338" i="83"/>
  <c r="L338" i="83"/>
  <c r="K338" i="83"/>
  <c r="J338" i="83"/>
  <c r="I338" i="83"/>
  <c r="H338" i="83"/>
  <c r="G338" i="83"/>
  <c r="F338" i="83"/>
  <c r="E338" i="83"/>
  <c r="D338" i="83"/>
  <c r="C338" i="83"/>
  <c r="B338" i="83"/>
  <c r="M336" i="83"/>
  <c r="L336" i="83"/>
  <c r="K336" i="83"/>
  <c r="J336" i="83"/>
  <c r="I336" i="83"/>
  <c r="H336" i="83"/>
  <c r="G336" i="83"/>
  <c r="F336" i="83"/>
  <c r="E336" i="83"/>
  <c r="D336" i="83"/>
  <c r="C336" i="83"/>
  <c r="B335" i="83"/>
  <c r="B336" i="83"/>
  <c r="L332" i="83"/>
  <c r="G333" i="83"/>
  <c r="G332" i="83"/>
  <c r="F333" i="83"/>
  <c r="E333" i="83"/>
  <c r="E332" i="83"/>
  <c r="D333" i="83"/>
  <c r="C333" i="83"/>
  <c r="C332" i="83"/>
  <c r="B333" i="83"/>
  <c r="M332" i="83"/>
  <c r="K332" i="83"/>
  <c r="J332" i="83"/>
  <c r="I332" i="83"/>
  <c r="H332" i="83"/>
  <c r="F332" i="83"/>
  <c r="D332" i="83"/>
  <c r="B332" i="83"/>
  <c r="M330" i="83"/>
  <c r="L330" i="83"/>
  <c r="K330" i="83"/>
  <c r="J330" i="83"/>
  <c r="S28" i="146"/>
  <c r="I330" i="83"/>
  <c r="S27" i="146"/>
  <c r="H330" i="83"/>
  <c r="S26" i="146"/>
  <c r="G330" i="83"/>
  <c r="S25" i="146"/>
  <c r="F330" i="83"/>
  <c r="S24" i="146"/>
  <c r="E330" i="83"/>
  <c r="S23" i="146"/>
  <c r="D330" i="83"/>
  <c r="S22" i="146"/>
  <c r="C330" i="83"/>
  <c r="S21" i="146"/>
  <c r="B330" i="83"/>
  <c r="S20" i="146"/>
  <c r="M328" i="83"/>
  <c r="L328" i="83"/>
  <c r="K328" i="83"/>
  <c r="J328" i="83"/>
  <c r="I328" i="83"/>
  <c r="H328" i="83"/>
  <c r="G328" i="83"/>
  <c r="F328" i="83"/>
  <c r="E328" i="83"/>
  <c r="D328" i="83"/>
  <c r="C328" i="83"/>
  <c r="B328" i="83"/>
  <c r="M318" i="83"/>
  <c r="L318" i="83"/>
  <c r="K318" i="83"/>
  <c r="J318" i="83"/>
  <c r="I318" i="83"/>
  <c r="H318" i="83"/>
  <c r="G318" i="83"/>
  <c r="F318" i="83"/>
  <c r="E318" i="83"/>
  <c r="D318" i="83"/>
  <c r="C318" i="83"/>
  <c r="B318" i="83"/>
  <c r="M316" i="83"/>
  <c r="L316" i="83"/>
  <c r="K316" i="83"/>
  <c r="J316" i="83"/>
  <c r="I316" i="83"/>
  <c r="H316" i="83"/>
  <c r="G316" i="83"/>
  <c r="F316" i="83"/>
  <c r="E316" i="83"/>
  <c r="D316" i="83"/>
  <c r="C316" i="83"/>
  <c r="B316" i="83"/>
  <c r="M313" i="83"/>
  <c r="M312" i="83"/>
  <c r="L313" i="83"/>
  <c r="L312" i="83"/>
  <c r="K313" i="83"/>
  <c r="K312" i="83"/>
  <c r="J313" i="83"/>
  <c r="J312" i="83"/>
  <c r="I313" i="83"/>
  <c r="I312" i="83"/>
  <c r="H313" i="83"/>
  <c r="H312" i="83"/>
  <c r="G313" i="83"/>
  <c r="F313" i="83"/>
  <c r="F312" i="83"/>
  <c r="E313" i="83"/>
  <c r="E312" i="83"/>
  <c r="D313" i="83"/>
  <c r="D312" i="83"/>
  <c r="C313" i="83"/>
  <c r="G312" i="83"/>
  <c r="C312" i="83"/>
  <c r="B312" i="83"/>
  <c r="M310" i="83"/>
  <c r="L310" i="83"/>
  <c r="K310" i="83"/>
  <c r="J310" i="83"/>
  <c r="R28" i="146"/>
  <c r="I310" i="83"/>
  <c r="R27" i="146"/>
  <c r="H310" i="83"/>
  <c r="R26" i="146"/>
  <c r="G310" i="83"/>
  <c r="R25" i="146"/>
  <c r="F310" i="83"/>
  <c r="E310" i="83"/>
  <c r="R23" i="146"/>
  <c r="D310" i="83"/>
  <c r="R22" i="146"/>
  <c r="C310" i="83"/>
  <c r="R21" i="146"/>
  <c r="B310" i="83"/>
  <c r="M298" i="83"/>
  <c r="L298" i="83"/>
  <c r="K298" i="83"/>
  <c r="J298" i="83"/>
  <c r="I298" i="83"/>
  <c r="H298" i="83"/>
  <c r="G298" i="83"/>
  <c r="F298" i="83"/>
  <c r="E298" i="83"/>
  <c r="D298" i="83"/>
  <c r="C298" i="83"/>
  <c r="B298" i="83"/>
  <c r="M296" i="83"/>
  <c r="L296" i="83"/>
  <c r="K296" i="83"/>
  <c r="J296" i="83"/>
  <c r="I296" i="83"/>
  <c r="H296" i="83"/>
  <c r="G296" i="83"/>
  <c r="F296" i="83"/>
  <c r="E296" i="83"/>
  <c r="D296" i="83"/>
  <c r="C296" i="83"/>
  <c r="B296" i="83"/>
  <c r="M293" i="83"/>
  <c r="M292" i="83"/>
  <c r="L293" i="83"/>
  <c r="L292" i="83"/>
  <c r="K292" i="83"/>
  <c r="J293" i="83"/>
  <c r="J292" i="83"/>
  <c r="I293" i="83"/>
  <c r="I292" i="83"/>
  <c r="H293" i="83"/>
  <c r="G293" i="83"/>
  <c r="G292" i="83"/>
  <c r="F293" i="83"/>
  <c r="E293" i="83"/>
  <c r="E292" i="83"/>
  <c r="D293" i="83"/>
  <c r="C293" i="83"/>
  <c r="C292" i="83"/>
  <c r="H292" i="83"/>
  <c r="F292" i="83"/>
  <c r="D292" i="83"/>
  <c r="B292" i="83"/>
  <c r="M290" i="83"/>
  <c r="L290" i="83"/>
  <c r="K290" i="83"/>
  <c r="J290" i="83"/>
  <c r="Q28" i="146"/>
  <c r="I290" i="83"/>
  <c r="Q27" i="146"/>
  <c r="H290" i="83"/>
  <c r="Q26" i="146"/>
  <c r="G290" i="83"/>
  <c r="Q25" i="146"/>
  <c r="F290" i="83"/>
  <c r="Q24" i="146"/>
  <c r="E290" i="83"/>
  <c r="Q23" i="146"/>
  <c r="D290" i="83"/>
  <c r="Q22" i="146"/>
  <c r="C290" i="83"/>
  <c r="Q21" i="146"/>
  <c r="B290" i="83"/>
  <c r="Q20" i="146"/>
  <c r="M278" i="83"/>
  <c r="L278" i="83"/>
  <c r="K278" i="83"/>
  <c r="J278" i="83"/>
  <c r="I278" i="83"/>
  <c r="H278" i="83"/>
  <c r="G278" i="83"/>
  <c r="F278" i="83"/>
  <c r="E278" i="83"/>
  <c r="D278" i="83"/>
  <c r="C278" i="83"/>
  <c r="B278" i="83"/>
  <c r="M276" i="83"/>
  <c r="L276" i="83"/>
  <c r="K276" i="83"/>
  <c r="J276" i="83"/>
  <c r="I276" i="83"/>
  <c r="H276" i="83"/>
  <c r="G276" i="83"/>
  <c r="F276" i="83"/>
  <c r="E276" i="83"/>
  <c r="D276" i="83"/>
  <c r="C276" i="83"/>
  <c r="B276" i="83"/>
  <c r="M273" i="83"/>
  <c r="M272" i="83"/>
  <c r="L273" i="83"/>
  <c r="L272" i="83"/>
  <c r="K272" i="83"/>
  <c r="J272" i="83"/>
  <c r="F273" i="83"/>
  <c r="F272" i="83"/>
  <c r="E273" i="83"/>
  <c r="D273" i="83"/>
  <c r="D272" i="83"/>
  <c r="C273" i="83"/>
  <c r="B273" i="83"/>
  <c r="B272" i="83"/>
  <c r="I272" i="83"/>
  <c r="H272" i="83"/>
  <c r="G272" i="83"/>
  <c r="E272" i="83"/>
  <c r="C272" i="83"/>
  <c r="M270" i="83"/>
  <c r="L270" i="83"/>
  <c r="K270" i="83"/>
  <c r="J270" i="83"/>
  <c r="J28" i="146"/>
  <c r="I270" i="83"/>
  <c r="J27" i="146"/>
  <c r="H270" i="83"/>
  <c r="J26" i="146"/>
  <c r="G270" i="83"/>
  <c r="J25" i="146"/>
  <c r="F270" i="83"/>
  <c r="J24" i="146"/>
  <c r="E270" i="83"/>
  <c r="J23" i="146"/>
  <c r="D270" i="83"/>
  <c r="J22" i="146"/>
  <c r="C270" i="83"/>
  <c r="J21" i="146"/>
  <c r="B270" i="83"/>
  <c r="J20" i="146"/>
  <c r="M258" i="83"/>
  <c r="L258" i="83"/>
  <c r="K258" i="83"/>
  <c r="J258" i="83"/>
  <c r="I258" i="83"/>
  <c r="H258" i="83"/>
  <c r="G258" i="83"/>
  <c r="F258" i="83"/>
  <c r="E258" i="83"/>
  <c r="D258" i="83"/>
  <c r="C258" i="83"/>
  <c r="B258" i="83"/>
  <c r="M256" i="83"/>
  <c r="L256" i="83"/>
  <c r="K256" i="83"/>
  <c r="J256" i="83"/>
  <c r="I256" i="83"/>
  <c r="H256" i="83"/>
  <c r="G256" i="83"/>
  <c r="F256" i="83"/>
  <c r="E256" i="83"/>
  <c r="D256" i="83"/>
  <c r="C256" i="83"/>
  <c r="B256" i="83"/>
  <c r="M252" i="83"/>
  <c r="K252" i="83"/>
  <c r="J252" i="83"/>
  <c r="G252" i="83"/>
  <c r="E252" i="83"/>
  <c r="D253" i="83"/>
  <c r="C253" i="83"/>
  <c r="C252" i="83"/>
  <c r="B253" i="83"/>
  <c r="L252" i="83"/>
  <c r="I252" i="83"/>
  <c r="H252" i="83"/>
  <c r="F252" i="83"/>
  <c r="D252" i="83"/>
  <c r="B252" i="83"/>
  <c r="M250" i="83"/>
  <c r="L250" i="83"/>
  <c r="K250" i="83"/>
  <c r="J250" i="83"/>
  <c r="L28" i="146"/>
  <c r="I250" i="83"/>
  <c r="L27" i="146"/>
  <c r="H250" i="83"/>
  <c r="L26" i="146"/>
  <c r="G250" i="83"/>
  <c r="L25" i="146"/>
  <c r="F250" i="83"/>
  <c r="L24" i="146"/>
  <c r="E250" i="83"/>
  <c r="D250" i="83"/>
  <c r="L22" i="146"/>
  <c r="C250" i="83"/>
  <c r="L21" i="146"/>
  <c r="B250" i="83"/>
  <c r="L20" i="146"/>
  <c r="H238" i="83"/>
  <c r="G238" i="83"/>
  <c r="F238" i="83"/>
  <c r="E238" i="83"/>
  <c r="D238" i="83"/>
  <c r="C238" i="83"/>
  <c r="B238" i="83"/>
  <c r="H236" i="83"/>
  <c r="G236" i="83"/>
  <c r="F236" i="83"/>
  <c r="E236" i="83"/>
  <c r="D236" i="83"/>
  <c r="C236" i="83"/>
  <c r="B236" i="83"/>
  <c r="H233" i="83"/>
  <c r="G233" i="83"/>
  <c r="G232" i="83"/>
  <c r="F233" i="83"/>
  <c r="E233" i="83"/>
  <c r="E232" i="83"/>
  <c r="D233" i="83"/>
  <c r="C233" i="83"/>
  <c r="C232" i="83"/>
  <c r="B233" i="83"/>
  <c r="H232" i="83"/>
  <c r="F232" i="83"/>
  <c r="D232" i="83"/>
  <c r="B232" i="83"/>
  <c r="H230" i="83"/>
  <c r="I26" i="146"/>
  <c r="G230" i="83"/>
  <c r="I25" i="146"/>
  <c r="F230" i="83"/>
  <c r="I24" i="146"/>
  <c r="E230" i="83"/>
  <c r="I23" i="146"/>
  <c r="D230" i="83"/>
  <c r="I22" i="146"/>
  <c r="C230" i="83"/>
  <c r="I21" i="146"/>
  <c r="B230" i="83"/>
  <c r="I20" i="146"/>
  <c r="M218" i="83"/>
  <c r="L218" i="83"/>
  <c r="K218" i="83"/>
  <c r="J218" i="83"/>
  <c r="I218" i="83"/>
  <c r="H218" i="83"/>
  <c r="G218" i="83"/>
  <c r="F218" i="83"/>
  <c r="E218" i="83"/>
  <c r="D218" i="83"/>
  <c r="C218" i="83"/>
  <c r="B218" i="83"/>
  <c r="M216" i="83"/>
  <c r="L216" i="83"/>
  <c r="K216" i="83"/>
  <c r="J216" i="83"/>
  <c r="I216" i="83"/>
  <c r="H216" i="83"/>
  <c r="G216" i="83"/>
  <c r="F216" i="83"/>
  <c r="E216" i="83"/>
  <c r="D216" i="83"/>
  <c r="C216" i="83"/>
  <c r="B216" i="83"/>
  <c r="M213" i="83"/>
  <c r="L213" i="83"/>
  <c r="L212" i="83"/>
  <c r="C213" i="83"/>
  <c r="C212" i="83"/>
  <c r="B213" i="83"/>
  <c r="M212" i="83"/>
  <c r="K212" i="83"/>
  <c r="J212" i="83"/>
  <c r="I212" i="83"/>
  <c r="H212" i="83"/>
  <c r="G212" i="83"/>
  <c r="F212" i="83"/>
  <c r="E212" i="83"/>
  <c r="D212" i="83"/>
  <c r="B212" i="83"/>
  <c r="M210" i="83"/>
  <c r="L210" i="83"/>
  <c r="K210" i="83"/>
  <c r="J210" i="83"/>
  <c r="C28" i="146"/>
  <c r="I210" i="83"/>
  <c r="C27" i="146"/>
  <c r="H210" i="83"/>
  <c r="C26" i="146"/>
  <c r="G210" i="83"/>
  <c r="C25" i="146"/>
  <c r="F210" i="83"/>
  <c r="C24" i="146"/>
  <c r="E210" i="83"/>
  <c r="C23" i="146"/>
  <c r="D210" i="83"/>
  <c r="C210" i="83"/>
  <c r="C21" i="146"/>
  <c r="B210" i="83"/>
  <c r="C20" i="146"/>
  <c r="M198" i="83"/>
  <c r="L198" i="83"/>
  <c r="K198" i="83"/>
  <c r="J198" i="83"/>
  <c r="I198" i="83"/>
  <c r="H198" i="83"/>
  <c r="G198" i="83"/>
  <c r="F198" i="83"/>
  <c r="E198" i="83"/>
  <c r="D198" i="83"/>
  <c r="C198" i="83"/>
  <c r="B198" i="83"/>
  <c r="M196" i="83"/>
  <c r="L196" i="83"/>
  <c r="K196" i="83"/>
  <c r="J196" i="83"/>
  <c r="I196" i="83"/>
  <c r="H196" i="83"/>
  <c r="G196" i="83"/>
  <c r="F196" i="83"/>
  <c r="E196" i="83"/>
  <c r="D196" i="83"/>
  <c r="C196" i="83"/>
  <c r="B196" i="83"/>
  <c r="M192" i="83"/>
  <c r="L192" i="83"/>
  <c r="G193" i="83"/>
  <c r="F193" i="83"/>
  <c r="F192" i="83"/>
  <c r="E193" i="83"/>
  <c r="D193" i="83"/>
  <c r="D192" i="83"/>
  <c r="B193" i="83"/>
  <c r="K192" i="83"/>
  <c r="J192" i="83"/>
  <c r="I192" i="83"/>
  <c r="H192" i="83"/>
  <c r="G192" i="83"/>
  <c r="E192" i="83"/>
  <c r="C192" i="83"/>
  <c r="B192" i="83"/>
  <c r="M190" i="83"/>
  <c r="L190" i="83"/>
  <c r="K190" i="83"/>
  <c r="J190" i="83"/>
  <c r="P28" i="146"/>
  <c r="I190" i="83"/>
  <c r="P27" i="146"/>
  <c r="H190" i="83"/>
  <c r="P26" i="146"/>
  <c r="G190" i="83"/>
  <c r="P25" i="146"/>
  <c r="F190" i="83"/>
  <c r="P24" i="146"/>
  <c r="E190" i="83"/>
  <c r="P23" i="146"/>
  <c r="D190" i="83"/>
  <c r="C190" i="83"/>
  <c r="P21" i="146"/>
  <c r="B190" i="83"/>
  <c r="P20" i="146"/>
  <c r="M178" i="83"/>
  <c r="L178" i="83"/>
  <c r="K178" i="83"/>
  <c r="J178" i="83"/>
  <c r="I178" i="83"/>
  <c r="H178" i="83"/>
  <c r="G178" i="83"/>
  <c r="F178" i="83"/>
  <c r="E178" i="83"/>
  <c r="D178" i="83"/>
  <c r="C178" i="83"/>
  <c r="B178" i="83"/>
  <c r="M176" i="83"/>
  <c r="L176" i="83"/>
  <c r="K176" i="83"/>
  <c r="J176" i="83"/>
  <c r="I176" i="83"/>
  <c r="H176" i="83"/>
  <c r="G176" i="83"/>
  <c r="F176" i="83"/>
  <c r="E176" i="83"/>
  <c r="D176" i="83"/>
  <c r="C176" i="83"/>
  <c r="B176" i="83"/>
  <c r="M172" i="83"/>
  <c r="L172" i="83"/>
  <c r="K172" i="83"/>
  <c r="H173" i="83"/>
  <c r="H172" i="83"/>
  <c r="D173" i="83"/>
  <c r="D172" i="83"/>
  <c r="C173" i="83"/>
  <c r="C172" i="83"/>
  <c r="B173" i="83"/>
  <c r="J172" i="83"/>
  <c r="I172" i="83"/>
  <c r="G172" i="83"/>
  <c r="F172" i="83"/>
  <c r="E172" i="83"/>
  <c r="B172" i="83"/>
  <c r="M170" i="83"/>
  <c r="L170" i="83"/>
  <c r="G30" i="146"/>
  <c r="K170" i="83"/>
  <c r="J170" i="83"/>
  <c r="G28" i="146"/>
  <c r="I170" i="83"/>
  <c r="G27" i="146"/>
  <c r="H170" i="83"/>
  <c r="G26" i="146"/>
  <c r="G170" i="83"/>
  <c r="G25" i="146"/>
  <c r="F170" i="83"/>
  <c r="G24" i="146"/>
  <c r="E170" i="83"/>
  <c r="G23" i="146"/>
  <c r="D170" i="83"/>
  <c r="G22" i="146"/>
  <c r="C170" i="83"/>
  <c r="G21" i="146"/>
  <c r="B170" i="83"/>
  <c r="G20" i="146"/>
  <c r="M158" i="83"/>
  <c r="L158" i="83"/>
  <c r="K158" i="83"/>
  <c r="J158" i="83"/>
  <c r="I158" i="83"/>
  <c r="H158" i="83"/>
  <c r="G158" i="83"/>
  <c r="F158" i="83"/>
  <c r="E158" i="83"/>
  <c r="D158" i="83"/>
  <c r="C158" i="83"/>
  <c r="B158" i="83"/>
  <c r="M156" i="83"/>
  <c r="L156" i="83"/>
  <c r="K156" i="83"/>
  <c r="J156" i="83"/>
  <c r="I156" i="83"/>
  <c r="H156" i="83"/>
  <c r="G156" i="83"/>
  <c r="F156" i="83"/>
  <c r="E156" i="83"/>
  <c r="D156" i="83"/>
  <c r="C156" i="83"/>
  <c r="B156" i="83"/>
  <c r="M152" i="83"/>
  <c r="K152" i="83"/>
  <c r="J152" i="83"/>
  <c r="H153" i="83"/>
  <c r="G153" i="83"/>
  <c r="G152" i="83"/>
  <c r="F153" i="83"/>
  <c r="E153" i="83"/>
  <c r="E152" i="83"/>
  <c r="D153" i="83"/>
  <c r="C153" i="83"/>
  <c r="C152" i="83"/>
  <c r="B153" i="83"/>
  <c r="L152" i="83"/>
  <c r="I152" i="83"/>
  <c r="H152" i="83"/>
  <c r="F152" i="83"/>
  <c r="D152" i="83"/>
  <c r="B152" i="83"/>
  <c r="M150" i="83"/>
  <c r="L150" i="83"/>
  <c r="K150" i="83"/>
  <c r="J150" i="83"/>
  <c r="M28" i="146"/>
  <c r="I150" i="83"/>
  <c r="H150" i="83"/>
  <c r="M26" i="146"/>
  <c r="G150" i="83"/>
  <c r="M25" i="146"/>
  <c r="F150" i="83"/>
  <c r="M24" i="146"/>
  <c r="E150" i="83"/>
  <c r="M23" i="146"/>
  <c r="D150" i="83"/>
  <c r="M22" i="146"/>
  <c r="C150" i="83"/>
  <c r="M21" i="146"/>
  <c r="B150" i="83"/>
  <c r="M20" i="146"/>
  <c r="M32" i="146"/>
  <c r="M138" i="83"/>
  <c r="L138" i="83"/>
  <c r="K138" i="83"/>
  <c r="J138" i="83"/>
  <c r="I138" i="83"/>
  <c r="H138" i="83"/>
  <c r="G138" i="83"/>
  <c r="F138" i="83"/>
  <c r="E138" i="83"/>
  <c r="D138" i="83"/>
  <c r="C138" i="83"/>
  <c r="B138" i="83"/>
  <c r="M136" i="83"/>
  <c r="L136" i="83"/>
  <c r="K136" i="83"/>
  <c r="J136" i="83"/>
  <c r="I136" i="83"/>
  <c r="H136" i="83"/>
  <c r="G136" i="83"/>
  <c r="F136" i="83"/>
  <c r="D136" i="83"/>
  <c r="B136" i="83"/>
  <c r="E135" i="83"/>
  <c r="E136" i="83"/>
  <c r="C135" i="83"/>
  <c r="C136" i="83"/>
  <c r="B135" i="83"/>
  <c r="M132" i="83"/>
  <c r="G133" i="83"/>
  <c r="F133" i="83"/>
  <c r="E133" i="83"/>
  <c r="D133" i="83"/>
  <c r="C133" i="83"/>
  <c r="B133" i="83"/>
  <c r="L132" i="83"/>
  <c r="K132" i="83"/>
  <c r="J132" i="83"/>
  <c r="I132" i="83"/>
  <c r="H132" i="83"/>
  <c r="G132" i="83"/>
  <c r="F132" i="83"/>
  <c r="E132" i="83"/>
  <c r="D132" i="83"/>
  <c r="C132" i="83"/>
  <c r="B132" i="83"/>
  <c r="M130" i="83"/>
  <c r="L130" i="83"/>
  <c r="K130" i="83"/>
  <c r="J130" i="83"/>
  <c r="N28" i="146"/>
  <c r="I130" i="83"/>
  <c r="N27" i="146"/>
  <c r="H130" i="83"/>
  <c r="N26" i="146"/>
  <c r="G130" i="83"/>
  <c r="N25" i="146"/>
  <c r="F130" i="83"/>
  <c r="N24" i="146"/>
  <c r="E130" i="83"/>
  <c r="N23" i="146"/>
  <c r="D130" i="83"/>
  <c r="N22" i="146"/>
  <c r="C130" i="83"/>
  <c r="N21" i="146"/>
  <c r="B130" i="83"/>
  <c r="N20" i="146"/>
  <c r="M128" i="83"/>
  <c r="L128" i="83"/>
  <c r="K128" i="83"/>
  <c r="J128" i="83"/>
  <c r="I128" i="83"/>
  <c r="H128" i="83"/>
  <c r="G128" i="83"/>
  <c r="F128" i="83"/>
  <c r="E128" i="83"/>
  <c r="D128" i="83"/>
  <c r="C128" i="83"/>
  <c r="B128" i="83"/>
  <c r="M118" i="83"/>
  <c r="L118" i="83"/>
  <c r="K118" i="83"/>
  <c r="J118" i="83"/>
  <c r="I118" i="83"/>
  <c r="H118" i="83"/>
  <c r="G118" i="83"/>
  <c r="F118" i="83"/>
  <c r="E118" i="83"/>
  <c r="D118" i="83"/>
  <c r="C118" i="83"/>
  <c r="B118" i="83"/>
  <c r="M116" i="83"/>
  <c r="L116" i="83"/>
  <c r="K116" i="83"/>
  <c r="J116" i="83"/>
  <c r="I116" i="83"/>
  <c r="H116" i="83"/>
  <c r="G116" i="83"/>
  <c r="F116" i="83"/>
  <c r="E116" i="83"/>
  <c r="D116" i="83"/>
  <c r="C116" i="83"/>
  <c r="B115" i="83"/>
  <c r="B116" i="83"/>
  <c r="L112" i="83"/>
  <c r="G113" i="83"/>
  <c r="F113" i="83"/>
  <c r="E113" i="83"/>
  <c r="D113" i="83"/>
  <c r="C113" i="83"/>
  <c r="B113" i="83"/>
  <c r="M112" i="83"/>
  <c r="K112" i="83"/>
  <c r="J112" i="83"/>
  <c r="I112" i="83"/>
  <c r="H112" i="83"/>
  <c r="G112" i="83"/>
  <c r="F112" i="83"/>
  <c r="E112" i="83"/>
  <c r="D112" i="83"/>
  <c r="C112" i="83"/>
  <c r="B112" i="83"/>
  <c r="M110" i="83"/>
  <c r="L110" i="83"/>
  <c r="K110" i="83"/>
  <c r="J110" i="83"/>
  <c r="K28" i="146"/>
  <c r="I110" i="83"/>
  <c r="K27" i="146"/>
  <c r="H110" i="83"/>
  <c r="K26" i="146"/>
  <c r="G110" i="83"/>
  <c r="K25" i="146"/>
  <c r="F110" i="83"/>
  <c r="K24" i="146"/>
  <c r="E110" i="83"/>
  <c r="K23" i="146"/>
  <c r="D110" i="83"/>
  <c r="K22" i="146"/>
  <c r="C110" i="83"/>
  <c r="K21" i="146"/>
  <c r="B110" i="83"/>
  <c r="K20" i="146"/>
  <c r="M108" i="83"/>
  <c r="L108" i="83"/>
  <c r="K108" i="83"/>
  <c r="J108" i="83"/>
  <c r="I108" i="83"/>
  <c r="H108" i="83"/>
  <c r="G108" i="83"/>
  <c r="F108" i="83"/>
  <c r="E108" i="83"/>
  <c r="D108" i="83"/>
  <c r="C108" i="83"/>
  <c r="B108" i="83"/>
  <c r="M98" i="83"/>
  <c r="L98" i="83"/>
  <c r="K98" i="83"/>
  <c r="J98" i="83"/>
  <c r="I98" i="83"/>
  <c r="H98" i="83"/>
  <c r="G98" i="83"/>
  <c r="F98" i="83"/>
  <c r="E98" i="83"/>
  <c r="D98" i="83"/>
  <c r="C98" i="83"/>
  <c r="B98" i="83"/>
  <c r="M96" i="83"/>
  <c r="L96" i="83"/>
  <c r="K96" i="83"/>
  <c r="J96" i="83"/>
  <c r="I96" i="83"/>
  <c r="H96" i="83"/>
  <c r="G96" i="83"/>
  <c r="F96" i="83"/>
  <c r="E96" i="83"/>
  <c r="D96" i="83"/>
  <c r="C96" i="83"/>
  <c r="B95" i="83"/>
  <c r="B96" i="83"/>
  <c r="M92" i="83"/>
  <c r="L93" i="83"/>
  <c r="L92" i="83"/>
  <c r="K92" i="83"/>
  <c r="J93" i="83"/>
  <c r="J92" i="83"/>
  <c r="I93" i="83"/>
  <c r="I92" i="83"/>
  <c r="G93" i="83"/>
  <c r="G92" i="83"/>
  <c r="F93" i="83"/>
  <c r="F92" i="83"/>
  <c r="E93" i="83"/>
  <c r="D93" i="83"/>
  <c r="D92" i="83"/>
  <c r="C93" i="83"/>
  <c r="C92" i="83"/>
  <c r="B93" i="83"/>
  <c r="B92" i="83"/>
  <c r="H92" i="83"/>
  <c r="E92" i="83"/>
  <c r="M90" i="83"/>
  <c r="L90" i="83"/>
  <c r="K90" i="83"/>
  <c r="J90" i="83"/>
  <c r="F28" i="146"/>
  <c r="I90" i="83"/>
  <c r="F27" i="146"/>
  <c r="H90" i="83"/>
  <c r="F26" i="146"/>
  <c r="G90" i="83"/>
  <c r="F25" i="146"/>
  <c r="F90" i="83"/>
  <c r="F24" i="146"/>
  <c r="E90" i="83"/>
  <c r="F23" i="146"/>
  <c r="D90" i="83"/>
  <c r="F22" i="146"/>
  <c r="C90" i="83"/>
  <c r="F21" i="146"/>
  <c r="B90" i="83"/>
  <c r="F20" i="146"/>
  <c r="M88" i="83"/>
  <c r="L88" i="83"/>
  <c r="K88" i="83"/>
  <c r="J88" i="83"/>
  <c r="I88" i="83"/>
  <c r="H88" i="83"/>
  <c r="G88" i="83"/>
  <c r="F88" i="83"/>
  <c r="E88" i="83"/>
  <c r="D88" i="83"/>
  <c r="C88" i="83"/>
  <c r="B88" i="83"/>
  <c r="M78" i="83"/>
  <c r="L78" i="83"/>
  <c r="K78" i="83"/>
  <c r="J78" i="83"/>
  <c r="I78" i="83"/>
  <c r="H78" i="83"/>
  <c r="G78" i="83"/>
  <c r="F78" i="83"/>
  <c r="E78" i="83"/>
  <c r="D78" i="83"/>
  <c r="C78" i="83"/>
  <c r="B78" i="83"/>
  <c r="M76" i="83"/>
  <c r="L76" i="83"/>
  <c r="K76" i="83"/>
  <c r="J76" i="83"/>
  <c r="I76" i="83"/>
  <c r="H76" i="83"/>
  <c r="G76" i="83"/>
  <c r="F76" i="83"/>
  <c r="E76" i="83"/>
  <c r="D76" i="83"/>
  <c r="C76" i="83"/>
  <c r="B75" i="83"/>
  <c r="B76" i="83"/>
  <c r="L72" i="83"/>
  <c r="G73" i="83"/>
  <c r="F73" i="83"/>
  <c r="E73" i="83"/>
  <c r="D73" i="83"/>
  <c r="C73" i="83"/>
  <c r="B73" i="83"/>
  <c r="M72" i="83"/>
  <c r="K72" i="83"/>
  <c r="J72" i="83"/>
  <c r="I72" i="83"/>
  <c r="H72" i="83"/>
  <c r="G72" i="83"/>
  <c r="F72" i="83"/>
  <c r="E72" i="83"/>
  <c r="D72" i="83"/>
  <c r="C72" i="83"/>
  <c r="B72" i="83"/>
  <c r="M70" i="83"/>
  <c r="L70" i="83"/>
  <c r="K70" i="83"/>
  <c r="J70" i="83"/>
  <c r="E28" i="146"/>
  <c r="I70" i="83"/>
  <c r="E27" i="146"/>
  <c r="H70" i="83"/>
  <c r="E26" i="146"/>
  <c r="G70" i="83"/>
  <c r="E25" i="146"/>
  <c r="F70" i="83"/>
  <c r="E24" i="146"/>
  <c r="E70" i="83"/>
  <c r="E23" i="146"/>
  <c r="D70" i="83"/>
  <c r="E22" i="146"/>
  <c r="C70" i="83"/>
  <c r="E21" i="146"/>
  <c r="B70" i="83"/>
  <c r="E20" i="146"/>
  <c r="M68" i="83"/>
  <c r="L68" i="83"/>
  <c r="K68" i="83"/>
  <c r="J68" i="83"/>
  <c r="I68" i="83"/>
  <c r="H68" i="83"/>
  <c r="G68" i="83"/>
  <c r="F68" i="83"/>
  <c r="E68" i="83"/>
  <c r="D68" i="83"/>
  <c r="C68" i="83"/>
  <c r="B68" i="83"/>
  <c r="M58" i="83"/>
  <c r="L58" i="83"/>
  <c r="K58" i="83"/>
  <c r="J58" i="83"/>
  <c r="I58" i="83"/>
  <c r="H58" i="83"/>
  <c r="G58" i="83"/>
  <c r="F58" i="83"/>
  <c r="E58" i="83"/>
  <c r="D58" i="83"/>
  <c r="C58" i="83"/>
  <c r="B58" i="83"/>
  <c r="M56" i="83"/>
  <c r="L56" i="83"/>
  <c r="K56" i="83"/>
  <c r="J56" i="83"/>
  <c r="I56" i="83"/>
  <c r="H56" i="83"/>
  <c r="G56" i="83"/>
  <c r="F56" i="83"/>
  <c r="E56" i="83"/>
  <c r="D56" i="83"/>
  <c r="C56" i="83"/>
  <c r="B55" i="83"/>
  <c r="B56" i="83"/>
  <c r="M52" i="83"/>
  <c r="K52" i="83"/>
  <c r="G53" i="83"/>
  <c r="F53" i="83"/>
  <c r="E53" i="83"/>
  <c r="D53" i="83"/>
  <c r="C53" i="83"/>
  <c r="B53" i="83"/>
  <c r="L52" i="83"/>
  <c r="J52" i="83"/>
  <c r="I52" i="83"/>
  <c r="H52" i="83"/>
  <c r="G52" i="83"/>
  <c r="F52" i="83"/>
  <c r="E52" i="83"/>
  <c r="D52" i="83"/>
  <c r="C52" i="83"/>
  <c r="B52" i="83"/>
  <c r="M50" i="83"/>
  <c r="L50" i="83"/>
  <c r="K50" i="83"/>
  <c r="J50" i="83"/>
  <c r="D28" i="146"/>
  <c r="I50" i="83"/>
  <c r="D27" i="146"/>
  <c r="H50" i="83"/>
  <c r="D26" i="146"/>
  <c r="G50" i="83"/>
  <c r="D25" i="146"/>
  <c r="F50" i="83"/>
  <c r="D24" i="146"/>
  <c r="E50" i="83"/>
  <c r="D23" i="146"/>
  <c r="D50" i="83"/>
  <c r="D22" i="146"/>
  <c r="C50" i="83"/>
  <c r="D21" i="146"/>
  <c r="B50" i="83"/>
  <c r="D20" i="146"/>
  <c r="M48" i="83"/>
  <c r="L48" i="83"/>
  <c r="K48" i="83"/>
  <c r="J48" i="83"/>
  <c r="I48" i="83"/>
  <c r="H48" i="83"/>
  <c r="G48" i="83"/>
  <c r="F48" i="83"/>
  <c r="E48" i="83"/>
  <c r="D48" i="83"/>
  <c r="C48" i="83"/>
  <c r="B48" i="83"/>
  <c r="M18" i="83"/>
  <c r="L18" i="83"/>
  <c r="K18" i="83"/>
  <c r="J18" i="83"/>
  <c r="I18" i="83"/>
  <c r="H18" i="83"/>
  <c r="G18" i="83"/>
  <c r="F18" i="83"/>
  <c r="E18" i="83"/>
  <c r="D18" i="83"/>
  <c r="C18" i="83"/>
  <c r="B18" i="83"/>
  <c r="M16" i="83"/>
  <c r="L16" i="83"/>
  <c r="K16" i="83"/>
  <c r="J16" i="83"/>
  <c r="I16" i="83"/>
  <c r="H16" i="83"/>
  <c r="G16" i="83"/>
  <c r="F16" i="83"/>
  <c r="E16" i="83"/>
  <c r="D16" i="83"/>
  <c r="C16" i="83"/>
  <c r="B16" i="83"/>
  <c r="B15" i="83"/>
  <c r="M12" i="83"/>
  <c r="K12" i="83"/>
  <c r="G13" i="83"/>
  <c r="F13" i="83"/>
  <c r="E13" i="83"/>
  <c r="D13" i="83"/>
  <c r="C13" i="83"/>
  <c r="B13" i="83"/>
  <c r="L12" i="83"/>
  <c r="J12" i="83"/>
  <c r="I12" i="83"/>
  <c r="H12" i="83"/>
  <c r="G12" i="83"/>
  <c r="F12" i="83"/>
  <c r="E12" i="83"/>
  <c r="D12" i="83"/>
  <c r="C12" i="83"/>
  <c r="B12" i="83"/>
  <c r="M10" i="83"/>
  <c r="L10" i="83"/>
  <c r="K10" i="83"/>
  <c r="J10" i="83"/>
  <c r="H28" i="146"/>
  <c r="I10" i="83"/>
  <c r="H27" i="146"/>
  <c r="H10" i="83"/>
  <c r="H26" i="146"/>
  <c r="G10" i="83"/>
  <c r="H25" i="146"/>
  <c r="F10" i="83"/>
  <c r="H24" i="146"/>
  <c r="E10" i="83"/>
  <c r="H23" i="146"/>
  <c r="D10" i="83"/>
  <c r="H22" i="146"/>
  <c r="C10" i="83"/>
  <c r="H21" i="146"/>
  <c r="B10" i="83"/>
  <c r="H20" i="146"/>
  <c r="M8" i="83"/>
  <c r="L8" i="83"/>
  <c r="K8" i="83"/>
  <c r="J8" i="83"/>
  <c r="I8" i="83"/>
  <c r="H8" i="83"/>
  <c r="G8" i="83"/>
  <c r="F8" i="83"/>
  <c r="E8" i="83"/>
  <c r="D8" i="83"/>
  <c r="C8" i="83"/>
  <c r="B8" i="83"/>
  <c r="W493" i="8"/>
  <c r="L10" i="8"/>
  <c r="S9" i="9"/>
  <c r="M29" i="32"/>
  <c r="V493" i="8"/>
  <c r="L9" i="8"/>
  <c r="L11" i="8"/>
  <c r="U493" i="8"/>
  <c r="K10" i="8"/>
  <c r="R9" i="9"/>
  <c r="L29" i="32"/>
  <c r="T493" i="8"/>
  <c r="K9" i="8"/>
  <c r="S493" i="8"/>
  <c r="J10" i="8"/>
  <c r="R493" i="8"/>
  <c r="J9" i="8"/>
  <c r="Q493" i="8"/>
  <c r="I10" i="8"/>
  <c r="P9" i="9"/>
  <c r="J29" i="32"/>
  <c r="P493" i="8"/>
  <c r="I9" i="8"/>
  <c r="O493" i="8"/>
  <c r="H10" i="8"/>
  <c r="N493" i="8"/>
  <c r="M493" i="8"/>
  <c r="G10" i="8"/>
  <c r="N9" i="9"/>
  <c r="H29" i="32"/>
  <c r="L493" i="8"/>
  <c r="G9" i="8"/>
  <c r="K493" i="8"/>
  <c r="F10" i="8"/>
  <c r="M9" i="9"/>
  <c r="G29" i="32"/>
  <c r="J493" i="8"/>
  <c r="F9" i="8"/>
  <c r="I493" i="8"/>
  <c r="E10" i="8"/>
  <c r="L9" i="9"/>
  <c r="F29" i="32"/>
  <c r="H493" i="8"/>
  <c r="G493" i="8"/>
  <c r="F493" i="8"/>
  <c r="E493" i="8"/>
  <c r="D493" i="8"/>
  <c r="C493" i="8"/>
  <c r="B493" i="8"/>
  <c r="Y470" i="8"/>
  <c r="X470" i="8"/>
  <c r="W470" i="8"/>
  <c r="V470" i="8"/>
  <c r="L5" i="8"/>
  <c r="U470" i="8"/>
  <c r="T470" i="8"/>
  <c r="K5" i="8"/>
  <c r="S470" i="8"/>
  <c r="R470" i="8"/>
  <c r="J5" i="8"/>
  <c r="Q470" i="8"/>
  <c r="P470" i="8"/>
  <c r="I5" i="8"/>
  <c r="O470" i="8"/>
  <c r="H6" i="8"/>
  <c r="N470" i="8"/>
  <c r="M470" i="8"/>
  <c r="G6" i="8"/>
  <c r="L470" i="8"/>
  <c r="K470" i="8"/>
  <c r="F6" i="8"/>
  <c r="J470" i="8"/>
  <c r="I470" i="8"/>
  <c r="L8" i="9"/>
  <c r="F28" i="32"/>
  <c r="H470" i="8"/>
  <c r="E5" i="8"/>
  <c r="G470" i="8"/>
  <c r="K8" i="9"/>
  <c r="E28" i="32"/>
  <c r="F470" i="8"/>
  <c r="E470" i="8"/>
  <c r="C6" i="8"/>
  <c r="D470" i="8"/>
  <c r="C470" i="8"/>
  <c r="B6" i="8"/>
  <c r="B470" i="8"/>
  <c r="B5" i="8"/>
  <c r="EG443" i="8"/>
  <c r="EF443" i="8"/>
  <c r="EE443" i="8"/>
  <c r="ED443" i="8"/>
  <c r="EC443" i="8"/>
  <c r="EB443" i="8"/>
  <c r="EA443" i="8"/>
  <c r="DZ443" i="8"/>
  <c r="DY443" i="8"/>
  <c r="DX443" i="8"/>
  <c r="DW443" i="8"/>
  <c r="DV443" i="8"/>
  <c r="DO443" i="8"/>
  <c r="DN443" i="8"/>
  <c r="DM443" i="8"/>
  <c r="DL443" i="8"/>
  <c r="DK443" i="8"/>
  <c r="DJ443" i="8"/>
  <c r="DE443" i="8"/>
  <c r="DD443" i="8"/>
  <c r="DC443" i="8"/>
  <c r="DB443" i="8"/>
  <c r="DA443" i="8"/>
  <c r="CZ443" i="8"/>
  <c r="CY443" i="8"/>
  <c r="CX443" i="8"/>
  <c r="CS443" i="8"/>
  <c r="CR443" i="8"/>
  <c r="CQ443" i="8"/>
  <c r="CP443" i="8"/>
  <c r="CO443" i="8"/>
  <c r="CN443" i="8"/>
  <c r="CM443" i="8"/>
  <c r="CL443" i="8"/>
  <c r="CG443" i="8"/>
  <c r="CF443" i="8"/>
  <c r="CE443" i="8"/>
  <c r="CD443" i="8"/>
  <c r="CC443" i="8"/>
  <c r="CB443" i="8"/>
  <c r="CA443" i="8"/>
  <c r="BZ443" i="8"/>
  <c r="BY443" i="8"/>
  <c r="BX443" i="8"/>
  <c r="H23" i="8"/>
  <c r="BW443" i="8"/>
  <c r="BV443" i="8"/>
  <c r="H21" i="8"/>
  <c r="BU443" i="8"/>
  <c r="BT443" i="8"/>
  <c r="BS443" i="8"/>
  <c r="BR443" i="8"/>
  <c r="BQ443" i="8"/>
  <c r="BP443" i="8"/>
  <c r="BO443" i="8"/>
  <c r="BN443" i="8"/>
  <c r="BM443" i="8"/>
  <c r="BL443" i="8"/>
  <c r="BK443" i="8"/>
  <c r="BJ443" i="8"/>
  <c r="BI443" i="8"/>
  <c r="BH443" i="8"/>
  <c r="BG443" i="8"/>
  <c r="BF443" i="8"/>
  <c r="BE443" i="8"/>
  <c r="BD443" i="8"/>
  <c r="BC443" i="8"/>
  <c r="BB443" i="8"/>
  <c r="BA443" i="8"/>
  <c r="AZ443" i="8"/>
  <c r="AY443" i="8"/>
  <c r="AX443" i="8"/>
  <c r="AW443" i="8"/>
  <c r="AV443" i="8"/>
  <c r="AU443" i="8"/>
  <c r="AT443" i="8"/>
  <c r="AS443" i="8"/>
  <c r="AR443" i="8"/>
  <c r="AQ443" i="8"/>
  <c r="AP443" i="8"/>
  <c r="AO443" i="8"/>
  <c r="AN443" i="8"/>
  <c r="AM443" i="8"/>
  <c r="AL443" i="8"/>
  <c r="AK443" i="8"/>
  <c r="AJ443" i="8"/>
  <c r="AI443" i="8"/>
  <c r="AH443" i="8"/>
  <c r="AG443" i="8"/>
  <c r="AF443" i="8"/>
  <c r="AE443" i="8"/>
  <c r="AD443" i="8"/>
  <c r="AC443" i="8"/>
  <c r="AB443" i="8"/>
  <c r="AA443" i="8"/>
  <c r="Z443" i="8"/>
  <c r="Y443" i="8"/>
  <c r="X443" i="8"/>
  <c r="W443" i="8"/>
  <c r="V443" i="8"/>
  <c r="U443" i="8"/>
  <c r="T443" i="8"/>
  <c r="S443" i="8"/>
  <c r="R443" i="8"/>
  <c r="Q443" i="8"/>
  <c r="P443" i="8"/>
  <c r="O443" i="8"/>
  <c r="N443" i="8"/>
  <c r="M443" i="8"/>
  <c r="L443" i="8"/>
  <c r="K443" i="8"/>
  <c r="J443" i="8"/>
  <c r="I443" i="8"/>
  <c r="H443" i="8"/>
  <c r="G443" i="8"/>
  <c r="F443" i="8"/>
  <c r="E443" i="8"/>
  <c r="D443" i="8"/>
  <c r="C443" i="8"/>
  <c r="B443" i="8"/>
  <c r="M421" i="8"/>
  <c r="L421" i="8"/>
  <c r="K421" i="8"/>
  <c r="J421" i="8"/>
  <c r="I421" i="8"/>
  <c r="H421" i="8"/>
  <c r="M394" i="8"/>
  <c r="L394" i="8"/>
  <c r="K394" i="8"/>
  <c r="J394" i="8"/>
  <c r="I394" i="8"/>
  <c r="H394" i="8"/>
  <c r="G394" i="8"/>
  <c r="F394" i="8"/>
  <c r="E394" i="8"/>
  <c r="D394" i="8"/>
  <c r="C394" i="8"/>
  <c r="B394" i="8"/>
  <c r="I365" i="8"/>
  <c r="H365" i="8"/>
  <c r="J365" i="8"/>
  <c r="E365" i="8"/>
  <c r="G365" i="8"/>
  <c r="B365" i="8"/>
  <c r="D365" i="8"/>
  <c r="J364" i="8"/>
  <c r="G364" i="8"/>
  <c r="B364" i="8"/>
  <c r="D364" i="8"/>
  <c r="I363" i="8"/>
  <c r="H363" i="8"/>
  <c r="J363" i="8"/>
  <c r="F363" i="8"/>
  <c r="E363" i="8"/>
  <c r="C363" i="8"/>
  <c r="B363" i="8"/>
  <c r="D363" i="8"/>
  <c r="I362" i="8"/>
  <c r="H362" i="8"/>
  <c r="J362" i="8"/>
  <c r="F362" i="8"/>
  <c r="E362" i="8"/>
  <c r="G362" i="8"/>
  <c r="C362" i="8"/>
  <c r="B362" i="8"/>
  <c r="I361" i="8"/>
  <c r="H361" i="8"/>
  <c r="J361" i="8"/>
  <c r="F361" i="8"/>
  <c r="E361" i="8"/>
  <c r="G361" i="8"/>
  <c r="C361" i="8"/>
  <c r="B361" i="8"/>
  <c r="D361" i="8"/>
  <c r="J360" i="8"/>
  <c r="G360" i="8"/>
  <c r="D360" i="8"/>
  <c r="J359" i="8"/>
  <c r="G359" i="8"/>
  <c r="D359" i="8"/>
  <c r="J358" i="8"/>
  <c r="G358" i="8"/>
  <c r="D358" i="8"/>
  <c r="J357" i="8"/>
  <c r="G357" i="8"/>
  <c r="D357" i="8"/>
  <c r="I356" i="8"/>
  <c r="H356" i="8"/>
  <c r="E356" i="8"/>
  <c r="G356" i="8"/>
  <c r="B356" i="8"/>
  <c r="D356" i="8"/>
  <c r="J355" i="8"/>
  <c r="G355" i="8"/>
  <c r="D355" i="8"/>
  <c r="J354" i="8"/>
  <c r="G354" i="8"/>
  <c r="D354" i="8"/>
  <c r="J353" i="8"/>
  <c r="E353" i="8"/>
  <c r="G353" i="8"/>
  <c r="B353" i="8"/>
  <c r="D353" i="8"/>
  <c r="I352" i="8"/>
  <c r="H352" i="8"/>
  <c r="G352" i="8"/>
  <c r="D352" i="8"/>
  <c r="J351" i="8"/>
  <c r="H351" i="8"/>
  <c r="G351" i="8"/>
  <c r="E351" i="8"/>
  <c r="D351" i="8"/>
  <c r="B351" i="8"/>
  <c r="J350" i="8"/>
  <c r="G350" i="8"/>
  <c r="D350" i="8"/>
  <c r="J349" i="8"/>
  <c r="G349" i="8"/>
  <c r="D349" i="8"/>
  <c r="J348" i="8"/>
  <c r="G348" i="8"/>
  <c r="D348" i="8"/>
  <c r="J347" i="8"/>
  <c r="G347" i="8"/>
  <c r="D347" i="8"/>
  <c r="J346" i="8"/>
  <c r="G346" i="8"/>
  <c r="D346" i="8"/>
  <c r="J345" i="8"/>
  <c r="G345" i="8"/>
  <c r="D345" i="8"/>
  <c r="J344" i="8"/>
  <c r="G344" i="8"/>
  <c r="D344" i="8"/>
  <c r="Y340" i="8"/>
  <c r="X340" i="8"/>
  <c r="W340" i="8"/>
  <c r="V340" i="8"/>
  <c r="U340" i="8"/>
  <c r="T340" i="8"/>
  <c r="S340" i="8"/>
  <c r="R340" i="8"/>
  <c r="Q340" i="8"/>
  <c r="P340" i="8"/>
  <c r="O340" i="8"/>
  <c r="N340" i="8"/>
  <c r="M340" i="8"/>
  <c r="L340" i="8"/>
  <c r="J340" i="8"/>
  <c r="H340" i="8"/>
  <c r="F340" i="8"/>
  <c r="B340" i="8"/>
  <c r="K338" i="8"/>
  <c r="I338" i="8"/>
  <c r="G338" i="8"/>
  <c r="I337" i="8"/>
  <c r="G337" i="8"/>
  <c r="K334" i="8"/>
  <c r="I334" i="8"/>
  <c r="G334" i="8"/>
  <c r="E334" i="8"/>
  <c r="E340" i="8"/>
  <c r="D334" i="8"/>
  <c r="D340" i="8"/>
  <c r="K333" i="8"/>
  <c r="I333" i="8"/>
  <c r="G333" i="8"/>
  <c r="K332" i="8"/>
  <c r="G332" i="8"/>
  <c r="K329" i="8"/>
  <c r="I329" i="8"/>
  <c r="G329" i="8"/>
  <c r="K328" i="8"/>
  <c r="I327" i="8"/>
  <c r="G327" i="8"/>
  <c r="C327" i="8"/>
  <c r="K326" i="8"/>
  <c r="I326" i="8"/>
  <c r="I340" i="8"/>
  <c r="G326" i="8"/>
  <c r="C325" i="8"/>
  <c r="C340" i="8"/>
  <c r="AK321" i="8"/>
  <c r="AJ321" i="8"/>
  <c r="AI321" i="8"/>
  <c r="AH321" i="8"/>
  <c r="AG321" i="8"/>
  <c r="AF321" i="8"/>
  <c r="AE321" i="8"/>
  <c r="AD321" i="8"/>
  <c r="AC321" i="8"/>
  <c r="AB321" i="8"/>
  <c r="AA321" i="8"/>
  <c r="Y321" i="8"/>
  <c r="W321" i="8"/>
  <c r="V321" i="8"/>
  <c r="S321" i="8"/>
  <c r="Q321" i="8"/>
  <c r="P321" i="8"/>
  <c r="M321" i="8"/>
  <c r="J321" i="8"/>
  <c r="X319" i="8"/>
  <c r="U319" i="8"/>
  <c r="R319" i="8"/>
  <c r="O319" i="8"/>
  <c r="L319" i="8"/>
  <c r="I319" i="8"/>
  <c r="F319" i="8"/>
  <c r="G319" i="8"/>
  <c r="C319" i="8"/>
  <c r="X318" i="8"/>
  <c r="U318" i="8"/>
  <c r="R318" i="8"/>
  <c r="O318" i="8"/>
  <c r="L318" i="8"/>
  <c r="I318" i="8"/>
  <c r="F318" i="8"/>
  <c r="G318" i="8"/>
  <c r="BQ26" i="155"/>
  <c r="C318" i="8"/>
  <c r="X317" i="8"/>
  <c r="U317" i="8"/>
  <c r="R317" i="8"/>
  <c r="O317" i="8"/>
  <c r="L317" i="8"/>
  <c r="I317" i="8"/>
  <c r="B317" i="8"/>
  <c r="C317" i="8"/>
  <c r="B316" i="8"/>
  <c r="E316" i="8"/>
  <c r="F316" i="8"/>
  <c r="G316" i="8"/>
  <c r="X315" i="8"/>
  <c r="U315" i="8"/>
  <c r="R315" i="8"/>
  <c r="O315" i="8"/>
  <c r="L315" i="8"/>
  <c r="I315" i="8"/>
  <c r="F315" i="8"/>
  <c r="C315" i="8"/>
  <c r="X313" i="8"/>
  <c r="U313" i="8"/>
  <c r="R313" i="8"/>
  <c r="O313" i="8"/>
  <c r="L313" i="8"/>
  <c r="I313" i="8"/>
  <c r="F313" i="8"/>
  <c r="C313" i="8"/>
  <c r="X311" i="8"/>
  <c r="U311" i="8"/>
  <c r="R311" i="8"/>
  <c r="O311" i="8"/>
  <c r="L311" i="8"/>
  <c r="I311" i="8"/>
  <c r="F311" i="8"/>
  <c r="C311" i="8"/>
  <c r="D311" i="8"/>
  <c r="X310" i="8"/>
  <c r="U310" i="8"/>
  <c r="R310" i="8"/>
  <c r="O310" i="8"/>
  <c r="L310" i="8"/>
  <c r="I310" i="8"/>
  <c r="F310" i="8"/>
  <c r="C310" i="8"/>
  <c r="X309" i="8"/>
  <c r="U309" i="8"/>
  <c r="R309" i="8"/>
  <c r="O309" i="8"/>
  <c r="L309" i="8"/>
  <c r="I309" i="8"/>
  <c r="F309" i="8"/>
  <c r="C309" i="8"/>
  <c r="X308" i="8"/>
  <c r="U308" i="8"/>
  <c r="R308" i="8"/>
  <c r="O308" i="8"/>
  <c r="L308" i="8"/>
  <c r="I308" i="8"/>
  <c r="F308" i="8"/>
  <c r="C308" i="8"/>
  <c r="U306" i="8"/>
  <c r="R306" i="8"/>
  <c r="O306" i="8"/>
  <c r="L306" i="8"/>
  <c r="I306" i="8"/>
  <c r="F306" i="8"/>
  <c r="C306" i="8"/>
  <c r="T305" i="8"/>
  <c r="U305" i="8"/>
  <c r="R305" i="8"/>
  <c r="O305" i="8"/>
  <c r="N305" i="8"/>
  <c r="L305" i="8"/>
  <c r="H305" i="8"/>
  <c r="I305" i="8"/>
  <c r="B305" i="8"/>
  <c r="C305" i="8"/>
  <c r="X303" i="8"/>
  <c r="U303" i="8"/>
  <c r="R303" i="8"/>
  <c r="O303" i="8"/>
  <c r="L303" i="8"/>
  <c r="I303" i="8"/>
  <c r="F303" i="8"/>
  <c r="C303" i="8"/>
  <c r="Z321" i="8"/>
  <c r="T302" i="8"/>
  <c r="R302" i="8"/>
  <c r="R321" i="8"/>
  <c r="N302" i="8"/>
  <c r="N321" i="8"/>
  <c r="K302" i="8"/>
  <c r="K321" i="8"/>
  <c r="H302" i="8"/>
  <c r="I302" i="8"/>
  <c r="B302" i="8"/>
  <c r="B321" i="8"/>
  <c r="AK297" i="8"/>
  <c r="AH297" i="8"/>
  <c r="AE297" i="8"/>
  <c r="AB297" i="8"/>
  <c r="Y297" i="8"/>
  <c r="V297" i="8"/>
  <c r="S297" i="8"/>
  <c r="P297" i="8"/>
  <c r="M297" i="8"/>
  <c r="J297" i="8"/>
  <c r="D297" i="8"/>
  <c r="AJ295" i="8"/>
  <c r="AG295" i="8"/>
  <c r="AD295" i="8"/>
  <c r="AA295" i="8"/>
  <c r="X295" i="8"/>
  <c r="U295" i="8"/>
  <c r="R295" i="8"/>
  <c r="O295" i="8"/>
  <c r="L295" i="8"/>
  <c r="I295" i="8"/>
  <c r="F295" i="8"/>
  <c r="C295" i="8"/>
  <c r="AJ294" i="8"/>
  <c r="AG294" i="8"/>
  <c r="AD294" i="8"/>
  <c r="AA294" i="8"/>
  <c r="X294" i="8"/>
  <c r="U294" i="8"/>
  <c r="R294" i="8"/>
  <c r="O294" i="8"/>
  <c r="L294" i="8"/>
  <c r="I294" i="8"/>
  <c r="F294" i="8"/>
  <c r="C294" i="8"/>
  <c r="AJ293" i="8"/>
  <c r="AG293" i="8"/>
  <c r="AD293" i="8"/>
  <c r="AA293" i="8"/>
  <c r="X293" i="8"/>
  <c r="U293" i="8"/>
  <c r="R293" i="8"/>
  <c r="O293" i="8"/>
  <c r="L293" i="8"/>
  <c r="I293" i="8"/>
  <c r="F293" i="8"/>
  <c r="C293" i="8"/>
  <c r="AJ292" i="8"/>
  <c r="AG292" i="8"/>
  <c r="AD292" i="8"/>
  <c r="AA292" i="8"/>
  <c r="X292" i="8"/>
  <c r="U292" i="8"/>
  <c r="R292" i="8"/>
  <c r="O292" i="8"/>
  <c r="L292" i="8"/>
  <c r="I292" i="8"/>
  <c r="G292" i="8"/>
  <c r="F292" i="8"/>
  <c r="C292" i="8"/>
  <c r="B292" i="8"/>
  <c r="AJ291" i="8"/>
  <c r="AG291" i="8"/>
  <c r="AD291" i="8"/>
  <c r="AA291" i="8"/>
  <c r="X291" i="8"/>
  <c r="U291" i="8"/>
  <c r="R291" i="8"/>
  <c r="O291" i="8"/>
  <c r="L291" i="8"/>
  <c r="I291" i="8"/>
  <c r="F291" i="8"/>
  <c r="C291" i="8"/>
  <c r="AJ290" i="8"/>
  <c r="AG290" i="8"/>
  <c r="AD290" i="8"/>
  <c r="AA290" i="8"/>
  <c r="X290" i="8"/>
  <c r="U290" i="8"/>
  <c r="R290" i="8"/>
  <c r="O290" i="8"/>
  <c r="L290" i="8"/>
  <c r="I290" i="8"/>
  <c r="G290" i="8"/>
  <c r="BD26" i="155"/>
  <c r="BC26" i="155"/>
  <c r="F290" i="8"/>
  <c r="C290" i="8"/>
  <c r="AJ289" i="8"/>
  <c r="AG289" i="8"/>
  <c r="AD289" i="8"/>
  <c r="AA289" i="8"/>
  <c r="X289" i="8"/>
  <c r="U289" i="8"/>
  <c r="R289" i="8"/>
  <c r="O289" i="8"/>
  <c r="L289" i="8"/>
  <c r="I289" i="8"/>
  <c r="F289" i="8"/>
  <c r="G289" i="8"/>
  <c r="C289" i="8"/>
  <c r="AJ288" i="8"/>
  <c r="AG288" i="8"/>
  <c r="AD288" i="8"/>
  <c r="AA288" i="8"/>
  <c r="X288" i="8"/>
  <c r="U288" i="8"/>
  <c r="R288" i="8"/>
  <c r="O288" i="8"/>
  <c r="L288" i="8"/>
  <c r="I288" i="8"/>
  <c r="F288" i="8"/>
  <c r="C288" i="8"/>
  <c r="AJ287" i="8"/>
  <c r="AG287" i="8"/>
  <c r="AD287" i="8"/>
  <c r="AA287" i="8"/>
  <c r="X287" i="8"/>
  <c r="U287" i="8"/>
  <c r="R287" i="8"/>
  <c r="O287" i="8"/>
  <c r="L287" i="8"/>
  <c r="I287" i="8"/>
  <c r="F287" i="8"/>
  <c r="C287" i="8"/>
  <c r="AJ286" i="8"/>
  <c r="AG286" i="8"/>
  <c r="AD286" i="8"/>
  <c r="AA286" i="8"/>
  <c r="X286" i="8"/>
  <c r="U286" i="8"/>
  <c r="R286" i="8"/>
  <c r="O286" i="8"/>
  <c r="L286" i="8"/>
  <c r="I286" i="8"/>
  <c r="F286" i="8"/>
  <c r="C286" i="8"/>
  <c r="AJ285" i="8"/>
  <c r="AG285" i="8"/>
  <c r="AD285" i="8"/>
  <c r="AA285" i="8"/>
  <c r="X285" i="8"/>
  <c r="U285" i="8"/>
  <c r="R285" i="8"/>
  <c r="O285" i="8"/>
  <c r="L285" i="8"/>
  <c r="I285" i="8"/>
  <c r="F285" i="8"/>
  <c r="C285" i="8"/>
  <c r="AJ284" i="8"/>
  <c r="AG284" i="8"/>
  <c r="AD284" i="8"/>
  <c r="AA284" i="8"/>
  <c r="X284" i="8"/>
  <c r="U284" i="8"/>
  <c r="R284" i="8"/>
  <c r="O284" i="8"/>
  <c r="L284" i="8"/>
  <c r="I284" i="8"/>
  <c r="F284" i="8"/>
  <c r="C284" i="8"/>
  <c r="AJ283" i="8"/>
  <c r="AG283" i="8"/>
  <c r="AD283" i="8"/>
  <c r="AA283" i="8"/>
  <c r="X283" i="8"/>
  <c r="U283" i="8"/>
  <c r="R283" i="8"/>
  <c r="O283" i="8"/>
  <c r="L283" i="8"/>
  <c r="I283" i="8"/>
  <c r="F283" i="8"/>
  <c r="C283" i="8"/>
  <c r="AJ282" i="8"/>
  <c r="AG282" i="8"/>
  <c r="AD282" i="8"/>
  <c r="AA282" i="8"/>
  <c r="X282" i="8"/>
  <c r="U282" i="8"/>
  <c r="R282" i="8"/>
  <c r="O282" i="8"/>
  <c r="L282" i="8"/>
  <c r="I282" i="8"/>
  <c r="F282" i="8"/>
  <c r="C282" i="8"/>
  <c r="U281" i="8"/>
  <c r="R281" i="8"/>
  <c r="O281" i="8"/>
  <c r="L281" i="8"/>
  <c r="I281" i="8"/>
  <c r="F281" i="8"/>
  <c r="C281" i="8"/>
  <c r="AJ280" i="8"/>
  <c r="AG280" i="8"/>
  <c r="AD280" i="8"/>
  <c r="AA280" i="8"/>
  <c r="X280" i="8"/>
  <c r="U280" i="8"/>
  <c r="R280" i="8"/>
  <c r="O280" i="8"/>
  <c r="L280" i="8"/>
  <c r="I280" i="8"/>
  <c r="F280" i="8"/>
  <c r="C280" i="8"/>
  <c r="AJ279" i="8"/>
  <c r="AG279" i="8"/>
  <c r="AD279" i="8"/>
  <c r="AA279" i="8"/>
  <c r="X279" i="8"/>
  <c r="U279" i="8"/>
  <c r="R279" i="8"/>
  <c r="O279" i="8"/>
  <c r="L279" i="8"/>
  <c r="I279" i="8"/>
  <c r="F279" i="8"/>
  <c r="C279" i="8"/>
  <c r="AJ278" i="8"/>
  <c r="AG278" i="8"/>
  <c r="AD278" i="8"/>
  <c r="AA278" i="8"/>
  <c r="X278" i="8"/>
  <c r="U278" i="8"/>
  <c r="R278" i="8"/>
  <c r="O278" i="8"/>
  <c r="L278" i="8"/>
  <c r="I278" i="8"/>
  <c r="F278" i="8"/>
  <c r="C278" i="8"/>
  <c r="AJ277" i="8"/>
  <c r="AG277" i="8"/>
  <c r="AD277" i="8"/>
  <c r="AA277" i="8"/>
  <c r="X277" i="8"/>
  <c r="U277" i="8"/>
  <c r="R277" i="8"/>
  <c r="O277" i="8"/>
  <c r="L277" i="8"/>
  <c r="I277" i="8"/>
  <c r="F277" i="8"/>
  <c r="C277" i="8"/>
  <c r="AJ276" i="8"/>
  <c r="AG276" i="8"/>
  <c r="AD276" i="8"/>
  <c r="AA276" i="8"/>
  <c r="X276" i="8"/>
  <c r="U276" i="8"/>
  <c r="R276" i="8"/>
  <c r="O276" i="8"/>
  <c r="L276" i="8"/>
  <c r="I276" i="8"/>
  <c r="F276" i="8"/>
  <c r="C276" i="8"/>
  <c r="AJ275" i="8"/>
  <c r="AG275" i="8"/>
  <c r="AD275" i="8"/>
  <c r="AA275" i="8"/>
  <c r="X275" i="8"/>
  <c r="U275" i="8"/>
  <c r="R275" i="8"/>
  <c r="O275" i="8"/>
  <c r="L275" i="8"/>
  <c r="I275" i="8"/>
  <c r="F275" i="8"/>
  <c r="C275" i="8"/>
  <c r="B274" i="8"/>
  <c r="B297" i="8"/>
  <c r="AJ273" i="8"/>
  <c r="AG273" i="8"/>
  <c r="AD273" i="8"/>
  <c r="AA273" i="8"/>
  <c r="X273" i="8"/>
  <c r="U273" i="8"/>
  <c r="R273" i="8"/>
  <c r="O273" i="8"/>
  <c r="L273" i="8"/>
  <c r="I273" i="8"/>
  <c r="F273" i="8"/>
  <c r="C273" i="8"/>
  <c r="AW269" i="8"/>
  <c r="AV269" i="8"/>
  <c r="AU269" i="8"/>
  <c r="AS269" i="8"/>
  <c r="AR269" i="8"/>
  <c r="AQ269" i="8"/>
  <c r="AO269" i="8"/>
  <c r="AN269" i="8"/>
  <c r="AM269" i="8"/>
  <c r="AK269" i="8"/>
  <c r="AJ269" i="8"/>
  <c r="AI269" i="8"/>
  <c r="AG269" i="8"/>
  <c r="AF269" i="8"/>
  <c r="AE269" i="8"/>
  <c r="AC269" i="8"/>
  <c r="AB269" i="8"/>
  <c r="AA269" i="8"/>
  <c r="Y269" i="8"/>
  <c r="X269" i="8"/>
  <c r="W269" i="8"/>
  <c r="U269" i="8"/>
  <c r="T269" i="8"/>
  <c r="S269" i="8"/>
  <c r="Q269" i="8"/>
  <c r="M269" i="8"/>
  <c r="L269" i="8"/>
  <c r="K269" i="8"/>
  <c r="I269" i="8"/>
  <c r="H269" i="8"/>
  <c r="G269" i="8"/>
  <c r="E269" i="8"/>
  <c r="D269" i="8"/>
  <c r="C269" i="8"/>
  <c r="AW247" i="8"/>
  <c r="AV247" i="8"/>
  <c r="AU247" i="8"/>
  <c r="AT247" i="8"/>
  <c r="AS247" i="8"/>
  <c r="AR247" i="8"/>
  <c r="AQ247" i="8"/>
  <c r="AP247" i="8"/>
  <c r="AO247" i="8"/>
  <c r="AN247" i="8"/>
  <c r="AM247" i="8"/>
  <c r="AL247" i="8"/>
  <c r="AK247" i="8"/>
  <c r="AJ247" i="8"/>
  <c r="AI247" i="8"/>
  <c r="AH247" i="8"/>
  <c r="AG247" i="8"/>
  <c r="AF247" i="8"/>
  <c r="AE247" i="8"/>
  <c r="AD247" i="8"/>
  <c r="AC247" i="8"/>
  <c r="AB247" i="8"/>
  <c r="AA247" i="8"/>
  <c r="Z247" i="8"/>
  <c r="Y247" i="8"/>
  <c r="X247" i="8"/>
  <c r="W247" i="8"/>
  <c r="V247" i="8"/>
  <c r="U247" i="8"/>
  <c r="T247" i="8"/>
  <c r="S247" i="8"/>
  <c r="R247" i="8"/>
  <c r="Q247" i="8"/>
  <c r="P247" i="8"/>
  <c r="O247" i="8"/>
  <c r="N247" i="8"/>
  <c r="M247" i="8"/>
  <c r="L247" i="8"/>
  <c r="K247" i="8"/>
  <c r="J247" i="8"/>
  <c r="I247" i="8"/>
  <c r="H247" i="8"/>
  <c r="G247" i="8"/>
  <c r="F247" i="8"/>
  <c r="E247" i="8"/>
  <c r="D247" i="8"/>
  <c r="C247" i="8"/>
  <c r="B247" i="8"/>
  <c r="AK226" i="8"/>
  <c r="AJ226" i="8"/>
  <c r="AI226" i="8"/>
  <c r="AH226" i="8"/>
  <c r="AG226" i="8"/>
  <c r="AF226" i="8"/>
  <c r="AE226" i="8"/>
  <c r="AD226" i="8"/>
  <c r="AC226" i="8"/>
  <c r="AB226" i="8"/>
  <c r="AA226" i="8"/>
  <c r="Z226" i="8"/>
  <c r="X226" i="8"/>
  <c r="W226" i="8"/>
  <c r="V226" i="8"/>
  <c r="U226" i="8"/>
  <c r="T226" i="8"/>
  <c r="S226" i="8"/>
  <c r="R226" i="8"/>
  <c r="Q226" i="8"/>
  <c r="N226" i="8"/>
  <c r="M226" i="8"/>
  <c r="L226" i="8"/>
  <c r="K226" i="8"/>
  <c r="J226" i="8"/>
  <c r="I226" i="8"/>
  <c r="K37" i="9"/>
  <c r="H226" i="8"/>
  <c r="G226" i="8"/>
  <c r="F226" i="8"/>
  <c r="E226" i="8"/>
  <c r="J36" i="9"/>
  <c r="D226" i="8"/>
  <c r="C226" i="8"/>
  <c r="I37" i="9"/>
  <c r="B217" i="8"/>
  <c r="B209" i="8"/>
  <c r="B226" i="8"/>
  <c r="AK199" i="8"/>
  <c r="C34" i="152"/>
  <c r="AJ199" i="8"/>
  <c r="AI199" i="8"/>
  <c r="B34" i="152"/>
  <c r="AE199" i="8"/>
  <c r="C32" i="152"/>
  <c r="AD199" i="8"/>
  <c r="AC199" i="8"/>
  <c r="AB199" i="8"/>
  <c r="C31" i="152"/>
  <c r="AA199" i="8"/>
  <c r="Z199" i="8"/>
  <c r="B31" i="152"/>
  <c r="Y199" i="8"/>
  <c r="C30" i="152"/>
  <c r="X199" i="8"/>
  <c r="W199" i="8"/>
  <c r="B30" i="152"/>
  <c r="V199" i="8"/>
  <c r="C29" i="152"/>
  <c r="U199" i="8"/>
  <c r="T199" i="8"/>
  <c r="B29" i="152"/>
  <c r="S199" i="8"/>
  <c r="C28" i="152"/>
  <c r="R199" i="8"/>
  <c r="Q199" i="8"/>
  <c r="B28" i="152"/>
  <c r="P199" i="8"/>
  <c r="C27" i="152"/>
  <c r="O199" i="8"/>
  <c r="N199" i="8"/>
  <c r="B27" i="152"/>
  <c r="M199" i="8"/>
  <c r="C26" i="152"/>
  <c r="L199" i="8"/>
  <c r="K199" i="8"/>
  <c r="B26" i="152"/>
  <c r="J199" i="8"/>
  <c r="C25" i="152"/>
  <c r="I199" i="8"/>
  <c r="H199" i="8"/>
  <c r="B25" i="152"/>
  <c r="G199" i="8"/>
  <c r="C24" i="152"/>
  <c r="F199" i="8"/>
  <c r="E199" i="8"/>
  <c r="B24" i="152"/>
  <c r="D199" i="8"/>
  <c r="C23" i="152"/>
  <c r="C199" i="8"/>
  <c r="B199" i="8"/>
  <c r="B23" i="152"/>
  <c r="DW182" i="8"/>
  <c r="M172" i="8"/>
  <c r="L172" i="8"/>
  <c r="K172" i="8"/>
  <c r="J172" i="8"/>
  <c r="I172" i="8"/>
  <c r="H172" i="8"/>
  <c r="G172" i="8"/>
  <c r="F172" i="8"/>
  <c r="E172" i="8"/>
  <c r="D172" i="8"/>
  <c r="B38" i="143"/>
  <c r="C172" i="8"/>
  <c r="B37" i="143"/>
  <c r="B172" i="8"/>
  <c r="B36" i="143"/>
  <c r="M144" i="8"/>
  <c r="L144" i="8"/>
  <c r="K144" i="8"/>
  <c r="M118" i="8"/>
  <c r="L118" i="8"/>
  <c r="K118" i="8"/>
  <c r="M97" i="8"/>
  <c r="L97" i="8"/>
  <c r="K97" i="8"/>
  <c r="M69" i="8"/>
  <c r="T10" i="9"/>
  <c r="N31" i="32"/>
  <c r="L69" i="8"/>
  <c r="K69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2" i="8"/>
  <c r="N51" i="8"/>
  <c r="N50" i="8"/>
  <c r="N49" i="8"/>
  <c r="N48" i="8"/>
  <c r="N47" i="8"/>
  <c r="N46" i="8"/>
  <c r="N45" i="8"/>
  <c r="I41" i="8"/>
  <c r="H41" i="8"/>
  <c r="G41" i="8"/>
  <c r="F41" i="8"/>
  <c r="E41" i="8"/>
  <c r="D41" i="8"/>
  <c r="C41" i="8"/>
  <c r="B41" i="8"/>
  <c r="B34" i="8"/>
  <c r="D32" i="8"/>
  <c r="E31" i="8"/>
  <c r="G23" i="8"/>
  <c r="F23" i="8"/>
  <c r="E23" i="8"/>
  <c r="H29" i="8"/>
  <c r="O12" i="9"/>
  <c r="I30" i="32"/>
  <c r="G21" i="8"/>
  <c r="G29" i="8"/>
  <c r="F21" i="8"/>
  <c r="F29" i="8"/>
  <c r="M12" i="9"/>
  <c r="G30" i="32"/>
  <c r="E21" i="8"/>
  <c r="D19" i="8"/>
  <c r="C19" i="8"/>
  <c r="B20" i="8"/>
  <c r="B19" i="8"/>
  <c r="D17" i="8"/>
  <c r="C17" i="8"/>
  <c r="B17" i="8"/>
  <c r="D15" i="8"/>
  <c r="C15" i="8"/>
  <c r="C29" i="8"/>
  <c r="J12" i="9"/>
  <c r="D30" i="32"/>
  <c r="B15" i="8"/>
  <c r="D10" i="8"/>
  <c r="K9" i="9"/>
  <c r="E29" i="32"/>
  <c r="C10" i="8"/>
  <c r="J9" i="9"/>
  <c r="D29" i="32"/>
  <c r="B10" i="8"/>
  <c r="H9" i="8"/>
  <c r="E9" i="8"/>
  <c r="D9" i="8"/>
  <c r="C9" i="8"/>
  <c r="B9" i="8"/>
  <c r="I6" i="8"/>
  <c r="E6" i="8"/>
  <c r="H5" i="8"/>
  <c r="G5" i="8"/>
  <c r="F5" i="8"/>
  <c r="D5" i="8"/>
  <c r="C5" i="8"/>
  <c r="AW39" i="143"/>
  <c r="AV39" i="143"/>
  <c r="AU39" i="143"/>
  <c r="AT39" i="143"/>
  <c r="AS39" i="143"/>
  <c r="AR39" i="143"/>
  <c r="AQ39" i="143"/>
  <c r="AP39" i="143"/>
  <c r="AO39" i="143"/>
  <c r="AN39" i="143"/>
  <c r="AM39" i="143"/>
  <c r="AL39" i="143"/>
  <c r="AK39" i="143"/>
  <c r="AJ39" i="143"/>
  <c r="AI39" i="143"/>
  <c r="AH39" i="143"/>
  <c r="AG39" i="143"/>
  <c r="AF39" i="143"/>
  <c r="AE39" i="143"/>
  <c r="AD39" i="143"/>
  <c r="AC39" i="143"/>
  <c r="AB39" i="143"/>
  <c r="AA39" i="143"/>
  <c r="Z39" i="143"/>
  <c r="Y39" i="143"/>
  <c r="X39" i="143"/>
  <c r="W39" i="143"/>
  <c r="V39" i="143"/>
  <c r="U39" i="143"/>
  <c r="T39" i="143"/>
  <c r="S39" i="143"/>
  <c r="R39" i="143"/>
  <c r="Q39" i="143"/>
  <c r="P39" i="143"/>
  <c r="O39" i="143"/>
  <c r="N39" i="143"/>
  <c r="M39" i="143"/>
  <c r="L39" i="143"/>
  <c r="K39" i="143"/>
  <c r="J39" i="143"/>
  <c r="I39" i="143"/>
  <c r="H39" i="143"/>
  <c r="G39" i="143"/>
  <c r="F39" i="143"/>
  <c r="E39" i="143"/>
  <c r="D39" i="143"/>
  <c r="C39" i="143"/>
  <c r="B39" i="143"/>
  <c r="AW38" i="143"/>
  <c r="AV38" i="143"/>
  <c r="AU38" i="143"/>
  <c r="AT38" i="143"/>
  <c r="AS38" i="143"/>
  <c r="AR38" i="143"/>
  <c r="AQ38" i="143"/>
  <c r="AP38" i="143"/>
  <c r="AO38" i="143"/>
  <c r="AN38" i="143"/>
  <c r="AM38" i="143"/>
  <c r="AL38" i="143"/>
  <c r="AK38" i="143"/>
  <c r="AJ38" i="143"/>
  <c r="AJ48" i="143"/>
  <c r="AI38" i="143"/>
  <c r="AH38" i="143"/>
  <c r="AG38" i="143"/>
  <c r="AF38" i="143"/>
  <c r="AE38" i="143"/>
  <c r="AD38" i="143"/>
  <c r="AC38" i="143"/>
  <c r="AB38" i="143"/>
  <c r="AA38" i="143"/>
  <c r="Z38" i="143"/>
  <c r="Y38" i="143"/>
  <c r="X38" i="143"/>
  <c r="W38" i="143"/>
  <c r="V38" i="143"/>
  <c r="U38" i="143"/>
  <c r="T38" i="143"/>
  <c r="T48" i="143"/>
  <c r="S38" i="143"/>
  <c r="R38" i="143"/>
  <c r="Q38" i="143"/>
  <c r="P38" i="143"/>
  <c r="O38" i="143"/>
  <c r="N38" i="143"/>
  <c r="M38" i="143"/>
  <c r="L38" i="143"/>
  <c r="K38" i="143"/>
  <c r="J38" i="143"/>
  <c r="I38" i="143"/>
  <c r="H38" i="143"/>
  <c r="G38" i="143"/>
  <c r="F38" i="143"/>
  <c r="E38" i="143"/>
  <c r="D38" i="143"/>
  <c r="D48" i="143"/>
  <c r="C38" i="143"/>
  <c r="AW37" i="143"/>
  <c r="AV37" i="143"/>
  <c r="AU37" i="143"/>
  <c r="AT37" i="143"/>
  <c r="AS37" i="143"/>
  <c r="AR21" i="143"/>
  <c r="AS21" i="143"/>
  <c r="AR37" i="143"/>
  <c r="AQ37" i="143"/>
  <c r="AP21" i="143"/>
  <c r="AP37" i="143"/>
  <c r="AO37" i="143"/>
  <c r="AN37" i="143"/>
  <c r="AM37" i="143"/>
  <c r="AL37" i="143"/>
  <c r="AK37" i="143"/>
  <c r="AJ21" i="143"/>
  <c r="AK21" i="143"/>
  <c r="AJ37" i="143"/>
  <c r="AI37" i="143"/>
  <c r="AH21" i="143"/>
  <c r="AI21" i="143"/>
  <c r="AH37" i="143"/>
  <c r="AG37" i="143"/>
  <c r="AF37" i="143"/>
  <c r="AE37" i="143"/>
  <c r="AD37" i="143"/>
  <c r="AC37" i="143"/>
  <c r="AB21" i="143"/>
  <c r="AC21" i="143"/>
  <c r="AB37" i="143"/>
  <c r="AA37" i="143"/>
  <c r="Z21" i="143"/>
  <c r="Z37" i="143"/>
  <c r="Y37" i="143"/>
  <c r="X37" i="143"/>
  <c r="W37" i="143"/>
  <c r="V37" i="143"/>
  <c r="U37" i="143"/>
  <c r="T21" i="143"/>
  <c r="U21" i="143"/>
  <c r="T37" i="143"/>
  <c r="S37" i="143"/>
  <c r="R21" i="143"/>
  <c r="R37" i="143"/>
  <c r="Q37" i="143"/>
  <c r="P37" i="143"/>
  <c r="O37" i="143"/>
  <c r="N37" i="143"/>
  <c r="M37" i="143"/>
  <c r="L21" i="143"/>
  <c r="M21" i="143"/>
  <c r="L37" i="143"/>
  <c r="K37" i="143"/>
  <c r="J21" i="143"/>
  <c r="J37" i="143"/>
  <c r="I37" i="143"/>
  <c r="H37" i="143"/>
  <c r="G37" i="143"/>
  <c r="F37" i="143"/>
  <c r="E37" i="143"/>
  <c r="D21" i="143"/>
  <c r="E21" i="143"/>
  <c r="D37" i="143"/>
  <c r="C37" i="143"/>
  <c r="AW36" i="143"/>
  <c r="AV36" i="143"/>
  <c r="AU36" i="143"/>
  <c r="AT36" i="143"/>
  <c r="AS36" i="143"/>
  <c r="AR36" i="143"/>
  <c r="AQ36" i="143"/>
  <c r="AP36" i="143"/>
  <c r="AO36" i="143"/>
  <c r="AN36" i="143"/>
  <c r="AM36" i="143"/>
  <c r="AL36" i="143"/>
  <c r="AK36" i="143"/>
  <c r="AJ36" i="143"/>
  <c r="AI36" i="143"/>
  <c r="AH36" i="143"/>
  <c r="AG36" i="143"/>
  <c r="AF36" i="143"/>
  <c r="AE36" i="143"/>
  <c r="AD36" i="143"/>
  <c r="AC36" i="143"/>
  <c r="AB36" i="143"/>
  <c r="AA36" i="143"/>
  <c r="Z36" i="143"/>
  <c r="Y36" i="143"/>
  <c r="X36" i="143"/>
  <c r="W36" i="143"/>
  <c r="V36" i="143"/>
  <c r="U36" i="143"/>
  <c r="T36" i="143"/>
  <c r="S36" i="143"/>
  <c r="R36" i="143"/>
  <c r="Q36" i="143"/>
  <c r="P36" i="143"/>
  <c r="O36" i="143"/>
  <c r="N36" i="143"/>
  <c r="M36" i="143"/>
  <c r="L36" i="143"/>
  <c r="K36" i="143"/>
  <c r="J36" i="143"/>
  <c r="I36" i="143"/>
  <c r="H36" i="143"/>
  <c r="G36" i="143"/>
  <c r="F36" i="143"/>
  <c r="E36" i="143"/>
  <c r="D36" i="143"/>
  <c r="C36" i="143"/>
  <c r="AQ21" i="143"/>
  <c r="AA21" i="143"/>
  <c r="S21" i="143"/>
  <c r="K21" i="143"/>
  <c r="D83" i="124"/>
  <c r="C83" i="124"/>
  <c r="I64" i="124"/>
  <c r="H367" i="8"/>
  <c r="N72" i="124"/>
  <c r="M72" i="124"/>
  <c r="G72" i="124"/>
  <c r="F72" i="124"/>
  <c r="D55" i="124"/>
  <c r="C55" i="124"/>
  <c r="N44" i="124"/>
  <c r="M44" i="124"/>
  <c r="F44" i="124"/>
  <c r="J39" i="9"/>
  <c r="G42" i="124"/>
  <c r="G44" i="124"/>
  <c r="I36" i="124"/>
  <c r="E367" i="8"/>
  <c r="J32" i="9"/>
  <c r="D26" i="124"/>
  <c r="C26" i="124"/>
  <c r="I8" i="124"/>
  <c r="B367" i="8"/>
  <c r="I32" i="9"/>
  <c r="N16" i="124"/>
  <c r="M16" i="124"/>
  <c r="I35" i="9"/>
  <c r="I34" i="9"/>
  <c r="F16" i="124"/>
  <c r="I39" i="9"/>
  <c r="G15" i="124"/>
  <c r="G14" i="124"/>
  <c r="G13" i="124"/>
  <c r="K39" i="9"/>
  <c r="K38" i="9"/>
  <c r="J38" i="9"/>
  <c r="I38" i="9"/>
  <c r="J37" i="9"/>
  <c r="K36" i="9"/>
  <c r="I36" i="9"/>
  <c r="K35" i="9"/>
  <c r="J35" i="9"/>
  <c r="K34" i="9"/>
  <c r="N19" i="9"/>
  <c r="M19" i="9"/>
  <c r="I18" i="9"/>
  <c r="N12" i="9"/>
  <c r="H30" i="32"/>
  <c r="P10" i="9"/>
  <c r="J31" i="32"/>
  <c r="O10" i="9"/>
  <c r="I31" i="32"/>
  <c r="N10" i="9"/>
  <c r="H31" i="32"/>
  <c r="M10" i="9"/>
  <c r="G31" i="32"/>
  <c r="L10" i="9"/>
  <c r="F31" i="32"/>
  <c r="K10" i="9"/>
  <c r="E31" i="32"/>
  <c r="J10" i="9"/>
  <c r="D31" i="32"/>
  <c r="I10" i="9"/>
  <c r="C31" i="32"/>
  <c r="O9" i="9"/>
  <c r="I29" i="32"/>
  <c r="I9" i="9"/>
  <c r="C29" i="32"/>
  <c r="P8" i="9"/>
  <c r="J28" i="32"/>
  <c r="Y24" i="148"/>
  <c r="X24" i="148"/>
  <c r="W24" i="148"/>
  <c r="V24" i="148"/>
  <c r="U24" i="148"/>
  <c r="T24" i="148"/>
  <c r="S24" i="148"/>
  <c r="R24" i="148"/>
  <c r="Q24" i="148"/>
  <c r="O24" i="148"/>
  <c r="N24" i="148"/>
  <c r="M24" i="148"/>
  <c r="K24" i="148"/>
  <c r="J24" i="148"/>
  <c r="I24" i="148"/>
  <c r="H24" i="148"/>
  <c r="G24" i="148"/>
  <c r="F24" i="148"/>
  <c r="E24" i="148"/>
  <c r="D24" i="148"/>
  <c r="Y23" i="148"/>
  <c r="X23" i="148"/>
  <c r="X34" i="148"/>
  <c r="V23" i="148"/>
  <c r="U23" i="148"/>
  <c r="T23" i="148"/>
  <c r="S23" i="148"/>
  <c r="R23" i="148"/>
  <c r="Q23" i="148"/>
  <c r="P23" i="148"/>
  <c r="O23" i="148"/>
  <c r="N23" i="148"/>
  <c r="M23" i="148"/>
  <c r="L23" i="148"/>
  <c r="K23" i="148"/>
  <c r="J23" i="148"/>
  <c r="I23" i="148"/>
  <c r="H23" i="148"/>
  <c r="G23" i="148"/>
  <c r="F23" i="148"/>
  <c r="E23" i="148"/>
  <c r="D23" i="148"/>
  <c r="Y22" i="148"/>
  <c r="X22" i="148"/>
  <c r="W22" i="148"/>
  <c r="U22" i="148"/>
  <c r="T22" i="148"/>
  <c r="T34" i="148"/>
  <c r="S22" i="148"/>
  <c r="R22" i="148"/>
  <c r="Q22" i="148"/>
  <c r="P22" i="148"/>
  <c r="O22" i="148"/>
  <c r="N22" i="148"/>
  <c r="M22" i="148"/>
  <c r="L22" i="148"/>
  <c r="K22" i="148"/>
  <c r="J22" i="148"/>
  <c r="I22" i="148"/>
  <c r="H22" i="148"/>
  <c r="G22" i="148"/>
  <c r="F22" i="148"/>
  <c r="E22" i="148"/>
  <c r="D22" i="148"/>
  <c r="D34" i="148"/>
  <c r="BA33" i="153"/>
  <c r="AZ33" i="153"/>
  <c r="AY33" i="153"/>
  <c r="AX33" i="153"/>
  <c r="AS33" i="153"/>
  <c r="AR33" i="153"/>
  <c r="AQ33" i="153"/>
  <c r="AP33" i="153"/>
  <c r="T33" i="153"/>
  <c r="BE23" i="153"/>
  <c r="BD23" i="153"/>
  <c r="BC23" i="153"/>
  <c r="BB23" i="153"/>
  <c r="AW23" i="153"/>
  <c r="AV23" i="153"/>
  <c r="AU23" i="153"/>
  <c r="AT23" i="153"/>
  <c r="AO23" i="153"/>
  <c r="AN23" i="153"/>
  <c r="AM23" i="153"/>
  <c r="AL23" i="153"/>
  <c r="AK23" i="153"/>
  <c r="AJ23" i="153"/>
  <c r="AI23" i="153"/>
  <c r="AH23" i="153"/>
  <c r="AG23" i="153"/>
  <c r="AF23" i="153"/>
  <c r="AE23" i="153"/>
  <c r="AD23" i="153"/>
  <c r="AC23" i="153"/>
  <c r="AB23" i="153"/>
  <c r="AA23" i="153"/>
  <c r="Z23" i="153"/>
  <c r="Y23" i="153"/>
  <c r="X23" i="153"/>
  <c r="W23" i="153"/>
  <c r="V23" i="153"/>
  <c r="U23" i="153"/>
  <c r="T23" i="153"/>
  <c r="S23" i="153"/>
  <c r="R23" i="153"/>
  <c r="Q23" i="153"/>
  <c r="P23" i="153"/>
  <c r="O23" i="153"/>
  <c r="N23" i="153"/>
  <c r="M23" i="153"/>
  <c r="L23" i="153"/>
  <c r="K23" i="153"/>
  <c r="J23" i="153"/>
  <c r="I23" i="153"/>
  <c r="H23" i="153"/>
  <c r="G23" i="153"/>
  <c r="F23" i="153"/>
  <c r="E23" i="153"/>
  <c r="D23" i="153"/>
  <c r="C23" i="153"/>
  <c r="B23" i="153"/>
  <c r="BE22" i="153"/>
  <c r="BD22" i="153"/>
  <c r="BC22" i="153"/>
  <c r="BB22" i="153"/>
  <c r="AW22" i="153"/>
  <c r="AV22" i="153"/>
  <c r="AU22" i="153"/>
  <c r="AT22" i="153"/>
  <c r="AO22" i="153"/>
  <c r="AN22" i="153"/>
  <c r="AM22" i="153"/>
  <c r="AL22" i="153"/>
  <c r="AK22" i="153"/>
  <c r="AJ22" i="153"/>
  <c r="AI22" i="153"/>
  <c r="AH22" i="153"/>
  <c r="AG22" i="153"/>
  <c r="AF22" i="153"/>
  <c r="AE22" i="153"/>
  <c r="AD22" i="153"/>
  <c r="AC22" i="153"/>
  <c r="AB22" i="153"/>
  <c r="AA22" i="153"/>
  <c r="Z22" i="153"/>
  <c r="Y22" i="153"/>
  <c r="X22" i="153"/>
  <c r="W22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B22" i="153"/>
  <c r="BE21" i="153"/>
  <c r="BE33" i="153"/>
  <c r="BD21" i="153"/>
  <c r="BD33" i="153"/>
  <c r="BC21" i="153"/>
  <c r="BC33" i="153"/>
  <c r="BB21" i="153"/>
  <c r="BB33" i="153"/>
  <c r="AW21" i="153"/>
  <c r="AW33" i="153"/>
  <c r="AV21" i="153"/>
  <c r="AV33" i="153"/>
  <c r="AU21" i="153"/>
  <c r="AU33" i="153"/>
  <c r="AT21" i="153"/>
  <c r="AT33" i="153"/>
  <c r="AO21" i="153"/>
  <c r="AO33" i="153"/>
  <c r="AN21" i="153"/>
  <c r="AN33" i="153"/>
  <c r="AM21" i="153"/>
  <c r="AM33" i="153"/>
  <c r="AL21" i="153"/>
  <c r="AL33" i="153"/>
  <c r="AK21" i="153"/>
  <c r="AK33" i="153"/>
  <c r="AJ21" i="153"/>
  <c r="AJ33" i="153"/>
  <c r="AI21" i="153"/>
  <c r="AI33" i="153"/>
  <c r="AH21" i="153"/>
  <c r="AH33" i="153"/>
  <c r="AG21" i="153"/>
  <c r="AG33" i="153"/>
  <c r="AF21" i="153"/>
  <c r="AF33" i="153"/>
  <c r="AE21" i="153"/>
  <c r="AE33" i="153"/>
  <c r="AD21" i="153"/>
  <c r="AD33" i="153"/>
  <c r="AC21" i="153"/>
  <c r="AC33" i="153"/>
  <c r="AB21" i="153"/>
  <c r="AB33" i="153"/>
  <c r="AA21" i="153"/>
  <c r="AA33" i="153"/>
  <c r="Z21" i="153"/>
  <c r="Z33" i="153"/>
  <c r="Y21" i="153"/>
  <c r="Y33" i="153"/>
  <c r="X21" i="153"/>
  <c r="X33" i="153"/>
  <c r="W21" i="153"/>
  <c r="W33" i="153"/>
  <c r="V21" i="153"/>
  <c r="V33" i="153"/>
  <c r="U21" i="153"/>
  <c r="U33" i="153"/>
  <c r="T21" i="153"/>
  <c r="S21" i="153"/>
  <c r="S33" i="153"/>
  <c r="R21" i="153"/>
  <c r="R33" i="153"/>
  <c r="Q21" i="153"/>
  <c r="Q33" i="153"/>
  <c r="P21" i="153"/>
  <c r="P33" i="153"/>
  <c r="O21" i="153"/>
  <c r="O33" i="153"/>
  <c r="N21" i="153"/>
  <c r="N33" i="153"/>
  <c r="M21" i="153"/>
  <c r="M33" i="153"/>
  <c r="L21" i="153"/>
  <c r="L33" i="153"/>
  <c r="K21" i="153"/>
  <c r="K33" i="153"/>
  <c r="J21" i="153"/>
  <c r="J33" i="153"/>
  <c r="I21" i="153"/>
  <c r="I33" i="153"/>
  <c r="H21" i="153"/>
  <c r="H33" i="153"/>
  <c r="G21" i="153"/>
  <c r="G33" i="153"/>
  <c r="F21" i="153"/>
  <c r="F33" i="153"/>
  <c r="E21" i="153"/>
  <c r="E33" i="153"/>
  <c r="D21" i="153"/>
  <c r="D33" i="153"/>
  <c r="C21" i="153"/>
  <c r="C33" i="153"/>
  <c r="B21" i="153"/>
  <c r="B33" i="153"/>
  <c r="BA16" i="153"/>
  <c r="AZ16" i="153"/>
  <c r="AY16" i="153"/>
  <c r="AX16" i="153"/>
  <c r="AS16" i="153"/>
  <c r="AR16" i="153"/>
  <c r="AQ16" i="153"/>
  <c r="AP16" i="153"/>
  <c r="BE6" i="153"/>
  <c r="BD6" i="153"/>
  <c r="BC6" i="153"/>
  <c r="BB6" i="153"/>
  <c r="AW6" i="153"/>
  <c r="AV6" i="153"/>
  <c r="AU6" i="153"/>
  <c r="AT6" i="153"/>
  <c r="AO6" i="153"/>
  <c r="AN6" i="153"/>
  <c r="AM6" i="153"/>
  <c r="AL6" i="153"/>
  <c r="AK6" i="153"/>
  <c r="AJ6" i="153"/>
  <c r="AI6" i="153"/>
  <c r="AH6" i="153"/>
  <c r="AG6" i="153"/>
  <c r="AF6" i="153"/>
  <c r="AE6" i="153"/>
  <c r="AD6" i="153"/>
  <c r="AC6" i="153"/>
  <c r="AB6" i="153"/>
  <c r="AA6" i="153"/>
  <c r="Z6" i="153"/>
  <c r="Y6" i="153"/>
  <c r="X6" i="153"/>
  <c r="W6" i="153"/>
  <c r="V6" i="153"/>
  <c r="U6" i="153"/>
  <c r="T6" i="153"/>
  <c r="S6" i="153"/>
  <c r="R6" i="153"/>
  <c r="Q6" i="153"/>
  <c r="P6" i="153"/>
  <c r="O6" i="153"/>
  <c r="N6" i="153"/>
  <c r="M6" i="153"/>
  <c r="L6" i="153"/>
  <c r="K6" i="153"/>
  <c r="J6" i="153"/>
  <c r="I6" i="153"/>
  <c r="H6" i="153"/>
  <c r="G6" i="153"/>
  <c r="F6" i="153"/>
  <c r="E6" i="153"/>
  <c r="D6" i="153"/>
  <c r="C6" i="153"/>
  <c r="B6" i="153"/>
  <c r="BE5" i="153"/>
  <c r="BD5" i="153"/>
  <c r="BC5" i="153"/>
  <c r="BB5" i="153"/>
  <c r="AW5" i="153"/>
  <c r="AV5" i="153"/>
  <c r="AU5" i="153"/>
  <c r="AT5" i="153"/>
  <c r="AO5" i="153"/>
  <c r="AN5" i="153"/>
  <c r="AM5" i="153"/>
  <c r="AL5" i="153"/>
  <c r="AK5" i="153"/>
  <c r="AJ5" i="153"/>
  <c r="AI5" i="153"/>
  <c r="AH5" i="153"/>
  <c r="AG5" i="153"/>
  <c r="AF5" i="153"/>
  <c r="AE5" i="153"/>
  <c r="AD5" i="153"/>
  <c r="AC5" i="153"/>
  <c r="AB5" i="153"/>
  <c r="AA5" i="153"/>
  <c r="Z5" i="153"/>
  <c r="Y5" i="153"/>
  <c r="X5" i="153"/>
  <c r="W5" i="153"/>
  <c r="V5" i="153"/>
  <c r="U5" i="153"/>
  <c r="T5" i="153"/>
  <c r="S5" i="153"/>
  <c r="R5" i="153"/>
  <c r="Q5" i="153"/>
  <c r="P5" i="153"/>
  <c r="O5" i="153"/>
  <c r="N5" i="153"/>
  <c r="M5" i="153"/>
  <c r="L5" i="153"/>
  <c r="K5" i="153"/>
  <c r="J5" i="153"/>
  <c r="I5" i="153"/>
  <c r="H5" i="153"/>
  <c r="G5" i="153"/>
  <c r="F5" i="153"/>
  <c r="E5" i="153"/>
  <c r="D5" i="153"/>
  <c r="C5" i="153"/>
  <c r="B5" i="153"/>
  <c r="BE4" i="153"/>
  <c r="BE16" i="153"/>
  <c r="BD4" i="153"/>
  <c r="BD16" i="153"/>
  <c r="BC4" i="153"/>
  <c r="BC16" i="153"/>
  <c r="BB4" i="153"/>
  <c r="BB16" i="153"/>
  <c r="AW4" i="153"/>
  <c r="AW16" i="153"/>
  <c r="AV4" i="153"/>
  <c r="AV16" i="153"/>
  <c r="AU4" i="153"/>
  <c r="AU16" i="153"/>
  <c r="AT4" i="153"/>
  <c r="AT16" i="153"/>
  <c r="AO4" i="153"/>
  <c r="AO16" i="153"/>
  <c r="AN4" i="153"/>
  <c r="AN16" i="153"/>
  <c r="AM4" i="153"/>
  <c r="AM16" i="153"/>
  <c r="AL4" i="153"/>
  <c r="AL16" i="153"/>
  <c r="AK4" i="153"/>
  <c r="AK16" i="153"/>
  <c r="AJ4" i="153"/>
  <c r="AJ16" i="153"/>
  <c r="AI4" i="153"/>
  <c r="AI16" i="153"/>
  <c r="AH4" i="153"/>
  <c r="AH16" i="153"/>
  <c r="AG4" i="153"/>
  <c r="AG16" i="153"/>
  <c r="AF4" i="153"/>
  <c r="AF16" i="153"/>
  <c r="AE4" i="153"/>
  <c r="AE16" i="153"/>
  <c r="AD4" i="153"/>
  <c r="AD16" i="153"/>
  <c r="AC4" i="153"/>
  <c r="AC16" i="153"/>
  <c r="AB4" i="153"/>
  <c r="AB16" i="153"/>
  <c r="AA4" i="153"/>
  <c r="AA16" i="153"/>
  <c r="Z4" i="153"/>
  <c r="Z16" i="153"/>
  <c r="Y4" i="153"/>
  <c r="Y16" i="153"/>
  <c r="X4" i="153"/>
  <c r="X16" i="153"/>
  <c r="W4" i="153"/>
  <c r="W16" i="153"/>
  <c r="V4" i="153"/>
  <c r="V16" i="153"/>
  <c r="U4" i="153"/>
  <c r="U16" i="153"/>
  <c r="T4" i="153"/>
  <c r="T16" i="153"/>
  <c r="S4" i="153"/>
  <c r="S16" i="153"/>
  <c r="R4" i="153"/>
  <c r="R16" i="153"/>
  <c r="Q4" i="153"/>
  <c r="Q16" i="153"/>
  <c r="P4" i="153"/>
  <c r="P16" i="153"/>
  <c r="O4" i="153"/>
  <c r="O16" i="153"/>
  <c r="N4" i="153"/>
  <c r="N16" i="153"/>
  <c r="M4" i="153"/>
  <c r="M16" i="153"/>
  <c r="L4" i="153"/>
  <c r="L16" i="153"/>
  <c r="K4" i="153"/>
  <c r="K16" i="153"/>
  <c r="J4" i="153"/>
  <c r="J16" i="153"/>
  <c r="I4" i="153"/>
  <c r="I16" i="153"/>
  <c r="H4" i="153"/>
  <c r="H16" i="153"/>
  <c r="G4" i="153"/>
  <c r="G16" i="153"/>
  <c r="F4" i="153"/>
  <c r="F16" i="153"/>
  <c r="E4" i="153"/>
  <c r="E16" i="153"/>
  <c r="D4" i="153"/>
  <c r="D16" i="153"/>
  <c r="C4" i="153"/>
  <c r="C16" i="153"/>
  <c r="B4" i="153"/>
  <c r="B16" i="153"/>
  <c r="X59" i="154"/>
  <c r="W59" i="154"/>
  <c r="V59" i="154"/>
  <c r="U59" i="154"/>
  <c r="T59" i="154"/>
  <c r="S59" i="154"/>
  <c r="R59" i="154"/>
  <c r="Q59" i="154"/>
  <c r="P59" i="154"/>
  <c r="O59" i="154"/>
  <c r="N59" i="154"/>
  <c r="M59" i="154"/>
  <c r="L59" i="154"/>
  <c r="K59" i="154"/>
  <c r="J59" i="154"/>
  <c r="I59" i="154"/>
  <c r="H59" i="154"/>
  <c r="G59" i="154"/>
  <c r="F59" i="154"/>
  <c r="E59" i="154"/>
  <c r="D59" i="154"/>
  <c r="C59" i="154"/>
  <c r="X58" i="154"/>
  <c r="W58" i="154"/>
  <c r="V58" i="154"/>
  <c r="U58" i="154"/>
  <c r="T58" i="154"/>
  <c r="S58" i="154"/>
  <c r="R58" i="154"/>
  <c r="Q58" i="154"/>
  <c r="P58" i="154"/>
  <c r="O58" i="154"/>
  <c r="N58" i="154"/>
  <c r="M58" i="154"/>
  <c r="L58" i="154"/>
  <c r="K58" i="154"/>
  <c r="J58" i="154"/>
  <c r="I58" i="154"/>
  <c r="H58" i="154"/>
  <c r="G58" i="154"/>
  <c r="F58" i="154"/>
  <c r="E58" i="154"/>
  <c r="C58" i="154"/>
  <c r="X57" i="154"/>
  <c r="W57" i="154"/>
  <c r="V57" i="154"/>
  <c r="U57" i="154"/>
  <c r="T57" i="154"/>
  <c r="S57" i="154"/>
  <c r="R57" i="154"/>
  <c r="Q57" i="154"/>
  <c r="P57" i="154"/>
  <c r="O57" i="154"/>
  <c r="N57" i="154"/>
  <c r="M57" i="154"/>
  <c r="L57" i="154"/>
  <c r="K57" i="154"/>
  <c r="J57" i="154"/>
  <c r="I57" i="154"/>
  <c r="H57" i="154"/>
  <c r="G57" i="154"/>
  <c r="F57" i="154"/>
  <c r="E57" i="154"/>
  <c r="D57" i="154"/>
  <c r="C57" i="154"/>
  <c r="X56" i="154"/>
  <c r="W56" i="154"/>
  <c r="W68" i="154"/>
  <c r="V56" i="154"/>
  <c r="T68" i="154"/>
  <c r="U56" i="154"/>
  <c r="T56" i="154"/>
  <c r="S56" i="154"/>
  <c r="R56" i="154"/>
  <c r="Q56" i="154"/>
  <c r="P56" i="154"/>
  <c r="O56" i="154"/>
  <c r="O68" i="154"/>
  <c r="N56" i="154"/>
  <c r="N68" i="154"/>
  <c r="M56" i="154"/>
  <c r="L56" i="154"/>
  <c r="K56" i="154"/>
  <c r="J56" i="154"/>
  <c r="I56" i="154"/>
  <c r="H56" i="154"/>
  <c r="G56" i="154"/>
  <c r="F56" i="154"/>
  <c r="F68" i="154"/>
  <c r="E56" i="154"/>
  <c r="D56" i="154"/>
  <c r="C56" i="154"/>
  <c r="AD42" i="154"/>
  <c r="AC42" i="154"/>
  <c r="AB42" i="154"/>
  <c r="AA42" i="154"/>
  <c r="Z42" i="154"/>
  <c r="Y42" i="154"/>
  <c r="X42" i="154"/>
  <c r="W42" i="154"/>
  <c r="V42" i="154"/>
  <c r="U42" i="154"/>
  <c r="T42" i="154"/>
  <c r="S42" i="154"/>
  <c r="R42" i="154"/>
  <c r="Q42" i="154"/>
  <c r="P42" i="154"/>
  <c r="O42" i="154"/>
  <c r="N42" i="154"/>
  <c r="M42" i="154"/>
  <c r="L42" i="154"/>
  <c r="K42" i="154"/>
  <c r="J42" i="154"/>
  <c r="I42" i="154"/>
  <c r="H42" i="154"/>
  <c r="G42" i="154"/>
  <c r="F42" i="154"/>
  <c r="E42" i="154"/>
  <c r="D42" i="154"/>
  <c r="C42" i="154"/>
  <c r="AD41" i="154"/>
  <c r="AC41" i="154"/>
  <c r="AB41" i="154"/>
  <c r="AA41" i="154"/>
  <c r="Z41" i="154"/>
  <c r="Y41" i="154"/>
  <c r="X41" i="154"/>
  <c r="W41" i="154"/>
  <c r="V41" i="154"/>
  <c r="U41" i="154"/>
  <c r="T41" i="154"/>
  <c r="S41" i="154"/>
  <c r="R41" i="154"/>
  <c r="Q41" i="154"/>
  <c r="P41" i="154"/>
  <c r="O41" i="154"/>
  <c r="N41" i="154"/>
  <c r="M41" i="154"/>
  <c r="L41" i="154"/>
  <c r="K41" i="154"/>
  <c r="J41" i="154"/>
  <c r="I41" i="154"/>
  <c r="H41" i="154"/>
  <c r="G41" i="154"/>
  <c r="F41" i="154"/>
  <c r="E41" i="154"/>
  <c r="D41" i="154"/>
  <c r="AD40" i="154"/>
  <c r="AC40" i="154"/>
  <c r="AB40" i="154"/>
  <c r="AA40" i="154"/>
  <c r="Z40" i="154"/>
  <c r="X40" i="154"/>
  <c r="W40" i="154"/>
  <c r="V40" i="154"/>
  <c r="U40" i="154"/>
  <c r="T40" i="154"/>
  <c r="S40" i="154"/>
  <c r="R40" i="154"/>
  <c r="Q40" i="154"/>
  <c r="P40" i="154"/>
  <c r="O40" i="154"/>
  <c r="N40" i="154"/>
  <c r="M40" i="154"/>
  <c r="L40" i="154"/>
  <c r="K40" i="154"/>
  <c r="J40" i="154"/>
  <c r="H40" i="154"/>
  <c r="G40" i="154"/>
  <c r="F40" i="154"/>
  <c r="AD39" i="154"/>
  <c r="AC39" i="154"/>
  <c r="AB39" i="154"/>
  <c r="AA39" i="154"/>
  <c r="Z39" i="154"/>
  <c r="Y39" i="154"/>
  <c r="X39" i="154"/>
  <c r="X51" i="154"/>
  <c r="W39" i="154"/>
  <c r="V39" i="154"/>
  <c r="U39" i="154"/>
  <c r="T39" i="154"/>
  <c r="S39" i="154"/>
  <c r="R39" i="154"/>
  <c r="Q39" i="154"/>
  <c r="Q51" i="154"/>
  <c r="P39" i="154"/>
  <c r="P51" i="154"/>
  <c r="O39" i="154"/>
  <c r="N39" i="154"/>
  <c r="M39" i="154"/>
  <c r="L39" i="154"/>
  <c r="K39" i="154"/>
  <c r="J39" i="154"/>
  <c r="I39" i="154"/>
  <c r="H39" i="154"/>
  <c r="H51" i="154"/>
  <c r="G39" i="154"/>
  <c r="F39" i="154"/>
  <c r="E39" i="154"/>
  <c r="C39" i="154"/>
  <c r="AT25" i="154"/>
  <c r="AS25" i="154"/>
  <c r="AR25" i="154"/>
  <c r="AQ25" i="154"/>
  <c r="AP25" i="154"/>
  <c r="AO25" i="154"/>
  <c r="AN25" i="154"/>
  <c r="AM25" i="154"/>
  <c r="AL25" i="154"/>
  <c r="AK25" i="154"/>
  <c r="AJ25" i="154"/>
  <c r="AI25" i="154"/>
  <c r="AH25" i="154"/>
  <c r="AG25" i="154"/>
  <c r="AF25" i="154"/>
  <c r="AE25" i="154"/>
  <c r="AD25" i="154"/>
  <c r="AC25" i="154"/>
  <c r="AB25" i="154"/>
  <c r="AA25" i="154"/>
  <c r="Z25" i="154"/>
  <c r="Y25" i="154"/>
  <c r="X25" i="154"/>
  <c r="W25" i="154"/>
  <c r="V25" i="154"/>
  <c r="U25" i="154"/>
  <c r="T25" i="154"/>
  <c r="S25" i="154"/>
  <c r="R25" i="154"/>
  <c r="Q25" i="154"/>
  <c r="P25" i="154"/>
  <c r="O25" i="154"/>
  <c r="N25" i="154"/>
  <c r="M25" i="154"/>
  <c r="L25" i="154"/>
  <c r="K25" i="154"/>
  <c r="J25" i="154"/>
  <c r="H25" i="154"/>
  <c r="G25" i="154"/>
  <c r="F25" i="154"/>
  <c r="E25" i="154"/>
  <c r="D25" i="154"/>
  <c r="AT24" i="154"/>
  <c r="AS24" i="154"/>
  <c r="AR24" i="154"/>
  <c r="AQ24" i="154"/>
  <c r="AP24" i="154"/>
  <c r="AO24" i="154"/>
  <c r="AN24" i="154"/>
  <c r="AM24" i="154"/>
  <c r="AL24" i="154"/>
  <c r="AK24" i="154"/>
  <c r="AJ24" i="154"/>
  <c r="AI24" i="154"/>
  <c r="AH24" i="154"/>
  <c r="AG24" i="154"/>
  <c r="AF24" i="154"/>
  <c r="AE24" i="154"/>
  <c r="AD24" i="154"/>
  <c r="AC24" i="154"/>
  <c r="AB24" i="154"/>
  <c r="AA24" i="154"/>
  <c r="Z24" i="154"/>
  <c r="Y24" i="154"/>
  <c r="X24" i="154"/>
  <c r="W24" i="154"/>
  <c r="V24" i="154"/>
  <c r="U24" i="154"/>
  <c r="T24" i="154"/>
  <c r="S24" i="154"/>
  <c r="R24" i="154"/>
  <c r="Q24" i="154"/>
  <c r="P24" i="154"/>
  <c r="O24" i="154"/>
  <c r="N24" i="154"/>
  <c r="M24" i="154"/>
  <c r="L24" i="154"/>
  <c r="K24" i="154"/>
  <c r="J24" i="154"/>
  <c r="H24" i="154"/>
  <c r="G24" i="154"/>
  <c r="F24" i="154"/>
  <c r="E24" i="154"/>
  <c r="D24" i="154"/>
  <c r="AT23" i="154"/>
  <c r="AS23" i="154"/>
  <c r="AR23" i="154"/>
  <c r="AQ23" i="154"/>
  <c r="AP23" i="154"/>
  <c r="AO23" i="154"/>
  <c r="AN23" i="154"/>
  <c r="AM23" i="154"/>
  <c r="AL23" i="154"/>
  <c r="AK23" i="154"/>
  <c r="AJ23" i="154"/>
  <c r="AI23" i="154"/>
  <c r="AH23" i="154"/>
  <c r="AG23" i="154"/>
  <c r="AF23" i="154"/>
  <c r="AE23" i="154"/>
  <c r="AD23" i="154"/>
  <c r="AC23" i="154"/>
  <c r="AB23" i="154"/>
  <c r="AA23" i="154"/>
  <c r="Z23" i="154"/>
  <c r="Y23" i="154"/>
  <c r="X23" i="154"/>
  <c r="W23" i="154"/>
  <c r="V23" i="154"/>
  <c r="U23" i="154"/>
  <c r="T23" i="154"/>
  <c r="S23" i="154"/>
  <c r="R23" i="154"/>
  <c r="Q23" i="154"/>
  <c r="P23" i="154"/>
  <c r="O23" i="154"/>
  <c r="N23" i="154"/>
  <c r="M23" i="154"/>
  <c r="L23" i="154"/>
  <c r="K23" i="154"/>
  <c r="J23" i="154"/>
  <c r="H23" i="154"/>
  <c r="G23" i="154"/>
  <c r="F23" i="154"/>
  <c r="E23" i="154"/>
  <c r="AT22" i="154"/>
  <c r="AS22" i="154"/>
  <c r="AR22" i="154"/>
  <c r="AQ22" i="154"/>
  <c r="AP22" i="154"/>
  <c r="AP34" i="154"/>
  <c r="AO22" i="154"/>
  <c r="AN22" i="154"/>
  <c r="AN34" i="154"/>
  <c r="AM22" i="154"/>
  <c r="AL22" i="154"/>
  <c r="AK22" i="154"/>
  <c r="AJ22" i="154"/>
  <c r="AI22" i="154"/>
  <c r="AH22" i="154"/>
  <c r="AH34" i="154"/>
  <c r="AG22" i="154"/>
  <c r="AF22" i="154"/>
  <c r="AF34" i="154"/>
  <c r="AE22" i="154"/>
  <c r="AD22" i="154"/>
  <c r="AC22" i="154"/>
  <c r="AB22" i="154"/>
  <c r="AA22" i="154"/>
  <c r="Z22" i="154"/>
  <c r="Z34" i="154"/>
  <c r="Y22" i="154"/>
  <c r="X22" i="154"/>
  <c r="X34" i="154"/>
  <c r="W22" i="154"/>
  <c r="V22" i="154"/>
  <c r="U22" i="154"/>
  <c r="T22" i="154"/>
  <c r="S22" i="154"/>
  <c r="R22" i="154"/>
  <c r="R34" i="154"/>
  <c r="Q22" i="154"/>
  <c r="P22" i="154"/>
  <c r="P34" i="154"/>
  <c r="O22" i="154"/>
  <c r="N22" i="154"/>
  <c r="M22" i="154"/>
  <c r="L22" i="154"/>
  <c r="K22" i="154"/>
  <c r="J22" i="154"/>
  <c r="J34" i="154"/>
  <c r="I22" i="154"/>
  <c r="H22" i="154"/>
  <c r="H34" i="154"/>
  <c r="G22" i="154"/>
  <c r="F22" i="154"/>
  <c r="E22" i="154"/>
  <c r="D22" i="154"/>
  <c r="C22" i="154"/>
  <c r="BD39" i="170"/>
  <c r="BC39" i="170"/>
  <c r="BB39" i="170"/>
  <c r="BA39" i="170"/>
  <c r="AZ39" i="170"/>
  <c r="AY39" i="170"/>
  <c r="AX39" i="170"/>
  <c r="AW39" i="170"/>
  <c r="AV39" i="170"/>
  <c r="AU39" i="170"/>
  <c r="AT39" i="170"/>
  <c r="AS39" i="170"/>
  <c r="AR39" i="170"/>
  <c r="AQ39" i="170"/>
  <c r="AP39" i="170"/>
  <c r="AO39" i="170"/>
  <c r="AN39" i="170"/>
  <c r="AM39" i="170"/>
  <c r="AL39" i="170"/>
  <c r="AK39" i="170"/>
  <c r="AJ39" i="170"/>
  <c r="AI39" i="170"/>
  <c r="AH39" i="170"/>
  <c r="AG39" i="170"/>
  <c r="AF39" i="170"/>
  <c r="AE39" i="170"/>
  <c r="AD39" i="170"/>
  <c r="AC39" i="170"/>
  <c r="AB39" i="170"/>
  <c r="AA39" i="170"/>
  <c r="Z39" i="170"/>
  <c r="Y39" i="170"/>
  <c r="X39" i="170"/>
  <c r="W39" i="170"/>
  <c r="V39" i="170"/>
  <c r="U39" i="170"/>
  <c r="T39" i="170"/>
  <c r="S39" i="170"/>
  <c r="R39" i="170"/>
  <c r="Q39" i="170"/>
  <c r="P39" i="170"/>
  <c r="O39" i="170"/>
  <c r="N39" i="170"/>
  <c r="M39" i="170"/>
  <c r="L39" i="170"/>
  <c r="K39" i="170"/>
  <c r="J39" i="170"/>
  <c r="I39" i="170"/>
  <c r="H39" i="170"/>
  <c r="G39" i="170"/>
  <c r="F39" i="170"/>
  <c r="E39" i="170"/>
  <c r="D39" i="170"/>
  <c r="C39" i="170"/>
  <c r="BD38" i="170"/>
  <c r="BC38" i="170"/>
  <c r="BB38" i="170"/>
  <c r="BA38" i="170"/>
  <c r="AZ38" i="170"/>
  <c r="AY38" i="170"/>
  <c r="AX38" i="170"/>
  <c r="AW38" i="170"/>
  <c r="AV38" i="170"/>
  <c r="AU38" i="170"/>
  <c r="AT38" i="170"/>
  <c r="AS38" i="170"/>
  <c r="AR38" i="170"/>
  <c r="AQ38" i="170"/>
  <c r="AP38" i="170"/>
  <c r="AO38" i="170"/>
  <c r="AN38" i="170"/>
  <c r="AM38" i="170"/>
  <c r="AL38" i="170"/>
  <c r="AK38" i="170"/>
  <c r="AJ38" i="170"/>
  <c r="AI38" i="170"/>
  <c r="AH38" i="170"/>
  <c r="AG38" i="170"/>
  <c r="AF38" i="170"/>
  <c r="AE38" i="170"/>
  <c r="AD38" i="170"/>
  <c r="AC38" i="170"/>
  <c r="AB38" i="170"/>
  <c r="AA38" i="170"/>
  <c r="Z38" i="170"/>
  <c r="Y38" i="170"/>
  <c r="X38" i="170"/>
  <c r="W38" i="170"/>
  <c r="V38" i="170"/>
  <c r="U38" i="170"/>
  <c r="T38" i="170"/>
  <c r="S38" i="170"/>
  <c r="R38" i="170"/>
  <c r="Q38" i="170"/>
  <c r="P38" i="170"/>
  <c r="O38" i="170"/>
  <c r="N38" i="170"/>
  <c r="M38" i="170"/>
  <c r="L38" i="170"/>
  <c r="K38" i="170"/>
  <c r="J38" i="170"/>
  <c r="I38" i="170"/>
  <c r="H38" i="170"/>
  <c r="G38" i="170"/>
  <c r="F38" i="170"/>
  <c r="E38" i="170"/>
  <c r="D38" i="170"/>
  <c r="C38" i="170"/>
  <c r="BD37" i="170"/>
  <c r="BC37" i="170"/>
  <c r="BB37" i="170"/>
  <c r="BA37" i="170"/>
  <c r="AZ37" i="170"/>
  <c r="AY37" i="170"/>
  <c r="AY49" i="170"/>
  <c r="AX37" i="170"/>
  <c r="AW37" i="170"/>
  <c r="AV37" i="170"/>
  <c r="AU37" i="170"/>
  <c r="AT37" i="170"/>
  <c r="AS37" i="170"/>
  <c r="AR37" i="170"/>
  <c r="AQ37" i="170"/>
  <c r="AQ49" i="170"/>
  <c r="AP37" i="170"/>
  <c r="AP49" i="170"/>
  <c r="AO37" i="170"/>
  <c r="AN37" i="170"/>
  <c r="AM37" i="170"/>
  <c r="AL37" i="170"/>
  <c r="AK37" i="170"/>
  <c r="AJ37" i="170"/>
  <c r="AI37" i="170"/>
  <c r="AH37" i="170"/>
  <c r="AH49" i="170"/>
  <c r="AG37" i="170"/>
  <c r="AF37" i="170"/>
  <c r="AE37" i="170"/>
  <c r="AD37" i="170"/>
  <c r="AC37" i="170"/>
  <c r="AB37" i="170"/>
  <c r="AA37" i="170"/>
  <c r="AA49" i="170"/>
  <c r="Z37" i="170"/>
  <c r="Z49" i="170"/>
  <c r="Y37" i="170"/>
  <c r="X37" i="170"/>
  <c r="W37" i="170"/>
  <c r="V37" i="170"/>
  <c r="U37" i="170"/>
  <c r="T37" i="170"/>
  <c r="S37" i="170"/>
  <c r="S49" i="170"/>
  <c r="R37" i="170"/>
  <c r="R49" i="170"/>
  <c r="Q37" i="170"/>
  <c r="P37" i="170"/>
  <c r="O37" i="170"/>
  <c r="N37" i="170"/>
  <c r="M37" i="170"/>
  <c r="L37" i="170"/>
  <c r="K37" i="170"/>
  <c r="J37" i="170"/>
  <c r="J49" i="170"/>
  <c r="I37" i="170"/>
  <c r="H37" i="170"/>
  <c r="G37" i="170"/>
  <c r="F37" i="170"/>
  <c r="E37" i="170"/>
  <c r="D37" i="170"/>
  <c r="C37" i="170"/>
  <c r="C49" i="170"/>
  <c r="N32" i="170"/>
  <c r="H32" i="170"/>
  <c r="E23" i="170"/>
  <c r="D23" i="170"/>
  <c r="C23" i="170"/>
  <c r="BD22" i="170"/>
  <c r="BC22" i="170"/>
  <c r="BB22" i="170"/>
  <c r="BA22" i="170"/>
  <c r="AZ22" i="170"/>
  <c r="AY22" i="170"/>
  <c r="AX22" i="170"/>
  <c r="AW22" i="170"/>
  <c r="AV22" i="170"/>
  <c r="AU22" i="170"/>
  <c r="AT22" i="170"/>
  <c r="AS22" i="170"/>
  <c r="AR22" i="170"/>
  <c r="AQ22" i="170"/>
  <c r="AP22" i="170"/>
  <c r="AO22" i="170"/>
  <c r="AN22" i="170"/>
  <c r="AM22" i="170"/>
  <c r="AL22" i="170"/>
  <c r="AK22" i="170"/>
  <c r="AJ22" i="170"/>
  <c r="AI22" i="170"/>
  <c r="AH22" i="170"/>
  <c r="AG22" i="170"/>
  <c r="AF22" i="170"/>
  <c r="AE22" i="170"/>
  <c r="AD22" i="170"/>
  <c r="AC22" i="170"/>
  <c r="AB22" i="170"/>
  <c r="AA22" i="170"/>
  <c r="Z22" i="170"/>
  <c r="Y22" i="170"/>
  <c r="X22" i="170"/>
  <c r="W22" i="170"/>
  <c r="V22" i="170"/>
  <c r="U22" i="170"/>
  <c r="T22" i="170"/>
  <c r="S22" i="170"/>
  <c r="R22" i="170"/>
  <c r="Q22" i="170"/>
  <c r="P22" i="170"/>
  <c r="O22" i="170"/>
  <c r="M22" i="170"/>
  <c r="L22" i="170"/>
  <c r="K22" i="170"/>
  <c r="J22" i="170"/>
  <c r="I22" i="170"/>
  <c r="G22" i="170"/>
  <c r="F22" i="170"/>
  <c r="E22" i="170"/>
  <c r="D22" i="170"/>
  <c r="C22" i="170"/>
  <c r="BD21" i="170"/>
  <c r="BC21" i="170"/>
  <c r="BB21" i="170"/>
  <c r="BA21" i="170"/>
  <c r="AZ21" i="170"/>
  <c r="AY21" i="170"/>
  <c r="AX21" i="170"/>
  <c r="AW21" i="170"/>
  <c r="AV21" i="170"/>
  <c r="AU21" i="170"/>
  <c r="AT21" i="170"/>
  <c r="AS21" i="170"/>
  <c r="AR21" i="170"/>
  <c r="AQ21" i="170"/>
  <c r="AP21" i="170"/>
  <c r="AO21" i="170"/>
  <c r="AN21" i="170"/>
  <c r="AM21" i="170"/>
  <c r="AL21" i="170"/>
  <c r="AK21" i="170"/>
  <c r="AJ21" i="170"/>
  <c r="AI21" i="170"/>
  <c r="AH21" i="170"/>
  <c r="AG21" i="170"/>
  <c r="AF21" i="170"/>
  <c r="AE21" i="170"/>
  <c r="AD21" i="170"/>
  <c r="AC21" i="170"/>
  <c r="AB21" i="170"/>
  <c r="AA21" i="170"/>
  <c r="Z21" i="170"/>
  <c r="Y21" i="170"/>
  <c r="X21" i="170"/>
  <c r="W21" i="170"/>
  <c r="V21" i="170"/>
  <c r="U21" i="170"/>
  <c r="T21" i="170"/>
  <c r="S21" i="170"/>
  <c r="R21" i="170"/>
  <c r="Q21" i="170"/>
  <c r="P21" i="170"/>
  <c r="O21" i="170"/>
  <c r="M21" i="170"/>
  <c r="L21" i="170"/>
  <c r="K21" i="170"/>
  <c r="J21" i="170"/>
  <c r="I21" i="170"/>
  <c r="G21" i="170"/>
  <c r="F21" i="170"/>
  <c r="E21" i="170"/>
  <c r="D21" i="170"/>
  <c r="C21" i="170"/>
  <c r="BD20" i="170"/>
  <c r="BD32" i="170"/>
  <c r="BC20" i="170"/>
  <c r="BC32" i="170"/>
  <c r="BB20" i="170"/>
  <c r="BB32" i="170"/>
  <c r="BA20" i="170"/>
  <c r="BA32" i="170"/>
  <c r="AZ20" i="170"/>
  <c r="AY20" i="170"/>
  <c r="AX20" i="170"/>
  <c r="AW20" i="170"/>
  <c r="AV20" i="170"/>
  <c r="AV32" i="170"/>
  <c r="AU20" i="170"/>
  <c r="AU32" i="170"/>
  <c r="AT20" i="170"/>
  <c r="AT32" i="170"/>
  <c r="AS20" i="170"/>
  <c r="AS32" i="170"/>
  <c r="AR20" i="170"/>
  <c r="AQ20" i="170"/>
  <c r="AP20" i="170"/>
  <c r="AO20" i="170"/>
  <c r="AN20" i="170"/>
  <c r="AN32" i="170"/>
  <c r="AM20" i="170"/>
  <c r="AM32" i="170"/>
  <c r="AL20" i="170"/>
  <c r="AL32" i="170"/>
  <c r="AK20" i="170"/>
  <c r="AK32" i="170"/>
  <c r="AJ20" i="170"/>
  <c r="AI20" i="170"/>
  <c r="AH20" i="170"/>
  <c r="AG20" i="170"/>
  <c r="AF20" i="170"/>
  <c r="AF32" i="170"/>
  <c r="AE20" i="170"/>
  <c r="AE32" i="170"/>
  <c r="AD20" i="170"/>
  <c r="AD32" i="170"/>
  <c r="AC20" i="170"/>
  <c r="AC32" i="170"/>
  <c r="AB20" i="170"/>
  <c r="AA20" i="170"/>
  <c r="Z20" i="170"/>
  <c r="Y20" i="170"/>
  <c r="X20" i="170"/>
  <c r="X32" i="170"/>
  <c r="W20" i="170"/>
  <c r="W32" i="170"/>
  <c r="V20" i="170"/>
  <c r="V32" i="170"/>
  <c r="U20" i="170"/>
  <c r="U32" i="170"/>
  <c r="T20" i="170"/>
  <c r="S20" i="170"/>
  <c r="R20" i="170"/>
  <c r="Q20" i="170"/>
  <c r="P20" i="170"/>
  <c r="P32" i="170"/>
  <c r="O20" i="170"/>
  <c r="O32" i="170"/>
  <c r="M20" i="170"/>
  <c r="M32" i="170"/>
  <c r="L20" i="170"/>
  <c r="L32" i="170"/>
  <c r="K20" i="170"/>
  <c r="J20" i="170"/>
  <c r="I20" i="170"/>
  <c r="G20" i="170"/>
  <c r="F20" i="170"/>
  <c r="F32" i="170"/>
  <c r="E20" i="170"/>
  <c r="E32" i="170"/>
  <c r="D20" i="170"/>
  <c r="D32" i="170"/>
  <c r="M81" i="169"/>
  <c r="L81" i="169"/>
  <c r="K81" i="169"/>
  <c r="J81" i="169"/>
  <c r="I81" i="169"/>
  <c r="H81" i="169"/>
  <c r="G81" i="169"/>
  <c r="F81" i="169"/>
  <c r="E81" i="169"/>
  <c r="D81" i="169"/>
  <c r="C81" i="169"/>
  <c r="B81" i="169"/>
  <c r="N80" i="169"/>
  <c r="M79" i="169"/>
  <c r="L79" i="169"/>
  <c r="K79" i="169"/>
  <c r="J79" i="169"/>
  <c r="I79" i="169"/>
  <c r="H79" i="169"/>
  <c r="G79" i="169"/>
  <c r="F79" i="169"/>
  <c r="E79" i="169"/>
  <c r="D79" i="169"/>
  <c r="C79" i="169"/>
  <c r="B78" i="169"/>
  <c r="N78" i="169"/>
  <c r="D76" i="169"/>
  <c r="D75" i="169"/>
  <c r="C76" i="169"/>
  <c r="B76" i="169"/>
  <c r="N77" i="169"/>
  <c r="M75" i="169"/>
  <c r="L75" i="169"/>
  <c r="K75" i="169"/>
  <c r="J75" i="169"/>
  <c r="I75" i="169"/>
  <c r="H75" i="169"/>
  <c r="G75" i="169"/>
  <c r="F75" i="169"/>
  <c r="E75" i="169"/>
  <c r="C75" i="169"/>
  <c r="N74" i="169"/>
  <c r="M73" i="169"/>
  <c r="L73" i="169"/>
  <c r="K73" i="169"/>
  <c r="J73" i="169"/>
  <c r="I73" i="169"/>
  <c r="H73" i="169"/>
  <c r="G73" i="169"/>
  <c r="F73" i="169"/>
  <c r="E73" i="169"/>
  <c r="D73" i="169"/>
  <c r="C73" i="169"/>
  <c r="B73" i="169"/>
  <c r="N72" i="169"/>
  <c r="N73" i="169"/>
  <c r="M71" i="169"/>
  <c r="L71" i="169"/>
  <c r="K71" i="169"/>
  <c r="J71" i="169"/>
  <c r="I71" i="169"/>
  <c r="H71" i="169"/>
  <c r="G71" i="169"/>
  <c r="F71" i="169"/>
  <c r="E71" i="169"/>
  <c r="D71" i="169"/>
  <c r="C71" i="169"/>
  <c r="B71" i="169"/>
  <c r="N70" i="169"/>
  <c r="N69" i="169"/>
  <c r="N68" i="169"/>
  <c r="N81" i="169"/>
  <c r="M65" i="169"/>
  <c r="L65" i="169"/>
  <c r="K65" i="169"/>
  <c r="J65" i="169"/>
  <c r="I65" i="169"/>
  <c r="H65" i="169"/>
  <c r="G65" i="169"/>
  <c r="F65" i="169"/>
  <c r="E65" i="169"/>
  <c r="D65" i="169"/>
  <c r="C65" i="169"/>
  <c r="B65" i="169"/>
  <c r="N64" i="169"/>
  <c r="N65" i="169"/>
  <c r="M63" i="169"/>
  <c r="L63" i="169"/>
  <c r="K63" i="169"/>
  <c r="J63" i="169"/>
  <c r="I63" i="169"/>
  <c r="H63" i="169"/>
  <c r="G63" i="169"/>
  <c r="F63" i="169"/>
  <c r="E63" i="169"/>
  <c r="D63" i="169"/>
  <c r="C63" i="169"/>
  <c r="N62" i="169"/>
  <c r="N63" i="169"/>
  <c r="B62" i="169"/>
  <c r="B63" i="169"/>
  <c r="D60" i="169"/>
  <c r="D59" i="169"/>
  <c r="C60" i="169"/>
  <c r="B60" i="169"/>
  <c r="N61" i="169"/>
  <c r="M59" i="169"/>
  <c r="L59" i="169"/>
  <c r="K59" i="169"/>
  <c r="J59" i="169"/>
  <c r="I59" i="169"/>
  <c r="H59" i="169"/>
  <c r="G59" i="169"/>
  <c r="F59" i="169"/>
  <c r="E59" i="169"/>
  <c r="C59" i="169"/>
  <c r="N58" i="169"/>
  <c r="M57" i="169"/>
  <c r="L57" i="169"/>
  <c r="K57" i="169"/>
  <c r="J57" i="169"/>
  <c r="I57" i="169"/>
  <c r="H57" i="169"/>
  <c r="G57" i="169"/>
  <c r="F57" i="169"/>
  <c r="E57" i="169"/>
  <c r="D57" i="169"/>
  <c r="C57" i="169"/>
  <c r="B57" i="169"/>
  <c r="N56" i="169"/>
  <c r="N57" i="169"/>
  <c r="M55" i="169"/>
  <c r="L55" i="169"/>
  <c r="K55" i="169"/>
  <c r="J55" i="169"/>
  <c r="I55" i="169"/>
  <c r="H55" i="169"/>
  <c r="G55" i="169"/>
  <c r="F55" i="169"/>
  <c r="E55" i="169"/>
  <c r="D55" i="169"/>
  <c r="C55" i="169"/>
  <c r="B55" i="169"/>
  <c r="N54" i="169"/>
  <c r="N53" i="169"/>
  <c r="N52" i="169"/>
  <c r="M49" i="169"/>
  <c r="L49" i="169"/>
  <c r="K49" i="169"/>
  <c r="J49" i="169"/>
  <c r="I49" i="169"/>
  <c r="H49" i="169"/>
  <c r="G49" i="169"/>
  <c r="F49" i="169"/>
  <c r="E49" i="169"/>
  <c r="D49" i="169"/>
  <c r="C49" i="169"/>
  <c r="B49" i="169"/>
  <c r="N48" i="169"/>
  <c r="N49" i="169"/>
  <c r="M47" i="169"/>
  <c r="L47" i="169"/>
  <c r="K47" i="169"/>
  <c r="J47" i="169"/>
  <c r="I47" i="169"/>
  <c r="H47" i="169"/>
  <c r="G47" i="169"/>
  <c r="F47" i="169"/>
  <c r="E47" i="169"/>
  <c r="D47" i="169"/>
  <c r="C47" i="169"/>
  <c r="N46" i="169"/>
  <c r="N47" i="169"/>
  <c r="B46" i="169"/>
  <c r="B47" i="169"/>
  <c r="D44" i="169"/>
  <c r="D43" i="169"/>
  <c r="C44" i="169"/>
  <c r="B44" i="169"/>
  <c r="N45" i="169"/>
  <c r="M43" i="169"/>
  <c r="L43" i="169"/>
  <c r="K43" i="169"/>
  <c r="J43" i="169"/>
  <c r="I43" i="169"/>
  <c r="H43" i="169"/>
  <c r="G43" i="169"/>
  <c r="F43" i="169"/>
  <c r="E43" i="169"/>
  <c r="C43" i="169"/>
  <c r="N42" i="169"/>
  <c r="M41" i="169"/>
  <c r="J58" i="159"/>
  <c r="L41" i="169"/>
  <c r="K41" i="169"/>
  <c r="H58" i="159"/>
  <c r="J41" i="169"/>
  <c r="I41" i="169"/>
  <c r="H41" i="169"/>
  <c r="G41" i="169"/>
  <c r="F41" i="169"/>
  <c r="E41" i="169"/>
  <c r="D41" i="169"/>
  <c r="C41" i="169"/>
  <c r="B41" i="169"/>
  <c r="N40" i="169"/>
  <c r="N41" i="169"/>
  <c r="M39" i="169"/>
  <c r="L39" i="169"/>
  <c r="I56" i="159"/>
  <c r="K39" i="169"/>
  <c r="J39" i="169"/>
  <c r="I39" i="169"/>
  <c r="H39" i="169"/>
  <c r="G39" i="169"/>
  <c r="F39" i="169"/>
  <c r="E39" i="169"/>
  <c r="D39" i="169"/>
  <c r="C39" i="169"/>
  <c r="B39" i="169"/>
  <c r="N38" i="169"/>
  <c r="N37" i="169"/>
  <c r="N36" i="169"/>
  <c r="M33" i="169"/>
  <c r="L33" i="169"/>
  <c r="K33" i="169"/>
  <c r="J33" i="169"/>
  <c r="I33" i="169"/>
  <c r="H33" i="169"/>
  <c r="G33" i="169"/>
  <c r="F33" i="169"/>
  <c r="E33" i="169"/>
  <c r="D33" i="169"/>
  <c r="C33" i="169"/>
  <c r="B33" i="169"/>
  <c r="N32" i="169"/>
  <c r="N33" i="169"/>
  <c r="M31" i="169"/>
  <c r="L31" i="169"/>
  <c r="K31" i="169"/>
  <c r="J31" i="169"/>
  <c r="I31" i="169"/>
  <c r="H31" i="169"/>
  <c r="G31" i="169"/>
  <c r="F31" i="169"/>
  <c r="E31" i="169"/>
  <c r="D31" i="169"/>
  <c r="C31" i="169"/>
  <c r="B31" i="169"/>
  <c r="N30" i="169"/>
  <c r="D28" i="169"/>
  <c r="C28" i="169"/>
  <c r="B28" i="169"/>
  <c r="N29" i="169"/>
  <c r="M27" i="169"/>
  <c r="L27" i="169"/>
  <c r="K27" i="169"/>
  <c r="J27" i="169"/>
  <c r="I27" i="169"/>
  <c r="H27" i="169"/>
  <c r="G27" i="169"/>
  <c r="F27" i="169"/>
  <c r="E27" i="169"/>
  <c r="D27" i="169"/>
  <c r="C27" i="169"/>
  <c r="B27" i="169"/>
  <c r="N26" i="169"/>
  <c r="M25" i="169"/>
  <c r="L25" i="169"/>
  <c r="K25" i="169"/>
  <c r="J25" i="169"/>
  <c r="I25" i="169"/>
  <c r="H25" i="169"/>
  <c r="G25" i="169"/>
  <c r="F25" i="169"/>
  <c r="E25" i="169"/>
  <c r="D25" i="169"/>
  <c r="C25" i="169"/>
  <c r="B25" i="169"/>
  <c r="N24" i="169"/>
  <c r="N25" i="169"/>
  <c r="M23" i="169"/>
  <c r="L23" i="169"/>
  <c r="K23" i="169"/>
  <c r="J23" i="169"/>
  <c r="I23" i="169"/>
  <c r="H23" i="169"/>
  <c r="G23" i="169"/>
  <c r="F23" i="169"/>
  <c r="E23" i="169"/>
  <c r="D23" i="169"/>
  <c r="C23" i="169"/>
  <c r="B23" i="169"/>
  <c r="N22" i="169"/>
  <c r="N21" i="169"/>
  <c r="N20" i="169"/>
  <c r="M17" i="169"/>
  <c r="L17" i="169"/>
  <c r="K17" i="169"/>
  <c r="J17" i="169"/>
  <c r="I17" i="169"/>
  <c r="H17" i="169"/>
  <c r="G17" i="169"/>
  <c r="F17" i="169"/>
  <c r="E17" i="169"/>
  <c r="D17" i="169"/>
  <c r="C17" i="169"/>
  <c r="B17" i="169"/>
  <c r="N16" i="169"/>
  <c r="U6" i="169"/>
  <c r="M15" i="169"/>
  <c r="L15" i="169"/>
  <c r="K15" i="169"/>
  <c r="J15" i="169"/>
  <c r="I15" i="169"/>
  <c r="H15" i="169"/>
  <c r="G15" i="169"/>
  <c r="F15" i="169"/>
  <c r="E15" i="169"/>
  <c r="D15" i="169"/>
  <c r="C15" i="169"/>
  <c r="B15" i="169"/>
  <c r="N14" i="169"/>
  <c r="B14" i="169"/>
  <c r="U13" i="169"/>
  <c r="T13" i="169"/>
  <c r="T14" i="169"/>
  <c r="R13" i="169"/>
  <c r="Q13" i="169"/>
  <c r="P13" i="169"/>
  <c r="D12" i="169"/>
  <c r="D11" i="169"/>
  <c r="C12" i="169"/>
  <c r="C11" i="169"/>
  <c r="B12" i="169"/>
  <c r="M11" i="169"/>
  <c r="L11" i="169"/>
  <c r="K11" i="169"/>
  <c r="J11" i="169"/>
  <c r="I11" i="169"/>
  <c r="H11" i="169"/>
  <c r="G11" i="169"/>
  <c r="F11" i="169"/>
  <c r="E11" i="169"/>
  <c r="N10" i="169"/>
  <c r="M9" i="169"/>
  <c r="L9" i="169"/>
  <c r="K9" i="169"/>
  <c r="J9" i="169"/>
  <c r="I9" i="169"/>
  <c r="H9" i="169"/>
  <c r="G9" i="169"/>
  <c r="F9" i="169"/>
  <c r="E9" i="169"/>
  <c r="D9" i="169"/>
  <c r="C9" i="169"/>
  <c r="B9" i="169"/>
  <c r="N8" i="169"/>
  <c r="M7" i="169"/>
  <c r="L7" i="169"/>
  <c r="K7" i="169"/>
  <c r="J7" i="169"/>
  <c r="I7" i="169"/>
  <c r="H7" i="169"/>
  <c r="G7" i="169"/>
  <c r="F7" i="169"/>
  <c r="E7" i="169"/>
  <c r="D7" i="169"/>
  <c r="C7" i="169"/>
  <c r="B7" i="169"/>
  <c r="R6" i="169"/>
  <c r="N6" i="169"/>
  <c r="N7" i="169"/>
  <c r="N5" i="169"/>
  <c r="N4" i="169"/>
  <c r="N17" i="169"/>
  <c r="J82" i="159"/>
  <c r="I82" i="159"/>
  <c r="H82" i="159"/>
  <c r="D82" i="159"/>
  <c r="C82" i="159"/>
  <c r="B82" i="159"/>
  <c r="K81" i="159"/>
  <c r="E81" i="159"/>
  <c r="J80" i="159"/>
  <c r="I80" i="159"/>
  <c r="H80" i="159"/>
  <c r="D80" i="159"/>
  <c r="C80" i="159"/>
  <c r="K79" i="159"/>
  <c r="K80" i="159"/>
  <c r="B79" i="159"/>
  <c r="B80" i="159"/>
  <c r="K78" i="159"/>
  <c r="K77" i="159"/>
  <c r="D77" i="159"/>
  <c r="C77" i="159"/>
  <c r="B77" i="159"/>
  <c r="J76" i="159"/>
  <c r="I76" i="159"/>
  <c r="H76" i="159"/>
  <c r="D76" i="159"/>
  <c r="C76" i="159"/>
  <c r="B76" i="159"/>
  <c r="K75" i="159"/>
  <c r="E75" i="159"/>
  <c r="J74" i="159"/>
  <c r="I74" i="159"/>
  <c r="H74" i="159"/>
  <c r="D74" i="159"/>
  <c r="C74" i="159"/>
  <c r="B74" i="159"/>
  <c r="K73" i="159"/>
  <c r="K74" i="159"/>
  <c r="E73" i="159"/>
  <c r="J72" i="159"/>
  <c r="I72" i="159"/>
  <c r="H72" i="159"/>
  <c r="D72" i="159"/>
  <c r="C72" i="159"/>
  <c r="B72" i="159"/>
  <c r="K71" i="159"/>
  <c r="E71" i="159"/>
  <c r="E72" i="159"/>
  <c r="K70" i="159"/>
  <c r="E70" i="159"/>
  <c r="K69" i="159"/>
  <c r="K76" i="159"/>
  <c r="E69" i="159"/>
  <c r="E82" i="159"/>
  <c r="J66" i="159"/>
  <c r="I66" i="159"/>
  <c r="H66" i="159"/>
  <c r="D66" i="159"/>
  <c r="C66" i="159"/>
  <c r="B66" i="159"/>
  <c r="K65" i="159"/>
  <c r="E65" i="159"/>
  <c r="J64" i="159"/>
  <c r="I64" i="159"/>
  <c r="H64" i="159"/>
  <c r="D64" i="159"/>
  <c r="C64" i="159"/>
  <c r="K63" i="159"/>
  <c r="K64" i="159"/>
  <c r="B63" i="159"/>
  <c r="B64" i="159"/>
  <c r="K62" i="159"/>
  <c r="K61" i="159"/>
  <c r="D61" i="159"/>
  <c r="C61" i="159"/>
  <c r="B61" i="159"/>
  <c r="J60" i="159"/>
  <c r="I60" i="159"/>
  <c r="H60" i="159"/>
  <c r="D60" i="159"/>
  <c r="C60" i="159"/>
  <c r="B60" i="159"/>
  <c r="K59" i="159"/>
  <c r="E59" i="159"/>
  <c r="I58" i="159"/>
  <c r="D58" i="159"/>
  <c r="C58" i="159"/>
  <c r="B58" i="159"/>
  <c r="K57" i="159"/>
  <c r="K58" i="159"/>
  <c r="E57" i="159"/>
  <c r="J56" i="159"/>
  <c r="H56" i="159"/>
  <c r="D56" i="159"/>
  <c r="C56" i="159"/>
  <c r="B56" i="159"/>
  <c r="K55" i="159"/>
  <c r="E55" i="159"/>
  <c r="E56" i="159"/>
  <c r="K54" i="159"/>
  <c r="E54" i="159"/>
  <c r="K53" i="159"/>
  <c r="K60" i="159"/>
  <c r="E53" i="159"/>
  <c r="E66" i="159"/>
  <c r="J50" i="159"/>
  <c r="I50" i="159"/>
  <c r="H50" i="159"/>
  <c r="D50" i="159"/>
  <c r="C50" i="159"/>
  <c r="B50" i="159"/>
  <c r="K49" i="159"/>
  <c r="E49" i="159"/>
  <c r="J48" i="159"/>
  <c r="I48" i="159"/>
  <c r="H48" i="159"/>
  <c r="D48" i="159"/>
  <c r="C48" i="159"/>
  <c r="K47" i="159"/>
  <c r="K48" i="159"/>
  <c r="B47" i="159"/>
  <c r="B48" i="159"/>
  <c r="K46" i="159"/>
  <c r="K45" i="159"/>
  <c r="D45" i="159"/>
  <c r="C45" i="159"/>
  <c r="B45" i="159"/>
  <c r="J44" i="159"/>
  <c r="I44" i="159"/>
  <c r="H44" i="159"/>
  <c r="D44" i="159"/>
  <c r="C44" i="159"/>
  <c r="B44" i="159"/>
  <c r="K43" i="159"/>
  <c r="E43" i="159"/>
  <c r="J42" i="159"/>
  <c r="I42" i="159"/>
  <c r="H42" i="159"/>
  <c r="D42" i="159"/>
  <c r="C42" i="159"/>
  <c r="B42" i="159"/>
  <c r="K41" i="159"/>
  <c r="E41" i="159"/>
  <c r="J40" i="159"/>
  <c r="I40" i="159"/>
  <c r="H40" i="159"/>
  <c r="D40" i="159"/>
  <c r="C40" i="159"/>
  <c r="B40" i="159"/>
  <c r="K39" i="159"/>
  <c r="E39" i="159"/>
  <c r="K38" i="159"/>
  <c r="E38" i="159"/>
  <c r="K37" i="159"/>
  <c r="K44" i="159"/>
  <c r="E37" i="159"/>
  <c r="E50" i="159"/>
  <c r="J33" i="159"/>
  <c r="I33" i="159"/>
  <c r="H33" i="159"/>
  <c r="D33" i="159"/>
  <c r="C33" i="159"/>
  <c r="B33" i="159"/>
  <c r="K32" i="159"/>
  <c r="E32" i="159"/>
  <c r="J31" i="159"/>
  <c r="I31" i="159"/>
  <c r="H31" i="159"/>
  <c r="D31" i="159"/>
  <c r="C31" i="159"/>
  <c r="B31" i="159"/>
  <c r="K30" i="159"/>
  <c r="E30" i="159"/>
  <c r="K29" i="159"/>
  <c r="E29" i="159"/>
  <c r="K28" i="159"/>
  <c r="E28" i="159"/>
  <c r="J27" i="159"/>
  <c r="I27" i="159"/>
  <c r="H27" i="159"/>
  <c r="D27" i="159"/>
  <c r="C27" i="159"/>
  <c r="B27" i="159"/>
  <c r="K26" i="159"/>
  <c r="E26" i="159"/>
  <c r="J25" i="159"/>
  <c r="I25" i="159"/>
  <c r="H25" i="159"/>
  <c r="D25" i="159"/>
  <c r="C25" i="159"/>
  <c r="B25" i="159"/>
  <c r="K24" i="159"/>
  <c r="E24" i="159"/>
  <c r="J23" i="159"/>
  <c r="I23" i="159"/>
  <c r="H23" i="159"/>
  <c r="D23" i="159"/>
  <c r="C23" i="159"/>
  <c r="B23" i="159"/>
  <c r="K22" i="159"/>
  <c r="E22" i="159"/>
  <c r="K21" i="159"/>
  <c r="E21" i="159"/>
  <c r="K20" i="159"/>
  <c r="K27" i="159"/>
  <c r="E20" i="159"/>
  <c r="E33" i="159"/>
  <c r="J17" i="159"/>
  <c r="I17" i="159"/>
  <c r="H17" i="159"/>
  <c r="D17" i="159"/>
  <c r="C17" i="159"/>
  <c r="B17" i="159"/>
  <c r="K16" i="159"/>
  <c r="E16" i="159"/>
  <c r="E17" i="159"/>
  <c r="J15" i="159"/>
  <c r="I15" i="159"/>
  <c r="H15" i="159"/>
  <c r="D15" i="159"/>
  <c r="C15" i="159"/>
  <c r="K14" i="159"/>
  <c r="R6" i="159"/>
  <c r="B14" i="159"/>
  <c r="E14" i="159"/>
  <c r="S13" i="159"/>
  <c r="K13" i="159"/>
  <c r="K12" i="159"/>
  <c r="D12" i="159"/>
  <c r="C12" i="159"/>
  <c r="B12" i="159"/>
  <c r="J11" i="159"/>
  <c r="I11" i="159"/>
  <c r="H11" i="159"/>
  <c r="D11" i="159"/>
  <c r="C11" i="159"/>
  <c r="B11" i="159"/>
  <c r="K10" i="159"/>
  <c r="E10" i="159"/>
  <c r="J9" i="159"/>
  <c r="I9" i="159"/>
  <c r="H9" i="159"/>
  <c r="D9" i="159"/>
  <c r="C9" i="159"/>
  <c r="B9" i="159"/>
  <c r="K8" i="159"/>
  <c r="P6" i="159"/>
  <c r="E8" i="159"/>
  <c r="J7" i="159"/>
  <c r="I7" i="159"/>
  <c r="H7" i="159"/>
  <c r="D7" i="159"/>
  <c r="C7" i="159"/>
  <c r="B7" i="159"/>
  <c r="S6" i="159"/>
  <c r="Q6" i="159"/>
  <c r="K6" i="159"/>
  <c r="E6" i="159"/>
  <c r="K5" i="159"/>
  <c r="E5" i="159"/>
  <c r="K4" i="159"/>
  <c r="M6" i="159"/>
  <c r="R7" i="159"/>
  <c r="E4" i="159"/>
  <c r="B35" i="152"/>
  <c r="C20" i="170"/>
  <c r="C32" i="170"/>
  <c r="S18" i="162"/>
  <c r="F21" i="143"/>
  <c r="G21" i="143"/>
  <c r="AD21" i="143"/>
  <c r="AE21" i="143"/>
  <c r="L49" i="170"/>
  <c r="AZ49" i="170"/>
  <c r="Z51" i="154"/>
  <c r="X68" i="154"/>
  <c r="AO38" i="147"/>
  <c r="U49" i="170"/>
  <c r="K51" i="154"/>
  <c r="H21" i="143"/>
  <c r="I21" i="143"/>
  <c r="AN21" i="143"/>
  <c r="AO21" i="143"/>
  <c r="X35" i="152"/>
  <c r="Z38" i="147"/>
  <c r="D31" i="163"/>
  <c r="J31" i="163"/>
  <c r="G32" i="170"/>
  <c r="Q32" i="170"/>
  <c r="Y32" i="170"/>
  <c r="AG32" i="170"/>
  <c r="AO32" i="170"/>
  <c r="AW32" i="170"/>
  <c r="F49" i="170"/>
  <c r="V49" i="170"/>
  <c r="AD49" i="170"/>
  <c r="AT49" i="170"/>
  <c r="BB49" i="170"/>
  <c r="L34" i="154"/>
  <c r="T34" i="154"/>
  <c r="AB34" i="154"/>
  <c r="AJ34" i="154"/>
  <c r="AR34" i="154"/>
  <c r="L51" i="154"/>
  <c r="T51" i="154"/>
  <c r="AB51" i="154"/>
  <c r="J68" i="154"/>
  <c r="J18" i="9"/>
  <c r="G16" i="124"/>
  <c r="J8" i="124"/>
  <c r="C367" i="8"/>
  <c r="I31" i="9"/>
  <c r="B22" i="143"/>
  <c r="C22" i="143"/>
  <c r="H35" i="152"/>
  <c r="Q35" i="152"/>
  <c r="B37" i="146"/>
  <c r="B39" i="146"/>
  <c r="B41" i="146"/>
  <c r="B43" i="146"/>
  <c r="J38" i="147"/>
  <c r="S26" i="147"/>
  <c r="S38" i="147"/>
  <c r="R38" i="147"/>
  <c r="AA38" i="147"/>
  <c r="AI38" i="147"/>
  <c r="AQ38" i="147"/>
  <c r="AY38" i="147"/>
  <c r="AL48" i="161"/>
  <c r="X49" i="161"/>
  <c r="S13" i="162"/>
  <c r="J34" i="162"/>
  <c r="R34" i="162"/>
  <c r="Z34" i="162"/>
  <c r="C27" i="163"/>
  <c r="AL21" i="143"/>
  <c r="AM21" i="143"/>
  <c r="M35" i="152"/>
  <c r="AN26" i="147"/>
  <c r="AN38" i="147"/>
  <c r="AI34" i="162"/>
  <c r="D49" i="170"/>
  <c r="AJ49" i="170"/>
  <c r="R51" i="154"/>
  <c r="P68" i="154"/>
  <c r="P38" i="147"/>
  <c r="AG38" i="147"/>
  <c r="M49" i="170"/>
  <c r="AK49" i="170"/>
  <c r="S51" i="154"/>
  <c r="P21" i="143"/>
  <c r="Q21" i="143"/>
  <c r="AF21" i="143"/>
  <c r="AG21" i="143"/>
  <c r="P35" i="152"/>
  <c r="AH38" i="147"/>
  <c r="R32" i="170"/>
  <c r="AH32" i="170"/>
  <c r="AX32" i="170"/>
  <c r="G49" i="170"/>
  <c r="O49" i="170"/>
  <c r="AM49" i="170"/>
  <c r="BC49" i="170"/>
  <c r="E34" i="154"/>
  <c r="M51" i="154"/>
  <c r="U51" i="154"/>
  <c r="C68" i="154"/>
  <c r="Q68" i="154"/>
  <c r="H34" i="148"/>
  <c r="Y34" i="148"/>
  <c r="K18" i="9"/>
  <c r="I35" i="152"/>
  <c r="K38" i="147"/>
  <c r="T38" i="147"/>
  <c r="AB38" i="147"/>
  <c r="AJ38" i="147"/>
  <c r="AR38" i="147"/>
  <c r="AZ38" i="147"/>
  <c r="S5" i="162"/>
  <c r="S34" i="162"/>
  <c r="AA34" i="162"/>
  <c r="K34" i="162"/>
  <c r="D30" i="163"/>
  <c r="L30" i="163"/>
  <c r="N21" i="143"/>
  <c r="O21" i="143"/>
  <c r="E35" i="152"/>
  <c r="Y36" i="163"/>
  <c r="Z24" i="163"/>
  <c r="Z36" i="163"/>
  <c r="AW38" i="147"/>
  <c r="AV21" i="143"/>
  <c r="AW21" i="143"/>
  <c r="G35" i="152"/>
  <c r="I38" i="147"/>
  <c r="AX38" i="147"/>
  <c r="S12" i="162"/>
  <c r="Z32" i="170"/>
  <c r="AE49" i="170"/>
  <c r="J32" i="170"/>
  <c r="S32" i="170"/>
  <c r="AA32" i="170"/>
  <c r="AI32" i="170"/>
  <c r="AQ32" i="170"/>
  <c r="AY32" i="170"/>
  <c r="P49" i="170"/>
  <c r="X49" i="170"/>
  <c r="AN49" i="170"/>
  <c r="AV49" i="170"/>
  <c r="F34" i="154"/>
  <c r="N34" i="154"/>
  <c r="V34" i="154"/>
  <c r="AD34" i="154"/>
  <c r="AL34" i="154"/>
  <c r="AT34" i="154"/>
  <c r="F51" i="154"/>
  <c r="N51" i="154"/>
  <c r="V51" i="154"/>
  <c r="AD51" i="154"/>
  <c r="L68" i="154"/>
  <c r="R68" i="154"/>
  <c r="M18" i="9"/>
  <c r="L38" i="147"/>
  <c r="U38" i="147"/>
  <c r="AC38" i="147"/>
  <c r="AK38" i="147"/>
  <c r="AS38" i="147"/>
  <c r="BA38" i="147"/>
  <c r="L34" i="162"/>
  <c r="T34" i="162"/>
  <c r="AB34" i="162"/>
  <c r="D34" i="162"/>
  <c r="V21" i="143"/>
  <c r="W21" i="143"/>
  <c r="AT21" i="143"/>
  <c r="AU21" i="143"/>
  <c r="AB49" i="170"/>
  <c r="J51" i="154"/>
  <c r="H68" i="154"/>
  <c r="H38" i="147"/>
  <c r="AS49" i="170"/>
  <c r="X21" i="143"/>
  <c r="Y21" i="143"/>
  <c r="AF35" i="152"/>
  <c r="Q38" i="147"/>
  <c r="AP38" i="147"/>
  <c r="I32" i="170"/>
  <c r="AP32" i="170"/>
  <c r="K32" i="170"/>
  <c r="T32" i="170"/>
  <c r="AB32" i="170"/>
  <c r="AJ32" i="170"/>
  <c r="AR32" i="170"/>
  <c r="AZ32" i="170"/>
  <c r="I49" i="170"/>
  <c r="Y49" i="170"/>
  <c r="AG49" i="170"/>
  <c r="AW49" i="170"/>
  <c r="G34" i="154"/>
  <c r="O51" i="154"/>
  <c r="W51" i="154"/>
  <c r="M68" i="154"/>
  <c r="S68" i="154"/>
  <c r="N18" i="9"/>
  <c r="L48" i="143"/>
  <c r="AB48" i="143"/>
  <c r="AR48" i="143"/>
  <c r="K35" i="152"/>
  <c r="T35" i="152"/>
  <c r="AB35" i="152"/>
  <c r="AJ35" i="152"/>
  <c r="M38" i="147"/>
  <c r="V38" i="147"/>
  <c r="AD38" i="147"/>
  <c r="AL38" i="147"/>
  <c r="AT38" i="147"/>
  <c r="BB38" i="147"/>
  <c r="S8" i="162"/>
  <c r="S17" i="162"/>
  <c r="M34" i="162"/>
  <c r="U34" i="162"/>
  <c r="AC34" i="162"/>
  <c r="H12" i="8"/>
  <c r="H13" i="8"/>
  <c r="C51" i="150"/>
  <c r="C57" i="150"/>
  <c r="C54" i="150"/>
  <c r="C50" i="150"/>
  <c r="C52" i="150"/>
  <c r="C83" i="150"/>
  <c r="V93" i="150"/>
  <c r="W31" i="150"/>
  <c r="O8" i="9"/>
  <c r="I28" i="32"/>
  <c r="N8" i="9"/>
  <c r="H28" i="32"/>
  <c r="M8" i="9"/>
  <c r="G28" i="32"/>
  <c r="D6" i="8"/>
  <c r="D7" i="8"/>
  <c r="J8" i="9"/>
  <c r="D28" i="32"/>
  <c r="B8" i="8"/>
  <c r="I8" i="9"/>
  <c r="C28" i="32"/>
  <c r="L41" i="8"/>
  <c r="K41" i="8"/>
  <c r="F21" i="156"/>
  <c r="S10" i="9"/>
  <c r="M31" i="32"/>
  <c r="L6" i="8"/>
  <c r="L7" i="8"/>
  <c r="L14" i="8"/>
  <c r="S11" i="9"/>
  <c r="S13" i="9"/>
  <c r="S8" i="9"/>
  <c r="M28" i="32"/>
  <c r="K6" i="8"/>
  <c r="R8" i="9"/>
  <c r="L28" i="32"/>
  <c r="Y38" i="147"/>
  <c r="F7" i="8"/>
  <c r="H7" i="8"/>
  <c r="F31" i="155"/>
  <c r="F30" i="155"/>
  <c r="BQ37" i="155"/>
  <c r="F29" i="155"/>
  <c r="R10" i="9"/>
  <c r="L31" i="32"/>
  <c r="K11" i="8"/>
  <c r="F5" i="156"/>
  <c r="N13" i="163"/>
  <c r="B12" i="160"/>
  <c r="B18" i="160"/>
  <c r="N69" i="8"/>
  <c r="E34" i="162"/>
  <c r="W62" i="150"/>
  <c r="BN8" i="141"/>
  <c r="C4" i="141"/>
  <c r="C32" i="8"/>
  <c r="M62" i="150"/>
  <c r="L32" i="146"/>
  <c r="S6" i="162"/>
  <c r="S15" i="162"/>
  <c r="K33" i="9"/>
  <c r="K32" i="9"/>
  <c r="K7" i="159"/>
  <c r="O6" i="159"/>
  <c r="O7" i="159"/>
  <c r="S7" i="159"/>
  <c r="E23" i="159"/>
  <c r="E25" i="159"/>
  <c r="E74" i="159"/>
  <c r="M13" i="159"/>
  <c r="O13" i="159"/>
  <c r="O14" i="159"/>
  <c r="E9" i="159"/>
  <c r="K17" i="159"/>
  <c r="K23" i="159"/>
  <c r="K25" i="159"/>
  <c r="K31" i="159"/>
  <c r="K33" i="159"/>
  <c r="K40" i="159"/>
  <c r="K42" i="159"/>
  <c r="E46" i="159"/>
  <c r="K50" i="159"/>
  <c r="K56" i="159"/>
  <c r="E62" i="159"/>
  <c r="K66" i="159"/>
  <c r="K72" i="159"/>
  <c r="E78" i="159"/>
  <c r="K82" i="159"/>
  <c r="Q6" i="169"/>
  <c r="P6" i="169"/>
  <c r="U7" i="169"/>
  <c r="N9" i="169"/>
  <c r="S13" i="169"/>
  <c r="N23" i="169"/>
  <c r="N28" i="169"/>
  <c r="N27" i="169"/>
  <c r="N31" i="169"/>
  <c r="N39" i="169"/>
  <c r="N55" i="169"/>
  <c r="N71" i="169"/>
  <c r="K34" i="154"/>
  <c r="M34" i="154"/>
  <c r="O34" i="154"/>
  <c r="Q34" i="154"/>
  <c r="S34" i="154"/>
  <c r="U34" i="154"/>
  <c r="W34" i="154"/>
  <c r="Y34" i="154"/>
  <c r="AA34" i="154"/>
  <c r="AC34" i="154"/>
  <c r="AE34" i="154"/>
  <c r="AG34" i="154"/>
  <c r="AI34" i="154"/>
  <c r="AK34" i="154"/>
  <c r="AM34" i="154"/>
  <c r="AO34" i="154"/>
  <c r="AQ34" i="154"/>
  <c r="AS34" i="154"/>
  <c r="G51" i="154"/>
  <c r="AA51" i="154"/>
  <c r="AC51" i="154"/>
  <c r="E68" i="154"/>
  <c r="G68" i="154"/>
  <c r="I68" i="154"/>
  <c r="K68" i="154"/>
  <c r="B21" i="143"/>
  <c r="C21" i="143"/>
  <c r="K9" i="159"/>
  <c r="K11" i="159"/>
  <c r="K15" i="159"/>
  <c r="E58" i="159"/>
  <c r="R14" i="169"/>
  <c r="U14" i="169"/>
  <c r="N15" i="169"/>
  <c r="Q34" i="148"/>
  <c r="S34" i="148"/>
  <c r="U34" i="148"/>
  <c r="F34" i="148"/>
  <c r="J34" i="148"/>
  <c r="N34" i="148"/>
  <c r="R34" i="148"/>
  <c r="J36" i="124"/>
  <c r="F367" i="8"/>
  <c r="J31" i="9"/>
  <c r="F48" i="143"/>
  <c r="H48" i="143"/>
  <c r="J48" i="143"/>
  <c r="N48" i="143"/>
  <c r="P48" i="143"/>
  <c r="R48" i="143"/>
  <c r="V48" i="143"/>
  <c r="X48" i="143"/>
  <c r="Z48" i="143"/>
  <c r="AD48" i="143"/>
  <c r="AF48" i="143"/>
  <c r="AH48" i="143"/>
  <c r="AL48" i="143"/>
  <c r="AN48" i="143"/>
  <c r="AP48" i="143"/>
  <c r="AT48" i="143"/>
  <c r="AV48" i="143"/>
  <c r="D22" i="143"/>
  <c r="E22" i="143"/>
  <c r="F22" i="143"/>
  <c r="G22" i="143"/>
  <c r="H22" i="143"/>
  <c r="I22" i="143"/>
  <c r="J22" i="143"/>
  <c r="K22" i="143"/>
  <c r="L22" i="143"/>
  <c r="M22" i="143"/>
  <c r="N22" i="143"/>
  <c r="O22" i="143"/>
  <c r="P22" i="143"/>
  <c r="Q22" i="143"/>
  <c r="R22" i="143"/>
  <c r="S22" i="143"/>
  <c r="T22" i="143"/>
  <c r="U22" i="143"/>
  <c r="V22" i="143"/>
  <c r="W22" i="143"/>
  <c r="X22" i="143"/>
  <c r="Y22" i="143"/>
  <c r="Z22" i="143"/>
  <c r="AA22" i="143"/>
  <c r="AB22" i="143"/>
  <c r="AC22" i="143"/>
  <c r="AD22" i="143"/>
  <c r="AE22" i="143"/>
  <c r="AF22" i="143"/>
  <c r="AG22" i="143"/>
  <c r="AH22" i="143"/>
  <c r="AI22" i="143"/>
  <c r="AJ22" i="143"/>
  <c r="AK22" i="143"/>
  <c r="AL22" i="143"/>
  <c r="AM22" i="143"/>
  <c r="AN22" i="143"/>
  <c r="AO22" i="143"/>
  <c r="AP22" i="143"/>
  <c r="AQ22" i="143"/>
  <c r="AR22" i="143"/>
  <c r="AS22" i="143"/>
  <c r="AT22" i="143"/>
  <c r="AU22" i="143"/>
  <c r="E8" i="8"/>
  <c r="E29" i="8"/>
  <c r="E30" i="8"/>
  <c r="AV22" i="143"/>
  <c r="AW22" i="143"/>
  <c r="B23" i="143"/>
  <c r="C23" i="143"/>
  <c r="D23" i="143"/>
  <c r="E23" i="143"/>
  <c r="F23" i="143"/>
  <c r="G23" i="143"/>
  <c r="H23" i="143"/>
  <c r="I23" i="143"/>
  <c r="J23" i="143"/>
  <c r="K23" i="143"/>
  <c r="L23" i="143"/>
  <c r="M23" i="143"/>
  <c r="N23" i="143"/>
  <c r="O23" i="143"/>
  <c r="P23" i="143"/>
  <c r="Q23" i="143"/>
  <c r="R23" i="143"/>
  <c r="S23" i="143"/>
  <c r="T23" i="143"/>
  <c r="U23" i="143"/>
  <c r="V23" i="143"/>
  <c r="W23" i="143"/>
  <c r="X23" i="143"/>
  <c r="Y23" i="143"/>
  <c r="Z23" i="143"/>
  <c r="AA23" i="143"/>
  <c r="AB23" i="143"/>
  <c r="AC23" i="143"/>
  <c r="AD23" i="143"/>
  <c r="AE23" i="143"/>
  <c r="AF23" i="143"/>
  <c r="AG23" i="143"/>
  <c r="AH23" i="143"/>
  <c r="AI23" i="143"/>
  <c r="AJ23" i="143"/>
  <c r="AK23" i="143"/>
  <c r="AL23" i="143"/>
  <c r="AM23" i="143"/>
  <c r="AN23" i="143"/>
  <c r="AO23" i="143"/>
  <c r="AP23" i="143"/>
  <c r="AQ23" i="143"/>
  <c r="AR23" i="143"/>
  <c r="AS23" i="143"/>
  <c r="AT23" i="143"/>
  <c r="AU23" i="143"/>
  <c r="AV23" i="143"/>
  <c r="AW23" i="143"/>
  <c r="D11" i="8"/>
  <c r="D14" i="8"/>
  <c r="K11" i="9"/>
  <c r="F11" i="8"/>
  <c r="B29" i="8"/>
  <c r="I12" i="9"/>
  <c r="C30" i="32"/>
  <c r="D29" i="8"/>
  <c r="K12" i="9"/>
  <c r="E30" i="32"/>
  <c r="B18" i="8"/>
  <c r="B48" i="143"/>
  <c r="C302" i="8"/>
  <c r="L302" i="8"/>
  <c r="L321" i="8"/>
  <c r="O302" i="8"/>
  <c r="O321" i="8"/>
  <c r="T321" i="8"/>
  <c r="X321" i="8"/>
  <c r="C316" i="8"/>
  <c r="J352" i="8"/>
  <c r="L24" i="148"/>
  <c r="L34" i="148"/>
  <c r="I46" i="161"/>
  <c r="J6" i="8"/>
  <c r="J7" i="8"/>
  <c r="Q8" i="9"/>
  <c r="K28" i="32"/>
  <c r="J11" i="8"/>
  <c r="Q9" i="9"/>
  <c r="K29" i="32"/>
  <c r="K32" i="146"/>
  <c r="V32" i="146"/>
  <c r="G29" i="155"/>
  <c r="B29" i="155"/>
  <c r="D29" i="155"/>
  <c r="F37" i="8"/>
  <c r="M24" i="9"/>
  <c r="G31" i="155"/>
  <c r="B31" i="155"/>
  <c r="D31" i="155"/>
  <c r="H37" i="8"/>
  <c r="O24" i="9"/>
  <c r="D32" i="146"/>
  <c r="F35" i="152"/>
  <c r="J35" i="152"/>
  <c r="N35" i="152"/>
  <c r="R35" i="152"/>
  <c r="V35" i="152"/>
  <c r="Z35" i="152"/>
  <c r="AD35" i="152"/>
  <c r="AH35" i="152"/>
  <c r="AL35" i="152"/>
  <c r="AN37" i="155"/>
  <c r="AP37" i="155"/>
  <c r="AT37" i="155"/>
  <c r="AV37" i="155"/>
  <c r="F27" i="155"/>
  <c r="M31" i="150"/>
  <c r="U31" i="150"/>
  <c r="D26" i="150"/>
  <c r="P19" i="9"/>
  <c r="C26" i="150"/>
  <c r="H50" i="161"/>
  <c r="S36" i="163"/>
  <c r="T24" i="163"/>
  <c r="T36" i="163"/>
  <c r="Q32" i="146"/>
  <c r="S32" i="146"/>
  <c r="U32" i="146"/>
  <c r="W32" i="146"/>
  <c r="O35" i="152"/>
  <c r="S35" i="152"/>
  <c r="U35" i="152"/>
  <c r="W35" i="152"/>
  <c r="Y35" i="152"/>
  <c r="AA35" i="152"/>
  <c r="AC35" i="152"/>
  <c r="AE35" i="152"/>
  <c r="AG35" i="152"/>
  <c r="AI35" i="152"/>
  <c r="AK35" i="152"/>
  <c r="AM35" i="152"/>
  <c r="J15" i="141"/>
  <c r="L15" i="141"/>
  <c r="M15" i="141"/>
  <c r="C3" i="141"/>
  <c r="V15" i="141"/>
  <c r="X15" i="141"/>
  <c r="Y15" i="141"/>
  <c r="AB15" i="141"/>
  <c r="AH15" i="141"/>
  <c r="AJ15" i="141"/>
  <c r="AK15" i="141"/>
  <c r="AN15" i="141"/>
  <c r="AT15" i="141"/>
  <c r="AV15" i="141"/>
  <c r="AW15" i="141"/>
  <c r="AZ15" i="141"/>
  <c r="BF15" i="141"/>
  <c r="BH15" i="141"/>
  <c r="BI15" i="141"/>
  <c r="BL15" i="141"/>
  <c r="O4" i="141"/>
  <c r="U4" i="141"/>
  <c r="AA4" i="141"/>
  <c r="AG4" i="141"/>
  <c r="AM4" i="141"/>
  <c r="AS4" i="141"/>
  <c r="AY4" i="141"/>
  <c r="BE4" i="141"/>
  <c r="BK4" i="141"/>
  <c r="O5" i="141"/>
  <c r="U5" i="141"/>
  <c r="AA5" i="141"/>
  <c r="AG5" i="141"/>
  <c r="AM5" i="141"/>
  <c r="AS5" i="141"/>
  <c r="AY5" i="141"/>
  <c r="BE5" i="141"/>
  <c r="S33" i="141"/>
  <c r="BK5" i="141"/>
  <c r="O6" i="141"/>
  <c r="U6" i="141"/>
  <c r="AA6" i="141"/>
  <c r="AG6" i="141"/>
  <c r="AM6" i="141"/>
  <c r="AS6" i="141"/>
  <c r="AY6" i="141"/>
  <c r="BE6" i="141"/>
  <c r="BK6" i="141"/>
  <c r="L7" i="141"/>
  <c r="C7" i="141"/>
  <c r="F32" i="8"/>
  <c r="X7" i="141"/>
  <c r="AD7" i="141"/>
  <c r="AJ7" i="141"/>
  <c r="AP7" i="141"/>
  <c r="AV7" i="141"/>
  <c r="BB7" i="141"/>
  <c r="BH7" i="141"/>
  <c r="BN7" i="141"/>
  <c r="O8" i="141"/>
  <c r="U8" i="141"/>
  <c r="AA8" i="141"/>
  <c r="AG8" i="141"/>
  <c r="AM8" i="141"/>
  <c r="AS8" i="141"/>
  <c r="AY8" i="141"/>
  <c r="BE8" i="141"/>
  <c r="BK8" i="141"/>
  <c r="O9" i="141"/>
  <c r="U9" i="141"/>
  <c r="AD9" i="141"/>
  <c r="AJ9" i="141"/>
  <c r="AP9" i="141"/>
  <c r="AV9" i="141"/>
  <c r="BB9" i="141"/>
  <c r="BH9" i="141"/>
  <c r="BN9" i="141"/>
  <c r="C26" i="147"/>
  <c r="D26" i="147"/>
  <c r="E26" i="147"/>
  <c r="C28" i="147"/>
  <c r="D28" i="147"/>
  <c r="E28" i="147"/>
  <c r="C30" i="147"/>
  <c r="D30" i="147"/>
  <c r="E30" i="147"/>
  <c r="C32" i="147"/>
  <c r="D32" i="147"/>
  <c r="E32" i="147"/>
  <c r="K37" i="155"/>
  <c r="S37" i="155"/>
  <c r="W37" i="155"/>
  <c r="Y37" i="155"/>
  <c r="AA37" i="155"/>
  <c r="AI37" i="155"/>
  <c r="AR37" i="155"/>
  <c r="BB37" i="155"/>
  <c r="F28" i="155"/>
  <c r="G30" i="155"/>
  <c r="B30" i="155"/>
  <c r="G39" i="8"/>
  <c r="N26" i="9"/>
  <c r="D30" i="155"/>
  <c r="G37" i="8"/>
  <c r="N24" i="9"/>
  <c r="G32" i="155"/>
  <c r="B32" i="155"/>
  <c r="D32" i="155"/>
  <c r="I37" i="8"/>
  <c r="P24" i="9"/>
  <c r="F31" i="150"/>
  <c r="H31" i="150"/>
  <c r="J31" i="150"/>
  <c r="L31" i="150"/>
  <c r="N31" i="150"/>
  <c r="P31" i="150"/>
  <c r="R31" i="150"/>
  <c r="T31" i="150"/>
  <c r="V31" i="150"/>
  <c r="Q51" i="161"/>
  <c r="J51" i="161"/>
  <c r="G51" i="161"/>
  <c r="C24" i="163"/>
  <c r="F36" i="163"/>
  <c r="I36" i="163"/>
  <c r="M36" i="163"/>
  <c r="N36" i="163"/>
  <c r="Q36" i="163"/>
  <c r="R24" i="163"/>
  <c r="R36" i="163"/>
  <c r="U36" i="163"/>
  <c r="V24" i="163"/>
  <c r="V36" i="163"/>
  <c r="X36" i="163"/>
  <c r="C29" i="163"/>
  <c r="D19" i="150"/>
  <c r="I19" i="9"/>
  <c r="D21" i="150"/>
  <c r="K19" i="9"/>
  <c r="C22" i="150"/>
  <c r="D22" i="150"/>
  <c r="L19" i="9"/>
  <c r="C25" i="150"/>
  <c r="C31" i="150"/>
  <c r="D25" i="150"/>
  <c r="O19" i="9"/>
  <c r="D62" i="150"/>
  <c r="F62" i="150"/>
  <c r="H62" i="150"/>
  <c r="J62" i="150"/>
  <c r="L62" i="150"/>
  <c r="N62" i="150"/>
  <c r="P62" i="150"/>
  <c r="R62" i="150"/>
  <c r="T62" i="150"/>
  <c r="V62" i="150"/>
  <c r="K62" i="150"/>
  <c r="S62" i="150"/>
  <c r="E93" i="150"/>
  <c r="G93" i="150"/>
  <c r="I93" i="150"/>
  <c r="K93" i="150"/>
  <c r="M93" i="150"/>
  <c r="O93" i="150"/>
  <c r="C82" i="150"/>
  <c r="F93" i="150"/>
  <c r="N93" i="150"/>
  <c r="R93" i="150"/>
  <c r="T93" i="150"/>
  <c r="B6" i="160"/>
  <c r="B7" i="160"/>
  <c r="B9" i="160"/>
  <c r="B10" i="160"/>
  <c r="R18" i="160"/>
  <c r="X50" i="161"/>
  <c r="AE50" i="161"/>
  <c r="AS50" i="161"/>
  <c r="AZ50" i="161"/>
  <c r="E36" i="163"/>
  <c r="G36" i="163"/>
  <c r="K36" i="163"/>
  <c r="O36" i="163"/>
  <c r="AC36" i="163"/>
  <c r="C25" i="163"/>
  <c r="C30" i="163"/>
  <c r="AA36" i="163"/>
  <c r="H11" i="8"/>
  <c r="S14" i="159"/>
  <c r="W26" i="158"/>
  <c r="W25" i="158"/>
  <c r="W23" i="158"/>
  <c r="E15" i="159"/>
  <c r="T6" i="169"/>
  <c r="N79" i="169"/>
  <c r="L12" i="9"/>
  <c r="F30" i="32"/>
  <c r="E7" i="159"/>
  <c r="N13" i="159"/>
  <c r="P13" i="159"/>
  <c r="B15" i="159"/>
  <c r="E47" i="159"/>
  <c r="E48" i="159"/>
  <c r="E63" i="159"/>
  <c r="E64" i="159"/>
  <c r="E79" i="159"/>
  <c r="E80" i="159"/>
  <c r="B11" i="169"/>
  <c r="N12" i="169"/>
  <c r="N11" i="169"/>
  <c r="B43" i="169"/>
  <c r="N44" i="169"/>
  <c r="N43" i="169"/>
  <c r="B59" i="169"/>
  <c r="N60" i="169"/>
  <c r="N59" i="169"/>
  <c r="B75" i="169"/>
  <c r="N76" i="169"/>
  <c r="N75" i="169"/>
  <c r="B79" i="169"/>
  <c r="V68" i="154"/>
  <c r="J34" i="9"/>
  <c r="C48" i="143"/>
  <c r="B20" i="143"/>
  <c r="E48" i="143"/>
  <c r="D20" i="143"/>
  <c r="G48" i="143"/>
  <c r="F20" i="143"/>
  <c r="I48" i="143"/>
  <c r="H20" i="143"/>
  <c r="K48" i="143"/>
  <c r="J20" i="143"/>
  <c r="M48" i="143"/>
  <c r="L20" i="143"/>
  <c r="O48" i="143"/>
  <c r="N20" i="143"/>
  <c r="Q48" i="143"/>
  <c r="P20" i="143"/>
  <c r="S48" i="143"/>
  <c r="R20" i="143"/>
  <c r="U48" i="143"/>
  <c r="T20" i="143"/>
  <c r="W48" i="143"/>
  <c r="V20" i="143"/>
  <c r="Y48" i="143"/>
  <c r="X20" i="143"/>
  <c r="AA48" i="143"/>
  <c r="Z20" i="143"/>
  <c r="AC48" i="143"/>
  <c r="AB20" i="143"/>
  <c r="AE48" i="143"/>
  <c r="AD20" i="143"/>
  <c r="AG48" i="143"/>
  <c r="AF20" i="143"/>
  <c r="AI48" i="143"/>
  <c r="AH20" i="143"/>
  <c r="AK48" i="143"/>
  <c r="AJ20" i="143"/>
  <c r="AM48" i="143"/>
  <c r="AL20" i="143"/>
  <c r="AM20" i="143"/>
  <c r="AO48" i="143"/>
  <c r="AN20" i="143"/>
  <c r="AQ48" i="143"/>
  <c r="AP20" i="143"/>
  <c r="AS48" i="143"/>
  <c r="AR20" i="143"/>
  <c r="AU48" i="143"/>
  <c r="AT20" i="143"/>
  <c r="AW48" i="143"/>
  <c r="AV20" i="143"/>
  <c r="E11" i="8"/>
  <c r="I11" i="8"/>
  <c r="B16" i="8"/>
  <c r="B32" i="8"/>
  <c r="B35" i="8"/>
  <c r="F26" i="158"/>
  <c r="F23" i="158"/>
  <c r="N6" i="159"/>
  <c r="E23" i="158"/>
  <c r="E12" i="159"/>
  <c r="E11" i="159"/>
  <c r="E13" i="159"/>
  <c r="E27" i="159"/>
  <c r="E31" i="159"/>
  <c r="E40" i="159"/>
  <c r="E42" i="159"/>
  <c r="E45" i="159"/>
  <c r="E44" i="159"/>
  <c r="E61" i="159"/>
  <c r="E60" i="159"/>
  <c r="E77" i="159"/>
  <c r="E76" i="159"/>
  <c r="N13" i="169"/>
  <c r="S6" i="169"/>
  <c r="U68" i="154"/>
  <c r="E34" i="148"/>
  <c r="G34" i="148"/>
  <c r="I34" i="148"/>
  <c r="K34" i="148"/>
  <c r="M34" i="148"/>
  <c r="O34" i="148"/>
  <c r="J64" i="124"/>
  <c r="I367" i="8"/>
  <c r="K31" i="9"/>
  <c r="B12" i="8"/>
  <c r="B13" i="8"/>
  <c r="C11" i="8"/>
  <c r="G11" i="8"/>
  <c r="E12" i="8"/>
  <c r="E13" i="8"/>
  <c r="E22" i="8"/>
  <c r="E24" i="8"/>
  <c r="BA26" i="155"/>
  <c r="D26" i="155"/>
  <c r="C37" i="8"/>
  <c r="J24" i="9"/>
  <c r="AZ37" i="155"/>
  <c r="G297" i="8"/>
  <c r="D23" i="154"/>
  <c r="D34" i="154"/>
  <c r="AS25" i="155"/>
  <c r="AS37" i="155"/>
  <c r="AQ37" i="155"/>
  <c r="D321" i="8"/>
  <c r="D39" i="154"/>
  <c r="BK26" i="155"/>
  <c r="G321" i="8"/>
  <c r="D40" i="154"/>
  <c r="H32" i="146"/>
  <c r="E274" i="8"/>
  <c r="H274" i="8"/>
  <c r="BI37" i="155"/>
  <c r="BJ26" i="155"/>
  <c r="C321" i="8"/>
  <c r="I321" i="8"/>
  <c r="E305" i="8"/>
  <c r="E317" i="8"/>
  <c r="H321" i="8"/>
  <c r="C41" i="154"/>
  <c r="N32" i="146"/>
  <c r="J32" i="146"/>
  <c r="I3" i="141"/>
  <c r="R3" i="141"/>
  <c r="S22" i="141"/>
  <c r="AD3" i="141"/>
  <c r="S26" i="141"/>
  <c r="AP3" i="141"/>
  <c r="S30" i="141"/>
  <c r="BB3" i="141"/>
  <c r="BN3" i="141"/>
  <c r="I4" i="141"/>
  <c r="I7" i="141"/>
  <c r="R7" i="141"/>
  <c r="I8" i="141"/>
  <c r="I10" i="141"/>
  <c r="R10" i="141"/>
  <c r="H15" i="141"/>
  <c r="P15" i="141"/>
  <c r="T15" i="141"/>
  <c r="AF15" i="141"/>
  <c r="AR15" i="141"/>
  <c r="BD15" i="141"/>
  <c r="E32" i="146"/>
  <c r="I32" i="146"/>
  <c r="R32" i="146"/>
  <c r="BR37" i="155"/>
  <c r="BT26" i="155"/>
  <c r="BT37" i="155"/>
  <c r="D28" i="155"/>
  <c r="E37" i="8"/>
  <c r="L24" i="9"/>
  <c r="B7" i="8"/>
  <c r="B11" i="8"/>
  <c r="C7" i="8"/>
  <c r="G7" i="8"/>
  <c r="I7" i="8"/>
  <c r="C35" i="152"/>
  <c r="C274" i="8"/>
  <c r="C297" i="8"/>
  <c r="E302" i="8"/>
  <c r="U302" i="8"/>
  <c r="U321" i="8"/>
  <c r="G340" i="8"/>
  <c r="D58" i="154"/>
  <c r="D68" i="154"/>
  <c r="K340" i="8"/>
  <c r="J356" i="8"/>
  <c r="P24" i="148"/>
  <c r="P34" i="148"/>
  <c r="D362" i="8"/>
  <c r="V22" i="148"/>
  <c r="V34" i="148"/>
  <c r="G363" i="8"/>
  <c r="W23" i="148"/>
  <c r="W34" i="148"/>
  <c r="F32" i="146"/>
  <c r="G15" i="141"/>
  <c r="L3" i="141"/>
  <c r="S19" i="141"/>
  <c r="S20" i="141"/>
  <c r="Q15" i="141"/>
  <c r="S15" i="141"/>
  <c r="X3" i="141"/>
  <c r="S23" i="141"/>
  <c r="S24" i="141"/>
  <c r="AC15" i="141"/>
  <c r="AE15" i="141"/>
  <c r="AJ3" i="141"/>
  <c r="S27" i="141"/>
  <c r="S28" i="141"/>
  <c r="AO15" i="141"/>
  <c r="AQ15" i="141"/>
  <c r="AV3" i="141"/>
  <c r="S31" i="141"/>
  <c r="BA15" i="141"/>
  <c r="BC15" i="141"/>
  <c r="BH3" i="141"/>
  <c r="S34" i="141"/>
  <c r="BM15" i="141"/>
  <c r="I5" i="141"/>
  <c r="C6" i="141"/>
  <c r="E32" i="8"/>
  <c r="I6" i="141"/>
  <c r="I9" i="141"/>
  <c r="N15" i="141"/>
  <c r="Z15" i="141"/>
  <c r="AA15" i="141"/>
  <c r="AL15" i="141"/>
  <c r="AX15" i="141"/>
  <c r="BJ15" i="141"/>
  <c r="C32" i="146"/>
  <c r="G32" i="146"/>
  <c r="P32" i="146"/>
  <c r="T32" i="146"/>
  <c r="H37" i="155"/>
  <c r="G25" i="155"/>
  <c r="U37" i="155"/>
  <c r="F25" i="155"/>
  <c r="AF37" i="155"/>
  <c r="AE25" i="155"/>
  <c r="AE37" i="155"/>
  <c r="BF37" i="155"/>
  <c r="BH37" i="155"/>
  <c r="BJ37" i="155"/>
  <c r="BL37" i="155"/>
  <c r="BN37" i="155"/>
  <c r="BP37" i="155"/>
  <c r="I31" i="150"/>
  <c r="Q31" i="150"/>
  <c r="D45" i="161"/>
  <c r="I45" i="161"/>
  <c r="E45" i="161"/>
  <c r="F45" i="161"/>
  <c r="D46" i="161"/>
  <c r="E46" i="161"/>
  <c r="F46" i="161"/>
  <c r="D47" i="161"/>
  <c r="I47" i="161"/>
  <c r="E47" i="161"/>
  <c r="F47" i="161"/>
  <c r="J48" i="161"/>
  <c r="G48" i="161"/>
  <c r="H48" i="161"/>
  <c r="J49" i="161"/>
  <c r="H49" i="161"/>
  <c r="C27" i="147"/>
  <c r="D27" i="147"/>
  <c r="E27" i="147"/>
  <c r="C29" i="147"/>
  <c r="D29" i="147"/>
  <c r="E29" i="147"/>
  <c r="C31" i="147"/>
  <c r="D31" i="147"/>
  <c r="E31" i="147"/>
  <c r="C33" i="147"/>
  <c r="D33" i="147"/>
  <c r="E33" i="147"/>
  <c r="AC37" i="155"/>
  <c r="AB25" i="155"/>
  <c r="D27" i="155"/>
  <c r="D37" i="8"/>
  <c r="K24" i="9"/>
  <c r="B28" i="155"/>
  <c r="E39" i="8"/>
  <c r="L26" i="9"/>
  <c r="K31" i="150"/>
  <c r="O31" i="150"/>
  <c r="S31" i="150"/>
  <c r="H93" i="150"/>
  <c r="L93" i="150"/>
  <c r="P93" i="150"/>
  <c r="G49" i="161"/>
  <c r="K48" i="146"/>
  <c r="M48" i="146"/>
  <c r="O48" i="146"/>
  <c r="Q48" i="146"/>
  <c r="S48" i="146"/>
  <c r="V48" i="146"/>
  <c r="E37" i="155"/>
  <c r="J37" i="155"/>
  <c r="L37" i="155"/>
  <c r="C25" i="155"/>
  <c r="V37" i="155"/>
  <c r="X37" i="155"/>
  <c r="Z37" i="155"/>
  <c r="AH37" i="155"/>
  <c r="AJ37" i="155"/>
  <c r="AX37" i="155"/>
  <c r="BG37" i="155"/>
  <c r="BM37" i="155"/>
  <c r="BO37" i="155"/>
  <c r="BS37" i="155"/>
  <c r="B27" i="155"/>
  <c r="D39" i="8"/>
  <c r="K26" i="9"/>
  <c r="F32" i="155"/>
  <c r="G31" i="150"/>
  <c r="S93" i="150"/>
  <c r="U93" i="150"/>
  <c r="W93" i="150"/>
  <c r="D93" i="150"/>
  <c r="C18" i="160"/>
  <c r="E18" i="160"/>
  <c r="G18" i="160"/>
  <c r="I18" i="160"/>
  <c r="K18" i="160"/>
  <c r="P18" i="160"/>
  <c r="T18" i="160"/>
  <c r="G50" i="161"/>
  <c r="Q50" i="161"/>
  <c r="AL50" i="161"/>
  <c r="H51" i="161"/>
  <c r="D25" i="163"/>
  <c r="P36" i="163"/>
  <c r="D26" i="163"/>
  <c r="D27" i="163"/>
  <c r="D28" i="163"/>
  <c r="D29" i="163"/>
  <c r="H24" i="163"/>
  <c r="J24" i="163"/>
  <c r="J36" i="163"/>
  <c r="L24" i="163"/>
  <c r="L36" i="163"/>
  <c r="N24" i="163"/>
  <c r="AB24" i="163"/>
  <c r="AB36" i="163"/>
  <c r="C26" i="163"/>
  <c r="C31" i="163"/>
  <c r="B4" i="167"/>
  <c r="B16" i="167"/>
  <c r="B20" i="167"/>
  <c r="B32" i="167"/>
  <c r="B36" i="167"/>
  <c r="B48" i="167"/>
  <c r="E7" i="8"/>
  <c r="E14" i="8"/>
  <c r="L11" i="9"/>
  <c r="D48" i="146"/>
  <c r="F48" i="146"/>
  <c r="H48" i="146"/>
  <c r="J48" i="146"/>
  <c r="L48" i="146"/>
  <c r="N48" i="146"/>
  <c r="P48" i="146"/>
  <c r="R48" i="146"/>
  <c r="U48" i="146"/>
  <c r="W48" i="146"/>
  <c r="C48" i="146"/>
  <c r="E48" i="146"/>
  <c r="G48" i="146"/>
  <c r="B38" i="8"/>
  <c r="I25" i="9"/>
  <c r="N37" i="155"/>
  <c r="M25" i="155"/>
  <c r="AL37" i="155"/>
  <c r="AK25" i="155"/>
  <c r="AK37" i="155"/>
  <c r="AO37" i="155"/>
  <c r="AU37" i="155"/>
  <c r="AW37" i="155"/>
  <c r="AB27" i="155"/>
  <c r="C27" i="155"/>
  <c r="D38" i="8"/>
  <c r="K25" i="9"/>
  <c r="B25" i="155"/>
  <c r="Q37" i="155"/>
  <c r="P25" i="155"/>
  <c r="P37" i="155"/>
  <c r="T37" i="155"/>
  <c r="D25" i="155"/>
  <c r="BD37" i="155"/>
  <c r="BC25" i="155"/>
  <c r="BC37" i="155"/>
  <c r="M26" i="155"/>
  <c r="C26" i="155"/>
  <c r="C38" i="8"/>
  <c r="J25" i="9"/>
  <c r="AB28" i="155"/>
  <c r="C28" i="155"/>
  <c r="E38" i="8"/>
  <c r="L25" i="9"/>
  <c r="C29" i="155"/>
  <c r="F38" i="8"/>
  <c r="M25" i="9"/>
  <c r="C30" i="155"/>
  <c r="G38" i="8"/>
  <c r="N25" i="9"/>
  <c r="C31" i="155"/>
  <c r="H38" i="8"/>
  <c r="O25" i="9"/>
  <c r="C32" i="155"/>
  <c r="I38" i="8"/>
  <c r="P25" i="9"/>
  <c r="K36" i="124"/>
  <c r="G367" i="8"/>
  <c r="K8" i="124"/>
  <c r="D367" i="8"/>
  <c r="K13" i="9"/>
  <c r="AP15" i="141"/>
  <c r="G14" i="8"/>
  <c r="N11" i="9"/>
  <c r="N13" i="9"/>
  <c r="C14" i="8"/>
  <c r="J11" i="9"/>
  <c r="J13" i="9"/>
  <c r="C93" i="150"/>
  <c r="K7" i="8"/>
  <c r="F14" i="8"/>
  <c r="M11" i="9"/>
  <c r="M13" i="9"/>
  <c r="F26" i="155"/>
  <c r="B26" i="155"/>
  <c r="C39" i="8"/>
  <c r="J26" i="9"/>
  <c r="BA37" i="155"/>
  <c r="K14" i="8"/>
  <c r="R11" i="9"/>
  <c r="R13" i="9"/>
  <c r="H14" i="8"/>
  <c r="O11" i="9"/>
  <c r="O13" i="9"/>
  <c r="BK37" i="155"/>
  <c r="AB37" i="155"/>
  <c r="BB15" i="141"/>
  <c r="BK15" i="141"/>
  <c r="AY15" i="141"/>
  <c r="AM15" i="141"/>
  <c r="O15" i="141"/>
  <c r="H39" i="8"/>
  <c r="O26" i="9"/>
  <c r="F39" i="8"/>
  <c r="M26" i="9"/>
  <c r="J14" i="8"/>
  <c r="Q11" i="9"/>
  <c r="Q13" i="9"/>
  <c r="J50" i="161"/>
  <c r="BN15" i="141"/>
  <c r="G37" i="155"/>
  <c r="D38" i="147"/>
  <c r="I34" i="8"/>
  <c r="P18" i="9"/>
  <c r="R7" i="169"/>
  <c r="B48" i="146"/>
  <c r="L13" i="9"/>
  <c r="D31" i="150"/>
  <c r="E38" i="147"/>
  <c r="AD15" i="141"/>
  <c r="S32" i="141"/>
  <c r="S29" i="141"/>
  <c r="S25" i="141"/>
  <c r="B30" i="8"/>
  <c r="K64" i="124"/>
  <c r="J367" i="8"/>
  <c r="C24" i="148"/>
  <c r="T7" i="169"/>
  <c r="C62" i="150"/>
  <c r="H34" i="8"/>
  <c r="O18" i="9"/>
  <c r="E34" i="8"/>
  <c r="O23" i="156"/>
  <c r="L18" i="9"/>
  <c r="R15" i="141"/>
  <c r="I14" i="8"/>
  <c r="P11" i="9"/>
  <c r="P13" i="9"/>
  <c r="C36" i="163"/>
  <c r="H36" i="163"/>
  <c r="D24" i="163"/>
  <c r="D36" i="163"/>
  <c r="F37" i="155"/>
  <c r="C38" i="147"/>
  <c r="E9" i="141"/>
  <c r="H31" i="8"/>
  <c r="E8" i="141"/>
  <c r="G31" i="8"/>
  <c r="B14" i="8"/>
  <c r="I11" i="9"/>
  <c r="I13" i="9"/>
  <c r="AS15" i="141"/>
  <c r="U15" i="141"/>
  <c r="I15" i="141"/>
  <c r="I31" i="8"/>
  <c r="E10" i="141"/>
  <c r="E7" i="141"/>
  <c r="F31" i="8"/>
  <c r="E33" i="8"/>
  <c r="E6" i="141"/>
  <c r="D15" i="141"/>
  <c r="E3" i="141"/>
  <c r="B31" i="8"/>
  <c r="F305" i="8"/>
  <c r="I40" i="154"/>
  <c r="I51" i="154"/>
  <c r="F274" i="8"/>
  <c r="F297" i="8"/>
  <c r="E297" i="8"/>
  <c r="C23" i="154"/>
  <c r="K274" i="8"/>
  <c r="I23" i="154"/>
  <c r="I33" i="9"/>
  <c r="C22" i="148"/>
  <c r="C15" i="141"/>
  <c r="I39" i="8"/>
  <c r="P26" i="9"/>
  <c r="B32" i="146"/>
  <c r="E5" i="141"/>
  <c r="D31" i="8"/>
  <c r="E4" i="141"/>
  <c r="C31" i="8"/>
  <c r="E321" i="8"/>
  <c r="C40" i="154"/>
  <c r="C51" i="154"/>
  <c r="F302" i="8"/>
  <c r="E40" i="154"/>
  <c r="E51" i="154"/>
  <c r="BE15" i="141"/>
  <c r="AG15" i="141"/>
  <c r="S21" i="141"/>
  <c r="S18" i="141"/>
  <c r="F317" i="8"/>
  <c r="Y40" i="154"/>
  <c r="Y51" i="154"/>
  <c r="H297" i="8"/>
  <c r="C24" i="154"/>
  <c r="I274" i="8"/>
  <c r="I297" i="8"/>
  <c r="N274" i="8"/>
  <c r="I25" i="154"/>
  <c r="I24" i="154"/>
  <c r="D51" i="154"/>
  <c r="C23" i="148"/>
  <c r="J33" i="9"/>
  <c r="AV32" i="143"/>
  <c r="AW32" i="143"/>
  <c r="AW20" i="143"/>
  <c r="AT32" i="143"/>
  <c r="AU32" i="143"/>
  <c r="AU20" i="143"/>
  <c r="AR32" i="143"/>
  <c r="AS32" i="143"/>
  <c r="AS20" i="143"/>
  <c r="AP32" i="143"/>
  <c r="AQ32" i="143"/>
  <c r="AQ20" i="143"/>
  <c r="AN32" i="143"/>
  <c r="AO32" i="143"/>
  <c r="AO20" i="143"/>
  <c r="AJ32" i="143"/>
  <c r="AK32" i="143"/>
  <c r="AK20" i="143"/>
  <c r="AH32" i="143"/>
  <c r="AI32" i="143"/>
  <c r="AI20" i="143"/>
  <c r="AF32" i="143"/>
  <c r="AG32" i="143"/>
  <c r="AG20" i="143"/>
  <c r="AD32" i="143"/>
  <c r="AE32" i="143"/>
  <c r="AE20" i="143"/>
  <c r="AB32" i="143"/>
  <c r="AC32" i="143"/>
  <c r="AC20" i="143"/>
  <c r="Z32" i="143"/>
  <c r="AA32" i="143"/>
  <c r="AA20" i="143"/>
  <c r="X32" i="143"/>
  <c r="Y32" i="143"/>
  <c r="Y20" i="143"/>
  <c r="V32" i="143"/>
  <c r="W32" i="143"/>
  <c r="W20" i="143"/>
  <c r="T32" i="143"/>
  <c r="U32" i="143"/>
  <c r="U20" i="143"/>
  <c r="R32" i="143"/>
  <c r="S32" i="143"/>
  <c r="S20" i="143"/>
  <c r="P32" i="143"/>
  <c r="Q32" i="143"/>
  <c r="Q20" i="143"/>
  <c r="N32" i="143"/>
  <c r="O32" i="143"/>
  <c r="O20" i="143"/>
  <c r="L32" i="143"/>
  <c r="M32" i="143"/>
  <c r="M20" i="143"/>
  <c r="J32" i="143"/>
  <c r="K32" i="143"/>
  <c r="K20" i="143"/>
  <c r="H32" i="143"/>
  <c r="I32" i="143"/>
  <c r="I20" i="143"/>
  <c r="F32" i="143"/>
  <c r="G32" i="143"/>
  <c r="G20" i="143"/>
  <c r="D32" i="143"/>
  <c r="E32" i="143"/>
  <c r="E20" i="143"/>
  <c r="B32" i="143"/>
  <c r="C32" i="143"/>
  <c r="C20" i="143"/>
  <c r="R13" i="159"/>
  <c r="R14" i="159"/>
  <c r="Q13" i="159"/>
  <c r="M37" i="155"/>
  <c r="D37" i="155"/>
  <c r="B37" i="8"/>
  <c r="I24" i="9"/>
  <c r="B39" i="8"/>
  <c r="I26" i="9"/>
  <c r="C37" i="155"/>
  <c r="B37" i="155"/>
  <c r="H33" i="8"/>
  <c r="E35" i="8"/>
  <c r="H35" i="8"/>
  <c r="L274" i="8"/>
  <c r="L297" i="8"/>
  <c r="K297" i="8"/>
  <c r="C25" i="154"/>
  <c r="C34" i="154"/>
  <c r="Q274" i="8"/>
  <c r="S35" i="141"/>
  <c r="N297" i="8"/>
  <c r="O274" i="8"/>
  <c r="O297" i="8"/>
  <c r="T274" i="8"/>
  <c r="F321" i="8"/>
  <c r="C34" i="148"/>
  <c r="I34" i="154"/>
  <c r="B33" i="8"/>
  <c r="E15" i="141"/>
  <c r="T297" i="8"/>
  <c r="U274" i="8"/>
  <c r="U297" i="8"/>
  <c r="Z274" i="8"/>
  <c r="R274" i="8"/>
  <c r="R297" i="8"/>
  <c r="Q297" i="8"/>
  <c r="W274" i="8"/>
  <c r="Z297" i="8"/>
  <c r="AA274" i="8"/>
  <c r="AA297" i="8"/>
  <c r="AF274" i="8"/>
  <c r="X274" i="8"/>
  <c r="X297" i="8"/>
  <c r="W297" i="8"/>
  <c r="AC274" i="8"/>
  <c r="AD274" i="8"/>
  <c r="AD297" i="8"/>
  <c r="AC297" i="8"/>
  <c r="AI274" i="8"/>
  <c r="AF297" i="8"/>
  <c r="AG274" i="8"/>
  <c r="AG297" i="8"/>
  <c r="AJ274" i="8"/>
  <c r="AJ297" i="8"/>
  <c r="AI297" i="8"/>
</calcChain>
</file>

<file path=xl/comments1.xml><?xml version="1.0" encoding="utf-8"?>
<comments xmlns="http://schemas.openxmlformats.org/spreadsheetml/2006/main">
  <authors>
    <author>Sheridan Healthcorp</author>
  </authors>
  <commentList>
    <comment ref="H291" authorId="0" shapeId="0">
      <text>
        <r>
          <rPr>
            <b/>
            <sz val="9"/>
            <color indexed="81"/>
            <rFont val="Tahoma"/>
            <family val="2"/>
          </rPr>
          <t>Sheridan Healthcorp:</t>
        </r>
        <r>
          <rPr>
            <sz val="9"/>
            <color indexed="81"/>
            <rFont val="Tahoma"/>
            <family val="2"/>
          </rPr>
          <t xml:space="preserve">
63.7 confirmed by Kim Roberts on 5/18 email.</t>
        </r>
      </text>
    </comment>
  </commentList>
</comments>
</file>

<file path=xl/comments2.xml><?xml version="1.0" encoding="utf-8"?>
<comments xmlns="http://schemas.openxmlformats.org/spreadsheetml/2006/main">
  <authors>
    <author>Sheridan Healthcorp</author>
  </authors>
  <commentList>
    <comment ref="O9" authorId="0" shapeId="0">
      <text>
        <r>
          <rPr>
            <b/>
            <sz val="9"/>
            <color indexed="81"/>
            <rFont val="Tahoma"/>
            <family val="2"/>
          </rPr>
          <t>Sheridan Healthcorp: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Sheridan Healthcorp</author>
  </authors>
  <commentList>
    <comment ref="H19" authorId="0" shapeId="0">
      <text>
        <r>
          <rPr>
            <b/>
            <u/>
            <sz val="9"/>
            <color indexed="81"/>
            <rFont val="Tahoma"/>
            <family val="2"/>
          </rPr>
          <t xml:space="preserve">Reporting Sites
</t>
        </r>
        <r>
          <rPr>
            <sz val="9"/>
            <color indexed="81"/>
            <rFont val="Tahoma"/>
            <family val="2"/>
          </rPr>
          <t>JFK Main
JFK BB
JFK WPB
Jupiter
Kendall
Kendall Peds
Monroe
Ocala
San Ramon
St. Mary
W. Marion
Westchester
Osceola
Hunters Creek</t>
        </r>
      </text>
    </comment>
  </commentList>
</comments>
</file>

<file path=xl/sharedStrings.xml><?xml version="1.0" encoding="utf-8"?>
<sst xmlns="http://schemas.openxmlformats.org/spreadsheetml/2006/main" count="4836" uniqueCount="885">
  <si>
    <t>Mortalities</t>
  </si>
  <si>
    <t>AMA</t>
  </si>
  <si>
    <t>PQRS</t>
  </si>
  <si>
    <t>72hr Returns</t>
  </si>
  <si>
    <t>Admits</t>
  </si>
  <si>
    <t>Category III</t>
  </si>
  <si>
    <t>Baptist</t>
  </si>
  <si>
    <t>Case Volume</t>
  </si>
  <si>
    <t>PNA</t>
  </si>
  <si>
    <t>JFK PBG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</si>
  <si>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</si>
  <si>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</si>
  <si>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</si>
  <si>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</si>
  <si>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</si>
  <si>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</si>
  <si>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</si>
  <si>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</si>
  <si>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</si>
  <si>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</si>
  <si>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</si>
  <si>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</si>
  <si>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72hr Returns (Total)</t>
  </si>
  <si>
    <t>72hr Returns (Admits)</t>
  </si>
  <si>
    <t>POC (&gt; 95%)</t>
  </si>
  <si>
    <t>AMI</t>
  </si>
  <si>
    <t>Syncope</t>
  </si>
  <si>
    <t xml:space="preserve">Case Volume </t>
  </si>
  <si>
    <t>Kendall</t>
  </si>
  <si>
    <t>JFK</t>
  </si>
  <si>
    <t>Ocala</t>
  </si>
  <si>
    <t>W. Marion</t>
  </si>
  <si>
    <t>MONTHLY TOTAL</t>
  </si>
  <si>
    <t>QUARTERLY TOTAL</t>
  </si>
  <si>
    <t>Total</t>
  </si>
  <si>
    <t>Ocala &amp; W. Marion</t>
  </si>
  <si>
    <t>POC (Mortalities &amp; Unscheduled Returns)</t>
  </si>
  <si>
    <t>PQRS (Avg)</t>
  </si>
  <si>
    <t>TARGET</t>
  </si>
  <si>
    <t>Departed Patients</t>
  </si>
  <si>
    <t>West Marion</t>
  </si>
  <si>
    <t>JFK BB</t>
  </si>
  <si>
    <t>FINANCE</t>
  </si>
  <si>
    <t>OPERATIONS</t>
  </si>
  <si>
    <t>EFFICIENCY METRICS</t>
  </si>
  <si>
    <t>Arrival to Qualified Provider</t>
  </si>
  <si>
    <t>LOS - Discharged</t>
  </si>
  <si>
    <t>LOS - Admitted</t>
  </si>
  <si>
    <t>SERVICE</t>
  </si>
  <si>
    <t>PATIENT SATISFACTION</t>
  </si>
  <si>
    <t>PEOPLE</t>
  </si>
  <si>
    <t>PROVIDER RETENTION</t>
  </si>
  <si>
    <t>Providers Terminating</t>
  </si>
  <si>
    <t>QUALITY</t>
  </si>
  <si>
    <t>NATIONAL QUALITY MEASURES</t>
  </si>
  <si>
    <t>72 HOUR RETURNS</t>
  </si>
  <si>
    <t>MORTALITIES</t>
  </si>
  <si>
    <t>Total Pts</t>
  </si>
  <si>
    <t>INSERT ROW HERE</t>
  </si>
  <si>
    <t>AMI (ASA On Arrival)</t>
  </si>
  <si>
    <t>PNA (VS Reviewed)</t>
  </si>
  <si>
    <t>Syncope (12 Lead &gt;50)</t>
  </si>
  <si>
    <t>DIVISION TOTAL</t>
  </si>
  <si>
    <t>Cat III</t>
  </si>
  <si>
    <t>% Returns Admitted 2nd Visit</t>
  </si>
  <si>
    <t>% Mortalities w/ Opportunity</t>
  </si>
  <si>
    <t>COMPOSITE 
POC 50%
PQRS 50%</t>
  </si>
  <si>
    <t>--</t>
  </si>
  <si>
    <t>TARGET 
(&lt; 30 mins)</t>
  </si>
  <si>
    <t>PPH - Physician</t>
  </si>
  <si>
    <t>Category III Mortalities</t>
  </si>
  <si>
    <t xml:space="preserve">* POC Formula =  [ (1- (Admitted 72hr Returns / Case Volume))/2] + [ (1- (Category III Mortalities / Case Volume))/2)] </t>
  </si>
  <si>
    <t>AMI 
(Num)</t>
  </si>
  <si>
    <t>AMI 
(Denom)</t>
  </si>
  <si>
    <t>PNA
(Num)</t>
  </si>
  <si>
    <t>PNA 
(Denom)</t>
  </si>
  <si>
    <t>Syncope
(Num)</t>
  </si>
  <si>
    <t>Syncope
(Denom)</t>
  </si>
  <si>
    <t>PQRS Raw Data</t>
  </si>
  <si>
    <t>Variance</t>
  </si>
  <si>
    <t>Facility Reported Case Volume</t>
  </si>
  <si>
    <t>Westchester</t>
  </si>
  <si>
    <t>Jupiter MC</t>
  </si>
  <si>
    <t>PROVIDER PRODUCTIVITY</t>
  </si>
  <si>
    <t>Jupiter</t>
  </si>
  <si>
    <t>St. Mary's</t>
  </si>
  <si>
    <t>Comments</t>
  </si>
  <si>
    <t>Dimension of Quality</t>
  </si>
  <si>
    <t>Measure Description</t>
  </si>
  <si>
    <t>Threshold</t>
  </si>
  <si>
    <t>unit</t>
  </si>
  <si>
    <t>Q1 2014</t>
  </si>
  <si>
    <t>Q2 2014</t>
  </si>
  <si>
    <t>Q3 2014</t>
  </si>
  <si>
    <t xml:space="preserve">Patient Safety </t>
  </si>
  <si>
    <t>Legal Cases (per 100k visits)</t>
  </si>
  <si>
    <t>cases</t>
  </si>
  <si>
    <t>Clinical Standards</t>
  </si>
  <si>
    <t>ASA Received</t>
  </si>
  <si>
    <t>Vital Signs Documented</t>
  </si>
  <si>
    <t>EKG Documented</t>
  </si>
  <si>
    <t>Patient Outcomes</t>
  </si>
  <si>
    <t>Efficiency &amp; Productivity</t>
  </si>
  <si>
    <t>≤ 30 mins</t>
  </si>
  <si>
    <t>Overall Patients per Adjusted Hour</t>
  </si>
  <si>
    <t>Customer Service</t>
  </si>
  <si>
    <t>tbd</t>
  </si>
  <si>
    <t>Provider Outcomes</t>
  </si>
  <si>
    <t>FPPE-Targeted</t>
  </si>
  <si>
    <t>FPPE- Initial within 90 days</t>
  </si>
  <si>
    <t>OPPE provider report distribution</t>
  </si>
  <si>
    <t>% OPPE sent to chief for review</t>
  </si>
  <si>
    <t>Reappointment</t>
  </si>
  <si>
    <t>PQRS Composite</t>
  </si>
  <si>
    <t>MI, PNA,&amp;  Syncope</t>
  </si>
  <si>
    <t>≤ 1%</t>
  </si>
  <si>
    <t>≤ 2%</t>
  </si>
  <si>
    <t xml:space="preserve">pts left before being seen </t>
  </si>
  <si>
    <t>time of arrival to provider</t>
  </si>
  <si>
    <t>Staff Satisfaction</t>
  </si>
  <si>
    <t>pt survey of care provided</t>
  </si>
  <si>
    <t>responses</t>
  </si>
  <si>
    <t>≤1%</t>
  </si>
  <si>
    <t>Quarterly</t>
  </si>
  <si>
    <t>LBBS</t>
  </si>
  <si>
    <t>Facility Reported Volume</t>
  </si>
  <si>
    <t>Sheridan Case Volume *DPD</t>
  </si>
  <si>
    <t>Pts. per adjusted hr (≥ 20k Visits)</t>
  </si>
  <si>
    <t>% Mortalities No Opportunity Quarterly</t>
  </si>
  <si>
    <t>% Mortalities w/ Opportunity Quarterly</t>
  </si>
  <si>
    <t>CPT</t>
  </si>
  <si>
    <t>Dimension</t>
  </si>
  <si>
    <t>% providers referred for FPPE</t>
  </si>
  <si>
    <t xml:space="preserve">*72hr Return Unanticipated Admissions </t>
  </si>
  <si>
    <t>*Elements used for composite score</t>
  </si>
  <si>
    <t>Corrective Action Plan and Recommendations</t>
  </si>
  <si>
    <t>Domain</t>
  </si>
  <si>
    <t>Pt. Outcome</t>
  </si>
  <si>
    <t>Clinical Standard</t>
  </si>
  <si>
    <t>Budget Cases</t>
  </si>
  <si>
    <t>Arrival to  Provider</t>
  </si>
  <si>
    <t>Arrival to Provider Greet</t>
  </si>
  <si>
    <t>Admitted Pts</t>
  </si>
  <si>
    <t>Admitted Pts ALOS</t>
  </si>
  <si>
    <t>Departed Pts</t>
  </si>
  <si>
    <t>Departed pts ALOS</t>
  </si>
  <si>
    <t>JFK Main</t>
  </si>
  <si>
    <t>Scribe Hours</t>
  </si>
  <si>
    <t>Budget</t>
  </si>
  <si>
    <t>Actual</t>
  </si>
  <si>
    <t>Case Volume - Physicians</t>
  </si>
  <si>
    <t>Monthly Actual</t>
  </si>
  <si>
    <t>Daily Budgeted</t>
  </si>
  <si>
    <t>Monthly Budgeted</t>
  </si>
  <si>
    <t>Travelers</t>
  </si>
  <si>
    <t>Shift Incentive</t>
  </si>
  <si>
    <t>Locums</t>
  </si>
  <si>
    <t>MLP OT</t>
  </si>
  <si>
    <t>Premium Costs - Physicians</t>
  </si>
  <si>
    <t>Sept</t>
  </si>
  <si>
    <t>Duplicate MSE</t>
  </si>
  <si>
    <t>Duplicate MSE %</t>
  </si>
  <si>
    <t xml:space="preserve"> Q1 Volume Sample Size</t>
  </si>
  <si>
    <t>Total OT</t>
  </si>
  <si>
    <t>Incremental OT</t>
  </si>
  <si>
    <t>Labor Cost/Case</t>
  </si>
  <si>
    <t>Budget 
Labor Cost/Case</t>
  </si>
  <si>
    <t>Actual
Labor Cost/Case</t>
  </si>
  <si>
    <t>DIVISION MONTHLY TOTAL</t>
  </si>
  <si>
    <t>Total Reason Codes</t>
  </si>
  <si>
    <t>N/A</t>
  </si>
  <si>
    <t>Pt. Sat (Avg)</t>
  </si>
  <si>
    <t>Missing/Incomp Proc Note &amp; Post Splint Ap/Asmt</t>
  </si>
  <si>
    <t>Critical Care (E&amp;M 99291)</t>
  </si>
  <si>
    <t>≥ 20k Visits 
(Physician Only)</t>
  </si>
  <si>
    <t>&lt; 20k Visits
(Physician Only)</t>
  </si>
  <si>
    <t xml:space="preserve">Target for ≥ 20k Visits
(Physician Only) </t>
  </si>
  <si>
    <t>pts left before provider d/c</t>
  </si>
  <si>
    <t>per 100k cases</t>
  </si>
  <si>
    <t>≤ 170 mins</t>
  </si>
  <si>
    <t>2/2</t>
  </si>
  <si>
    <t>HCA JV: Left Before Being Seen</t>
  </si>
  <si>
    <t>HCA JV: Arrival to Qualified Provider</t>
  </si>
  <si>
    <t>HCA JV: Duplicate MSE</t>
  </si>
  <si>
    <t>HCA JV: Against Medical Advice</t>
  </si>
  <si>
    <t>HCA JV: Length of Stay (Admit)</t>
  </si>
  <si>
    <t>HCA JV: Length of Stay (Discharged)</t>
  </si>
  <si>
    <t>≤ 20 mins</t>
  </si>
  <si>
    <t>pt arrival to EDP disposition</t>
  </si>
  <si>
    <t>pt arrival to time pt discharge</t>
  </si>
  <si>
    <t>238/38245</t>
  </si>
  <si>
    <t>HCA JV: Patient Satisfaction</t>
  </si>
  <si>
    <t>HCA JV Clinical Performance Summary</t>
  </si>
  <si>
    <t>Anesthesia</t>
  </si>
  <si>
    <t>Radiology</t>
  </si>
  <si>
    <t>† Includes HCA JV data</t>
  </si>
  <si>
    <t>† Patient Satisfaction</t>
  </si>
  <si>
    <t>Patient Satisfaction</t>
  </si>
  <si>
    <t>HCA JV: Target VR rates with goal of 100% self editing</t>
  </si>
  <si>
    <t xml:space="preserve">Voice Recognition (VR) rate per provider. </t>
  </si>
  <si>
    <t>effective 5/1/2014</t>
  </si>
  <si>
    <t>HCA JV: Achieve HCA baseline of TAT</t>
  </si>
  <si>
    <t>Completed to Signed (inpatient only)</t>
  </si>
  <si>
    <t>Avg TAT 2.30</t>
  </si>
  <si>
    <t>HCA JV: Timeliness of critical result communication</t>
  </si>
  <si>
    <t>Critical Findings</t>
  </si>
  <si>
    <t>Avg TAT    ≤ 30 mins</t>
  </si>
  <si>
    <t>HCA JV: Track 100% compliance of critical results and documentation</t>
  </si>
  <si>
    <t>Communication details</t>
  </si>
  <si>
    <t>HCA JV: Referring physician satisfaction as it relates to JV physician services</t>
  </si>
  <si>
    <t>Survey Monkey</t>
  </si>
  <si>
    <t xml:space="preserve">5% improvement </t>
  </si>
  <si>
    <t>effective 5/1/2014; Determine baseline by 5/1/14 and improve 5% in 4th quarter</t>
  </si>
  <si>
    <t>HCA JV: 24/7 outpatient tracking, goal under 8 hours</t>
  </si>
  <si>
    <t>Outpatient routine studies completed to signed.</t>
  </si>
  <si>
    <t>Avg TAT 1.45</t>
  </si>
  <si>
    <t>CP EKG
(Num)</t>
  </si>
  <si>
    <t>CP EKG
(Denom)</t>
  </si>
  <si>
    <t xml:space="preserve"> Q2 Volume Sample Size</t>
  </si>
  <si>
    <t>Moberly</t>
  </si>
  <si>
    <t>Excluding Baptist Hospital Miami</t>
  </si>
  <si>
    <t>Premium Costs: travelers, shift incentives, MLP OT</t>
  </si>
  <si>
    <t>Traveler's Costs</t>
  </si>
  <si>
    <t>Traveler's Expenses</t>
  </si>
  <si>
    <t>Shift Incentives</t>
  </si>
  <si>
    <t>CASES</t>
  </si>
  <si>
    <t>Within 10% of Goal</t>
  </si>
  <si>
    <t>&gt; 10% Below Goal</t>
  </si>
  <si>
    <t>Goal Met</t>
  </si>
  <si>
    <t>Insufficient Data</t>
  </si>
  <si>
    <t>222/39099</t>
  </si>
  <si>
    <t>576/39099</t>
  </si>
  <si>
    <t>585/39099</t>
  </si>
  <si>
    <t xml:space="preserve"> claims submitted; benchmark from Sullivan Group</t>
  </si>
  <si>
    <t>≤ 2.0%</t>
  </si>
  <si>
    <t>Physician_Payroll</t>
  </si>
  <si>
    <t>Allied_Payroll</t>
  </si>
  <si>
    <t>CONSULTING FEES</t>
  </si>
  <si>
    <t>Categories:</t>
  </si>
  <si>
    <t>COST/CASE</t>
  </si>
  <si>
    <t>COSTS</t>
  </si>
  <si>
    <t>W. Marion (Loc 16)</t>
  </si>
  <si>
    <t>188/40205</t>
  </si>
  <si>
    <t>455/40205</t>
  </si>
  <si>
    <t>13700/40205</t>
  </si>
  <si>
    <t>26505/40205</t>
  </si>
  <si>
    <t>529/40205</t>
  </si>
  <si>
    <t>% cases referred to IQ for education</t>
  </si>
  <si>
    <t>Cases Referred to IQ With Opportunity for Education</t>
  </si>
  <si>
    <t>Jupiter (Loc 24)</t>
  </si>
  <si>
    <t>Volume Sample Size</t>
  </si>
  <si>
    <t>W. Marion QC</t>
  </si>
  <si>
    <t xml:space="preserve">W. Marion QC </t>
  </si>
  <si>
    <t>FPPE completed in current month</t>
  </si>
  <si>
    <t>Nov 2014 - Jan 2015</t>
  </si>
  <si>
    <t>482/43612</t>
  </si>
  <si>
    <t>581/43612</t>
  </si>
  <si>
    <t>13067/43612</t>
  </si>
  <si>
    <t>30545/43612</t>
  </si>
  <si>
    <t>606/43612</t>
  </si>
  <si>
    <t xml:space="preserve"> Volume Sample Size</t>
  </si>
  <si>
    <t>YTD</t>
  </si>
  <si>
    <t>Admitted Pts (HCA Dashboard)</t>
  </si>
  <si>
    <t>West Marion QC</t>
  </si>
  <si>
    <t>1Q 2015</t>
  </si>
  <si>
    <t>≤ 4%</t>
  </si>
  <si>
    <t>≤ 150 mins</t>
  </si>
  <si>
    <t>608/44556</t>
  </si>
  <si>
    <t>563/44556</t>
  </si>
  <si>
    <t>680/44556</t>
  </si>
  <si>
    <t>Awaiting Data</t>
  </si>
  <si>
    <t>Jupiter Peds (Loc 8)</t>
  </si>
  <si>
    <t>W. Marion QC (Loc 27)</t>
  </si>
  <si>
    <t>April</t>
  </si>
  <si>
    <t>FPPE</t>
  </si>
  <si>
    <t>BAPTIST</t>
  </si>
  <si>
    <t>Month</t>
  </si>
  <si>
    <t>YTD Total</t>
  </si>
  <si>
    <t>EM DIVISION</t>
  </si>
  <si>
    <t>ADMISSIONS</t>
  </si>
  <si>
    <t>Facility Volume</t>
  </si>
  <si>
    <t>% LBBS/LPT</t>
  </si>
  <si>
    <t>Months &gt;2%</t>
  </si>
  <si>
    <t>Sparkline</t>
  </si>
  <si>
    <t>Case Variance</t>
  </si>
  <si>
    <t>No. LBBS/LPT</t>
  </si>
  <si>
    <t>W. Marion Main &amp;  QC</t>
  </si>
  <si>
    <t>W. Marion &amp; QC</t>
  </si>
  <si>
    <t>AMI - PCI w/in 90 mins of Arrival</t>
  </si>
  <si>
    <t>Stroke - Interpretation of Head CT</t>
  </si>
  <si>
    <t>Pain Mgmt - Long Bone Fracture</t>
  </si>
  <si>
    <t>DIVISION</t>
  </si>
  <si>
    <t>CRITICAL CARE</t>
  </si>
  <si>
    <t>DIVISION AVERAGE</t>
  </si>
  <si>
    <t>YTD Avg</t>
  </si>
  <si>
    <t xml:space="preserve">DIVISION </t>
  </si>
  <si>
    <t>Admissions &amp; Observation (%)</t>
  </si>
  <si>
    <t>Critical Care % (E&amp;M 99291)</t>
  </si>
  <si>
    <t>No. Reason Codes</t>
  </si>
  <si>
    <t>% Reason Codes</t>
  </si>
  <si>
    <t>Procedures w/ Reason Codes</t>
  </si>
  <si>
    <t xml:space="preserve">W. Marion </t>
  </si>
  <si>
    <t>Arr to Provider</t>
  </si>
  <si>
    <t>LOS Discharged</t>
  </si>
  <si>
    <t>LOS Admitted</t>
  </si>
  <si>
    <t>Arrival to Provider</t>
  </si>
  <si>
    <t>FPPE/OPPE</t>
  </si>
  <si>
    <t>1/1</t>
  </si>
  <si>
    <t>0/1</t>
  </si>
  <si>
    <t>% Category III (Opportunity)</t>
  </si>
  <si>
    <t>% Mortalities</t>
  </si>
  <si>
    <t>Transition Team</t>
  </si>
  <si>
    <t>Locum</t>
  </si>
  <si>
    <t>PREMIUM HOURS</t>
  </si>
  <si>
    <t>San Ramon</t>
  </si>
  <si>
    <t>PREMIUM COSTS</t>
  </si>
  <si>
    <t>Sheridan Budget, Captured, Variance</t>
  </si>
  <si>
    <t>LEFT BEFORE BEING SEEN (LBBS/LPT)</t>
  </si>
  <si>
    <t>LOS - Discharged and Admitted</t>
  </si>
  <si>
    <t>No. 72hr Returns</t>
  </si>
  <si>
    <t>FPPE &amp; OPPE Completed YTD</t>
  </si>
  <si>
    <t>EDP Budget</t>
  </si>
  <si>
    <t>EDP Actual</t>
  </si>
  <si>
    <t>PCP Budget</t>
  </si>
  <si>
    <t>PCP Actual</t>
  </si>
  <si>
    <t>SCRIBE HOURS</t>
  </si>
  <si>
    <t>EDP PPH</t>
  </si>
  <si>
    <t>MLP PPH</t>
  </si>
  <si>
    <t>PCP PPH</t>
  </si>
  <si>
    <t>Overall Pt per Adjusted Hr</t>
  </si>
  <si>
    <t>JFK BB (&lt; 20k)</t>
  </si>
  <si>
    <t>JFK PBG (&lt; 20k)</t>
  </si>
  <si>
    <t>Moberly (&lt; 20k)</t>
  </si>
  <si>
    <t>San Ramon (&lt; 20k)</t>
  </si>
  <si>
    <t>Westchester (&lt; 20k)</t>
  </si>
  <si>
    <t>2Q 2015</t>
  </si>
  <si>
    <t>2.0-2.5</t>
  </si>
  <si>
    <t>345/43034</t>
  </si>
  <si>
    <t>885/43034</t>
  </si>
  <si>
    <t>607/43034</t>
  </si>
  <si>
    <t>Composite</t>
  </si>
  <si>
    <t>PQRS Composite (&gt;95%)</t>
  </si>
  <si>
    <t xml:space="preserve">PQRS Quarterly Composite </t>
  </si>
  <si>
    <t>No. Returns</t>
  </si>
  <si>
    <t>% Returns Admitted</t>
  </si>
  <si>
    <t>Months &gt;1%</t>
  </si>
  <si>
    <t>% Cat III</t>
  </si>
  <si>
    <t>No. Mortalities</t>
  </si>
  <si>
    <t>No. Cat III</t>
  </si>
  <si>
    <t>Ocala &amp; 
W. Marion</t>
  </si>
  <si>
    <t>BOARD REPORTS</t>
  </si>
  <si>
    <t>Action Plan</t>
  </si>
  <si>
    <t>MIDWAY GRAPHS</t>
  </si>
  <si>
    <t>Timeliness</t>
  </si>
  <si>
    <t>Patients per Hour</t>
  </si>
  <si>
    <t>Acute MI: PCI w/in 90 mins of Arrival (Goal = 100%)</t>
  </si>
  <si>
    <t>Stroke: Interpretation of Head CT (Goal = &lt; 45 mins)</t>
  </si>
  <si>
    <t>Pain Mgmt: Long Bone Fracture (Goal = &lt; 62 mins)</t>
  </si>
  <si>
    <t>JFK
(Quarterly)</t>
  </si>
  <si>
    <t>% Variance</t>
  </si>
  <si>
    <t>DIVISION
w/ Baptist</t>
  </si>
  <si>
    <t>DIVISION
w/o Baptist</t>
  </si>
  <si>
    <t>*Facility scores are number returned/number requested; not dependent on if completed by due date</t>
  </si>
  <si>
    <t>TBD</t>
  </si>
  <si>
    <t>Arr to Greet</t>
  </si>
  <si>
    <t>Pending</t>
  </si>
  <si>
    <t>Awaiting report from new credentialing system</t>
  </si>
  <si>
    <t>323/41448</t>
  </si>
  <si>
    <t>862/41448</t>
  </si>
  <si>
    <t>528/41448</t>
  </si>
  <si>
    <t>Scores based on Top Box Score</t>
  </si>
  <si>
    <t>3Q 2015</t>
  </si>
  <si>
    <t>Monroe</t>
  </si>
  <si>
    <t>Monroe (&lt; 20k)</t>
  </si>
  <si>
    <t>* PQRS Inclusive of 6  RVU facilities</t>
  </si>
  <si>
    <t>Composite Graph</t>
  </si>
  <si>
    <t xml:space="preserve">Osceola </t>
  </si>
  <si>
    <t>Osceola</t>
  </si>
  <si>
    <t>Providence</t>
  </si>
  <si>
    <t>St. John</t>
  </si>
  <si>
    <t>Locums_and_Independent_Contractors_Expense (i.e Locums, Locumtenes, Independent Contractor)</t>
  </si>
  <si>
    <t>Reason Codes w/o Procedures</t>
  </si>
  <si>
    <t>Total Patients</t>
  </si>
  <si>
    <t>LPMSE + LPT</t>
  </si>
  <si>
    <t>Total Pts:</t>
  </si>
  <si>
    <t>Total number of patients presenting at the Emergency department</t>
  </si>
  <si>
    <t>In Bed to Phy Greet:</t>
  </si>
  <si>
    <t>Placed in bed to greeted by physician</t>
  </si>
  <si>
    <t>Arrive to Phy Greet:</t>
  </si>
  <si>
    <t>Arrived to greeted by physician</t>
  </si>
  <si>
    <t>Duplicate MSE:</t>
  </si>
  <si>
    <t>Percentage of total patients that were greeted by the same provider within the same minute.  Use ADM.PAT.zcus.div.rws.er.phys.greet.analysis for detail.</t>
  </si>
  <si>
    <t>Arrive to first ord:</t>
  </si>
  <si>
    <t>Arrived to first order entered</t>
  </si>
  <si>
    <t>Greet to first order:</t>
  </si>
  <si>
    <t>Greeted by physician to first order entered</t>
  </si>
  <si>
    <t>Greet to disp (adm):</t>
  </si>
  <si>
    <t>Greeted by physician to disposition; admitted patients only</t>
  </si>
  <si>
    <t>Greet to disp (dep):</t>
  </si>
  <si>
    <t>Greeted by physician to disposition; departed patients only</t>
  </si>
  <si>
    <t>Admitted patients:</t>
  </si>
  <si>
    <t>Admitted patients Length of stay (Arrival to depart from ED)</t>
  </si>
  <si>
    <t>Departed patients:</t>
  </si>
  <si>
    <t>Departed patients Length of stay (Arrival to depart from ED)</t>
  </si>
  <si>
    <t>low acuity patients:</t>
  </si>
  <si>
    <t>Triage level 4 and 5 patients Length of stay (Arrival to depart from ED)</t>
  </si>
  <si>
    <t>CT and US Utilization:</t>
  </si>
  <si>
    <t>CT and Ultrasound Utilization percentage breakdown by Admitted, Departed and Pediatric patients</t>
  </si>
  <si>
    <t>LPMSE:</t>
  </si>
  <si>
    <t>LPT:</t>
  </si>
  <si>
    <t>AMA:</t>
  </si>
  <si>
    <t>Pts/HR:</t>
  </si>
  <si>
    <t>A count of the number of hours the physician greeted patients, divided by the number of patients.</t>
  </si>
  <si>
    <t>PMD to admit ord:</t>
  </si>
  <si>
    <t>EDM status PMD (Primary Medical Doctor/Primary Physician notified) to the admission order</t>
  </si>
  <si>
    <r>
      <t xml:space="preserve">Admitted Pts </t>
    </r>
    <r>
      <rPr>
        <sz val="8"/>
        <color theme="1"/>
        <rFont val="Calibri"/>
        <family val="2"/>
        <scheme val="minor"/>
      </rPr>
      <t>(HCA Dashboard)</t>
    </r>
  </si>
  <si>
    <r>
      <t xml:space="preserve">% Admitted Pts </t>
    </r>
    <r>
      <rPr>
        <sz val="8"/>
        <color theme="1"/>
        <rFont val="Calibri"/>
        <family val="2"/>
        <scheme val="minor"/>
      </rPr>
      <t>(HCA Dashboard)</t>
    </r>
  </si>
  <si>
    <r>
      <t xml:space="preserve">Admitted Pts ALOS </t>
    </r>
    <r>
      <rPr>
        <sz val="8"/>
        <color theme="1"/>
        <rFont val="Calibri"/>
        <family val="2"/>
        <scheme val="minor"/>
      </rPr>
      <t>(HCA Dashboard)</t>
    </r>
  </si>
  <si>
    <t>Door / Arrival to Provider Greet (Min Wait)</t>
  </si>
  <si>
    <t>Departed Pts %</t>
  </si>
  <si>
    <t>Admitted Pts %</t>
  </si>
  <si>
    <t>LPMSE + LPT %</t>
  </si>
  <si>
    <t>AMA %</t>
  </si>
  <si>
    <r>
      <t xml:space="preserve">LPMSE + LPT </t>
    </r>
    <r>
      <rPr>
        <sz val="8"/>
        <color theme="1"/>
        <rFont val="Calibri"/>
        <family val="2"/>
        <scheme val="minor"/>
      </rPr>
      <t>(HCA Dashboard)</t>
    </r>
  </si>
  <si>
    <r>
      <t xml:space="preserve">Admitted Pts % </t>
    </r>
    <r>
      <rPr>
        <sz val="8"/>
        <color theme="1"/>
        <rFont val="Calibri"/>
        <family val="2"/>
        <scheme val="minor"/>
      </rPr>
      <t>(HCA Dashboard)</t>
    </r>
  </si>
  <si>
    <t>Admitted Patients %</t>
  </si>
  <si>
    <r>
      <t>Admitted Pts ALOS</t>
    </r>
    <r>
      <rPr>
        <sz val="8"/>
        <color theme="1"/>
        <rFont val="Calibri"/>
        <family val="2"/>
        <scheme val="minor"/>
      </rPr>
      <t xml:space="preserve"> (HCA Dashboard)</t>
    </r>
  </si>
  <si>
    <r>
      <t>Admitted Pts</t>
    </r>
    <r>
      <rPr>
        <sz val="8"/>
        <color theme="1"/>
        <rFont val="Calibri"/>
        <family val="2"/>
        <scheme val="minor"/>
      </rPr>
      <t xml:space="preserve"> (HCA Dashboard)</t>
    </r>
  </si>
  <si>
    <t>Arrival to Provider Greet (Min)</t>
  </si>
  <si>
    <t>Number of patients who left prior to Medical screening.</t>
  </si>
  <si>
    <t>Number of patients who left prior to treatment.</t>
  </si>
  <si>
    <t>Number of patients who left against medical advice.</t>
  </si>
  <si>
    <t>Hunters Creek</t>
  </si>
  <si>
    <t>Mercy Gilbert</t>
  </si>
  <si>
    <t>Chandler Regional</t>
  </si>
  <si>
    <t>4Q 2015</t>
  </si>
  <si>
    <t>624/654</t>
  </si>
  <si>
    <t>1440/1444</t>
  </si>
  <si>
    <t>1167/1176</t>
  </si>
  <si>
    <t>3231/3274</t>
  </si>
  <si>
    <t>Joint Venture - Q3 2015</t>
  </si>
  <si>
    <t>Joint Venture - Q4 2015</t>
  </si>
  <si>
    <t>1121/46223</t>
  </si>
  <si>
    <t>518/46223</t>
  </si>
  <si>
    <t>Unit</t>
  </si>
  <si>
    <t>Reason Codes</t>
  </si>
  <si>
    <t>Chandler</t>
  </si>
  <si>
    <r>
      <t>≥</t>
    </r>
    <r>
      <rPr>
        <sz val="12"/>
        <color theme="3" tint="-0.249977111117893"/>
        <rFont val="Arial Narrow"/>
        <family val="2"/>
      </rPr>
      <t xml:space="preserve"> </t>
    </r>
    <r>
      <rPr>
        <sz val="10"/>
        <color theme="3" tint="-0.249977111117893"/>
        <rFont val="Arial Narrow"/>
        <family val="2"/>
      </rPr>
      <t>95%</t>
    </r>
  </si>
  <si>
    <t>617/46223</t>
  </si>
  <si>
    <t>13942/46223</t>
  </si>
  <si>
    <t>% providers approved for reaccreditation</t>
  </si>
  <si>
    <t>As needed by site; ongoing analytics project for automation</t>
  </si>
  <si>
    <t>Patient complaint related to care</t>
  </si>
  <si>
    <t>Occurrence Reporting Rates (Risk Management)</t>
  </si>
  <si>
    <t xml:space="preserve">Patient Complaints (NON HCA): Quality </t>
  </si>
  <si>
    <t>Professionalism Complaints (NON HCA)</t>
  </si>
  <si>
    <t>Variance/ Issue</t>
  </si>
  <si>
    <t>Patient survey of care provided</t>
  </si>
  <si>
    <t>Staff survey of EDP/MLP</t>
  </si>
  <si>
    <t>TBD - HR to roll out a "Talent Keeper" survey.</t>
  </si>
  <si>
    <t>A "Patient Satisfaction Champion" is being identified out each facility, then initiating meetings with champions.</t>
  </si>
  <si>
    <t>Resources are needed to abstract and validate the data for all sites.</t>
  </si>
  <si>
    <t xml:space="preserve">Continued issues with abstraction of new PQRS measures; not all of the data elements are being collected.  </t>
  </si>
  <si>
    <t>Left Before Being Seen (LBBS)</t>
  </si>
  <si>
    <t>Survey vitals pilot is to be implemented by Q3 in two test facilities (Jupiter and San Ramon).</t>
  </si>
  <si>
    <t>Daily Budget</t>
  </si>
  <si>
    <t>Daily Actual</t>
  </si>
  <si>
    <t>Labor Cost per Case</t>
  </si>
  <si>
    <t>PROVIDENCE</t>
  </si>
  <si>
    <t>ST. JOHN</t>
  </si>
  <si>
    <t>OSCEOLA</t>
  </si>
  <si>
    <t>OSCEOLA PEDS</t>
  </si>
  <si>
    <t>HUNTERS CREEK</t>
  </si>
  <si>
    <t>WESTCHESTER</t>
  </si>
  <si>
    <t>JUPITER</t>
  </si>
  <si>
    <t>JUPITER PEDS</t>
  </si>
  <si>
    <t>KENDALL</t>
  </si>
  <si>
    <t>MOBERLY</t>
  </si>
  <si>
    <t>MONROE</t>
  </si>
  <si>
    <t>OCALA</t>
  </si>
  <si>
    <t>SAN RAMON</t>
  </si>
  <si>
    <t>ST. MARY'S</t>
  </si>
  <si>
    <t>W. MARION QC</t>
  </si>
  <si>
    <t>W. MARION</t>
  </si>
  <si>
    <t>W MARION &amp; QC</t>
  </si>
  <si>
    <t>MERCY</t>
  </si>
  <si>
    <t>CHANDLER</t>
  </si>
  <si>
    <t>W MARION QC</t>
  </si>
  <si>
    <t>W MARION</t>
  </si>
  <si>
    <t>MERCY GILBERT</t>
  </si>
  <si>
    <t>ST MARY'S</t>
  </si>
  <si>
    <t>ST JOHN</t>
  </si>
  <si>
    <t>W Marion QC</t>
  </si>
  <si>
    <t>PROVICENCE</t>
  </si>
  <si>
    <t>MONTH</t>
  </si>
  <si>
    <t>CASE VOLUME - BUDGET VARIANCE</t>
  </si>
  <si>
    <t>CHANDLER REGIONAL</t>
  </si>
  <si>
    <t>Osceola (PEDS)</t>
  </si>
  <si>
    <t>Target</t>
  </si>
  <si>
    <t>St. John  (&lt; 20k)</t>
  </si>
  <si>
    <r>
      <t xml:space="preserve">St. John </t>
    </r>
    <r>
      <rPr>
        <b/>
        <sz val="10"/>
        <color theme="0"/>
        <rFont val="Arial Black"/>
        <family val="2"/>
      </rPr>
      <t>(&lt;20k Visits)</t>
    </r>
  </si>
  <si>
    <t>Q1</t>
  </si>
  <si>
    <t>Q2</t>
  </si>
  <si>
    <t>2016 YTD</t>
  </si>
  <si>
    <t>Travelers
(Exclude Averbach &amp; Breedlove)</t>
  </si>
  <si>
    <t>Emergency Medicine - 2016 Clinical Performance Data</t>
  </si>
  <si>
    <t>JFK MAIN</t>
  </si>
  <si>
    <t>JFK - MAIN</t>
  </si>
  <si>
    <t>St. John (&lt;20k Visits)</t>
  </si>
  <si>
    <t xml:space="preserve">JFK - MAIN </t>
  </si>
  <si>
    <t>St. John(&lt;20k Visits)</t>
  </si>
  <si>
    <t xml:space="preserve">St. Mary's </t>
  </si>
  <si>
    <t>Hours - APP / MLP</t>
  </si>
  <si>
    <t>Kendall (PEDS)</t>
  </si>
  <si>
    <t>Budget Case Volume</t>
  </si>
  <si>
    <t>DPD Case Volume</t>
  </si>
  <si>
    <t>Budget Vs. DPD Volume Variance</t>
  </si>
  <si>
    <t>KENDALL PEDS</t>
  </si>
  <si>
    <t>2016 - Budgeted Case Volume</t>
  </si>
  <si>
    <t xml:space="preserve">Baptist </t>
  </si>
  <si>
    <t xml:space="preserve">Moberly </t>
  </si>
  <si>
    <t xml:space="preserve">Monroe </t>
  </si>
  <si>
    <t xml:space="preserve">Ocala </t>
  </si>
  <si>
    <t xml:space="preserve">San Ramon </t>
  </si>
  <si>
    <t xml:space="preserve">Westchester </t>
  </si>
  <si>
    <t xml:space="preserve">Providence </t>
  </si>
  <si>
    <t xml:space="preserve">Chandler </t>
  </si>
  <si>
    <t xml:space="preserve">Mercy Gilbert </t>
  </si>
  <si>
    <t>Departed Patients %</t>
  </si>
  <si>
    <r>
      <t>Patient Satisfaction</t>
    </r>
    <r>
      <rPr>
        <b/>
        <sz val="11"/>
        <color rgb="FFFF0000"/>
        <rFont val="Calibri"/>
        <family val="2"/>
        <scheme val="minor"/>
      </rPr>
      <t xml:space="preserve"> (Top Box)</t>
    </r>
  </si>
  <si>
    <t xml:space="preserve">Total Patients </t>
  </si>
  <si>
    <t>Osceola PEDS</t>
  </si>
  <si>
    <t xml:space="preserve">% Admitted Patients </t>
  </si>
  <si>
    <t xml:space="preserve">Admitted Patients - ALOS </t>
  </si>
  <si>
    <r>
      <t>Patient Satisfaction</t>
    </r>
    <r>
      <rPr>
        <b/>
        <sz val="11"/>
        <color rgb="FFFF0000"/>
        <rFont val="Calibri"/>
        <family val="2"/>
        <scheme val="minor"/>
      </rPr>
      <t xml:space="preserve"> </t>
    </r>
  </si>
  <si>
    <t>PHY</t>
  </si>
  <si>
    <t>APP</t>
  </si>
  <si>
    <r>
      <t xml:space="preserve">Mortalities                               </t>
    </r>
    <r>
      <rPr>
        <b/>
        <sz val="8"/>
        <color theme="1"/>
        <rFont val="Arial Black"/>
        <family val="2"/>
      </rPr>
      <t xml:space="preserve">                     Non DOA Deaths_DID Deaths In Dept.</t>
    </r>
  </si>
  <si>
    <t xml:space="preserve">Admitted Patients - ALOS Min. </t>
  </si>
  <si>
    <t>Admitted Patients - ALOS Min.</t>
  </si>
  <si>
    <t xml:space="preserve">Admitted Patients % </t>
  </si>
  <si>
    <t>Departed / Discharged Patients</t>
  </si>
  <si>
    <r>
      <t>Patient Satisfaction</t>
    </r>
    <r>
      <rPr>
        <b/>
        <sz val="11"/>
        <color rgb="FFFF0000"/>
        <rFont val="Calibri"/>
        <family val="2"/>
        <scheme val="minor"/>
      </rPr>
      <t xml:space="preserve"> (Smart)</t>
    </r>
  </si>
  <si>
    <t>COLUMN DESCRIPTION</t>
  </si>
  <si>
    <t>Case Volume - APP / MLP</t>
  </si>
  <si>
    <t xml:space="preserve">JFK PBG </t>
  </si>
  <si>
    <t>Jupiter PEDS</t>
  </si>
  <si>
    <t>Consulting Fees</t>
  </si>
  <si>
    <t>Allied Payroll</t>
  </si>
  <si>
    <t>Physician Payroll</t>
  </si>
  <si>
    <t>Locumtenes Physician</t>
  </si>
  <si>
    <t>Independend Contractor - Physician</t>
  </si>
  <si>
    <t xml:space="preserve">Budget </t>
  </si>
  <si>
    <t>TRAVEL EXPENSE</t>
  </si>
  <si>
    <t>Premium Hours - APP / MLP / AHP</t>
  </si>
  <si>
    <t>Premium Costs - APP / MLP / AHP</t>
  </si>
  <si>
    <t>Procedures w/o Reason Codes</t>
  </si>
  <si>
    <t>San Ramon                                                                  No MLP's</t>
  </si>
  <si>
    <t>San Ramon                                                                 No MLP's</t>
  </si>
  <si>
    <t>Transition Team (Travelers)
(Exclude Averbach &amp; Breedlove)</t>
  </si>
  <si>
    <t>ED PHYSICIANS HOURS</t>
  </si>
  <si>
    <t>APP / MLP HOURS</t>
  </si>
  <si>
    <t>M GILBERT</t>
  </si>
  <si>
    <t>DEC</t>
  </si>
  <si>
    <t>NOV</t>
  </si>
  <si>
    <t>OCT</t>
  </si>
  <si>
    <t>SEPT</t>
  </si>
  <si>
    <t>AUG</t>
  </si>
  <si>
    <t>JUL</t>
  </si>
  <si>
    <t>JAN</t>
  </si>
  <si>
    <t>FEB</t>
  </si>
  <si>
    <t>MAR</t>
  </si>
  <si>
    <t>APR</t>
  </si>
  <si>
    <t>JUN</t>
  </si>
  <si>
    <t>MAY</t>
  </si>
  <si>
    <t>Osceola (PEDS)                                                    (&lt;20K Visits)</t>
  </si>
  <si>
    <t>St. John                                                                    (&lt;20k Visits)</t>
  </si>
  <si>
    <t>Westchester                                                         (&lt;20k Visits)</t>
  </si>
  <si>
    <t>San Ramon                                                             (&lt;20k Visits)</t>
  </si>
  <si>
    <t>Moberly                                                                  (&lt;20k Visits)</t>
  </si>
  <si>
    <t>JFK PBG                                                                   (&lt;20k Visits)</t>
  </si>
  <si>
    <t>Jupiter Peds                                                          (&lt;20k Visits)</t>
  </si>
  <si>
    <t>Monroe                                                                   (&lt;20k Visits)</t>
  </si>
  <si>
    <t>JFK BB                                                                      (&lt;20k Visits)</t>
  </si>
  <si>
    <t xml:space="preserve">Kendall Peds                                                       </t>
  </si>
  <si>
    <t>TOTAL</t>
  </si>
  <si>
    <t>As of January</t>
  </si>
  <si>
    <t xml:space="preserve">Abstracted and validated for RVU sites only </t>
  </si>
  <si>
    <t>NA</t>
  </si>
  <si>
    <t>ST. JOHN  HealthStream</t>
  </si>
  <si>
    <t>PROVIDENCE HealthStream</t>
  </si>
  <si>
    <t>ECG Chest Pain (Perf. Score)</t>
  </si>
  <si>
    <t>BP Screening (Perf. Score)</t>
  </si>
  <si>
    <t xml:space="preserve">PPH </t>
  </si>
  <si>
    <t>Jupiter (PEDS)                                                       (&lt;20k Visits)</t>
  </si>
  <si>
    <t>Kendall                      (Daily Avg Including Weekend Hrs)</t>
  </si>
  <si>
    <t>Kendall (PEDS)       (Daily Avg Including Weekend Hrs)</t>
  </si>
  <si>
    <t>JFK BB                                                                       (&lt;20k Visits)</t>
  </si>
  <si>
    <t>Osceola (PEDS)                                                     (&lt;20k Visits)</t>
  </si>
  <si>
    <t>JFK PBG                                                                    (&lt;20k Visits)</t>
  </si>
  <si>
    <t>Westchester                                                          (&lt;20k Visits)</t>
  </si>
  <si>
    <t>Jupiter (PEDS) - Loc 8                                         (&lt;20k Visits)</t>
  </si>
  <si>
    <t>Jupiter - Loc 24</t>
  </si>
  <si>
    <t>W. Marion - Loc 16</t>
  </si>
  <si>
    <t>W. Marion QC - Loc 27</t>
  </si>
  <si>
    <t>Baptist                                                             No App's/MLP's</t>
  </si>
  <si>
    <t>St. John (&lt;20k Visits)                                 No APP's/MLP's</t>
  </si>
  <si>
    <t xml:space="preserve">St. John </t>
  </si>
  <si>
    <t xml:space="preserve">Kendall PEDS </t>
  </si>
  <si>
    <t xml:space="preserve">Kendall </t>
  </si>
  <si>
    <t xml:space="preserve">JFK BB </t>
  </si>
  <si>
    <t>Kendall PEDS</t>
  </si>
  <si>
    <t>Osceola (PEDS)                          No MLP's from March on</t>
  </si>
  <si>
    <t>Osceola (PEDS)                          No MLP's from March On</t>
  </si>
  <si>
    <t>*Overall Pts. per Adjusted Hr based on potential billing (DPD)</t>
  </si>
  <si>
    <t>EDP PPH 
(&lt; 20k volume)</t>
  </si>
  <si>
    <t>EDP PPH (&gt;20k volume)</t>
  </si>
  <si>
    <t>Overall Pt per Adjusted Hr w/o QC
(&gt; 20k volume)</t>
  </si>
  <si>
    <t xml:space="preserve"> EDP PPH QC</t>
  </si>
  <si>
    <t>Departed / Discharged Patients %</t>
  </si>
  <si>
    <t>% Admitted Patients</t>
  </si>
  <si>
    <t>% Admitted Patients %</t>
  </si>
  <si>
    <t>Admitted Patients  Qty.</t>
  </si>
  <si>
    <t>Departed Patients Qty.</t>
  </si>
  <si>
    <t>Total Patient Volume</t>
  </si>
  <si>
    <t>QC PCP Budget</t>
  </si>
  <si>
    <t>QC PCP Actual</t>
  </si>
  <si>
    <t>Kendall PEDS - Loc 5</t>
  </si>
  <si>
    <t>Kendall - Loc 1</t>
  </si>
  <si>
    <t>Target ≤ 1%</t>
  </si>
  <si>
    <t>Jupiter Peds (&lt; 20k Visits)                                No MLP's</t>
  </si>
  <si>
    <t>Westchester (&lt; 20k Visits)                                No MLP's</t>
  </si>
  <si>
    <t xml:space="preserve">Osceola (PEDS)                       From March On No MLP's               </t>
  </si>
  <si>
    <t>Enter in reverse from data source. Ad the total (AMI ASA n/a column) to the total (ASA Rcvd column).</t>
  </si>
  <si>
    <t>Osceola Peds</t>
  </si>
  <si>
    <t>Baptist (From Smart GEN 207)</t>
  </si>
  <si>
    <t>Baptist (From Smart GEN 520)</t>
  </si>
  <si>
    <t>ED Arrival to Departure ALOS Min. / Discharged Patients</t>
  </si>
  <si>
    <t>W Marion &amp; QC</t>
  </si>
  <si>
    <r>
      <t xml:space="preserve">Pain Mgmt - Long Bone Fracture                  </t>
    </r>
    <r>
      <rPr>
        <b/>
        <sz val="11"/>
        <color rgb="FFFF0000"/>
        <rFont val="Calibri"/>
        <family val="2"/>
        <scheme val="minor"/>
      </rPr>
      <t xml:space="preserve"> (Avatar Qtr.)</t>
    </r>
  </si>
  <si>
    <t>TARGET   &lt; 2 %</t>
  </si>
  <si>
    <t xml:space="preserve">Baptist                                                                     No MLP's                                      </t>
  </si>
  <si>
    <t>Moberly (&lt; 20k Visits)                                       No MLP's</t>
  </si>
  <si>
    <t>St. John (&lt;20k Visits)                                           No MLP's</t>
  </si>
  <si>
    <t>Osceola (PEDS - Loc 3)</t>
  </si>
  <si>
    <t>Osceola (Loc 2)</t>
  </si>
  <si>
    <t>LPMSE + LPT + Elopements</t>
  </si>
  <si>
    <t>LPMSE + LPT + Elopements (%)</t>
  </si>
  <si>
    <t>0/2</t>
  </si>
  <si>
    <t>EDP - PHY                                              ≥ 20k Visits</t>
  </si>
  <si>
    <t>EDP - PHY                                             &lt; 20k Visits</t>
  </si>
  <si>
    <t>IC + Locums</t>
  </si>
  <si>
    <t>Baptist                                                                     (&gt;20k Visits)</t>
  </si>
  <si>
    <r>
      <t xml:space="preserve">JFK                                                                              </t>
    </r>
    <r>
      <rPr>
        <b/>
        <sz val="11"/>
        <color rgb="FFC00000"/>
        <rFont val="Calibri"/>
        <family val="2"/>
        <scheme val="minor"/>
      </rPr>
      <t>(&gt; 20k Visits)</t>
    </r>
  </si>
  <si>
    <r>
      <t xml:space="preserve">Jupiter                                                                      </t>
    </r>
    <r>
      <rPr>
        <b/>
        <sz val="11"/>
        <color rgb="FFC00000"/>
        <rFont val="Calibri"/>
        <family val="2"/>
        <scheme val="minor"/>
      </rPr>
      <t xml:space="preserve"> (&gt; 20k Visits)</t>
    </r>
  </si>
  <si>
    <r>
      <t xml:space="preserve">Ocala                                                                        </t>
    </r>
    <r>
      <rPr>
        <b/>
        <sz val="11"/>
        <color rgb="FFC00000"/>
        <rFont val="Calibri"/>
        <family val="2"/>
        <scheme val="minor"/>
      </rPr>
      <t xml:space="preserve">  (&gt; 20k Visits)</t>
    </r>
  </si>
  <si>
    <r>
      <t xml:space="preserve">St. Mary's                                                               </t>
    </r>
    <r>
      <rPr>
        <b/>
        <sz val="11"/>
        <color rgb="FFC00000"/>
        <rFont val="Calibri"/>
        <family val="2"/>
        <scheme val="minor"/>
      </rPr>
      <t xml:space="preserve">  (&gt; 20k Visits)</t>
    </r>
  </si>
  <si>
    <r>
      <t xml:space="preserve">W. Marion                                                               </t>
    </r>
    <r>
      <rPr>
        <b/>
        <sz val="11"/>
        <color rgb="FFC00000"/>
        <rFont val="Calibri"/>
        <family val="2"/>
        <scheme val="minor"/>
      </rPr>
      <t xml:space="preserve"> (&gt; 20k Visits)</t>
    </r>
  </si>
  <si>
    <r>
      <t xml:space="preserve">W. Marion QC                                                       </t>
    </r>
    <r>
      <rPr>
        <b/>
        <sz val="11"/>
        <color rgb="FFC00000"/>
        <rFont val="Calibri"/>
        <family val="2"/>
        <scheme val="minor"/>
      </rPr>
      <t xml:space="preserve"> (&gt; 20k Visits)</t>
    </r>
  </si>
  <si>
    <r>
      <t xml:space="preserve">Providence                                                             </t>
    </r>
    <r>
      <rPr>
        <b/>
        <sz val="11"/>
        <color rgb="FFC00000"/>
        <rFont val="Calibri"/>
        <family val="2"/>
        <scheme val="minor"/>
      </rPr>
      <t xml:space="preserve"> (&gt; 20k Visits)</t>
    </r>
  </si>
  <si>
    <r>
      <t xml:space="preserve">Hunters Creek                                                        </t>
    </r>
    <r>
      <rPr>
        <b/>
        <sz val="11"/>
        <color rgb="FFC00000"/>
        <rFont val="Calibri"/>
        <family val="2"/>
        <scheme val="minor"/>
      </rPr>
      <t>(&gt; 20k Visits)</t>
    </r>
  </si>
  <si>
    <r>
      <t xml:space="preserve">Chandler Regional                                              </t>
    </r>
    <r>
      <rPr>
        <b/>
        <sz val="11"/>
        <color rgb="FFC00000"/>
        <rFont val="Calibri"/>
        <family val="2"/>
        <scheme val="minor"/>
      </rPr>
      <t xml:space="preserve">  (&gt; 20k Visits)</t>
    </r>
  </si>
  <si>
    <r>
      <t xml:space="preserve">Mercy Gilbert                                                        </t>
    </r>
    <r>
      <rPr>
        <b/>
        <sz val="11"/>
        <color rgb="FFC00000"/>
        <rFont val="Calibri"/>
        <family val="2"/>
        <scheme val="minor"/>
      </rPr>
      <t xml:space="preserve"> (&gt; 20k Visits)</t>
    </r>
  </si>
  <si>
    <r>
      <t xml:space="preserve">JFK BB                                                                       </t>
    </r>
    <r>
      <rPr>
        <b/>
        <sz val="11"/>
        <color theme="3" tint="0.39997558519241921"/>
        <rFont val="Calibri"/>
        <family val="2"/>
        <scheme val="minor"/>
      </rPr>
      <t xml:space="preserve"> (&lt; 20k Visits)</t>
    </r>
  </si>
  <si>
    <r>
      <t xml:space="preserve">Kendall + PEDS                                                      </t>
    </r>
    <r>
      <rPr>
        <b/>
        <sz val="11"/>
        <color rgb="FFC00000"/>
        <rFont val="Calibri"/>
        <family val="2"/>
        <scheme val="minor"/>
      </rPr>
      <t xml:space="preserve"> (&gt; 20k Visits)</t>
    </r>
  </si>
  <si>
    <r>
      <t xml:space="preserve">Osceola                                                                    </t>
    </r>
    <r>
      <rPr>
        <b/>
        <sz val="11"/>
        <color rgb="FFC00000"/>
        <rFont val="Calibri"/>
        <family val="2"/>
        <scheme val="minor"/>
      </rPr>
      <t xml:space="preserve"> (&gt; 20k Visits)</t>
    </r>
  </si>
  <si>
    <r>
      <t xml:space="preserve">Osceola (PEDS)                                                      </t>
    </r>
    <r>
      <rPr>
        <b/>
        <sz val="11"/>
        <color theme="3" tint="0.39997558519241921"/>
        <rFont val="Calibri"/>
        <family val="2"/>
        <scheme val="minor"/>
      </rPr>
      <t xml:space="preserve"> (&lt;20k Visits)</t>
    </r>
  </si>
  <si>
    <r>
      <t xml:space="preserve">Westchester                                                          </t>
    </r>
    <r>
      <rPr>
        <b/>
        <sz val="11"/>
        <color theme="3" tint="0.39997558519241921"/>
        <rFont val="Calibri"/>
        <family val="2"/>
        <scheme val="minor"/>
      </rPr>
      <t xml:space="preserve"> (&lt; 20k Visits)</t>
    </r>
  </si>
  <si>
    <r>
      <t xml:space="preserve">San Ramon                                                               </t>
    </r>
    <r>
      <rPr>
        <b/>
        <sz val="11"/>
        <color theme="3" tint="0.39997558519241921"/>
        <rFont val="Calibri"/>
        <family val="2"/>
        <scheme val="minor"/>
      </rPr>
      <t>(&lt;20k Visits)</t>
    </r>
  </si>
  <si>
    <r>
      <t xml:space="preserve">Moberly                                                                  </t>
    </r>
    <r>
      <rPr>
        <b/>
        <sz val="11"/>
        <color theme="3" tint="0.39997558519241921"/>
        <rFont val="Calibri"/>
        <family val="2"/>
        <scheme val="minor"/>
      </rPr>
      <t xml:space="preserve"> (&lt; 20k Visits)</t>
    </r>
  </si>
  <si>
    <r>
      <t xml:space="preserve">Monroe                                                                   </t>
    </r>
    <r>
      <rPr>
        <b/>
        <sz val="11"/>
        <color theme="3" tint="0.39997558519241921"/>
        <rFont val="Calibri"/>
        <family val="2"/>
        <scheme val="minor"/>
      </rPr>
      <t xml:space="preserve">  (&lt;20k Visits)</t>
    </r>
  </si>
  <si>
    <r>
      <t xml:space="preserve">JFK PBG                                                                    </t>
    </r>
    <r>
      <rPr>
        <b/>
        <sz val="11"/>
        <color theme="3" tint="0.39997558519241921"/>
        <rFont val="Calibri"/>
        <family val="2"/>
        <scheme val="minor"/>
      </rPr>
      <t xml:space="preserve"> (&lt; 20k Visits)</t>
    </r>
  </si>
  <si>
    <r>
      <t xml:space="preserve">St. John                                                                     </t>
    </r>
    <r>
      <rPr>
        <b/>
        <sz val="11"/>
        <color theme="3" tint="0.39997558519241921"/>
        <rFont val="Calibri"/>
        <family val="2"/>
        <scheme val="minor"/>
      </rPr>
      <t xml:space="preserve"> (&lt;20k Visits)</t>
    </r>
  </si>
  <si>
    <t>JFK BB                                                                           (&lt;20k Visits)</t>
  </si>
  <si>
    <t>Westchester                                                              (&lt;20k Visits)</t>
  </si>
  <si>
    <t xml:space="preserve">  </t>
  </si>
  <si>
    <t xml:space="preserve">                                                         </t>
  </si>
  <si>
    <t>Westchester (From Smart GEN 520)          (&lt;20k Visits)</t>
  </si>
  <si>
    <t>St. John                                                                   (&lt;20k Visits)</t>
  </si>
  <si>
    <t>Cases requiring legal intervention</t>
  </si>
  <si>
    <t>Cases referred to RM for review</t>
  </si>
  <si>
    <t>Patients expiring in the ED</t>
  </si>
  <si>
    <t xml:space="preserve">Patients admitted 2nd visit  in &lt; 72hrs </t>
  </si>
  <si>
    <t>Patients seen by EDP and MLP per hour</t>
  </si>
  <si>
    <t xml:space="preserve">Patients left before being seen </t>
  </si>
  <si>
    <t>Patients survey of care provided</t>
  </si>
  <si>
    <t>Complaint about professionalism</t>
  </si>
  <si>
    <t xml:space="preserve">                               Volume Sample Size</t>
  </si>
  <si>
    <t>EXECUTIVE SUMMARY</t>
  </si>
  <si>
    <t>QUALITY COMPOSITE</t>
  </si>
  <si>
    <r>
      <rPr>
        <b/>
        <sz val="12"/>
        <color theme="1"/>
        <rFont val="Calibri"/>
        <family val="2"/>
        <scheme val="minor"/>
      </rPr>
      <t>Patients per Hour:</t>
    </r>
    <r>
      <rPr>
        <sz val="12"/>
        <color theme="1"/>
        <rFont val="Calibri"/>
        <family val="2"/>
        <scheme val="minor"/>
      </rPr>
      <t xml:space="preserve"> EDP, PCP, MLP</t>
    </r>
  </si>
  <si>
    <r>
      <t>Total and % LBBS</t>
    </r>
    <r>
      <rPr>
        <i/>
        <sz val="12"/>
        <color theme="1"/>
        <rFont val="Calibri"/>
        <family val="2"/>
        <scheme val="minor"/>
      </rPr>
      <t xml:space="preserve"> (Includes LBT)</t>
    </r>
  </si>
  <si>
    <r>
      <rPr>
        <b/>
        <sz val="12"/>
        <color theme="1"/>
        <rFont val="Calibri"/>
        <family val="2"/>
        <scheme val="minor"/>
      </rPr>
      <t xml:space="preserve">Acute MI: </t>
    </r>
    <r>
      <rPr>
        <sz val="12"/>
        <color theme="1"/>
        <rFont val="Calibri"/>
        <family val="2"/>
        <scheme val="minor"/>
      </rPr>
      <t>Aspirin Given Upon Arrival</t>
    </r>
  </si>
  <si>
    <r>
      <rPr>
        <b/>
        <sz val="12"/>
        <color theme="1"/>
        <rFont val="Calibri"/>
        <family val="2"/>
        <scheme val="minor"/>
      </rPr>
      <t xml:space="preserve"> PNA:</t>
    </r>
    <r>
      <rPr>
        <sz val="12"/>
        <color theme="1"/>
        <rFont val="Calibri"/>
        <family val="2"/>
        <scheme val="minor"/>
      </rPr>
      <t xml:space="preserve"> Vital Signs Documented</t>
    </r>
  </si>
  <si>
    <r>
      <rPr>
        <b/>
        <sz val="12"/>
        <color theme="1"/>
        <rFont val="Calibri"/>
        <family val="2"/>
        <scheme val="minor"/>
      </rPr>
      <t>Syncope:</t>
    </r>
    <r>
      <rPr>
        <sz val="12"/>
        <color theme="1"/>
        <rFont val="Calibri"/>
        <family val="2"/>
        <scheme val="minor"/>
      </rPr>
      <t xml:space="preserve"> 12 Lead EKG Performed</t>
    </r>
  </si>
  <si>
    <r>
      <rPr>
        <b/>
        <sz val="12"/>
        <color theme="1"/>
        <rFont val="Calibri"/>
        <family val="2"/>
        <scheme val="minor"/>
      </rPr>
      <t>Acute MI:</t>
    </r>
    <r>
      <rPr>
        <sz val="12"/>
        <color theme="1"/>
        <rFont val="Calibri"/>
        <family val="2"/>
        <scheme val="minor"/>
      </rPr>
      <t xml:space="preserve"> PCI w/in 90 mins of Arrival</t>
    </r>
  </si>
  <si>
    <r>
      <rPr>
        <b/>
        <sz val="12"/>
        <color theme="1"/>
        <rFont val="Calibri"/>
        <family val="2"/>
        <scheme val="minor"/>
      </rPr>
      <t>Stroke:</t>
    </r>
    <r>
      <rPr>
        <sz val="12"/>
        <color theme="1"/>
        <rFont val="Calibri"/>
        <family val="2"/>
        <scheme val="minor"/>
      </rPr>
      <t xml:space="preserve"> Interpretation of Head CT </t>
    </r>
  </si>
  <si>
    <r>
      <rPr>
        <b/>
        <sz val="12"/>
        <color theme="1"/>
        <rFont val="Calibri"/>
        <family val="2"/>
        <scheme val="minor"/>
      </rPr>
      <t>Pain Mgmt:</t>
    </r>
    <r>
      <rPr>
        <sz val="12"/>
        <color theme="1"/>
        <rFont val="Calibri"/>
        <family val="2"/>
        <scheme val="minor"/>
      </rPr>
      <t xml:space="preserve"> Long Bone Fracture</t>
    </r>
  </si>
  <si>
    <t>Cases</t>
  </si>
  <si>
    <t>Responses</t>
  </si>
  <si>
    <t xml:space="preserve">Indicator </t>
  </si>
  <si>
    <t>Providers</t>
  </si>
  <si>
    <t>Facilities</t>
  </si>
  <si>
    <t>Reaccreditation</t>
  </si>
  <si>
    <t>Measures changed as of 4/1</t>
  </si>
  <si>
    <t>Initiating "Press Ganey" for a patient satisfaction training at JFK and Kendall.  Training to start 8/5/16  with leadership</t>
  </si>
  <si>
    <t>563 / 592</t>
  </si>
  <si>
    <t>1691 / 1695</t>
  </si>
  <si>
    <t>1113 / 1113</t>
  </si>
  <si>
    <t>3367 / 3400</t>
  </si>
  <si>
    <r>
      <t>Patient Satisfaction</t>
    </r>
    <r>
      <rPr>
        <b/>
        <sz val="11"/>
        <color rgb="FFFF0000"/>
        <rFont val="Calibri"/>
        <family val="2"/>
        <scheme val="minor"/>
      </rPr>
      <t xml:space="preserve"> (Physician Care / Communication w/ Doctors)</t>
    </r>
  </si>
  <si>
    <r>
      <t>Patient Satisfaction</t>
    </r>
    <r>
      <rPr>
        <b/>
        <sz val="11"/>
        <color rgb="FFFF0000"/>
        <rFont val="Calibri"/>
        <family val="2"/>
        <scheme val="minor"/>
      </rPr>
      <t xml:space="preserve">     (Included within the main site results)</t>
    </r>
  </si>
  <si>
    <r>
      <t xml:space="preserve">Providence                                                 </t>
    </r>
    <r>
      <rPr>
        <b/>
        <sz val="11"/>
        <color rgb="FFC00000"/>
        <rFont val="Calibri"/>
        <family val="2"/>
        <scheme val="minor"/>
      </rPr>
      <t xml:space="preserve"> No Scribes</t>
    </r>
  </si>
  <si>
    <r>
      <t xml:space="preserve">St. John (&lt;20k Visits)                               </t>
    </r>
    <r>
      <rPr>
        <b/>
        <sz val="11"/>
        <color rgb="FFC00000"/>
        <rFont val="Calibri"/>
        <family val="2"/>
        <scheme val="minor"/>
      </rPr>
      <t>No Scribes</t>
    </r>
  </si>
  <si>
    <t>Premium Hours EDP / Physicians</t>
  </si>
  <si>
    <t xml:space="preserve">         Total Hours - EDP / Physicians              (incl. IC &amp; Locums)</t>
  </si>
  <si>
    <t>ECG Chest Pain              (Perf. Score)</t>
  </si>
  <si>
    <t>Blood Presssure Screening (Perf. Score)</t>
  </si>
  <si>
    <t>ECG - Chest Pain Cases (Num)</t>
  </si>
  <si>
    <t>ECG - Chest Pain Cases (Denom)</t>
  </si>
  <si>
    <t>Blood Presssure Screening          (Perf. Score)</t>
  </si>
  <si>
    <t>Blood Pressure Screening</t>
  </si>
  <si>
    <t>WEST MARION</t>
  </si>
  <si>
    <t>Blood Presssure Screening          (Num. Perf. Score)</t>
  </si>
  <si>
    <t>Blood Presssure Screening (Den. Perf. Score)</t>
  </si>
  <si>
    <t>AMI, PNA, SYNC Composite</t>
  </si>
  <si>
    <t>ECG &amp; BPS Composite</t>
  </si>
  <si>
    <t>Innacurate data, do not collect data as per Marla</t>
  </si>
  <si>
    <t>St. John                                                                        (&lt;20k Visits)</t>
  </si>
  <si>
    <t>St. John                    (&lt;20k Visits)                            No MLP's</t>
  </si>
  <si>
    <t>Westchester                                                             (&lt;20k Visits)</t>
  </si>
  <si>
    <t>Monroe                                                                       (&lt;20k Visits)</t>
  </si>
  <si>
    <t>Moberly                                                                      (&lt;20k Visits)</t>
  </si>
  <si>
    <t>JFK PBG                                                                        (&lt;20k Visits)</t>
  </si>
  <si>
    <t>San Ramon                                                        (Quarterly Data)</t>
  </si>
  <si>
    <t>JFK - MAIN                                                                                  HCA</t>
  </si>
  <si>
    <t>JFK BB                                                                                           HCA</t>
  </si>
  <si>
    <t>JFK PBG                                                                                        HCA</t>
  </si>
  <si>
    <t>Kendall                                                                                        HCA</t>
  </si>
  <si>
    <t>Kendall PEDS                                                                             HCA</t>
  </si>
  <si>
    <t>Osceola                                                                                       HCA</t>
  </si>
  <si>
    <t>Hunters Creek                                                                          HCA</t>
  </si>
  <si>
    <t>W. Marion  - Loc 16</t>
  </si>
  <si>
    <t>JFK PBG                                                                       (&lt;20k Visits)</t>
  </si>
  <si>
    <t>Overall Patients / Adjusted Hour</t>
  </si>
  <si>
    <t>% 72hr Ret. Admissions on 2nd Visit</t>
  </si>
  <si>
    <t>JFK Top Box  Press Ganey</t>
  </si>
  <si>
    <t>BAPTIST Top Box Press Ganey</t>
  </si>
  <si>
    <t>JFK BB Top Box Press Ganey</t>
  </si>
  <si>
    <t>JUPITER Top Box HealthStream</t>
  </si>
  <si>
    <t>JFK PBG Top Box Press Ganey</t>
  </si>
  <si>
    <t>KENDALL Top Box Press Ganey</t>
  </si>
  <si>
    <t>MOBERLY HealthStream</t>
  </si>
  <si>
    <t>OCALA Top Box Press Ganey</t>
  </si>
  <si>
    <t>SAN RAMON Smart Reporting Tool</t>
  </si>
  <si>
    <t>W MARION &amp; QC Top Box Press Ganey</t>
  </si>
  <si>
    <t>OSCEOLA Top Box Press Ganey</t>
  </si>
  <si>
    <t>HUNTERS CREEK Top Box Press Ganey</t>
  </si>
  <si>
    <t>CHANDLER Top Box Avatar</t>
  </si>
  <si>
    <t>MERCY GILBERT Avatar</t>
  </si>
  <si>
    <t>1/4</t>
  </si>
  <si>
    <t>EM Division - Clinical Performance Summary Variance Report
Actions &amp; Recommendations</t>
  </si>
  <si>
    <t>EM Division - Clinical Performance Summary</t>
  </si>
  <si>
    <t>High Blood Pressure Screening                      (Apr-&gt;)</t>
  </si>
  <si>
    <t>ECG Non Trauma Chest Pain                         (Apr-&gt;)</t>
  </si>
  <si>
    <t xml:space="preserve">(Rhogam) for RH(-) Pregnant w/ Expo. Risk (Apr-&gt;) </t>
  </si>
  <si>
    <t>no data</t>
  </si>
  <si>
    <r>
      <t>Patient Satisfaction</t>
    </r>
    <r>
      <rPr>
        <b/>
        <sz val="11"/>
        <color rgb="FFFF0000"/>
        <rFont val="Calibri"/>
        <family val="2"/>
        <scheme val="minor"/>
      </rPr>
      <t xml:space="preserve"> - </t>
    </r>
    <r>
      <rPr>
        <sz val="11"/>
        <rFont val="Calibri"/>
        <family val="2"/>
        <scheme val="minor"/>
      </rPr>
      <t>Physician Care</t>
    </r>
    <r>
      <rPr>
        <b/>
        <sz val="11"/>
        <color rgb="FFFF0000"/>
        <rFont val="Calibri"/>
        <family val="2"/>
        <scheme val="minor"/>
      </rPr>
      <t xml:space="preserve">           (HealthStream)</t>
    </r>
  </si>
  <si>
    <t>MONROE HealthStream</t>
  </si>
  <si>
    <r>
      <t xml:space="preserve">Osceola (PED) - </t>
    </r>
    <r>
      <rPr>
        <sz val="11"/>
        <color rgb="FFFF0000"/>
        <rFont val="Calibri"/>
        <family val="2"/>
        <scheme val="minor"/>
      </rPr>
      <t>72 Hr Ret Included within Osceola Main</t>
    </r>
  </si>
  <si>
    <t>ECG Chest Pain Cases</t>
  </si>
  <si>
    <t>Kendall - HCA East</t>
  </si>
  <si>
    <t>JFK Main - HCA East</t>
  </si>
  <si>
    <t>JFK BB - HCA East</t>
  </si>
  <si>
    <t>*Mortalities (With Cat III Opportunities for Improvement)</t>
  </si>
  <si>
    <t>3443 / 167,318</t>
  </si>
  <si>
    <t>Excludes Chandler, Mercy Gilbert, Jupiter, San Ramon,</t>
  </si>
  <si>
    <t>Ultrasound for Pregnantcy w/ Abdo Pain            (Apr-&gt;)</t>
  </si>
  <si>
    <t>For Pregnancy w/ Abdominal Pain</t>
  </si>
  <si>
    <t>*Myocardial Infarction (AMI) - Only Up to March 2016</t>
  </si>
  <si>
    <t>*Pneumonia (PNA) - Only Up to March 2016</t>
  </si>
  <si>
    <t>*Syncope - Only Up to March 2016</t>
  </si>
  <si>
    <t>*PQRS Composite - Only Up to March 2016</t>
  </si>
  <si>
    <t>9 of 16 sites reporting as of 7/1/2016 (Westchester 3/8/2016) *Currently reviewing metric definition to better reflect the delivery of quality.</t>
  </si>
  <si>
    <t>For Rh-Negative Pregnant Women at Risk of Fetal Blood Exposure</t>
  </si>
  <si>
    <t>ECG Performed for Non Trauma Chest Pain</t>
  </si>
  <si>
    <t>Screening for High Blood Pressure and Follow-Up Documented</t>
  </si>
  <si>
    <t>14 of 23 sites reporting as of 7/1/2016 (Reporting sites listed in hidden comment)</t>
  </si>
  <si>
    <t>Facilities w/ ≥ 20k; MLP = 75% EDP Hour</t>
  </si>
  <si>
    <t>Excludes Chandler, Mercy Gilbert, Moberly (Feb.-March) &amp; St. John</t>
  </si>
  <si>
    <t>Admitted Patients - ALOS Min. (ADM LOS)</t>
  </si>
  <si>
    <t>ED Arrival to Departure ALOS Min. / Discharged Patients (DC LOS)</t>
  </si>
  <si>
    <t>LPMSE + LPT (LEFT LOW + Elope)</t>
  </si>
  <si>
    <t>Door / Arrival to Provider Greet (Min Wait) (Arrive to Provider)</t>
  </si>
  <si>
    <t>Kendall (PEDS) - Loc 5</t>
  </si>
  <si>
    <t>Osceola - Loc 2</t>
  </si>
  <si>
    <t>Osceola (PEDS) - Loc 3                                       (&lt;20k Visits)</t>
  </si>
  <si>
    <t>Osceola (PEDS) - Loc 3</t>
  </si>
  <si>
    <t>Blood Presssure Screening (Den Perf. Score)</t>
  </si>
  <si>
    <t>Blood Presssure Screening          (Num Perf. Score)</t>
  </si>
  <si>
    <t>Osceola PEDS - Loc 3                                       (&lt;20k Visits)</t>
  </si>
  <si>
    <t>W. Marion                                                                                  HCA</t>
  </si>
  <si>
    <t>Ocala                                                                                             HCA</t>
  </si>
  <si>
    <t>Kendall Peds (incl w/Kendall Main)</t>
  </si>
  <si>
    <t>Osceola PEDS (&lt; 20k)</t>
  </si>
  <si>
    <t>Blood Presssure Screening (Num Perf. Score)</t>
  </si>
  <si>
    <t>4/4</t>
  </si>
  <si>
    <t>1/2</t>
  </si>
  <si>
    <t>2/3</t>
  </si>
  <si>
    <t>3/3</t>
  </si>
  <si>
    <t>1Q 2016</t>
  </si>
  <si>
    <t>2Q 2016</t>
  </si>
  <si>
    <t>*PQRS Composite - As of April 2016</t>
  </si>
  <si>
    <t>ECG (Electrocardiogram) - As of April 2016</t>
  </si>
  <si>
    <t>(Rhogam) for RH(-) Pregnant w/ Expo. Risk - As of April 2016</t>
  </si>
  <si>
    <t>ECG &amp; BP Screening</t>
  </si>
  <si>
    <t xml:space="preserve">Tony Andrulonis, M. D., Chairman, EM Quality Committee            Prepared by:  Abby Adeife, Clinical Quality Specialist                 Reviewed by EM QC </t>
  </si>
  <si>
    <t>Ultrasound for Pregnancy w/ Abdo Pain - As of April 2016</t>
  </si>
  <si>
    <t>High Blood Pressure Screening - As of April 2016</t>
  </si>
  <si>
    <t>Jan-16</t>
  </si>
  <si>
    <t>Division</t>
  </si>
  <si>
    <t>3742 / 3752</t>
  </si>
  <si>
    <t>*Billed Case Volumes as of 10/31/16</t>
  </si>
  <si>
    <t>DIVISION 
Completion</t>
  </si>
  <si>
    <t>1/3</t>
  </si>
  <si>
    <t>0 / 189,034</t>
  </si>
  <si>
    <t>0 / 200,884</t>
  </si>
  <si>
    <t>2 / 125,557</t>
  </si>
  <si>
    <t>1799 / 149,023</t>
  </si>
  <si>
    <t>1 / 125,557</t>
  </si>
  <si>
    <t>7 / 125,557</t>
  </si>
  <si>
    <t>1064 / 125,557</t>
  </si>
  <si>
    <t>10 / 22</t>
  </si>
  <si>
    <t>1 / 1</t>
  </si>
  <si>
    <t>15 / 20</t>
  </si>
  <si>
    <t>1 / 201</t>
  </si>
  <si>
    <t>1 / 144</t>
  </si>
  <si>
    <t>499 / 125,557</t>
  </si>
  <si>
    <t>1479 / 121,723</t>
  </si>
  <si>
    <t>1506 / 176,349</t>
  </si>
  <si>
    <t>61,613 / 61,997</t>
  </si>
  <si>
    <t>57,871 / 58,245</t>
  </si>
  <si>
    <t>3Q 2016</t>
  </si>
  <si>
    <t>1905 / 1953</t>
  </si>
  <si>
    <t>48,849 / 49,392</t>
  </si>
  <si>
    <t>50,754 / 51,345</t>
  </si>
  <si>
    <t>0 / 124</t>
  </si>
  <si>
    <t>2 / 143</t>
  </si>
  <si>
    <t>1590 / 182,279</t>
  </si>
  <si>
    <t>2218 / 147,342</t>
  </si>
  <si>
    <t>9 / 22</t>
  </si>
  <si>
    <t>4/6</t>
  </si>
  <si>
    <t>ST. MARY'S HealthStream</t>
  </si>
  <si>
    <t>pending</t>
  </si>
  <si>
    <t>December
2016</t>
  </si>
  <si>
    <t>Oct &amp; Nov 2016</t>
  </si>
  <si>
    <t>2459 / 2477</t>
  </si>
  <si>
    <t>43,053 / 43,399</t>
  </si>
  <si>
    <t>45,512 / 45,817</t>
  </si>
  <si>
    <t>0 / 130</t>
  </si>
  <si>
    <t>922 / 102,409</t>
  </si>
  <si>
    <t>1408 / 112552</t>
  </si>
  <si>
    <t>10/15</t>
  </si>
  <si>
    <t>6/10</t>
  </si>
  <si>
    <t>7/9</t>
  </si>
  <si>
    <t>10/11</t>
  </si>
  <si>
    <t>*Billed Case Volumes as of 2/1/17</t>
  </si>
  <si>
    <t>All Sites</t>
  </si>
  <si>
    <r>
      <t xml:space="preserve">Overall Pts. per Adjusted Hr (≥ 20k Visits)
Formula: Volume / (EDP Hrs +  (0.5*MLP Hrs))
</t>
    </r>
    <r>
      <rPr>
        <i/>
        <u/>
        <sz val="10"/>
        <color theme="3" tint="-0.249977111117893"/>
        <rFont val="Arial Black"/>
        <family val="2"/>
      </rPr>
      <t>Excludes W Marion Quick Care</t>
    </r>
  </si>
  <si>
    <t>*DPD as of 2/3/17</t>
  </si>
  <si>
    <t>%</t>
  </si>
  <si>
    <t>SUMMERFIELD</t>
  </si>
  <si>
    <t>Summerfield</t>
  </si>
  <si>
    <t>Actual Hrs 
JV Sites</t>
  </si>
  <si>
    <t>Budgeted Hrs 
JV Sites</t>
  </si>
  <si>
    <t>Budgeted Hrs 
Organic</t>
  </si>
  <si>
    <t>Budgeted Hrs 
Same Contract</t>
  </si>
  <si>
    <t>Actual Hrs 
Same Contract</t>
  </si>
  <si>
    <t>Actual Hrs 
Organic</t>
  </si>
  <si>
    <t>JV Sites %</t>
  </si>
  <si>
    <t>Organic %</t>
  </si>
  <si>
    <t>Same Contracts %</t>
  </si>
  <si>
    <t>OCALA w/APP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</si>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</sst>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  <numFmt numFmtId="166" formatCode="_(&quot;$&quot;* #,##0_);_(&quot;$&quot;* \(#,##0\);_(&quot;$&quot;* &quot;-&quot;??_);_(@_)"/>
    <numFmt numFmtId="167" formatCode="0.000%"/>
    <numFmt numFmtId="168" formatCode="_(* #,##0_);_(* \(#,##0\);_(* &quot;-&quot;??_);_(@_)"/>
    <numFmt numFmtId="169" formatCode="&quot;$&quot;#,##0.00"/>
    <numFmt numFmtId="170" formatCode="0.0000%"/>
    <numFmt numFmtId="171" formatCode="[$-409]mmm\-yy;@"/>
    <numFmt numFmtId="172" formatCode="[$-409]mmmm\-yy;@"/>
    <numFmt numFmtId="173" formatCode="0.000"/>
    <numFmt numFmtId="174" formatCode="#,##0.0"/>
    <numFmt numFmtId="175" formatCode="&quot;$&quot;#,##0"/>
  </numFmts>
  <fonts count="195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ahoma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Arial Narrow"/>
      <family val="2"/>
    </font>
    <font>
      <sz val="10"/>
      <color theme="1"/>
      <name val="Arial"/>
      <family val="2"/>
    </font>
    <font>
      <sz val="10"/>
      <color theme="1"/>
      <name val="Arial Narrow"/>
      <family val="2"/>
    </font>
    <font>
      <sz val="10"/>
      <color theme="1"/>
      <name val="Calibri"/>
      <family val="2"/>
      <scheme val="minor"/>
    </font>
    <font>
      <sz val="9.75"/>
      <color indexed="0"/>
      <name val="Courier"/>
      <family val="3"/>
      <charset val="255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rgb="FFFF0000"/>
      <name val="Calibri"/>
      <family val="2"/>
      <scheme val="minor"/>
    </font>
    <font>
      <sz val="9.75"/>
      <name val="Arial"/>
      <family val="2"/>
    </font>
    <font>
      <sz val="16"/>
      <color theme="1"/>
      <name val="Calibri"/>
      <family val="2"/>
      <scheme val="minor"/>
    </font>
    <font>
      <b/>
      <sz val="14"/>
      <color theme="0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4"/>
      <color theme="1"/>
      <name val="Calibri"/>
      <family val="2"/>
      <scheme val="minor"/>
    </font>
    <font>
      <b/>
      <sz val="11"/>
      <color theme="0"/>
      <name val="Arial Narrow"/>
      <family val="2"/>
    </font>
    <font>
      <b/>
      <sz val="14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3" tint="-0.249977111117893"/>
      <name val="Arial Narrow"/>
      <family val="2"/>
    </font>
    <font>
      <b/>
      <sz val="11"/>
      <color theme="3" tint="-0.499984740745262"/>
      <name val="Calibri"/>
      <family val="2"/>
      <scheme val="minor"/>
    </font>
    <font>
      <b/>
      <u/>
      <sz val="11"/>
      <color theme="3" tint="-0.249977111117893"/>
      <name val="Arial Narrow"/>
      <family val="2"/>
    </font>
    <font>
      <b/>
      <u/>
      <sz val="11"/>
      <color theme="3" tint="-0.249977111117893"/>
      <name val="Calibri"/>
      <family val="2"/>
      <scheme val="minor"/>
    </font>
    <font>
      <b/>
      <sz val="12"/>
      <color theme="3" tint="-0.249977111117893"/>
      <name val="Arial Narrow"/>
      <family val="2"/>
    </font>
    <font>
      <sz val="11"/>
      <color theme="3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3" tint="-0.249977111117893"/>
      <name val="Calibri"/>
      <family val="2"/>
      <scheme val="minor"/>
    </font>
    <font>
      <sz val="11"/>
      <color theme="3" tint="-0.249977111117893"/>
      <name val="Arial Narrow"/>
      <family val="2"/>
    </font>
    <font>
      <sz val="1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4"/>
      <color theme="0"/>
      <name val="Arial Black"/>
      <family val="2"/>
    </font>
    <font>
      <sz val="14"/>
      <color theme="0"/>
      <name val="Arial Black"/>
      <family val="2"/>
    </font>
    <font>
      <b/>
      <sz val="9"/>
      <color theme="0"/>
      <name val="Arial Black"/>
      <family val="2"/>
    </font>
    <font>
      <b/>
      <sz val="9"/>
      <color theme="1"/>
      <name val="Arial Black"/>
      <family val="2"/>
    </font>
    <font>
      <b/>
      <sz val="10"/>
      <color theme="0"/>
      <name val="Arial Black"/>
      <family val="2"/>
    </font>
    <font>
      <b/>
      <u/>
      <sz val="11"/>
      <color theme="0"/>
      <name val="Calibri"/>
      <family val="2"/>
      <scheme val="minor"/>
    </font>
    <font>
      <b/>
      <i/>
      <sz val="11"/>
      <color theme="3" tint="-0.249977111117893"/>
      <name val="Calibri"/>
      <family val="2"/>
      <scheme val="minor"/>
    </font>
    <font>
      <b/>
      <sz val="12"/>
      <color theme="0"/>
      <name val="Arial Narrow"/>
      <family val="2"/>
    </font>
    <font>
      <sz val="12"/>
      <color theme="1"/>
      <name val="Arial Narrow"/>
      <family val="2"/>
    </font>
    <font>
      <b/>
      <sz val="10"/>
      <color theme="0"/>
      <name val="Arial Narrow"/>
      <family val="2"/>
    </font>
    <font>
      <sz val="11"/>
      <color theme="0"/>
      <name val="Arial Narrow"/>
      <family val="2"/>
    </font>
    <font>
      <sz val="10"/>
      <color theme="3" tint="-0.249977111117893"/>
      <name val="Arial Narrow"/>
      <family val="2"/>
    </font>
    <font>
      <b/>
      <sz val="10"/>
      <color theme="3" tint="-0.249977111117893"/>
      <name val="Arial Narrow"/>
      <family val="2"/>
    </font>
    <font>
      <b/>
      <sz val="12"/>
      <color theme="3"/>
      <name val="Arial Narrow"/>
      <family val="2"/>
    </font>
    <font>
      <sz val="8"/>
      <color theme="3" tint="-0.249977111117893"/>
      <name val="Arial Narrow"/>
      <family val="2"/>
    </font>
    <font>
      <b/>
      <sz val="20"/>
      <color theme="0"/>
      <name val="Arial Narrow"/>
      <family val="2"/>
    </font>
    <font>
      <b/>
      <sz val="18"/>
      <color theme="0"/>
      <name val="Arial Narrow"/>
      <family val="2"/>
    </font>
    <font>
      <sz val="20"/>
      <color theme="0"/>
      <name val="Arial Narrow"/>
      <family val="2"/>
    </font>
    <font>
      <sz val="9"/>
      <color theme="3" tint="-0.249977111117893"/>
      <name val="Arial Narrow"/>
      <family val="2"/>
    </font>
    <font>
      <sz val="12"/>
      <color theme="3" tint="-0.249977111117893"/>
      <name val="Arial Narrow"/>
      <family val="2"/>
    </font>
    <font>
      <b/>
      <sz val="9"/>
      <color theme="3" tint="-0.249977111117893"/>
      <name val="Arial Narrow"/>
      <family val="2"/>
    </font>
    <font>
      <i/>
      <sz val="8"/>
      <color theme="3" tint="-0.249977111117893"/>
      <name val="Arial Narrow"/>
      <family val="2"/>
    </font>
    <font>
      <i/>
      <sz val="10"/>
      <color theme="3" tint="-0.249977111117893"/>
      <name val="Arial Narrow"/>
      <family val="2"/>
    </font>
    <font>
      <b/>
      <u/>
      <sz val="10"/>
      <color theme="0"/>
      <name val="Arial Narrow"/>
      <family val="2"/>
    </font>
    <font>
      <b/>
      <u/>
      <sz val="12"/>
      <color theme="0"/>
      <name val="Arial Narrow"/>
      <family val="2"/>
    </font>
    <font>
      <b/>
      <i/>
      <sz val="12"/>
      <color theme="0"/>
      <name val="Arial Narrow"/>
      <family val="2"/>
    </font>
    <font>
      <b/>
      <i/>
      <sz val="16"/>
      <color theme="0"/>
      <name val="Arial Narrow"/>
      <family val="2"/>
    </font>
    <font>
      <b/>
      <u/>
      <sz val="11"/>
      <color theme="0"/>
      <name val="Arial Narrow"/>
      <family val="2"/>
    </font>
    <font>
      <sz val="10"/>
      <name val="Arial Narrow"/>
      <family val="2"/>
    </font>
    <font>
      <b/>
      <sz val="13"/>
      <color theme="0"/>
      <name val="Arial Narrow"/>
      <family val="2"/>
    </font>
    <font>
      <b/>
      <sz val="13"/>
      <color theme="1"/>
      <name val="Calibri"/>
      <family val="2"/>
      <scheme val="minor"/>
    </font>
    <font>
      <i/>
      <sz val="8"/>
      <color theme="0"/>
      <name val="Calibri"/>
      <family val="2"/>
      <scheme val="minor"/>
    </font>
    <font>
      <b/>
      <sz val="12"/>
      <color theme="0"/>
      <name val="Arial Black"/>
      <family val="2"/>
    </font>
    <font>
      <b/>
      <sz val="16"/>
      <color theme="0"/>
      <name val="Arial Black"/>
      <family val="2"/>
    </font>
    <font>
      <sz val="12"/>
      <color theme="1"/>
      <name val="Arial Black"/>
      <family val="2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8"/>
      <color theme="1"/>
      <name val="Arial Black"/>
      <family val="2"/>
    </font>
    <font>
      <b/>
      <sz val="10"/>
      <color theme="1"/>
      <name val="Arial Black"/>
      <family val="2"/>
    </font>
    <font>
      <b/>
      <sz val="12"/>
      <color theme="1"/>
      <name val="Arial Black"/>
      <family val="2"/>
    </font>
    <font>
      <sz val="9"/>
      <color theme="1"/>
      <name val="Arial Black"/>
      <family val="2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1"/>
      <color rgb="FFFFFF00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b/>
      <sz val="8"/>
      <color theme="5" tint="-0.249977111117893"/>
      <name val="Arial Narrow"/>
      <family val="2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u/>
      <sz val="9"/>
      <color theme="0"/>
      <name val="Calibri"/>
      <family val="2"/>
      <scheme val="minor"/>
    </font>
    <font>
      <sz val="16"/>
      <color theme="1"/>
      <name val="Arial Black"/>
      <family val="2"/>
    </font>
    <font>
      <b/>
      <sz val="11"/>
      <name val="Calibri"/>
      <family val="2"/>
      <scheme val="minor"/>
    </font>
    <font>
      <b/>
      <i/>
      <sz val="26"/>
      <color theme="0"/>
      <name val="Arial Black"/>
      <family val="2"/>
    </font>
    <font>
      <i/>
      <sz val="26"/>
      <color theme="1"/>
      <name val="Calibri"/>
      <family val="2"/>
      <scheme val="minor"/>
    </font>
    <font>
      <sz val="12"/>
      <color theme="3" tint="-0.249977111117893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3" tint="-0.249977111117893"/>
      <name val="Arial Black"/>
      <family val="2"/>
    </font>
    <font>
      <b/>
      <sz val="14"/>
      <color theme="3" tint="-0.499984740745262"/>
      <name val="Arial Black"/>
      <family val="2"/>
    </font>
    <font>
      <b/>
      <sz val="11"/>
      <color theme="3" tint="-0.249977111117893"/>
      <name val="Arial Black"/>
      <family val="2"/>
    </font>
    <font>
      <b/>
      <sz val="13"/>
      <color theme="3" tint="-0.249977111117893"/>
      <name val="Arial Black"/>
      <family val="2"/>
    </font>
    <font>
      <sz val="11"/>
      <color theme="3" tint="-0.249977111117893"/>
      <name val="Arial Black"/>
      <family val="2"/>
    </font>
    <font>
      <b/>
      <sz val="14"/>
      <color theme="1"/>
      <name val="Arial Black"/>
      <family val="2"/>
    </font>
    <font>
      <b/>
      <sz val="8"/>
      <color theme="0"/>
      <name val="Arial Black"/>
      <family val="2"/>
    </font>
    <font>
      <b/>
      <sz val="10"/>
      <color theme="3" tint="-0.249977111117893"/>
      <name val="Arial Black"/>
      <family val="2"/>
    </font>
    <font>
      <sz val="10"/>
      <color theme="3" tint="-0.249977111117893"/>
      <name val="Arial Black"/>
      <family val="2"/>
    </font>
    <font>
      <b/>
      <u/>
      <sz val="11"/>
      <color rgb="FF002B5C"/>
      <name val="Calibri"/>
      <family val="2"/>
      <scheme val="minor"/>
    </font>
    <font>
      <sz val="11"/>
      <color rgb="FF002B5C"/>
      <name val="Calibri"/>
      <family val="2"/>
      <scheme val="minor"/>
    </font>
    <font>
      <sz val="10"/>
      <color theme="1"/>
      <name val="Arial Black"/>
      <family val="2"/>
    </font>
    <font>
      <sz val="12"/>
      <color theme="3" tint="-0.249977111117893"/>
      <name val="Arial Black"/>
      <family val="2"/>
    </font>
    <font>
      <sz val="11.5"/>
      <color theme="1"/>
      <name val="Calibri"/>
      <family val="2"/>
      <scheme val="minor"/>
    </font>
    <font>
      <b/>
      <sz val="13"/>
      <color theme="3" tint="-0.249977111117893"/>
      <name val="Arial Narrow"/>
      <family val="2"/>
    </font>
    <font>
      <b/>
      <sz val="16"/>
      <color theme="3" tint="-0.249977111117893"/>
      <name val="Arial Narrow"/>
      <family val="2"/>
    </font>
    <font>
      <sz val="16"/>
      <color theme="1"/>
      <name val="Arial Narrow"/>
      <family val="2"/>
    </font>
    <font>
      <sz val="10"/>
      <color theme="0"/>
      <name val="Arial Narrow"/>
      <family val="2"/>
    </font>
    <font>
      <sz val="15"/>
      <color theme="3" tint="-0.249977111117893"/>
      <name val="Arial Narrow"/>
      <family val="2"/>
    </font>
    <font>
      <sz val="15"/>
      <color theme="0"/>
      <name val="Arial Narrow"/>
      <family val="2"/>
    </font>
    <font>
      <sz val="15"/>
      <color theme="1"/>
      <name val="Arial Narrow"/>
      <family val="2"/>
    </font>
    <font>
      <b/>
      <sz val="15"/>
      <color theme="0"/>
      <name val="Arial Narrow"/>
      <family val="2"/>
    </font>
    <font>
      <b/>
      <sz val="12"/>
      <color rgb="FF002B5C"/>
      <name val="Arial Narrow"/>
      <family val="2"/>
    </font>
    <font>
      <b/>
      <sz val="10"/>
      <color theme="3" tint="-0.499984740745262"/>
      <name val="Arial Narrow"/>
      <family val="2"/>
    </font>
    <font>
      <i/>
      <sz val="10"/>
      <color theme="1"/>
      <name val="Arial Narrow"/>
      <family val="2"/>
    </font>
    <font>
      <u/>
      <sz val="11"/>
      <color theme="1"/>
      <name val="Calibri"/>
      <family val="2"/>
      <scheme val="minor"/>
    </font>
    <font>
      <i/>
      <u/>
      <sz val="10"/>
      <color theme="1"/>
      <name val="Arial Narrow"/>
      <family val="2"/>
    </font>
    <font>
      <u/>
      <sz val="10"/>
      <color theme="1"/>
      <name val="Arial Narrow"/>
      <family val="2"/>
    </font>
    <font>
      <b/>
      <sz val="10"/>
      <color theme="0" tint="-4.9989318521683403E-2"/>
      <name val="Arial Narrow"/>
      <family val="2"/>
    </font>
    <font>
      <sz val="10"/>
      <color theme="0" tint="-4.9989318521683403E-2"/>
      <name val="Arial Narrow"/>
      <family val="2"/>
    </font>
    <font>
      <b/>
      <sz val="9"/>
      <color theme="0"/>
      <name val="Arial Narrow"/>
      <family val="2"/>
    </font>
    <font>
      <b/>
      <sz val="20"/>
      <color theme="3" tint="-0.249977111117893"/>
      <name val="Arial Black"/>
      <family val="2"/>
    </font>
    <font>
      <sz val="2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20"/>
      <color rgb="FFFFFF00"/>
      <name val="Arial Narrow"/>
      <family val="2"/>
    </font>
    <font>
      <sz val="10"/>
      <color theme="3" tint="-0.499984740745262"/>
      <name val="Arial Narrow"/>
      <family val="2"/>
    </font>
    <font>
      <b/>
      <sz val="12"/>
      <color theme="3" tint="-0.249977111117893"/>
      <name val="Arial Black"/>
      <family val="2"/>
    </font>
    <font>
      <b/>
      <sz val="16"/>
      <color rgb="FF022B5C"/>
      <name val="Arial Narrow"/>
      <family val="2"/>
    </font>
    <font>
      <i/>
      <u/>
      <sz val="10"/>
      <color theme="3" tint="-0.249977111117893"/>
      <name val="Arial Black"/>
      <family val="2"/>
    </font>
    <font>
      <u/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name val="Arial Narrow"/>
      <family val="2"/>
    </font>
    <font>
      <b/>
      <sz val="9"/>
      <name val="Calibri"/>
      <family val="2"/>
      <scheme val="minor"/>
    </font>
    <font>
      <b/>
      <sz val="13"/>
      <color theme="0"/>
      <name val="Arial Black"/>
      <family val="2"/>
    </font>
    <font>
      <sz val="20"/>
      <color theme="1"/>
      <name val="Arial Narrow"/>
      <family val="2"/>
    </font>
    <font>
      <sz val="22"/>
      <color theme="1"/>
      <name val="Arial Narrow"/>
      <family val="2"/>
    </font>
    <font>
      <b/>
      <sz val="16"/>
      <color theme="1"/>
      <name val="Arial Narrow"/>
      <family val="2"/>
    </font>
    <font>
      <b/>
      <sz val="22"/>
      <color theme="1"/>
      <name val="Arial Narrow"/>
      <family val="2"/>
    </font>
    <font>
      <b/>
      <sz val="20"/>
      <color theme="1"/>
      <name val="Arial Narrow"/>
      <family val="2"/>
    </font>
    <font>
      <b/>
      <sz val="18"/>
      <color theme="1"/>
      <name val="Arial Narrow"/>
      <family val="2"/>
    </font>
    <font>
      <b/>
      <sz val="18"/>
      <color theme="3" tint="-0.249977111117893"/>
      <name val="Arial Narrow"/>
      <family val="2"/>
    </font>
    <font>
      <b/>
      <u/>
      <sz val="20"/>
      <color theme="0"/>
      <name val="Arial Narrow"/>
      <family val="2"/>
    </font>
    <font>
      <i/>
      <sz val="20"/>
      <color theme="1"/>
      <name val="Arial Narrow"/>
      <family val="2"/>
    </font>
    <font>
      <b/>
      <sz val="20"/>
      <color theme="3" tint="-0.249977111117893"/>
      <name val="Arial Narrow"/>
      <family val="2"/>
    </font>
    <font>
      <sz val="18"/>
      <color theme="3" tint="-0.249977111117893"/>
      <name val="Arial Narrow"/>
      <family val="2"/>
    </font>
    <font>
      <b/>
      <sz val="20"/>
      <color theme="0"/>
      <name val="Arial Black"/>
      <family val="2"/>
    </font>
    <font>
      <b/>
      <sz val="20"/>
      <color theme="1"/>
      <name val="Arial Black"/>
      <family val="2"/>
    </font>
    <font>
      <b/>
      <sz val="11"/>
      <color theme="0"/>
      <name val="Arial Black"/>
      <family val="2"/>
    </font>
    <font>
      <sz val="8"/>
      <color theme="3" tint="-0.249977111117893"/>
      <name val="Arial Black"/>
      <family val="2"/>
    </font>
    <font>
      <sz val="8"/>
      <color theme="3" tint="-0.499984740745262"/>
      <name val="Arial Black"/>
      <family val="2"/>
    </font>
    <font>
      <b/>
      <sz val="8"/>
      <color theme="3" tint="-0.249977111117893"/>
      <name val="Arial Black"/>
      <family val="2"/>
    </font>
    <font>
      <b/>
      <sz val="9"/>
      <color theme="3" tint="-0.249977111117893"/>
      <name val="Arial Black"/>
      <family val="2"/>
    </font>
    <font>
      <sz val="10"/>
      <color theme="4" tint="-0.499984740745262"/>
      <name val="Arial Narrow"/>
      <family val="2"/>
    </font>
    <font>
      <b/>
      <sz val="10"/>
      <color theme="1"/>
      <name val="Calibri"/>
      <family val="2"/>
    </font>
    <font>
      <b/>
      <u/>
      <sz val="9"/>
      <color indexed="81"/>
      <name val="Tahoma"/>
      <family val="2"/>
    </font>
    <font>
      <sz val="12"/>
      <color theme="3" tint="-0.249977111117893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6365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B5258"/>
        <bgColor indexed="64"/>
      </patternFill>
    </fill>
    <fill>
      <patternFill patternType="solid">
        <fgColor rgb="FF005258"/>
        <bgColor indexed="64"/>
      </patternFill>
    </fill>
    <fill>
      <patternFill patternType="solid">
        <fgColor rgb="FF0B5259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FFFF"/>
        <bgColor indexed="64"/>
      </patternFill>
    </fill>
  </fills>
  <borders count="7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/>
      <diagonal/>
    </border>
    <border>
      <left style="thick">
        <color theme="3" tint="-0.24994659260841701"/>
      </left>
      <right style="thin">
        <color indexed="64"/>
      </right>
      <top/>
      <bottom style="thin">
        <color indexed="64"/>
      </bottom>
      <diagonal/>
    </border>
    <border>
      <left style="thick">
        <color theme="3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3" tint="-0.24994659260841701"/>
      </right>
      <top/>
      <bottom/>
      <diagonal/>
    </border>
    <border>
      <left/>
      <right style="thick">
        <color theme="3" tint="-0.24994659260841701"/>
      </right>
      <top/>
      <bottom style="thin">
        <color indexed="64"/>
      </bottom>
      <diagonal/>
    </border>
    <border>
      <left style="thin">
        <color indexed="64"/>
      </left>
      <right style="thick">
        <color theme="3" tint="-0.24994659260841701"/>
      </right>
      <top style="thin">
        <color indexed="64"/>
      </top>
      <bottom style="thin">
        <color indexed="64"/>
      </bottom>
      <diagonal/>
    </border>
    <border>
      <left style="thick">
        <color theme="3" tint="-0.24994659260841701"/>
      </left>
      <right style="thin">
        <color indexed="64"/>
      </right>
      <top style="thin">
        <color indexed="64"/>
      </top>
      <bottom style="thick">
        <color theme="3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3" tint="-0.24994659260841701"/>
      </bottom>
      <diagonal/>
    </border>
    <border>
      <left style="thin">
        <color indexed="64"/>
      </left>
      <right style="thick">
        <color theme="3" tint="-0.24994659260841701"/>
      </right>
      <top style="thin">
        <color indexed="64"/>
      </top>
      <bottom style="thick">
        <color theme="3" tint="-0.24994659260841701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 style="medium">
        <color indexed="64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medium">
        <color indexed="64"/>
      </bottom>
      <diagonal/>
    </border>
    <border>
      <left style="thick">
        <color theme="3" tint="-0.24994659260841701"/>
      </left>
      <right/>
      <top/>
      <bottom/>
      <diagonal/>
    </border>
    <border>
      <left style="thin">
        <color indexed="64"/>
      </left>
      <right style="thick">
        <color theme="3" tint="-0.24994659260841701"/>
      </right>
      <top style="medium">
        <color indexed="64"/>
      </top>
      <bottom style="thin">
        <color indexed="64"/>
      </bottom>
      <diagonal/>
    </border>
    <border>
      <left style="thick">
        <color theme="3" tint="-0.24994659260841701"/>
      </left>
      <right style="thin">
        <color indexed="64"/>
      </right>
      <top/>
      <bottom/>
      <diagonal/>
    </border>
    <border>
      <left style="thin">
        <color indexed="64"/>
      </left>
      <right style="thick">
        <color theme="3" tint="-0.24994659260841701"/>
      </right>
      <top style="thin">
        <color indexed="64"/>
      </top>
      <bottom style="medium">
        <color indexed="64"/>
      </bottom>
      <diagonal/>
    </border>
    <border>
      <left style="thick">
        <color theme="3" tint="-0.24994659260841701"/>
      </left>
      <right/>
      <top style="medium">
        <color indexed="64"/>
      </top>
      <bottom style="thick">
        <color theme="3" tint="-0.24994659260841701"/>
      </bottom>
      <diagonal/>
    </border>
    <border>
      <left style="thin">
        <color indexed="64"/>
      </left>
      <right style="thick">
        <color theme="3" tint="-0.24994659260841701"/>
      </right>
      <top style="medium">
        <color indexed="64"/>
      </top>
      <bottom style="thick">
        <color theme="3" tint="-0.24994659260841701"/>
      </bottom>
      <diagonal/>
    </border>
    <border>
      <left/>
      <right/>
      <top style="thick">
        <color theme="3" tint="-0.24994659260841701"/>
      </top>
      <bottom style="thin">
        <color indexed="64"/>
      </bottom>
      <diagonal/>
    </border>
    <border>
      <left/>
      <right style="medium">
        <color indexed="64"/>
      </right>
      <top style="thick">
        <color theme="3" tint="-0.24994659260841701"/>
      </top>
      <bottom style="thin">
        <color indexed="64"/>
      </bottom>
      <diagonal/>
    </border>
    <border>
      <left style="medium">
        <color indexed="64"/>
      </left>
      <right/>
      <top style="thick">
        <color theme="3" tint="-0.24994659260841701"/>
      </top>
      <bottom style="thin">
        <color indexed="64"/>
      </bottom>
      <diagonal/>
    </border>
    <border>
      <left style="thick">
        <color theme="3" tint="-0.24994659260841701"/>
      </left>
      <right/>
      <top style="thin">
        <color indexed="64"/>
      </top>
      <bottom style="thin">
        <color indexed="64"/>
      </bottom>
      <diagonal/>
    </border>
    <border>
      <left style="thick">
        <color theme="3" tint="-0.24994659260841701"/>
      </left>
      <right/>
      <top style="thin">
        <color indexed="64"/>
      </top>
      <bottom style="thick">
        <color theme="3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theme="3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theme="3" tint="-0.24994659260841701"/>
      </bottom>
      <diagonal/>
    </border>
    <border>
      <left/>
      <right/>
      <top style="thin">
        <color indexed="64"/>
      </top>
      <bottom style="thick">
        <color theme="3" tint="-0.24994659260841701"/>
      </bottom>
      <diagonal/>
    </border>
    <border>
      <left/>
      <right style="thick">
        <color theme="3" tint="-0.2499465926084170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3" tint="-0.24994659260841701"/>
      </bottom>
      <diagonal/>
    </border>
    <border>
      <left style="thin">
        <color indexed="64"/>
      </left>
      <right/>
      <top style="thin">
        <color indexed="64"/>
      </top>
      <bottom style="thick">
        <color theme="3" tint="-0.24994659260841701"/>
      </bottom>
      <diagonal/>
    </border>
    <border>
      <left style="thick">
        <color theme="3" tint="-0.24994659260841701"/>
      </left>
      <right/>
      <top/>
      <bottom style="thin">
        <color indexed="64"/>
      </bottom>
      <diagonal/>
    </border>
    <border>
      <left style="thick">
        <color theme="3" tint="-0.24994659260841701"/>
      </left>
      <right style="medium">
        <color indexed="64"/>
      </right>
      <top style="thick">
        <color theme="3" tint="-0.24994659260841701"/>
      </top>
      <bottom/>
      <diagonal/>
    </border>
    <border>
      <left style="thick">
        <color theme="3" tint="-0.24994659260841701"/>
      </left>
      <right/>
      <top style="thick">
        <color theme="3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3" tint="-0.24994659260841701"/>
      </bottom>
      <diagonal/>
    </border>
    <border>
      <left style="thin">
        <color indexed="64"/>
      </left>
      <right/>
      <top/>
      <bottom style="thick">
        <color theme="3" tint="-0.24994659260841701"/>
      </bottom>
      <diagonal/>
    </border>
    <border>
      <left style="thin">
        <color indexed="64"/>
      </left>
      <right style="medium">
        <color indexed="64"/>
      </right>
      <top/>
      <bottom style="thick">
        <color theme="3" tint="-0.24994659260841701"/>
      </bottom>
      <diagonal/>
    </border>
    <border>
      <left/>
      <right style="thin">
        <color indexed="64"/>
      </right>
      <top/>
      <bottom style="thick">
        <color theme="3" tint="-0.24994659260841701"/>
      </bottom>
      <diagonal/>
    </border>
    <border>
      <left style="medium">
        <color indexed="64"/>
      </left>
      <right/>
      <top style="thin">
        <color indexed="64"/>
      </top>
      <bottom style="thick">
        <color theme="3" tint="-0.24994659260841701"/>
      </bottom>
      <diagonal/>
    </border>
    <border>
      <left/>
      <right/>
      <top style="thick">
        <color theme="3" tint="-0.24994659260841701"/>
      </top>
      <bottom/>
      <diagonal/>
    </border>
    <border>
      <left/>
      <right style="thick">
        <color theme="3" tint="-0.24994659260841701"/>
      </right>
      <top style="thick">
        <color theme="3" tint="-0.24994659260841701"/>
      </top>
      <bottom/>
      <diagonal/>
    </border>
    <border>
      <left/>
      <right/>
      <top/>
      <bottom style="thick">
        <color theme="3" tint="-0.2499465926084170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3" tint="-0.2499465926084170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ck">
        <color theme="3" tint="-0.24994659260841701"/>
      </left>
      <right style="thin">
        <color theme="3" tint="-0.24994659260841701"/>
      </right>
      <top style="thick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ck">
        <color theme="3" tint="-0.24994659260841701"/>
      </right>
      <top style="thick">
        <color theme="3" tint="-0.24994659260841701"/>
      </top>
      <bottom style="thin">
        <color theme="3" tint="-0.24994659260841701"/>
      </bottom>
      <diagonal/>
    </border>
    <border>
      <left style="thick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ck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ck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ck">
        <color theme="3" tint="-0.24994659260841701"/>
      </bottom>
      <diagonal/>
    </border>
    <border>
      <left style="thin">
        <color theme="3" tint="-0.24994659260841701"/>
      </left>
      <right style="thick">
        <color theme="3" tint="-0.24994659260841701"/>
      </right>
      <top style="thin">
        <color theme="3" tint="-0.24994659260841701"/>
      </top>
      <bottom style="thick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ck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ck">
        <color theme="3" tint="-0.24994659260841701"/>
      </bottom>
      <diagonal/>
    </border>
    <border>
      <left style="thick">
        <color theme="3" tint="-0.24994659260841701"/>
      </left>
      <right style="thin">
        <color theme="0"/>
      </right>
      <top style="thick">
        <color theme="3" tint="-0.24994659260841701"/>
      </top>
      <bottom/>
      <diagonal/>
    </border>
    <border>
      <left style="thin">
        <color theme="0"/>
      </left>
      <right style="thin">
        <color theme="0"/>
      </right>
      <top style="thick">
        <color theme="3" tint="-0.24994659260841701"/>
      </top>
      <bottom style="thin">
        <color theme="3" tint="-0.24994659260841701"/>
      </bottom>
      <diagonal/>
    </border>
    <border>
      <left style="thick">
        <color theme="3" tint="-0.24994659260841701"/>
      </left>
      <right style="thin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/>
      <diagonal/>
    </border>
    <border>
      <left style="thin">
        <color theme="3" tint="-0.24994659260841701"/>
      </left>
      <right/>
      <top/>
      <bottom/>
      <diagonal/>
    </border>
    <border>
      <left style="thick">
        <color theme="3" tint="-0.24994659260841701"/>
      </left>
      <right style="thin">
        <color theme="3" tint="-0.24994659260841701"/>
      </right>
      <top style="thin">
        <color indexed="64"/>
      </top>
      <bottom style="thin">
        <color theme="3" tint="-0.24994659260841701"/>
      </bottom>
      <diagonal/>
    </border>
    <border>
      <left style="thick">
        <color theme="3" tint="-0.24994659260841701"/>
      </left>
      <right/>
      <top/>
      <bottom style="thick">
        <color theme="3" tint="-0.24994659260841701"/>
      </bottom>
      <diagonal/>
    </border>
    <border>
      <left/>
      <right style="thick">
        <color theme="3" tint="-0.24994659260841701"/>
      </right>
      <top/>
      <bottom style="thick">
        <color theme="3" tint="-0.24994659260841701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 style="thin">
        <color theme="3" tint="-0.24994659260841701"/>
      </bottom>
      <diagonal/>
    </border>
    <border>
      <left style="thick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 style="medium">
        <color theme="3" tint="-0.499984740745262"/>
      </left>
      <right style="thin">
        <color theme="3" tint="-0.499984740745262"/>
      </right>
      <top style="medium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thin">
        <color theme="3" tint="-0.499984740745262"/>
      </bottom>
      <diagonal/>
    </border>
    <border>
      <left style="medium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medium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medium">
        <color theme="3" tint="-0.499984740745262"/>
      </left>
      <right style="thin">
        <color theme="3" tint="-0.499984740745262"/>
      </right>
      <top style="thin">
        <color theme="3" tint="-0.499984740745262"/>
      </top>
      <bottom style="medium">
        <color theme="3" tint="-0.499984740745262"/>
      </bottom>
      <diagonal/>
    </border>
    <border>
      <left style="thin">
        <color theme="3" tint="-0.499984740745262"/>
      </left>
      <right style="medium">
        <color theme="3" tint="-0.499984740745262"/>
      </right>
      <top style="thin">
        <color theme="3" tint="-0.499984740745262"/>
      </top>
      <bottom style="medium">
        <color theme="3" tint="-0.499984740745262"/>
      </bottom>
      <diagonal/>
    </border>
    <border>
      <left style="thin">
        <color theme="0"/>
      </left>
      <right style="thin">
        <color theme="0"/>
      </right>
      <top style="thin">
        <color theme="3" tint="-0.24994659260841701"/>
      </top>
      <bottom style="thin">
        <color theme="0"/>
      </bottom>
      <diagonal/>
    </border>
    <border>
      <left style="thin">
        <color theme="0"/>
      </left>
      <right style="thick">
        <color theme="3" tint="-0.24994659260841701"/>
      </right>
      <top style="thick">
        <color theme="3" tint="-0.24994659260841701"/>
      </top>
      <bottom style="thin">
        <color theme="0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ck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thick">
        <color theme="3" tint="-0.24994659260841701"/>
      </right>
      <top style="thin">
        <color theme="3" tint="-0.24994659260841701"/>
      </top>
      <bottom/>
      <diagonal/>
    </border>
    <border>
      <left style="thin">
        <color theme="0"/>
      </left>
      <right/>
      <top style="thick">
        <color theme="3" tint="-0.24994659260841701"/>
      </top>
      <bottom style="thin">
        <color theme="3" tint="-0.24994659260841701"/>
      </bottom>
      <diagonal/>
    </border>
    <border>
      <left/>
      <right style="thin">
        <color theme="0"/>
      </right>
      <top style="thick">
        <color theme="3" tint="-0.24994659260841701"/>
      </top>
      <bottom style="thin">
        <color theme="3" tint="-0.24994659260841701"/>
      </bottom>
      <diagonal/>
    </border>
    <border>
      <left style="thick">
        <color theme="0"/>
      </left>
      <right style="thin">
        <color theme="0"/>
      </right>
      <top style="thick">
        <color theme="3" tint="-0.24994659260841701"/>
      </top>
      <bottom style="thin">
        <color theme="3" tint="-0.24994659260841701"/>
      </bottom>
      <diagonal/>
    </border>
    <border>
      <left style="thin">
        <color theme="0"/>
      </left>
      <right style="thick">
        <color theme="0"/>
      </right>
      <top style="thick">
        <color theme="3" tint="-0.24994659260841701"/>
      </top>
      <bottom style="thin">
        <color theme="3" tint="-0.2499465926084170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ck">
        <color theme="3" tint="-0.24994659260841701"/>
      </top>
      <bottom style="thin">
        <color theme="0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theme="0"/>
      </left>
      <right/>
      <top style="thick">
        <color theme="3" tint="-0.24994659260841701"/>
      </top>
      <bottom style="thin">
        <color theme="0"/>
      </bottom>
      <diagonal/>
    </border>
    <border>
      <left/>
      <right style="thick">
        <color theme="0"/>
      </right>
      <top style="thick">
        <color theme="3" tint="-0.24994659260841701"/>
      </top>
      <bottom style="thin">
        <color theme="0"/>
      </bottom>
      <diagonal/>
    </border>
    <border>
      <left style="thick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ck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theme="3" tint="-0.24994659260841701"/>
      </right>
      <top style="thin">
        <color theme="0"/>
      </top>
      <bottom style="thin">
        <color theme="0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theme="0"/>
      </left>
      <right style="thin">
        <color theme="0"/>
      </right>
      <top style="thick">
        <color theme="3" tint="-0.24994659260841701"/>
      </top>
      <bottom/>
      <diagonal/>
    </border>
    <border>
      <left style="thin">
        <color theme="0"/>
      </left>
      <right style="thick">
        <color theme="3" tint="-0.24994659260841701"/>
      </right>
      <top style="thick">
        <color theme="3" tint="-0.24994659260841701"/>
      </top>
      <bottom/>
      <diagonal/>
    </border>
    <border>
      <left style="thin">
        <color theme="0"/>
      </left>
      <right/>
      <top/>
      <bottom/>
      <diagonal/>
    </border>
    <border>
      <left style="thick">
        <color theme="3" tint="-0.24994659260841701"/>
      </left>
      <right style="thin">
        <color theme="0"/>
      </right>
      <top style="thick">
        <color theme="3" tint="-0.24994659260841701"/>
      </top>
      <bottom style="thin">
        <color theme="3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3" tint="-0.24994659260841701"/>
      </right>
      <top style="thin">
        <color theme="0"/>
      </top>
      <bottom style="thin">
        <color theme="0"/>
      </bottom>
      <diagonal/>
    </border>
    <border>
      <left/>
      <right/>
      <top style="thick">
        <color indexed="64"/>
      </top>
      <bottom/>
      <diagonal/>
    </border>
    <border>
      <left style="thick">
        <color theme="3" tint="-0.24994659260841701"/>
      </left>
      <right style="thin">
        <color indexed="64"/>
      </right>
      <top/>
      <bottom style="thick">
        <color theme="3" tint="-0.24994659260841701"/>
      </bottom>
      <diagonal/>
    </border>
    <border>
      <left style="thick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ck">
        <color theme="0"/>
      </right>
      <top style="thin">
        <color theme="0"/>
      </top>
      <bottom/>
      <diagonal/>
    </border>
    <border>
      <left style="thick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3" tint="-0.2499465926084170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3" tint="-0.2499465926084170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ck">
        <color theme="0"/>
      </left>
      <right style="thin">
        <color theme="0"/>
      </right>
      <top style="thin">
        <color theme="3" tint="-0.24994659260841701"/>
      </top>
      <bottom style="thin">
        <color theme="0"/>
      </bottom>
      <diagonal/>
    </border>
    <border>
      <left style="thin">
        <color theme="0"/>
      </left>
      <right/>
      <top style="thin">
        <color theme="3" tint="-0.24994659260841701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3" tint="-0.24994659260841701"/>
      </top>
      <bottom style="thin">
        <color theme="0"/>
      </bottom>
      <diagonal/>
    </border>
    <border>
      <left style="medium">
        <color theme="3" tint="-0.24994659260841701"/>
      </left>
      <right style="thin">
        <color indexed="64"/>
      </right>
      <top style="thin">
        <color indexed="64"/>
      </top>
      <bottom style="thick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0"/>
      </top>
      <bottom style="thin">
        <color theme="3" tint="-0.24994659260841701"/>
      </bottom>
      <diagonal/>
    </border>
    <border>
      <left style="thick">
        <color theme="3" tint="-0.24994659260841701"/>
      </left>
      <right style="thin">
        <color theme="3" tint="-0.24994659260841701"/>
      </right>
      <top style="thin">
        <color theme="0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0"/>
      </top>
      <bottom style="thin">
        <color theme="3" tint="-0.24994659260841701"/>
      </bottom>
      <diagonal/>
    </border>
    <border>
      <left style="thin">
        <color theme="3" tint="-0.24994659260841701"/>
      </left>
      <right style="thick">
        <color theme="3" tint="-0.24994659260841701"/>
      </right>
      <top style="thin">
        <color theme="0"/>
      </top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0"/>
      </top>
      <bottom style="thin">
        <color theme="3" tint="-0.24994659260841701"/>
      </bottom>
      <diagonal/>
    </border>
    <border>
      <left style="thick">
        <color theme="0"/>
      </left>
      <right style="thin">
        <color theme="3" tint="-0.24994659260841701"/>
      </right>
      <top style="thin">
        <color theme="0"/>
      </top>
      <bottom style="thin">
        <color theme="3" tint="-0.24994659260841701"/>
      </bottom>
      <diagonal/>
    </border>
    <border>
      <left style="thick">
        <color theme="3" tint="-0.24994659260841701"/>
      </left>
      <right style="thick">
        <color theme="0"/>
      </right>
      <top style="thin">
        <color theme="3" tint="-0.24994659260841701"/>
      </top>
      <bottom style="thick">
        <color theme="3" tint="-0.24994659260841701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 style="thin">
        <color theme="0"/>
      </top>
      <bottom/>
      <diagonal/>
    </border>
    <border>
      <left style="thin">
        <color theme="3" tint="-0.24994659260841701"/>
      </left>
      <right/>
      <top style="thin">
        <color theme="0"/>
      </top>
      <bottom/>
      <diagonal/>
    </border>
    <border>
      <left style="thick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/>
      <diagonal/>
    </border>
    <border>
      <left style="thick">
        <color theme="0"/>
      </left>
      <right style="thin">
        <color theme="3" tint="-0.24994659260841701"/>
      </right>
      <top style="thin">
        <color theme="0"/>
      </top>
      <bottom style="thick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0"/>
      </top>
      <bottom style="thick">
        <color theme="3" tint="-0.24994659260841701"/>
      </bottom>
      <diagonal/>
    </border>
    <border>
      <left style="thin">
        <color theme="3" tint="-0.24994659260841701"/>
      </left>
      <right/>
      <top style="thin">
        <color theme="0"/>
      </top>
      <bottom style="thick">
        <color theme="3" tint="-0.24994659260841701"/>
      </bottom>
      <diagonal/>
    </border>
    <border>
      <left style="thin">
        <color theme="3" tint="-0.24994659260841701"/>
      </left>
      <right style="thick">
        <color theme="0"/>
      </right>
      <top style="thin">
        <color theme="0"/>
      </top>
      <bottom style="thick">
        <color theme="3" tint="-0.24994659260841701"/>
      </bottom>
      <diagonal/>
    </border>
    <border>
      <left/>
      <right style="thin">
        <color theme="3" tint="-0.24994659260841701"/>
      </right>
      <top style="thin">
        <color theme="0"/>
      </top>
      <bottom style="thick">
        <color theme="3" tint="-0.24994659260841701"/>
      </bottom>
      <diagonal/>
    </border>
    <border>
      <left style="thin">
        <color theme="3" tint="-0.24994659260841701"/>
      </left>
      <right style="thick">
        <color theme="0"/>
      </right>
      <top style="thin">
        <color theme="0"/>
      </top>
      <bottom/>
      <diagonal/>
    </border>
    <border>
      <left style="thin">
        <color theme="3" tint="-0.24994659260841701"/>
      </left>
      <right style="thick">
        <color theme="0"/>
      </right>
      <top/>
      <bottom/>
      <diagonal/>
    </border>
    <border>
      <left style="thick">
        <color theme="3" tint="-0.24994659260841701"/>
      </left>
      <right style="thick">
        <color theme="0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 style="thick">
        <color theme="0"/>
      </right>
      <top/>
      <bottom style="thin">
        <color theme="0"/>
      </bottom>
      <diagonal/>
    </border>
    <border>
      <left style="thick">
        <color theme="3" tint="-0.24994659260841701"/>
      </left>
      <right style="thin">
        <color theme="0"/>
      </right>
      <top style="thick">
        <color theme="3" tint="-0.24994659260841701"/>
      </top>
      <bottom style="thin">
        <color theme="0"/>
      </bottom>
      <diagonal/>
    </border>
    <border>
      <left style="thick">
        <color theme="3" tint="-0.24994659260841701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4659260841701"/>
      </left>
      <right/>
      <top style="thin">
        <color indexed="64"/>
      </top>
      <bottom/>
      <diagonal/>
    </border>
    <border>
      <left style="thick">
        <color theme="3" tint="-0.24994659260841701"/>
      </left>
      <right/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indexed="64"/>
      </left>
      <right style="thin">
        <color indexed="64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indexed="64"/>
      </left>
      <right style="thick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 style="medium">
        <color indexed="64"/>
      </left>
      <right style="thin">
        <color indexed="64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indexed="64"/>
      </left>
      <right style="thick">
        <color theme="3" tint="-0.24994659260841701"/>
      </right>
      <top style="thin">
        <color theme="0"/>
      </top>
      <bottom/>
      <diagonal/>
    </border>
    <border>
      <left style="medium">
        <color theme="0"/>
      </left>
      <right/>
      <top/>
      <bottom style="thin">
        <color theme="3" tint="-0.499984740745262"/>
      </bottom>
      <diagonal/>
    </border>
    <border>
      <left style="medium">
        <color theme="0"/>
      </left>
      <right style="medium">
        <color theme="0"/>
      </right>
      <top/>
      <bottom style="thin">
        <color theme="3" tint="-0.499984740745262"/>
      </bottom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 style="thick">
        <color theme="0"/>
      </left>
      <right style="thin">
        <color theme="0"/>
      </right>
      <top style="thin">
        <color theme="3" tint="-0.24994659260841701"/>
      </top>
      <bottom/>
      <diagonal/>
    </border>
    <border>
      <left style="thin">
        <color theme="0"/>
      </left>
      <right style="thin">
        <color theme="0"/>
      </right>
      <top style="thin">
        <color theme="3" tint="-0.24994659260841701"/>
      </top>
      <bottom/>
      <diagonal/>
    </border>
    <border>
      <left style="thin">
        <color theme="0"/>
      </left>
      <right style="thick">
        <color theme="0"/>
      </right>
      <top style="thin">
        <color theme="3" tint="-0.24994659260841701"/>
      </top>
      <bottom/>
      <diagonal/>
    </border>
    <border>
      <left/>
      <right style="thin">
        <color theme="0"/>
      </right>
      <top style="thin">
        <color theme="3" tint="-0.24994659260841701"/>
      </top>
      <bottom/>
      <diagonal/>
    </border>
    <border>
      <left style="thin">
        <color theme="0"/>
      </left>
      <right/>
      <top style="thin">
        <color theme="3" tint="-0.24994659260841701"/>
      </top>
      <bottom/>
      <diagonal/>
    </border>
    <border>
      <left style="thin">
        <color theme="3" tint="-0.24994659260841701"/>
      </left>
      <right style="thick">
        <color theme="3" tint="-0.24994659260841701"/>
      </right>
      <top/>
      <bottom/>
      <diagonal/>
    </border>
    <border>
      <left style="thick">
        <color theme="3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499984740745262"/>
      </left>
      <right style="thin">
        <color theme="3" tint="-0.24994659260841701"/>
      </right>
      <top/>
      <bottom style="thin">
        <color theme="0"/>
      </bottom>
      <diagonal/>
    </border>
    <border>
      <left style="thin">
        <color theme="3" tint="-0.24994659260841701"/>
      </left>
      <right style="thick">
        <color theme="3" tint="-0.24994659260841701"/>
      </right>
      <top/>
      <bottom style="thin">
        <color theme="0"/>
      </bottom>
      <diagonal/>
    </border>
    <border>
      <left style="thin">
        <color theme="3" tint="-0.24994659260841701"/>
      </left>
      <right style="thick">
        <color indexed="64"/>
      </right>
      <top/>
      <bottom style="thin">
        <color theme="0"/>
      </bottom>
      <diagonal/>
    </border>
    <border>
      <left style="thin">
        <color indexed="64"/>
      </left>
      <right style="thick">
        <color theme="3" tint="-0.24994659260841701"/>
      </right>
      <top/>
      <bottom/>
      <diagonal/>
    </border>
    <border>
      <left style="thick">
        <color theme="3" tint="-0.24994659260841701"/>
      </left>
      <right style="thick">
        <color theme="0"/>
      </right>
      <top style="thick">
        <color theme="3" tint="-0.24994659260841701"/>
      </top>
      <bottom/>
      <diagonal/>
    </border>
    <border>
      <left style="thin">
        <color theme="0"/>
      </left>
      <right style="thick">
        <color theme="3" tint="-0.24994659260841701"/>
      </right>
      <top style="thick">
        <color theme="3" tint="-0.24994659260841701"/>
      </top>
      <bottom style="thin">
        <color theme="3" tint="-0.24994659260841701"/>
      </bottom>
      <diagonal/>
    </border>
    <border>
      <left style="thin">
        <color theme="0"/>
      </left>
      <right style="thick">
        <color theme="3" tint="-0.24994659260841701"/>
      </right>
      <top style="thin">
        <color theme="3" tint="-0.24994659260841701"/>
      </top>
      <bottom/>
      <diagonal/>
    </border>
    <border>
      <left style="thin">
        <color theme="0"/>
      </left>
      <right style="thick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theme="0"/>
      </left>
      <right style="thin">
        <color theme="0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theme="0"/>
      </left>
      <right style="thick">
        <color theme="3" tint="-0.24994659260841701"/>
      </right>
      <top style="thin">
        <color theme="0"/>
      </top>
      <bottom/>
      <diagonal/>
    </border>
    <border>
      <left style="thick">
        <color theme="3" tint="-0.24994659260841701"/>
      </left>
      <right style="medium">
        <color indexed="64"/>
      </right>
      <top/>
      <bottom/>
      <diagonal/>
    </border>
    <border>
      <left style="thick">
        <color theme="3" tint="-0.2499465926084170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3" tint="-0.24994659260841701"/>
      </right>
      <top/>
      <bottom style="thin">
        <color theme="0" tint="-0.14996795556505021"/>
      </bottom>
      <diagonal/>
    </border>
    <border>
      <left style="thick">
        <color theme="3" tint="-0.24994659260841701"/>
      </left>
      <right/>
      <top/>
      <bottom style="thin">
        <color theme="0" tint="-0.14996795556505021"/>
      </bottom>
      <diagonal/>
    </border>
    <border>
      <left style="thick">
        <color theme="3" tint="-0.2499465926084170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3" tint="-0.24994659260841701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/>
      <bottom style="thick">
        <color theme="3" tint="-0.24994659260841701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3" tint="-0.24994659260841701"/>
      </top>
      <bottom style="thin">
        <color theme="3" tint="-0.24994659260841701"/>
      </bottom>
      <diagonal/>
    </border>
    <border>
      <left style="thick">
        <color theme="0"/>
      </left>
      <right style="thin">
        <color theme="3" tint="-0.24994659260841701"/>
      </right>
      <top style="thick">
        <color theme="3" tint="-0.24994659260841701"/>
      </top>
      <bottom style="thin">
        <color theme="3" tint="-0.24994659260841701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 style="thick">
        <color theme="3" tint="-0.24994659260841701"/>
      </top>
      <bottom style="thin">
        <color theme="3" tint="-0.24994659260841701"/>
      </bottom>
      <diagonal/>
    </border>
    <border>
      <left style="thin">
        <color theme="0" tint="-4.9989318521683403E-2"/>
      </left>
      <right style="thin">
        <color theme="0"/>
      </right>
      <top/>
      <bottom/>
      <diagonal/>
    </border>
    <border>
      <left style="thin">
        <color theme="0"/>
      </left>
      <right style="thin">
        <color theme="0" tint="-4.9989318521683403E-2"/>
      </right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ck">
        <color theme="3" tint="-0.24994659260841701"/>
      </top>
      <bottom/>
      <diagonal/>
    </border>
    <border>
      <left style="thin">
        <color theme="3" tint="-0.24994659260841701"/>
      </left>
      <right style="thick">
        <color theme="3" tint="-0.24994659260841701"/>
      </right>
      <top style="thick">
        <color theme="3" tint="-0.24994659260841701"/>
      </top>
      <bottom/>
      <diagonal/>
    </border>
    <border>
      <left style="thin">
        <color theme="3" tint="-0.499984740745262"/>
      </left>
      <right/>
      <top style="thin">
        <color theme="3" tint="-0.499984740745262"/>
      </top>
      <bottom/>
      <diagonal/>
    </border>
    <border>
      <left/>
      <right/>
      <top style="thin">
        <color theme="3" tint="-0.499984740745262"/>
      </top>
      <bottom/>
      <diagonal/>
    </border>
    <border>
      <left/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theme="3" tint="-0.499984740745262"/>
      </left>
      <right/>
      <top/>
      <bottom style="thin">
        <color theme="3" tint="-0.499984740745262"/>
      </bottom>
      <diagonal/>
    </border>
    <border>
      <left/>
      <right/>
      <top/>
      <bottom style="thin">
        <color theme="3" tint="-0.49998474074526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3" tint="-0.499984740745262"/>
      </right>
      <top/>
      <bottom style="thin">
        <color theme="3" tint="-0.499984740745262"/>
      </bottom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-0.24994659260841701"/>
      </left>
      <right style="thick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ck">
        <color theme="3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3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3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ck">
        <color theme="3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ck">
        <color theme="3" tint="-0.24994659260841701"/>
      </right>
      <top/>
      <bottom style="thin">
        <color theme="0" tint="-0.24994659260841701"/>
      </bottom>
      <diagonal/>
    </border>
    <border>
      <left style="thick">
        <color theme="3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3" tint="-0.24994659260841701"/>
      </right>
      <top style="thin">
        <color theme="0"/>
      </top>
      <bottom style="thin">
        <color theme="0" tint="-0.24994659260841701"/>
      </bottom>
      <diagonal/>
    </border>
    <border>
      <left style="thick">
        <color theme="3" tint="-0.24994659260841701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theme="0" tint="-0.34998626667073579"/>
      </left>
      <right style="thick">
        <color theme="3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ck">
        <color theme="3" tint="-0.24994659260841701"/>
      </right>
      <top style="thin">
        <color theme="0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0" tint="-0.24994659260841701"/>
      </right>
      <top style="thin">
        <color theme="3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3" tint="-0.24994659260841701"/>
      </top>
      <bottom style="thin">
        <color theme="0" tint="-0.24994659260841701"/>
      </bottom>
      <diagonal/>
    </border>
    <border>
      <left style="thin">
        <color theme="3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3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3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3" tint="-0.24994659260841701"/>
      </bottom>
      <diagonal/>
    </border>
    <border>
      <left style="thin">
        <color theme="0" tint="-0.24994659260841701"/>
      </left>
      <right style="thick">
        <color theme="3" tint="-0.24994659260841701"/>
      </right>
      <top style="thin">
        <color theme="0" tint="-0.24994659260841701"/>
      </top>
      <bottom style="thin">
        <color theme="3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3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ck">
        <color theme="3" tint="-0.24994659260841701"/>
      </right>
      <top style="thick">
        <color theme="3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3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ck">
        <color theme="3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ck">
        <color theme="3" tint="-0.24994659260841701"/>
      </right>
      <top style="thin">
        <color theme="3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15397F"/>
      </top>
      <bottom style="thin">
        <color theme="0" tint="-0.24994659260841701"/>
      </bottom>
      <diagonal/>
    </border>
    <border>
      <left style="thick">
        <color rgb="FF15397F"/>
      </left>
      <right style="thin">
        <color theme="0" tint="-0.24994659260841701"/>
      </right>
      <top style="thin">
        <color theme="0" tint="-0.24994659260841701"/>
      </top>
      <bottom style="thin">
        <color rgb="FF15397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rgb="FF15397F"/>
      </bottom>
      <diagonal/>
    </border>
    <border>
      <left style="thick">
        <color theme="3" tint="-0.24994659260841701"/>
      </left>
      <right style="thin">
        <color theme="0" tint="-0.24994659260841701"/>
      </right>
      <top style="thin">
        <color theme="3" tint="-0.24994659260841701"/>
      </top>
      <bottom style="thin">
        <color theme="0" tint="-0.24994659260841701"/>
      </bottom>
      <diagonal/>
    </border>
    <border>
      <left style="thick">
        <color theme="3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ck">
        <color theme="3" tint="-0.24994659260841701"/>
      </right>
      <top style="thin">
        <color theme="0"/>
      </top>
      <bottom style="thick">
        <color theme="3" tint="-0.24994659260841701"/>
      </bottom>
      <diagonal/>
    </border>
    <border>
      <left style="thick">
        <color theme="3" tint="-0.24994659260841701"/>
      </left>
      <right/>
      <top/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 style="thick">
        <color theme="3" tint="-0.24994659260841701"/>
      </bottom>
      <diagonal/>
    </border>
    <border>
      <left style="thin">
        <color theme="3" tint="-0.24994659260841701"/>
      </left>
      <right style="thick">
        <color theme="3" tint="-0.24994659260841701"/>
      </right>
      <top/>
      <bottom style="thick">
        <color theme="3" tint="-0.24994659260841701"/>
      </bottom>
      <diagonal/>
    </border>
    <border>
      <left style="thick">
        <color theme="3" tint="-0.2499465926084170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theme="3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4659260841701"/>
      </right>
      <top/>
      <bottom style="thin">
        <color indexed="64"/>
      </bottom>
      <diagonal/>
    </border>
    <border>
      <left style="medium">
        <color indexed="64"/>
      </left>
      <right style="thick">
        <color theme="3" tint="-0.24994659260841701"/>
      </right>
      <top style="thin">
        <color indexed="64"/>
      </top>
      <bottom style="thin">
        <color indexed="64"/>
      </bottom>
      <diagonal/>
    </border>
    <border>
      <left style="thick">
        <color theme="3" tint="-0.24994659260841701"/>
      </left>
      <right/>
      <top/>
      <bottom style="medium">
        <color indexed="64"/>
      </bottom>
      <diagonal/>
    </border>
    <border>
      <left/>
      <right style="thick">
        <color theme="3" tint="-0.2499465926084170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4659260841701"/>
      </right>
      <top style="medium">
        <color indexed="64"/>
      </top>
      <bottom style="thin">
        <color indexed="64"/>
      </bottom>
      <diagonal/>
    </border>
    <border>
      <left style="thick">
        <color theme="3" tint="-0.2499465926084170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theme="3" tint="-0.24994659260841701"/>
      </right>
      <top style="medium">
        <color indexed="64"/>
      </top>
      <bottom/>
      <diagonal/>
    </border>
    <border>
      <left style="thick">
        <color theme="3" tint="-0.24994659260841701"/>
      </left>
      <right style="medium">
        <color indexed="64"/>
      </right>
      <top style="thin">
        <color indexed="64"/>
      </top>
      <bottom style="thick">
        <color theme="3" tint="-0.2499465926084170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theme="3" tint="-0.24994659260841701"/>
      </bottom>
      <diagonal/>
    </border>
    <border>
      <left/>
      <right style="thick">
        <color theme="3" tint="-0.24994659260841701"/>
      </right>
      <top style="thin">
        <color indexed="64"/>
      </top>
      <bottom style="thick">
        <color theme="3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theme="0"/>
      </left>
      <right style="thin">
        <color theme="3" tint="-0.499984740745262"/>
      </right>
      <top style="thin">
        <color theme="3" tint="-0.24994659260841701"/>
      </top>
      <bottom/>
      <diagonal/>
    </border>
    <border>
      <left style="thin">
        <color theme="3" tint="-0.499984740745262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/>
      <top/>
      <bottom style="thin">
        <color theme="0"/>
      </bottom>
      <diagonal/>
    </border>
    <border>
      <left style="thin">
        <color theme="0"/>
      </left>
      <right style="thin">
        <color theme="3" tint="-0.2499465926084170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3" tint="-0.24994659260841701"/>
      </right>
      <top style="thin">
        <color theme="0"/>
      </top>
      <bottom style="thin">
        <color theme="3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3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3" tint="-0.499984740745262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3" tint="-0.499984740745262"/>
      </right>
      <top/>
      <bottom style="thin">
        <color theme="0" tint="-0.24994659260841701"/>
      </bottom>
      <diagonal/>
    </border>
    <border>
      <left style="thin">
        <color theme="3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3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3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3" tint="-0.24994659260841701"/>
      </bottom>
      <diagonal/>
    </border>
    <border>
      <left style="thin">
        <color theme="0" tint="-0.24994659260841701"/>
      </left>
      <right style="thin">
        <color theme="3" tint="-0.499984740745262"/>
      </right>
      <top style="thin">
        <color theme="0" tint="-0.24994659260841701"/>
      </top>
      <bottom style="thin">
        <color theme="3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thick">
        <color theme="3" tint="-0.499984740745262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indexed="64"/>
      </bottom>
      <diagonal/>
    </border>
    <border>
      <left style="thin">
        <color theme="3" tint="-0.24994659260841701"/>
      </left>
      <right style="thick">
        <color theme="3" tint="-0.499984740745262"/>
      </right>
      <top style="thin">
        <color theme="3" tint="-0.24994659260841701"/>
      </top>
      <bottom style="thin">
        <color indexed="64"/>
      </bottom>
      <diagonal/>
    </border>
    <border>
      <left style="thick">
        <color theme="3" tint="-0.499984740745262"/>
      </left>
      <right style="thin">
        <color theme="3" tint="-0.24994659260841701"/>
      </right>
      <top style="thin">
        <color theme="3" tint="-0.499984740745262"/>
      </top>
      <bottom style="thin">
        <color indexed="64"/>
      </bottom>
      <diagonal/>
    </border>
    <border>
      <left style="thick">
        <color theme="3" tint="-0.499984740745262"/>
      </left>
      <right style="thin">
        <color theme="3" tint="-0.24994659260841701"/>
      </right>
      <top/>
      <bottom/>
      <diagonal/>
    </border>
    <border>
      <left style="thin">
        <color theme="3" tint="-0.24994659260841701"/>
      </left>
      <right style="thin">
        <color indexed="64"/>
      </right>
      <top style="thin">
        <color theme="3" tint="-0.499984740745262"/>
      </top>
      <bottom style="thin">
        <color indexed="64"/>
      </bottom>
      <diagonal/>
    </border>
    <border>
      <left style="medium">
        <color theme="3" tint="-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3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3" tint="-0.499984740745262"/>
      </left>
      <right style="thin">
        <color theme="0" tint="-0.34998626667073579"/>
      </right>
      <top style="thin">
        <color theme="0" tint="-0.34998626667073579"/>
      </top>
      <bottom style="thin">
        <color theme="3" tint="-0.24994659260841701"/>
      </bottom>
      <diagonal/>
    </border>
    <border>
      <left style="thin">
        <color theme="0" tint="-0.34998626667073579"/>
      </left>
      <right style="medium">
        <color theme="3" tint="-0.499984740745262"/>
      </right>
      <top style="thin">
        <color theme="0" tint="-0.34998626667073579"/>
      </top>
      <bottom style="thin">
        <color theme="3" tint="-0.24994659260841701"/>
      </bottom>
      <diagonal/>
    </border>
    <border>
      <left style="medium">
        <color theme="3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3" tint="-0.499984740745262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medium">
        <color theme="3" tint="-0.499984740745262"/>
      </right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thick">
        <color theme="3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ck">
        <color theme="3" tint="-0.24994659260841701"/>
      </left>
      <right style="thick">
        <color theme="3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ck">
        <color theme="3" tint="-0.24994659260841701"/>
      </left>
      <right style="thick">
        <color theme="3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3" tint="-0.24994659260841701"/>
      </left>
      <right style="thick">
        <color theme="3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ck">
        <color theme="3" tint="-0.499984740745262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3" tint="-0.499984740745262"/>
      </right>
      <top style="thin">
        <color indexed="64"/>
      </top>
      <bottom style="thin">
        <color theme="0" tint="-0.24994659260841701"/>
      </bottom>
      <diagonal/>
    </border>
    <border>
      <left style="thick">
        <color theme="3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3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3" tint="-0.499984740745262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ck">
        <color theme="3" tint="-0.499984740745262"/>
      </right>
      <top style="thin">
        <color theme="0" tint="-0.24994659260841701"/>
      </top>
      <bottom style="thin">
        <color indexed="64"/>
      </bottom>
      <diagonal/>
    </border>
    <border>
      <left style="thick">
        <color theme="3" tint="-0.499984740745262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3" tint="-0.499984740745262"/>
      </right>
      <top style="thin">
        <color theme="0"/>
      </top>
      <bottom style="thin">
        <color theme="0" tint="-0.24994659260841701"/>
      </bottom>
      <diagonal/>
    </border>
    <border>
      <left style="thick">
        <color theme="3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3" tint="-0.24994659260841701"/>
      </bottom>
      <diagonal/>
    </border>
    <border>
      <left style="thin">
        <color theme="0" tint="-0.24994659260841701"/>
      </left>
      <right style="thick">
        <color theme="3" tint="-0.499984740745262"/>
      </right>
      <top style="thin">
        <color theme="0" tint="-0.24994659260841701"/>
      </top>
      <bottom style="thin">
        <color theme="3" tint="-0.24994659260841701"/>
      </bottom>
      <diagonal/>
    </border>
    <border>
      <left style="thick">
        <color theme="3" tint="-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ck">
        <color theme="3" tint="-0.499984740745262"/>
      </right>
      <top style="thin">
        <color theme="0" tint="-0.2499465926084170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theme="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1"/>
      </right>
      <top style="thin">
        <color theme="0" tint="-0.24994659260841701"/>
      </top>
      <bottom style="thin">
        <color indexed="64"/>
      </bottom>
      <diagonal/>
    </border>
    <border>
      <left style="thick">
        <color theme="3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 style="thick">
        <color theme="3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3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ck">
        <color theme="3" tint="-0.24994659260841701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/>
      </top>
      <bottom style="thin">
        <color theme="0" tint="-0.24994659260841701"/>
      </bottom>
      <diagonal/>
    </border>
    <border>
      <left style="thick">
        <color theme="3" tint="-0.2499465926084170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1"/>
      </right>
      <top/>
      <bottom/>
      <diagonal/>
    </border>
    <border>
      <left/>
      <right style="thick">
        <color theme="3" tint="-0.24994659260841701"/>
      </right>
      <top style="thin">
        <color theme="0"/>
      </top>
      <bottom style="thin">
        <color rgb="FF0B5258"/>
      </bottom>
      <diagonal/>
    </border>
    <border>
      <left/>
      <right/>
      <top style="thin">
        <color theme="0"/>
      </top>
      <bottom style="thin">
        <color rgb="FF0B5258"/>
      </bottom>
      <diagonal/>
    </border>
    <border>
      <left/>
      <right/>
      <top style="thin">
        <color rgb="FF0B5258"/>
      </top>
      <bottom style="thin">
        <color rgb="FF0B5258"/>
      </bottom>
      <diagonal/>
    </border>
    <border>
      <left/>
      <right style="thick">
        <color theme="3" tint="-0.24994659260841701"/>
      </right>
      <top style="thin">
        <color rgb="FF0B5258"/>
      </top>
      <bottom style="thin">
        <color rgb="FF0B5258"/>
      </bottom>
      <diagonal/>
    </border>
    <border>
      <left style="thick">
        <color theme="3" tint="-0.24994659260841701"/>
      </left>
      <right/>
      <top style="thin">
        <color theme="0"/>
      </top>
      <bottom style="thin">
        <color rgb="FF0B5258"/>
      </bottom>
      <diagonal/>
    </border>
    <border>
      <left style="thick">
        <color theme="3" tint="-0.24994659260841701"/>
      </left>
      <right/>
      <top style="thin">
        <color rgb="FF0B5258"/>
      </top>
      <bottom style="thin">
        <color rgb="FF0B5258"/>
      </bottom>
      <diagonal/>
    </border>
    <border>
      <left style="thick">
        <color theme="3" tint="-0.499984740745262"/>
      </left>
      <right/>
      <top style="thin">
        <color rgb="FF0B5258"/>
      </top>
      <bottom style="thin">
        <color rgb="FF0B5258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ck">
        <color theme="3" tint="-0.24994659260841701"/>
      </bottom>
      <diagonal/>
    </border>
    <border>
      <left style="thick">
        <color theme="3" tint="-0.24994659260841701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medium">
        <color indexed="64"/>
      </left>
      <right style="medium">
        <color theme="3" tint="-0.24994659260841701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3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3" tint="-0.24994659260841701"/>
      </right>
      <top style="thin">
        <color theme="0" tint="-0.24994659260841701"/>
      </top>
      <bottom style="thin">
        <color theme="3" tint="-0.24994659260841701"/>
      </bottom>
      <diagonal/>
    </border>
    <border>
      <left style="thick">
        <color theme="3" tint="-0.24994659260841701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ck">
        <color theme="3" tint="-0.2499465926084170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3" tint="-0.24994659260841701"/>
      </left>
      <right style="medium">
        <color indexed="64"/>
      </right>
      <top style="thin">
        <color theme="0" tint="-0.14996795556505021"/>
      </top>
      <bottom style="thin">
        <color theme="3" tint="-0.24994659260841701"/>
      </bottom>
      <diagonal/>
    </border>
    <border>
      <left style="thick">
        <color rgb="FF0B5258"/>
      </left>
      <right/>
      <top style="thick">
        <color rgb="FF0B5258"/>
      </top>
      <bottom/>
      <diagonal/>
    </border>
    <border>
      <left style="thin">
        <color theme="0"/>
      </left>
      <right style="thin">
        <color theme="0"/>
      </right>
      <top style="thick">
        <color rgb="FF0B5258"/>
      </top>
      <bottom/>
      <diagonal/>
    </border>
    <border>
      <left/>
      <right style="thin">
        <color theme="0"/>
      </right>
      <top style="thick">
        <color rgb="FF0B5258"/>
      </top>
      <bottom/>
      <diagonal/>
    </border>
    <border>
      <left style="thin">
        <color theme="0"/>
      </left>
      <right/>
      <top style="thick">
        <color rgb="FF0B5258"/>
      </top>
      <bottom/>
      <diagonal/>
    </border>
    <border>
      <left style="thin">
        <color theme="0" tint="-4.9989318521683403E-2"/>
      </left>
      <right style="thin">
        <color theme="0"/>
      </right>
      <top style="thick">
        <color rgb="FF0B5258"/>
      </top>
      <bottom/>
      <diagonal/>
    </border>
    <border>
      <left style="thin">
        <color theme="0"/>
      </left>
      <right style="thin">
        <color theme="0" tint="-4.9989318521683403E-2"/>
      </right>
      <top style="thick">
        <color rgb="FF0B5258"/>
      </top>
      <bottom/>
      <diagonal/>
    </border>
    <border>
      <left style="thin">
        <color theme="0"/>
      </left>
      <right style="thick">
        <color rgb="FF0B5258"/>
      </right>
      <top style="thick">
        <color rgb="FF0B5258"/>
      </top>
      <bottom/>
      <diagonal/>
    </border>
    <border>
      <left style="thick">
        <color rgb="FF0B5258"/>
      </left>
      <right/>
      <top/>
      <bottom/>
      <diagonal/>
    </border>
    <border>
      <left style="thin">
        <color theme="0"/>
      </left>
      <right style="thick">
        <color rgb="FF0B5258"/>
      </right>
      <top/>
      <bottom/>
      <diagonal/>
    </border>
    <border>
      <left style="thick">
        <color rgb="FF0B5258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0B5258"/>
      </right>
      <top/>
      <bottom style="thin">
        <color theme="0" tint="-0.24994659260841701"/>
      </bottom>
      <diagonal/>
    </border>
    <border>
      <left style="thick">
        <color rgb="FF0B5258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0B5258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0B5258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ck">
        <color rgb="FF0B5258"/>
      </right>
      <top style="thin">
        <color theme="0" tint="-0.24994659260841701"/>
      </top>
      <bottom style="thin">
        <color indexed="64"/>
      </bottom>
      <diagonal/>
    </border>
    <border>
      <left style="thick">
        <color rgb="FF0B5258"/>
      </left>
      <right/>
      <top style="thin">
        <color indexed="64"/>
      </top>
      <bottom style="thick">
        <color rgb="FF0B5258"/>
      </bottom>
      <diagonal/>
    </border>
    <border>
      <left style="medium">
        <color indexed="64"/>
      </left>
      <right/>
      <top style="thin">
        <color indexed="64"/>
      </top>
      <bottom style="thick">
        <color rgb="FF0B525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0B525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0B52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B5258"/>
      </bottom>
      <diagonal/>
    </border>
    <border>
      <left style="thin">
        <color indexed="64"/>
      </left>
      <right style="thick">
        <color theme="3" tint="-0.24994659260841701"/>
      </right>
      <top style="thin">
        <color indexed="64"/>
      </top>
      <bottom style="thick">
        <color rgb="FF0B5258"/>
      </bottom>
      <diagonal/>
    </border>
    <border>
      <left style="thin">
        <color indexed="64"/>
      </left>
      <right style="thick">
        <color rgb="FF0B5258"/>
      </right>
      <top style="thin">
        <color indexed="64"/>
      </top>
      <bottom style="thick">
        <color rgb="FF0B5258"/>
      </bottom>
      <diagonal/>
    </border>
    <border>
      <left style="thick">
        <color rgb="FF0B5258"/>
      </left>
      <right style="thin">
        <color theme="0"/>
      </right>
      <top style="thick">
        <color rgb="FF0B5258"/>
      </top>
      <bottom/>
      <diagonal/>
    </border>
    <border>
      <left/>
      <right/>
      <top style="thick">
        <color rgb="FF0B5258"/>
      </top>
      <bottom/>
      <diagonal/>
    </border>
    <border>
      <left/>
      <right style="thick">
        <color rgb="FF0B5258"/>
      </right>
      <top style="thick">
        <color rgb="FF0B5258"/>
      </top>
      <bottom/>
      <diagonal/>
    </border>
    <border>
      <left style="thick">
        <color rgb="FF0B5258"/>
      </left>
      <right style="thin">
        <color theme="0"/>
      </right>
      <top/>
      <bottom/>
      <diagonal/>
    </border>
    <border>
      <left/>
      <right style="thick">
        <color rgb="FF0B5258"/>
      </right>
      <top/>
      <bottom/>
      <diagonal/>
    </border>
    <border>
      <left style="thick">
        <color rgb="FF0B5258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0B5258"/>
      </right>
      <top style="thin">
        <color indexed="64"/>
      </top>
      <bottom style="thin">
        <color theme="0" tint="-0.24994659260841701"/>
      </bottom>
      <diagonal/>
    </border>
    <border>
      <left style="thick">
        <color rgb="FF0B5258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4" tint="-0.499984740745262"/>
      </left>
      <right style="thin">
        <color indexed="64"/>
      </right>
      <top style="thin">
        <color indexed="64"/>
      </top>
      <bottom style="thick">
        <color rgb="FF0B5258"/>
      </bottom>
      <diagonal/>
    </border>
    <border>
      <left style="thin">
        <color indexed="64"/>
      </left>
      <right/>
      <top style="thin">
        <color indexed="64"/>
      </top>
      <bottom style="thick">
        <color rgb="FF0B5258"/>
      </bottom>
      <diagonal/>
    </border>
    <border>
      <left style="thin">
        <color indexed="64"/>
      </left>
      <right style="medium">
        <color theme="4" tint="-0.499984740745262"/>
      </right>
      <top style="thin">
        <color indexed="64"/>
      </top>
      <bottom style="thick">
        <color rgb="FF0B5258"/>
      </bottom>
      <diagonal/>
    </border>
    <border>
      <left style="thick">
        <color rgb="FF0B5258"/>
      </left>
      <right style="thin">
        <color theme="3" tint="-0.24994659260841701"/>
      </right>
      <top style="thick">
        <color rgb="FF0B5258"/>
      </top>
      <bottom style="thin">
        <color theme="3" tint="-0.24994659260841701"/>
      </bottom>
      <diagonal/>
    </border>
    <border>
      <left style="thin">
        <color theme="3" tint="-0.24994659260841701"/>
      </left>
      <right style="thick">
        <color rgb="FF0B5258"/>
      </right>
      <top style="thick">
        <color rgb="FF0B5258"/>
      </top>
      <bottom style="thin">
        <color theme="3" tint="-0.24994659260841701"/>
      </bottom>
      <diagonal/>
    </border>
    <border>
      <left style="thick">
        <color rgb="FF0B5258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ck">
        <color rgb="FF0B5258"/>
      </right>
      <top style="thin">
        <color theme="3" tint="-0.24994659260841701"/>
      </top>
      <bottom style="thin">
        <color theme="3" tint="-0.24994659260841701"/>
      </bottom>
      <diagonal/>
    </border>
    <border>
      <left style="thick">
        <color rgb="FF0B5258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thick">
        <color rgb="FF0B5258"/>
      </right>
      <top style="thin">
        <color theme="3" tint="-0.24994659260841701"/>
      </top>
      <bottom/>
      <diagonal/>
    </border>
    <border>
      <left style="thick">
        <color rgb="FF0B5258"/>
      </left>
      <right style="thin">
        <color theme="3" tint="-0.24994659260841701"/>
      </right>
      <top style="thin">
        <color theme="3" tint="-0.24994659260841701"/>
      </top>
      <bottom style="thick">
        <color rgb="FF0B5258"/>
      </bottom>
      <diagonal/>
    </border>
    <border>
      <left style="thin">
        <color theme="3" tint="-0.24994659260841701"/>
      </left>
      <right style="thick">
        <color rgb="FF0B5258"/>
      </right>
      <top style="thin">
        <color theme="3" tint="-0.24994659260841701"/>
      </top>
      <bottom style="thick">
        <color rgb="FF0B5258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3" tint="-0.24994659260841701"/>
      </left>
      <right style="thin">
        <color theme="0" tint="-0.24994659260841701"/>
      </right>
      <top/>
      <bottom/>
      <diagonal/>
    </border>
    <border>
      <left style="thick">
        <color theme="3" tint="-0.24994659260841701"/>
      </left>
      <right style="thin">
        <color indexed="64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indexed="64"/>
      </left>
      <right style="thin">
        <color theme="0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theme="0" tint="-0.24994659260841701"/>
      </left>
      <right/>
      <top style="thin">
        <color rgb="FF15397F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rgb="FF15397F"/>
      </bottom>
      <diagonal/>
    </border>
    <border>
      <left/>
      <right style="thin">
        <color theme="0" tint="-0.24994659260841701"/>
      </right>
      <top style="thin">
        <color rgb="FF15397F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rgb="FF15397F"/>
      </bottom>
      <diagonal/>
    </border>
    <border>
      <left style="medium">
        <color theme="8" tint="-0.499984740745262"/>
      </left>
      <right style="thin">
        <color theme="0" tint="-0.24994659260841701"/>
      </right>
      <top style="thin">
        <color rgb="FF15397F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8" tint="-0.499984740745262"/>
      </right>
      <top style="thin">
        <color rgb="FF15397F"/>
      </top>
      <bottom style="thin">
        <color theme="0" tint="-0.24994659260841701"/>
      </bottom>
      <diagonal/>
    </border>
    <border>
      <left style="medium">
        <color theme="8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8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8" tint="-0.499984740745262"/>
      </left>
      <right style="thin">
        <color theme="0" tint="-0.24994659260841701"/>
      </right>
      <top style="thin">
        <color theme="0" tint="-0.24994659260841701"/>
      </top>
      <bottom style="thin">
        <color rgb="FF15397F"/>
      </bottom>
      <diagonal/>
    </border>
    <border>
      <left style="thin">
        <color theme="0" tint="-0.24994659260841701"/>
      </left>
      <right style="medium">
        <color theme="8" tint="-0.499984740745262"/>
      </right>
      <top style="thin">
        <color theme="0" tint="-0.24994659260841701"/>
      </top>
      <bottom style="thin">
        <color rgb="FF15397F"/>
      </bottom>
      <diagonal/>
    </border>
    <border>
      <left style="thick">
        <color theme="8" tint="-0.499984740745262"/>
      </left>
      <right/>
      <top style="thick">
        <color theme="8" tint="-0.499984740745262"/>
      </top>
      <bottom/>
      <diagonal/>
    </border>
    <border>
      <left style="thin">
        <color theme="0"/>
      </left>
      <right style="thin">
        <color theme="0"/>
      </right>
      <top style="thick">
        <color theme="8" tint="-0.499984740745262"/>
      </top>
      <bottom style="thin">
        <color theme="0"/>
      </bottom>
      <diagonal/>
    </border>
    <border>
      <left style="thin">
        <color theme="0"/>
      </left>
      <right/>
      <top style="thick">
        <color theme="8" tint="-0.499984740745262"/>
      </top>
      <bottom style="thin">
        <color theme="0"/>
      </bottom>
      <diagonal/>
    </border>
    <border>
      <left/>
      <right/>
      <top style="thick">
        <color theme="8" tint="-0.499984740745262"/>
      </top>
      <bottom style="thin">
        <color theme="0"/>
      </bottom>
      <diagonal/>
    </border>
    <border>
      <left/>
      <right style="thin">
        <color theme="0"/>
      </right>
      <top style="thick">
        <color theme="8" tint="-0.499984740745262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ck">
        <color theme="8" tint="-0.499984740745262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ck">
        <color theme="8" tint="-0.499984740745262"/>
      </top>
      <bottom style="thin">
        <color theme="0"/>
      </bottom>
      <diagonal/>
    </border>
    <border>
      <left style="thin">
        <color theme="0"/>
      </left>
      <right style="thick">
        <color theme="8" tint="-0.499984740745262"/>
      </right>
      <top style="thick">
        <color theme="8" tint="-0.499984740745262"/>
      </top>
      <bottom style="thin">
        <color theme="0"/>
      </bottom>
      <diagonal/>
    </border>
    <border>
      <left style="thick">
        <color theme="8" tint="-0.499984740745262"/>
      </left>
      <right/>
      <top/>
      <bottom/>
      <diagonal/>
    </border>
    <border>
      <left style="thin">
        <color theme="0"/>
      </left>
      <right style="thick">
        <color theme="8" tint="-0.499984740745262"/>
      </right>
      <top/>
      <bottom/>
      <diagonal/>
    </border>
    <border>
      <left style="thick">
        <color theme="8" tint="-0.499984740745262"/>
      </left>
      <right/>
      <top style="thin">
        <color rgb="FF15397F"/>
      </top>
      <bottom style="thin">
        <color rgb="FF15397F"/>
      </bottom>
      <diagonal/>
    </border>
    <border>
      <left style="thin">
        <color theme="0" tint="-0.24994659260841701"/>
      </left>
      <right style="thick">
        <color theme="8" tint="-0.499984740745262"/>
      </right>
      <top style="thin">
        <color rgb="FF15397F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8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8" tint="-0.499984740745262"/>
      </right>
      <top style="thin">
        <color theme="0" tint="-0.24994659260841701"/>
      </top>
      <bottom style="thin">
        <color rgb="FF15397F"/>
      </bottom>
      <diagonal/>
    </border>
    <border>
      <left style="thick">
        <color theme="8" tint="-0.499984740745262"/>
      </left>
      <right/>
      <top/>
      <bottom style="thick">
        <color theme="8" tint="-0.499984740745262"/>
      </bottom>
      <diagonal/>
    </border>
    <border>
      <left/>
      <right/>
      <top/>
      <bottom style="thick">
        <color theme="8" tint="-0.499984740745262"/>
      </bottom>
      <diagonal/>
    </border>
    <border>
      <left/>
      <right style="thick">
        <color theme="8" tint="-0.499984740745262"/>
      </right>
      <top/>
      <bottom style="thick">
        <color theme="8" tint="-0.499984740745262"/>
      </bottom>
      <diagonal/>
    </border>
    <border>
      <left/>
      <right style="thick">
        <color theme="8" tint="-0.499984740745262"/>
      </right>
      <top style="thick">
        <color theme="8" tint="-0.499984740745262"/>
      </top>
      <bottom/>
      <diagonal/>
    </border>
    <border>
      <left style="thick">
        <color theme="8" tint="-0.499984740745262"/>
      </left>
      <right style="thin">
        <color theme="8" tint="-0.499984740745262"/>
      </right>
      <top style="thick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ck">
        <color theme="8" tint="-0.499984740745262"/>
      </right>
      <top style="thick">
        <color theme="8" tint="-0.499984740745262"/>
      </top>
      <bottom style="thin">
        <color theme="8" tint="-0.499984740745262"/>
      </bottom>
      <diagonal/>
    </border>
    <border>
      <left style="thick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ck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ck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ck">
        <color theme="8" tint="-0.499984740745262"/>
      </bottom>
      <diagonal/>
    </border>
    <border>
      <left style="thin">
        <color theme="8" tint="-0.499984740745262"/>
      </left>
      <right style="thick">
        <color theme="8" tint="-0.499984740745262"/>
      </right>
      <top style="thin">
        <color theme="8" tint="-0.499984740745262"/>
      </top>
      <bottom style="thick">
        <color theme="8" tint="-0.499984740745262"/>
      </bottom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ck">
        <color theme="3" tint="-0.24994659260841701"/>
      </top>
      <bottom style="thin">
        <color theme="0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0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ck">
        <color theme="3" tint="-0.24994659260841701"/>
      </right>
      <top style="thick">
        <color theme="3" tint="-0.24994659260841701"/>
      </top>
      <bottom style="thin">
        <color theme="0" tint="-0.24994659260841701"/>
      </bottom>
      <diagonal/>
    </border>
    <border>
      <left style="thin">
        <color theme="3" tint="-0.24994659260841701"/>
      </left>
      <right style="thick">
        <color theme="3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3" tint="-0.24994659260841701"/>
      </left>
      <right style="thick">
        <color theme="3" tint="-0.24994659260841701"/>
      </right>
      <top style="thin">
        <color theme="0" tint="-0.24994659260841701"/>
      </top>
      <bottom style="thin">
        <color theme="3" tint="-0.24994659260841701"/>
      </bottom>
      <diagonal/>
    </border>
    <border>
      <left style="thick">
        <color theme="3" tint="-0.24994659260841701"/>
      </left>
      <right style="thin">
        <color theme="0" tint="-0.34998626667073579"/>
      </right>
      <top style="thick">
        <color theme="3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3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3" tint="-0.24994659260841701"/>
      </right>
      <top style="thick">
        <color theme="3" tint="-0.24994659260841701"/>
      </top>
      <bottom style="thin">
        <color theme="0" tint="-0.34998626667073579"/>
      </bottom>
      <diagonal/>
    </border>
    <border>
      <left style="thick">
        <color theme="3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3" tint="-0.24994659260841701"/>
      </left>
      <right style="thin">
        <color theme="0" tint="-0.34998626667073579"/>
      </right>
      <top style="thin">
        <color theme="0" tint="-0.34998626667073579"/>
      </top>
      <bottom style="thick">
        <color theme="3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3" tint="-0.24994659260841701"/>
      </bottom>
      <diagonal/>
    </border>
    <border>
      <left style="thin">
        <color theme="0" tint="-0.34998626667073579"/>
      </left>
      <right style="thick">
        <color theme="3" tint="-0.24994659260841701"/>
      </right>
      <top style="thin">
        <color theme="0" tint="-0.34998626667073579"/>
      </top>
      <bottom style="thick">
        <color theme="3" tint="-0.24994659260841701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0" tint="-0.14996795556505021"/>
      </bottom>
      <diagonal/>
    </border>
    <border>
      <left style="thin">
        <color theme="3" tint="-0.499984740745262"/>
      </left>
      <right/>
      <top style="thin">
        <color theme="0" tint="-0.14996795556505021"/>
      </top>
      <bottom style="thin">
        <color theme="3" tint="-0.499984740745262"/>
      </bottom>
      <diagonal/>
    </border>
    <border>
      <left style="thin">
        <color theme="0" tint="-0.14996795556505021"/>
      </left>
      <right/>
      <top style="thin">
        <color theme="3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3" tint="-0.499984740745262"/>
      </bottom>
      <diagonal/>
    </border>
    <border>
      <left/>
      <right style="thin">
        <color theme="0" tint="-0.14996795556505021"/>
      </right>
      <top style="thin">
        <color theme="3" tint="-0.49998474074526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3" tint="-0.499984740745262"/>
      </bottom>
      <diagonal/>
    </border>
    <border>
      <left style="thin">
        <color rgb="FF0B5258"/>
      </left>
      <right/>
      <top style="thin">
        <color theme="3" tint="-0.499984740745262"/>
      </top>
      <bottom style="thin">
        <color theme="0" tint="-0.14996795556505021"/>
      </bottom>
      <diagonal/>
    </border>
    <border>
      <left/>
      <right style="thin">
        <color rgb="FF0B5258"/>
      </right>
      <top style="thin">
        <color theme="3" tint="-0.499984740745262"/>
      </top>
      <bottom style="thin">
        <color theme="0" tint="-0.14996795556505021"/>
      </bottom>
      <diagonal/>
    </border>
    <border>
      <left style="thin">
        <color rgb="FF0B5258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rgb="FF0B5258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0B5258"/>
      </left>
      <right/>
      <top style="thin">
        <color theme="0" tint="-0.14996795556505021"/>
      </top>
      <bottom style="thin">
        <color theme="3" tint="-0.499984740745262"/>
      </bottom>
      <diagonal/>
    </border>
    <border>
      <left/>
      <right style="thin">
        <color rgb="FF0B5258"/>
      </right>
      <top style="thin">
        <color theme="0" tint="-0.14996795556505021"/>
      </top>
      <bottom style="thin">
        <color theme="3" tint="-0.499984740745262"/>
      </bottom>
      <diagonal/>
    </border>
    <border>
      <left style="thin">
        <color rgb="FF0B5258"/>
      </left>
      <right style="thin">
        <color theme="0" tint="-0.14996795556505021"/>
      </right>
      <top style="thin">
        <color theme="3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rgb="FF0B5258"/>
      </right>
      <top style="thin">
        <color theme="3" tint="-0.499984740745262"/>
      </top>
      <bottom style="thin">
        <color theme="0" tint="-0.14996795556505021"/>
      </bottom>
      <diagonal/>
    </border>
    <border>
      <left style="thin">
        <color rgb="FF0B5258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rgb="FF0B5258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0B5258"/>
      </left>
      <right style="thin">
        <color theme="0" tint="-0.14996795556505021"/>
      </right>
      <top style="thin">
        <color theme="0" tint="-0.14996795556505021"/>
      </top>
      <bottom style="thin">
        <color theme="3" tint="-0.499984740745262"/>
      </bottom>
      <diagonal/>
    </border>
    <border>
      <left style="thin">
        <color theme="0" tint="-0.14996795556505021"/>
      </left>
      <right style="thin">
        <color rgb="FF0B5258"/>
      </right>
      <top style="thin">
        <color theme="0" tint="-0.14996795556505021"/>
      </top>
      <bottom style="thin">
        <color theme="3" tint="-0.499984740745262"/>
      </bottom>
      <diagonal/>
    </border>
    <border>
      <left style="thick">
        <color rgb="FF0B5258"/>
      </left>
      <right style="medium">
        <color theme="0"/>
      </right>
      <top style="thick">
        <color rgb="FF0B5258"/>
      </top>
      <bottom/>
      <diagonal/>
    </border>
    <border>
      <left style="medium">
        <color theme="0"/>
      </left>
      <right style="medium">
        <color theme="0"/>
      </right>
      <top style="thick">
        <color rgb="FF0B5258"/>
      </top>
      <bottom/>
      <diagonal/>
    </border>
    <border>
      <left style="medium">
        <color theme="0"/>
      </left>
      <right/>
      <top style="thick">
        <color rgb="FF0B5258"/>
      </top>
      <bottom/>
      <diagonal/>
    </border>
    <border>
      <left style="medium">
        <color theme="0"/>
      </left>
      <right style="thick">
        <color rgb="FF0B5258"/>
      </right>
      <top style="thick">
        <color rgb="FF0B5258"/>
      </top>
      <bottom/>
      <diagonal/>
    </border>
    <border>
      <left style="thick">
        <color rgb="FF0B5258"/>
      </left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thick">
        <color rgb="FF0B5258"/>
      </right>
      <top/>
      <bottom style="thin">
        <color theme="3" tint="-0.499984740745262"/>
      </bottom>
      <diagonal/>
    </border>
    <border>
      <left style="thick">
        <color rgb="FF0B5258"/>
      </left>
      <right style="thin">
        <color theme="3" tint="-0.499984740745262"/>
      </right>
      <top style="thin">
        <color indexed="64"/>
      </top>
      <bottom style="thin">
        <color theme="3" tint="-0.499984740745262"/>
      </bottom>
      <diagonal/>
    </border>
    <border>
      <left style="thin">
        <color theme="0" tint="-0.14996795556505021"/>
      </left>
      <right style="thick">
        <color rgb="FF0B5258"/>
      </right>
      <top style="thin">
        <color theme="3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rgb="FF0B5258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rgb="FF0B5258"/>
      </right>
      <top style="thin">
        <color theme="0" tint="-0.14996795556505021"/>
      </top>
      <bottom style="thin">
        <color theme="3" tint="-0.499984740745262"/>
      </bottom>
      <diagonal/>
    </border>
    <border>
      <left style="thick">
        <color rgb="FF0B5258"/>
      </left>
      <right style="thin">
        <color indexed="64"/>
      </right>
      <top style="thin">
        <color indexed="64"/>
      </top>
      <bottom style="thick">
        <color rgb="FF0B5258"/>
      </bottom>
      <diagonal/>
    </border>
    <border>
      <left style="thin">
        <color indexed="64"/>
      </left>
      <right style="thin">
        <color indexed="64"/>
      </right>
      <top/>
      <bottom style="thick">
        <color rgb="FF0B5258"/>
      </bottom>
      <diagonal/>
    </border>
    <border>
      <left style="thin">
        <color indexed="64"/>
      </left>
      <right style="thick">
        <color rgb="FF0B5258"/>
      </right>
      <top/>
      <bottom style="thick">
        <color rgb="FF0B5258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thin">
        <color indexed="64"/>
      </bottom>
      <diagonal/>
    </border>
    <border>
      <left style="medium">
        <color theme="3" tint="-0.499984740745262"/>
      </left>
      <right/>
      <top style="thin">
        <color indexed="64"/>
      </top>
      <bottom/>
      <diagonal/>
    </border>
    <border>
      <left/>
      <right style="medium">
        <color theme="3" tint="-0.499984740745262"/>
      </right>
      <top style="thin">
        <color indexed="64"/>
      </top>
      <bottom/>
      <diagonal/>
    </border>
    <border>
      <left style="medium">
        <color theme="3" tint="-0.499984740745262"/>
      </left>
      <right/>
      <top/>
      <bottom/>
      <diagonal/>
    </border>
    <border>
      <left/>
      <right style="medium">
        <color theme="3" tint="-0.499984740745262"/>
      </right>
      <top/>
      <bottom/>
      <diagonal/>
    </border>
    <border>
      <left style="medium">
        <color theme="3" tint="-0.499984740745262"/>
      </left>
      <right/>
      <top/>
      <bottom style="thin">
        <color theme="3" tint="-0.24994659260841701"/>
      </bottom>
      <diagonal/>
    </border>
    <border>
      <left/>
      <right style="medium">
        <color theme="3" tint="-0.499984740745262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 style="thick">
        <color theme="3" tint="-0.499984740745262"/>
      </right>
      <top style="thin">
        <color indexed="64"/>
      </top>
      <bottom/>
      <diagonal/>
    </border>
    <border>
      <left style="thin">
        <color theme="3" tint="-0.24994659260841701"/>
      </left>
      <right style="thick">
        <color theme="3" tint="-0.499984740745262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3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34998626667073579"/>
      </right>
      <top style="thin">
        <color theme="0" tint="-0.24994659260841701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3" tint="-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3" tint="-0.499984740745262"/>
      </right>
      <top style="thin">
        <color theme="0" tint="-0.24994659260841701"/>
      </top>
      <bottom/>
      <diagonal/>
    </border>
    <border>
      <left style="thin">
        <color theme="3" tint="-0.499984740745262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/>
      <right style="thin">
        <color theme="0" tint="-0.34998626667073579"/>
      </right>
      <top/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ck">
        <color theme="3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theme="3" tint="-0.24994659260841701"/>
      </right>
      <top/>
      <bottom/>
      <diagonal/>
    </border>
    <border>
      <left/>
      <right style="thin">
        <color theme="3" tint="-0.24994659260841701"/>
      </right>
      <top/>
      <bottom style="thin">
        <color theme="0" tint="-0.2499465926084170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0" tint="-0.34998626667073579"/>
      </left>
      <right style="thin">
        <color auto="1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34998626667073579"/>
      </left>
      <right/>
      <top style="thick">
        <color theme="3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theme="3" tint="-0.24994659260841701"/>
      </bottom>
      <diagonal/>
    </border>
    <border>
      <left style="thin">
        <color theme="0" tint="-0.24994659260841701"/>
      </left>
      <right style="thick">
        <color theme="3" tint="-0.24994659260841701"/>
      </right>
      <top style="thin">
        <color theme="0" tint="-0.24994659260841701"/>
      </top>
      <bottom style="thick">
        <color theme="3" tint="-0.24994659260841701"/>
      </bottom>
      <diagonal/>
    </border>
    <border>
      <left/>
      <right style="thick">
        <color theme="3" tint="-0.24994659260841701"/>
      </right>
      <top/>
      <bottom style="thin">
        <color theme="0" tint="-0.24994659260841701"/>
      </bottom>
      <diagonal/>
    </border>
    <border>
      <left/>
      <right style="thin">
        <color theme="3" tint="-0.24994659260841701"/>
      </right>
      <top style="thick">
        <color theme="3" tint="-0.24994659260841701"/>
      </top>
      <bottom/>
      <diagonal/>
    </border>
    <border>
      <left/>
      <right style="thin">
        <color theme="0" tint="-0.34998626667073579"/>
      </right>
      <top style="thick">
        <color theme="3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3" tint="-0.24994659260841701"/>
      </top>
      <bottom/>
      <diagonal/>
    </border>
    <border>
      <left/>
      <right style="thin">
        <color theme="0" tint="-0.34998626667073579"/>
      </right>
      <top style="thick">
        <color theme="3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ck">
        <color theme="3" tint="-0.24994659260841701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ck">
        <color theme="3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ck">
        <color theme="3" tint="-0.24994659260841701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ck">
        <color theme="3" tint="-0.24994659260841701"/>
      </bottom>
      <diagonal/>
    </border>
    <border>
      <left/>
      <right style="thin">
        <color theme="0" tint="-0.34998626667073579"/>
      </right>
      <top/>
      <bottom style="thick">
        <color theme="3" tint="-0.24994659260841701"/>
      </bottom>
      <diagonal/>
    </border>
    <border>
      <left/>
      <right/>
      <top style="thin">
        <color theme="0" tint="-0.34998626667073579"/>
      </top>
      <bottom style="thick">
        <color theme="3" tint="-0.24994659260841701"/>
      </bottom>
      <diagonal/>
    </border>
    <border>
      <left style="thin">
        <color theme="0" tint="-0.34998626667073579"/>
      </left>
      <right/>
      <top/>
      <bottom style="thick">
        <color theme="3" tint="-0.24994659260841701"/>
      </bottom>
      <diagonal/>
    </border>
    <border>
      <left/>
      <right style="thin">
        <color theme="0" tint="-0.24994659260841701"/>
      </right>
      <top/>
      <bottom style="thick">
        <color theme="3" tint="-0.24994659260841701"/>
      </bottom>
      <diagonal/>
    </border>
    <border>
      <left style="thin">
        <color theme="3" tint="-0.24994659260841701"/>
      </left>
      <right/>
      <top style="thick">
        <color theme="3" tint="-0.24994659260841701"/>
      </top>
      <bottom style="thin">
        <color theme="0" tint="-0.34998626667073579"/>
      </bottom>
      <diagonal/>
    </border>
    <border>
      <left style="thin">
        <color theme="3" tint="-0.24994659260841701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3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/>
      <bottom style="thick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ck">
        <color theme="3" tint="-0.24994659260841701"/>
      </bottom>
      <diagonal/>
    </border>
    <border>
      <left/>
      <right style="thick">
        <color theme="3" tint="-0.24994659260841701"/>
      </right>
      <top style="thin">
        <color theme="3" tint="-0.24994659260841701"/>
      </top>
      <bottom style="thick">
        <color theme="3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3" tint="-0.2499465926084170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3" tint="-0.499984740745262"/>
      </right>
      <top/>
      <bottom/>
      <diagonal/>
    </border>
    <border>
      <left style="thin">
        <color theme="3" tint="-0.499984740745262"/>
      </left>
      <right/>
      <top/>
      <bottom style="thin">
        <color theme="3" tint="-0.24994659260841701"/>
      </bottom>
      <diagonal/>
    </border>
    <border>
      <left/>
      <right/>
      <top/>
      <bottom style="thin">
        <color theme="3" tint="-0.24994659260841701"/>
      </bottom>
      <diagonal/>
    </border>
    <border>
      <left/>
      <right style="thin">
        <color theme="3" tint="-0.499984740745262"/>
      </right>
      <top/>
      <bottom style="thin">
        <color theme="3" tint="-0.24994659260841701"/>
      </bottom>
      <diagonal/>
    </border>
    <border>
      <left style="thick">
        <color theme="3" tint="-0.24994659260841701"/>
      </left>
      <right/>
      <top style="thin">
        <color theme="0" tint="-0.14996795556505021"/>
      </top>
      <bottom/>
      <diagonal/>
    </border>
    <border>
      <left/>
      <right style="thick">
        <color theme="3" tint="-0.24994659260841701"/>
      </right>
      <top style="thin">
        <color theme="0" tint="-0.14996795556505021"/>
      </top>
      <bottom/>
      <diagonal/>
    </border>
    <border>
      <left style="medium">
        <color theme="8" tint="-0.499984740745262"/>
      </left>
      <right/>
      <top style="thin">
        <color theme="0" tint="-0.24994659260841701"/>
      </top>
      <bottom/>
      <diagonal/>
    </border>
    <border>
      <left/>
      <right style="medium">
        <color theme="8" tint="-0.499984740745262"/>
      </right>
      <top style="thin">
        <color theme="0" tint="-0.24994659260841701"/>
      </top>
      <bottom/>
      <diagonal/>
    </border>
    <border>
      <left style="medium">
        <color theme="8" tint="-0.499984740745262"/>
      </left>
      <right/>
      <top/>
      <bottom/>
      <diagonal/>
    </border>
    <border>
      <left/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/>
      <bottom style="thin">
        <color rgb="FF15397F"/>
      </bottom>
      <diagonal/>
    </border>
    <border>
      <left/>
      <right/>
      <top/>
      <bottom style="thin">
        <color rgb="FF15397F"/>
      </bottom>
      <diagonal/>
    </border>
    <border>
      <left/>
      <right style="medium">
        <color theme="8" tint="-0.499984740745262"/>
      </right>
      <top/>
      <bottom style="thin">
        <color rgb="FF15397F"/>
      </bottom>
      <diagonal/>
    </border>
    <border>
      <left style="thin">
        <color rgb="FF0B5258"/>
      </left>
      <right/>
      <top style="thin">
        <color theme="0" tint="-0.14996795556505021"/>
      </top>
      <bottom/>
      <diagonal/>
    </border>
    <border>
      <left/>
      <right style="thin">
        <color rgb="FF0B5258"/>
      </right>
      <top style="thin">
        <color theme="0" tint="-0.14996795556505021"/>
      </top>
      <bottom/>
      <diagonal/>
    </border>
    <border>
      <left style="thin">
        <color rgb="FF0B5258"/>
      </left>
      <right/>
      <top/>
      <bottom/>
      <diagonal/>
    </border>
    <border>
      <left/>
      <right style="thin">
        <color rgb="FF0B5258"/>
      </right>
      <top/>
      <bottom/>
      <diagonal/>
    </border>
    <border>
      <left style="thin">
        <color rgb="FF0B5258"/>
      </left>
      <right/>
      <top/>
      <bottom style="thin">
        <color theme="3" tint="-0.499984740745262"/>
      </bottom>
      <diagonal/>
    </border>
    <border>
      <left/>
      <right style="thin">
        <color rgb="FF0B5258"/>
      </right>
      <top/>
      <bottom style="thin">
        <color theme="3" tint="-0.499984740745262"/>
      </bottom>
      <diagonal/>
    </border>
    <border>
      <left style="thick">
        <color theme="3" tint="-0.24994659260841701"/>
      </left>
      <right/>
      <top style="thin">
        <color theme="3" tint="-0.24994659260841701"/>
      </top>
      <bottom/>
      <diagonal/>
    </border>
    <border>
      <left style="thick">
        <color theme="3" tint="-0.24994659260841701"/>
      </left>
      <right/>
      <top/>
      <bottom style="thin">
        <color theme="0"/>
      </bottom>
      <diagonal/>
    </border>
    <border>
      <left/>
      <right style="thin">
        <color rgb="FF0B5258"/>
      </right>
      <top style="thin">
        <color theme="3" tint="-0.24994659260841701"/>
      </top>
      <bottom/>
      <diagonal/>
    </border>
    <border>
      <left style="thin">
        <color rgb="FF0B5258"/>
      </left>
      <right style="thick">
        <color theme="0"/>
      </right>
      <top/>
      <bottom/>
      <diagonal/>
    </border>
    <border>
      <left/>
      <right style="thin">
        <color rgb="FF0B5258"/>
      </right>
      <top/>
      <bottom style="thin">
        <color theme="0"/>
      </bottom>
      <diagonal/>
    </border>
    <border>
      <left style="thin">
        <color rgb="FF0B5258"/>
      </left>
      <right style="thick">
        <color theme="0"/>
      </right>
      <top/>
      <bottom style="thin">
        <color theme="0"/>
      </bottom>
      <diagonal/>
    </border>
    <border>
      <left/>
      <right style="medium">
        <color theme="3" tint="-0.499984740745262"/>
      </right>
      <top style="thin">
        <color theme="0" tint="-0.34998626667073579"/>
      </top>
      <bottom/>
      <diagonal/>
    </border>
    <border>
      <left style="thin">
        <color theme="3" tint="-0.24994659260841701"/>
      </left>
      <right/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/>
      <bottom style="thin">
        <color theme="3" tint="-0.24994659260841701"/>
      </bottom>
      <diagonal/>
    </border>
    <border>
      <left style="thick">
        <color rgb="FF0B5258"/>
      </left>
      <right/>
      <top style="thick">
        <color rgb="FF0B5258"/>
      </top>
      <bottom style="thick">
        <color rgb="FF0B5258"/>
      </bottom>
      <diagonal/>
    </border>
    <border>
      <left/>
      <right/>
      <top style="thick">
        <color rgb="FF0B5258"/>
      </top>
      <bottom style="thick">
        <color rgb="FF0B5258"/>
      </bottom>
      <diagonal/>
    </border>
    <border>
      <left/>
      <right style="thick">
        <color rgb="FF0B5258"/>
      </right>
      <top style="thick">
        <color rgb="FF0B5258"/>
      </top>
      <bottom style="thick">
        <color rgb="FF0B5258"/>
      </bottom>
      <diagonal/>
    </border>
    <border>
      <left/>
      <right style="thick">
        <color theme="3" tint="-0.499984740745262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/>
      <right style="thick">
        <color theme="3" tint="-0.499984740745262"/>
      </right>
      <top/>
      <bottom style="thin">
        <color rgb="FF005258"/>
      </bottom>
      <diagonal/>
    </border>
    <border>
      <left/>
      <right/>
      <top/>
      <bottom style="thin">
        <color rgb="FF005258"/>
      </bottom>
      <diagonal/>
    </border>
    <border>
      <left style="thin">
        <color theme="3" tint="-0.499984740745262"/>
      </left>
      <right/>
      <top/>
      <bottom style="thin">
        <color rgb="FF005258"/>
      </bottom>
      <diagonal/>
    </border>
    <border>
      <left/>
      <right style="thin">
        <color theme="3" tint="-0.499984740745262"/>
      </right>
      <top/>
      <bottom style="thin">
        <color rgb="FF005258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/>
      </left>
      <right/>
      <top/>
      <bottom style="thin">
        <color theme="3" tint="-0.499984740745262"/>
      </bottom>
      <diagonal/>
    </border>
    <border>
      <left/>
      <right style="thin">
        <color theme="0"/>
      </right>
      <top/>
      <bottom style="thin">
        <color theme="3" tint="-0.499984740745262"/>
      </bottom>
      <diagonal/>
    </border>
    <border>
      <left style="thin">
        <color theme="3" tint="-0.499984740745262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3" tint="-0.499984740745262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ck">
        <color theme="3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4659260841701"/>
      </top>
      <bottom/>
      <diagonal/>
    </border>
    <border>
      <left style="thick">
        <color rgb="FF15397F"/>
      </left>
      <right style="thin">
        <color theme="0" tint="-0.24994659260841701"/>
      </right>
      <top style="thin">
        <color rgb="FF15397F"/>
      </top>
      <bottom style="thin">
        <color theme="0" tint="-0.34998626667073579"/>
      </bottom>
      <diagonal/>
    </border>
    <border>
      <left style="thick">
        <color rgb="FF15397F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8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8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15397F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ck">
        <color theme="3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3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3" tint="-0.499984740745262"/>
      </left>
      <right style="thin">
        <color theme="0" tint="-0.34998626667073579"/>
      </right>
      <top/>
      <bottom/>
      <diagonal/>
    </border>
    <border>
      <left style="medium">
        <color theme="3" tint="-0.499984740745262"/>
      </left>
      <right style="thin">
        <color theme="0" tint="-0.34998626667073579"/>
      </right>
      <top/>
      <bottom style="thin">
        <color theme="3" tint="-0.24994659260841701"/>
      </bottom>
      <diagonal/>
    </border>
    <border>
      <left style="thin">
        <color theme="0" tint="-0.34998626667073579"/>
      </left>
      <right style="medium">
        <color theme="3" tint="-0.499984740745262"/>
      </right>
      <top/>
      <bottom/>
      <diagonal/>
    </border>
    <border>
      <left style="medium">
        <color theme="3" tint="-0.24994659260841701"/>
      </left>
      <right style="thin">
        <color theme="0" tint="-0.34998626667073579"/>
      </right>
      <top style="thin">
        <color indexed="64"/>
      </top>
      <bottom/>
      <diagonal/>
    </border>
    <border>
      <left style="medium">
        <color theme="3" tint="-0.24994659260841701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medium">
        <color theme="3" tint="-0.24994659260841701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theme="3" tint="-0.499984740745262"/>
      </right>
      <top/>
      <bottom style="thin">
        <color theme="0" tint="-0.24994659260841701"/>
      </bottom>
      <diagonal/>
    </border>
    <border>
      <left style="thin">
        <color theme="3" tint="-0.499984740745262"/>
      </left>
      <right/>
      <top/>
      <bottom style="thin">
        <color theme="6" tint="0.59999389629810485"/>
      </bottom>
      <diagonal/>
    </border>
    <border>
      <left/>
      <right/>
      <top style="thin">
        <color rgb="FF005258"/>
      </top>
      <bottom style="thin">
        <color theme="3" tint="-0.499984740745262"/>
      </bottom>
      <diagonal/>
    </border>
    <border>
      <left style="thin">
        <color rgb="FF005258"/>
      </left>
      <right/>
      <top/>
      <bottom/>
      <diagonal/>
    </border>
    <border>
      <left/>
      <right style="thin">
        <color rgb="FF005258"/>
      </right>
      <top/>
      <bottom/>
      <diagonal/>
    </border>
    <border>
      <left/>
      <right style="thin">
        <color rgb="FF005258"/>
      </right>
      <top/>
      <bottom style="thin">
        <color rgb="FF005258"/>
      </bottom>
      <diagonal/>
    </border>
    <border>
      <left style="thin">
        <color rgb="FF005258"/>
      </left>
      <right/>
      <top/>
      <bottom style="thin">
        <color rgb="FF005258"/>
      </bottom>
      <diagonal/>
    </border>
    <border>
      <left style="thin">
        <color indexed="64"/>
      </left>
      <right/>
      <top style="thin">
        <color theme="6" tint="0.59999389629810485"/>
      </top>
      <bottom style="thin">
        <color theme="3" tint="-0.499984740745262"/>
      </bottom>
      <diagonal/>
    </border>
    <border>
      <left style="thin">
        <color theme="0" tint="-0.34998626667073579"/>
      </left>
      <right style="medium">
        <color theme="3" tint="-0.499984740745262"/>
      </right>
      <top style="thin">
        <color theme="0" tint="-0.34998626667073579"/>
      </top>
      <bottom/>
      <diagonal/>
    </border>
    <border>
      <left/>
      <right style="thin">
        <color theme="0"/>
      </right>
      <top style="thick">
        <color theme="3" tint="-0.24994659260841701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3" tint="-0.24994659260841701"/>
      </right>
      <top/>
      <bottom style="thick">
        <color theme="3" tint="-0.24994659260841701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3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77111117893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0" tint="-0.249977111117893"/>
      </top>
      <bottom style="thick">
        <color theme="3" tint="-0.24994659260841701"/>
      </bottom>
      <diagonal/>
    </border>
    <border>
      <left style="medium">
        <color theme="3" tint="-0.499984740745262"/>
      </left>
      <right style="thin">
        <color theme="0" tint="-0.34998626667073579"/>
      </right>
      <top/>
      <bottom style="thin">
        <color indexed="64"/>
      </bottom>
      <diagonal/>
    </border>
    <border>
      <left/>
      <right style="medium">
        <color theme="3" tint="-0.499984740745262"/>
      </right>
      <top/>
      <bottom style="thin">
        <color indexed="64"/>
      </bottom>
      <diagonal/>
    </border>
    <border>
      <left style="thin">
        <color theme="0" tint="-0.34998626667073579"/>
      </left>
      <right style="medium">
        <color theme="3" tint="-0.499984740745262"/>
      </right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ck">
        <color theme="3" tint="-0.24994659260841701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ck">
        <color indexed="64"/>
      </left>
      <right style="thin">
        <color indexed="64"/>
      </right>
      <top style="thin">
        <color theme="0" tint="-0.14996795556505021"/>
      </top>
      <bottom style="thick">
        <color theme="3" tint="-0.24994659260841701"/>
      </bottom>
      <diagonal/>
    </border>
    <border>
      <left style="thick">
        <color theme="3" tint="-0.24994659260841701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ck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ck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ck">
        <color indexed="64"/>
      </left>
      <right style="thin">
        <color theme="1"/>
      </right>
      <top style="thin">
        <color indexed="64"/>
      </top>
      <bottom/>
      <diagonal/>
    </border>
  </borders>
  <cellStyleXfs count="89">
    <xf numFmtId="0" fontId="0" fillId="0" borderId="0"/>
    <xf numFmtId="9" fontId="2" fillId="0" borderId="0" applyFont="0" applyFill="0" applyBorder="0" applyAlignment="0" applyProtection="0"/>
    <xf numFmtId="0" fontId="7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11" fillId="0" borderId="0" applyNumberFormat="0" applyFill="0" applyBorder="0" applyAlignment="0" applyProtection="0"/>
    <xf numFmtId="0" fontId="12" fillId="0" borderId="20" applyNumberFormat="0" applyFill="0" applyAlignment="0" applyProtection="0"/>
    <xf numFmtId="0" fontId="13" fillId="0" borderId="21" applyNumberFormat="0" applyFill="0" applyAlignment="0" applyProtection="0"/>
    <xf numFmtId="0" fontId="14" fillId="0" borderId="22" applyNumberFormat="0" applyFill="0" applyAlignment="0" applyProtection="0"/>
    <xf numFmtId="0" fontId="14" fillId="0" borderId="0" applyNumberFormat="0" applyFill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23" applyNumberFormat="0" applyAlignment="0" applyProtection="0"/>
    <xf numFmtId="0" fontId="19" fillId="15" borderId="24" applyNumberFormat="0" applyAlignment="0" applyProtection="0"/>
    <xf numFmtId="0" fontId="20" fillId="15" borderId="23" applyNumberFormat="0" applyAlignment="0" applyProtection="0"/>
    <xf numFmtId="0" fontId="21" fillId="0" borderId="25" applyNumberFormat="0" applyFill="0" applyAlignment="0" applyProtection="0"/>
    <xf numFmtId="0" fontId="9" fillId="16" borderId="26" applyNumberFormat="0" applyAlignment="0" applyProtection="0"/>
    <xf numFmtId="0" fontId="22" fillId="0" borderId="0" applyNumberFormat="0" applyFill="0" applyBorder="0" applyAlignment="0" applyProtection="0"/>
    <xf numFmtId="0" fontId="2" fillId="17" borderId="27" applyNumberFormat="0" applyFont="0" applyAlignment="0" applyProtection="0"/>
    <xf numFmtId="0" fontId="23" fillId="0" borderId="0" applyNumberFormat="0" applyFill="0" applyBorder="0" applyAlignment="0" applyProtection="0"/>
    <xf numFmtId="0" fontId="3" fillId="0" borderId="28" applyNumberFormat="0" applyFill="0" applyAlignment="0" applyProtection="0"/>
    <xf numFmtId="0" fontId="2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4" fillId="41" borderId="0" applyNumberFormat="0" applyBorder="0" applyAlignment="0" applyProtection="0"/>
    <xf numFmtId="0" fontId="26" fillId="0" borderId="0"/>
    <xf numFmtId="44" fontId="2" fillId="0" borderId="0" applyFont="0" applyFill="0" applyBorder="0" applyAlignment="0" applyProtection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41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3076">
    <xf numFmtId="0" fontId="0" fillId="0" borderId="0" xfId="0"/>
    <xf numFmtId="0" fontId="6" fillId="0" borderId="0" xfId="0" applyFont="1"/>
    <xf numFmtId="0" fontId="0" fillId="0" borderId="0" xfId="0" applyFill="1"/>
    <xf numFmtId="0" fontId="3" fillId="5" borderId="0" xfId="0" applyFont="1" applyFill="1"/>
    <xf numFmtId="0" fontId="0" fillId="0" borderId="0" xfId="0" applyAlignment="1">
      <alignment wrapText="1"/>
    </xf>
    <xf numFmtId="0" fontId="3" fillId="0" borderId="0" xfId="0" applyFont="1"/>
    <xf numFmtId="0" fontId="3" fillId="44" borderId="0" xfId="0" applyFont="1" applyFill="1"/>
    <xf numFmtId="0" fontId="0" fillId="0" borderId="1" xfId="0" applyBorder="1" applyAlignment="1">
      <alignment horizontal="center"/>
    </xf>
    <xf numFmtId="0" fontId="3" fillId="9" borderId="0" xfId="0" applyFont="1" applyFill="1"/>
    <xf numFmtId="0" fontId="0" fillId="0" borderId="0" xfId="0" applyNumberFormat="1"/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7" fillId="0" borderId="0" xfId="0" applyFont="1" applyFill="1" applyBorder="1"/>
    <xf numFmtId="0" fontId="28" fillId="0" borderId="0" xfId="0" applyFont="1"/>
    <xf numFmtId="0" fontId="3" fillId="0" borderId="0" xfId="0" applyFont="1" applyFill="1"/>
    <xf numFmtId="10" fontId="0" fillId="0" borderId="0" xfId="1" applyNumberFormat="1" applyFon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4" borderId="1" xfId="1" applyNumberFormat="1" applyFont="1" applyFill="1" applyBorder="1" applyAlignment="1">
      <alignment horizontal="center"/>
    </xf>
    <xf numFmtId="1" fontId="0" fillId="2" borderId="1" xfId="1" applyNumberFormat="1" applyFont="1" applyFill="1" applyBorder="1" applyAlignment="1">
      <alignment horizontal="center"/>
    </xf>
    <xf numFmtId="0" fontId="0" fillId="46" borderId="1" xfId="0" applyNumberFormat="1" applyFill="1" applyBorder="1" applyAlignment="1">
      <alignment horizontal="center"/>
    </xf>
    <xf numFmtId="0" fontId="0" fillId="46" borderId="1" xfId="54" applyNumberFormat="1" applyFont="1" applyFill="1" applyBorder="1" applyAlignment="1">
      <alignment horizontal="center"/>
    </xf>
    <xf numFmtId="1" fontId="0" fillId="46" borderId="1" xfId="54" applyNumberFormat="1" applyFont="1" applyFill="1" applyBorder="1" applyAlignment="1">
      <alignment horizontal="center"/>
    </xf>
    <xf numFmtId="0" fontId="0" fillId="0" borderId="0" xfId="0"/>
    <xf numFmtId="0" fontId="30" fillId="0" borderId="0" xfId="0" applyFont="1" applyAlignment="1"/>
    <xf numFmtId="0" fontId="28" fillId="8" borderId="0" xfId="68" applyFont="1" applyFill="1" applyAlignment="1">
      <alignment wrapText="1"/>
    </xf>
    <xf numFmtId="0" fontId="28" fillId="8" borderId="0" xfId="68" applyFont="1" applyFill="1" applyBorder="1"/>
    <xf numFmtId="0" fontId="28" fillId="8" borderId="0" xfId="68" applyFont="1" applyFill="1"/>
    <xf numFmtId="0" fontId="28" fillId="0" borderId="0" xfId="68" applyFont="1" applyFill="1" applyBorder="1"/>
    <xf numFmtId="0" fontId="28" fillId="0" borderId="29" xfId="68" applyFont="1" applyFill="1" applyBorder="1"/>
    <xf numFmtId="0" fontId="28" fillId="0" borderId="0" xfId="68" applyFont="1" applyFill="1"/>
    <xf numFmtId="0" fontId="28" fillId="8" borderId="0" xfId="68" applyFont="1" applyFill="1" applyBorder="1" applyAlignment="1">
      <alignment horizontal="center"/>
    </xf>
    <xf numFmtId="0" fontId="28" fillId="0" borderId="0" xfId="68" applyFont="1" applyBorder="1" applyAlignment="1">
      <alignment horizontal="center"/>
    </xf>
    <xf numFmtId="0" fontId="28" fillId="0" borderId="29" xfId="68" applyFont="1" applyBorder="1" applyAlignment="1">
      <alignment horizontal="center"/>
    </xf>
    <xf numFmtId="9" fontId="28" fillId="0" borderId="0" xfId="68" applyNumberFormat="1" applyFont="1" applyFill="1" applyBorder="1" applyAlignment="1">
      <alignment horizontal="center"/>
    </xf>
    <xf numFmtId="9" fontId="28" fillId="0" borderId="29" xfId="68" applyNumberFormat="1" applyFont="1" applyFill="1" applyBorder="1" applyAlignment="1">
      <alignment horizontal="center"/>
    </xf>
    <xf numFmtId="0" fontId="28" fillId="0" borderId="29" xfId="68" applyFont="1" applyFill="1" applyBorder="1" applyAlignment="1">
      <alignment wrapText="1"/>
    </xf>
    <xf numFmtId="0" fontId="28" fillId="8" borderId="0" xfId="0" applyFont="1" applyFill="1"/>
    <xf numFmtId="0" fontId="28" fillId="0" borderId="0" xfId="68" applyFont="1" applyBorder="1" applyAlignment="1">
      <alignment wrapText="1"/>
    </xf>
    <xf numFmtId="0" fontId="28" fillId="0" borderId="0" xfId="68" applyFont="1" applyBorder="1"/>
    <xf numFmtId="0" fontId="28" fillId="0" borderId="29" xfId="68" applyFont="1" applyBorder="1"/>
    <xf numFmtId="0" fontId="28" fillId="0" borderId="29" xfId="68" applyFont="1" applyFill="1" applyBorder="1" applyAlignment="1">
      <alignment horizontal="right" wrapText="1"/>
    </xf>
    <xf numFmtId="0" fontId="28" fillId="47" borderId="0" xfId="0" applyFont="1" applyFill="1"/>
    <xf numFmtId="0" fontId="28" fillId="0" borderId="0" xfId="68" applyFont="1" applyFill="1" applyBorder="1" applyAlignment="1">
      <alignment wrapText="1"/>
    </xf>
    <xf numFmtId="0" fontId="28" fillId="0" borderId="0" xfId="68" applyFont="1" applyFill="1" applyBorder="1" applyAlignment="1">
      <alignment horizontal="right"/>
    </xf>
    <xf numFmtId="0" fontId="28" fillId="0" borderId="0" xfId="0" applyFont="1" applyBorder="1"/>
    <xf numFmtId="0" fontId="28" fillId="0" borderId="0" xfId="0" applyFont="1" applyBorder="1" applyAlignment="1">
      <alignment wrapText="1"/>
    </xf>
    <xf numFmtId="0" fontId="28" fillId="0" borderId="0" xfId="0" applyFont="1" applyBorder="1" applyAlignment="1">
      <alignment horizontal="right"/>
    </xf>
    <xf numFmtId="10" fontId="28" fillId="0" borderId="0" xfId="0" applyNumberFormat="1" applyFont="1" applyFill="1" applyBorder="1" applyAlignment="1">
      <alignment horizontal="center"/>
    </xf>
    <xf numFmtId="0" fontId="6" fillId="0" borderId="36" xfId="0" applyFont="1" applyFill="1" applyBorder="1" applyAlignment="1">
      <alignment horizontal="center"/>
    </xf>
    <xf numFmtId="164" fontId="6" fillId="0" borderId="36" xfId="1" applyNumberFormat="1" applyFont="1" applyFill="1" applyBorder="1" applyAlignment="1">
      <alignment horizontal="center"/>
    </xf>
    <xf numFmtId="0" fontId="6" fillId="0" borderId="36" xfId="0" applyFont="1" applyBorder="1" applyAlignment="1">
      <alignment horizontal="center"/>
    </xf>
    <xf numFmtId="10" fontId="6" fillId="0" borderId="36" xfId="1" applyNumberFormat="1" applyFont="1" applyBorder="1" applyAlignment="1">
      <alignment horizontal="center"/>
    </xf>
    <xf numFmtId="10" fontId="6" fillId="0" borderId="46" xfId="0" applyNumberFormat="1" applyFont="1" applyBorder="1" applyAlignment="1">
      <alignment horizontal="center"/>
    </xf>
    <xf numFmtId="10" fontId="6" fillId="0" borderId="48" xfId="0" applyNumberFormat="1" applyFont="1" applyBorder="1" applyAlignment="1">
      <alignment horizontal="center"/>
    </xf>
    <xf numFmtId="10" fontId="6" fillId="0" borderId="36" xfId="0" applyNumberFormat="1" applyFont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6" fillId="0" borderId="32" xfId="0" applyFont="1" applyBorder="1"/>
    <xf numFmtId="1" fontId="6" fillId="0" borderId="33" xfId="0" applyNumberFormat="1" applyFont="1" applyFill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48" xfId="0" applyFont="1" applyFill="1" applyBorder="1" applyAlignment="1">
      <alignment horizontal="center"/>
    </xf>
    <xf numFmtId="0" fontId="28" fillId="0" borderId="0" xfId="0" applyFont="1" applyFill="1"/>
    <xf numFmtId="0" fontId="28" fillId="0" borderId="0" xfId="68" applyFont="1" applyFill="1" applyBorder="1" applyAlignment="1">
      <alignment horizontal="center"/>
    </xf>
    <xf numFmtId="0" fontId="28" fillId="0" borderId="0" xfId="0" applyFont="1" applyFill="1" applyBorder="1"/>
    <xf numFmtId="0" fontId="28" fillId="0" borderId="29" xfId="68" applyFont="1" applyFill="1" applyBorder="1" applyAlignment="1">
      <alignment horizontal="center"/>
    </xf>
    <xf numFmtId="0" fontId="28" fillId="0" borderId="0" xfId="68" applyFont="1" applyFill="1" applyAlignment="1">
      <alignment horizontal="center"/>
    </xf>
    <xf numFmtId="49" fontId="28" fillId="0" borderId="0" xfId="68" applyNumberFormat="1" applyFont="1" applyFill="1" applyBorder="1" applyAlignment="1">
      <alignment horizontal="center"/>
    </xf>
    <xf numFmtId="1" fontId="6" fillId="0" borderId="5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54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6" fontId="0" fillId="0" borderId="0" xfId="54" applyNumberFormat="1" applyFont="1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0" fontId="3" fillId="44" borderId="29" xfId="0" applyFont="1" applyFill="1" applyBorder="1" applyAlignment="1">
      <alignment horizontal="center" wrapText="1"/>
    </xf>
    <xf numFmtId="0" fontId="3" fillId="43" borderId="29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14" fontId="3" fillId="0" borderId="0" xfId="0" applyNumberFormat="1" applyFont="1"/>
    <xf numFmtId="0" fontId="3" fillId="0" borderId="0" xfId="0" applyFont="1" applyAlignment="1">
      <alignment horizontal="left"/>
    </xf>
    <xf numFmtId="44" fontId="0" fillId="9" borderId="1" xfId="54" applyFont="1" applyFill="1" applyBorder="1" applyAlignment="1">
      <alignment horizontal="center"/>
    </xf>
    <xf numFmtId="44" fontId="0" fillId="45" borderId="1" xfId="54" applyFont="1" applyFill="1" applyBorder="1" applyAlignment="1">
      <alignment horizontal="center"/>
    </xf>
    <xf numFmtId="0" fontId="3" fillId="46" borderId="18" xfId="0" applyFont="1" applyFill="1" applyBorder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64" fontId="6" fillId="2" borderId="48" xfId="0" applyNumberFormat="1" applyFont="1" applyFill="1" applyBorder="1" applyAlignment="1">
      <alignment horizontal="center"/>
    </xf>
    <xf numFmtId="8" fontId="0" fillId="44" borderId="1" xfId="54" applyNumberFormat="1" applyFont="1" applyFill="1" applyBorder="1" applyAlignment="1">
      <alignment horizontal="center"/>
    </xf>
    <xf numFmtId="8" fontId="0" fillId="44" borderId="1" xfId="54" quotePrefix="1" applyNumberFormat="1" applyFont="1" applyFill="1" applyBorder="1" applyAlignment="1">
      <alignment horizontal="center"/>
    </xf>
    <xf numFmtId="9" fontId="0" fillId="0" borderId="0" xfId="1" applyFont="1"/>
    <xf numFmtId="1" fontId="0" fillId="46" borderId="1" xfId="0" applyNumberFormat="1" applyFill="1" applyBorder="1" applyAlignment="1">
      <alignment horizontal="center"/>
    </xf>
    <xf numFmtId="8" fontId="0" fillId="43" borderId="1" xfId="54" applyNumberFormat="1" applyFont="1" applyFill="1" applyBorder="1" applyAlignment="1">
      <alignment horizontal="center"/>
    </xf>
    <xf numFmtId="8" fontId="0" fillId="43" borderId="1" xfId="54" quotePrefix="1" applyNumberFormat="1" applyFont="1" applyFill="1" applyBorder="1" applyAlignment="1">
      <alignment horizontal="center"/>
    </xf>
    <xf numFmtId="1" fontId="6" fillId="0" borderId="55" xfId="0" applyNumberFormat="1" applyFont="1" applyFill="1" applyBorder="1" applyAlignment="1">
      <alignment horizontal="center"/>
    </xf>
    <xf numFmtId="44" fontId="0" fillId="44" borderId="1" xfId="54" applyNumberFormat="1" applyFont="1" applyFill="1" applyBorder="1" applyAlignment="1">
      <alignment horizontal="center"/>
    </xf>
    <xf numFmtId="165" fontId="0" fillId="0" borderId="0" xfId="0" applyNumberFormat="1"/>
    <xf numFmtId="1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5" fontId="28" fillId="0" borderId="0" xfId="68" applyNumberFormat="1" applyFont="1" applyFill="1" applyBorder="1" applyAlignment="1">
      <alignment horizontal="center"/>
    </xf>
    <xf numFmtId="0" fontId="28" fillId="0" borderId="0" xfId="68" applyFont="1" applyFill="1" applyBorder="1" applyAlignment="1">
      <alignment horizontal="right" wrapText="1"/>
    </xf>
    <xf numFmtId="0" fontId="30" fillId="0" borderId="0" xfId="0" applyFont="1" applyFill="1" applyAlignment="1"/>
    <xf numFmtId="0" fontId="28" fillId="48" borderId="0" xfId="0" applyFont="1" applyFill="1" applyBorder="1"/>
    <xf numFmtId="0" fontId="28" fillId="0" borderId="0" xfId="68" applyNumberFormat="1" applyFont="1" applyFill="1" applyBorder="1" applyAlignment="1">
      <alignment horizontal="center"/>
    </xf>
    <xf numFmtId="0" fontId="36" fillId="0" borderId="0" xfId="68" applyFont="1" applyFill="1" applyBorder="1" applyAlignment="1">
      <alignment horizontal="center"/>
    </xf>
    <xf numFmtId="164" fontId="28" fillId="0" borderId="0" xfId="1" applyNumberFormat="1" applyFont="1" applyFill="1" applyBorder="1" applyAlignment="1">
      <alignment horizontal="center"/>
    </xf>
    <xf numFmtId="9" fontId="28" fillId="0" borderId="0" xfId="1" applyNumberFormat="1" applyFont="1" applyFill="1" applyBorder="1" applyAlignment="1">
      <alignment horizontal="center"/>
    </xf>
    <xf numFmtId="164" fontId="28" fillId="0" borderId="29" xfId="68" applyNumberFormat="1" applyFont="1" applyFill="1" applyBorder="1" applyAlignment="1">
      <alignment horizontal="center"/>
    </xf>
    <xf numFmtId="0" fontId="31" fillId="8" borderId="0" xfId="68" applyFont="1" applyFill="1" applyAlignment="1">
      <alignment wrapText="1"/>
    </xf>
    <xf numFmtId="9" fontId="28" fillId="0" borderId="0" xfId="68" applyNumberFormat="1" applyFont="1" applyFill="1"/>
    <xf numFmtId="0" fontId="28" fillId="0" borderId="0" xfId="0" applyFont="1" applyBorder="1" applyAlignment="1">
      <alignment horizontal="left" wrapText="1"/>
    </xf>
    <xf numFmtId="9" fontId="32" fillId="0" borderId="0" xfId="0" applyNumberFormat="1" applyFont="1" applyFill="1" applyBorder="1" applyAlignment="1">
      <alignment horizontal="center" vertical="center" wrapText="1"/>
    </xf>
    <xf numFmtId="165" fontId="28" fillId="52" borderId="0" xfId="68" applyNumberFormat="1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 wrapText="1"/>
    </xf>
    <xf numFmtId="9" fontId="32" fillId="0" borderId="0" xfId="0" applyNumberFormat="1" applyFont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top" wrapText="1"/>
    </xf>
    <xf numFmtId="0" fontId="28" fillId="0" borderId="29" xfId="0" applyFont="1" applyBorder="1" applyAlignment="1">
      <alignment wrapText="1"/>
    </xf>
    <xf numFmtId="0" fontId="28" fillId="0" borderId="29" xfId="0" applyFont="1" applyFill="1" applyBorder="1" applyAlignment="1">
      <alignment horizontal="center" vertical="center" wrapText="1"/>
    </xf>
    <xf numFmtId="165" fontId="28" fillId="52" borderId="29" xfId="68" applyNumberFormat="1" applyFont="1" applyFill="1" applyBorder="1" applyAlignment="1">
      <alignment horizontal="center"/>
    </xf>
    <xf numFmtId="164" fontId="0" fillId="0" borderId="0" xfId="1" applyNumberFormat="1" applyFont="1"/>
    <xf numFmtId="1" fontId="0" fillId="0" borderId="0" xfId="0" applyNumberFormat="1"/>
    <xf numFmtId="0" fontId="0" fillId="0" borderId="0" xfId="0" applyNumberFormat="1" applyFill="1" applyBorder="1" applyAlignment="1">
      <alignment horizontal="left"/>
    </xf>
    <xf numFmtId="0" fontId="39" fillId="0" borderId="0" xfId="54" applyNumberFormat="1" applyFont="1" applyFill="1" applyBorder="1" applyAlignment="1">
      <alignment horizontal="left"/>
    </xf>
    <xf numFmtId="0" fontId="40" fillId="0" borderId="0" xfId="0" applyFont="1"/>
    <xf numFmtId="0" fontId="3" fillId="0" borderId="0" xfId="0" applyFont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9" fontId="0" fillId="0" borderId="0" xfId="1" applyFont="1" applyFill="1" applyAlignment="1">
      <alignment horizontal="center"/>
    </xf>
    <xf numFmtId="1" fontId="0" fillId="44" borderId="1" xfId="54" applyNumberFormat="1" applyFont="1" applyFill="1" applyBorder="1" applyAlignment="1">
      <alignment horizontal="center"/>
    </xf>
    <xf numFmtId="1" fontId="0" fillId="44" borderId="1" xfId="54" quotePrefix="1" applyNumberFormat="1" applyFont="1" applyFill="1" applyBorder="1" applyAlignment="1">
      <alignment horizontal="center"/>
    </xf>
    <xf numFmtId="164" fontId="0" fillId="0" borderId="0" xfId="1" applyNumberFormat="1" applyFont="1" applyAlignment="1">
      <alignment wrapText="1"/>
    </xf>
    <xf numFmtId="0" fontId="0" fillId="0" borderId="0" xfId="0" applyBorder="1"/>
    <xf numFmtId="164" fontId="0" fillId="0" borderId="0" xfId="1" applyNumberFormat="1" applyFont="1" applyBorder="1"/>
    <xf numFmtId="164" fontId="0" fillId="0" borderId="0" xfId="1" applyNumberFormat="1" applyFont="1" applyBorder="1" applyAlignment="1">
      <alignment horizontal="center"/>
    </xf>
    <xf numFmtId="10" fontId="0" fillId="0" borderId="0" xfId="0" applyNumberFormat="1"/>
    <xf numFmtId="0" fontId="0" fillId="0" borderId="0" xfId="0" applyBorder="1" applyAlignment="1">
      <alignment horizontal="center"/>
    </xf>
    <xf numFmtId="0" fontId="30" fillId="54" borderId="0" xfId="0" applyFont="1" applyFill="1" applyAlignment="1"/>
    <xf numFmtId="0" fontId="28" fillId="54" borderId="0" xfId="0" applyFont="1" applyFill="1"/>
    <xf numFmtId="0" fontId="28" fillId="54" borderId="0" xfId="0" applyFont="1" applyFill="1" applyBorder="1"/>
    <xf numFmtId="0" fontId="0" fillId="54" borderId="0" xfId="0" applyFill="1"/>
    <xf numFmtId="0" fontId="35" fillId="0" borderId="0" xfId="0" applyFont="1" applyFill="1" applyBorder="1"/>
    <xf numFmtId="2" fontId="0" fillId="0" borderId="0" xfId="0" applyNumberForma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Fill="1" applyAlignment="1">
      <alignment horizontal="center"/>
    </xf>
    <xf numFmtId="44" fontId="0" fillId="45" borderId="1" xfId="54" applyNumberFormat="1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164" fontId="6" fillId="2" borderId="36" xfId="0" applyNumberFormat="1" applyFont="1" applyFill="1" applyBorder="1" applyAlignment="1">
      <alignment horizontal="center"/>
    </xf>
    <xf numFmtId="3" fontId="6" fillId="0" borderId="50" xfId="0" applyNumberFormat="1" applyFont="1" applyFill="1" applyBorder="1" applyAlignment="1">
      <alignment horizontal="center"/>
    </xf>
    <xf numFmtId="3" fontId="6" fillId="0" borderId="56" xfId="0" applyNumberFormat="1" applyFont="1" applyFill="1" applyBorder="1" applyAlignment="1">
      <alignment horizontal="center"/>
    </xf>
    <xf numFmtId="1" fontId="0" fillId="0" borderId="0" xfId="1" applyNumberFormat="1" applyFont="1" applyFill="1" applyAlignment="1">
      <alignment horizontal="center"/>
    </xf>
    <xf numFmtId="164" fontId="37" fillId="0" borderId="0" xfId="0" applyNumberFormat="1" applyFont="1" applyAlignment="1">
      <alignment horizontal="center"/>
    </xf>
    <xf numFmtId="1" fontId="0" fillId="43" borderId="1" xfId="0" applyNumberFormat="1" applyFill="1" applyBorder="1" applyAlignment="1">
      <alignment horizontal="center"/>
    </xf>
    <xf numFmtId="0" fontId="46" fillId="4" borderId="1" xfId="0" applyFont="1" applyFill="1" applyBorder="1" applyAlignment="1">
      <alignment horizontal="center"/>
    </xf>
    <xf numFmtId="2" fontId="0" fillId="0" borderId="0" xfId="0" applyNumberFormat="1"/>
    <xf numFmtId="1" fontId="3" fillId="2" borderId="1" xfId="1" applyNumberFormat="1" applyFont="1" applyFill="1" applyBorder="1" applyAlignment="1">
      <alignment horizontal="center"/>
    </xf>
    <xf numFmtId="1" fontId="0" fillId="4" borderId="36" xfId="1" applyNumberFormat="1" applyFont="1" applyFill="1" applyBorder="1" applyAlignment="1">
      <alignment horizontal="center"/>
    </xf>
    <xf numFmtId="1" fontId="0" fillId="0" borderId="38" xfId="0" applyNumberFormat="1" applyFill="1" applyBorder="1" applyAlignment="1">
      <alignment horizontal="center"/>
    </xf>
    <xf numFmtId="1" fontId="0" fillId="0" borderId="10" xfId="0" applyNumberFormat="1" applyFill="1" applyBorder="1" applyAlignment="1">
      <alignment horizontal="center"/>
    </xf>
    <xf numFmtId="1" fontId="0" fillId="0" borderId="39" xfId="0" applyNumberFormat="1" applyFill="1" applyBorder="1" applyAlignment="1">
      <alignment horizontal="center"/>
    </xf>
    <xf numFmtId="1" fontId="0" fillId="2" borderId="36" xfId="1" applyNumberFormat="1" applyFont="1" applyFill="1" applyBorder="1" applyAlignment="1">
      <alignment horizontal="center"/>
    </xf>
    <xf numFmtId="1" fontId="0" fillId="0" borderId="0" xfId="1" applyNumberFormat="1" applyFont="1" applyFill="1" applyBorder="1" applyAlignment="1">
      <alignment horizontal="center"/>
    </xf>
    <xf numFmtId="1" fontId="2" fillId="4" borderId="1" xfId="1" applyNumberFormat="1" applyFont="1" applyFill="1" applyBorder="1" applyAlignment="1">
      <alignment horizontal="center"/>
    </xf>
    <xf numFmtId="0" fontId="47" fillId="0" borderId="0" xfId="0" applyFont="1" applyBorder="1"/>
    <xf numFmtId="1" fontId="2" fillId="2" borderId="1" xfId="1" applyNumberFormat="1" applyFont="1" applyFill="1" applyBorder="1" applyAlignment="1">
      <alignment horizontal="center"/>
    </xf>
    <xf numFmtId="164" fontId="37" fillId="0" borderId="0" xfId="0" applyNumberFormat="1" applyFont="1" applyFill="1" applyAlignment="1">
      <alignment horizontal="center"/>
    </xf>
    <xf numFmtId="0" fontId="0" fillId="5" borderId="0" xfId="0" applyFill="1"/>
    <xf numFmtId="9" fontId="0" fillId="5" borderId="0" xfId="1" applyFont="1" applyFill="1" applyAlignment="1">
      <alignment horizontal="center"/>
    </xf>
    <xf numFmtId="164" fontId="0" fillId="5" borderId="0" xfId="1" applyNumberFormat="1" applyFont="1" applyFill="1" applyAlignment="1">
      <alignment horizontal="center"/>
    </xf>
    <xf numFmtId="0" fontId="0" fillId="5" borderId="0" xfId="0" applyFill="1" applyAlignment="1">
      <alignment wrapText="1"/>
    </xf>
    <xf numFmtId="0" fontId="3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164" fontId="3" fillId="5" borderId="0" xfId="1" applyNumberFormat="1" applyFont="1" applyFill="1" applyAlignment="1">
      <alignment horizontal="right"/>
    </xf>
    <xf numFmtId="9" fontId="3" fillId="5" borderId="0" xfId="1" applyFont="1" applyFill="1" applyAlignment="1">
      <alignment horizontal="right"/>
    </xf>
    <xf numFmtId="1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/>
    <xf numFmtId="0" fontId="5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165" fontId="34" fillId="0" borderId="56" xfId="0" applyNumberFormat="1" applyFont="1" applyBorder="1" applyAlignment="1">
      <alignment horizontal="center"/>
    </xf>
    <xf numFmtId="0" fontId="0" fillId="0" borderId="0" xfId="0" applyAlignment="1"/>
    <xf numFmtId="0" fontId="3" fillId="0" borderId="0" xfId="0" applyFont="1" applyAlignment="1"/>
    <xf numFmtId="1" fontId="3" fillId="0" borderId="0" xfId="0" applyNumberFormat="1" applyFont="1" applyAlignment="1"/>
    <xf numFmtId="164" fontId="3" fillId="5" borderId="0" xfId="1" applyNumberFormat="1" applyFont="1" applyFill="1" applyAlignment="1"/>
    <xf numFmtId="9" fontId="3" fillId="5" borderId="0" xfId="1" applyFont="1" applyFill="1" applyAlignment="1"/>
    <xf numFmtId="1" fontId="3" fillId="0" borderId="0" xfId="0" applyNumberFormat="1" applyFont="1" applyFill="1" applyAlignment="1"/>
    <xf numFmtId="0" fontId="3" fillId="0" borderId="0" xfId="1" applyNumberFormat="1" applyFont="1" applyAlignment="1"/>
    <xf numFmtId="10" fontId="3" fillId="5" borderId="0" xfId="1" applyNumberFormat="1" applyFont="1" applyFill="1" applyAlignment="1"/>
    <xf numFmtId="164" fontId="0" fillId="5" borderId="0" xfId="1" applyNumberFormat="1" applyFont="1" applyFill="1" applyAlignment="1"/>
    <xf numFmtId="0" fontId="3" fillId="0" borderId="0" xfId="1" applyNumberFormat="1" applyFont="1" applyFill="1" applyAlignment="1"/>
    <xf numFmtId="9" fontId="0" fillId="5" borderId="0" xfId="1" applyFont="1" applyFill="1" applyAlignment="1"/>
    <xf numFmtId="37" fontId="0" fillId="0" borderId="1" xfId="88" applyNumberFormat="1" applyFont="1" applyBorder="1" applyAlignment="1">
      <alignment horizontal="center"/>
    </xf>
    <xf numFmtId="168" fontId="0" fillId="0" borderId="1" xfId="88" applyNumberFormat="1" applyFont="1" applyBorder="1" applyAlignment="1">
      <alignment horizontal="center"/>
    </xf>
    <xf numFmtId="164" fontId="37" fillId="0" borderId="0" xfId="1" applyNumberFormat="1" applyFont="1" applyFill="1" applyAlignment="1">
      <alignment horizontal="center"/>
    </xf>
    <xf numFmtId="0" fontId="57" fillId="0" borderId="0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51" fillId="0" borderId="0" xfId="0" applyFont="1" applyAlignment="1">
      <alignment vertical="center"/>
    </xf>
    <xf numFmtId="0" fontId="0" fillId="0" borderId="0" xfId="0" applyAlignment="1">
      <alignment wrapText="1"/>
    </xf>
    <xf numFmtId="0" fontId="58" fillId="0" borderId="0" xfId="0" applyFont="1"/>
    <xf numFmtId="0" fontId="56" fillId="0" borderId="0" xfId="0" applyFon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/>
    </xf>
    <xf numFmtId="44" fontId="0" fillId="9" borderId="1" xfId="54" applyNumberFormat="1" applyFont="1" applyFill="1" applyBorder="1" applyAlignment="1">
      <alignment horizontal="center"/>
    </xf>
    <xf numFmtId="1" fontId="0" fillId="44" borderId="1" xfId="0" applyNumberFormat="1" applyFill="1" applyBorder="1" applyAlignment="1">
      <alignment horizontal="center"/>
    </xf>
    <xf numFmtId="1" fontId="0" fillId="43" borderId="1" xfId="54" applyNumberFormat="1" applyFont="1" applyFill="1" applyBorder="1" applyAlignment="1">
      <alignment horizontal="center"/>
    </xf>
    <xf numFmtId="1" fontId="0" fillId="43" borderId="1" xfId="54" quotePrefix="1" applyNumberFormat="1" applyFont="1" applyFill="1" applyBorder="1" applyAlignment="1">
      <alignment horizontal="center"/>
    </xf>
    <xf numFmtId="2" fontId="3" fillId="0" borderId="0" xfId="0" applyNumberFormat="1" applyFont="1"/>
    <xf numFmtId="0" fontId="62" fillId="0" borderId="0" xfId="0" applyFont="1" applyFill="1" applyBorder="1"/>
    <xf numFmtId="0" fontId="54" fillId="0" borderId="0" xfId="0" applyFont="1"/>
    <xf numFmtId="0" fontId="54" fillId="0" borderId="0" xfId="0" applyFont="1" applyFill="1"/>
    <xf numFmtId="0" fontId="0" fillId="0" borderId="112" xfId="0" applyBorder="1"/>
    <xf numFmtId="0" fontId="0" fillId="0" borderId="114" xfId="0" applyFill="1" applyBorder="1"/>
    <xf numFmtId="0" fontId="28" fillId="0" borderId="0" xfId="0" applyFont="1" applyFill="1" applyAlignment="1">
      <alignment vertical="center"/>
    </xf>
    <xf numFmtId="0" fontId="28" fillId="8" borderId="0" xfId="0" applyFont="1" applyFill="1" applyAlignment="1">
      <alignment vertical="center"/>
    </xf>
    <xf numFmtId="0" fontId="28" fillId="47" borderId="0" xfId="0" applyFont="1" applyFill="1" applyAlignment="1">
      <alignment vertical="center"/>
    </xf>
    <xf numFmtId="0" fontId="28" fillId="0" borderId="0" xfId="0" applyFont="1" applyFill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8" fillId="48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63" fillId="0" borderId="112" xfId="0" applyFont="1" applyBorder="1" applyAlignment="1">
      <alignment horizontal="center" vertical="center"/>
    </xf>
    <xf numFmtId="1" fontId="28" fillId="0" borderId="0" xfId="0" applyNumberFormat="1" applyFont="1" applyFill="1" applyBorder="1" applyAlignment="1">
      <alignment vertical="center"/>
    </xf>
    <xf numFmtId="9" fontId="0" fillId="0" borderId="0" xfId="1" applyNumberFormat="1" applyFont="1"/>
    <xf numFmtId="9" fontId="28" fillId="0" borderId="0" xfId="1" applyNumberFormat="1" applyFont="1" applyFill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0" fontId="0" fillId="0" borderId="0" xfId="1" applyNumberFormat="1" applyFont="1"/>
    <xf numFmtId="9" fontId="0" fillId="0" borderId="0" xfId="1" applyNumberFormat="1" applyFont="1" applyFill="1" applyBorder="1"/>
    <xf numFmtId="4" fontId="0" fillId="0" borderId="0" xfId="0" applyNumberForma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64" fillId="0" borderId="0" xfId="0" applyFont="1" applyAlignment="1">
      <alignment vertical="center"/>
    </xf>
    <xf numFmtId="0" fontId="28" fillId="54" borderId="0" xfId="0" applyFont="1" applyFill="1" applyAlignment="1">
      <alignment horizontal="center" vertical="center"/>
    </xf>
    <xf numFmtId="0" fontId="28" fillId="54" borderId="0" xfId="0" applyFont="1" applyFill="1" applyBorder="1" applyAlignment="1">
      <alignment horizontal="center" vertical="center"/>
    </xf>
    <xf numFmtId="164" fontId="28" fillId="0" borderId="0" xfId="1" applyNumberFormat="1" applyFont="1" applyFill="1"/>
    <xf numFmtId="168" fontId="0" fillId="0" borderId="1" xfId="88" applyNumberFormat="1" applyFont="1" applyBorder="1" applyAlignment="1"/>
    <xf numFmtId="0" fontId="0" fillId="0" borderId="1" xfId="0" applyBorder="1" applyAlignment="1"/>
    <xf numFmtId="0" fontId="0" fillId="0" borderId="1" xfId="88" applyNumberFormat="1" applyFont="1" applyBorder="1" applyAlignment="1">
      <alignment horizontal="center"/>
    </xf>
    <xf numFmtId="0" fontId="0" fillId="0" borderId="1" xfId="88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9" fontId="28" fillId="0" borderId="0" xfId="1" applyNumberFormat="1" applyFont="1" applyFill="1" applyBorder="1" applyAlignment="1">
      <alignment horizontal="center" vertical="center"/>
    </xf>
    <xf numFmtId="0" fontId="69" fillId="54" borderId="0" xfId="68" applyFont="1" applyFill="1" applyBorder="1" applyAlignment="1">
      <alignment horizontal="center" vertical="center"/>
    </xf>
    <xf numFmtId="0" fontId="69" fillId="54" borderId="0" xfId="68" applyFont="1" applyFill="1" applyBorder="1" applyAlignment="1">
      <alignment horizontal="center" vertical="center" wrapText="1"/>
    </xf>
    <xf numFmtId="0" fontId="69" fillId="54" borderId="0" xfId="0" applyFont="1" applyFill="1" applyAlignment="1">
      <alignment horizontal="center" vertical="center" wrapText="1"/>
    </xf>
    <xf numFmtId="0" fontId="70" fillId="0" borderId="0" xfId="0" applyFont="1" applyFill="1" applyAlignment="1">
      <alignment wrapText="1"/>
    </xf>
    <xf numFmtId="0" fontId="70" fillId="0" borderId="0" xfId="0" applyFont="1" applyAlignment="1">
      <alignment wrapText="1"/>
    </xf>
    <xf numFmtId="0" fontId="0" fillId="54" borderId="0" xfId="0" applyFill="1" applyAlignment="1">
      <alignment wrapText="1"/>
    </xf>
    <xf numFmtId="0" fontId="70" fillId="54" borderId="0" xfId="0" applyFont="1" applyFill="1" applyAlignment="1">
      <alignment wrapText="1"/>
    </xf>
    <xf numFmtId="0" fontId="73" fillId="0" borderId="0" xfId="0" applyFont="1"/>
    <xf numFmtId="0" fontId="75" fillId="0" borderId="0" xfId="0" applyFont="1"/>
    <xf numFmtId="0" fontId="74" fillId="54" borderId="40" xfId="0" applyFont="1" applyFill="1" applyBorder="1" applyAlignment="1">
      <alignment horizontal="center"/>
    </xf>
    <xf numFmtId="0" fontId="74" fillId="54" borderId="41" xfId="0" applyFont="1" applyFill="1" applyBorder="1" applyAlignment="1">
      <alignment horizontal="center"/>
    </xf>
    <xf numFmtId="0" fontId="74" fillId="54" borderId="42" xfId="0" applyFont="1" applyFill="1" applyBorder="1" applyAlignment="1">
      <alignment horizontal="center"/>
    </xf>
    <xf numFmtId="0" fontId="78" fillId="0" borderId="0" xfId="68" applyFont="1" applyFill="1" applyBorder="1" applyAlignment="1">
      <alignment horizontal="center" vertical="center" wrapText="1"/>
    </xf>
    <xf numFmtId="9" fontId="78" fillId="0" borderId="0" xfId="68" applyNumberFormat="1" applyFont="1" applyFill="1" applyBorder="1" applyAlignment="1">
      <alignment horizontal="center" vertical="center"/>
    </xf>
    <xf numFmtId="0" fontId="78" fillId="0" borderId="0" xfId="68" applyFont="1" applyFill="1" applyBorder="1" applyAlignment="1">
      <alignment vertical="center"/>
    </xf>
    <xf numFmtId="0" fontId="78" fillId="0" borderId="0" xfId="0" applyFont="1" applyFill="1" applyBorder="1" applyAlignment="1">
      <alignment horizontal="right" vertical="center"/>
    </xf>
    <xf numFmtId="0" fontId="78" fillId="0" borderId="0" xfId="68" applyFont="1" applyFill="1" applyBorder="1" applyAlignment="1">
      <alignment horizontal="left" vertical="center" wrapText="1"/>
    </xf>
    <xf numFmtId="0" fontId="78" fillId="0" borderId="76" xfId="0" applyFont="1" applyFill="1" applyBorder="1" applyAlignment="1">
      <alignment vertical="center"/>
    </xf>
    <xf numFmtId="0" fontId="78" fillId="0" borderId="0" xfId="68" applyFont="1" applyFill="1" applyBorder="1" applyAlignment="1">
      <alignment horizontal="center" vertical="center"/>
    </xf>
    <xf numFmtId="0" fontId="78" fillId="0" borderId="0" xfId="68" applyFont="1" applyBorder="1" applyAlignment="1">
      <alignment vertical="center" wrapText="1"/>
    </xf>
    <xf numFmtId="0" fontId="78" fillId="0" borderId="0" xfId="68" applyFont="1" applyBorder="1" applyAlignment="1">
      <alignment horizontal="left" vertical="center" wrapText="1"/>
    </xf>
    <xf numFmtId="0" fontId="80" fillId="0" borderId="68" xfId="13" applyFont="1" applyBorder="1" applyAlignment="1">
      <alignment horizontal="center" vertical="center" wrapText="1"/>
    </xf>
    <xf numFmtId="0" fontId="81" fillId="6" borderId="76" xfId="68" applyFont="1" applyFill="1" applyBorder="1" applyAlignment="1">
      <alignment horizontal="center" vertical="center"/>
    </xf>
    <xf numFmtId="0" fontId="81" fillId="0" borderId="0" xfId="68" applyFont="1" applyFill="1" applyBorder="1" applyAlignment="1">
      <alignment vertical="center"/>
    </xf>
    <xf numFmtId="0" fontId="78" fillId="0" borderId="0" xfId="0" applyFont="1" applyFill="1" applyBorder="1" applyAlignment="1">
      <alignment vertical="center" wrapText="1"/>
    </xf>
    <xf numFmtId="0" fontId="81" fillId="9" borderId="76" xfId="68" applyFont="1" applyFill="1" applyBorder="1" applyAlignment="1">
      <alignment horizontal="center" vertical="center"/>
    </xf>
    <xf numFmtId="0" fontId="81" fillId="50" borderId="76" xfId="0" applyFont="1" applyFill="1" applyBorder="1" applyAlignment="1">
      <alignment vertical="center"/>
    </xf>
    <xf numFmtId="0" fontId="81" fillId="49" borderId="76" xfId="0" applyFont="1" applyFill="1" applyBorder="1" applyAlignment="1">
      <alignment vertical="center"/>
    </xf>
    <xf numFmtId="0" fontId="78" fillId="0" borderId="0" xfId="0" applyFont="1" applyFill="1" applyBorder="1" applyAlignment="1">
      <alignment horizontal="right" vertical="center" wrapText="1"/>
    </xf>
    <xf numFmtId="0" fontId="78" fillId="0" borderId="0" xfId="0" applyFont="1" applyFill="1" applyBorder="1" applyAlignment="1">
      <alignment horizontal="center" vertical="center"/>
    </xf>
    <xf numFmtId="0" fontId="27" fillId="0" borderId="68" xfId="0" applyFont="1" applyFill="1" applyBorder="1" applyAlignment="1">
      <alignment vertical="center"/>
    </xf>
    <xf numFmtId="0" fontId="27" fillId="0" borderId="0" xfId="68" applyFont="1" applyBorder="1" applyAlignment="1">
      <alignment horizontal="center" vertical="center"/>
    </xf>
    <xf numFmtId="164" fontId="27" fillId="6" borderId="0" xfId="68" applyNumberFormat="1" applyFont="1" applyFill="1" applyBorder="1" applyAlignment="1">
      <alignment horizontal="center" vertical="center"/>
    </xf>
    <xf numFmtId="0" fontId="27" fillId="0" borderId="0" xfId="68" applyFont="1" applyFill="1" applyAlignment="1">
      <alignment horizontal="center" vertical="center"/>
    </xf>
    <xf numFmtId="1" fontId="27" fillId="6" borderId="0" xfId="68" applyNumberFormat="1" applyFont="1" applyFill="1" applyAlignment="1">
      <alignment horizontal="center" vertical="center"/>
    </xf>
    <xf numFmtId="1" fontId="27" fillId="0" borderId="0" xfId="68" applyNumberFormat="1" applyFont="1" applyFill="1" applyBorder="1" applyAlignment="1">
      <alignment horizontal="center" vertical="center"/>
    </xf>
    <xf numFmtId="0" fontId="27" fillId="0" borderId="0" xfId="68" applyFont="1" applyFill="1" applyBorder="1" applyAlignment="1">
      <alignment horizontal="center" vertical="center"/>
    </xf>
    <xf numFmtId="165" fontId="27" fillId="6" borderId="0" xfId="68" applyNumberFormat="1" applyFont="1" applyFill="1" applyBorder="1" applyAlignment="1">
      <alignment horizontal="center" vertical="center"/>
    </xf>
    <xf numFmtId="164" fontId="27" fillId="9" borderId="0" xfId="68" applyNumberFormat="1" applyFont="1" applyFill="1" applyBorder="1" applyAlignment="1">
      <alignment horizontal="center" vertical="center"/>
    </xf>
    <xf numFmtId="164" fontId="27" fillId="50" borderId="0" xfId="68" applyNumberFormat="1" applyFont="1" applyFill="1" applyBorder="1" applyAlignment="1">
      <alignment horizontal="center" vertical="center"/>
    </xf>
    <xf numFmtId="164" fontId="27" fillId="51" borderId="0" xfId="68" applyNumberFormat="1" applyFont="1" applyFill="1" applyBorder="1" applyAlignment="1">
      <alignment horizontal="center" vertical="center"/>
    </xf>
    <xf numFmtId="164" fontId="27" fillId="53" borderId="0" xfId="68" applyNumberFormat="1" applyFont="1" applyFill="1" applyAlignment="1">
      <alignment horizontal="center" vertical="center"/>
    </xf>
    <xf numFmtId="164" fontId="27" fillId="6" borderId="0" xfId="68" applyNumberFormat="1" applyFont="1" applyFill="1" applyAlignment="1">
      <alignment horizontal="center" vertical="center"/>
    </xf>
    <xf numFmtId="0" fontId="27" fillId="52" borderId="0" xfId="68" applyFont="1" applyFill="1" applyBorder="1" applyAlignment="1">
      <alignment horizontal="center" vertical="center"/>
    </xf>
    <xf numFmtId="1" fontId="27" fillId="52" borderId="0" xfId="68" applyNumberFormat="1" applyFont="1" applyFill="1" applyBorder="1" applyAlignment="1">
      <alignment horizontal="center" vertical="center"/>
    </xf>
    <xf numFmtId="1" fontId="27" fillId="6" borderId="0" xfId="68" applyNumberFormat="1" applyFont="1" applyFill="1" applyBorder="1" applyAlignment="1">
      <alignment horizontal="center" vertical="center"/>
    </xf>
    <xf numFmtId="0" fontId="27" fillId="50" borderId="0" xfId="68" applyFont="1" applyFill="1" applyBorder="1" applyAlignment="1">
      <alignment horizontal="center" vertical="center"/>
    </xf>
    <xf numFmtId="1" fontId="27" fillId="50" borderId="0" xfId="68" applyNumberFormat="1" applyFont="1" applyFill="1" applyBorder="1" applyAlignment="1">
      <alignment horizontal="center" vertical="center"/>
    </xf>
    <xf numFmtId="1" fontId="27" fillId="9" borderId="0" xfId="68" applyNumberFormat="1" applyFont="1" applyFill="1" applyBorder="1" applyAlignment="1">
      <alignment horizontal="center" vertical="center"/>
    </xf>
    <xf numFmtId="164" fontId="27" fillId="53" borderId="0" xfId="68" applyNumberFormat="1" applyFont="1" applyFill="1" applyBorder="1" applyAlignment="1">
      <alignment horizontal="center" vertical="center"/>
    </xf>
    <xf numFmtId="9" fontId="27" fillId="9" borderId="0" xfId="68" applyNumberFormat="1" applyFont="1" applyFill="1" applyBorder="1" applyAlignment="1">
      <alignment horizontal="center" vertical="center"/>
    </xf>
    <xf numFmtId="9" fontId="27" fillId="52" borderId="0" xfId="68" applyNumberFormat="1" applyFont="1" applyFill="1" applyBorder="1" applyAlignment="1">
      <alignment horizontal="center" vertical="center"/>
    </xf>
    <xf numFmtId="9" fontId="27" fillId="0" borderId="0" xfId="68" applyNumberFormat="1" applyFont="1" applyFill="1" applyBorder="1" applyAlignment="1">
      <alignment horizontal="center" vertical="center" wrapText="1"/>
    </xf>
    <xf numFmtId="165" fontId="27" fillId="0" borderId="0" xfId="68" applyNumberFormat="1" applyFont="1" applyFill="1" applyBorder="1" applyAlignment="1">
      <alignment horizontal="center" vertical="center"/>
    </xf>
    <xf numFmtId="0" fontId="1" fillId="0" borderId="112" xfId="0" applyFont="1" applyBorder="1"/>
    <xf numFmtId="0" fontId="79" fillId="0" borderId="0" xfId="68" applyFont="1" applyBorder="1" applyAlignment="1">
      <alignment vertical="center" wrapText="1"/>
    </xf>
    <xf numFmtId="0" fontId="78" fillId="0" borderId="0" xfId="68" applyNumberFormat="1" applyFont="1" applyBorder="1" applyAlignment="1">
      <alignment horizontal="center" vertical="center"/>
    </xf>
    <xf numFmtId="0" fontId="78" fillId="0" borderId="0" xfId="68" applyFont="1" applyBorder="1" applyAlignment="1">
      <alignment vertical="center"/>
    </xf>
    <xf numFmtId="9" fontId="78" fillId="0" borderId="0" xfId="68" applyNumberFormat="1" applyFont="1" applyBorder="1" applyAlignment="1">
      <alignment horizontal="center" vertical="center"/>
    </xf>
    <xf numFmtId="0" fontId="85" fillId="0" borderId="0" xfId="68" applyFont="1" applyFill="1" applyBorder="1" applyAlignment="1">
      <alignment horizontal="center" vertical="center"/>
    </xf>
    <xf numFmtId="0" fontId="78" fillId="0" borderId="0" xfId="68" applyFont="1" applyBorder="1" applyAlignment="1">
      <alignment horizontal="center" vertical="center"/>
    </xf>
    <xf numFmtId="164" fontId="78" fillId="6" borderId="0" xfId="68" applyNumberFormat="1" applyFont="1" applyFill="1" applyBorder="1" applyAlignment="1">
      <alignment horizontal="center" vertical="center"/>
    </xf>
    <xf numFmtId="49" fontId="85" fillId="0" borderId="0" xfId="68" applyNumberFormat="1" applyFont="1" applyFill="1" applyBorder="1" applyAlignment="1">
      <alignment horizontal="center" vertical="center"/>
    </xf>
    <xf numFmtId="49" fontId="78" fillId="0" borderId="0" xfId="68" applyNumberFormat="1" applyFont="1" applyBorder="1" applyAlignment="1">
      <alignment horizontal="center" vertical="center"/>
    </xf>
    <xf numFmtId="0" fontId="79" fillId="0" borderId="0" xfId="68" quotePrefix="1" applyFont="1" applyBorder="1" applyAlignment="1">
      <alignment vertical="center" wrapText="1"/>
    </xf>
    <xf numFmtId="164" fontId="78" fillId="9" borderId="0" xfId="68" applyNumberFormat="1" applyFont="1" applyFill="1" applyBorder="1" applyAlignment="1">
      <alignment horizontal="center" vertical="center"/>
    </xf>
    <xf numFmtId="0" fontId="78" fillId="0" borderId="0" xfId="68" applyFont="1" applyFill="1" applyAlignment="1">
      <alignment horizontal="left" vertical="center" wrapText="1"/>
    </xf>
    <xf numFmtId="0" fontId="78" fillId="0" borderId="0" xfId="68" applyFont="1" applyFill="1" applyAlignment="1">
      <alignment horizontal="center" vertical="center"/>
    </xf>
    <xf numFmtId="1" fontId="78" fillId="6" borderId="0" xfId="68" applyNumberFormat="1" applyFont="1" applyFill="1" applyAlignment="1">
      <alignment horizontal="center" vertical="center"/>
    </xf>
    <xf numFmtId="0" fontId="78" fillId="0" borderId="0" xfId="68" applyFont="1" applyBorder="1" applyAlignment="1">
      <alignment horizontal="center" vertical="center" wrapText="1"/>
    </xf>
    <xf numFmtId="9" fontId="78" fillId="6" borderId="0" xfId="68" applyNumberFormat="1" applyFont="1" applyFill="1" applyBorder="1" applyAlignment="1">
      <alignment horizontal="center" vertical="center"/>
    </xf>
    <xf numFmtId="49" fontId="85" fillId="0" borderId="0" xfId="68" applyNumberFormat="1" applyFont="1" applyBorder="1" applyAlignment="1">
      <alignment horizontal="center" vertical="center" wrapText="1"/>
    </xf>
    <xf numFmtId="0" fontId="79" fillId="0" borderId="0" xfId="68" applyFont="1" applyFill="1" applyBorder="1" applyAlignment="1">
      <alignment vertical="center" wrapText="1"/>
    </xf>
    <xf numFmtId="0" fontId="78" fillId="0" borderId="0" xfId="68" applyFont="1" applyFill="1" applyBorder="1" applyAlignment="1">
      <alignment horizontal="left" vertical="center"/>
    </xf>
    <xf numFmtId="49" fontId="78" fillId="0" borderId="0" xfId="68" applyNumberFormat="1" applyFont="1" applyFill="1" applyBorder="1" applyAlignment="1">
      <alignment horizontal="center" vertical="center"/>
    </xf>
    <xf numFmtId="0" fontId="78" fillId="0" borderId="0" xfId="1" applyNumberFormat="1" applyFont="1" applyBorder="1" applyAlignment="1">
      <alignment vertical="center"/>
    </xf>
    <xf numFmtId="0" fontId="78" fillId="0" borderId="0" xfId="68" applyFont="1" applyFill="1" applyAlignment="1">
      <alignment vertical="center"/>
    </xf>
    <xf numFmtId="1" fontId="78" fillId="9" borderId="0" xfId="68" applyNumberFormat="1" applyFont="1" applyFill="1" applyBorder="1" applyAlignment="1">
      <alignment horizontal="center" vertical="center"/>
    </xf>
    <xf numFmtId="0" fontId="81" fillId="5" borderId="0" xfId="68" applyFont="1" applyFill="1" applyBorder="1" applyAlignment="1">
      <alignment horizontal="center" vertical="center"/>
    </xf>
    <xf numFmtId="9" fontId="78" fillId="0" borderId="0" xfId="68" applyNumberFormat="1" applyFont="1" applyFill="1" applyAlignment="1">
      <alignment vertical="center"/>
    </xf>
    <xf numFmtId="1" fontId="63" fillId="0" borderId="0" xfId="0" applyNumberFormat="1" applyFont="1" applyFill="1" applyBorder="1" applyAlignment="1">
      <alignment horizontal="center"/>
    </xf>
    <xf numFmtId="1" fontId="78" fillId="0" borderId="0" xfId="0" applyNumberFormat="1" applyFont="1" applyFill="1" applyBorder="1" applyAlignment="1">
      <alignment vertical="center"/>
    </xf>
    <xf numFmtId="0" fontId="81" fillId="9" borderId="0" xfId="68" applyFont="1" applyFill="1" applyBorder="1" applyAlignment="1">
      <alignment horizontal="center" vertical="center"/>
    </xf>
    <xf numFmtId="0" fontId="81" fillId="50" borderId="0" xfId="0" applyFont="1" applyFill="1" applyBorder="1" applyAlignment="1">
      <alignment vertical="center"/>
    </xf>
    <xf numFmtId="0" fontId="81" fillId="49" borderId="0" xfId="0" applyFont="1" applyFill="1" applyBorder="1" applyAlignment="1">
      <alignment vertical="center"/>
    </xf>
    <xf numFmtId="43" fontId="28" fillId="0" borderId="0" xfId="88" applyFont="1" applyFill="1"/>
    <xf numFmtId="9" fontId="28" fillId="0" borderId="0" xfId="1" applyFont="1" applyFill="1"/>
    <xf numFmtId="37" fontId="27" fillId="0" borderId="0" xfId="68" applyNumberFormat="1" applyFont="1" applyFill="1" applyBorder="1" applyAlignment="1">
      <alignment horizontal="center" vertical="center"/>
    </xf>
    <xf numFmtId="37" fontId="27" fillId="0" borderId="0" xfId="68" applyNumberFormat="1" applyFont="1" applyFill="1" applyAlignment="1">
      <alignment horizontal="center" vertical="center"/>
    </xf>
    <xf numFmtId="0" fontId="79" fillId="0" borderId="0" xfId="68" applyFont="1" applyFill="1" applyBorder="1" applyAlignment="1">
      <alignment vertical="center"/>
    </xf>
    <xf numFmtId="0" fontId="78" fillId="0" borderId="0" xfId="68" quotePrefix="1" applyFont="1" applyBorder="1" applyAlignment="1">
      <alignment horizontal="left" vertical="center" wrapText="1"/>
    </xf>
    <xf numFmtId="0" fontId="78" fillId="48" borderId="0" xfId="68" applyFont="1" applyFill="1" applyBorder="1" applyAlignment="1">
      <alignment horizontal="center" vertical="center"/>
    </xf>
    <xf numFmtId="0" fontId="78" fillId="0" borderId="0" xfId="68" quotePrefix="1" applyFont="1" applyFill="1" applyAlignment="1">
      <alignment horizontal="left" vertical="center" wrapText="1"/>
    </xf>
    <xf numFmtId="37" fontId="78" fillId="0" borderId="0" xfId="68" applyNumberFormat="1" applyFont="1" applyFill="1" applyAlignment="1">
      <alignment horizontal="center" vertical="center"/>
    </xf>
    <xf numFmtId="0" fontId="78" fillId="0" borderId="0" xfId="68" applyFont="1" applyFill="1" applyAlignment="1">
      <alignment horizontal="left" vertical="center"/>
    </xf>
    <xf numFmtId="164" fontId="78" fillId="6" borderId="0" xfId="1" applyNumberFormat="1" applyFont="1" applyFill="1" applyAlignment="1">
      <alignment horizontal="center" vertical="center"/>
    </xf>
    <xf numFmtId="37" fontId="78" fillId="51" borderId="0" xfId="88" applyNumberFormat="1" applyFont="1" applyFill="1" applyBorder="1" applyAlignment="1">
      <alignment horizontal="center" vertical="center"/>
    </xf>
    <xf numFmtId="37" fontId="78" fillId="0" borderId="0" xfId="68" applyNumberFormat="1" applyFont="1" applyFill="1" applyBorder="1" applyAlignment="1">
      <alignment horizontal="center" vertical="center"/>
    </xf>
    <xf numFmtId="0" fontId="78" fillId="0" borderId="0" xfId="68" quotePrefix="1" applyFont="1" applyFill="1" applyBorder="1" applyAlignment="1">
      <alignment horizontal="left" vertical="center" wrapText="1"/>
    </xf>
    <xf numFmtId="165" fontId="78" fillId="49" borderId="0" xfId="68" applyNumberFormat="1" applyFont="1" applyFill="1" applyBorder="1" applyAlignment="1">
      <alignment horizontal="center" vertical="center"/>
    </xf>
    <xf numFmtId="0" fontId="78" fillId="49" borderId="0" xfId="68" applyFont="1" applyFill="1" applyBorder="1" applyAlignment="1">
      <alignment horizontal="center" vertical="center"/>
    </xf>
    <xf numFmtId="0" fontId="78" fillId="0" borderId="0" xfId="68" applyFont="1" applyBorder="1" applyAlignment="1">
      <alignment horizontal="left" vertical="center"/>
    </xf>
    <xf numFmtId="0" fontId="89" fillId="0" borderId="0" xfId="68" applyFont="1" applyFill="1" applyAlignment="1">
      <alignment vertical="center" wrapText="1"/>
    </xf>
    <xf numFmtId="0" fontId="78" fillId="0" borderId="0" xfId="68" applyFont="1" applyFill="1" applyAlignment="1">
      <alignment vertical="center" wrapText="1"/>
    </xf>
    <xf numFmtId="0" fontId="81" fillId="6" borderId="0" xfId="68" applyFont="1" applyFill="1" applyBorder="1" applyAlignment="1">
      <alignment horizontal="center" vertical="center"/>
    </xf>
    <xf numFmtId="0" fontId="78" fillId="0" borderId="0" xfId="0" applyFont="1" applyBorder="1" applyAlignment="1">
      <alignment horizontal="center" vertical="center"/>
    </xf>
    <xf numFmtId="10" fontId="78" fillId="0" borderId="0" xfId="0" applyNumberFormat="1" applyFont="1" applyFill="1" applyBorder="1" applyAlignment="1">
      <alignment horizontal="center" vertical="center"/>
    </xf>
    <xf numFmtId="0" fontId="78" fillId="0" borderId="0" xfId="0" applyFont="1" applyBorder="1" applyAlignment="1">
      <alignment horizontal="right" vertical="center"/>
    </xf>
    <xf numFmtId="0" fontId="78" fillId="0" borderId="0" xfId="0" applyFont="1" applyBorder="1" applyAlignment="1">
      <alignment vertical="center"/>
    </xf>
    <xf numFmtId="0" fontId="63" fillId="0" borderId="0" xfId="0" applyFont="1" applyAlignment="1">
      <alignment vertical="center"/>
    </xf>
    <xf numFmtId="164" fontId="63" fillId="0" borderId="0" xfId="1" applyNumberFormat="1" applyFont="1" applyAlignment="1">
      <alignment vertical="center"/>
    </xf>
    <xf numFmtId="170" fontId="78" fillId="0" borderId="0" xfId="1" applyNumberFormat="1" applyFont="1" applyBorder="1" applyAlignment="1">
      <alignment vertical="center"/>
    </xf>
    <xf numFmtId="170" fontId="78" fillId="6" borderId="0" xfId="1" applyNumberFormat="1" applyFont="1" applyFill="1" applyBorder="1" applyAlignment="1">
      <alignment horizontal="center" vertical="center"/>
    </xf>
    <xf numFmtId="9" fontId="79" fillId="0" borderId="0" xfId="1" applyNumberFormat="1" applyFont="1" applyFill="1" applyBorder="1" applyAlignment="1">
      <alignment vertical="center"/>
    </xf>
    <xf numFmtId="0" fontId="78" fillId="48" borderId="103" xfId="0" applyFont="1" applyFill="1" applyBorder="1" applyAlignment="1">
      <alignment vertical="center"/>
    </xf>
    <xf numFmtId="0" fontId="80" fillId="0" borderId="126" xfId="13" applyFont="1" applyBorder="1" applyAlignment="1">
      <alignment horizontal="center" vertical="center" wrapText="1"/>
    </xf>
    <xf numFmtId="0" fontId="31" fillId="0" borderId="0" xfId="0" applyFont="1" applyFill="1" applyAlignment="1">
      <alignment horizontal="center" wrapText="1"/>
    </xf>
    <xf numFmtId="0" fontId="31" fillId="0" borderId="0" xfId="0" applyFont="1" applyAlignment="1">
      <alignment horizontal="center" wrapText="1"/>
    </xf>
    <xf numFmtId="0" fontId="81" fillId="0" borderId="0" xfId="68" applyFont="1" applyFill="1" applyBorder="1" applyAlignment="1">
      <alignment horizontal="left" vertical="center"/>
    </xf>
    <xf numFmtId="0" fontId="78" fillId="0" borderId="0" xfId="0" applyFont="1" applyFill="1" applyBorder="1" applyAlignment="1">
      <alignment horizontal="left" vertical="center" wrapText="1"/>
    </xf>
    <xf numFmtId="0" fontId="63" fillId="0" borderId="0" xfId="0" applyFont="1" applyBorder="1" applyAlignment="1">
      <alignment horizontal="left" vertical="center" wrapText="1"/>
    </xf>
    <xf numFmtId="0" fontId="81" fillId="48" borderId="125" xfId="0" applyFont="1" applyFill="1" applyBorder="1" applyAlignment="1">
      <alignment vertical="center"/>
    </xf>
    <xf numFmtId="0" fontId="78" fillId="0" borderId="76" xfId="0" applyFont="1" applyFill="1" applyBorder="1" applyAlignment="1">
      <alignment horizontal="center" vertical="top"/>
    </xf>
    <xf numFmtId="0" fontId="78" fillId="0" borderId="0" xfId="68" applyFont="1" applyFill="1" applyBorder="1" applyAlignment="1">
      <alignment horizontal="center" vertical="top" wrapText="1"/>
    </xf>
    <xf numFmtId="0" fontId="78" fillId="0" borderId="0" xfId="68" applyFont="1" applyFill="1" applyBorder="1" applyAlignment="1">
      <alignment horizontal="left" vertical="top" wrapText="1"/>
    </xf>
    <xf numFmtId="9" fontId="78" fillId="0" borderId="0" xfId="68" applyNumberFormat="1" applyFont="1" applyFill="1" applyBorder="1" applyAlignment="1">
      <alignment horizontal="center" vertical="top"/>
    </xf>
    <xf numFmtId="0" fontId="78" fillId="0" borderId="68" xfId="68" applyFont="1" applyFill="1" applyBorder="1" applyAlignment="1">
      <alignment vertical="top" wrapText="1"/>
    </xf>
    <xf numFmtId="0" fontId="78" fillId="0" borderId="0" xfId="0" applyFont="1" applyFill="1" applyBorder="1" applyAlignment="1">
      <alignment horizontal="right" vertical="top"/>
    </xf>
    <xf numFmtId="0" fontId="78" fillId="0" borderId="0" xfId="68" applyFont="1" applyBorder="1" applyAlignment="1">
      <alignment horizontal="center" vertical="top" wrapText="1"/>
    </xf>
    <xf numFmtId="0" fontId="78" fillId="0" borderId="0" xfId="68" applyFont="1" applyBorder="1" applyAlignment="1">
      <alignment horizontal="left" vertical="top" wrapText="1"/>
    </xf>
    <xf numFmtId="0" fontId="78" fillId="0" borderId="0" xfId="68" applyFont="1" applyFill="1" applyBorder="1" applyAlignment="1">
      <alignment horizontal="center" vertical="top"/>
    </xf>
    <xf numFmtId="0" fontId="78" fillId="0" borderId="68" xfId="68" applyFont="1" applyFill="1" applyBorder="1" applyAlignment="1">
      <alignment vertical="top"/>
    </xf>
    <xf numFmtId="0" fontId="91" fillId="0" borderId="76" xfId="0" applyFont="1" applyFill="1" applyBorder="1" applyAlignment="1">
      <alignment horizontal="center"/>
    </xf>
    <xf numFmtId="0" fontId="90" fillId="0" borderId="0" xfId="0" applyFont="1" applyFill="1" applyBorder="1" applyAlignment="1">
      <alignment horizontal="center"/>
    </xf>
    <xf numFmtId="0" fontId="91" fillId="0" borderId="0" xfId="68" applyFont="1" applyFill="1" applyBorder="1" applyAlignment="1">
      <alignment horizontal="center" wrapText="1"/>
    </xf>
    <xf numFmtId="0" fontId="90" fillId="0" borderId="0" xfId="68" applyFont="1" applyFill="1" applyBorder="1" applyAlignment="1">
      <alignment horizontal="center" wrapText="1"/>
    </xf>
    <xf numFmtId="0" fontId="91" fillId="0" borderId="0" xfId="68" applyFont="1" applyFill="1" applyBorder="1" applyAlignment="1">
      <alignment horizontal="center"/>
    </xf>
    <xf numFmtId="0" fontId="91" fillId="0" borderId="68" xfId="68" applyFont="1" applyFill="1" applyBorder="1" applyAlignment="1">
      <alignment horizontal="center" wrapText="1"/>
    </xf>
    <xf numFmtId="0" fontId="79" fillId="0" borderId="76" xfId="0" applyFont="1" applyFill="1" applyBorder="1" applyAlignment="1">
      <alignment horizontal="center" vertical="top"/>
    </xf>
    <xf numFmtId="0" fontId="79" fillId="0" borderId="0" xfId="0" applyFont="1" applyFill="1" applyBorder="1" applyAlignment="1">
      <alignment horizontal="right" vertical="center"/>
    </xf>
    <xf numFmtId="0" fontId="79" fillId="0" borderId="0" xfId="68" applyFont="1" applyFill="1" applyBorder="1" applyAlignment="1">
      <alignment horizontal="center" vertical="top" wrapText="1"/>
    </xf>
    <xf numFmtId="0" fontId="79" fillId="0" borderId="0" xfId="68" applyFont="1" applyFill="1" applyBorder="1" applyAlignment="1">
      <alignment horizontal="left" vertical="top" wrapText="1"/>
    </xf>
    <xf numFmtId="9" fontId="79" fillId="0" borderId="0" xfId="68" applyNumberFormat="1" applyFont="1" applyFill="1" applyBorder="1" applyAlignment="1">
      <alignment horizontal="center" vertical="top"/>
    </xf>
    <xf numFmtId="0" fontId="79" fillId="0" borderId="0" xfId="0" applyFont="1" applyFill="1" applyBorder="1" applyAlignment="1">
      <alignment horizontal="right" vertical="top"/>
    </xf>
    <xf numFmtId="0" fontId="79" fillId="0" borderId="0" xfId="68" applyFont="1" applyBorder="1" applyAlignment="1">
      <alignment horizontal="center" vertical="top" wrapText="1"/>
    </xf>
    <xf numFmtId="0" fontId="79" fillId="0" borderId="0" xfId="68" applyFont="1" applyBorder="1" applyAlignment="1">
      <alignment horizontal="left" vertical="top" wrapText="1"/>
    </xf>
    <xf numFmtId="0" fontId="79" fillId="0" borderId="0" xfId="68" applyFont="1" applyFill="1" applyBorder="1" applyAlignment="1">
      <alignment horizontal="center" vertical="top"/>
    </xf>
    <xf numFmtId="0" fontId="79" fillId="0" borderId="0" xfId="0" applyFont="1" applyFill="1" applyBorder="1" applyAlignment="1">
      <alignment vertical="center"/>
    </xf>
    <xf numFmtId="17" fontId="54" fillId="0" borderId="111" xfId="0" applyNumberFormat="1" applyFont="1" applyBorder="1" applyAlignment="1">
      <alignment horizontal="center"/>
    </xf>
    <xf numFmtId="17" fontId="54" fillId="0" borderId="66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37" fontId="28" fillId="0" borderId="0" xfId="88" applyNumberFormat="1" applyFont="1" applyFill="1" applyAlignment="1">
      <alignment vertical="center"/>
    </xf>
    <xf numFmtId="9" fontId="28" fillId="0" borderId="0" xfId="1" applyFont="1" applyFill="1" applyAlignment="1">
      <alignment vertical="center"/>
    </xf>
    <xf numFmtId="0" fontId="87" fillId="52" borderId="0" xfId="68" applyFont="1" applyFill="1" applyBorder="1" applyAlignment="1">
      <alignment horizontal="center" vertical="center"/>
    </xf>
    <xf numFmtId="0" fontId="78" fillId="52" borderId="0" xfId="68" applyFont="1" applyFill="1" applyBorder="1" applyAlignment="1">
      <alignment horizontal="center" vertical="center"/>
    </xf>
    <xf numFmtId="49" fontId="85" fillId="48" borderId="0" xfId="68" applyNumberFormat="1" applyFont="1" applyFill="1" applyBorder="1" applyAlignment="1">
      <alignment horizontal="center" vertical="center"/>
    </xf>
    <xf numFmtId="9" fontId="78" fillId="9" borderId="0" xfId="1" applyNumberFormat="1" applyFont="1" applyFill="1" applyBorder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0" fillId="0" borderId="146" xfId="0" applyBorder="1"/>
    <xf numFmtId="1" fontId="0" fillId="48" borderId="146" xfId="54" applyNumberFormat="1" applyFont="1" applyFill="1" applyBorder="1" applyAlignment="1">
      <alignment horizontal="center"/>
    </xf>
    <xf numFmtId="1" fontId="0" fillId="0" borderId="146" xfId="0" applyNumberFormat="1" applyBorder="1"/>
    <xf numFmtId="1" fontId="0" fillId="58" borderId="44" xfId="54" applyNumberFormat="1" applyFont="1" applyFill="1" applyBorder="1" applyAlignment="1">
      <alignment horizontal="center"/>
    </xf>
    <xf numFmtId="1" fontId="0" fillId="58" borderId="29" xfId="0" applyNumberFormat="1" applyFill="1" applyBorder="1" applyAlignment="1">
      <alignment horizontal="center"/>
    </xf>
    <xf numFmtId="1" fontId="0" fillId="58" borderId="29" xfId="54" applyNumberFormat="1" applyFont="1" applyFill="1" applyBorder="1" applyAlignment="1">
      <alignment horizontal="center"/>
    </xf>
    <xf numFmtId="44" fontId="0" fillId="58" borderId="44" xfId="54" applyNumberFormat="1" applyFont="1" applyFill="1" applyBorder="1" applyAlignment="1">
      <alignment horizontal="center"/>
    </xf>
    <xf numFmtId="44" fontId="0" fillId="58" borderId="29" xfId="54" applyNumberFormat="1" applyFont="1" applyFill="1" applyBorder="1" applyAlignment="1">
      <alignment horizontal="center"/>
    </xf>
    <xf numFmtId="44" fontId="0" fillId="58" borderId="44" xfId="54" applyFont="1" applyFill="1" applyBorder="1" applyAlignment="1">
      <alignment horizontal="center"/>
    </xf>
    <xf numFmtId="44" fontId="0" fillId="58" borderId="29" xfId="54" applyFont="1" applyFill="1" applyBorder="1" applyAlignment="1">
      <alignment horizontal="center"/>
    </xf>
    <xf numFmtId="7" fontId="37" fillId="58" borderId="29" xfId="54" applyNumberFormat="1" applyFont="1" applyFill="1" applyBorder="1" applyAlignment="1">
      <alignment horizontal="center"/>
    </xf>
    <xf numFmtId="0" fontId="0" fillId="58" borderId="29" xfId="54" applyNumberFormat="1" applyFont="1" applyFill="1" applyBorder="1" applyAlignment="1">
      <alignment horizontal="center"/>
    </xf>
    <xf numFmtId="1" fontId="0" fillId="58" borderId="62" xfId="1" applyNumberFormat="1" applyFont="1" applyFill="1" applyBorder="1" applyAlignment="1">
      <alignment horizontal="center"/>
    </xf>
    <xf numFmtId="1" fontId="0" fillId="58" borderId="43" xfId="1" applyNumberFormat="1" applyFont="1" applyFill="1" applyBorder="1" applyAlignment="1">
      <alignment horizontal="center"/>
    </xf>
    <xf numFmtId="1" fontId="3" fillId="58" borderId="43" xfId="1" applyNumberFormat="1" applyFont="1" applyFill="1" applyBorder="1" applyAlignment="1">
      <alignment horizontal="center"/>
    </xf>
    <xf numFmtId="1" fontId="0" fillId="58" borderId="33" xfId="1" applyNumberFormat="1" applyFont="1" applyFill="1" applyBorder="1" applyAlignment="1">
      <alignment horizontal="center"/>
    </xf>
    <xf numFmtId="1" fontId="0" fillId="58" borderId="0" xfId="1" applyNumberFormat="1" applyFont="1" applyFill="1" applyBorder="1" applyAlignment="1">
      <alignment horizontal="center"/>
    </xf>
    <xf numFmtId="1" fontId="3" fillId="58" borderId="0" xfId="1" applyNumberFormat="1" applyFont="1" applyFill="1" applyBorder="1" applyAlignment="1">
      <alignment horizontal="center"/>
    </xf>
    <xf numFmtId="1" fontId="3" fillId="58" borderId="29" xfId="0" applyNumberFormat="1" applyFont="1" applyFill="1" applyBorder="1" applyAlignment="1">
      <alignment horizontal="center"/>
    </xf>
    <xf numFmtId="1" fontId="0" fillId="0" borderId="0" xfId="0" applyNumberFormat="1" applyFill="1"/>
    <xf numFmtId="1" fontId="0" fillId="0" borderId="0" xfId="54" applyNumberFormat="1" applyFont="1" applyFill="1" applyBorder="1" applyAlignment="1">
      <alignment horizontal="center"/>
    </xf>
    <xf numFmtId="0" fontId="3" fillId="46" borderId="16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44" fontId="0" fillId="0" borderId="0" xfId="0" applyNumberFormat="1"/>
    <xf numFmtId="17" fontId="54" fillId="0" borderId="124" xfId="0" applyNumberFormat="1" applyFont="1" applyBorder="1" applyAlignment="1">
      <alignment horizontal="center" vertical="center"/>
    </xf>
    <xf numFmtId="17" fontId="54" fillId="0" borderId="111" xfId="0" applyNumberFormat="1" applyFont="1" applyBorder="1" applyAlignment="1">
      <alignment horizontal="center" vertical="center"/>
    </xf>
    <xf numFmtId="0" fontId="27" fillId="0" borderId="0" xfId="0" applyFont="1"/>
    <xf numFmtId="0" fontId="49" fillId="0" borderId="0" xfId="0" applyFont="1"/>
    <xf numFmtId="164" fontId="0" fillId="0" borderId="64" xfId="1" applyNumberFormat="1" applyFont="1" applyFill="1" applyBorder="1" applyAlignment="1">
      <alignment horizontal="center"/>
    </xf>
    <xf numFmtId="0" fontId="0" fillId="0" borderId="0" xfId="0" applyBorder="1" applyAlignment="1">
      <alignment wrapText="1"/>
    </xf>
    <xf numFmtId="0" fontId="0" fillId="58" borderId="1" xfId="54" applyNumberFormat="1" applyFont="1" applyFill="1" applyBorder="1" applyAlignment="1">
      <alignment horizontal="center"/>
    </xf>
    <xf numFmtId="0" fontId="3" fillId="0" borderId="0" xfId="0" applyFont="1" applyBorder="1"/>
    <xf numFmtId="0" fontId="0" fillId="0" borderId="0" xfId="0" applyFill="1" applyBorder="1" applyAlignment="1"/>
    <xf numFmtId="0" fontId="0" fillId="0" borderId="0" xfId="0" applyFill="1" applyAlignment="1"/>
    <xf numFmtId="0" fontId="0" fillId="0" borderId="0" xfId="0" applyBorder="1" applyAlignment="1">
      <alignment vertical="center"/>
    </xf>
    <xf numFmtId="2" fontId="3" fillId="0" borderId="0" xfId="0" applyNumberFormat="1" applyFont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44" fontId="0" fillId="0" borderId="0" xfId="54" applyFont="1"/>
    <xf numFmtId="0" fontId="24" fillId="0" borderId="0" xfId="0" applyFont="1" applyFill="1" applyBorder="1" applyAlignment="1">
      <alignment horizontal="center"/>
    </xf>
    <xf numFmtId="0" fontId="98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1" fontId="0" fillId="58" borderId="61" xfId="0" applyNumberFormat="1" applyFill="1" applyBorder="1" applyAlignment="1">
      <alignment horizontal="center"/>
    </xf>
    <xf numFmtId="1" fontId="0" fillId="58" borderId="63" xfId="1" applyNumberFormat="1" applyFont="1" applyFill="1" applyBorder="1" applyAlignment="1">
      <alignment horizontal="center"/>
    </xf>
    <xf numFmtId="1" fontId="0" fillId="58" borderId="34" xfId="1" applyNumberFormat="1" applyFont="1" applyFill="1" applyBorder="1" applyAlignment="1">
      <alignment horizontal="center"/>
    </xf>
    <xf numFmtId="164" fontId="0" fillId="58" borderId="0" xfId="1" applyNumberFormat="1" applyFont="1" applyFill="1" applyBorder="1" applyAlignment="1">
      <alignment horizontal="center"/>
    </xf>
    <xf numFmtId="168" fontId="0" fillId="0" borderId="0" xfId="88" applyNumberFormat="1" applyFont="1"/>
    <xf numFmtId="0" fontId="43" fillId="0" borderId="0" xfId="0" applyFont="1"/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64" fontId="3" fillId="5" borderId="0" xfId="1" applyNumberFormat="1" applyFont="1" applyFill="1" applyAlignment="1">
      <alignment horizontal="center" vertical="center"/>
    </xf>
    <xf numFmtId="9" fontId="3" fillId="5" borderId="0" xfId="1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88" applyNumberFormat="1" applyFont="1" applyAlignment="1">
      <alignment horizontal="center" vertical="center"/>
    </xf>
    <xf numFmtId="0" fontId="3" fillId="0" borderId="0" xfId="1" applyNumberFormat="1" applyFont="1" applyAlignment="1">
      <alignment horizontal="center" vertical="center"/>
    </xf>
    <xf numFmtId="10" fontId="3" fillId="5" borderId="0" xfId="1" applyNumberFormat="1" applyFont="1" applyFill="1" applyAlignment="1">
      <alignment horizontal="center" vertical="center"/>
    </xf>
    <xf numFmtId="164" fontId="3" fillId="5" borderId="0" xfId="1" applyNumberFormat="1" applyFont="1" applyFill="1" applyAlignment="1">
      <alignment horizontal="center"/>
    </xf>
    <xf numFmtId="0" fontId="74" fillId="54" borderId="209" xfId="0" applyFont="1" applyFill="1" applyBorder="1" applyAlignment="1">
      <alignment horizontal="center"/>
    </xf>
    <xf numFmtId="0" fontId="74" fillId="54" borderId="60" xfId="0" applyFont="1" applyFill="1" applyBorder="1" applyAlignment="1">
      <alignment horizontal="center"/>
    </xf>
    <xf numFmtId="0" fontId="74" fillId="54" borderId="0" xfId="0" applyFont="1" applyFill="1" applyBorder="1" applyAlignment="1">
      <alignment horizontal="center"/>
    </xf>
    <xf numFmtId="1" fontId="0" fillId="44" borderId="16" xfId="0" applyNumberFormat="1" applyFill="1" applyBorder="1" applyAlignment="1">
      <alignment horizontal="center"/>
    </xf>
    <xf numFmtId="0" fontId="3" fillId="44" borderId="54" xfId="0" applyFont="1" applyFill="1" applyBorder="1" applyAlignment="1">
      <alignment horizontal="center" wrapText="1"/>
    </xf>
    <xf numFmtId="0" fontId="3" fillId="44" borderId="61" xfId="0" applyFont="1" applyFill="1" applyBorder="1" applyAlignment="1">
      <alignment horizontal="center" wrapText="1"/>
    </xf>
    <xf numFmtId="1" fontId="0" fillId="44" borderId="36" xfId="0" applyNumberFormat="1" applyFill="1" applyBorder="1" applyAlignment="1">
      <alignment horizontal="center"/>
    </xf>
    <xf numFmtId="1" fontId="0" fillId="44" borderId="37" xfId="54" applyNumberFormat="1" applyFont="1" applyFill="1" applyBorder="1" applyAlignment="1">
      <alignment horizontal="center"/>
    </xf>
    <xf numFmtId="1" fontId="0" fillId="58" borderId="210" xfId="0" applyNumberFormat="1" applyFill="1" applyBorder="1" applyAlignment="1">
      <alignment horizontal="center"/>
    </xf>
    <xf numFmtId="1" fontId="0" fillId="58" borderId="211" xfId="54" applyNumberFormat="1" applyFont="1" applyFill="1" applyBorder="1" applyAlignment="1">
      <alignment horizontal="center"/>
    </xf>
    <xf numFmtId="1" fontId="0" fillId="58" borderId="212" xfId="54" applyNumberFormat="1" applyFont="1" applyFill="1" applyBorder="1" applyAlignment="1">
      <alignment horizontal="center"/>
    </xf>
    <xf numFmtId="1" fontId="0" fillId="44" borderId="3" xfId="54" applyNumberFormat="1" applyFont="1" applyFill="1" applyBorder="1" applyAlignment="1">
      <alignment horizontal="center"/>
    </xf>
    <xf numFmtId="1" fontId="0" fillId="44" borderId="17" xfId="0" applyNumberFormat="1" applyFill="1" applyBorder="1" applyAlignment="1">
      <alignment horizontal="center"/>
    </xf>
    <xf numFmtId="0" fontId="3" fillId="43" borderId="61" xfId="0" applyFont="1" applyFill="1" applyBorder="1" applyAlignment="1">
      <alignment horizontal="center" wrapText="1"/>
    </xf>
    <xf numFmtId="1" fontId="0" fillId="43" borderId="36" xfId="0" applyNumberFormat="1" applyFill="1" applyBorder="1" applyAlignment="1">
      <alignment horizontal="center"/>
    </xf>
    <xf numFmtId="1" fontId="0" fillId="43" borderId="37" xfId="54" applyNumberFormat="1" applyFont="1" applyFill="1" applyBorder="1" applyAlignment="1">
      <alignment horizontal="center"/>
    </xf>
    <xf numFmtId="1" fontId="0" fillId="58" borderId="54" xfId="0" applyNumberFormat="1" applyFill="1" applyBorder="1" applyAlignment="1">
      <alignment horizontal="center"/>
    </xf>
    <xf numFmtId="1" fontId="0" fillId="58" borderId="61" xfId="54" applyNumberFormat="1" applyFont="1" applyFill="1" applyBorder="1" applyAlignment="1">
      <alignment horizontal="center"/>
    </xf>
    <xf numFmtId="1" fontId="0" fillId="43" borderId="38" xfId="0" applyNumberFormat="1" applyFill="1" applyBorder="1" applyAlignment="1">
      <alignment horizontal="center"/>
    </xf>
    <xf numFmtId="1" fontId="0" fillId="43" borderId="10" xfId="0" applyNumberFormat="1" applyFill="1" applyBorder="1" applyAlignment="1">
      <alignment horizontal="center"/>
    </xf>
    <xf numFmtId="1" fontId="0" fillId="43" borderId="39" xfId="0" applyNumberFormat="1" applyFill="1" applyBorder="1" applyAlignment="1">
      <alignment horizontal="center"/>
    </xf>
    <xf numFmtId="1" fontId="0" fillId="44" borderId="38" xfId="0" applyNumberFormat="1" applyFill="1" applyBorder="1" applyAlignment="1">
      <alignment horizontal="center"/>
    </xf>
    <xf numFmtId="1" fontId="0" fillId="44" borderId="10" xfId="0" applyNumberFormat="1" applyFill="1" applyBorder="1" applyAlignment="1">
      <alignment horizontal="center"/>
    </xf>
    <xf numFmtId="1" fontId="0" fillId="44" borderId="39" xfId="0" applyNumberFormat="1" applyFill="1" applyBorder="1" applyAlignment="1">
      <alignment horizontal="center"/>
    </xf>
    <xf numFmtId="1" fontId="0" fillId="58" borderId="54" xfId="54" applyNumberFormat="1" applyFont="1" applyFill="1" applyBorder="1" applyAlignment="1">
      <alignment horizontal="center"/>
    </xf>
    <xf numFmtId="1" fontId="0" fillId="44" borderId="53" xfId="0" applyNumberFormat="1" applyFill="1" applyBorder="1" applyAlignment="1">
      <alignment horizontal="center"/>
    </xf>
    <xf numFmtId="1" fontId="0" fillId="44" borderId="36" xfId="54" applyNumberFormat="1" applyFont="1" applyFill="1" applyBorder="1" applyAlignment="1">
      <alignment horizontal="center"/>
    </xf>
    <xf numFmtId="1" fontId="0" fillId="44" borderId="37" xfId="0" applyNumberFormat="1" applyFill="1" applyBorder="1" applyAlignment="1">
      <alignment horizontal="center"/>
    </xf>
    <xf numFmtId="1" fontId="0" fillId="44" borderId="10" xfId="54" applyNumberFormat="1" applyFont="1" applyFill="1" applyBorder="1" applyAlignment="1">
      <alignment horizontal="center"/>
    </xf>
    <xf numFmtId="1" fontId="0" fillId="44" borderId="39" xfId="54" applyNumberFormat="1" applyFont="1" applyFill="1" applyBorder="1" applyAlignment="1">
      <alignment horizontal="center"/>
    </xf>
    <xf numFmtId="1" fontId="0" fillId="43" borderId="37" xfId="0" applyNumberFormat="1" applyFill="1" applyBorder="1" applyAlignment="1">
      <alignment horizontal="center"/>
    </xf>
    <xf numFmtId="1" fontId="0" fillId="43" borderId="213" xfId="0" applyNumberFormat="1" applyFill="1" applyBorder="1" applyAlignment="1">
      <alignment horizontal="center"/>
    </xf>
    <xf numFmtId="1" fontId="0" fillId="43" borderId="214" xfId="0" applyNumberFormat="1" applyFill="1" applyBorder="1" applyAlignment="1">
      <alignment horizontal="center"/>
    </xf>
    <xf numFmtId="1" fontId="0" fillId="43" borderId="215" xfId="0" applyNumberFormat="1" applyFill="1" applyBorder="1" applyAlignment="1">
      <alignment horizontal="center"/>
    </xf>
    <xf numFmtId="44" fontId="0" fillId="9" borderId="18" xfId="54" applyNumberFormat="1" applyFont="1" applyFill="1" applyBorder="1" applyAlignment="1">
      <alignment horizontal="center"/>
    </xf>
    <xf numFmtId="44" fontId="0" fillId="9" borderId="16" xfId="54" applyNumberFormat="1" applyFont="1" applyFill="1" applyBorder="1" applyAlignment="1">
      <alignment horizontal="center"/>
    </xf>
    <xf numFmtId="44" fontId="0" fillId="9" borderId="36" xfId="54" applyNumberFormat="1" applyFont="1" applyFill="1" applyBorder="1" applyAlignment="1">
      <alignment horizontal="center"/>
    </xf>
    <xf numFmtId="44" fontId="0" fillId="9" borderId="37" xfId="54" applyNumberFormat="1" applyFont="1" applyFill="1" applyBorder="1" applyAlignment="1">
      <alignment horizontal="center"/>
    </xf>
    <xf numFmtId="44" fontId="0" fillId="58" borderId="54" xfId="54" applyNumberFormat="1" applyFont="1" applyFill="1" applyBorder="1" applyAlignment="1">
      <alignment horizontal="center"/>
    </xf>
    <xf numFmtId="44" fontId="0" fillId="58" borderId="61" xfId="54" applyNumberFormat="1" applyFont="1" applyFill="1" applyBorder="1" applyAlignment="1">
      <alignment horizontal="center"/>
    </xf>
    <xf numFmtId="44" fontId="0" fillId="9" borderId="38" xfId="54" applyNumberFormat="1" applyFont="1" applyFill="1" applyBorder="1" applyAlignment="1">
      <alignment horizontal="center"/>
    </xf>
    <xf numFmtId="44" fontId="0" fillId="9" borderId="10" xfId="54" applyNumberFormat="1" applyFont="1" applyFill="1" applyBorder="1" applyAlignment="1">
      <alignment horizontal="center"/>
    </xf>
    <xf numFmtId="44" fontId="0" fillId="9" borderId="39" xfId="54" applyNumberFormat="1" applyFont="1" applyFill="1" applyBorder="1" applyAlignment="1">
      <alignment horizontal="center"/>
    </xf>
    <xf numFmtId="44" fontId="0" fillId="45" borderId="36" xfId="54" applyNumberFormat="1" applyFont="1" applyFill="1" applyBorder="1" applyAlignment="1">
      <alignment horizontal="center"/>
    </xf>
    <xf numFmtId="44" fontId="0" fillId="45" borderId="37" xfId="54" applyNumberFormat="1" applyFont="1" applyFill="1" applyBorder="1" applyAlignment="1">
      <alignment horizontal="center"/>
    </xf>
    <xf numFmtId="44" fontId="0" fillId="45" borderId="38" xfId="54" applyNumberFormat="1" applyFont="1" applyFill="1" applyBorder="1" applyAlignment="1">
      <alignment horizontal="center"/>
    </xf>
    <xf numFmtId="44" fontId="0" fillId="45" borderId="10" xfId="54" applyNumberFormat="1" applyFont="1" applyFill="1" applyBorder="1" applyAlignment="1">
      <alignment horizontal="center"/>
    </xf>
    <xf numFmtId="44" fontId="0" fillId="45" borderId="39" xfId="54" applyNumberFormat="1" applyFont="1" applyFill="1" applyBorder="1" applyAlignment="1">
      <alignment horizontal="center"/>
    </xf>
    <xf numFmtId="44" fontId="0" fillId="58" borderId="210" xfId="54" applyNumberFormat="1" applyFont="1" applyFill="1" applyBorder="1" applyAlignment="1">
      <alignment horizontal="center"/>
    </xf>
    <xf numFmtId="44" fontId="0" fillId="58" borderId="211" xfId="54" applyNumberFormat="1" applyFont="1" applyFill="1" applyBorder="1" applyAlignment="1">
      <alignment horizontal="center"/>
    </xf>
    <xf numFmtId="44" fontId="0" fillId="58" borderId="212" xfId="54" applyNumberFormat="1" applyFont="1" applyFill="1" applyBorder="1" applyAlignment="1">
      <alignment horizontal="center"/>
    </xf>
    <xf numFmtId="44" fontId="0" fillId="45" borderId="11" xfId="54" applyNumberFormat="1" applyFont="1" applyFill="1" applyBorder="1" applyAlignment="1">
      <alignment horizontal="center"/>
    </xf>
    <xf numFmtId="44" fontId="0" fillId="9" borderId="17" xfId="54" applyNumberFormat="1" applyFont="1" applyFill="1" applyBorder="1" applyAlignment="1">
      <alignment horizontal="center"/>
    </xf>
    <xf numFmtId="44" fontId="0" fillId="58" borderId="50" xfId="54" applyNumberFormat="1" applyFont="1" applyFill="1" applyBorder="1" applyAlignment="1">
      <alignment horizontal="center"/>
    </xf>
    <xf numFmtId="44" fontId="0" fillId="58" borderId="51" xfId="54" applyNumberFormat="1" applyFont="1" applyFill="1" applyBorder="1" applyAlignment="1">
      <alignment horizontal="center"/>
    </xf>
    <xf numFmtId="1" fontId="0" fillId="43" borderId="36" xfId="54" applyNumberFormat="1" applyFont="1" applyFill="1" applyBorder="1" applyAlignment="1">
      <alignment horizontal="center"/>
    </xf>
    <xf numFmtId="0" fontId="3" fillId="44" borderId="31" xfId="0" applyFont="1" applyFill="1" applyBorder="1" applyAlignment="1"/>
    <xf numFmtId="0" fontId="3" fillId="44" borderId="59" xfId="0" applyFont="1" applyFill="1" applyBorder="1" applyAlignment="1"/>
    <xf numFmtId="0" fontId="3" fillId="44" borderId="32" xfId="0" applyFont="1" applyFill="1" applyBorder="1" applyAlignment="1"/>
    <xf numFmtId="1" fontId="0" fillId="58" borderId="50" xfId="0" applyNumberFormat="1" applyFill="1" applyBorder="1" applyAlignment="1">
      <alignment horizontal="center"/>
    </xf>
    <xf numFmtId="1" fontId="0" fillId="58" borderId="51" xfId="54" applyNumberFormat="1" applyFont="1" applyFill="1" applyBorder="1" applyAlignment="1">
      <alignment horizontal="center"/>
    </xf>
    <xf numFmtId="1" fontId="0" fillId="58" borderId="45" xfId="54" applyNumberFormat="1" applyFont="1" applyFill="1" applyBorder="1" applyAlignment="1">
      <alignment horizontal="center"/>
    </xf>
    <xf numFmtId="1" fontId="0" fillId="58" borderId="53" xfId="54" applyNumberFormat="1" applyFont="1" applyFill="1" applyBorder="1" applyAlignment="1">
      <alignment horizontal="center"/>
    </xf>
    <xf numFmtId="1" fontId="0" fillId="44" borderId="38" xfId="54" applyNumberFormat="1" applyFont="1" applyFill="1" applyBorder="1" applyAlignment="1">
      <alignment horizontal="center"/>
    </xf>
    <xf numFmtId="0" fontId="0" fillId="0" borderId="60" xfId="54" applyNumberFormat="1" applyFont="1" applyFill="1" applyBorder="1" applyAlignment="1">
      <alignment horizontal="center"/>
    </xf>
    <xf numFmtId="3" fontId="0" fillId="0" borderId="6" xfId="0" applyNumberFormat="1" applyFill="1" applyBorder="1" applyAlignment="1">
      <alignment horizontal="center"/>
    </xf>
    <xf numFmtId="0" fontId="0" fillId="0" borderId="60" xfId="0" applyFill="1" applyBorder="1" applyAlignment="1">
      <alignment horizontal="center"/>
    </xf>
    <xf numFmtId="0" fontId="0" fillId="58" borderId="54" xfId="0" applyFill="1" applyBorder="1" applyAlignment="1">
      <alignment horizontal="center"/>
    </xf>
    <xf numFmtId="0" fontId="0" fillId="58" borderId="51" xfId="0" applyFill="1" applyBorder="1" applyAlignment="1">
      <alignment horizontal="center"/>
    </xf>
    <xf numFmtId="3" fontId="0" fillId="44" borderId="56" xfId="0" applyNumberFormat="1" applyFill="1" applyBorder="1" applyAlignment="1">
      <alignment horizontal="center"/>
    </xf>
    <xf numFmtId="3" fontId="0" fillId="43" borderId="56" xfId="0" applyNumberFormat="1" applyFill="1" applyBorder="1" applyAlignment="1">
      <alignment horizontal="center"/>
    </xf>
    <xf numFmtId="0" fontId="0" fillId="44" borderId="56" xfId="0" applyFill="1" applyBorder="1" applyAlignment="1">
      <alignment horizontal="center"/>
    </xf>
    <xf numFmtId="0" fontId="0" fillId="43" borderId="56" xfId="0" applyFill="1" applyBorder="1" applyAlignment="1">
      <alignment horizontal="center"/>
    </xf>
    <xf numFmtId="0" fontId="0" fillId="58" borderId="58" xfId="0" applyFill="1" applyBorder="1" applyAlignment="1">
      <alignment horizontal="center"/>
    </xf>
    <xf numFmtId="0" fontId="0" fillId="58" borderId="56" xfId="0" applyFill="1" applyBorder="1" applyAlignment="1">
      <alignment horizontal="center"/>
    </xf>
    <xf numFmtId="3" fontId="0" fillId="44" borderId="218" xfId="0" applyNumberFormat="1" applyFill="1" applyBorder="1" applyAlignment="1">
      <alignment horizontal="center"/>
    </xf>
    <xf numFmtId="0" fontId="0" fillId="58" borderId="219" xfId="0" applyFill="1" applyBorder="1" applyAlignment="1">
      <alignment horizontal="center"/>
    </xf>
    <xf numFmtId="0" fontId="0" fillId="6" borderId="56" xfId="0" applyFill="1" applyBorder="1" applyAlignment="1">
      <alignment horizontal="center"/>
    </xf>
    <xf numFmtId="0" fontId="0" fillId="6" borderId="56" xfId="0" quotePrefix="1" applyFill="1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0" fillId="5" borderId="56" xfId="0" quotePrefix="1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3" fillId="5" borderId="210" xfId="0" applyFont="1" applyFill="1" applyBorder="1"/>
    <xf numFmtId="0" fontId="0" fillId="6" borderId="218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218" xfId="0" applyFill="1" applyBorder="1" applyAlignment="1">
      <alignment horizontal="center"/>
    </xf>
    <xf numFmtId="0" fontId="0" fillId="58" borderId="61" xfId="0" applyFill="1" applyBorder="1" applyAlignment="1">
      <alignment horizontal="center"/>
    </xf>
    <xf numFmtId="0" fontId="0" fillId="5" borderId="220" xfId="0" applyFill="1" applyBorder="1" applyAlignment="1">
      <alignment horizontal="center"/>
    </xf>
    <xf numFmtId="0" fontId="0" fillId="58" borderId="53" xfId="0" applyFill="1" applyBorder="1" applyAlignment="1">
      <alignment horizontal="center"/>
    </xf>
    <xf numFmtId="0" fontId="0" fillId="58" borderId="217" xfId="0" applyFill="1" applyBorder="1" applyAlignment="1">
      <alignment horizontal="center"/>
    </xf>
    <xf numFmtId="0" fontId="0" fillId="58" borderId="218" xfId="0" applyFill="1" applyBorder="1" applyAlignment="1">
      <alignment horizontal="center"/>
    </xf>
    <xf numFmtId="0" fontId="0" fillId="6" borderId="58" xfId="0" applyFill="1" applyBorder="1" applyAlignment="1">
      <alignment horizontal="center"/>
    </xf>
    <xf numFmtId="0" fontId="0" fillId="5" borderId="58" xfId="0" applyFill="1" applyBorder="1" applyAlignment="1">
      <alignment horizontal="center"/>
    </xf>
    <xf numFmtId="0" fontId="3" fillId="3" borderId="210" xfId="0" applyFont="1" applyFill="1" applyBorder="1"/>
    <xf numFmtId="0" fontId="0" fillId="0" borderId="56" xfId="0" applyFill="1" applyBorder="1" applyAlignment="1">
      <alignment horizontal="center"/>
    </xf>
    <xf numFmtId="0" fontId="0" fillId="48" borderId="56" xfId="0" applyFill="1" applyBorder="1" applyAlignment="1">
      <alignment horizontal="center"/>
    </xf>
    <xf numFmtId="0" fontId="0" fillId="0" borderId="56" xfId="0" quotePrefix="1" applyFill="1" applyBorder="1" applyAlignment="1">
      <alignment horizontal="center"/>
    </xf>
    <xf numFmtId="0" fontId="0" fillId="0" borderId="56" xfId="0" applyFont="1" applyFill="1" applyBorder="1" applyAlignment="1">
      <alignment horizontal="center"/>
    </xf>
    <xf numFmtId="0" fontId="0" fillId="48" borderId="56" xfId="0" applyFont="1" applyFill="1" applyBorder="1" applyAlignment="1">
      <alignment horizontal="center"/>
    </xf>
    <xf numFmtId="0" fontId="0" fillId="48" borderId="56" xfId="0" quotePrefix="1" applyFill="1" applyBorder="1" applyAlignment="1">
      <alignment horizontal="center"/>
    </xf>
    <xf numFmtId="0" fontId="0" fillId="48" borderId="220" xfId="0" applyFill="1" applyBorder="1" applyAlignment="1">
      <alignment horizontal="center"/>
    </xf>
    <xf numFmtId="0" fontId="0" fillId="48" borderId="58" xfId="0" applyFill="1" applyBorder="1" applyAlignment="1">
      <alignment horizontal="center"/>
    </xf>
    <xf numFmtId="0" fontId="0" fillId="0" borderId="218" xfId="0" applyBorder="1" applyAlignment="1">
      <alignment horizontal="center"/>
    </xf>
    <xf numFmtId="0" fontId="0" fillId="6" borderId="37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44" fontId="0" fillId="9" borderId="37" xfId="54" applyFont="1" applyFill="1" applyBorder="1" applyAlignment="1">
      <alignment horizontal="center"/>
    </xf>
    <xf numFmtId="44" fontId="0" fillId="58" borderId="54" xfId="54" applyFont="1" applyFill="1" applyBorder="1" applyAlignment="1">
      <alignment horizontal="center"/>
    </xf>
    <xf numFmtId="44" fontId="0" fillId="58" borderId="61" xfId="54" applyFont="1" applyFill="1" applyBorder="1" applyAlignment="1">
      <alignment horizontal="center"/>
    </xf>
    <xf numFmtId="44" fontId="0" fillId="9" borderId="10" xfId="54" applyFont="1" applyFill="1" applyBorder="1" applyAlignment="1">
      <alignment horizontal="center"/>
    </xf>
    <xf numFmtId="44" fontId="0" fillId="9" borderId="39" xfId="54" applyFont="1" applyFill="1" applyBorder="1" applyAlignment="1">
      <alignment horizontal="center"/>
    </xf>
    <xf numFmtId="44" fontId="0" fillId="45" borderId="37" xfId="54" applyFont="1" applyFill="1" applyBorder="1" applyAlignment="1">
      <alignment horizontal="center"/>
    </xf>
    <xf numFmtId="44" fontId="0" fillId="58" borderId="51" xfId="54" applyFont="1" applyFill="1" applyBorder="1" applyAlignment="1">
      <alignment horizontal="center"/>
    </xf>
    <xf numFmtId="0" fontId="3" fillId="9" borderId="210" xfId="0" applyFont="1" applyFill="1" applyBorder="1"/>
    <xf numFmtId="44" fontId="0" fillId="45" borderId="10" xfId="54" applyFont="1" applyFill="1" applyBorder="1" applyAlignment="1">
      <alignment horizontal="center"/>
    </xf>
    <xf numFmtId="44" fontId="0" fillId="45" borderId="39" xfId="54" applyFont="1" applyFill="1" applyBorder="1" applyAlignment="1">
      <alignment horizontal="center"/>
    </xf>
    <xf numFmtId="44" fontId="0" fillId="45" borderId="3" xfId="54" applyFont="1" applyFill="1" applyBorder="1" applyAlignment="1">
      <alignment horizontal="center"/>
    </xf>
    <xf numFmtId="44" fontId="0" fillId="9" borderId="214" xfId="54" applyFont="1" applyFill="1" applyBorder="1" applyAlignment="1">
      <alignment horizontal="center"/>
    </xf>
    <xf numFmtId="44" fontId="0" fillId="9" borderId="14" xfId="54" applyFont="1" applyFill="1" applyBorder="1" applyAlignment="1">
      <alignment horizontal="center"/>
    </xf>
    <xf numFmtId="44" fontId="0" fillId="58" borderId="211" xfId="54" applyFont="1" applyFill="1" applyBorder="1" applyAlignment="1">
      <alignment horizontal="center"/>
    </xf>
    <xf numFmtId="0" fontId="3" fillId="44" borderId="210" xfId="0" applyFont="1" applyFill="1" applyBorder="1"/>
    <xf numFmtId="1" fontId="0" fillId="43" borderId="10" xfId="54" applyNumberFormat="1" applyFont="1" applyFill="1" applyBorder="1" applyAlignment="1">
      <alignment horizontal="center"/>
    </xf>
    <xf numFmtId="1" fontId="0" fillId="44" borderId="37" xfId="54" quotePrefix="1" applyNumberFormat="1" applyFont="1" applyFill="1" applyBorder="1" applyAlignment="1">
      <alignment horizontal="center"/>
    </xf>
    <xf numFmtId="1" fontId="0" fillId="43" borderId="37" xfId="54" quotePrefix="1" applyNumberFormat="1" applyFont="1" applyFill="1" applyBorder="1" applyAlignment="1">
      <alignment horizontal="center"/>
    </xf>
    <xf numFmtId="1" fontId="0" fillId="43" borderId="38" xfId="54" applyNumberFormat="1" applyFont="1" applyFill="1" applyBorder="1" applyAlignment="1">
      <alignment horizontal="center"/>
    </xf>
    <xf numFmtId="1" fontId="0" fillId="43" borderId="39" xfId="54" applyNumberFormat="1" applyFont="1" applyFill="1" applyBorder="1" applyAlignment="1">
      <alignment horizontal="center"/>
    </xf>
    <xf numFmtId="1" fontId="0" fillId="58" borderId="50" xfId="54" applyNumberFormat="1" applyFont="1" applyFill="1" applyBorder="1" applyAlignment="1">
      <alignment horizontal="center"/>
    </xf>
    <xf numFmtId="1" fontId="0" fillId="43" borderId="223" xfId="0" applyNumberFormat="1" applyFill="1" applyBorder="1" applyAlignment="1">
      <alignment horizontal="center"/>
    </xf>
    <xf numFmtId="0" fontId="102" fillId="5" borderId="31" xfId="0" applyFont="1" applyFill="1" applyBorder="1" applyAlignment="1">
      <alignment horizontal="center"/>
    </xf>
    <xf numFmtId="0" fontId="104" fillId="5" borderId="33" xfId="0" applyFont="1" applyFill="1" applyBorder="1" applyAlignment="1">
      <alignment horizontal="left"/>
    </xf>
    <xf numFmtId="0" fontId="102" fillId="5" borderId="216" xfId="0" applyFont="1" applyFill="1" applyBorder="1" applyAlignment="1">
      <alignment horizontal="center"/>
    </xf>
    <xf numFmtId="0" fontId="70" fillId="44" borderId="32" xfId="0" applyFont="1" applyFill="1" applyBorder="1" applyAlignment="1">
      <alignment horizontal="center"/>
    </xf>
    <xf numFmtId="0" fontId="70" fillId="43" borderId="216" xfId="0" applyFont="1" applyFill="1" applyBorder="1" applyAlignment="1">
      <alignment horizontal="center"/>
    </xf>
    <xf numFmtId="0" fontId="70" fillId="44" borderId="216" xfId="0" applyFont="1" applyFill="1" applyBorder="1" applyAlignment="1">
      <alignment horizontal="center"/>
    </xf>
    <xf numFmtId="0" fontId="70" fillId="44" borderId="61" xfId="0" applyFont="1" applyFill="1" applyBorder="1" applyAlignment="1">
      <alignment horizontal="center"/>
    </xf>
    <xf numFmtId="0" fontId="70" fillId="43" borderId="58" xfId="0" applyFont="1" applyFill="1" applyBorder="1" applyAlignment="1">
      <alignment horizontal="center"/>
    </xf>
    <xf numFmtId="0" fontId="70" fillId="44" borderId="58" xfId="0" applyFont="1" applyFill="1" applyBorder="1" applyAlignment="1">
      <alignment horizontal="center"/>
    </xf>
    <xf numFmtId="0" fontId="70" fillId="43" borderId="58" xfId="0" applyFont="1" applyFill="1" applyBorder="1" applyAlignment="1">
      <alignment horizontal="center" wrapText="1"/>
    </xf>
    <xf numFmtId="0" fontId="70" fillId="44" borderId="58" xfId="0" applyFont="1" applyFill="1" applyBorder="1" applyAlignment="1">
      <alignment horizontal="center" wrapText="1"/>
    </xf>
    <xf numFmtId="0" fontId="70" fillId="44" borderId="54" xfId="0" applyFont="1" applyFill="1" applyBorder="1" applyAlignment="1">
      <alignment horizontal="center" wrapText="1"/>
    </xf>
    <xf numFmtId="0" fontId="70" fillId="44" borderId="29" xfId="0" applyFont="1" applyFill="1" applyBorder="1" applyAlignment="1">
      <alignment horizontal="center" wrapText="1"/>
    </xf>
    <xf numFmtId="0" fontId="70" fillId="43" borderId="54" xfId="0" applyFont="1" applyFill="1" applyBorder="1" applyAlignment="1">
      <alignment horizontal="center" wrapText="1"/>
    </xf>
    <xf numFmtId="0" fontId="70" fillId="43" borderId="29" xfId="0" applyFont="1" applyFill="1" applyBorder="1" applyAlignment="1">
      <alignment horizontal="center" wrapText="1"/>
    </xf>
    <xf numFmtId="0" fontId="70" fillId="43" borderId="61" xfId="0" applyFont="1" applyFill="1" applyBorder="1" applyAlignment="1">
      <alignment horizontal="center" wrapText="1"/>
    </xf>
    <xf numFmtId="0" fontId="70" fillId="44" borderId="61" xfId="0" applyFont="1" applyFill="1" applyBorder="1" applyAlignment="1">
      <alignment horizontal="center" wrapText="1"/>
    </xf>
    <xf numFmtId="0" fontId="70" fillId="9" borderId="54" xfId="0" applyFont="1" applyFill="1" applyBorder="1" applyAlignment="1">
      <alignment horizontal="center" wrapText="1"/>
    </xf>
    <xf numFmtId="0" fontId="70" fillId="9" borderId="29" xfId="0" applyFont="1" applyFill="1" applyBorder="1" applyAlignment="1">
      <alignment horizontal="center" wrapText="1"/>
    </xf>
    <xf numFmtId="0" fontId="70" fillId="9" borderId="61" xfId="0" applyFont="1" applyFill="1" applyBorder="1" applyAlignment="1">
      <alignment horizontal="center" wrapText="1"/>
    </xf>
    <xf numFmtId="0" fontId="70" fillId="45" borderId="54" xfId="0" applyFont="1" applyFill="1" applyBorder="1" applyAlignment="1">
      <alignment horizontal="center" wrapText="1"/>
    </xf>
    <xf numFmtId="0" fontId="70" fillId="45" borderId="29" xfId="0" applyFont="1" applyFill="1" applyBorder="1" applyAlignment="1">
      <alignment horizontal="center" wrapText="1"/>
    </xf>
    <xf numFmtId="0" fontId="70" fillId="45" borderId="61" xfId="0" applyFont="1" applyFill="1" applyBorder="1" applyAlignment="1">
      <alignment horizontal="center" wrapText="1"/>
    </xf>
    <xf numFmtId="0" fontId="70" fillId="44" borderId="18" xfId="0" applyFont="1" applyFill="1" applyBorder="1" applyAlignment="1">
      <alignment horizontal="center" wrapText="1"/>
    </xf>
    <xf numFmtId="0" fontId="70" fillId="43" borderId="18" xfId="0" applyFont="1" applyFill="1" applyBorder="1" applyAlignment="1">
      <alignment horizontal="center" wrapText="1"/>
    </xf>
    <xf numFmtId="0" fontId="70" fillId="44" borderId="54" xfId="0" applyNumberFormat="1" applyFont="1" applyFill="1" applyBorder="1" applyAlignment="1">
      <alignment horizontal="center" wrapText="1"/>
    </xf>
    <xf numFmtId="0" fontId="70" fillId="44" borderId="29" xfId="0" applyNumberFormat="1" applyFont="1" applyFill="1" applyBorder="1" applyAlignment="1">
      <alignment horizontal="center" wrapText="1"/>
    </xf>
    <xf numFmtId="0" fontId="70" fillId="44" borderId="61" xfId="0" applyNumberFormat="1" applyFont="1" applyFill="1" applyBorder="1" applyAlignment="1">
      <alignment horizontal="center" wrapText="1"/>
    </xf>
    <xf numFmtId="0" fontId="70" fillId="43" borderId="54" xfId="0" applyNumberFormat="1" applyFont="1" applyFill="1" applyBorder="1" applyAlignment="1">
      <alignment horizontal="center" wrapText="1"/>
    </xf>
    <xf numFmtId="0" fontId="70" fillId="43" borderId="29" xfId="0" applyNumberFormat="1" applyFont="1" applyFill="1" applyBorder="1" applyAlignment="1">
      <alignment horizontal="center" wrapText="1"/>
    </xf>
    <xf numFmtId="0" fontId="70" fillId="43" borderId="61" xfId="0" applyNumberFormat="1" applyFont="1" applyFill="1" applyBorder="1" applyAlignment="1">
      <alignment horizontal="center" wrapText="1"/>
    </xf>
    <xf numFmtId="1" fontId="0" fillId="46" borderId="37" xfId="54" applyNumberFormat="1" applyFont="1" applyFill="1" applyBorder="1" applyAlignment="1">
      <alignment horizontal="center"/>
    </xf>
    <xf numFmtId="1" fontId="0" fillId="46" borderId="227" xfId="0" applyNumberFormat="1" applyFill="1" applyBorder="1" applyAlignment="1">
      <alignment horizontal="center"/>
    </xf>
    <xf numFmtId="1" fontId="0" fillId="58" borderId="37" xfId="54" applyNumberFormat="1" applyFont="1" applyFill="1" applyBorder="1" applyAlignment="1">
      <alignment horizontal="center"/>
    </xf>
    <xf numFmtId="0" fontId="3" fillId="46" borderId="210" xfId="0" applyFont="1" applyFill="1" applyBorder="1"/>
    <xf numFmtId="1" fontId="0" fillId="46" borderId="10" xfId="0" applyNumberFormat="1" applyFill="1" applyBorder="1" applyAlignment="1">
      <alignment horizontal="center"/>
    </xf>
    <xf numFmtId="1" fontId="0" fillId="46" borderId="39" xfId="0" applyNumberFormat="1" applyFill="1" applyBorder="1" applyAlignment="1">
      <alignment horizontal="center"/>
    </xf>
    <xf numFmtId="0" fontId="3" fillId="46" borderId="61" xfId="0" applyFont="1" applyFill="1" applyBorder="1" applyAlignment="1">
      <alignment horizontal="center"/>
    </xf>
    <xf numFmtId="1" fontId="0" fillId="46" borderId="36" xfId="0" applyNumberFormat="1" applyFill="1" applyBorder="1" applyAlignment="1">
      <alignment horizontal="center"/>
    </xf>
    <xf numFmtId="1" fontId="0" fillId="46" borderId="37" xfId="0" applyNumberFormat="1" applyFill="1" applyBorder="1" applyAlignment="1">
      <alignment horizontal="center"/>
    </xf>
    <xf numFmtId="1" fontId="0" fillId="46" borderId="46" xfId="0" applyNumberFormat="1" applyFill="1" applyBorder="1" applyAlignment="1">
      <alignment horizontal="center"/>
    </xf>
    <xf numFmtId="1" fontId="0" fillId="46" borderId="47" xfId="0" applyNumberFormat="1" applyFill="1" applyBorder="1" applyAlignment="1">
      <alignment horizontal="center"/>
    </xf>
    <xf numFmtId="1" fontId="0" fillId="46" borderId="38" xfId="0" applyNumberFormat="1" applyFill="1" applyBorder="1" applyAlignment="1">
      <alignment horizontal="center"/>
    </xf>
    <xf numFmtId="1" fontId="0" fillId="46" borderId="47" xfId="54" applyNumberFormat="1" applyFont="1" applyFill="1" applyBorder="1" applyAlignment="1">
      <alignment horizontal="center"/>
    </xf>
    <xf numFmtId="1" fontId="0" fillId="46" borderId="34" xfId="0" applyNumberFormat="1" applyFill="1" applyBorder="1" applyAlignment="1">
      <alignment horizontal="center"/>
    </xf>
    <xf numFmtId="1" fontId="0" fillId="58" borderId="36" xfId="54" applyNumberFormat="1" applyFont="1" applyFill="1" applyBorder="1" applyAlignment="1">
      <alignment horizontal="center"/>
    </xf>
    <xf numFmtId="8" fontId="0" fillId="43" borderId="10" xfId="54" applyNumberFormat="1" applyFont="1" applyFill="1" applyBorder="1" applyAlignment="1">
      <alignment horizontal="center"/>
    </xf>
    <xf numFmtId="44" fontId="0" fillId="44" borderId="10" xfId="54" applyNumberFormat="1" applyFont="1" applyFill="1" applyBorder="1" applyAlignment="1">
      <alignment horizontal="center"/>
    </xf>
    <xf numFmtId="8" fontId="0" fillId="44" borderId="36" xfId="54" applyNumberFormat="1" applyFont="1" applyFill="1" applyBorder="1" applyAlignment="1">
      <alignment horizontal="center"/>
    </xf>
    <xf numFmtId="8" fontId="0" fillId="44" borderId="36" xfId="54" quotePrefix="1" applyNumberFormat="1" applyFont="1" applyFill="1" applyBorder="1" applyAlignment="1">
      <alignment horizontal="center"/>
    </xf>
    <xf numFmtId="7" fontId="37" fillId="58" borderId="61" xfId="54" applyNumberFormat="1" applyFont="1" applyFill="1" applyBorder="1" applyAlignment="1">
      <alignment horizontal="center"/>
    </xf>
    <xf numFmtId="7" fontId="37" fillId="44" borderId="3" xfId="54" applyNumberFormat="1" applyFont="1" applyFill="1" applyBorder="1" applyAlignment="1">
      <alignment horizontal="center"/>
    </xf>
    <xf numFmtId="8" fontId="0" fillId="43" borderId="36" xfId="54" applyNumberFormat="1" applyFont="1" applyFill="1" applyBorder="1" applyAlignment="1">
      <alignment horizontal="center"/>
    </xf>
    <xf numFmtId="8" fontId="0" fillId="43" borderId="36" xfId="54" quotePrefix="1" applyNumberFormat="1" applyFont="1" applyFill="1" applyBorder="1" applyAlignment="1">
      <alignment horizontal="center"/>
    </xf>
    <xf numFmtId="8" fontId="0" fillId="43" borderId="38" xfId="54" applyNumberFormat="1" applyFont="1" applyFill="1" applyBorder="1" applyAlignment="1">
      <alignment horizontal="center"/>
    </xf>
    <xf numFmtId="7" fontId="37" fillId="43" borderId="39" xfId="54" applyNumberFormat="1" applyFont="1" applyFill="1" applyBorder="1" applyAlignment="1">
      <alignment horizontal="center"/>
    </xf>
    <xf numFmtId="44" fontId="0" fillId="44" borderId="36" xfId="54" applyNumberFormat="1" applyFont="1" applyFill="1" applyBorder="1" applyAlignment="1">
      <alignment horizontal="center"/>
    </xf>
    <xf numFmtId="44" fontId="0" fillId="44" borderId="38" xfId="54" applyNumberFormat="1" applyFont="1" applyFill="1" applyBorder="1" applyAlignment="1">
      <alignment horizontal="center"/>
    </xf>
    <xf numFmtId="0" fontId="0" fillId="46" borderId="37" xfId="54" applyNumberFormat="1" applyFont="1" applyFill="1" applyBorder="1" applyAlignment="1">
      <alignment horizontal="center"/>
    </xf>
    <xf numFmtId="0" fontId="3" fillId="46" borderId="52" xfId="0" applyFont="1" applyFill="1" applyBorder="1"/>
    <xf numFmtId="0" fontId="0" fillId="58" borderId="37" xfId="54" applyNumberFormat="1" applyFont="1" applyFill="1" applyBorder="1" applyAlignment="1">
      <alignment horizontal="center"/>
    </xf>
    <xf numFmtId="0" fontId="0" fillId="58" borderId="61" xfId="54" applyNumberFormat="1" applyFont="1" applyFill="1" applyBorder="1" applyAlignment="1">
      <alignment horizontal="center"/>
    </xf>
    <xf numFmtId="0" fontId="3" fillId="46" borderId="210" xfId="0" applyFont="1" applyFill="1" applyBorder="1" applyAlignment="1"/>
    <xf numFmtId="0" fontId="102" fillId="46" borderId="31" xfId="0" applyFont="1" applyFill="1" applyBorder="1" applyAlignment="1">
      <alignment horizontal="center"/>
    </xf>
    <xf numFmtId="0" fontId="102" fillId="4" borderId="31" xfId="0" applyFont="1" applyFill="1" applyBorder="1" applyAlignment="1">
      <alignment horizontal="center" vertical="center"/>
    </xf>
    <xf numFmtId="0" fontId="3" fillId="4" borderId="210" xfId="0" applyFont="1" applyFill="1" applyBorder="1"/>
    <xf numFmtId="1" fontId="0" fillId="4" borderId="4" xfId="1" applyNumberFormat="1" applyFont="1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103" fillId="0" borderId="0" xfId="0" applyFont="1"/>
    <xf numFmtId="0" fontId="103" fillId="0" borderId="0" xfId="0" applyFont="1" applyAlignment="1">
      <alignment horizontal="center"/>
    </xf>
    <xf numFmtId="0" fontId="0" fillId="42" borderId="37" xfId="0" applyFill="1" applyBorder="1" applyAlignment="1">
      <alignment horizontal="center"/>
    </xf>
    <xf numFmtId="0" fontId="3" fillId="7" borderId="210" xfId="0" applyFont="1" applyFill="1" applyBorder="1"/>
    <xf numFmtId="0" fontId="0" fillId="7" borderId="39" xfId="0" applyFill="1" applyBorder="1" applyAlignment="1">
      <alignment horizontal="center"/>
    </xf>
    <xf numFmtId="0" fontId="0" fillId="7" borderId="214" xfId="0" applyFill="1" applyBorder="1" applyAlignment="1">
      <alignment horizontal="center"/>
    </xf>
    <xf numFmtId="0" fontId="0" fillId="42" borderId="36" xfId="0" applyFill="1" applyBorder="1" applyAlignment="1">
      <alignment horizontal="center"/>
    </xf>
    <xf numFmtId="0" fontId="0" fillId="58" borderId="210" xfId="0" applyFill="1" applyBorder="1" applyAlignment="1">
      <alignment horizontal="center"/>
    </xf>
    <xf numFmtId="0" fontId="0" fillId="58" borderId="212" xfId="0" applyFill="1" applyBorder="1" applyAlignment="1">
      <alignment horizontal="center"/>
    </xf>
    <xf numFmtId="0" fontId="0" fillId="7" borderId="36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223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213" xfId="0" applyFill="1" applyBorder="1" applyAlignment="1">
      <alignment horizontal="center"/>
    </xf>
    <xf numFmtId="0" fontId="0" fillId="7" borderId="215" xfId="0" applyFill="1" applyBorder="1" applyAlignment="1">
      <alignment horizontal="center"/>
    </xf>
    <xf numFmtId="0" fontId="0" fillId="58" borderId="50" xfId="0" applyFill="1" applyBorder="1" applyAlignment="1">
      <alignment horizontal="center"/>
    </xf>
    <xf numFmtId="0" fontId="0" fillId="6" borderId="223" xfId="0" applyFill="1" applyBorder="1" applyAlignment="1">
      <alignment horizontal="center"/>
    </xf>
    <xf numFmtId="0" fontId="0" fillId="6" borderId="214" xfId="0" applyFill="1" applyBorder="1" applyAlignment="1">
      <alignment horizontal="center"/>
    </xf>
    <xf numFmtId="0" fontId="0" fillId="6" borderId="215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37" fillId="5" borderId="36" xfId="0" applyFont="1" applyFill="1" applyBorder="1" applyAlignment="1">
      <alignment horizontal="center"/>
    </xf>
    <xf numFmtId="0" fontId="0" fillId="58" borderId="52" xfId="0" applyFill="1" applyBorder="1" applyAlignment="1">
      <alignment horizontal="center"/>
    </xf>
    <xf numFmtId="0" fontId="3" fillId="5" borderId="228" xfId="0" applyFont="1" applyFill="1" applyBorder="1" applyAlignment="1">
      <alignment horizontal="center"/>
    </xf>
    <xf numFmtId="0" fontId="0" fillId="9" borderId="56" xfId="0" applyFill="1" applyBorder="1" applyAlignment="1">
      <alignment horizontal="center"/>
    </xf>
    <xf numFmtId="0" fontId="3" fillId="0" borderId="33" xfId="0" applyFont="1" applyBorder="1"/>
    <xf numFmtId="0" fontId="3" fillId="0" borderId="33" xfId="0" applyFont="1" applyFill="1" applyBorder="1"/>
    <xf numFmtId="0" fontId="110" fillId="58" borderId="33" xfId="0" applyFont="1" applyFill="1" applyBorder="1"/>
    <xf numFmtId="0" fontId="104" fillId="5" borderId="217" xfId="0" applyFont="1" applyFill="1" applyBorder="1" applyAlignment="1">
      <alignment horizontal="left"/>
    </xf>
    <xf numFmtId="0" fontId="3" fillId="0" borderId="33" xfId="0" applyFont="1" applyBorder="1" applyAlignment="1">
      <alignment wrapText="1"/>
    </xf>
    <xf numFmtId="0" fontId="110" fillId="10" borderId="210" xfId="0" applyFont="1" applyFill="1" applyBorder="1"/>
    <xf numFmtId="0" fontId="110" fillId="58" borderId="0" xfId="0" applyFont="1" applyFill="1"/>
    <xf numFmtId="0" fontId="110" fillId="58" borderId="0" xfId="0" applyFont="1" applyFill="1" applyBorder="1"/>
    <xf numFmtId="0" fontId="3" fillId="0" borderId="33" xfId="0" applyFont="1" applyFill="1" applyBorder="1" applyAlignment="1">
      <alignment wrapText="1"/>
    </xf>
    <xf numFmtId="0" fontId="110" fillId="58" borderId="54" xfId="0" applyFont="1" applyFill="1" applyBorder="1"/>
    <xf numFmtId="0" fontId="39" fillId="46" borderId="33" xfId="0" applyFont="1" applyFill="1" applyBorder="1" applyAlignment="1">
      <alignment horizontal="center" vertical="center" wrapText="1"/>
    </xf>
    <xf numFmtId="0" fontId="3" fillId="0" borderId="33" xfId="0" applyFont="1" applyBorder="1" applyAlignment="1"/>
    <xf numFmtId="0" fontId="110" fillId="58" borderId="33" xfId="0" applyFont="1" applyFill="1" applyBorder="1" applyAlignment="1"/>
    <xf numFmtId="0" fontId="3" fillId="7" borderId="33" xfId="0" applyFont="1" applyFill="1" applyBorder="1" applyAlignment="1">
      <alignment horizontal="center"/>
    </xf>
    <xf numFmtId="0" fontId="3" fillId="7" borderId="34" xfId="0" applyFont="1" applyFill="1" applyBorder="1" applyAlignment="1">
      <alignment horizontal="center"/>
    </xf>
    <xf numFmtId="0" fontId="3" fillId="42" borderId="33" xfId="0" applyFont="1" applyFill="1" applyBorder="1" applyAlignment="1">
      <alignment horizontal="center"/>
    </xf>
    <xf numFmtId="0" fontId="3" fillId="42" borderId="34" xfId="0" applyFont="1" applyFill="1" applyBorder="1" applyAlignment="1">
      <alignment horizontal="center"/>
    </xf>
    <xf numFmtId="0" fontId="102" fillId="46" borderId="225" xfId="0" applyFont="1" applyFill="1" applyBorder="1" applyAlignment="1">
      <alignment horizontal="center"/>
    </xf>
    <xf numFmtId="0" fontId="102" fillId="46" borderId="222" xfId="0" applyFont="1" applyFill="1" applyBorder="1" applyAlignment="1">
      <alignment horizontal="center"/>
    </xf>
    <xf numFmtId="0" fontId="102" fillId="46" borderId="226" xfId="0" applyFont="1" applyFill="1" applyBorder="1" applyAlignment="1">
      <alignment horizontal="center"/>
    </xf>
    <xf numFmtId="0" fontId="102" fillId="43" borderId="31" xfId="0" applyFont="1" applyFill="1" applyBorder="1" applyAlignment="1">
      <alignment horizontal="center"/>
    </xf>
    <xf numFmtId="0" fontId="102" fillId="43" borderId="59" xfId="0" applyFont="1" applyFill="1" applyBorder="1" applyAlignment="1">
      <alignment horizontal="center"/>
    </xf>
    <xf numFmtId="0" fontId="102" fillId="43" borderId="32" xfId="0" applyFont="1" applyFill="1" applyBorder="1" applyAlignment="1">
      <alignment horizontal="center"/>
    </xf>
    <xf numFmtId="0" fontId="102" fillId="44" borderId="31" xfId="0" applyFont="1" applyFill="1" applyBorder="1" applyAlignment="1">
      <alignment horizontal="center"/>
    </xf>
    <xf numFmtId="0" fontId="102" fillId="44" borderId="59" xfId="0" applyFont="1" applyFill="1" applyBorder="1" applyAlignment="1">
      <alignment horizontal="center"/>
    </xf>
    <xf numFmtId="0" fontId="102" fillId="44" borderId="32" xfId="0" applyFont="1" applyFill="1" applyBorder="1" applyAlignment="1">
      <alignment horizontal="center"/>
    </xf>
    <xf numFmtId="0" fontId="111" fillId="0" borderId="0" xfId="0" applyFont="1" applyBorder="1"/>
    <xf numFmtId="0" fontId="111" fillId="0" borderId="0" xfId="0" applyFont="1"/>
    <xf numFmtId="0" fontId="102" fillId="6" borderId="33" xfId="0" applyFont="1" applyFill="1" applyBorder="1" applyAlignment="1">
      <alignment horizontal="center"/>
    </xf>
    <xf numFmtId="0" fontId="102" fillId="6" borderId="34" xfId="0" applyFont="1" applyFill="1" applyBorder="1" applyAlignment="1">
      <alignment horizontal="center"/>
    </xf>
    <xf numFmtId="0" fontId="102" fillId="5" borderId="33" xfId="0" applyFont="1" applyFill="1" applyBorder="1" applyAlignment="1">
      <alignment horizontal="center"/>
    </xf>
    <xf numFmtId="0" fontId="102" fillId="5" borderId="34" xfId="0" applyFont="1" applyFill="1" applyBorder="1" applyAlignment="1">
      <alignment horizontal="center"/>
    </xf>
    <xf numFmtId="0" fontId="102" fillId="0" borderId="0" xfId="0" applyFont="1"/>
    <xf numFmtId="1" fontId="102" fillId="0" borderId="0" xfId="0" applyNumberFormat="1" applyFont="1" applyFill="1" applyBorder="1" applyAlignment="1">
      <alignment horizontal="center"/>
    </xf>
    <xf numFmtId="1" fontId="102" fillId="0" borderId="0" xfId="0" applyNumberFormat="1" applyFont="1"/>
    <xf numFmtId="0" fontId="113" fillId="4" borderId="33" xfId="0" applyFont="1" applyFill="1" applyBorder="1" applyAlignment="1">
      <alignment horizontal="left" vertical="top" wrapText="1"/>
    </xf>
    <xf numFmtId="0" fontId="111" fillId="0" borderId="0" xfId="0" applyFont="1" applyFill="1" applyBorder="1" applyAlignment="1">
      <alignment horizontal="center" wrapText="1"/>
    </xf>
    <xf numFmtId="0" fontId="111" fillId="0" borderId="0" xfId="0" applyFont="1" applyAlignment="1">
      <alignment horizontal="center"/>
    </xf>
    <xf numFmtId="0" fontId="0" fillId="46" borderId="16" xfId="0" applyNumberFormat="1" applyFill="1" applyBorder="1" applyAlignment="1">
      <alignment horizontal="center"/>
    </xf>
    <xf numFmtId="0" fontId="0" fillId="46" borderId="16" xfId="54" applyNumberFormat="1" applyFont="1" applyFill="1" applyBorder="1" applyAlignment="1">
      <alignment horizontal="center"/>
    </xf>
    <xf numFmtId="0" fontId="0" fillId="46" borderId="18" xfId="54" applyNumberFormat="1" applyFont="1" applyFill="1" applyBorder="1" applyAlignment="1">
      <alignment horizontal="center"/>
    </xf>
    <xf numFmtId="0" fontId="0" fillId="46" borderId="49" xfId="54" applyNumberFormat="1" applyFont="1" applyFill="1" applyBorder="1" applyAlignment="1">
      <alignment horizontal="center"/>
    </xf>
    <xf numFmtId="8" fontId="0" fillId="44" borderId="48" xfId="54" applyNumberFormat="1" applyFont="1" applyFill="1" applyBorder="1" applyAlignment="1">
      <alignment horizontal="center"/>
    </xf>
    <xf numFmtId="8" fontId="0" fillId="44" borderId="16" xfId="54" applyNumberFormat="1" applyFont="1" applyFill="1" applyBorder="1" applyAlignment="1">
      <alignment horizontal="center"/>
    </xf>
    <xf numFmtId="8" fontId="0" fillId="43" borderId="48" xfId="54" applyNumberFormat="1" applyFont="1" applyFill="1" applyBorder="1" applyAlignment="1">
      <alignment horizontal="center"/>
    </xf>
    <xf numFmtId="8" fontId="0" fillId="43" borderId="16" xfId="54" applyNumberFormat="1" applyFont="1" applyFill="1" applyBorder="1" applyAlignment="1">
      <alignment horizontal="center"/>
    </xf>
    <xf numFmtId="44" fontId="0" fillId="44" borderId="48" xfId="54" applyNumberFormat="1" applyFont="1" applyFill="1" applyBorder="1" applyAlignment="1">
      <alignment horizontal="center"/>
    </xf>
    <xf numFmtId="44" fontId="0" fillId="44" borderId="16" xfId="54" applyNumberFormat="1" applyFont="1" applyFill="1" applyBorder="1" applyAlignment="1">
      <alignment horizontal="center"/>
    </xf>
    <xf numFmtId="0" fontId="111" fillId="44" borderId="210" xfId="0" applyFont="1" applyFill="1" applyBorder="1" applyAlignment="1">
      <alignment horizontal="center" wrapText="1"/>
    </xf>
    <xf numFmtId="0" fontId="111" fillId="44" borderId="211" xfId="0" applyFont="1" applyFill="1" applyBorder="1" applyAlignment="1">
      <alignment horizontal="center" wrapText="1"/>
    </xf>
    <xf numFmtId="7" fontId="112" fillId="44" borderId="211" xfId="54" applyNumberFormat="1" applyFont="1" applyFill="1" applyBorder="1" applyAlignment="1">
      <alignment horizontal="center"/>
    </xf>
    <xf numFmtId="0" fontId="111" fillId="43" borderId="210" xfId="0" applyFont="1" applyFill="1" applyBorder="1" applyAlignment="1">
      <alignment horizontal="center" wrapText="1"/>
    </xf>
    <xf numFmtId="0" fontId="111" fillId="43" borderId="211" xfId="0" applyFont="1" applyFill="1" applyBorder="1" applyAlignment="1">
      <alignment horizontal="center" wrapText="1"/>
    </xf>
    <xf numFmtId="0" fontId="111" fillId="43" borderId="212" xfId="0" applyFont="1" applyFill="1" applyBorder="1" applyAlignment="1">
      <alignment horizontal="center"/>
    </xf>
    <xf numFmtId="0" fontId="111" fillId="44" borderId="212" xfId="0" applyFont="1" applyFill="1" applyBorder="1" applyAlignment="1">
      <alignment horizontal="center"/>
    </xf>
    <xf numFmtId="1" fontId="0" fillId="46" borderId="48" xfId="0" applyNumberFormat="1" applyFill="1" applyBorder="1" applyAlignment="1">
      <alignment horizontal="center"/>
    </xf>
    <xf numFmtId="1" fontId="0" fillId="46" borderId="49" xfId="0" applyNumberFormat="1" applyFill="1" applyBorder="1" applyAlignment="1">
      <alignment horizontal="center"/>
    </xf>
    <xf numFmtId="1" fontId="0" fillId="46" borderId="49" xfId="54" applyNumberFormat="1" applyFont="1" applyFill="1" applyBorder="1" applyAlignment="1">
      <alignment horizontal="center"/>
    </xf>
    <xf numFmtId="0" fontId="111" fillId="46" borderId="210" xfId="0" applyFont="1" applyFill="1" applyBorder="1" applyAlignment="1">
      <alignment horizontal="center"/>
    </xf>
    <xf numFmtId="0" fontId="111" fillId="46" borderId="212" xfId="0" applyFont="1" applyFill="1" applyBorder="1" applyAlignment="1">
      <alignment horizontal="center"/>
    </xf>
    <xf numFmtId="1" fontId="0" fillId="58" borderId="1" xfId="54" applyNumberFormat="1" applyFont="1" applyFill="1" applyBorder="1" applyAlignment="1">
      <alignment horizontal="center"/>
    </xf>
    <xf numFmtId="3" fontId="0" fillId="9" borderId="56" xfId="0" applyNumberForma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5" borderId="0" xfId="0" applyFill="1" applyAlignment="1">
      <alignment horizontal="center"/>
    </xf>
    <xf numFmtId="164" fontId="0" fillId="9" borderId="0" xfId="1" applyNumberFormat="1" applyFont="1" applyFill="1" applyAlignment="1">
      <alignment horizontal="center"/>
    </xf>
    <xf numFmtId="1" fontId="0" fillId="44" borderId="56" xfId="88" applyNumberFormat="1" applyFont="1" applyFill="1" applyBorder="1" applyAlignment="1">
      <alignment horizontal="center"/>
    </xf>
    <xf numFmtId="1" fontId="0" fillId="43" borderId="56" xfId="88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1" fontId="0" fillId="58" borderId="37" xfId="54" quotePrefix="1" applyNumberFormat="1" applyFont="1" applyFill="1" applyBorder="1" applyAlignment="1">
      <alignment horizontal="center"/>
    </xf>
    <xf numFmtId="0" fontId="70" fillId="58" borderId="54" xfId="0" applyNumberFormat="1" applyFont="1" applyFill="1" applyBorder="1" applyAlignment="1">
      <alignment horizontal="center" wrapText="1"/>
    </xf>
    <xf numFmtId="0" fontId="70" fillId="58" borderId="29" xfId="0" applyNumberFormat="1" applyFont="1" applyFill="1" applyBorder="1" applyAlignment="1">
      <alignment horizontal="center" wrapText="1"/>
    </xf>
    <xf numFmtId="0" fontId="70" fillId="58" borderId="61" xfId="0" applyNumberFormat="1" applyFont="1" applyFill="1" applyBorder="1" applyAlignment="1">
      <alignment horizontal="center" wrapText="1"/>
    </xf>
    <xf numFmtId="0" fontId="0" fillId="9" borderId="1" xfId="54" applyNumberFormat="1" applyFont="1" applyFill="1" applyBorder="1" applyAlignment="1">
      <alignment horizontal="center"/>
    </xf>
    <xf numFmtId="1" fontId="0" fillId="9" borderId="1" xfId="54" applyNumberFormat="1" applyFont="1" applyFill="1" applyBorder="1" applyAlignment="1">
      <alignment horizontal="center"/>
    </xf>
    <xf numFmtId="1" fontId="0" fillId="9" borderId="0" xfId="0" applyNumberFormat="1" applyFill="1" applyAlignment="1">
      <alignment horizontal="center"/>
    </xf>
    <xf numFmtId="1" fontId="50" fillId="3" borderId="0" xfId="0" applyNumberFormat="1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Border="1" applyAlignment="1">
      <alignment wrapText="1"/>
    </xf>
    <xf numFmtId="0" fontId="53" fillId="0" borderId="0" xfId="0" applyFont="1" applyBorder="1" applyAlignment="1">
      <alignment horizontal="left" vertical="center"/>
    </xf>
    <xf numFmtId="168" fontId="0" fillId="0" borderId="0" xfId="88" applyNumberFormat="1" applyFont="1" applyAlignment="1"/>
    <xf numFmtId="37" fontId="0" fillId="0" borderId="0" xfId="88" applyNumberFormat="1" applyFont="1" applyAlignment="1"/>
    <xf numFmtId="0" fontId="31" fillId="0" borderId="0" xfId="0" applyFont="1" applyAlignment="1">
      <alignment horizontal="right" vertical="center"/>
    </xf>
    <xf numFmtId="168" fontId="0" fillId="0" borderId="0" xfId="88" applyNumberFormat="1" applyFont="1" applyBorder="1" applyAlignment="1"/>
    <xf numFmtId="0" fontId="114" fillId="59" borderId="0" xfId="0" applyFont="1" applyFill="1" applyAlignment="1">
      <alignment horizontal="left" vertical="center"/>
    </xf>
    <xf numFmtId="37" fontId="0" fillId="0" borderId="0" xfId="88" applyNumberFormat="1" applyFont="1" applyBorder="1" applyAlignment="1"/>
    <xf numFmtId="37" fontId="0" fillId="0" borderId="0" xfId="88" applyNumberFormat="1" applyFont="1" applyBorder="1" applyAlignment="1">
      <alignment horizontal="right"/>
    </xf>
    <xf numFmtId="0" fontId="114" fillId="59" borderId="0" xfId="0" applyFont="1" applyFill="1" applyAlignment="1">
      <alignment horizontal="right" vertical="center"/>
    </xf>
    <xf numFmtId="0" fontId="114" fillId="59" borderId="0" xfId="0" applyFont="1" applyFill="1" applyAlignment="1">
      <alignment horizontal="right"/>
    </xf>
    <xf numFmtId="37" fontId="0" fillId="0" borderId="0" xfId="88" applyNumberFormat="1" applyFont="1" applyBorder="1" applyAlignment="1">
      <alignment horizontal="right" vertical="center"/>
    </xf>
    <xf numFmtId="1" fontId="0" fillId="9" borderId="1" xfId="0" applyNumberFormat="1" applyFill="1" applyBorder="1" applyAlignment="1">
      <alignment horizontal="center"/>
    </xf>
    <xf numFmtId="1" fontId="0" fillId="58" borderId="1" xfId="0" applyNumberFormat="1" applyFill="1" applyBorder="1" applyAlignment="1">
      <alignment horizontal="center"/>
    </xf>
    <xf numFmtId="168" fontId="0" fillId="0" borderId="0" xfId="0" applyNumberFormat="1"/>
    <xf numFmtId="169" fontId="0" fillId="44" borderId="38" xfId="54" applyNumberFormat="1" applyFont="1" applyFill="1" applyBorder="1" applyAlignment="1">
      <alignment horizontal="center"/>
    </xf>
    <xf numFmtId="169" fontId="0" fillId="44" borderId="10" xfId="54" applyNumberFormat="1" applyFont="1" applyFill="1" applyBorder="1" applyAlignment="1">
      <alignment horizontal="center"/>
    </xf>
    <xf numFmtId="169" fontId="37" fillId="44" borderId="11" xfId="54" applyNumberFormat="1" applyFont="1" applyFill="1" applyBorder="1" applyAlignment="1">
      <alignment horizontal="center"/>
    </xf>
    <xf numFmtId="7" fontId="37" fillId="43" borderId="3" xfId="54" applyNumberFormat="1" applyFont="1" applyFill="1" applyBorder="1" applyAlignment="1">
      <alignment horizontal="center"/>
    </xf>
    <xf numFmtId="0" fontId="0" fillId="0" borderId="0" xfId="0" applyBorder="1" applyAlignment="1">
      <alignment vertical="top"/>
    </xf>
    <xf numFmtId="17" fontId="54" fillId="0" borderId="196" xfId="0" applyNumberFormat="1" applyFont="1" applyBorder="1" applyAlignment="1">
      <alignment horizontal="center"/>
    </xf>
    <xf numFmtId="0" fontId="0" fillId="0" borderId="0" xfId="0" quotePrefix="1" applyFill="1" applyBorder="1" applyAlignment="1">
      <alignment horizontal="center"/>
    </xf>
    <xf numFmtId="0" fontId="0" fillId="60" borderId="0" xfId="0" applyFill="1"/>
    <xf numFmtId="1" fontId="0" fillId="58" borderId="46" xfId="0" applyNumberFormat="1" applyFill="1" applyBorder="1" applyAlignment="1">
      <alignment horizontal="center"/>
    </xf>
    <xf numFmtId="1" fontId="0" fillId="58" borderId="209" xfId="0" applyNumberFormat="1" applyFill="1" applyBorder="1" applyAlignment="1">
      <alignment horizontal="center"/>
    </xf>
    <xf numFmtId="44" fontId="0" fillId="58" borderId="36" xfId="54" applyNumberFormat="1" applyFont="1" applyFill="1" applyBorder="1" applyAlignment="1">
      <alignment horizontal="center"/>
    </xf>
    <xf numFmtId="44" fontId="0" fillId="58" borderId="63" xfId="54" applyFont="1" applyFill="1" applyBorder="1" applyAlignment="1">
      <alignment horizontal="center"/>
    </xf>
    <xf numFmtId="44" fontId="0" fillId="58" borderId="34" xfId="54" applyFont="1" applyFill="1" applyBorder="1" applyAlignment="1">
      <alignment horizontal="center"/>
    </xf>
    <xf numFmtId="44" fontId="0" fillId="58" borderId="33" xfId="54" applyFont="1" applyFill="1" applyBorder="1" applyAlignment="1">
      <alignment horizontal="center"/>
    </xf>
    <xf numFmtId="44" fontId="0" fillId="58" borderId="43" xfId="54" applyFont="1" applyFill="1" applyBorder="1" applyAlignment="1">
      <alignment horizontal="center"/>
    </xf>
    <xf numFmtId="44" fontId="0" fillId="58" borderId="0" xfId="54" applyFont="1" applyFill="1" applyBorder="1" applyAlignment="1">
      <alignment horizontal="center"/>
    </xf>
    <xf numFmtId="1" fontId="0" fillId="58" borderId="33" xfId="0" applyNumberFormat="1" applyFill="1" applyBorder="1" applyAlignment="1">
      <alignment horizontal="center"/>
    </xf>
    <xf numFmtId="1" fontId="0" fillId="58" borderId="44" xfId="0" applyNumberFormat="1" applyFill="1" applyBorder="1" applyAlignment="1">
      <alignment horizontal="center"/>
    </xf>
    <xf numFmtId="1" fontId="0" fillId="58" borderId="0" xfId="0" applyNumberFormat="1" applyFill="1" applyBorder="1" applyAlignment="1">
      <alignment horizontal="center"/>
    </xf>
    <xf numFmtId="1" fontId="0" fillId="58" borderId="51" xfId="0" applyNumberFormat="1" applyFill="1" applyBorder="1" applyAlignment="1">
      <alignment horizontal="center"/>
    </xf>
    <xf numFmtId="1" fontId="0" fillId="58" borderId="43" xfId="0" applyNumberFormat="1" applyFill="1" applyBorder="1" applyAlignment="1">
      <alignment horizontal="center"/>
    </xf>
    <xf numFmtId="1" fontId="0" fillId="58" borderId="43" xfId="54" applyNumberFormat="1" applyFont="1" applyFill="1" applyBorder="1" applyAlignment="1">
      <alignment horizontal="center"/>
    </xf>
    <xf numFmtId="1" fontId="0" fillId="58" borderId="63" xfId="0" applyNumberFormat="1" applyFill="1" applyBorder="1" applyAlignment="1">
      <alignment horizontal="center"/>
    </xf>
    <xf numFmtId="37" fontId="0" fillId="9" borderId="0" xfId="88" applyNumberFormat="1" applyFont="1" applyFill="1" applyBorder="1" applyAlignment="1"/>
    <xf numFmtId="37" fontId="0" fillId="9" borderId="29" xfId="88" applyNumberFormat="1" applyFont="1" applyFill="1" applyBorder="1" applyAlignment="1"/>
    <xf numFmtId="37" fontId="9" fillId="61" borderId="43" xfId="0" applyNumberFormat="1" applyFont="1" applyFill="1" applyBorder="1" applyAlignment="1">
      <alignment horizontal="center"/>
    </xf>
    <xf numFmtId="37" fontId="0" fillId="9" borderId="0" xfId="88" applyNumberFormat="1" applyFont="1" applyFill="1" applyBorder="1" applyAlignment="1">
      <alignment horizontal="right"/>
    </xf>
    <xf numFmtId="0" fontId="111" fillId="4" borderId="48" xfId="0" applyFont="1" applyFill="1" applyBorder="1" applyAlignment="1">
      <alignment horizontal="center" vertical="center" wrapText="1"/>
    </xf>
    <xf numFmtId="0" fontId="111" fillId="4" borderId="16" xfId="0" applyFont="1" applyFill="1" applyBorder="1" applyAlignment="1">
      <alignment horizontal="center" vertical="center" wrapText="1"/>
    </xf>
    <xf numFmtId="0" fontId="111" fillId="2" borderId="48" xfId="0" applyFont="1" applyFill="1" applyBorder="1" applyAlignment="1">
      <alignment horizontal="center" vertical="center" wrapText="1"/>
    </xf>
    <xf numFmtId="0" fontId="111" fillId="2" borderId="16" xfId="0" applyFont="1" applyFill="1" applyBorder="1" applyAlignment="1">
      <alignment horizontal="center" vertical="center" wrapText="1"/>
    </xf>
    <xf numFmtId="0" fontId="111" fillId="4" borderId="18" xfId="0" applyFont="1" applyFill="1" applyBorder="1" applyAlignment="1">
      <alignment horizontal="center" vertical="center" wrapText="1"/>
    </xf>
    <xf numFmtId="0" fontId="118" fillId="0" borderId="33" xfId="0" applyFont="1" applyFill="1" applyBorder="1"/>
    <xf numFmtId="0" fontId="0" fillId="58" borderId="58" xfId="0" applyFill="1" applyBorder="1"/>
    <xf numFmtId="0" fontId="3" fillId="0" borderId="218" xfId="0" applyFont="1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0" borderId="33" xfId="0" applyFont="1" applyFill="1" applyBorder="1" applyAlignment="1">
      <alignment horizontal="center"/>
    </xf>
    <xf numFmtId="0" fontId="105" fillId="0" borderId="33" xfId="0" applyFont="1" applyFill="1" applyBorder="1" applyAlignment="1">
      <alignment horizontal="center" vertical="center"/>
    </xf>
    <xf numFmtId="0" fontId="105" fillId="0" borderId="33" xfId="0" applyFont="1" applyFill="1" applyBorder="1" applyAlignment="1">
      <alignment vertical="center"/>
    </xf>
    <xf numFmtId="0" fontId="0" fillId="48" borderId="0" xfId="0" applyFill="1" applyBorder="1" applyAlignment="1">
      <alignment horizontal="center"/>
    </xf>
    <xf numFmtId="164" fontId="0" fillId="5" borderId="0" xfId="1" applyNumberFormat="1" applyFont="1" applyFill="1" applyBorder="1" applyAlignment="1">
      <alignment horizontal="center"/>
    </xf>
    <xf numFmtId="37" fontId="9" fillId="58" borderId="43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79" fillId="0" borderId="275" xfId="68" applyFont="1" applyBorder="1" applyAlignment="1">
      <alignment vertical="center" wrapText="1"/>
    </xf>
    <xf numFmtId="0" fontId="78" fillId="0" borderId="276" xfId="68" applyFont="1" applyBorder="1" applyAlignment="1">
      <alignment horizontal="left" vertical="center" wrapText="1"/>
    </xf>
    <xf numFmtId="0" fontId="78" fillId="0" borderId="276" xfId="68" applyNumberFormat="1" applyFont="1" applyBorder="1" applyAlignment="1">
      <alignment horizontal="center" vertical="center"/>
    </xf>
    <xf numFmtId="0" fontId="85" fillId="0" borderId="276" xfId="68" applyFont="1" applyBorder="1" applyAlignment="1">
      <alignment horizontal="center" vertical="center"/>
    </xf>
    <xf numFmtId="0" fontId="78" fillId="0" borderId="276" xfId="68" applyFont="1" applyBorder="1" applyAlignment="1">
      <alignment vertical="center"/>
    </xf>
    <xf numFmtId="164" fontId="78" fillId="6" borderId="276" xfId="1" applyNumberFormat="1" applyFont="1" applyFill="1" applyBorder="1" applyAlignment="1">
      <alignment horizontal="center" vertical="center"/>
    </xf>
    <xf numFmtId="164" fontId="79" fillId="6" borderId="276" xfId="1" applyNumberFormat="1" applyFont="1" applyFill="1" applyBorder="1" applyAlignment="1">
      <alignment horizontal="center" vertical="center"/>
    </xf>
    <xf numFmtId="0" fontId="85" fillId="0" borderId="277" xfId="68" applyFont="1" applyFill="1" applyBorder="1" applyAlignment="1">
      <alignment horizontal="center" vertical="center"/>
    </xf>
    <xf numFmtId="0" fontId="79" fillId="0" borderId="278" xfId="68" applyFont="1" applyBorder="1" applyAlignment="1">
      <alignment vertical="center" wrapText="1"/>
    </xf>
    <xf numFmtId="0" fontId="78" fillId="0" borderId="279" xfId="68" applyFont="1" applyFill="1" applyBorder="1" applyAlignment="1">
      <alignment horizontal="left" vertical="center"/>
    </xf>
    <xf numFmtId="49" fontId="85" fillId="0" borderId="279" xfId="68" applyNumberFormat="1" applyFont="1" applyFill="1" applyBorder="1" applyAlignment="1">
      <alignment horizontal="center" vertical="center"/>
    </xf>
    <xf numFmtId="0" fontId="78" fillId="0" borderId="279" xfId="68" applyFont="1" applyBorder="1" applyAlignment="1">
      <alignment horizontal="center" vertical="center"/>
    </xf>
    <xf numFmtId="0" fontId="78" fillId="0" borderId="279" xfId="68" applyFont="1" applyBorder="1" applyAlignment="1">
      <alignment vertical="center"/>
    </xf>
    <xf numFmtId="49" fontId="85" fillId="6" borderId="279" xfId="68" applyNumberFormat="1" applyFont="1" applyFill="1" applyBorder="1" applyAlignment="1">
      <alignment horizontal="center" vertical="center"/>
    </xf>
    <xf numFmtId="49" fontId="85" fillId="0" borderId="281" xfId="68" applyNumberFormat="1" applyFont="1" applyFill="1" applyBorder="1" applyAlignment="1">
      <alignment horizontal="center" vertical="center"/>
    </xf>
    <xf numFmtId="10" fontId="78" fillId="6" borderId="0" xfId="68" applyNumberFormat="1" applyFont="1" applyFill="1" applyBorder="1" applyAlignment="1">
      <alignment horizontal="center" vertical="center"/>
    </xf>
    <xf numFmtId="173" fontId="85" fillId="0" borderId="0" xfId="68" quotePrefix="1" applyNumberFormat="1" applyFont="1" applyFill="1" applyBorder="1" applyAlignment="1">
      <alignment horizontal="center" vertical="center"/>
    </xf>
    <xf numFmtId="173" fontId="78" fillId="0" borderId="0" xfId="68" applyNumberFormat="1" applyFont="1" applyBorder="1" applyAlignment="1">
      <alignment vertical="center"/>
    </xf>
    <xf numFmtId="0" fontId="54" fillId="48" borderId="101" xfId="0" applyFont="1" applyFill="1" applyBorder="1" applyAlignment="1">
      <alignment horizontal="center" vertical="center"/>
    </xf>
    <xf numFmtId="166" fontId="0" fillId="48" borderId="101" xfId="0" applyNumberFormat="1" applyFill="1" applyBorder="1" applyAlignment="1">
      <alignment horizontal="center"/>
    </xf>
    <xf numFmtId="0" fontId="0" fillId="0" borderId="101" xfId="0" applyBorder="1"/>
    <xf numFmtId="164" fontId="60" fillId="48" borderId="287" xfId="1" quotePrefix="1" applyNumberFormat="1" applyFont="1" applyFill="1" applyBorder="1" applyAlignment="1">
      <alignment horizontal="center"/>
    </xf>
    <xf numFmtId="9" fontId="60" fillId="48" borderId="287" xfId="0" applyNumberFormat="1" applyFont="1" applyFill="1" applyBorder="1" applyAlignment="1">
      <alignment horizontal="center"/>
    </xf>
    <xf numFmtId="9" fontId="60" fillId="48" borderId="294" xfId="0" applyNumberFormat="1" applyFont="1" applyFill="1" applyBorder="1" applyAlignment="1">
      <alignment horizontal="center"/>
    </xf>
    <xf numFmtId="9" fontId="60" fillId="48" borderId="304" xfId="1" applyFont="1" applyFill="1" applyBorder="1" applyAlignment="1">
      <alignment horizontal="center"/>
    </xf>
    <xf numFmtId="9" fontId="60" fillId="48" borderId="289" xfId="0" applyNumberFormat="1" applyFont="1" applyFill="1" applyBorder="1" applyAlignment="1">
      <alignment horizontal="center"/>
    </xf>
    <xf numFmtId="9" fontId="60" fillId="48" borderId="289" xfId="1" applyFont="1" applyFill="1" applyBorder="1" applyAlignment="1">
      <alignment horizontal="center"/>
    </xf>
    <xf numFmtId="164" fontId="60" fillId="48" borderId="289" xfId="1" quotePrefix="1" applyNumberFormat="1" applyFont="1" applyFill="1" applyBorder="1" applyAlignment="1">
      <alignment horizontal="center"/>
    </xf>
    <xf numFmtId="9" fontId="60" fillId="48" borderId="290" xfId="0" applyNumberFormat="1" applyFont="1" applyFill="1" applyBorder="1" applyAlignment="1">
      <alignment horizontal="center"/>
    </xf>
    <xf numFmtId="0" fontId="60" fillId="48" borderId="289" xfId="0" applyFont="1" applyFill="1" applyBorder="1" applyAlignment="1">
      <alignment horizontal="center"/>
    </xf>
    <xf numFmtId="0" fontId="60" fillId="48" borderId="290" xfId="0" applyFont="1" applyFill="1" applyBorder="1" applyAlignment="1">
      <alignment horizontal="center"/>
    </xf>
    <xf numFmtId="9" fontId="60" fillId="48" borderId="305" xfId="1" applyFont="1" applyFill="1" applyBorder="1" applyAlignment="1">
      <alignment horizontal="center"/>
    </xf>
    <xf numFmtId="0" fontId="60" fillId="48" borderId="306" xfId="0" applyFont="1" applyFill="1" applyBorder="1" applyAlignment="1">
      <alignment horizontal="center"/>
    </xf>
    <xf numFmtId="0" fontId="60" fillId="48" borderId="307" xfId="0" applyFont="1" applyFill="1" applyBorder="1" applyAlignment="1">
      <alignment horizontal="center"/>
    </xf>
    <xf numFmtId="9" fontId="60" fillId="48" borderId="289" xfId="1" quotePrefix="1" applyNumberFormat="1" applyFont="1" applyFill="1" applyBorder="1" applyAlignment="1">
      <alignment horizontal="center"/>
    </xf>
    <xf numFmtId="164" fontId="60" fillId="48" borderId="289" xfId="1" applyNumberFormat="1" applyFont="1" applyFill="1" applyBorder="1" applyAlignment="1">
      <alignment horizontal="center"/>
    </xf>
    <xf numFmtId="9" fontId="60" fillId="48" borderId="289" xfId="1" applyNumberFormat="1" applyFont="1" applyFill="1" applyBorder="1" applyAlignment="1">
      <alignment horizontal="center"/>
    </xf>
    <xf numFmtId="164" fontId="60" fillId="48" borderId="290" xfId="1" applyNumberFormat="1" applyFont="1" applyFill="1" applyBorder="1" applyAlignment="1">
      <alignment horizontal="center"/>
    </xf>
    <xf numFmtId="9" fontId="60" fillId="48" borderId="306" xfId="1" quotePrefix="1" applyNumberFormat="1" applyFont="1" applyFill="1" applyBorder="1" applyAlignment="1">
      <alignment horizontal="center"/>
    </xf>
    <xf numFmtId="164" fontId="60" fillId="48" borderId="306" xfId="1" applyNumberFormat="1" applyFont="1" applyFill="1" applyBorder="1" applyAlignment="1">
      <alignment horizontal="center"/>
    </xf>
    <xf numFmtId="164" fontId="60" fillId="48" borderId="307" xfId="1" applyNumberFormat="1" applyFont="1" applyFill="1" applyBorder="1" applyAlignment="1">
      <alignment horizontal="center"/>
    </xf>
    <xf numFmtId="1" fontId="60" fillId="0" borderId="308" xfId="1" applyNumberFormat="1" applyFont="1" applyFill="1" applyBorder="1" applyAlignment="1">
      <alignment horizontal="center"/>
    </xf>
    <xf numFmtId="1" fontId="60" fillId="0" borderId="296" xfId="0" applyNumberFormat="1" applyFont="1" applyFill="1" applyBorder="1" applyAlignment="1">
      <alignment horizontal="center"/>
    </xf>
    <xf numFmtId="1" fontId="60" fillId="0" borderId="296" xfId="1" applyNumberFormat="1" applyFont="1" applyFill="1" applyBorder="1" applyAlignment="1">
      <alignment horizontal="center"/>
    </xf>
    <xf numFmtId="1" fontId="60" fillId="0" borderId="296" xfId="1" quotePrefix="1" applyNumberFormat="1" applyFont="1" applyFill="1" applyBorder="1" applyAlignment="1">
      <alignment horizontal="center"/>
    </xf>
    <xf numFmtId="1" fontId="60" fillId="0" borderId="309" xfId="0" applyNumberFormat="1" applyFont="1" applyFill="1" applyBorder="1" applyAlignment="1">
      <alignment horizontal="center"/>
    </xf>
    <xf numFmtId="1" fontId="60" fillId="0" borderId="310" xfId="1" applyNumberFormat="1" applyFont="1" applyFill="1" applyBorder="1" applyAlignment="1">
      <alignment horizontal="center"/>
    </xf>
    <xf numFmtId="1" fontId="60" fillId="0" borderId="289" xfId="0" applyNumberFormat="1" applyFont="1" applyFill="1" applyBorder="1" applyAlignment="1">
      <alignment horizontal="center"/>
    </xf>
    <xf numFmtId="1" fontId="60" fillId="0" borderId="289" xfId="1" applyNumberFormat="1" applyFont="1" applyFill="1" applyBorder="1" applyAlignment="1">
      <alignment horizontal="center"/>
    </xf>
    <xf numFmtId="1" fontId="60" fillId="0" borderId="289" xfId="1" quotePrefix="1" applyNumberFormat="1" applyFont="1" applyFill="1" applyBorder="1" applyAlignment="1">
      <alignment horizontal="center"/>
    </xf>
    <xf numFmtId="1" fontId="60" fillId="0" borderId="290" xfId="0" applyNumberFormat="1" applyFont="1" applyFill="1" applyBorder="1" applyAlignment="1">
      <alignment horizontal="center"/>
    </xf>
    <xf numFmtId="1" fontId="60" fillId="0" borderId="311" xfId="1" applyNumberFormat="1" applyFont="1" applyFill="1" applyBorder="1" applyAlignment="1">
      <alignment horizontal="center"/>
    </xf>
    <xf numFmtId="1" fontId="60" fillId="0" borderId="292" xfId="0" applyNumberFormat="1" applyFont="1" applyFill="1" applyBorder="1" applyAlignment="1">
      <alignment horizontal="center"/>
    </xf>
    <xf numFmtId="1" fontId="60" fillId="0" borderId="293" xfId="0" applyNumberFormat="1" applyFont="1" applyFill="1" applyBorder="1" applyAlignment="1">
      <alignment horizontal="center"/>
    </xf>
    <xf numFmtId="164" fontId="60" fillId="48" borderId="313" xfId="1" applyNumberFormat="1" applyFont="1" applyFill="1" applyBorder="1" applyAlignment="1">
      <alignment horizontal="center"/>
    </xf>
    <xf numFmtId="9" fontId="60" fillId="48" borderId="313" xfId="1" quotePrefix="1" applyNumberFormat="1" applyFont="1" applyFill="1" applyBorder="1" applyAlignment="1">
      <alignment horizontal="center"/>
    </xf>
    <xf numFmtId="9" fontId="60" fillId="48" borderId="313" xfId="1" applyNumberFormat="1" applyFont="1" applyFill="1" applyBorder="1" applyAlignment="1">
      <alignment horizontal="center"/>
    </xf>
    <xf numFmtId="164" fontId="60" fillId="48" borderId="313" xfId="1" quotePrefix="1" applyNumberFormat="1" applyFont="1" applyFill="1" applyBorder="1" applyAlignment="1">
      <alignment horizontal="center"/>
    </xf>
    <xf numFmtId="164" fontId="60" fillId="48" borderId="312" xfId="1" applyNumberFormat="1" applyFont="1" applyFill="1" applyBorder="1" applyAlignment="1">
      <alignment horizontal="center"/>
    </xf>
    <xf numFmtId="164" fontId="60" fillId="48" borderId="314" xfId="1" applyNumberFormat="1" applyFont="1" applyFill="1" applyBorder="1" applyAlignment="1">
      <alignment horizontal="center"/>
    </xf>
    <xf numFmtId="164" fontId="60" fillId="48" borderId="315" xfId="1" applyNumberFormat="1" applyFont="1" applyFill="1" applyBorder="1" applyAlignment="1">
      <alignment horizontal="center"/>
    </xf>
    <xf numFmtId="164" fontId="60" fillId="48" borderId="316" xfId="1" applyNumberFormat="1" applyFont="1" applyFill="1" applyBorder="1" applyAlignment="1">
      <alignment horizontal="center"/>
    </xf>
    <xf numFmtId="17" fontId="54" fillId="0" borderId="109" xfId="0" applyNumberFormat="1" applyFont="1" applyBorder="1" applyAlignment="1">
      <alignment horizontal="center"/>
    </xf>
    <xf numFmtId="164" fontId="60" fillId="48" borderId="297" xfId="0" applyNumberFormat="1" applyFont="1" applyFill="1" applyBorder="1" applyAlignment="1">
      <alignment horizontal="center" vertical="center"/>
    </xf>
    <xf numFmtId="164" fontId="60" fillId="48" borderId="297" xfId="1" quotePrefix="1" applyNumberFormat="1" applyFont="1" applyFill="1" applyBorder="1" applyAlignment="1">
      <alignment horizontal="center" vertical="center"/>
    </xf>
    <xf numFmtId="164" fontId="60" fillId="48" borderId="304" xfId="1" applyNumberFormat="1" applyFont="1" applyFill="1" applyBorder="1" applyAlignment="1">
      <alignment horizontal="center" vertical="center"/>
    </xf>
    <xf numFmtId="164" fontId="60" fillId="48" borderId="289" xfId="0" applyNumberFormat="1" applyFont="1" applyFill="1" applyBorder="1" applyAlignment="1">
      <alignment horizontal="center" vertical="center"/>
    </xf>
    <xf numFmtId="164" fontId="60" fillId="48" borderId="289" xfId="1" applyNumberFormat="1" applyFont="1" applyFill="1" applyBorder="1" applyAlignment="1">
      <alignment horizontal="center" vertical="center"/>
    </xf>
    <xf numFmtId="164" fontId="60" fillId="48" borderId="289" xfId="1" quotePrefix="1" applyNumberFormat="1" applyFont="1" applyFill="1" applyBorder="1" applyAlignment="1">
      <alignment horizontal="center" vertical="center"/>
    </xf>
    <xf numFmtId="164" fontId="60" fillId="48" borderId="292" xfId="0" applyNumberFormat="1" applyFont="1" applyFill="1" applyBorder="1" applyAlignment="1">
      <alignment horizontal="center" vertical="center"/>
    </xf>
    <xf numFmtId="164" fontId="60" fillId="48" borderId="306" xfId="0" applyNumberFormat="1" applyFont="1" applyFill="1" applyBorder="1" applyAlignment="1">
      <alignment horizontal="center" vertical="center"/>
    </xf>
    <xf numFmtId="164" fontId="60" fillId="48" borderId="307" xfId="0" applyNumberFormat="1" applyFont="1" applyFill="1" applyBorder="1" applyAlignment="1">
      <alignment horizontal="center" vertical="center"/>
    </xf>
    <xf numFmtId="164" fontId="60" fillId="48" borderId="302" xfId="1" applyNumberFormat="1" applyFont="1" applyFill="1" applyBorder="1" applyAlignment="1">
      <alignment horizontal="center" vertical="center"/>
    </xf>
    <xf numFmtId="164" fontId="60" fillId="48" borderId="303" xfId="1" applyNumberFormat="1" applyFont="1" applyFill="1" applyBorder="1" applyAlignment="1">
      <alignment horizontal="center" vertical="center"/>
    </xf>
    <xf numFmtId="164" fontId="60" fillId="48" borderId="297" xfId="1" applyNumberFormat="1" applyFont="1" applyFill="1" applyBorder="1" applyAlignment="1">
      <alignment horizontal="center" vertical="center"/>
    </xf>
    <xf numFmtId="0" fontId="78" fillId="6" borderId="0" xfId="88" applyNumberFormat="1" applyFont="1" applyFill="1" applyBorder="1" applyAlignment="1">
      <alignment horizontal="center" vertical="center"/>
    </xf>
    <xf numFmtId="0" fontId="78" fillId="52" borderId="0" xfId="68" applyFont="1" applyFill="1" applyBorder="1" applyAlignment="1">
      <alignment horizontal="left" vertical="center" wrapText="1"/>
    </xf>
    <xf numFmtId="0" fontId="78" fillId="48" borderId="0" xfId="68" applyFont="1" applyFill="1" applyBorder="1" applyAlignment="1">
      <alignment horizontal="left" vertical="center" wrapText="1"/>
    </xf>
    <xf numFmtId="3" fontId="78" fillId="0" borderId="296" xfId="0" applyNumberFormat="1" applyFont="1" applyFill="1" applyBorder="1" applyAlignment="1">
      <alignment horizontal="center"/>
    </xf>
    <xf numFmtId="3" fontId="78" fillId="0" borderId="297" xfId="0" applyNumberFormat="1" applyFont="1" applyFill="1" applyBorder="1" applyAlignment="1">
      <alignment horizontal="center"/>
    </xf>
    <xf numFmtId="3" fontId="78" fillId="0" borderId="298" xfId="0" applyNumberFormat="1" applyFont="1" applyFill="1" applyBorder="1" applyAlignment="1">
      <alignment horizontal="center"/>
    </xf>
    <xf numFmtId="3" fontId="78" fillId="0" borderId="289" xfId="0" applyNumberFormat="1" applyFont="1" applyFill="1" applyBorder="1" applyAlignment="1">
      <alignment horizontal="center"/>
    </xf>
    <xf numFmtId="3" fontId="78" fillId="0" borderId="290" xfId="0" applyNumberFormat="1" applyFont="1" applyFill="1" applyBorder="1" applyAlignment="1">
      <alignment horizontal="center"/>
    </xf>
    <xf numFmtId="3" fontId="78" fillId="0" borderId="292" xfId="0" applyNumberFormat="1" applyFont="1" applyFill="1" applyBorder="1" applyAlignment="1">
      <alignment horizontal="center"/>
    </xf>
    <xf numFmtId="3" fontId="78" fillId="0" borderId="306" xfId="0" applyNumberFormat="1" applyFont="1" applyFill="1" applyBorder="1" applyAlignment="1">
      <alignment horizontal="center"/>
    </xf>
    <xf numFmtId="3" fontId="78" fillId="0" borderId="318" xfId="0" applyNumberFormat="1" applyFont="1" applyFill="1" applyBorder="1" applyAlignment="1">
      <alignment horizontal="center"/>
    </xf>
    <xf numFmtId="3" fontId="78" fillId="0" borderId="293" xfId="0" applyNumberFormat="1" applyFont="1" applyFill="1" applyBorder="1" applyAlignment="1">
      <alignment horizontal="center"/>
    </xf>
    <xf numFmtId="3" fontId="78" fillId="0" borderId="299" xfId="0" applyNumberFormat="1" applyFont="1" applyFill="1" applyBorder="1" applyAlignment="1">
      <alignment horizontal="center"/>
    </xf>
    <xf numFmtId="3" fontId="78" fillId="0" borderId="288" xfId="0" applyNumberFormat="1" applyFont="1" applyFill="1" applyBorder="1" applyAlignment="1">
      <alignment horizontal="center"/>
    </xf>
    <xf numFmtId="3" fontId="78" fillId="0" borderId="291" xfId="0" applyNumberFormat="1" applyFont="1" applyFill="1" applyBorder="1" applyAlignment="1">
      <alignment horizontal="center"/>
    </xf>
    <xf numFmtId="0" fontId="0" fillId="54" borderId="101" xfId="0" applyFill="1" applyBorder="1"/>
    <xf numFmtId="0" fontId="0" fillId="54" borderId="102" xfId="0" applyFill="1" applyBorder="1"/>
    <xf numFmtId="0" fontId="0" fillId="54" borderId="0" xfId="0" applyFill="1" applyBorder="1"/>
    <xf numFmtId="0" fontId="0" fillId="54" borderId="68" xfId="0" applyFill="1" applyBorder="1"/>
    <xf numFmtId="0" fontId="4" fillId="54" borderId="329" xfId="0" applyFont="1" applyFill="1" applyBorder="1"/>
    <xf numFmtId="0" fontId="74" fillId="54" borderId="330" xfId="0" applyFont="1" applyFill="1" applyBorder="1" applyAlignment="1">
      <alignment horizontal="center"/>
    </xf>
    <xf numFmtId="0" fontId="4" fillId="54" borderId="76" xfId="0" applyFont="1" applyFill="1" applyBorder="1"/>
    <xf numFmtId="0" fontId="74" fillId="54" borderId="68" xfId="0" applyFont="1" applyFill="1" applyBorder="1" applyAlignment="1">
      <alignment horizontal="center"/>
    </xf>
    <xf numFmtId="0" fontId="5" fillId="0" borderId="93" xfId="0" applyFont="1" applyBorder="1"/>
    <xf numFmtId="0" fontId="6" fillId="0" borderId="331" xfId="0" applyFont="1" applyFill="1" applyBorder="1" applyAlignment="1">
      <alignment horizontal="center"/>
    </xf>
    <xf numFmtId="0" fontId="5" fillId="0" borderId="85" xfId="0" applyFont="1" applyBorder="1"/>
    <xf numFmtId="0" fontId="6" fillId="0" borderId="332" xfId="0" applyFont="1" applyFill="1" applyBorder="1" applyAlignment="1">
      <alignment horizontal="center"/>
    </xf>
    <xf numFmtId="164" fontId="6" fillId="0" borderId="332" xfId="1" applyNumberFormat="1" applyFont="1" applyFill="1" applyBorder="1" applyAlignment="1">
      <alignment horizontal="center"/>
    </xf>
    <xf numFmtId="0" fontId="5" fillId="5" borderId="333" xfId="0" applyFont="1" applyFill="1" applyBorder="1" applyAlignment="1">
      <alignment horizontal="right"/>
    </xf>
    <xf numFmtId="0" fontId="6" fillId="0" borderId="331" xfId="0" applyFont="1" applyBorder="1" applyAlignment="1">
      <alignment horizontal="center"/>
    </xf>
    <xf numFmtId="10" fontId="6" fillId="0" borderId="332" xfId="1" applyNumberFormat="1" applyFont="1" applyBorder="1" applyAlignment="1">
      <alignment horizontal="center"/>
    </xf>
    <xf numFmtId="0" fontId="5" fillId="5" borderId="85" xfId="0" applyFont="1" applyFill="1" applyBorder="1" applyAlignment="1">
      <alignment horizontal="right"/>
    </xf>
    <xf numFmtId="0" fontId="5" fillId="5" borderId="329" xfId="0" applyFont="1" applyFill="1" applyBorder="1" applyAlignment="1">
      <alignment horizontal="right"/>
    </xf>
    <xf numFmtId="0" fontId="5" fillId="2" borderId="93" xfId="0" applyFont="1" applyFill="1" applyBorder="1" applyAlignment="1">
      <alignment horizontal="right"/>
    </xf>
    <xf numFmtId="164" fontId="6" fillId="2" borderId="331" xfId="0" applyNumberFormat="1" applyFont="1" applyFill="1" applyBorder="1" applyAlignment="1">
      <alignment horizontal="center"/>
    </xf>
    <xf numFmtId="0" fontId="5" fillId="0" borderId="85" xfId="0" applyFont="1" applyBorder="1" applyAlignment="1">
      <alignment horizontal="left"/>
    </xf>
    <xf numFmtId="0" fontId="5" fillId="2" borderId="85" xfId="0" applyFont="1" applyFill="1" applyBorder="1" applyAlignment="1">
      <alignment horizontal="right"/>
    </xf>
    <xf numFmtId="164" fontId="6" fillId="2" borderId="332" xfId="0" applyNumberFormat="1" applyFont="1" applyFill="1" applyBorder="1" applyAlignment="1">
      <alignment horizontal="center"/>
    </xf>
    <xf numFmtId="0" fontId="5" fillId="2" borderId="329" xfId="0" applyFont="1" applyFill="1" applyBorder="1" applyAlignment="1">
      <alignment horizontal="right"/>
    </xf>
    <xf numFmtId="0" fontId="5" fillId="0" borderId="93" xfId="0" applyFont="1" applyFill="1" applyBorder="1" applyAlignment="1">
      <alignment horizontal="left"/>
    </xf>
    <xf numFmtId="1" fontId="6" fillId="0" borderId="335" xfId="0" applyNumberFormat="1" applyFont="1" applyFill="1" applyBorder="1" applyAlignment="1">
      <alignment horizontal="center"/>
    </xf>
    <xf numFmtId="0" fontId="5" fillId="0" borderId="85" xfId="0" applyFont="1" applyFill="1" applyBorder="1" applyAlignment="1">
      <alignment horizontal="left"/>
    </xf>
    <xf numFmtId="3" fontId="6" fillId="0" borderId="332" xfId="0" applyNumberFormat="1" applyFont="1" applyFill="1" applyBorder="1" applyAlignment="1">
      <alignment horizontal="center"/>
    </xf>
    <xf numFmtId="0" fontId="5" fillId="5" borderId="336" xfId="0" applyFont="1" applyFill="1" applyBorder="1" applyAlignment="1">
      <alignment horizontal="right"/>
    </xf>
    <xf numFmtId="0" fontId="5" fillId="0" borderId="76" xfId="0" applyFont="1" applyBorder="1"/>
    <xf numFmtId="0" fontId="0" fillId="0" borderId="337" xfId="0" applyBorder="1"/>
    <xf numFmtId="0" fontId="109" fillId="0" borderId="85" xfId="0" applyFont="1" applyBorder="1" applyAlignment="1">
      <alignment horizontal="right"/>
    </xf>
    <xf numFmtId="0" fontId="109" fillId="5" borderId="336" xfId="0" applyFont="1" applyFill="1" applyBorder="1" applyAlignment="1">
      <alignment horizontal="right"/>
    </xf>
    <xf numFmtId="0" fontId="5" fillId="2" borderId="338" xfId="0" applyFont="1" applyFill="1" applyBorder="1"/>
    <xf numFmtId="0" fontId="6" fillId="2" borderId="100" xfId="0" applyFont="1" applyFill="1" applyBorder="1" applyAlignment="1">
      <alignment horizontal="center"/>
    </xf>
    <xf numFmtId="0" fontId="6" fillId="2" borderId="339" xfId="0" applyFont="1" applyFill="1" applyBorder="1" applyAlignment="1">
      <alignment horizontal="center"/>
    </xf>
    <xf numFmtId="0" fontId="6" fillId="2" borderId="91" xfId="0" applyFont="1" applyFill="1" applyBorder="1" applyAlignment="1">
      <alignment horizontal="center"/>
    </xf>
    <xf numFmtId="0" fontId="6" fillId="2" borderId="340" xfId="0" applyFont="1" applyFill="1" applyBorder="1" applyAlignment="1">
      <alignment horizontal="center"/>
    </xf>
    <xf numFmtId="9" fontId="60" fillId="48" borderId="317" xfId="1" applyFont="1" applyFill="1" applyBorder="1" applyAlignment="1">
      <alignment horizontal="center"/>
    </xf>
    <xf numFmtId="9" fontId="60" fillId="48" borderId="287" xfId="1" applyFont="1" applyFill="1" applyBorder="1" applyAlignment="1">
      <alignment horizontal="center"/>
    </xf>
    <xf numFmtId="0" fontId="0" fillId="0" borderId="0" xfId="0" applyAlignment="1">
      <alignment wrapText="1"/>
    </xf>
    <xf numFmtId="1" fontId="0" fillId="4" borderId="280" xfId="1" applyNumberFormat="1" applyFont="1" applyFill="1" applyBorder="1" applyAlignment="1">
      <alignment horizontal="center"/>
    </xf>
    <xf numFmtId="1" fontId="0" fillId="2" borderId="280" xfId="1" applyNumberFormat="1" applyFont="1" applyFill="1" applyBorder="1" applyAlignment="1">
      <alignment horizontal="center"/>
    </xf>
    <xf numFmtId="0" fontId="111" fillId="4" borderId="29" xfId="0" applyFont="1" applyFill="1" applyBorder="1" applyAlignment="1">
      <alignment horizontal="center" vertical="center" wrapText="1"/>
    </xf>
    <xf numFmtId="1" fontId="0" fillId="4" borderId="0" xfId="1" applyNumberFormat="1" applyFon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0" fontId="111" fillId="4" borderId="343" xfId="0" applyFont="1" applyFill="1" applyBorder="1" applyAlignment="1">
      <alignment horizontal="center" vertical="center" wrapText="1"/>
    </xf>
    <xf numFmtId="0" fontId="111" fillId="4" borderId="13" xfId="0" applyFont="1" applyFill="1" applyBorder="1" applyAlignment="1">
      <alignment horizontal="center" vertical="center" wrapText="1"/>
    </xf>
    <xf numFmtId="1" fontId="0" fillId="58" borderId="60" xfId="1" applyNumberFormat="1" applyFont="1" applyFill="1" applyBorder="1" applyAlignment="1">
      <alignment horizontal="center"/>
    </xf>
    <xf numFmtId="1" fontId="0" fillId="58" borderId="18" xfId="0" applyNumberFormat="1" applyFill="1" applyBorder="1" applyAlignment="1">
      <alignment horizontal="center"/>
    </xf>
    <xf numFmtId="1" fontId="0" fillId="58" borderId="16" xfId="0" applyNumberFormat="1" applyFill="1" applyBorder="1" applyAlignment="1">
      <alignment horizontal="center"/>
    </xf>
    <xf numFmtId="1" fontId="0" fillId="2" borderId="0" xfId="1" applyNumberFormat="1" applyFont="1" applyFill="1" applyBorder="1" applyAlignment="1">
      <alignment horizontal="center"/>
    </xf>
    <xf numFmtId="1" fontId="0" fillId="2" borderId="3" xfId="1" applyNumberFormat="1" applyFont="1" applyFill="1" applyBorder="1" applyAlignment="1">
      <alignment horizontal="center"/>
    </xf>
    <xf numFmtId="0" fontId="111" fillId="2" borderId="17" xfId="0" applyFont="1" applyFill="1" applyBorder="1" applyAlignment="1">
      <alignment horizontal="center" vertical="center" wrapText="1"/>
    </xf>
    <xf numFmtId="0" fontId="111" fillId="2" borderId="13" xfId="0" applyFont="1" applyFill="1" applyBorder="1" applyAlignment="1">
      <alignment horizontal="center" vertical="center" wrapText="1"/>
    </xf>
    <xf numFmtId="1" fontId="0" fillId="0" borderId="11" xfId="0" applyNumberFormat="1" applyFill="1" applyBorder="1" applyAlignment="1">
      <alignment horizontal="center"/>
    </xf>
    <xf numFmtId="0" fontId="111" fillId="2" borderId="343" xfId="0" applyFont="1" applyFill="1" applyBorder="1" applyAlignment="1">
      <alignment horizontal="center" vertical="center" wrapText="1"/>
    </xf>
    <xf numFmtId="0" fontId="111" fillId="4" borderId="17" xfId="0" applyFont="1" applyFill="1" applyBorder="1" applyAlignment="1">
      <alignment horizontal="center" vertical="center" wrapText="1"/>
    </xf>
    <xf numFmtId="1" fontId="0" fillId="4" borderId="3" xfId="1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173" fontId="0" fillId="0" borderId="0" xfId="0" applyNumberFormat="1"/>
    <xf numFmtId="10" fontId="78" fillId="0" borderId="0" xfId="1" applyNumberFormat="1" applyFont="1" applyBorder="1" applyAlignment="1">
      <alignment vertical="center"/>
    </xf>
    <xf numFmtId="165" fontId="121" fillId="0" borderId="56" xfId="68" applyNumberFormat="1" applyFont="1" applyFill="1" applyBorder="1" applyAlignment="1">
      <alignment horizontal="center" vertical="center"/>
    </xf>
    <xf numFmtId="0" fontId="0" fillId="5" borderId="219" xfId="0" applyFill="1" applyBorder="1" applyAlignment="1">
      <alignment horizontal="center"/>
    </xf>
    <xf numFmtId="0" fontId="0" fillId="6" borderId="219" xfId="0" applyFill="1" applyBorder="1" applyAlignment="1">
      <alignment horizontal="center"/>
    </xf>
    <xf numFmtId="0" fontId="0" fillId="43" borderId="36" xfId="54" applyNumberFormat="1" applyFont="1" applyFill="1" applyBorder="1" applyAlignment="1">
      <alignment horizontal="center"/>
    </xf>
    <xf numFmtId="0" fontId="102" fillId="3" borderId="216" xfId="0" applyFont="1" applyFill="1" applyBorder="1" applyAlignment="1">
      <alignment horizontal="center" vertical="center"/>
    </xf>
    <xf numFmtId="44" fontId="0" fillId="9" borderId="4" xfId="54" applyFont="1" applyFill="1" applyBorder="1" applyAlignment="1">
      <alignment horizontal="center"/>
    </xf>
    <xf numFmtId="44" fontId="0" fillId="58" borderId="220" xfId="54" applyFont="1" applyFill="1" applyBorder="1" applyAlignment="1">
      <alignment horizontal="center"/>
    </xf>
    <xf numFmtId="44" fontId="0" fillId="58" borderId="219" xfId="54" applyFont="1" applyFill="1" applyBorder="1" applyAlignment="1">
      <alignment horizontal="center"/>
    </xf>
    <xf numFmtId="0" fontId="3" fillId="3" borderId="33" xfId="0" applyFont="1" applyFill="1" applyBorder="1"/>
    <xf numFmtId="0" fontId="104" fillId="3" borderId="58" xfId="0" applyFont="1" applyFill="1" applyBorder="1" applyAlignment="1">
      <alignment horizontal="left"/>
    </xf>
    <xf numFmtId="0" fontId="3" fillId="43" borderId="33" xfId="0" applyFont="1" applyFill="1" applyBorder="1"/>
    <xf numFmtId="0" fontId="3" fillId="6" borderId="33" xfId="0" applyFont="1" applyFill="1" applyBorder="1"/>
    <xf numFmtId="1" fontId="0" fillId="48" borderId="0" xfId="0" applyNumberFormat="1" applyFill="1" applyAlignment="1">
      <alignment horizontal="center"/>
    </xf>
    <xf numFmtId="0" fontId="0" fillId="48" borderId="0" xfId="0" applyFill="1" applyAlignment="1">
      <alignment horizontal="center"/>
    </xf>
    <xf numFmtId="9" fontId="0" fillId="0" borderId="0" xfId="1" applyNumberFormat="1" applyFont="1" applyFill="1" applyAlignment="1">
      <alignment horizontal="center"/>
    </xf>
    <xf numFmtId="1" fontId="0" fillId="58" borderId="9" xfId="1" applyNumberFormat="1" applyFont="1" applyFill="1" applyBorder="1" applyAlignment="1">
      <alignment horizontal="center"/>
    </xf>
    <xf numFmtId="1" fontId="0" fillId="58" borderId="6" xfId="1" applyNumberFormat="1" applyFont="1" applyFill="1" applyBorder="1" applyAlignment="1">
      <alignment horizontal="center"/>
    </xf>
    <xf numFmtId="0" fontId="0" fillId="0" borderId="216" xfId="0" applyBorder="1"/>
    <xf numFmtId="0" fontId="0" fillId="0" borderId="55" xfId="0" applyBorder="1"/>
    <xf numFmtId="165" fontId="34" fillId="0" borderId="50" xfId="0" applyNumberFormat="1" applyFont="1" applyBorder="1" applyAlignment="1">
      <alignment horizontal="center"/>
    </xf>
    <xf numFmtId="165" fontId="34" fillId="0" borderId="90" xfId="0" applyNumberFormat="1" applyFont="1" applyFill="1" applyBorder="1" applyAlignment="1">
      <alignment horizontal="center"/>
    </xf>
    <xf numFmtId="0" fontId="70" fillId="58" borderId="50" xfId="0" applyNumberFormat="1" applyFont="1" applyFill="1" applyBorder="1" applyAlignment="1">
      <alignment horizontal="center" wrapText="1"/>
    </xf>
    <xf numFmtId="0" fontId="3" fillId="0" borderId="219" xfId="0" applyFont="1" applyFill="1" applyBorder="1"/>
    <xf numFmtId="0" fontId="3" fillId="0" borderId="219" xfId="0" applyFont="1" applyBorder="1"/>
    <xf numFmtId="0" fontId="110" fillId="58" borderId="219" xfId="0" applyFont="1" applyFill="1" applyBorder="1"/>
    <xf numFmtId="0" fontId="3" fillId="44" borderId="217" xfId="0" applyFont="1" applyFill="1" applyBorder="1"/>
    <xf numFmtId="1" fontId="0" fillId="58" borderId="62" xfId="0" applyNumberFormat="1" applyFill="1" applyBorder="1" applyAlignment="1">
      <alignment horizontal="center"/>
    </xf>
    <xf numFmtId="1" fontId="0" fillId="58" borderId="63" xfId="54" applyNumberFormat="1" applyFont="1" applyFill="1" applyBorder="1" applyAlignment="1">
      <alignment horizontal="center"/>
    </xf>
    <xf numFmtId="44" fontId="0" fillId="9" borderId="36" xfId="54" applyNumberFormat="1" applyFont="1" applyFill="1" applyBorder="1" applyAlignment="1">
      <alignment horizontal="right" indent="2"/>
    </xf>
    <xf numFmtId="9" fontId="0" fillId="0" borderId="0" xfId="1" applyFont="1" applyFill="1"/>
    <xf numFmtId="164" fontId="3" fillId="0" borderId="0" xfId="1" applyNumberFormat="1" applyFont="1" applyFill="1" applyAlignment="1"/>
    <xf numFmtId="164" fontId="3" fillId="0" borderId="0" xfId="1" applyNumberFormat="1" applyFont="1" applyFill="1" applyAlignment="1">
      <alignment horizontal="center" vertical="center"/>
    </xf>
    <xf numFmtId="1" fontId="0" fillId="58" borderId="17" xfId="0" applyNumberFormat="1" applyFill="1" applyBorder="1" applyAlignment="1">
      <alignment horizontal="center"/>
    </xf>
    <xf numFmtId="164" fontId="60" fillId="48" borderId="287" xfId="0" applyNumberFormat="1" applyFont="1" applyFill="1" applyBorder="1" applyAlignment="1">
      <alignment horizontal="center" vertical="center"/>
    </xf>
    <xf numFmtId="164" fontId="60" fillId="48" borderId="341" xfId="0" applyNumberFormat="1" applyFont="1" applyFill="1" applyBorder="1" applyAlignment="1">
      <alignment horizontal="center" vertical="center"/>
    </xf>
    <xf numFmtId="164" fontId="60" fillId="48" borderId="359" xfId="1" applyNumberFormat="1" applyFont="1" applyFill="1" applyBorder="1" applyAlignment="1">
      <alignment horizontal="center" vertical="center"/>
    </xf>
    <xf numFmtId="164" fontId="59" fillId="0" borderId="356" xfId="1" applyNumberFormat="1" applyFont="1" applyFill="1" applyBorder="1" applyAlignment="1">
      <alignment horizontal="center" vertical="center"/>
    </xf>
    <xf numFmtId="3" fontId="63" fillId="48" borderId="285" xfId="0" applyNumberFormat="1" applyFont="1" applyFill="1" applyBorder="1" applyAlignment="1">
      <alignment horizontal="center" vertical="center"/>
    </xf>
    <xf numFmtId="3" fontId="63" fillId="48" borderId="366" xfId="0" applyNumberFormat="1" applyFont="1" applyFill="1" applyBorder="1" applyAlignment="1">
      <alignment horizontal="center" vertical="center"/>
    </xf>
    <xf numFmtId="164" fontId="63" fillId="48" borderId="367" xfId="1" applyNumberFormat="1" applyFont="1" applyFill="1" applyBorder="1" applyAlignment="1">
      <alignment horizontal="center" vertical="center"/>
    </xf>
    <xf numFmtId="3" fontId="63" fillId="48" borderId="368" xfId="0" applyNumberFormat="1" applyFont="1" applyFill="1" applyBorder="1" applyAlignment="1">
      <alignment horizontal="center" vertical="center"/>
    </xf>
    <xf numFmtId="164" fontId="63" fillId="48" borderId="369" xfId="1" applyNumberFormat="1" applyFont="1" applyFill="1" applyBorder="1" applyAlignment="1">
      <alignment horizontal="center" vertical="center"/>
    </xf>
    <xf numFmtId="3" fontId="63" fillId="48" borderId="370" xfId="0" applyNumberFormat="1" applyFont="1" applyFill="1" applyBorder="1" applyAlignment="1">
      <alignment horizontal="center" vertical="center"/>
    </xf>
    <xf numFmtId="3" fontId="63" fillId="48" borderId="371" xfId="0" applyNumberFormat="1" applyFont="1" applyFill="1" applyBorder="1" applyAlignment="1">
      <alignment horizontal="center" vertical="center"/>
    </xf>
    <xf numFmtId="164" fontId="63" fillId="48" borderId="372" xfId="1" applyNumberFormat="1" applyFont="1" applyFill="1" applyBorder="1" applyAlignment="1">
      <alignment horizontal="center" vertical="center"/>
    </xf>
    <xf numFmtId="164" fontId="63" fillId="0" borderId="372" xfId="1" applyNumberFormat="1" applyFont="1" applyFill="1" applyBorder="1" applyAlignment="1">
      <alignment horizontal="center" vertical="center"/>
    </xf>
    <xf numFmtId="3" fontId="63" fillId="48" borderId="373" xfId="0" applyNumberFormat="1" applyFont="1" applyFill="1" applyBorder="1" applyAlignment="1">
      <alignment horizontal="center" vertical="center"/>
    </xf>
    <xf numFmtId="9" fontId="63" fillId="0" borderId="374" xfId="1" applyNumberFormat="1" applyFont="1" applyFill="1" applyBorder="1" applyAlignment="1">
      <alignment horizontal="center" vertical="center"/>
    </xf>
    <xf numFmtId="164" fontId="63" fillId="0" borderId="367" xfId="1" applyNumberFormat="1" applyFont="1" applyFill="1" applyBorder="1" applyAlignment="1">
      <alignment horizontal="center" vertical="center"/>
    </xf>
    <xf numFmtId="9" fontId="63" fillId="0" borderId="300" xfId="1" applyNumberFormat="1" applyFont="1" applyFill="1" applyBorder="1" applyAlignment="1">
      <alignment horizontal="center" vertical="center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3" fontId="78" fillId="0" borderId="375" xfId="0" applyNumberFormat="1" applyFont="1" applyFill="1" applyBorder="1" applyAlignment="1">
      <alignment horizontal="center"/>
    </xf>
    <xf numFmtId="3" fontId="78" fillId="0" borderId="350" xfId="0" applyNumberFormat="1" applyFont="1" applyFill="1" applyBorder="1" applyAlignment="1">
      <alignment horizontal="center"/>
    </xf>
    <xf numFmtId="3" fontId="78" fillId="0" borderId="376" xfId="0" applyNumberFormat="1" applyFont="1" applyFill="1" applyBorder="1" applyAlignment="1">
      <alignment horizontal="center"/>
    </xf>
    <xf numFmtId="3" fontId="78" fillId="0" borderId="377" xfId="0" applyNumberFormat="1" applyFont="1" applyFill="1" applyBorder="1" applyAlignment="1">
      <alignment horizontal="center"/>
    </xf>
    <xf numFmtId="3" fontId="78" fillId="0" borderId="315" xfId="0" applyNumberFormat="1" applyFont="1" applyFill="1" applyBorder="1" applyAlignment="1">
      <alignment horizontal="center"/>
    </xf>
    <xf numFmtId="3" fontId="78" fillId="0" borderId="378" xfId="0" applyNumberFormat="1" applyFont="1" applyFill="1" applyBorder="1" applyAlignment="1">
      <alignment horizontal="center"/>
    </xf>
    <xf numFmtId="3" fontId="78" fillId="0" borderId="351" xfId="0" applyNumberFormat="1" applyFont="1" applyFill="1" applyBorder="1" applyAlignment="1">
      <alignment horizontal="center"/>
    </xf>
    <xf numFmtId="3" fontId="78" fillId="0" borderId="316" xfId="0" applyNumberFormat="1" applyFont="1" applyFill="1" applyBorder="1" applyAlignment="1">
      <alignment horizontal="center"/>
    </xf>
    <xf numFmtId="3" fontId="78" fillId="0" borderId="295" xfId="0" applyNumberFormat="1" applyFont="1" applyFill="1" applyBorder="1" applyAlignment="1">
      <alignment horizontal="center"/>
    </xf>
    <xf numFmtId="3" fontId="78" fillId="0" borderId="382" xfId="0" applyNumberFormat="1" applyFont="1" applyFill="1" applyBorder="1" applyAlignment="1">
      <alignment horizontal="center"/>
    </xf>
    <xf numFmtId="3" fontId="78" fillId="0" borderId="383" xfId="0" applyNumberFormat="1" applyFont="1" applyFill="1" applyBorder="1" applyAlignment="1">
      <alignment horizontal="center"/>
    </xf>
    <xf numFmtId="3" fontId="78" fillId="0" borderId="384" xfId="0" applyNumberFormat="1" applyFont="1" applyFill="1" applyBorder="1" applyAlignment="1">
      <alignment horizontal="center"/>
    </xf>
    <xf numFmtId="3" fontId="78" fillId="0" borderId="385" xfId="0" applyNumberFormat="1" applyFont="1" applyFill="1" applyBorder="1" applyAlignment="1">
      <alignment horizontal="center"/>
    </xf>
    <xf numFmtId="3" fontId="78" fillId="0" borderId="386" xfId="0" applyNumberFormat="1" applyFont="1" applyFill="1" applyBorder="1" applyAlignment="1">
      <alignment horizontal="center"/>
    </xf>
    <xf numFmtId="3" fontId="78" fillId="0" borderId="387" xfId="0" applyNumberFormat="1" applyFont="1" applyFill="1" applyBorder="1" applyAlignment="1">
      <alignment horizontal="center"/>
    </xf>
    <xf numFmtId="3" fontId="78" fillId="0" borderId="390" xfId="0" applyNumberFormat="1" applyFont="1" applyFill="1" applyBorder="1" applyAlignment="1">
      <alignment horizontal="center"/>
    </xf>
    <xf numFmtId="3" fontId="78" fillId="0" borderId="391" xfId="0" applyNumberFormat="1" applyFont="1" applyFill="1" applyBorder="1" applyAlignment="1">
      <alignment horizontal="center"/>
    </xf>
    <xf numFmtId="3" fontId="78" fillId="0" borderId="388" xfId="0" applyNumberFormat="1" applyFont="1" applyFill="1" applyBorder="1" applyAlignment="1">
      <alignment horizontal="center"/>
    </xf>
    <xf numFmtId="3" fontId="78" fillId="0" borderId="389" xfId="0" applyNumberFormat="1" applyFont="1" applyFill="1" applyBorder="1" applyAlignment="1">
      <alignment horizontal="center"/>
    </xf>
    <xf numFmtId="3" fontId="78" fillId="0" borderId="392" xfId="0" applyNumberFormat="1" applyFont="1" applyFill="1" applyBorder="1" applyAlignment="1">
      <alignment horizontal="center"/>
    </xf>
    <xf numFmtId="3" fontId="78" fillId="0" borderId="393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Fill="1" applyAlignment="1">
      <alignment wrapText="1"/>
    </xf>
    <xf numFmtId="0" fontId="44" fillId="0" borderId="396" xfId="0" applyFont="1" applyFill="1" applyBorder="1" applyAlignment="1">
      <alignment horizontal="center"/>
    </xf>
    <xf numFmtId="0" fontId="51" fillId="0" borderId="0" xfId="0" applyFont="1" applyFill="1"/>
    <xf numFmtId="0" fontId="49" fillId="0" borderId="0" xfId="0" applyFont="1" applyFill="1"/>
    <xf numFmtId="0" fontId="44" fillId="0" borderId="0" xfId="0" applyFont="1" applyFill="1" applyBorder="1" applyAlignment="1">
      <alignment horizontal="center"/>
    </xf>
    <xf numFmtId="0" fontId="48" fillId="0" borderId="170" xfId="0" applyFont="1" applyFill="1" applyBorder="1" applyAlignment="1">
      <alignment horizontal="center"/>
    </xf>
    <xf numFmtId="0" fontId="44" fillId="0" borderId="0" xfId="0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42" fillId="0" borderId="0" xfId="87" applyFont="1" applyFill="1" applyBorder="1" applyAlignment="1">
      <alignment horizontal="center" vertical="center"/>
    </xf>
    <xf numFmtId="0" fontId="49" fillId="0" borderId="0" xfId="0" applyFont="1" applyFill="1" applyAlignment="1">
      <alignment vertical="center"/>
    </xf>
    <xf numFmtId="0" fontId="51" fillId="0" borderId="0" xfId="0" applyFont="1" applyBorder="1" applyAlignment="1">
      <alignment vertical="center"/>
    </xf>
    <xf numFmtId="0" fontId="75" fillId="48" borderId="57" xfId="0" applyFont="1" applyFill="1" applyBorder="1" applyAlignment="1">
      <alignment horizontal="center" vertical="center"/>
    </xf>
    <xf numFmtId="0" fontId="51" fillId="0" borderId="170" xfId="0" applyFont="1" applyBorder="1" applyAlignment="1">
      <alignment vertical="center"/>
    </xf>
    <xf numFmtId="0" fontId="75" fillId="0" borderId="19" xfId="0" applyFont="1" applyFill="1" applyBorder="1" applyAlignment="1">
      <alignment horizontal="center" vertical="center"/>
    </xf>
    <xf numFmtId="0" fontId="51" fillId="0" borderId="0" xfId="0" applyFont="1" applyFill="1" applyAlignment="1">
      <alignment vertical="center"/>
    </xf>
    <xf numFmtId="0" fontId="43" fillId="0" borderId="0" xfId="0" applyFont="1" applyFill="1" applyBorder="1" applyAlignment="1">
      <alignment horizontal="right" vertical="center"/>
    </xf>
    <xf numFmtId="0" fontId="75" fillId="0" borderId="396" xfId="0" applyFont="1" applyFill="1" applyBorder="1" applyAlignment="1">
      <alignment horizontal="center" vertical="center"/>
    </xf>
    <xf numFmtId="0" fontId="75" fillId="0" borderId="0" xfId="0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vertical="center"/>
    </xf>
    <xf numFmtId="3" fontId="63" fillId="0" borderId="371" xfId="0" applyNumberFormat="1" applyFont="1" applyFill="1" applyBorder="1" applyAlignment="1">
      <alignment horizontal="center" vertical="center"/>
    </xf>
    <xf numFmtId="3" fontId="63" fillId="0" borderId="366" xfId="0" applyNumberFormat="1" applyFont="1" applyFill="1" applyBorder="1" applyAlignment="1">
      <alignment horizontal="center" vertical="center"/>
    </xf>
    <xf numFmtId="1" fontId="0" fillId="44" borderId="4" xfId="54" applyNumberFormat="1" applyFont="1" applyFill="1" applyBorder="1" applyAlignment="1">
      <alignment horizontal="center"/>
    </xf>
    <xf numFmtId="1" fontId="0" fillId="58" borderId="0" xfId="54" applyNumberFormat="1" applyFont="1" applyFill="1" applyBorder="1" applyAlignment="1">
      <alignment horizontal="center"/>
    </xf>
    <xf numFmtId="44" fontId="0" fillId="58" borderId="46" xfId="54" applyFont="1" applyFill="1" applyBorder="1" applyAlignment="1">
      <alignment horizontal="center"/>
    </xf>
    <xf numFmtId="44" fontId="0" fillId="58" borderId="209" xfId="54" applyFont="1" applyFill="1" applyBorder="1" applyAlignment="1">
      <alignment horizontal="center"/>
    </xf>
    <xf numFmtId="3" fontId="74" fillId="64" borderId="106" xfId="0" applyNumberFormat="1" applyFont="1" applyFill="1" applyBorder="1" applyAlignment="1">
      <alignment horizontal="center" vertical="center" wrapText="1"/>
    </xf>
    <xf numFmtId="3" fontId="74" fillId="64" borderId="168" xfId="0" applyNumberFormat="1" applyFont="1" applyFill="1" applyBorder="1" applyAlignment="1">
      <alignment horizontal="center" vertical="center" wrapText="1"/>
    </xf>
    <xf numFmtId="3" fontId="74" fillId="64" borderId="176" xfId="0" applyNumberFormat="1" applyFont="1" applyFill="1" applyBorder="1" applyAlignment="1">
      <alignment horizontal="center" vertical="center" wrapText="1"/>
    </xf>
    <xf numFmtId="3" fontId="74" fillId="64" borderId="178" xfId="0" applyNumberFormat="1" applyFont="1" applyFill="1" applyBorder="1" applyAlignment="1">
      <alignment horizontal="center" vertical="center" wrapText="1"/>
    </xf>
    <xf numFmtId="3" fontId="74" fillId="64" borderId="169" xfId="0" applyNumberFormat="1" applyFont="1" applyFill="1" applyBorder="1" applyAlignment="1">
      <alignment horizontal="center" vertical="center" wrapText="1"/>
    </xf>
    <xf numFmtId="0" fontId="48" fillId="64" borderId="113" xfId="0" applyFont="1" applyFill="1" applyBorder="1" applyAlignment="1">
      <alignment horizontal="center" vertical="center"/>
    </xf>
    <xf numFmtId="3" fontId="48" fillId="64" borderId="117" xfId="0" applyNumberFormat="1" applyFont="1" applyFill="1" applyBorder="1" applyAlignment="1">
      <alignment horizontal="center" vertical="center"/>
    </xf>
    <xf numFmtId="164" fontId="48" fillId="64" borderId="117" xfId="1" applyNumberFormat="1" applyFont="1" applyFill="1" applyBorder="1" applyAlignment="1">
      <alignment horizontal="center" vertical="center"/>
    </xf>
    <xf numFmtId="164" fontId="48" fillId="64" borderId="114" xfId="1" applyNumberFormat="1" applyFont="1" applyFill="1" applyBorder="1" applyAlignment="1">
      <alignment horizontal="center" vertical="center"/>
    </xf>
    <xf numFmtId="0" fontId="9" fillId="64" borderId="113" xfId="0" applyFont="1" applyFill="1" applyBorder="1" applyAlignment="1">
      <alignment horizontal="center" vertical="center"/>
    </xf>
    <xf numFmtId="3" fontId="78" fillId="64" borderId="0" xfId="0" applyNumberFormat="1" applyFont="1" applyFill="1" applyBorder="1" applyAlignment="1">
      <alignment horizontal="center"/>
    </xf>
    <xf numFmtId="3" fontId="78" fillId="64" borderId="68" xfId="0" applyNumberFormat="1" applyFont="1" applyFill="1" applyBorder="1" applyAlignment="1">
      <alignment horizontal="center"/>
    </xf>
    <xf numFmtId="3" fontId="78" fillId="64" borderId="29" xfId="0" applyNumberFormat="1" applyFont="1" applyFill="1" applyBorder="1" applyAlignment="1">
      <alignment horizontal="center"/>
    </xf>
    <xf numFmtId="3" fontId="78" fillId="64" borderId="69" xfId="0" applyNumberFormat="1" applyFont="1" applyFill="1" applyBorder="1" applyAlignment="1">
      <alignment horizontal="center"/>
    </xf>
    <xf numFmtId="3" fontId="78" fillId="64" borderId="76" xfId="0" applyNumberFormat="1" applyFont="1" applyFill="1" applyBorder="1" applyAlignment="1">
      <alignment horizontal="center"/>
    </xf>
    <xf numFmtId="3" fontId="78" fillId="64" borderId="93" xfId="0" applyNumberFormat="1" applyFont="1" applyFill="1" applyBorder="1" applyAlignment="1">
      <alignment horizontal="center"/>
    </xf>
    <xf numFmtId="3" fontId="78" fillId="64" borderId="421" xfId="0" applyNumberFormat="1" applyFont="1" applyFill="1" applyBorder="1" applyAlignment="1">
      <alignment horizontal="center"/>
    </xf>
    <xf numFmtId="3" fontId="78" fillId="64" borderId="420" xfId="0" applyNumberFormat="1" applyFont="1" applyFill="1" applyBorder="1" applyAlignment="1">
      <alignment horizontal="center"/>
    </xf>
    <xf numFmtId="3" fontId="78" fillId="64" borderId="422" xfId="0" applyNumberFormat="1" applyFont="1" applyFill="1" applyBorder="1" applyAlignment="1">
      <alignment horizontal="center"/>
    </xf>
    <xf numFmtId="3" fontId="78" fillId="64" borderId="423" xfId="0" applyNumberFormat="1" applyFont="1" applyFill="1" applyBorder="1" applyAlignment="1">
      <alignment horizontal="center"/>
    </xf>
    <xf numFmtId="3" fontId="78" fillId="64" borderId="424" xfId="0" applyNumberFormat="1" applyFont="1" applyFill="1" applyBorder="1" applyAlignment="1">
      <alignment horizontal="center"/>
    </xf>
    <xf numFmtId="3" fontId="78" fillId="64" borderId="425" xfId="0" applyNumberFormat="1" applyFont="1" applyFill="1" applyBorder="1" applyAlignment="1">
      <alignment horizontal="center"/>
    </xf>
    <xf numFmtId="3" fontId="78" fillId="64" borderId="156" xfId="0" applyNumberFormat="1" applyFont="1" applyFill="1" applyBorder="1" applyAlignment="1">
      <alignment horizontal="center"/>
    </xf>
    <xf numFmtId="3" fontId="78" fillId="64" borderId="426" xfId="0" applyNumberFormat="1" applyFont="1" applyFill="1" applyBorder="1" applyAlignment="1">
      <alignment horizontal="center"/>
    </xf>
    <xf numFmtId="0" fontId="9" fillId="64" borderId="0" xfId="0" applyFont="1" applyFill="1" applyAlignment="1">
      <alignment horizontal="center" vertical="center"/>
    </xf>
    <xf numFmtId="17" fontId="74" fillId="64" borderId="0" xfId="0" applyNumberFormat="1" applyFont="1" applyFill="1" applyAlignment="1">
      <alignment horizontal="center" vertical="center"/>
    </xf>
    <xf numFmtId="0" fontId="74" fillId="64" borderId="0" xfId="0" applyFont="1" applyFill="1" applyAlignment="1">
      <alignment horizontal="center" vertical="center"/>
    </xf>
    <xf numFmtId="17" fontId="9" fillId="64" borderId="0" xfId="0" applyNumberFormat="1" applyFont="1" applyFill="1" applyAlignment="1">
      <alignment horizontal="center"/>
    </xf>
    <xf numFmtId="0" fontId="9" fillId="64" borderId="0" xfId="0" applyFont="1" applyFill="1" applyAlignment="1">
      <alignment horizontal="center"/>
    </xf>
    <xf numFmtId="0" fontId="0" fillId="64" borderId="0" xfId="0" applyFill="1" applyAlignment="1">
      <alignment horizontal="center"/>
    </xf>
    <xf numFmtId="0" fontId="3" fillId="64" borderId="0" xfId="0" applyFont="1" applyFill="1" applyAlignment="1"/>
    <xf numFmtId="0" fontId="9" fillId="64" borderId="0" xfId="0" applyFont="1" applyFill="1" applyAlignment="1"/>
    <xf numFmtId="0" fontId="3" fillId="64" borderId="0" xfId="0" applyFont="1" applyFill="1" applyAlignment="1">
      <alignment horizontal="center" vertical="center"/>
    </xf>
    <xf numFmtId="17" fontId="9" fillId="64" borderId="0" xfId="0" applyNumberFormat="1" applyFont="1" applyFill="1" applyAlignment="1"/>
    <xf numFmtId="0" fontId="3" fillId="64" borderId="0" xfId="0" applyFont="1" applyFill="1" applyAlignment="1">
      <alignment horizontal="right"/>
    </xf>
    <xf numFmtId="0" fontId="9" fillId="64" borderId="0" xfId="0" applyFont="1" applyFill="1" applyAlignment="1">
      <alignment horizontal="right"/>
    </xf>
    <xf numFmtId="0" fontId="74" fillId="64" borderId="0" xfId="0" applyFont="1" applyFill="1" applyAlignment="1">
      <alignment horizontal="right" vertical="center"/>
    </xf>
    <xf numFmtId="0" fontId="0" fillId="64" borderId="0" xfId="0" applyFill="1"/>
    <xf numFmtId="0" fontId="72" fillId="64" borderId="0" xfId="0" applyFont="1" applyFill="1" applyAlignment="1">
      <alignment horizontal="center" vertical="center"/>
    </xf>
    <xf numFmtId="0" fontId="72" fillId="64" borderId="0" xfId="0" applyFont="1" applyFill="1" applyAlignment="1">
      <alignment vertical="center"/>
    </xf>
    <xf numFmtId="0" fontId="43" fillId="64" borderId="0" xfId="0" applyFont="1" applyFill="1"/>
    <xf numFmtId="17" fontId="74" fillId="64" borderId="0" xfId="0" applyNumberFormat="1" applyFont="1" applyFill="1" applyAlignment="1">
      <alignment horizontal="center"/>
    </xf>
    <xf numFmtId="17" fontId="52" fillId="64" borderId="0" xfId="0" applyNumberFormat="1" applyFont="1" applyFill="1" applyAlignment="1">
      <alignment horizontal="center"/>
    </xf>
    <xf numFmtId="0" fontId="52" fillId="64" borderId="0" xfId="0" applyFont="1" applyFill="1" applyAlignment="1">
      <alignment horizontal="center"/>
    </xf>
    <xf numFmtId="0" fontId="52" fillId="64" borderId="0" xfId="0" applyFont="1" applyFill="1" applyBorder="1" applyAlignment="1">
      <alignment horizontal="center"/>
    </xf>
    <xf numFmtId="1" fontId="0" fillId="64" borderId="0" xfId="0" applyNumberFormat="1" applyFill="1" applyAlignment="1">
      <alignment horizontal="center"/>
    </xf>
    <xf numFmtId="164" fontId="0" fillId="64" borderId="0" xfId="1" applyNumberFormat="1" applyFont="1" applyFill="1" applyAlignment="1">
      <alignment horizontal="center"/>
    </xf>
    <xf numFmtId="9" fontId="0" fillId="64" borderId="0" xfId="1" applyFont="1" applyFill="1" applyAlignment="1">
      <alignment horizontal="center"/>
    </xf>
    <xf numFmtId="0" fontId="0" fillId="64" borderId="0" xfId="0" applyFill="1" applyAlignment="1">
      <alignment wrapText="1"/>
    </xf>
    <xf numFmtId="0" fontId="9" fillId="64" borderId="107" xfId="0" applyFont="1" applyFill="1" applyBorder="1" applyAlignment="1">
      <alignment horizontal="center" vertical="center" wrapText="1"/>
    </xf>
    <xf numFmtId="0" fontId="9" fillId="64" borderId="119" xfId="0" applyFont="1" applyFill="1" applyBorder="1" applyAlignment="1">
      <alignment horizontal="center" vertical="center" wrapText="1"/>
    </xf>
    <xf numFmtId="0" fontId="9" fillId="64" borderId="137" xfId="0" applyFont="1" applyFill="1" applyBorder="1" applyAlignment="1">
      <alignment horizontal="center" vertical="center" wrapText="1"/>
    </xf>
    <xf numFmtId="164" fontId="60" fillId="64" borderId="341" xfId="0" applyNumberFormat="1" applyFont="1" applyFill="1" applyBorder="1" applyAlignment="1">
      <alignment horizontal="center" vertical="center"/>
    </xf>
    <xf numFmtId="164" fontId="60" fillId="64" borderId="342" xfId="0" applyNumberFormat="1" applyFont="1" applyFill="1" applyBorder="1" applyAlignment="1">
      <alignment horizontal="center" vertical="center"/>
    </xf>
    <xf numFmtId="164" fontId="9" fillId="64" borderId="72" xfId="1" applyNumberFormat="1" applyFont="1" applyFill="1" applyBorder="1" applyAlignment="1">
      <alignment horizontal="center" vertical="center"/>
    </xf>
    <xf numFmtId="164" fontId="9" fillId="64" borderId="73" xfId="1" applyNumberFormat="1" applyFont="1" applyFill="1" applyBorder="1" applyAlignment="1">
      <alignment horizontal="center" vertical="center"/>
    </xf>
    <xf numFmtId="164" fontId="9" fillId="64" borderId="103" xfId="1" applyNumberFormat="1" applyFont="1" applyFill="1" applyBorder="1" applyAlignment="1">
      <alignment horizontal="center" vertical="center"/>
    </xf>
    <xf numFmtId="0" fontId="9" fillId="64" borderId="167" xfId="0" applyFont="1" applyFill="1" applyBorder="1" applyAlignment="1">
      <alignment horizontal="center" vertical="center"/>
    </xf>
    <xf numFmtId="0" fontId="9" fillId="64" borderId="119" xfId="0" applyFont="1" applyFill="1" applyBorder="1" applyAlignment="1">
      <alignment horizontal="center" vertical="center"/>
    </xf>
    <xf numFmtId="0" fontId="9" fillId="64" borderId="107" xfId="0" applyFont="1" applyFill="1" applyBorder="1" applyAlignment="1">
      <alignment horizontal="center" vertical="center"/>
    </xf>
    <xf numFmtId="164" fontId="9" fillId="64" borderId="117" xfId="1" applyNumberFormat="1" applyFont="1" applyFill="1" applyBorder="1" applyAlignment="1">
      <alignment horizontal="center" vertical="center"/>
    </xf>
    <xf numFmtId="164" fontId="9" fillId="64" borderId="114" xfId="1" applyNumberFormat="1" applyFont="1" applyFill="1" applyBorder="1" applyAlignment="1">
      <alignment horizontal="center" vertical="center"/>
    </xf>
    <xf numFmtId="3" fontId="74" fillId="64" borderId="104" xfId="0" applyNumberFormat="1" applyFont="1" applyFill="1" applyBorder="1" applyAlignment="1">
      <alignment horizontal="center" vertical="center" wrapText="1"/>
    </xf>
    <xf numFmtId="3" fontId="74" fillId="64" borderId="265" xfId="0" applyNumberFormat="1" applyFont="1" applyFill="1" applyBorder="1" applyAlignment="1">
      <alignment horizontal="center" vertical="center" wrapText="1"/>
    </xf>
    <xf numFmtId="3" fontId="74" fillId="64" borderId="266" xfId="0" applyNumberFormat="1" applyFont="1" applyFill="1" applyBorder="1" applyAlignment="1">
      <alignment horizontal="center" vertical="center" wrapText="1"/>
    </xf>
    <xf numFmtId="0" fontId="9" fillId="65" borderId="113" xfId="0" applyFont="1" applyFill="1" applyBorder="1" applyAlignment="1">
      <alignment horizontal="center"/>
    </xf>
    <xf numFmtId="9" fontId="9" fillId="65" borderId="117" xfId="1" applyFont="1" applyFill="1" applyBorder="1" applyAlignment="1">
      <alignment horizontal="center"/>
    </xf>
    <xf numFmtId="0" fontId="52" fillId="65" borderId="113" xfId="0" applyFont="1" applyFill="1" applyBorder="1" applyAlignment="1">
      <alignment horizontal="center"/>
    </xf>
    <xf numFmtId="0" fontId="51" fillId="65" borderId="0" xfId="0" applyFont="1" applyFill="1" applyAlignment="1">
      <alignment vertical="center"/>
    </xf>
    <xf numFmtId="0" fontId="0" fillId="65" borderId="0" xfId="0" applyFill="1" applyAlignment="1">
      <alignment vertical="center"/>
    </xf>
    <xf numFmtId="0" fontId="9" fillId="65" borderId="113" xfId="0" applyFont="1" applyFill="1" applyBorder="1" applyAlignment="1">
      <alignment horizontal="center" vertical="center"/>
    </xf>
    <xf numFmtId="0" fontId="9" fillId="65" borderId="114" xfId="0" applyFont="1" applyFill="1" applyBorder="1" applyAlignment="1">
      <alignment horizontal="center" vertical="center"/>
    </xf>
    <xf numFmtId="0" fontId="9" fillId="65" borderId="109" xfId="0" applyFont="1" applyFill="1" applyBorder="1" applyAlignment="1">
      <alignment vertical="center"/>
    </xf>
    <xf numFmtId="3" fontId="74" fillId="65" borderId="108" xfId="0" applyNumberFormat="1" applyFont="1" applyFill="1" applyBorder="1" applyAlignment="1">
      <alignment horizontal="center" vertical="center" wrapText="1"/>
    </xf>
    <xf numFmtId="3" fontId="74" fillId="65" borderId="301" xfId="0" applyNumberFormat="1" applyFont="1" applyFill="1" applyBorder="1" applyAlignment="1">
      <alignment horizontal="center" vertical="center" wrapText="1"/>
    </xf>
    <xf numFmtId="0" fontId="77" fillId="65" borderId="113" xfId="0" applyFont="1" applyFill="1" applyBorder="1" applyAlignment="1">
      <alignment vertical="center"/>
    </xf>
    <xf numFmtId="3" fontId="77" fillId="65" borderId="117" xfId="0" applyNumberFormat="1" applyFont="1" applyFill="1" applyBorder="1" applyAlignment="1">
      <alignment horizontal="center" vertical="center"/>
    </xf>
    <xf numFmtId="164" fontId="77" fillId="65" borderId="117" xfId="1" applyNumberFormat="1" applyFont="1" applyFill="1" applyBorder="1" applyAlignment="1">
      <alignment horizontal="center" vertical="center"/>
    </xf>
    <xf numFmtId="9" fontId="77" fillId="65" borderId="117" xfId="1" applyFont="1" applyFill="1" applyBorder="1" applyAlignment="1">
      <alignment horizontal="center" vertical="center"/>
    </xf>
    <xf numFmtId="10" fontId="77" fillId="65" borderId="117" xfId="1" applyNumberFormat="1" applyFont="1" applyFill="1" applyBorder="1" applyAlignment="1">
      <alignment horizontal="center" vertical="center"/>
    </xf>
    <xf numFmtId="164" fontId="77" fillId="65" borderId="114" xfId="1" applyNumberFormat="1" applyFont="1" applyFill="1" applyBorder="1" applyAlignment="1">
      <alignment horizontal="center" vertical="center"/>
    </xf>
    <xf numFmtId="0" fontId="52" fillId="65" borderId="109" xfId="0" applyFont="1" applyFill="1" applyBorder="1" applyAlignment="1">
      <alignment horizontal="center" vertical="center"/>
    </xf>
    <xf numFmtId="0" fontId="76" fillId="65" borderId="110" xfId="0" applyFont="1" applyFill="1" applyBorder="1" applyAlignment="1">
      <alignment horizontal="center" vertical="center"/>
    </xf>
    <xf numFmtId="0" fontId="77" fillId="65" borderId="114" xfId="0" applyFont="1" applyFill="1" applyBorder="1" applyAlignment="1">
      <alignment horizontal="center"/>
    </xf>
    <xf numFmtId="0" fontId="9" fillId="65" borderId="120" xfId="0" applyFont="1" applyFill="1" applyBorder="1" applyAlignment="1">
      <alignment horizontal="center" vertical="center" wrapText="1"/>
    </xf>
    <xf numFmtId="0" fontId="9" fillId="65" borderId="121" xfId="0" applyFont="1" applyFill="1" applyBorder="1" applyAlignment="1">
      <alignment horizontal="center" vertical="center" wrapText="1"/>
    </xf>
    <xf numFmtId="0" fontId="9" fillId="65" borderId="286" xfId="0" applyFont="1" applyFill="1" applyBorder="1" applyAlignment="1">
      <alignment horizontal="center" vertical="center" wrapText="1"/>
    </xf>
    <xf numFmtId="9" fontId="9" fillId="65" borderId="117" xfId="1" applyNumberFormat="1" applyFont="1" applyFill="1" applyBorder="1" applyAlignment="1">
      <alignment horizontal="center"/>
    </xf>
    <xf numFmtId="0" fontId="9" fillId="65" borderId="120" xfId="0" applyFont="1" applyFill="1" applyBorder="1" applyAlignment="1">
      <alignment horizontal="center" vertical="center"/>
    </xf>
    <xf numFmtId="0" fontId="9" fillId="65" borderId="121" xfId="0" applyFont="1" applyFill="1" applyBorder="1" applyAlignment="1">
      <alignment horizontal="center" vertical="center"/>
    </xf>
    <xf numFmtId="0" fontId="9" fillId="65" borderId="286" xfId="0" applyFont="1" applyFill="1" applyBorder="1" applyAlignment="1">
      <alignment horizontal="center" vertical="center"/>
    </xf>
    <xf numFmtId="164" fontId="9" fillId="65" borderId="117" xfId="1" applyNumberFormat="1" applyFont="1" applyFill="1" applyBorder="1" applyAlignment="1">
      <alignment horizontal="center"/>
    </xf>
    <xf numFmtId="0" fontId="9" fillId="65" borderId="273" xfId="0" applyFont="1" applyFill="1" applyBorder="1" applyAlignment="1">
      <alignment horizontal="center" vertical="center" wrapText="1"/>
    </xf>
    <xf numFmtId="0" fontId="9" fillId="65" borderId="273" xfId="0" applyFont="1" applyFill="1" applyBorder="1" applyAlignment="1">
      <alignment horizontal="center" vertical="center"/>
    </xf>
    <xf numFmtId="0" fontId="9" fillId="65" borderId="274" xfId="0" applyFont="1" applyFill="1" applyBorder="1" applyAlignment="1">
      <alignment horizontal="center" vertical="center"/>
    </xf>
    <xf numFmtId="0" fontId="9" fillId="65" borderId="71" xfId="0" applyFont="1" applyFill="1" applyBorder="1"/>
    <xf numFmtId="1" fontId="9" fillId="65" borderId="72" xfId="1" applyNumberFormat="1" applyFont="1" applyFill="1" applyBorder="1" applyAlignment="1">
      <alignment horizontal="center"/>
    </xf>
    <xf numFmtId="0" fontId="91" fillId="65" borderId="76" xfId="0" applyFont="1" applyFill="1" applyBorder="1" applyAlignment="1">
      <alignment horizontal="center"/>
    </xf>
    <xf numFmtId="0" fontId="91" fillId="65" borderId="0" xfId="68" applyFont="1" applyFill="1" applyBorder="1" applyAlignment="1">
      <alignment horizontal="center" wrapText="1"/>
    </xf>
    <xf numFmtId="0" fontId="91" fillId="65" borderId="0" xfId="68" applyFont="1" applyFill="1" applyBorder="1" applyAlignment="1">
      <alignment horizontal="center"/>
    </xf>
    <xf numFmtId="0" fontId="91" fillId="65" borderId="68" xfId="68" applyFont="1" applyFill="1" applyBorder="1" applyAlignment="1">
      <alignment horizontal="center" wrapText="1"/>
    </xf>
    <xf numFmtId="0" fontId="30" fillId="65" borderId="0" xfId="0" applyFont="1" applyFill="1" applyAlignment="1">
      <alignment horizontal="center" vertical="center"/>
    </xf>
    <xf numFmtId="0" fontId="31" fillId="65" borderId="0" xfId="0" applyFont="1" applyFill="1" applyAlignment="1">
      <alignment horizontal="center" wrapText="1"/>
    </xf>
    <xf numFmtId="0" fontId="28" fillId="65" borderId="0" xfId="0" applyFont="1" applyFill="1" applyAlignment="1">
      <alignment vertical="center"/>
    </xf>
    <xf numFmtId="0" fontId="31" fillId="65" borderId="0" xfId="0" applyFont="1" applyFill="1" applyAlignment="1">
      <alignment vertical="center" wrapText="1"/>
    </xf>
    <xf numFmtId="0" fontId="78" fillId="65" borderId="282" xfId="68" applyFont="1" applyFill="1" applyBorder="1" applyAlignment="1">
      <alignment vertical="center" wrapText="1"/>
    </xf>
    <xf numFmtId="9" fontId="78" fillId="65" borderId="282" xfId="68" applyNumberFormat="1" applyFont="1" applyFill="1" applyBorder="1" applyAlignment="1">
      <alignment horizontal="center" vertical="center"/>
    </xf>
    <xf numFmtId="0" fontId="85" fillId="65" borderId="282" xfId="68" applyFont="1" applyFill="1" applyBorder="1" applyAlignment="1">
      <alignment horizontal="center" vertical="center"/>
    </xf>
    <xf numFmtId="0" fontId="78" fillId="65" borderId="282" xfId="68" applyFont="1" applyFill="1" applyBorder="1" applyAlignment="1">
      <alignment horizontal="center" vertical="center"/>
    </xf>
    <xf numFmtId="0" fontId="78" fillId="65" borderId="282" xfId="68" applyFont="1" applyFill="1" applyBorder="1" applyAlignment="1">
      <alignment vertical="center"/>
    </xf>
    <xf numFmtId="0" fontId="79" fillId="65" borderId="282" xfId="68" applyFont="1" applyFill="1" applyBorder="1" applyAlignment="1">
      <alignment horizontal="left" vertical="center" wrapText="1"/>
    </xf>
    <xf numFmtId="0" fontId="79" fillId="65" borderId="282" xfId="68" applyFont="1" applyFill="1" applyBorder="1" applyAlignment="1">
      <alignment horizontal="center" vertical="center"/>
    </xf>
    <xf numFmtId="0" fontId="87" fillId="65" borderId="282" xfId="68" applyFont="1" applyFill="1" applyBorder="1" applyAlignment="1">
      <alignment horizontal="center" vertical="center"/>
    </xf>
    <xf numFmtId="0" fontId="79" fillId="65" borderId="282" xfId="68" applyFont="1" applyFill="1" applyBorder="1" applyAlignment="1">
      <alignment vertical="center"/>
    </xf>
    <xf numFmtId="0" fontId="78" fillId="65" borderId="44" xfId="68" applyFont="1" applyFill="1" applyBorder="1" applyAlignment="1">
      <alignment horizontal="left" vertical="center" wrapText="1"/>
    </xf>
    <xf numFmtId="0" fontId="78" fillId="65" borderId="44" xfId="68" applyFont="1" applyFill="1" applyBorder="1" applyAlignment="1">
      <alignment horizontal="center" vertical="center"/>
    </xf>
    <xf numFmtId="0" fontId="85" fillId="65" borderId="44" xfId="68" applyFont="1" applyFill="1" applyBorder="1" applyAlignment="1">
      <alignment horizontal="center" vertical="center"/>
    </xf>
    <xf numFmtId="0" fontId="78" fillId="65" borderId="44" xfId="68" applyFont="1" applyFill="1" applyBorder="1" applyAlignment="1">
      <alignment vertical="center"/>
    </xf>
    <xf numFmtId="0" fontId="78" fillId="65" borderId="282" xfId="68" applyFont="1" applyFill="1" applyBorder="1" applyAlignment="1">
      <alignment horizontal="left" vertical="center" wrapText="1"/>
    </xf>
    <xf numFmtId="0" fontId="0" fillId="65" borderId="0" xfId="0" applyFill="1" applyAlignment="1">
      <alignment vertical="center" wrapText="1"/>
    </xf>
    <xf numFmtId="0" fontId="0" fillId="65" borderId="0" xfId="0" applyFill="1" applyAlignment="1">
      <alignment horizontal="center" vertical="center"/>
    </xf>
    <xf numFmtId="9" fontId="28" fillId="65" borderId="0" xfId="1" applyFont="1" applyFill="1" applyAlignment="1">
      <alignment vertical="center"/>
    </xf>
    <xf numFmtId="0" fontId="28" fillId="65" borderId="0" xfId="0" applyFont="1" applyFill="1" applyBorder="1" applyAlignment="1">
      <alignment vertical="center"/>
    </xf>
    <xf numFmtId="1" fontId="0" fillId="65" borderId="0" xfId="0" applyNumberFormat="1" applyFill="1" applyBorder="1" applyAlignment="1">
      <alignment horizontal="center"/>
    </xf>
    <xf numFmtId="0" fontId="51" fillId="65" borderId="0" xfId="0" applyFont="1" applyFill="1"/>
    <xf numFmtId="0" fontId="49" fillId="65" borderId="0" xfId="0" applyFont="1" applyFill="1"/>
    <xf numFmtId="0" fontId="9" fillId="58" borderId="33" xfId="0" applyFont="1" applyFill="1" applyBorder="1"/>
    <xf numFmtId="0" fontId="9" fillId="58" borderId="33" xfId="0" applyFont="1" applyFill="1" applyBorder="1" applyAlignment="1"/>
    <xf numFmtId="1" fontId="0" fillId="5" borderId="56" xfId="0" applyNumberFormat="1" applyFill="1" applyBorder="1" applyAlignment="1">
      <alignment horizontal="center"/>
    </xf>
    <xf numFmtId="0" fontId="77" fillId="65" borderId="427" xfId="0" applyFont="1" applyFill="1" applyBorder="1" applyAlignment="1">
      <alignment vertical="center"/>
    </xf>
    <xf numFmtId="9" fontId="55" fillId="0" borderId="430" xfId="0" applyNumberFormat="1" applyFont="1" applyBorder="1" applyAlignment="1">
      <alignment horizontal="center" vertical="center"/>
    </xf>
    <xf numFmtId="9" fontId="55" fillId="0" borderId="431" xfId="0" applyNumberFormat="1" applyFont="1" applyBorder="1" applyAlignment="1">
      <alignment horizontal="center" vertical="center"/>
    </xf>
    <xf numFmtId="9" fontId="55" fillId="0" borderId="432" xfId="0" applyNumberFormat="1" applyFont="1" applyBorder="1" applyAlignment="1">
      <alignment horizontal="center" vertical="center"/>
    </xf>
    <xf numFmtId="17" fontId="55" fillId="0" borderId="433" xfId="0" applyNumberFormat="1" applyFont="1" applyBorder="1" applyAlignment="1">
      <alignment horizontal="center" vertical="center"/>
    </xf>
    <xf numFmtId="17" fontId="55" fillId="0" borderId="434" xfId="0" applyNumberFormat="1" applyFont="1" applyBorder="1" applyAlignment="1">
      <alignment horizontal="center" vertical="center"/>
    </xf>
    <xf numFmtId="17" fontId="55" fillId="0" borderId="435" xfId="0" applyNumberFormat="1" applyFont="1" applyBorder="1" applyAlignment="1">
      <alignment horizontal="center" vertical="center"/>
    </xf>
    <xf numFmtId="10" fontId="63" fillId="48" borderId="367" xfId="1" applyNumberFormat="1" applyFont="1" applyFill="1" applyBorder="1" applyAlignment="1">
      <alignment horizontal="center" vertical="center"/>
    </xf>
    <xf numFmtId="10" fontId="63" fillId="48" borderId="369" xfId="1" applyNumberFormat="1" applyFont="1" applyFill="1" applyBorder="1" applyAlignment="1">
      <alignment horizontal="center" vertical="center"/>
    </xf>
    <xf numFmtId="0" fontId="9" fillId="65" borderId="109" xfId="0" applyFont="1" applyFill="1" applyBorder="1" applyAlignment="1">
      <alignment horizontal="center" vertical="center"/>
    </xf>
    <xf numFmtId="0" fontId="9" fillId="65" borderId="110" xfId="0" applyFont="1" applyFill="1" applyBorder="1" applyAlignment="1">
      <alignment horizontal="center" vertical="center"/>
    </xf>
    <xf numFmtId="0" fontId="117" fillId="0" borderId="0" xfId="0" applyFont="1" applyBorder="1"/>
    <xf numFmtId="0" fontId="103" fillId="0" borderId="0" xfId="0" applyFont="1" applyBorder="1" applyAlignment="1"/>
    <xf numFmtId="0" fontId="128" fillId="0" borderId="0" xfId="0" applyFont="1" applyBorder="1" applyAlignment="1"/>
    <xf numFmtId="0" fontId="129" fillId="0" borderId="0" xfId="0" applyFont="1" applyBorder="1"/>
    <xf numFmtId="0" fontId="130" fillId="64" borderId="167" xfId="0" applyFont="1" applyFill="1" applyBorder="1" applyAlignment="1">
      <alignment horizontal="center" vertical="center"/>
    </xf>
    <xf numFmtId="0" fontId="130" fillId="64" borderId="119" xfId="0" applyFont="1" applyFill="1" applyBorder="1" applyAlignment="1">
      <alignment horizontal="center" vertical="center"/>
    </xf>
    <xf numFmtId="0" fontId="130" fillId="64" borderId="119" xfId="0" applyFont="1" applyFill="1" applyBorder="1" applyAlignment="1">
      <alignment horizontal="center" vertical="center" wrapText="1"/>
    </xf>
    <xf numFmtId="0" fontId="130" fillId="64" borderId="107" xfId="0" applyFont="1" applyFill="1" applyBorder="1" applyAlignment="1">
      <alignment horizontal="center" vertical="center" wrapText="1"/>
    </xf>
    <xf numFmtId="0" fontId="130" fillId="64" borderId="137" xfId="0" applyFont="1" applyFill="1" applyBorder="1" applyAlignment="1">
      <alignment horizontal="center" vertical="center" wrapText="1"/>
    </xf>
    <xf numFmtId="0" fontId="9" fillId="64" borderId="469" xfId="0" applyFont="1" applyFill="1" applyBorder="1" applyAlignment="1">
      <alignment horizontal="center" vertical="center"/>
    </xf>
    <xf numFmtId="0" fontId="71" fillId="64" borderId="470" xfId="0" applyFont="1" applyFill="1" applyBorder="1" applyAlignment="1">
      <alignment horizontal="center" vertical="center"/>
    </xf>
    <xf numFmtId="0" fontId="131" fillId="0" borderId="471" xfId="0" applyFont="1" applyBorder="1" applyAlignment="1">
      <alignment vertical="center"/>
    </xf>
    <xf numFmtId="0" fontId="0" fillId="0" borderId="472" xfId="0" applyBorder="1" applyAlignment="1">
      <alignment horizontal="center" vertical="center"/>
    </xf>
    <xf numFmtId="44" fontId="0" fillId="0" borderId="472" xfId="54" applyFont="1" applyBorder="1" applyAlignment="1">
      <alignment horizontal="center" vertical="center"/>
    </xf>
    <xf numFmtId="0" fontId="131" fillId="0" borderId="471" xfId="0" applyFont="1" applyFill="1" applyBorder="1" applyAlignment="1">
      <alignment vertical="center"/>
    </xf>
    <xf numFmtId="0" fontId="131" fillId="0" borderId="473" xfId="0" applyFont="1" applyBorder="1" applyAlignment="1">
      <alignment vertical="center"/>
    </xf>
    <xf numFmtId="0" fontId="0" fillId="0" borderId="474" xfId="0" applyBorder="1" applyAlignment="1">
      <alignment horizontal="center" vertical="center"/>
    </xf>
    <xf numFmtId="0" fontId="52" fillId="64" borderId="475" xfId="0" applyFont="1" applyFill="1" applyBorder="1" applyAlignment="1">
      <alignment horizontal="center" vertical="center"/>
    </xf>
    <xf numFmtId="0" fontId="0" fillId="0" borderId="476" xfId="0" applyFill="1" applyBorder="1" applyAlignment="1">
      <alignment horizontal="center" vertical="center"/>
    </xf>
    <xf numFmtId="17" fontId="131" fillId="0" borderId="111" xfId="0" applyNumberFormat="1" applyFont="1" applyFill="1" applyBorder="1" applyAlignment="1">
      <alignment horizontal="center" vertical="center"/>
    </xf>
    <xf numFmtId="44" fontId="132" fillId="0" borderId="116" xfId="0" applyNumberFormat="1" applyFont="1" applyBorder="1" applyAlignment="1">
      <alignment horizontal="right" vertical="center"/>
    </xf>
    <xf numFmtId="0" fontId="71" fillId="64" borderId="113" xfId="0" applyFont="1" applyFill="1" applyBorder="1" applyAlignment="1">
      <alignment horizontal="center" vertical="center"/>
    </xf>
    <xf numFmtId="44" fontId="71" fillId="64" borderId="117" xfId="0" applyNumberFormat="1" applyFont="1" applyFill="1" applyBorder="1" applyAlignment="1">
      <alignment horizontal="center" vertical="center"/>
    </xf>
    <xf numFmtId="44" fontId="71" fillId="64" borderId="114" xfId="0" applyNumberFormat="1" applyFont="1" applyFill="1" applyBorder="1" applyAlignment="1">
      <alignment horizontal="center" vertical="center"/>
    </xf>
    <xf numFmtId="0" fontId="71" fillId="64" borderId="109" xfId="0" applyFont="1" applyFill="1" applyBorder="1" applyAlignment="1">
      <alignment wrapText="1"/>
    </xf>
    <xf numFmtId="17" fontId="71" fillId="64" borderId="115" xfId="0" applyNumberFormat="1" applyFont="1" applyFill="1" applyBorder="1" applyAlignment="1">
      <alignment horizontal="center" vertical="center"/>
    </xf>
    <xf numFmtId="0" fontId="131" fillId="0" borderId="111" xfId="0" applyFont="1" applyBorder="1" applyAlignment="1">
      <alignment wrapText="1"/>
    </xf>
    <xf numFmtId="0" fontId="132" fillId="0" borderId="116" xfId="0" applyFont="1" applyBorder="1" applyAlignment="1">
      <alignment horizontal="center" vertical="center"/>
    </xf>
    <xf numFmtId="0" fontId="132" fillId="0" borderId="116" xfId="0" applyFont="1" applyFill="1" applyBorder="1" applyAlignment="1">
      <alignment horizontal="center" vertical="center"/>
    </xf>
    <xf numFmtId="0" fontId="132" fillId="0" borderId="112" xfId="0" applyFont="1" applyBorder="1" applyAlignment="1">
      <alignment horizontal="center" vertical="center"/>
    </xf>
    <xf numFmtId="0" fontId="131" fillId="0" borderId="116" xfId="0" applyFont="1" applyBorder="1" applyAlignment="1">
      <alignment horizontal="center" vertical="center"/>
    </xf>
    <xf numFmtId="164" fontId="132" fillId="0" borderId="116" xfId="0" applyNumberFormat="1" applyFont="1" applyBorder="1" applyAlignment="1">
      <alignment horizontal="center" vertical="center"/>
    </xf>
    <xf numFmtId="164" fontId="132" fillId="0" borderId="116" xfId="1" applyNumberFormat="1" applyFont="1" applyBorder="1" applyAlignment="1">
      <alignment horizontal="center" vertical="center"/>
    </xf>
    <xf numFmtId="10" fontId="132" fillId="0" borderId="116" xfId="0" applyNumberFormat="1" applyFont="1" applyBorder="1" applyAlignment="1">
      <alignment horizontal="center" vertical="center"/>
    </xf>
    <xf numFmtId="164" fontId="132" fillId="48" borderId="116" xfId="1" applyNumberFormat="1" applyFont="1" applyFill="1" applyBorder="1" applyAlignment="1">
      <alignment horizontal="center" vertical="center"/>
    </xf>
    <xf numFmtId="0" fontId="131" fillId="0" borderId="111" xfId="0" applyFont="1" applyBorder="1" applyAlignment="1">
      <alignment horizontal="left" wrapText="1"/>
    </xf>
    <xf numFmtId="0" fontId="131" fillId="0" borderId="111" xfId="0" applyFont="1" applyBorder="1" applyAlignment="1">
      <alignment horizontal="right" wrapText="1"/>
    </xf>
    <xf numFmtId="9" fontId="132" fillId="0" borderId="116" xfId="1" applyFont="1" applyBorder="1" applyAlignment="1">
      <alignment horizontal="center" vertical="center"/>
    </xf>
    <xf numFmtId="9" fontId="132" fillId="0" borderId="112" xfId="1" applyFont="1" applyBorder="1" applyAlignment="1">
      <alignment horizontal="center" vertical="center"/>
    </xf>
    <xf numFmtId="0" fontId="135" fillId="64" borderId="113" xfId="0" applyFont="1" applyFill="1" applyBorder="1" applyAlignment="1">
      <alignment wrapText="1"/>
    </xf>
    <xf numFmtId="0" fontId="135" fillId="64" borderId="117" xfId="0" applyFont="1" applyFill="1" applyBorder="1" applyAlignment="1">
      <alignment horizontal="center" vertical="center"/>
    </xf>
    <xf numFmtId="0" fontId="135" fillId="64" borderId="114" xfId="0" applyFont="1" applyFill="1" applyBorder="1" applyAlignment="1">
      <alignment horizontal="center" vertical="center"/>
    </xf>
    <xf numFmtId="0" fontId="135" fillId="0" borderId="0" xfId="0" applyFont="1"/>
    <xf numFmtId="0" fontId="135" fillId="0" borderId="0" xfId="0" applyFont="1" applyAlignment="1">
      <alignment horizontal="center" vertical="center"/>
    </xf>
    <xf numFmtId="171" fontId="71" fillId="64" borderId="115" xfId="0" applyNumberFormat="1" applyFont="1" applyFill="1" applyBorder="1" applyAlignment="1">
      <alignment horizontal="center" vertical="center"/>
    </xf>
    <xf numFmtId="1" fontId="132" fillId="0" borderId="116" xfId="0" applyNumberFormat="1" applyFont="1" applyBorder="1" applyAlignment="1">
      <alignment horizontal="center" vertical="center"/>
    </xf>
    <xf numFmtId="1" fontId="132" fillId="0" borderId="112" xfId="0" applyNumberFormat="1" applyFont="1" applyBorder="1" applyAlignment="1">
      <alignment horizontal="center" vertical="center"/>
    </xf>
    <xf numFmtId="0" fontId="135" fillId="64" borderId="113" xfId="0" applyFont="1" applyFill="1" applyBorder="1" applyAlignment="1">
      <alignment horizontal="right" wrapText="1"/>
    </xf>
    <xf numFmtId="165" fontId="132" fillId="0" borderId="116" xfId="0" applyNumberFormat="1" applyFont="1" applyBorder="1" applyAlignment="1">
      <alignment horizontal="center" vertical="center"/>
    </xf>
    <xf numFmtId="165" fontId="132" fillId="0" borderId="112" xfId="0" applyNumberFormat="1" applyFont="1" applyFill="1" applyBorder="1" applyAlignment="1">
      <alignment horizontal="center" vertical="center"/>
    </xf>
    <xf numFmtId="165" fontId="132" fillId="48" borderId="116" xfId="0" applyNumberFormat="1" applyFont="1" applyFill="1" applyBorder="1" applyAlignment="1">
      <alignment horizontal="center" vertical="center"/>
    </xf>
    <xf numFmtId="0" fontId="131" fillId="0" borderId="111" xfId="0" applyFont="1" applyBorder="1" applyAlignment="1">
      <alignment vertical="center" wrapText="1"/>
    </xf>
    <xf numFmtId="165" fontId="132" fillId="0" borderId="112" xfId="0" applyNumberFormat="1" applyFont="1" applyBorder="1" applyAlignment="1">
      <alignment horizontal="center" vertical="center"/>
    </xf>
    <xf numFmtId="0" fontId="135" fillId="64" borderId="113" xfId="0" applyFont="1" applyFill="1" applyBorder="1" applyAlignment="1">
      <alignment horizontal="right"/>
    </xf>
    <xf numFmtId="165" fontId="135" fillId="64" borderId="117" xfId="0" applyNumberFormat="1" applyFont="1" applyFill="1" applyBorder="1" applyAlignment="1">
      <alignment horizontal="center" vertical="center"/>
    </xf>
    <xf numFmtId="165" fontId="135" fillId="64" borderId="114" xfId="0" applyNumberFormat="1" applyFont="1" applyFill="1" applyBorder="1" applyAlignment="1">
      <alignment horizontal="center" vertical="center"/>
    </xf>
    <xf numFmtId="0" fontId="71" fillId="64" borderId="115" xfId="0" applyFont="1" applyFill="1" applyBorder="1" applyAlignment="1">
      <alignment horizontal="center" vertical="center"/>
    </xf>
    <xf numFmtId="0" fontId="131" fillId="0" borderId="111" xfId="0" applyFont="1" applyBorder="1"/>
    <xf numFmtId="44" fontId="132" fillId="0" borderId="116" xfId="54" applyNumberFormat="1" applyFont="1" applyBorder="1" applyAlignment="1">
      <alignment horizontal="center" vertical="center"/>
    </xf>
    <xf numFmtId="44" fontId="132" fillId="0" borderId="116" xfId="54" applyFont="1" applyBorder="1" applyAlignment="1">
      <alignment horizontal="center" vertical="center"/>
    </xf>
    <xf numFmtId="8" fontId="132" fillId="0" borderId="116" xfId="54" applyNumberFormat="1" applyFont="1" applyBorder="1" applyAlignment="1">
      <alignment horizontal="center" vertical="center"/>
    </xf>
    <xf numFmtId="44" fontId="132" fillId="0" borderId="116" xfId="54" applyNumberFormat="1" applyFont="1" applyFill="1" applyBorder="1" applyAlignment="1">
      <alignment horizontal="center" vertical="center"/>
    </xf>
    <xf numFmtId="44" fontId="132" fillId="0" borderId="112" xfId="54" applyNumberFormat="1" applyFont="1" applyFill="1" applyBorder="1" applyAlignment="1">
      <alignment horizontal="center" vertical="center"/>
    </xf>
    <xf numFmtId="7" fontId="132" fillId="0" borderId="116" xfId="54" applyNumberFormat="1" applyFont="1" applyBorder="1" applyAlignment="1">
      <alignment horizontal="center" vertical="center"/>
    </xf>
    <xf numFmtId="44" fontId="132" fillId="47" borderId="116" xfId="54" applyNumberFormat="1" applyFont="1" applyFill="1" applyBorder="1" applyAlignment="1">
      <alignment horizontal="center" vertical="center"/>
    </xf>
    <xf numFmtId="44" fontId="132" fillId="0" borderId="116" xfId="54" applyFont="1" applyFill="1" applyBorder="1" applyAlignment="1">
      <alignment horizontal="center" vertical="center"/>
    </xf>
    <xf numFmtId="44" fontId="132" fillId="0" borderId="112" xfId="54" applyFont="1" applyFill="1" applyBorder="1" applyAlignment="1">
      <alignment horizontal="center" vertical="center"/>
    </xf>
    <xf numFmtId="44" fontId="132" fillId="47" borderId="116" xfId="54" applyFont="1" applyFill="1" applyBorder="1" applyAlignment="1">
      <alignment horizontal="center" vertical="center"/>
    </xf>
    <xf numFmtId="44" fontId="132" fillId="0" borderId="116" xfId="54" applyNumberFormat="1" applyFont="1" applyBorder="1" applyAlignment="1"/>
    <xf numFmtId="2" fontId="132" fillId="0" borderId="116" xfId="54" applyNumberFormat="1" applyFont="1" applyBorder="1" applyAlignment="1">
      <alignment horizontal="center" vertical="center"/>
    </xf>
    <xf numFmtId="2" fontId="132" fillId="47" borderId="116" xfId="54" applyNumberFormat="1" applyFont="1" applyFill="1" applyBorder="1" applyAlignment="1">
      <alignment horizontal="center" vertical="center"/>
    </xf>
    <xf numFmtId="2" fontId="132" fillId="0" borderId="112" xfId="54" applyNumberFormat="1" applyFont="1" applyBorder="1" applyAlignment="1">
      <alignment horizontal="center" vertical="center"/>
    </xf>
    <xf numFmtId="0" fontId="135" fillId="0" borderId="0" xfId="0" applyFont="1" applyAlignment="1">
      <alignment vertical="center"/>
    </xf>
    <xf numFmtId="0" fontId="69" fillId="65" borderId="74" xfId="0" applyFont="1" applyFill="1" applyBorder="1" applyAlignment="1">
      <alignment horizontal="center" vertical="center"/>
    </xf>
    <xf numFmtId="0" fontId="69" fillId="65" borderId="75" xfId="0" applyFont="1" applyFill="1" applyBorder="1" applyAlignment="1">
      <alignment horizontal="center" vertical="center"/>
    </xf>
    <xf numFmtId="0" fontId="107" fillId="0" borderId="77" xfId="0" applyFont="1" applyBorder="1"/>
    <xf numFmtId="0" fontId="107" fillId="0" borderId="70" xfId="0" applyFont="1" applyBorder="1"/>
    <xf numFmtId="0" fontId="107" fillId="0" borderId="79" xfId="0" applyFont="1" applyBorder="1"/>
    <xf numFmtId="0" fontId="107" fillId="0" borderId="81" xfId="0" applyFont="1" applyFill="1" applyBorder="1"/>
    <xf numFmtId="0" fontId="3" fillId="48" borderId="0" xfId="0" applyFont="1" applyFill="1" applyBorder="1"/>
    <xf numFmtId="0" fontId="3" fillId="48" borderId="0" xfId="0" applyFont="1" applyFill="1" applyBorder="1" applyAlignment="1">
      <alignment horizontal="left"/>
    </xf>
    <xf numFmtId="0" fontId="111" fillId="48" borderId="0" xfId="0" applyFont="1" applyFill="1" applyBorder="1"/>
    <xf numFmtId="0" fontId="111" fillId="48" borderId="0" xfId="0" applyFont="1" applyFill="1" applyBorder="1" applyAlignment="1">
      <alignment horizontal="center"/>
    </xf>
    <xf numFmtId="0" fontId="0" fillId="48" borderId="0" xfId="0" applyFill="1" applyBorder="1"/>
    <xf numFmtId="0" fontId="0" fillId="48" borderId="0" xfId="0" applyNumberFormat="1" applyFill="1" applyBorder="1" applyAlignment="1">
      <alignment horizontal="center"/>
    </xf>
    <xf numFmtId="165" fontId="0" fillId="48" borderId="0" xfId="0" applyNumberFormat="1" applyFill="1" applyBorder="1" applyAlignment="1">
      <alignment horizontal="center"/>
    </xf>
    <xf numFmtId="0" fontId="0" fillId="48" borderId="0" xfId="54" applyNumberFormat="1" applyFont="1" applyFill="1" applyBorder="1" applyAlignment="1">
      <alignment horizontal="center"/>
    </xf>
    <xf numFmtId="165" fontId="0" fillId="48" borderId="0" xfId="54" applyNumberFormat="1" applyFont="1" applyFill="1" applyBorder="1" applyAlignment="1">
      <alignment horizontal="center"/>
    </xf>
    <xf numFmtId="1" fontId="0" fillId="48" borderId="0" xfId="54" applyNumberFormat="1" applyFont="1" applyFill="1" applyBorder="1" applyAlignment="1">
      <alignment horizontal="center"/>
    </xf>
    <xf numFmtId="2" fontId="0" fillId="48" borderId="0" xfId="54" applyNumberFormat="1" applyFont="1" applyFill="1" applyBorder="1" applyAlignment="1">
      <alignment horizontal="center"/>
    </xf>
    <xf numFmtId="0" fontId="10" fillId="48" borderId="0" xfId="0" applyFont="1" applyFill="1" applyBorder="1"/>
    <xf numFmtId="1" fontId="0" fillId="48" borderId="0" xfId="0" applyNumberFormat="1" applyFill="1" applyBorder="1" applyAlignment="1">
      <alignment horizontal="center"/>
    </xf>
    <xf numFmtId="1" fontId="0" fillId="4" borderId="34" xfId="1" applyNumberFormat="1" applyFont="1" applyFill="1" applyBorder="1" applyAlignment="1">
      <alignment horizontal="center"/>
    </xf>
    <xf numFmtId="1" fontId="0" fillId="2" borderId="38" xfId="0" applyNumberFormat="1" applyFill="1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1" fontId="0" fillId="4" borderId="38" xfId="0" applyNumberFormat="1" applyFill="1" applyBorder="1" applyAlignment="1">
      <alignment horizontal="center"/>
    </xf>
    <xf numFmtId="1" fontId="0" fillId="4" borderId="10" xfId="0" applyNumberFormat="1" applyFill="1" applyBorder="1" applyAlignment="1">
      <alignment horizontal="center"/>
    </xf>
    <xf numFmtId="1" fontId="0" fillId="4" borderId="45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53" xfId="0" applyNumberFormat="1" applyFill="1" applyBorder="1" applyAlignment="1">
      <alignment horizontal="center"/>
    </xf>
    <xf numFmtId="1" fontId="0" fillId="4" borderId="35" xfId="0" applyNumberFormat="1" applyFill="1" applyBorder="1" applyAlignment="1">
      <alignment horizontal="center"/>
    </xf>
    <xf numFmtId="1" fontId="0" fillId="4" borderId="11" xfId="0" applyNumberFormat="1" applyFill="1" applyBorder="1" applyAlignment="1">
      <alignment horizontal="center"/>
    </xf>
    <xf numFmtId="1" fontId="0" fillId="2" borderId="39" xfId="0" applyNumberFormat="1" applyFill="1" applyBorder="1" applyAlignment="1">
      <alignment horizontal="center"/>
    </xf>
    <xf numFmtId="1" fontId="3" fillId="58" borderId="34" xfId="1" applyNumberFormat="1" applyFont="1" applyFill="1" applyBorder="1" applyAlignment="1">
      <alignment horizontal="center"/>
    </xf>
    <xf numFmtId="1" fontId="3" fillId="58" borderId="60" xfId="1" applyNumberFormat="1" applyFont="1" applyFill="1" applyBorder="1" applyAlignment="1">
      <alignment horizontal="center"/>
    </xf>
    <xf numFmtId="0" fontId="46" fillId="4" borderId="3" xfId="0" applyFont="1" applyFill="1" applyBorder="1" applyAlignment="1">
      <alignment horizontal="center"/>
    </xf>
    <xf numFmtId="1" fontId="3" fillId="4" borderId="10" xfId="0" applyNumberFormat="1" applyFont="1" applyFill="1" applyBorder="1" applyAlignment="1">
      <alignment horizontal="center"/>
    </xf>
    <xf numFmtId="1" fontId="3" fillId="58" borderId="61" xfId="0" applyNumberFormat="1" applyFont="1" applyFill="1" applyBorder="1" applyAlignment="1">
      <alignment horizontal="center"/>
    </xf>
    <xf numFmtId="165" fontId="0" fillId="46" borderId="37" xfId="54" applyNumberFormat="1" applyFont="1" applyFill="1" applyBorder="1" applyAlignment="1">
      <alignment horizontal="center"/>
    </xf>
    <xf numFmtId="165" fontId="0" fillId="46" borderId="37" xfId="0" applyNumberFormat="1" applyFill="1" applyBorder="1" applyAlignment="1">
      <alignment horizontal="center"/>
    </xf>
    <xf numFmtId="168" fontId="0" fillId="0" borderId="0" xfId="88" applyNumberFormat="1" applyFont="1" applyBorder="1" applyAlignment="1">
      <alignment horizontal="right"/>
    </xf>
    <xf numFmtId="168" fontId="0" fillId="0" borderId="0" xfId="88" applyNumberFormat="1" applyFont="1" applyBorder="1" applyAlignment="1">
      <alignment horizontal="right" vertical="center"/>
    </xf>
    <xf numFmtId="37" fontId="0" fillId="0" borderId="0" xfId="88" applyNumberFormat="1" applyFont="1" applyAlignment="1">
      <alignment horizontal="right"/>
    </xf>
    <xf numFmtId="37" fontId="2" fillId="0" borderId="0" xfId="88" applyNumberFormat="1" applyFont="1" applyAlignment="1">
      <alignment horizontal="right"/>
    </xf>
    <xf numFmtId="17" fontId="142" fillId="0" borderId="85" xfId="0" applyNumberFormat="1" applyFont="1" applyBorder="1" applyAlignment="1">
      <alignment horizontal="center" vertical="center"/>
    </xf>
    <xf numFmtId="17" fontId="142" fillId="0" borderId="231" xfId="0" applyNumberFormat="1" applyFont="1" applyBorder="1" applyAlignment="1">
      <alignment horizontal="center" vertical="center"/>
    </xf>
    <xf numFmtId="3" fontId="143" fillId="64" borderId="174" xfId="0" applyNumberFormat="1" applyFont="1" applyFill="1" applyBorder="1" applyAlignment="1">
      <alignment horizontal="center" vertical="center" wrapText="1"/>
    </xf>
    <xf numFmtId="3" fontId="143" fillId="64" borderId="173" xfId="0" applyNumberFormat="1" applyFont="1" applyFill="1" applyBorder="1" applyAlignment="1">
      <alignment horizontal="center" vertical="center" wrapText="1"/>
    </xf>
    <xf numFmtId="3" fontId="143" fillId="64" borderId="161" xfId="0" applyNumberFormat="1" applyFont="1" applyFill="1" applyBorder="1" applyAlignment="1">
      <alignment horizontal="center" vertical="center" wrapText="1"/>
    </xf>
    <xf numFmtId="3" fontId="143" fillId="64" borderId="159" xfId="0" applyNumberFormat="1" applyFont="1" applyFill="1" applyBorder="1" applyAlignment="1">
      <alignment horizontal="center" vertical="center" wrapText="1"/>
    </xf>
    <xf numFmtId="3" fontId="143" fillId="64" borderId="156" xfId="0" applyNumberFormat="1" applyFont="1" applyFill="1" applyBorder="1" applyAlignment="1">
      <alignment horizontal="center" vertical="center" wrapText="1"/>
    </xf>
    <xf numFmtId="3" fontId="143" fillId="64" borderId="162" xfId="0" applyNumberFormat="1" applyFont="1" applyFill="1" applyBorder="1" applyAlignment="1">
      <alignment horizontal="center" vertical="center" wrapText="1"/>
    </xf>
    <xf numFmtId="3" fontId="144" fillId="48" borderId="116" xfId="0" applyNumberFormat="1" applyFont="1" applyFill="1" applyBorder="1" applyAlignment="1">
      <alignment horizontal="center" vertical="center"/>
    </xf>
    <xf numFmtId="164" fontId="144" fillId="48" borderId="116" xfId="1" applyNumberFormat="1" applyFont="1" applyFill="1" applyBorder="1" applyAlignment="1">
      <alignment horizontal="center" vertical="center"/>
    </xf>
    <xf numFmtId="164" fontId="144" fillId="48" borderId="112" xfId="1" applyNumberFormat="1" applyFont="1" applyFill="1" applyBorder="1" applyAlignment="1">
      <alignment horizontal="center" vertical="center"/>
    </xf>
    <xf numFmtId="3" fontId="145" fillId="64" borderId="172" xfId="0" applyNumberFormat="1" applyFont="1" applyFill="1" applyBorder="1" applyAlignment="1">
      <alignment horizontal="center" vertical="center" wrapText="1"/>
    </xf>
    <xf numFmtId="3" fontId="145" fillId="64" borderId="173" xfId="0" applyNumberFormat="1" applyFont="1" applyFill="1" applyBorder="1" applyAlignment="1">
      <alignment horizontal="center" vertical="center" wrapText="1"/>
    </xf>
    <xf numFmtId="3" fontId="145" fillId="64" borderId="236" xfId="0" applyNumberFormat="1" applyFont="1" applyFill="1" applyBorder="1" applyAlignment="1">
      <alignment horizontal="center" vertical="center" wrapText="1"/>
    </xf>
    <xf numFmtId="3" fontId="142" fillId="0" borderId="116" xfId="0" applyNumberFormat="1" applyFont="1" applyFill="1" applyBorder="1" applyAlignment="1">
      <alignment horizontal="center" vertical="center"/>
    </xf>
    <xf numFmtId="3" fontId="142" fillId="48" borderId="116" xfId="0" applyNumberFormat="1" applyFont="1" applyFill="1" applyBorder="1" applyAlignment="1">
      <alignment horizontal="center" vertical="center"/>
    </xf>
    <xf numFmtId="3" fontId="142" fillId="0" borderId="112" xfId="0" applyNumberFormat="1" applyFont="1" applyFill="1" applyBorder="1" applyAlignment="1">
      <alignment horizontal="center" vertical="center"/>
    </xf>
    <xf numFmtId="3" fontId="142" fillId="0" borderId="179" xfId="0" applyNumberFormat="1" applyFont="1" applyFill="1" applyBorder="1" applyAlignment="1">
      <alignment horizontal="center" vertical="center"/>
    </xf>
    <xf numFmtId="3" fontId="142" fillId="0" borderId="141" xfId="0" applyNumberFormat="1" applyFont="1" applyFill="1" applyBorder="1" applyAlignment="1">
      <alignment horizontal="center" vertical="center"/>
    </xf>
    <xf numFmtId="0" fontId="145" fillId="64" borderId="232" xfId="0" applyFont="1" applyFill="1" applyBorder="1" applyAlignment="1">
      <alignment horizontal="center" vertical="center"/>
    </xf>
    <xf numFmtId="3" fontId="145" fillId="64" borderId="235" xfId="0" applyNumberFormat="1" applyFont="1" applyFill="1" applyBorder="1" applyAlignment="1">
      <alignment horizontal="center" vertical="center"/>
    </xf>
    <xf numFmtId="3" fontId="145" fillId="64" borderId="233" xfId="0" applyNumberFormat="1" applyFont="1" applyFill="1" applyBorder="1" applyAlignment="1">
      <alignment horizontal="center" vertical="center"/>
    </xf>
    <xf numFmtId="3" fontId="145" fillId="64" borderId="234" xfId="0" applyNumberFormat="1" applyFont="1" applyFill="1" applyBorder="1" applyAlignment="1">
      <alignment horizontal="center" vertical="center"/>
    </xf>
    <xf numFmtId="3" fontId="144" fillId="48" borderId="179" xfId="0" applyNumberFormat="1" applyFont="1" applyFill="1" applyBorder="1" applyAlignment="1">
      <alignment horizontal="center" vertical="center"/>
    </xf>
    <xf numFmtId="164" fontId="144" fillId="48" borderId="179" xfId="1" applyNumberFormat="1" applyFont="1" applyFill="1" applyBorder="1" applyAlignment="1">
      <alignment horizontal="center" vertical="center"/>
    </xf>
    <xf numFmtId="164" fontId="144" fillId="48" borderId="141" xfId="1" applyNumberFormat="1" applyFont="1" applyFill="1" applyBorder="1" applyAlignment="1">
      <alignment horizontal="center" vertical="center"/>
    </xf>
    <xf numFmtId="0" fontId="145" fillId="64" borderId="232" xfId="0" applyFont="1" applyFill="1" applyBorder="1" applyAlignment="1">
      <alignment horizontal="center" vertical="center" wrapText="1"/>
    </xf>
    <xf numFmtId="164" fontId="145" fillId="64" borderId="233" xfId="1" applyNumberFormat="1" applyFont="1" applyFill="1" applyBorder="1" applyAlignment="1">
      <alignment horizontal="center" vertical="center"/>
    </xf>
    <xf numFmtId="164" fontId="145" fillId="64" borderId="121" xfId="1" applyNumberFormat="1" applyFont="1" applyFill="1" applyBorder="1" applyAlignment="1">
      <alignment horizontal="center" vertical="center"/>
    </xf>
    <xf numFmtId="164" fontId="145" fillId="64" borderId="234" xfId="1" applyNumberFormat="1" applyFont="1" applyFill="1" applyBorder="1" applyAlignment="1">
      <alignment horizontal="center" vertical="center"/>
    </xf>
    <xf numFmtId="17" fontId="146" fillId="0" borderId="111" xfId="0" applyNumberFormat="1" applyFont="1" applyBorder="1" applyAlignment="1">
      <alignment horizontal="center" vertical="center"/>
    </xf>
    <xf numFmtId="3" fontId="146" fillId="0" borderId="317" xfId="0" applyNumberFormat="1" applyFont="1" applyFill="1" applyBorder="1" applyAlignment="1">
      <alignment horizontal="center" vertical="center"/>
    </xf>
    <xf numFmtId="3" fontId="146" fillId="0" borderId="287" xfId="0" applyNumberFormat="1" applyFont="1" applyFill="1" applyBorder="1" applyAlignment="1">
      <alignment horizontal="center" vertical="center"/>
    </xf>
    <xf numFmtId="164" fontId="146" fillId="0" borderId="349" xfId="1" applyNumberFormat="1" applyFont="1" applyFill="1" applyBorder="1" applyAlignment="1">
      <alignment horizontal="center" vertical="center"/>
    </xf>
    <xf numFmtId="3" fontId="146" fillId="0" borderId="353" xfId="0" applyNumberFormat="1" applyFont="1" applyFill="1" applyBorder="1" applyAlignment="1">
      <alignment horizontal="center" vertical="center"/>
    </xf>
    <xf numFmtId="164" fontId="146" fillId="0" borderId="354" xfId="1" applyNumberFormat="1" applyFont="1" applyFill="1" applyBorder="1" applyAlignment="1">
      <alignment horizontal="center" vertical="center"/>
    </xf>
    <xf numFmtId="3" fontId="146" fillId="0" borderId="352" xfId="0" applyNumberFormat="1" applyFont="1" applyFill="1" applyBorder="1" applyAlignment="1">
      <alignment horizontal="center" vertical="center"/>
    </xf>
    <xf numFmtId="3" fontId="146" fillId="48" borderId="353" xfId="0" quotePrefix="1" applyNumberFormat="1" applyFont="1" applyFill="1" applyBorder="1" applyAlignment="1">
      <alignment horizontal="center" vertical="center"/>
    </xf>
    <xf numFmtId="3" fontId="146" fillId="48" borderId="287" xfId="0" applyNumberFormat="1" applyFont="1" applyFill="1" applyBorder="1" applyAlignment="1">
      <alignment horizontal="center" vertical="center"/>
    </xf>
    <xf numFmtId="3" fontId="146" fillId="48" borderId="353" xfId="0" applyNumberFormat="1" applyFont="1" applyFill="1" applyBorder="1" applyAlignment="1">
      <alignment horizontal="center" vertical="center"/>
    </xf>
    <xf numFmtId="3" fontId="146" fillId="48" borderId="352" xfId="0" applyNumberFormat="1" applyFont="1" applyFill="1" applyBorder="1" applyAlignment="1">
      <alignment horizontal="center" vertical="center"/>
    </xf>
    <xf numFmtId="3" fontId="146" fillId="0" borderId="355" xfId="0" applyNumberFormat="1" applyFont="1" applyFill="1" applyBorder="1" applyAlignment="1">
      <alignment horizontal="center" vertical="center"/>
    </xf>
    <xf numFmtId="3" fontId="146" fillId="0" borderId="289" xfId="0" applyNumberFormat="1" applyFont="1" applyFill="1" applyBorder="1" applyAlignment="1">
      <alignment horizontal="center" vertical="center"/>
    </xf>
    <xf numFmtId="3" fontId="146" fillId="0" borderId="315" xfId="0" applyNumberFormat="1" applyFont="1" applyFill="1" applyBorder="1" applyAlignment="1">
      <alignment horizontal="center" vertical="center"/>
    </xf>
    <xf numFmtId="3" fontId="146" fillId="48" borderId="355" xfId="0" applyNumberFormat="1" applyFont="1" applyFill="1" applyBorder="1" applyAlignment="1">
      <alignment horizontal="center" vertical="center"/>
    </xf>
    <xf numFmtId="3" fontId="146" fillId="48" borderId="289" xfId="0" applyNumberFormat="1" applyFont="1" applyFill="1" applyBorder="1" applyAlignment="1">
      <alignment horizontal="center" vertical="center"/>
    </xf>
    <xf numFmtId="17" fontId="54" fillId="0" borderId="196" xfId="0" applyNumberFormat="1" applyFont="1" applyBorder="1" applyAlignment="1">
      <alignment horizontal="center" vertical="center"/>
    </xf>
    <xf numFmtId="164" fontId="60" fillId="48" borderId="478" xfId="1" applyNumberFormat="1" applyFont="1" applyFill="1" applyBorder="1" applyAlignment="1">
      <alignment horizontal="center" vertical="center"/>
    </xf>
    <xf numFmtId="164" fontId="60" fillId="48" borderId="341" xfId="1" applyNumberFormat="1" applyFont="1" applyFill="1" applyBorder="1" applyAlignment="1">
      <alignment horizontal="center" vertical="center"/>
    </xf>
    <xf numFmtId="164" fontId="60" fillId="48" borderId="287" xfId="1" quotePrefix="1" applyNumberFormat="1" applyFont="1" applyFill="1" applyBorder="1" applyAlignment="1">
      <alignment horizontal="center" vertical="center"/>
    </xf>
    <xf numFmtId="0" fontId="9" fillId="64" borderId="479" xfId="0" applyFont="1" applyFill="1" applyBorder="1" applyAlignment="1">
      <alignment horizontal="center" vertical="center" wrapText="1"/>
    </xf>
    <xf numFmtId="0" fontId="9" fillId="64" borderId="480" xfId="0" applyFont="1" applyFill="1" applyBorder="1" applyAlignment="1">
      <alignment horizontal="center" vertical="center" wrapText="1"/>
    </xf>
    <xf numFmtId="0" fontId="9" fillId="64" borderId="255" xfId="0" applyFont="1" applyFill="1" applyBorder="1" applyAlignment="1">
      <alignment horizontal="center" vertical="center" wrapText="1"/>
    </xf>
    <xf numFmtId="0" fontId="9" fillId="64" borderId="254" xfId="0" applyFont="1" applyFill="1" applyBorder="1" applyAlignment="1">
      <alignment horizontal="center" vertical="center" wrapText="1"/>
    </xf>
    <xf numFmtId="164" fontId="138" fillId="48" borderId="320" xfId="1" applyNumberFormat="1" applyFont="1" applyFill="1" applyBorder="1" applyAlignment="1">
      <alignment horizontal="center" vertical="center"/>
    </xf>
    <xf numFmtId="164" fontId="138" fillId="48" borderId="289" xfId="1" applyNumberFormat="1" applyFont="1" applyFill="1" applyBorder="1" applyAlignment="1">
      <alignment horizontal="center" vertical="center"/>
    </xf>
    <xf numFmtId="3" fontId="127" fillId="48" borderId="321" xfId="0" applyNumberFormat="1" applyFont="1" applyFill="1" applyBorder="1" applyAlignment="1">
      <alignment horizontal="center" vertical="center"/>
    </xf>
    <xf numFmtId="164" fontId="127" fillId="48" borderId="322" xfId="1" applyNumberFormat="1" applyFont="1" applyFill="1" applyBorder="1" applyAlignment="1">
      <alignment horizontal="center" vertical="center"/>
    </xf>
    <xf numFmtId="1" fontId="138" fillId="48" borderId="481" xfId="1" applyNumberFormat="1" applyFont="1" applyFill="1" applyBorder="1" applyAlignment="1">
      <alignment horizontal="center" vertical="center"/>
    </xf>
    <xf numFmtId="1" fontId="138" fillId="48" borderId="350" xfId="1" applyNumberFormat="1" applyFont="1" applyFill="1" applyBorder="1" applyAlignment="1">
      <alignment horizontal="center" vertical="center"/>
    </xf>
    <xf numFmtId="1" fontId="127" fillId="48" borderId="482" xfId="1" applyNumberFormat="1" applyFont="1" applyFill="1" applyBorder="1" applyAlignment="1">
      <alignment horizontal="center" vertical="center"/>
    </xf>
    <xf numFmtId="3" fontId="138" fillId="48" borderId="483" xfId="0" applyNumberFormat="1" applyFont="1" applyFill="1" applyBorder="1" applyAlignment="1">
      <alignment horizontal="center" vertical="center"/>
    </xf>
    <xf numFmtId="3" fontId="138" fillId="48" borderId="315" xfId="0" applyNumberFormat="1" applyFont="1" applyFill="1" applyBorder="1" applyAlignment="1">
      <alignment horizontal="center" vertical="center"/>
    </xf>
    <xf numFmtId="3" fontId="127" fillId="48" borderId="484" xfId="0" applyNumberFormat="1" applyFont="1" applyFill="1" applyBorder="1" applyAlignment="1">
      <alignment horizontal="center" vertical="center"/>
    </xf>
    <xf numFmtId="3" fontId="138" fillId="48" borderId="485" xfId="0" applyNumberFormat="1" applyFont="1" applyFill="1" applyBorder="1" applyAlignment="1">
      <alignment horizontal="center" vertical="center"/>
    </xf>
    <xf numFmtId="1" fontId="138" fillId="48" borderId="486" xfId="1" applyNumberFormat="1" applyFont="1" applyFill="1" applyBorder="1" applyAlignment="1">
      <alignment horizontal="center" vertical="center"/>
    </xf>
    <xf numFmtId="3" fontId="138" fillId="48" borderId="487" xfId="0" applyNumberFormat="1" applyFont="1" applyFill="1" applyBorder="1" applyAlignment="1">
      <alignment horizontal="center" vertical="center"/>
    </xf>
    <xf numFmtId="1" fontId="138" fillId="48" borderId="488" xfId="1" applyNumberFormat="1" applyFont="1" applyFill="1" applyBorder="1" applyAlignment="1">
      <alignment horizontal="center" vertical="center"/>
    </xf>
    <xf numFmtId="3" fontId="127" fillId="48" borderId="489" xfId="0" applyNumberFormat="1" applyFont="1" applyFill="1" applyBorder="1" applyAlignment="1">
      <alignment horizontal="center" vertical="center"/>
    </xf>
    <xf numFmtId="1" fontId="127" fillId="48" borderId="490" xfId="1" applyNumberFormat="1" applyFont="1" applyFill="1" applyBorder="1" applyAlignment="1">
      <alignment horizontal="center" vertical="center"/>
    </xf>
    <xf numFmtId="3" fontId="74" fillId="64" borderId="500" xfId="0" applyNumberFormat="1" applyFont="1" applyFill="1" applyBorder="1" applyAlignment="1">
      <alignment horizontal="center" vertical="center" wrapText="1"/>
    </xf>
    <xf numFmtId="17" fontId="138" fillId="0" borderId="501" xfId="0" applyNumberFormat="1" applyFont="1" applyBorder="1" applyAlignment="1">
      <alignment horizontal="center" vertical="center"/>
    </xf>
    <xf numFmtId="1" fontId="127" fillId="48" borderId="504" xfId="1" applyNumberFormat="1" applyFont="1" applyFill="1" applyBorder="1" applyAlignment="1">
      <alignment horizontal="center" vertical="center"/>
    </xf>
    <xf numFmtId="0" fontId="74" fillId="64" borderId="505" xfId="0" applyFont="1" applyFill="1" applyBorder="1" applyAlignment="1">
      <alignment horizontal="center" vertical="center"/>
    </xf>
    <xf numFmtId="3" fontId="96" fillId="64" borderId="506" xfId="0" applyNumberFormat="1" applyFont="1" applyFill="1" applyBorder="1" applyAlignment="1">
      <alignment horizontal="center" vertical="center"/>
    </xf>
    <xf numFmtId="164" fontId="96" fillId="64" borderId="506" xfId="1" applyNumberFormat="1" applyFont="1" applyFill="1" applyBorder="1" applyAlignment="1">
      <alignment horizontal="center" vertical="center"/>
    </xf>
    <xf numFmtId="1" fontId="96" fillId="64" borderId="506" xfId="1" applyNumberFormat="1" applyFont="1" applyFill="1" applyBorder="1" applyAlignment="1">
      <alignment horizontal="center" vertical="center"/>
    </xf>
    <xf numFmtId="1" fontId="96" fillId="64" borderId="507" xfId="1" applyNumberFormat="1" applyFont="1" applyFill="1" applyBorder="1" applyAlignment="1">
      <alignment horizontal="center" vertical="center"/>
    </xf>
    <xf numFmtId="0" fontId="96" fillId="64" borderId="491" xfId="0" applyFont="1" applyFill="1" applyBorder="1" applyAlignment="1">
      <alignment horizontal="center" vertical="center"/>
    </xf>
    <xf numFmtId="0" fontId="96" fillId="64" borderId="508" xfId="0" applyFont="1" applyFill="1" applyBorder="1" applyAlignment="1">
      <alignment horizontal="center" vertical="center"/>
    </xf>
    <xf numFmtId="0" fontId="96" fillId="64" borderId="505" xfId="0" applyFont="1" applyFill="1" applyBorder="1" applyAlignment="1">
      <alignment horizontal="center" vertical="center"/>
    </xf>
    <xf numFmtId="0" fontId="97" fillId="0" borderId="507" xfId="0" applyFont="1" applyFill="1" applyBorder="1"/>
    <xf numFmtId="0" fontId="97" fillId="0" borderId="510" xfId="0" applyFont="1" applyFill="1" applyBorder="1"/>
    <xf numFmtId="0" fontId="97" fillId="0" borderId="512" xfId="0" applyFont="1" applyFill="1" applyBorder="1"/>
    <xf numFmtId="0" fontId="59" fillId="0" borderId="509" xfId="0" applyFont="1" applyFill="1" applyBorder="1" applyAlignment="1">
      <alignment horizontal="left" vertical="center" indent="1"/>
    </xf>
    <xf numFmtId="0" fontId="59" fillId="0" borderId="511" xfId="0" applyFont="1" applyFill="1" applyBorder="1" applyAlignment="1">
      <alignment horizontal="left" vertical="center" indent="1"/>
    </xf>
    <xf numFmtId="0" fontId="59" fillId="0" borderId="513" xfId="0" applyFont="1" applyFill="1" applyBorder="1" applyAlignment="1">
      <alignment horizontal="left" vertical="center" indent="1"/>
    </xf>
    <xf numFmtId="17" fontId="147" fillId="0" borderId="463" xfId="0" applyNumberFormat="1" applyFont="1" applyBorder="1" applyAlignment="1">
      <alignment horizontal="center"/>
    </xf>
    <xf numFmtId="17" fontId="147" fillId="0" borderId="465" xfId="0" applyNumberFormat="1" applyFont="1" applyBorder="1" applyAlignment="1">
      <alignment horizontal="center"/>
    </xf>
    <xf numFmtId="17" fontId="147" fillId="0" borderId="447" xfId="0" applyNumberFormat="1" applyFont="1" applyBorder="1" applyAlignment="1">
      <alignment horizontal="center"/>
    </xf>
    <xf numFmtId="17" fontId="147" fillId="0" borderId="449" xfId="0" applyNumberFormat="1" applyFont="1" applyBorder="1" applyAlignment="1">
      <alignment horizontal="center"/>
    </xf>
    <xf numFmtId="0" fontId="148" fillId="0" borderId="0" xfId="0" applyFont="1" applyFill="1" applyBorder="1"/>
    <xf numFmtId="17" fontId="78" fillId="0" borderId="379" xfId="0" applyNumberFormat="1" applyFont="1" applyBorder="1" applyAlignment="1">
      <alignment horizontal="center" vertical="center"/>
    </xf>
    <xf numFmtId="17" fontId="78" fillId="0" borderId="380" xfId="0" applyNumberFormat="1" applyFont="1" applyBorder="1" applyAlignment="1">
      <alignment horizontal="center" vertical="center"/>
    </xf>
    <xf numFmtId="17" fontId="78" fillId="0" borderId="381" xfId="0" applyNumberFormat="1" applyFont="1" applyBorder="1" applyAlignment="1">
      <alignment horizontal="center" vertical="center"/>
    </xf>
    <xf numFmtId="0" fontId="149" fillId="0" borderId="0" xfId="0" applyFont="1" applyAlignment="1">
      <alignment vertical="center"/>
    </xf>
    <xf numFmtId="0" fontId="150" fillId="0" borderId="0" xfId="0" applyFont="1" applyFill="1" applyBorder="1" applyAlignment="1">
      <alignment vertical="center"/>
    </xf>
    <xf numFmtId="0" fontId="76" fillId="64" borderId="0" xfId="0" applyFont="1" applyFill="1" applyAlignment="1">
      <alignment vertical="center"/>
    </xf>
    <xf numFmtId="0" fontId="151" fillId="0" borderId="0" xfId="0" applyFont="1" applyAlignment="1">
      <alignment vertical="center"/>
    </xf>
    <xf numFmtId="3" fontId="152" fillId="64" borderId="154" xfId="0" applyNumberFormat="1" applyFont="1" applyFill="1" applyBorder="1" applyAlignment="1">
      <alignment horizontal="center" vertical="center" wrapText="1"/>
    </xf>
    <xf numFmtId="3" fontId="152" fillId="64" borderId="149" xfId="0" applyNumberFormat="1" applyFont="1" applyFill="1" applyBorder="1" applyAlignment="1">
      <alignment horizontal="center" vertical="center" wrapText="1"/>
    </xf>
    <xf numFmtId="3" fontId="152" fillId="64" borderId="150" xfId="0" applyNumberFormat="1" applyFont="1" applyFill="1" applyBorder="1" applyAlignment="1">
      <alignment horizontal="center" vertical="center" wrapText="1"/>
    </xf>
    <xf numFmtId="3" fontId="152" fillId="64" borderId="155" xfId="0" applyNumberFormat="1" applyFont="1" applyFill="1" applyBorder="1" applyAlignment="1">
      <alignment horizontal="center" vertical="center" wrapText="1"/>
    </xf>
    <xf numFmtId="3" fontId="152" fillId="64" borderId="151" xfId="0" applyNumberFormat="1" applyFont="1" applyFill="1" applyBorder="1" applyAlignment="1">
      <alignment horizontal="center" vertical="center" wrapText="1"/>
    </xf>
    <xf numFmtId="3" fontId="152" fillId="64" borderId="157" xfId="0" applyNumberFormat="1" applyFont="1" applyFill="1" applyBorder="1" applyAlignment="1">
      <alignment horizontal="center" vertical="center" wrapText="1"/>
    </xf>
    <xf numFmtId="3" fontId="152" fillId="64" borderId="158" xfId="0" applyNumberFormat="1" applyFont="1" applyFill="1" applyBorder="1" applyAlignment="1">
      <alignment horizontal="center" vertical="center" wrapText="1"/>
    </xf>
    <xf numFmtId="3" fontId="152" fillId="64" borderId="159" xfId="0" applyNumberFormat="1" applyFont="1" applyFill="1" applyBorder="1" applyAlignment="1">
      <alignment horizontal="center" vertical="center" wrapText="1"/>
    </xf>
    <xf numFmtId="3" fontId="152" fillId="64" borderId="160" xfId="0" applyNumberFormat="1" applyFont="1" applyFill="1" applyBorder="1" applyAlignment="1">
      <alignment horizontal="center" vertical="center" wrapText="1"/>
    </xf>
    <xf numFmtId="3" fontId="152" fillId="64" borderId="161" xfId="0" applyNumberFormat="1" applyFont="1" applyFill="1" applyBorder="1" applyAlignment="1">
      <alignment horizontal="center" vertical="center" wrapText="1"/>
    </xf>
    <xf numFmtId="3" fontId="152" fillId="64" borderId="162" xfId="0" applyNumberFormat="1" applyFont="1" applyFill="1" applyBorder="1" applyAlignment="1">
      <alignment horizontal="center" vertical="center" wrapText="1"/>
    </xf>
    <xf numFmtId="0" fontId="61" fillId="64" borderId="86" xfId="0" applyFont="1" applyFill="1" applyBorder="1" applyAlignment="1">
      <alignment horizontal="center" vertical="center"/>
    </xf>
    <xf numFmtId="3" fontId="65" fillId="64" borderId="71" xfId="0" applyNumberFormat="1" applyFont="1" applyFill="1" applyBorder="1" applyAlignment="1">
      <alignment horizontal="center" vertical="center"/>
    </xf>
    <xf numFmtId="3" fontId="65" fillId="64" borderId="72" xfId="0" applyNumberFormat="1" applyFont="1" applyFill="1" applyBorder="1" applyAlignment="1">
      <alignment horizontal="center" vertical="center"/>
    </xf>
    <xf numFmtId="3" fontId="65" fillId="64" borderId="92" xfId="0" applyNumberFormat="1" applyFont="1" applyFill="1" applyBorder="1" applyAlignment="1">
      <alignment horizontal="center" vertical="center"/>
    </xf>
    <xf numFmtId="3" fontId="65" fillId="64" borderId="73" xfId="0" applyNumberFormat="1" applyFont="1" applyFill="1" applyBorder="1" applyAlignment="1">
      <alignment horizontal="center" vertical="center"/>
    </xf>
    <xf numFmtId="3" fontId="65" fillId="64" borderId="99" xfId="0" applyNumberFormat="1" applyFont="1" applyFill="1" applyBorder="1" applyAlignment="1">
      <alignment horizontal="center" vertical="center"/>
    </xf>
    <xf numFmtId="3" fontId="65" fillId="64" borderId="96" xfId="0" applyNumberFormat="1" applyFont="1" applyFill="1" applyBorder="1" applyAlignment="1">
      <alignment horizontal="center" vertical="center"/>
    </xf>
    <xf numFmtId="3" fontId="65" fillId="64" borderId="97" xfId="0" applyNumberFormat="1" applyFont="1" applyFill="1" applyBorder="1" applyAlignment="1">
      <alignment horizontal="center" vertical="center"/>
    </xf>
    <xf numFmtId="3" fontId="65" fillId="64" borderId="98" xfId="0" applyNumberFormat="1" applyFont="1" applyFill="1" applyBorder="1" applyAlignment="1">
      <alignment horizontal="center" vertical="center"/>
    </xf>
    <xf numFmtId="3" fontId="65" fillId="64" borderId="88" xfId="0" applyNumberFormat="1" applyFont="1" applyFill="1" applyBorder="1" applyAlignment="1">
      <alignment horizontal="center" vertical="center"/>
    </xf>
    <xf numFmtId="0" fontId="76" fillId="64" borderId="0" xfId="0" applyFont="1" applyFill="1" applyAlignment="1">
      <alignment horizontal="center" vertical="center"/>
    </xf>
    <xf numFmtId="166" fontId="78" fillId="0" borderId="295" xfId="0" applyNumberFormat="1" applyFont="1" applyFill="1" applyBorder="1" applyAlignment="1"/>
    <xf numFmtId="166" fontId="78" fillId="0" borderId="296" xfId="0" applyNumberFormat="1" applyFont="1" applyFill="1" applyBorder="1" applyAlignment="1"/>
    <xf numFmtId="166" fontId="78" fillId="0" borderId="375" xfId="0" applyNumberFormat="1" applyFont="1" applyFill="1" applyBorder="1" applyAlignment="1"/>
    <xf numFmtId="166" fontId="78" fillId="0" borderId="382" xfId="0" applyNumberFormat="1" applyFont="1" applyFill="1" applyBorder="1" applyAlignment="1"/>
    <xf numFmtId="166" fontId="78" fillId="0" borderId="383" xfId="0" applyNumberFormat="1" applyFont="1" applyFill="1" applyBorder="1" applyAlignment="1"/>
    <xf numFmtId="166" fontId="78" fillId="0" borderId="377" xfId="0" applyNumberFormat="1" applyFont="1" applyFill="1" applyBorder="1" applyAlignment="1"/>
    <xf numFmtId="166" fontId="78" fillId="0" borderId="388" xfId="0" applyNumberFormat="1" applyFont="1" applyFill="1" applyBorder="1" applyAlignment="1"/>
    <xf numFmtId="166" fontId="78" fillId="0" borderId="297" xfId="0" applyNumberFormat="1" applyFont="1" applyFill="1" applyBorder="1" applyAlignment="1"/>
    <xf numFmtId="166" fontId="78" fillId="0" borderId="389" xfId="0" applyNumberFormat="1" applyFont="1" applyFill="1" applyBorder="1" applyAlignment="1"/>
    <xf numFmtId="166" fontId="78" fillId="64" borderId="156" xfId="0" applyNumberFormat="1" applyFont="1" applyFill="1" applyBorder="1" applyAlignment="1"/>
    <xf numFmtId="166" fontId="78" fillId="64" borderId="421" xfId="0" applyNumberFormat="1" applyFont="1" applyFill="1" applyBorder="1" applyAlignment="1"/>
    <xf numFmtId="166" fontId="78" fillId="64" borderId="420" xfId="0" applyNumberFormat="1" applyFont="1" applyFill="1" applyBorder="1" applyAlignment="1"/>
    <xf numFmtId="166" fontId="78" fillId="0" borderId="299" xfId="0" applyNumberFormat="1" applyFont="1" applyFill="1" applyBorder="1" applyAlignment="1"/>
    <xf numFmtId="166" fontId="78" fillId="0" borderId="298" xfId="0" applyNumberFormat="1" applyFont="1" applyFill="1" applyBorder="1" applyAlignment="1"/>
    <xf numFmtId="166" fontId="78" fillId="64" borderId="424" xfId="0" applyNumberFormat="1" applyFont="1" applyFill="1" applyBorder="1" applyAlignment="1"/>
    <xf numFmtId="3" fontId="78" fillId="0" borderId="299" xfId="0" applyNumberFormat="1" applyFont="1" applyFill="1" applyBorder="1" applyAlignment="1">
      <alignment horizontal="center" vertical="center"/>
    </xf>
    <xf numFmtId="3" fontId="78" fillId="0" borderId="297" xfId="0" applyNumberFormat="1" applyFont="1" applyFill="1" applyBorder="1" applyAlignment="1">
      <alignment horizontal="center" vertical="center"/>
    </xf>
    <xf numFmtId="3" fontId="78" fillId="0" borderId="298" xfId="0" applyNumberFormat="1" applyFont="1" applyFill="1" applyBorder="1" applyAlignment="1">
      <alignment horizontal="center" vertical="center"/>
    </xf>
    <xf numFmtId="166" fontId="78" fillId="0" borderId="288" xfId="0" applyNumberFormat="1" applyFont="1" applyFill="1" applyBorder="1" applyAlignment="1"/>
    <xf numFmtId="166" fontId="78" fillId="0" borderId="289" xfId="0" applyNumberFormat="1" applyFont="1" applyFill="1" applyBorder="1" applyAlignment="1"/>
    <xf numFmtId="166" fontId="78" fillId="0" borderId="350" xfId="0" applyNumberFormat="1" applyFont="1" applyFill="1" applyBorder="1" applyAlignment="1"/>
    <xf numFmtId="166" fontId="78" fillId="0" borderId="384" xfId="0" applyNumberFormat="1" applyFont="1" applyFill="1" applyBorder="1" applyAlignment="1"/>
    <xf numFmtId="166" fontId="78" fillId="0" borderId="385" xfId="0" applyNumberFormat="1" applyFont="1" applyFill="1" applyBorder="1" applyAlignment="1"/>
    <xf numFmtId="166" fontId="78" fillId="0" borderId="315" xfId="0" applyNumberFormat="1" applyFont="1" applyFill="1" applyBorder="1" applyAlignment="1"/>
    <xf numFmtId="166" fontId="78" fillId="64" borderId="426" xfId="0" applyNumberFormat="1" applyFont="1" applyFill="1" applyBorder="1" applyAlignment="1"/>
    <xf numFmtId="166" fontId="78" fillId="64" borderId="422" xfId="0" applyNumberFormat="1" applyFont="1" applyFill="1" applyBorder="1" applyAlignment="1"/>
    <xf numFmtId="166" fontId="78" fillId="64" borderId="423" xfId="0" applyNumberFormat="1" applyFont="1" applyFill="1" applyBorder="1" applyAlignment="1"/>
    <xf numFmtId="166" fontId="78" fillId="64" borderId="425" xfId="0" applyNumberFormat="1" applyFont="1" applyFill="1" applyBorder="1" applyAlignment="1"/>
    <xf numFmtId="166" fontId="78" fillId="64" borderId="0" xfId="0" applyNumberFormat="1" applyFont="1" applyFill="1" applyBorder="1" applyAlignment="1"/>
    <xf numFmtId="166" fontId="78" fillId="64" borderId="68" xfId="0" applyNumberFormat="1" applyFont="1" applyFill="1" applyBorder="1" applyAlignment="1"/>
    <xf numFmtId="166" fontId="78" fillId="0" borderId="290" xfId="0" applyNumberFormat="1" applyFont="1" applyFill="1" applyBorder="1" applyAlignment="1"/>
    <xf numFmtId="166" fontId="78" fillId="64" borderId="76" xfId="0" applyNumberFormat="1" applyFont="1" applyFill="1" applyBorder="1" applyAlignment="1"/>
    <xf numFmtId="3" fontId="78" fillId="0" borderId="288" xfId="0" applyNumberFormat="1" applyFont="1" applyFill="1" applyBorder="1" applyAlignment="1">
      <alignment horizontal="center" vertical="center"/>
    </xf>
    <xf numFmtId="3" fontId="78" fillId="0" borderId="289" xfId="0" applyNumberFormat="1" applyFont="1" applyFill="1" applyBorder="1" applyAlignment="1">
      <alignment horizontal="center" vertical="center"/>
    </xf>
    <xf numFmtId="3" fontId="78" fillId="0" borderId="290" xfId="0" applyNumberFormat="1" applyFont="1" applyFill="1" applyBorder="1" applyAlignment="1">
      <alignment horizontal="center" vertical="center"/>
    </xf>
    <xf numFmtId="43" fontId="78" fillId="0" borderId="384" xfId="88" applyFont="1" applyFill="1" applyBorder="1" applyAlignment="1"/>
    <xf numFmtId="43" fontId="78" fillId="0" borderId="289" xfId="88" applyFont="1" applyFill="1" applyBorder="1" applyAlignment="1"/>
    <xf numFmtId="43" fontId="78" fillId="0" borderId="385" xfId="88" applyFont="1" applyFill="1" applyBorder="1" applyAlignment="1"/>
    <xf numFmtId="43" fontId="78" fillId="64" borderId="0" xfId="88" applyFont="1" applyFill="1" applyBorder="1" applyAlignment="1"/>
    <xf numFmtId="43" fontId="78" fillId="64" borderId="68" xfId="88" applyFont="1" applyFill="1" applyBorder="1" applyAlignment="1"/>
    <xf numFmtId="43" fontId="78" fillId="0" borderId="288" xfId="88" applyFont="1" applyFill="1" applyBorder="1" applyAlignment="1"/>
    <xf numFmtId="43" fontId="78" fillId="0" borderId="290" xfId="88" applyFont="1" applyFill="1" applyBorder="1" applyAlignment="1"/>
    <xf numFmtId="43" fontId="78" fillId="64" borderId="76" xfId="88" applyFont="1" applyFill="1" applyBorder="1" applyAlignment="1"/>
    <xf numFmtId="166" fontId="78" fillId="0" borderId="378" xfId="0" applyNumberFormat="1" applyFont="1" applyFill="1" applyBorder="1" applyAlignment="1"/>
    <xf numFmtId="166" fontId="78" fillId="0" borderId="292" xfId="0" applyNumberFormat="1" applyFont="1" applyFill="1" applyBorder="1" applyAlignment="1"/>
    <xf numFmtId="166" fontId="78" fillId="0" borderId="376" xfId="0" applyNumberFormat="1" applyFont="1" applyFill="1" applyBorder="1" applyAlignment="1"/>
    <xf numFmtId="166" fontId="78" fillId="0" borderId="386" xfId="0" applyNumberFormat="1" applyFont="1" applyFill="1" applyBorder="1" applyAlignment="1"/>
    <xf numFmtId="166" fontId="78" fillId="0" borderId="387" xfId="0" applyNumberFormat="1" applyFont="1" applyFill="1" applyBorder="1" applyAlignment="1"/>
    <xf numFmtId="43" fontId="78" fillId="0" borderId="386" xfId="88" applyFont="1" applyFill="1" applyBorder="1" applyAlignment="1"/>
    <xf numFmtId="43" fontId="78" fillId="0" borderId="292" xfId="88" applyFont="1" applyFill="1" applyBorder="1" applyAlignment="1"/>
    <xf numFmtId="43" fontId="78" fillId="0" borderId="387" xfId="88" applyFont="1" applyFill="1" applyBorder="1" applyAlignment="1"/>
    <xf numFmtId="43" fontId="78" fillId="64" borderId="29" xfId="88" applyFont="1" applyFill="1" applyBorder="1" applyAlignment="1"/>
    <xf numFmtId="43" fontId="78" fillId="64" borderId="69" xfId="88" applyFont="1" applyFill="1" applyBorder="1" applyAlignment="1"/>
    <xf numFmtId="43" fontId="78" fillId="0" borderId="291" xfId="88" applyFont="1" applyFill="1" applyBorder="1" applyAlignment="1"/>
    <xf numFmtId="43" fontId="78" fillId="0" borderId="293" xfId="88" applyFont="1" applyFill="1" applyBorder="1" applyAlignment="1"/>
    <xf numFmtId="43" fontId="78" fillId="64" borderId="93" xfId="88" applyFont="1" applyFill="1" applyBorder="1" applyAlignment="1"/>
    <xf numFmtId="3" fontId="78" fillId="0" borderId="291" xfId="0" applyNumberFormat="1" applyFont="1" applyFill="1" applyBorder="1" applyAlignment="1">
      <alignment horizontal="center" vertical="center"/>
    </xf>
    <xf numFmtId="3" fontId="78" fillId="0" borderId="292" xfId="0" applyNumberFormat="1" applyFont="1" applyFill="1" applyBorder="1" applyAlignment="1">
      <alignment horizontal="center" vertical="center"/>
    </xf>
    <xf numFmtId="3" fontId="78" fillId="0" borderId="293" xfId="0" applyNumberFormat="1" applyFont="1" applyFill="1" applyBorder="1" applyAlignment="1">
      <alignment horizontal="center" vertical="center"/>
    </xf>
    <xf numFmtId="0" fontId="76" fillId="64" borderId="86" xfId="0" applyFont="1" applyFill="1" applyBorder="1" applyAlignment="1">
      <alignment horizontal="center" vertical="center"/>
    </xf>
    <xf numFmtId="166" fontId="76" fillId="64" borderId="71" xfId="0" applyNumberFormat="1" applyFont="1" applyFill="1" applyBorder="1" applyAlignment="1"/>
    <xf numFmtId="166" fontId="76" fillId="64" borderId="72" xfId="0" applyNumberFormat="1" applyFont="1" applyFill="1" applyBorder="1" applyAlignment="1"/>
    <xf numFmtId="166" fontId="76" fillId="64" borderId="92" xfId="0" applyNumberFormat="1" applyFont="1" applyFill="1" applyBorder="1" applyAlignment="1"/>
    <xf numFmtId="166" fontId="76" fillId="64" borderId="73" xfId="0" applyNumberFormat="1" applyFont="1" applyFill="1" applyBorder="1" applyAlignment="1"/>
    <xf numFmtId="166" fontId="141" fillId="64" borderId="71" xfId="0" applyNumberFormat="1" applyFont="1" applyFill="1" applyBorder="1" applyAlignment="1"/>
    <xf numFmtId="166" fontId="141" fillId="64" borderId="72" xfId="0" applyNumberFormat="1" applyFont="1" applyFill="1" applyBorder="1" applyAlignment="1"/>
    <xf numFmtId="166" fontId="141" fillId="64" borderId="92" xfId="0" applyNumberFormat="1" applyFont="1" applyFill="1" applyBorder="1" applyAlignment="1"/>
    <xf numFmtId="166" fontId="141" fillId="64" borderId="73" xfId="0" applyNumberFormat="1" applyFont="1" applyFill="1" applyBorder="1" applyAlignment="1"/>
    <xf numFmtId="166" fontId="76" fillId="64" borderId="91" xfId="0" applyNumberFormat="1" applyFont="1" applyFill="1" applyBorder="1" applyAlignment="1"/>
    <xf numFmtId="3" fontId="76" fillId="64" borderId="71" xfId="0" applyNumberFormat="1" applyFont="1" applyFill="1" applyBorder="1" applyAlignment="1">
      <alignment horizontal="center" vertical="center"/>
    </xf>
    <xf numFmtId="3" fontId="76" fillId="64" borderId="72" xfId="0" applyNumberFormat="1" applyFont="1" applyFill="1" applyBorder="1" applyAlignment="1">
      <alignment horizontal="center" vertical="center"/>
    </xf>
    <xf numFmtId="3" fontId="76" fillId="64" borderId="92" xfId="0" applyNumberFormat="1" applyFont="1" applyFill="1" applyBorder="1" applyAlignment="1">
      <alignment horizontal="center" vertical="center"/>
    </xf>
    <xf numFmtId="3" fontId="76" fillId="64" borderId="73" xfId="0" applyNumberFormat="1" applyFont="1" applyFill="1" applyBorder="1" applyAlignment="1">
      <alignment horizontal="center" vertical="center"/>
    </xf>
    <xf numFmtId="43" fontId="0" fillId="64" borderId="0" xfId="88" applyFont="1" applyFill="1" applyAlignment="1">
      <alignment horizontal="center"/>
    </xf>
    <xf numFmtId="9" fontId="0" fillId="64" borderId="0" xfId="1" applyFont="1" applyFill="1" applyBorder="1" applyAlignment="1">
      <alignment horizontal="center"/>
    </xf>
    <xf numFmtId="9" fontId="0" fillId="64" borderId="65" xfId="1" applyFont="1" applyFill="1" applyBorder="1" applyAlignment="1">
      <alignment horizontal="center"/>
    </xf>
    <xf numFmtId="1" fontId="0" fillId="64" borderId="0" xfId="1" applyNumberFormat="1" applyFont="1" applyFill="1" applyAlignment="1">
      <alignment horizontal="center"/>
    </xf>
    <xf numFmtId="1" fontId="0" fillId="64" borderId="0" xfId="1" applyNumberFormat="1" applyFont="1" applyFill="1" applyBorder="1" applyAlignment="1">
      <alignment horizontal="center"/>
    </xf>
    <xf numFmtId="1" fontId="0" fillId="64" borderId="515" xfId="1" applyNumberFormat="1" applyFont="1" applyFill="1" applyBorder="1" applyAlignment="1">
      <alignment horizontal="center"/>
    </xf>
    <xf numFmtId="164" fontId="0" fillId="64" borderId="0" xfId="1" applyNumberFormat="1" applyFont="1" applyFill="1" applyBorder="1" applyAlignment="1">
      <alignment horizontal="center"/>
    </xf>
    <xf numFmtId="0" fontId="0" fillId="64" borderId="0" xfId="0" applyFill="1" applyAlignment="1">
      <alignment horizontal="left"/>
    </xf>
    <xf numFmtId="1" fontId="0" fillId="64" borderId="0" xfId="0" applyNumberFormat="1" applyFill="1" applyAlignment="1">
      <alignment horizontal="left"/>
    </xf>
    <xf numFmtId="1" fontId="0" fillId="64" borderId="0" xfId="0" applyNumberFormat="1" applyFill="1" applyAlignment="1">
      <alignment horizontal="right"/>
    </xf>
    <xf numFmtId="0" fontId="0" fillId="64" borderId="0" xfId="0" applyFill="1" applyAlignment="1"/>
    <xf numFmtId="17" fontId="87" fillId="0" borderId="196" xfId="0" applyNumberFormat="1" applyFont="1" applyBorder="1" applyAlignment="1">
      <alignment horizontal="center" vertical="center"/>
    </xf>
    <xf numFmtId="1" fontId="85" fillId="48" borderId="116" xfId="1" applyNumberFormat="1" applyFont="1" applyFill="1" applyBorder="1" applyAlignment="1">
      <alignment horizontal="center" vertical="center"/>
    </xf>
    <xf numFmtId="164" fontId="85" fillId="48" borderId="116" xfId="1" applyNumberFormat="1" applyFont="1" applyFill="1" applyBorder="1" applyAlignment="1">
      <alignment horizontal="center" vertical="center"/>
    </xf>
    <xf numFmtId="37" fontId="85" fillId="48" borderId="116" xfId="88" applyNumberFormat="1" applyFont="1" applyFill="1" applyBorder="1" applyAlignment="1">
      <alignment horizontal="center" vertical="center"/>
    </xf>
    <xf numFmtId="1" fontId="85" fillId="48" borderId="116" xfId="1" quotePrefix="1" applyNumberFormat="1" applyFont="1" applyFill="1" applyBorder="1" applyAlignment="1">
      <alignment horizontal="center" vertical="center"/>
    </xf>
    <xf numFmtId="9" fontId="85" fillId="48" borderId="116" xfId="1" quotePrefix="1" applyNumberFormat="1" applyFont="1" applyFill="1" applyBorder="1" applyAlignment="1">
      <alignment horizontal="center" vertical="center"/>
    </xf>
    <xf numFmtId="164" fontId="85" fillId="48" borderId="116" xfId="1" quotePrefix="1" applyNumberFormat="1" applyFont="1" applyFill="1" applyBorder="1" applyAlignment="1">
      <alignment horizontal="center" vertical="center"/>
    </xf>
    <xf numFmtId="1" fontId="154" fillId="65" borderId="117" xfId="1" applyNumberFormat="1" applyFont="1" applyFill="1" applyBorder="1" applyAlignment="1">
      <alignment horizontal="center" vertical="center"/>
    </xf>
    <xf numFmtId="164" fontId="154" fillId="65" borderId="117" xfId="1" applyNumberFormat="1" applyFont="1" applyFill="1" applyBorder="1" applyAlignment="1">
      <alignment horizontal="center" vertical="center"/>
    </xf>
    <xf numFmtId="164" fontId="154" fillId="65" borderId="114" xfId="1" applyNumberFormat="1" applyFont="1" applyFill="1" applyBorder="1" applyAlignment="1">
      <alignment horizontal="center" vertical="center"/>
    </xf>
    <xf numFmtId="3" fontId="74" fillId="65" borderId="106" xfId="0" applyNumberFormat="1" applyFont="1" applyFill="1" applyBorder="1" applyAlignment="1">
      <alignment horizontal="center" vertical="center" wrapText="1"/>
    </xf>
    <xf numFmtId="3" fontId="74" fillId="65" borderId="256" xfId="0" applyNumberFormat="1" applyFont="1" applyFill="1" applyBorder="1" applyAlignment="1">
      <alignment horizontal="center" vertical="center" wrapText="1"/>
    </xf>
    <xf numFmtId="0" fontId="154" fillId="65" borderId="113" xfId="0" applyFont="1" applyFill="1" applyBorder="1" applyAlignment="1">
      <alignment horizontal="center" vertical="center"/>
    </xf>
    <xf numFmtId="0" fontId="74" fillId="65" borderId="232" xfId="0" applyFont="1" applyFill="1" applyBorder="1" applyAlignment="1">
      <alignment horizontal="center" vertical="center"/>
    </xf>
    <xf numFmtId="0" fontId="74" fillId="65" borderId="255" xfId="0" applyFont="1" applyFill="1" applyBorder="1" applyAlignment="1">
      <alignment horizontal="center" vertical="center" wrapText="1"/>
    </xf>
    <xf numFmtId="0" fontId="74" fillId="65" borderId="255" xfId="0" applyFont="1" applyFill="1" applyBorder="1" applyAlignment="1">
      <alignment horizontal="center" vertical="center"/>
    </xf>
    <xf numFmtId="0" fontId="74" fillId="65" borderId="254" xfId="0" applyFont="1" applyFill="1" applyBorder="1" applyAlignment="1">
      <alignment horizontal="center" vertical="center" wrapText="1"/>
    </xf>
    <xf numFmtId="17" fontId="86" fillId="0" borderId="196" xfId="0" applyNumberFormat="1" applyFont="1" applyBorder="1" applyAlignment="1">
      <alignment horizontal="center" vertical="center"/>
    </xf>
    <xf numFmtId="17" fontId="86" fillId="0" borderId="111" xfId="0" applyNumberFormat="1" applyFont="1" applyBorder="1" applyAlignment="1">
      <alignment horizontal="center" vertical="center"/>
    </xf>
    <xf numFmtId="0" fontId="74" fillId="65" borderId="113" xfId="0" applyFont="1" applyFill="1" applyBorder="1" applyAlignment="1">
      <alignment horizontal="center" vertical="center"/>
    </xf>
    <xf numFmtId="9" fontId="74" fillId="65" borderId="117" xfId="1" applyFont="1" applyFill="1" applyBorder="1" applyAlignment="1">
      <alignment horizontal="center" vertical="center"/>
    </xf>
    <xf numFmtId="0" fontId="74" fillId="65" borderId="117" xfId="1" quotePrefix="1" applyNumberFormat="1" applyFont="1" applyFill="1" applyBorder="1" applyAlignment="1">
      <alignment horizontal="center" vertical="center"/>
    </xf>
    <xf numFmtId="0" fontId="74" fillId="65" borderId="117" xfId="1" applyNumberFormat="1" applyFont="1" applyFill="1" applyBorder="1" applyAlignment="1">
      <alignment horizontal="center" vertical="center"/>
    </xf>
    <xf numFmtId="9" fontId="86" fillId="59" borderId="516" xfId="1" applyFont="1" applyFill="1" applyBorder="1" applyAlignment="1">
      <alignment horizontal="center" vertical="center"/>
    </xf>
    <xf numFmtId="9" fontId="86" fillId="59" borderId="517" xfId="1" applyFont="1" applyFill="1" applyBorder="1" applyAlignment="1">
      <alignment horizontal="center" vertical="center"/>
    </xf>
    <xf numFmtId="9" fontId="86" fillId="0" borderId="518" xfId="1" applyFont="1" applyFill="1" applyBorder="1" applyAlignment="1">
      <alignment horizontal="center" vertical="center"/>
    </xf>
    <xf numFmtId="49" fontId="86" fillId="0" borderId="516" xfId="1" applyNumberFormat="1" applyFont="1" applyBorder="1" applyAlignment="1">
      <alignment horizontal="center" vertical="center"/>
    </xf>
    <xf numFmtId="49" fontId="86" fillId="59" borderId="516" xfId="1" applyNumberFormat="1" applyFont="1" applyFill="1" applyBorder="1" applyAlignment="1">
      <alignment horizontal="center" vertical="center"/>
    </xf>
    <xf numFmtId="49" fontId="86" fillId="48" borderId="516" xfId="1" applyNumberFormat="1" applyFont="1" applyFill="1" applyBorder="1" applyAlignment="1">
      <alignment horizontal="center" vertical="center"/>
    </xf>
    <xf numFmtId="49" fontId="86" fillId="48" borderId="516" xfId="1" quotePrefix="1" applyNumberFormat="1" applyFont="1" applyFill="1" applyBorder="1" applyAlignment="1">
      <alignment horizontal="center" vertical="center"/>
    </xf>
    <xf numFmtId="49" fontId="86" fillId="48" borderId="519" xfId="1" applyNumberFormat="1" applyFont="1" applyFill="1" applyBorder="1" applyAlignment="1">
      <alignment horizontal="center" vertical="center"/>
    </xf>
    <xf numFmtId="49" fontId="86" fillId="0" borderId="517" xfId="1" applyNumberFormat="1" applyFont="1" applyBorder="1" applyAlignment="1">
      <alignment horizontal="center" vertical="center"/>
    </xf>
    <xf numFmtId="49" fontId="86" fillId="59" borderId="517" xfId="1" applyNumberFormat="1" applyFont="1" applyFill="1" applyBorder="1" applyAlignment="1">
      <alignment horizontal="center" vertical="center"/>
    </xf>
    <xf numFmtId="49" fontId="86" fillId="0" borderId="520" xfId="1" applyNumberFormat="1" applyFont="1" applyBorder="1" applyAlignment="1">
      <alignment horizontal="center" vertical="center"/>
    </xf>
    <xf numFmtId="49" fontId="86" fillId="0" borderId="517" xfId="1" applyNumberFormat="1" applyFont="1" applyFill="1" applyBorder="1" applyAlignment="1">
      <alignment horizontal="center" vertical="center"/>
    </xf>
    <xf numFmtId="49" fontId="86" fillId="48" borderId="517" xfId="1" applyNumberFormat="1" applyFont="1" applyFill="1" applyBorder="1" applyAlignment="1">
      <alignment horizontal="center" vertical="center"/>
    </xf>
    <xf numFmtId="49" fontId="86" fillId="48" borderId="520" xfId="1" applyNumberFormat="1" applyFont="1" applyFill="1" applyBorder="1" applyAlignment="1">
      <alignment horizontal="center" vertical="center"/>
    </xf>
    <xf numFmtId="49" fontId="86" fillId="0" borderId="518" xfId="1" applyNumberFormat="1" applyFont="1" applyBorder="1" applyAlignment="1">
      <alignment horizontal="center" vertical="center"/>
    </xf>
    <xf numFmtId="49" fontId="86" fillId="0" borderId="518" xfId="1" applyNumberFormat="1" applyFont="1" applyFill="1" applyBorder="1" applyAlignment="1">
      <alignment horizontal="center" vertical="center"/>
    </xf>
    <xf numFmtId="49" fontId="86" fillId="0" borderId="521" xfId="1" applyNumberFormat="1" applyFont="1" applyFill="1" applyBorder="1" applyAlignment="1">
      <alignment horizontal="center" vertical="center"/>
    </xf>
    <xf numFmtId="0" fontId="74" fillId="64" borderId="522" xfId="0" applyFont="1" applyFill="1" applyBorder="1" applyAlignment="1">
      <alignment horizontal="center" vertical="center"/>
    </xf>
    <xf numFmtId="0" fontId="74" fillId="64" borderId="523" xfId="0" applyFont="1" applyFill="1" applyBorder="1" applyAlignment="1">
      <alignment horizontal="center" vertical="center"/>
    </xf>
    <xf numFmtId="0" fontId="74" fillId="64" borderId="524" xfId="0" applyFont="1" applyFill="1" applyBorder="1" applyAlignment="1">
      <alignment horizontal="center" vertical="center"/>
    </xf>
    <xf numFmtId="0" fontId="0" fillId="0" borderId="300" xfId="0" applyFont="1" applyBorder="1"/>
    <xf numFmtId="0" fontId="0" fillId="0" borderId="300" xfId="0" quotePrefix="1" applyFont="1" applyBorder="1" applyAlignment="1">
      <alignment horizontal="center"/>
    </xf>
    <xf numFmtId="0" fontId="0" fillId="0" borderId="300" xfId="0" applyFill="1" applyBorder="1"/>
    <xf numFmtId="0" fontId="0" fillId="0" borderId="529" xfId="0" applyBorder="1"/>
    <xf numFmtId="0" fontId="74" fillId="65" borderId="164" xfId="0" applyFont="1" applyFill="1" applyBorder="1" applyAlignment="1">
      <alignment horizontal="center" vertical="center" wrapText="1"/>
    </xf>
    <xf numFmtId="0" fontId="1" fillId="65" borderId="251" xfId="0" applyFont="1" applyFill="1" applyBorder="1" applyAlignment="1">
      <alignment vertical="top"/>
    </xf>
    <xf numFmtId="17" fontId="87" fillId="0" borderId="128" xfId="0" applyNumberFormat="1" applyFont="1" applyBorder="1" applyAlignment="1">
      <alignment horizontal="center" vertical="center"/>
    </xf>
    <xf numFmtId="165" fontId="85" fillId="0" borderId="187" xfId="0" applyNumberFormat="1" applyFont="1" applyFill="1" applyBorder="1" applyAlignment="1">
      <alignment horizontal="center" vertical="center"/>
    </xf>
    <xf numFmtId="174" fontId="85" fillId="0" borderId="188" xfId="0" applyNumberFormat="1" applyFont="1" applyFill="1" applyBorder="1" applyAlignment="1">
      <alignment horizontal="center" vertical="center"/>
    </xf>
    <xf numFmtId="174" fontId="85" fillId="48" borderId="188" xfId="0" applyNumberFormat="1" applyFont="1" applyFill="1" applyBorder="1" applyAlignment="1">
      <alignment horizontal="center" vertical="center"/>
    </xf>
    <xf numFmtId="174" fontId="85" fillId="0" borderId="189" xfId="0" applyNumberFormat="1" applyFont="1" applyFill="1" applyBorder="1" applyAlignment="1">
      <alignment horizontal="center" vertical="center"/>
    </xf>
    <xf numFmtId="174" fontId="85" fillId="0" borderId="187" xfId="0" applyNumberFormat="1" applyFont="1" applyFill="1" applyBorder="1" applyAlignment="1">
      <alignment horizontal="center" vertical="center"/>
    </xf>
    <xf numFmtId="4" fontId="85" fillId="65" borderId="203" xfId="0" applyNumberFormat="1" applyFont="1" applyFill="1" applyBorder="1" applyAlignment="1">
      <alignment horizontal="center" vertical="center"/>
    </xf>
    <xf numFmtId="174" fontId="85" fillId="0" borderId="191" xfId="0" applyNumberFormat="1" applyFont="1" applyFill="1" applyBorder="1" applyAlignment="1">
      <alignment horizontal="center" vertical="center"/>
    </xf>
    <xf numFmtId="174" fontId="85" fillId="0" borderId="190" xfId="0" applyNumberFormat="1" applyFont="1" applyFill="1" applyBorder="1" applyAlignment="1">
      <alignment horizontal="center" vertical="center"/>
    </xf>
    <xf numFmtId="174" fontId="85" fillId="0" borderId="186" xfId="0" applyNumberFormat="1" applyFont="1" applyFill="1" applyBorder="1" applyAlignment="1">
      <alignment horizontal="center" vertical="center"/>
    </xf>
    <xf numFmtId="174" fontId="85" fillId="0" borderId="344" xfId="0" applyNumberFormat="1" applyFont="1" applyFill="1" applyBorder="1" applyAlignment="1">
      <alignment horizontal="center" vertical="center"/>
    </xf>
    <xf numFmtId="174" fontId="85" fillId="0" borderId="345" xfId="0" applyNumberFormat="1" applyFont="1" applyFill="1" applyBorder="1" applyAlignment="1">
      <alignment horizontal="center" vertical="center"/>
    </xf>
    <xf numFmtId="4" fontId="85" fillId="65" borderId="194" xfId="0" applyNumberFormat="1" applyFont="1" applyFill="1" applyBorder="1" applyAlignment="1">
      <alignment horizontal="center" vertical="center"/>
    </xf>
    <xf numFmtId="174" fontId="85" fillId="0" borderId="179" xfId="0" applyNumberFormat="1" applyFont="1" applyFill="1" applyBorder="1" applyAlignment="1">
      <alignment horizontal="center" vertical="center"/>
    </xf>
    <xf numFmtId="4" fontId="85" fillId="65" borderId="156" xfId="0" applyNumberFormat="1" applyFont="1" applyFill="1" applyBorder="1" applyAlignment="1">
      <alignment horizontal="center" vertical="center"/>
    </xf>
    <xf numFmtId="174" fontId="85" fillId="0" borderId="348" xfId="0" applyNumberFormat="1" applyFont="1" applyFill="1" applyBorder="1" applyAlignment="1">
      <alignment horizontal="center" vertical="center"/>
    </xf>
    <xf numFmtId="174" fontId="85" fillId="65" borderId="195" xfId="0" applyNumberFormat="1" applyFont="1" applyFill="1" applyBorder="1" applyAlignment="1">
      <alignment horizontal="center" vertical="center"/>
    </xf>
    <xf numFmtId="174" fontId="85" fillId="0" borderId="347" xfId="0" applyNumberFormat="1" applyFont="1" applyFill="1" applyBorder="1" applyAlignment="1">
      <alignment horizontal="center" vertical="center"/>
    </xf>
    <xf numFmtId="174" fontId="85" fillId="0" borderId="163" xfId="0" applyNumberFormat="1" applyFont="1" applyFill="1" applyBorder="1" applyAlignment="1">
      <alignment horizontal="center" vertical="center"/>
    </xf>
    <xf numFmtId="174" fontId="85" fillId="0" borderId="360" xfId="0" applyNumberFormat="1" applyFont="1" applyFill="1" applyBorder="1" applyAlignment="1">
      <alignment horizontal="center" vertical="center"/>
    </xf>
    <xf numFmtId="174" fontId="85" fillId="0" borderId="364" xfId="0" applyNumberFormat="1" applyFont="1" applyFill="1" applyBorder="1" applyAlignment="1">
      <alignment horizontal="center" vertical="center"/>
    </xf>
    <xf numFmtId="174" fontId="85" fillId="0" borderId="184" xfId="0" applyNumberFormat="1" applyFont="1" applyFill="1" applyBorder="1" applyAlignment="1">
      <alignment horizontal="center" vertical="center"/>
    </xf>
    <xf numFmtId="174" fontId="85" fillId="65" borderId="236" xfId="0" quotePrefix="1" applyNumberFormat="1" applyFont="1" applyFill="1" applyBorder="1" applyAlignment="1">
      <alignment horizontal="center" vertical="center"/>
    </xf>
    <xf numFmtId="174" fontId="85" fillId="0" borderId="248" xfId="0" applyNumberFormat="1" applyFont="1" applyFill="1" applyBorder="1" applyAlignment="1">
      <alignment horizontal="center" vertical="center"/>
    </xf>
    <xf numFmtId="174" fontId="85" fillId="0" borderId="249" xfId="0" applyNumberFormat="1" applyFont="1" applyFill="1" applyBorder="1" applyAlignment="1">
      <alignment horizontal="center" vertical="center"/>
    </xf>
    <xf numFmtId="174" fontId="85" fillId="0" borderId="245" xfId="0" applyNumberFormat="1" applyFont="1" applyFill="1" applyBorder="1" applyAlignment="1">
      <alignment horizontal="center" vertical="center"/>
    </xf>
    <xf numFmtId="4" fontId="85" fillId="65" borderId="204" xfId="0" applyNumberFormat="1" applyFont="1" applyFill="1" applyBorder="1" applyAlignment="1">
      <alignment horizontal="center" vertical="center"/>
    </xf>
    <xf numFmtId="4" fontId="85" fillId="65" borderId="193" xfId="0" applyNumberFormat="1" applyFont="1" applyFill="1" applyBorder="1" applyAlignment="1">
      <alignment horizontal="center" vertical="center"/>
    </xf>
    <xf numFmtId="4" fontId="85" fillId="65" borderId="0" xfId="0" applyNumberFormat="1" applyFont="1" applyFill="1" applyBorder="1" applyAlignment="1">
      <alignment horizontal="center" vertical="center"/>
    </xf>
    <xf numFmtId="4" fontId="85" fillId="65" borderId="123" xfId="0" applyNumberFormat="1" applyFont="1" applyFill="1" applyBorder="1" applyAlignment="1">
      <alignment horizontal="center" vertical="center"/>
    </xf>
    <xf numFmtId="174" fontId="85" fillId="0" borderId="361" xfId="0" applyNumberFormat="1" applyFont="1" applyFill="1" applyBorder="1" applyAlignment="1">
      <alignment horizontal="center" vertical="center"/>
    </xf>
    <xf numFmtId="174" fontId="85" fillId="0" borderId="362" xfId="0" applyNumberFormat="1" applyFont="1" applyFill="1" applyBorder="1" applyAlignment="1">
      <alignment horizontal="center" vertical="center"/>
    </xf>
    <xf numFmtId="174" fontId="85" fillId="0" borderId="363" xfId="0" applyNumberFormat="1" applyFont="1" applyFill="1" applyBorder="1" applyAlignment="1">
      <alignment horizontal="center" vertical="center"/>
    </xf>
    <xf numFmtId="174" fontId="85" fillId="0" borderId="365" xfId="0" applyNumberFormat="1" applyFont="1" applyFill="1" applyBorder="1" applyAlignment="1">
      <alignment horizontal="center" vertical="center"/>
    </xf>
    <xf numFmtId="4" fontId="85" fillId="65" borderId="250" xfId="0" quotePrefix="1" applyNumberFormat="1" applyFont="1" applyFill="1" applyBorder="1" applyAlignment="1">
      <alignment horizontal="center" vertical="center"/>
    </xf>
    <xf numFmtId="4" fontId="85" fillId="65" borderId="206" xfId="0" applyNumberFormat="1" applyFont="1" applyFill="1" applyBorder="1" applyAlignment="1">
      <alignment horizontal="center" vertical="center"/>
    </xf>
    <xf numFmtId="4" fontId="85" fillId="65" borderId="346" xfId="0" applyNumberFormat="1" applyFont="1" applyFill="1" applyBorder="1" applyAlignment="1">
      <alignment horizontal="center" vertical="center"/>
    </xf>
    <xf numFmtId="4" fontId="85" fillId="0" borderId="247" xfId="0" applyNumberFormat="1" applyFont="1" applyFill="1" applyBorder="1" applyAlignment="1">
      <alignment horizontal="center" vertical="center"/>
    </xf>
    <xf numFmtId="4" fontId="85" fillId="0" borderId="184" xfId="0" applyNumberFormat="1" applyFont="1" applyFill="1" applyBorder="1" applyAlignment="1">
      <alignment horizontal="center" vertical="center"/>
    </xf>
    <xf numFmtId="4" fontId="85" fillId="65" borderId="248" xfId="0" quotePrefix="1" applyNumberFormat="1" applyFont="1" applyFill="1" applyBorder="1" applyAlignment="1">
      <alignment horizontal="center" vertical="center"/>
    </xf>
    <xf numFmtId="0" fontId="76" fillId="65" borderId="192" xfId="0" applyFont="1" applyFill="1" applyBorder="1" applyAlignment="1">
      <alignment horizontal="center" vertical="center"/>
    </xf>
    <xf numFmtId="174" fontId="76" fillId="65" borderId="198" xfId="0" applyNumberFormat="1" applyFont="1" applyFill="1" applyBorder="1" applyAlignment="1">
      <alignment horizontal="center" vertical="center"/>
    </xf>
    <xf numFmtId="174" fontId="76" fillId="65" borderId="199" xfId="0" applyNumberFormat="1" applyFont="1" applyFill="1" applyBorder="1" applyAlignment="1">
      <alignment horizontal="center" vertical="center"/>
    </xf>
    <xf numFmtId="174" fontId="76" fillId="65" borderId="200" xfId="0" applyNumberFormat="1" applyFont="1" applyFill="1" applyBorder="1" applyAlignment="1">
      <alignment horizontal="center" vertical="center"/>
    </xf>
    <xf numFmtId="4" fontId="76" fillId="65" borderId="201" xfId="0" applyNumberFormat="1" applyFont="1" applyFill="1" applyBorder="1" applyAlignment="1">
      <alignment horizontal="center" vertical="center"/>
    </xf>
    <xf numFmtId="174" fontId="76" fillId="65" borderId="202" xfId="0" applyNumberFormat="1" applyFont="1" applyFill="1" applyBorder="1" applyAlignment="1">
      <alignment horizontal="center" vertical="center"/>
    </xf>
    <xf numFmtId="4" fontId="76" fillId="65" borderId="200" xfId="0" applyNumberFormat="1" applyFont="1" applyFill="1" applyBorder="1" applyAlignment="1">
      <alignment horizontal="center" vertical="center"/>
    </xf>
    <xf numFmtId="174" fontId="76" fillId="65" borderId="201" xfId="0" applyNumberFormat="1" applyFont="1" applyFill="1" applyBorder="1" applyAlignment="1">
      <alignment horizontal="center" vertical="center"/>
    </xf>
    <xf numFmtId="174" fontId="76" fillId="65" borderId="325" xfId="0" applyNumberFormat="1" applyFont="1" applyFill="1" applyBorder="1" applyAlignment="1">
      <alignment horizontal="center" vertical="center"/>
    </xf>
    <xf numFmtId="0" fontId="74" fillId="65" borderId="205" xfId="0" applyFont="1" applyFill="1" applyBorder="1" applyAlignment="1">
      <alignment horizontal="center" vertical="center" wrapText="1"/>
    </xf>
    <xf numFmtId="3" fontId="74" fillId="65" borderId="180" xfId="0" applyNumberFormat="1" applyFont="1" applyFill="1" applyBorder="1" applyAlignment="1">
      <alignment horizontal="center" wrapText="1"/>
    </xf>
    <xf numFmtId="3" fontId="74" fillId="65" borderId="136" xfId="0" applyNumberFormat="1" applyFont="1" applyFill="1" applyBorder="1" applyAlignment="1">
      <alignment horizontal="center" wrapText="1"/>
    </xf>
    <xf numFmtId="3" fontId="74" fillId="65" borderId="181" xfId="0" applyNumberFormat="1" applyFont="1" applyFill="1" applyBorder="1" applyAlignment="1">
      <alignment horizontal="center" wrapText="1"/>
    </xf>
    <xf numFmtId="3" fontId="74" fillId="65" borderId="182" xfId="0" applyNumberFormat="1" applyFont="1" applyFill="1" applyBorder="1" applyAlignment="1">
      <alignment horizontal="center" wrapText="1"/>
    </xf>
    <xf numFmtId="3" fontId="74" fillId="65" borderId="240" xfId="0" applyNumberFormat="1" applyFont="1" applyFill="1" applyBorder="1" applyAlignment="1">
      <alignment horizontal="center" wrapText="1"/>
    </xf>
    <xf numFmtId="3" fontId="74" fillId="65" borderId="241" xfId="0" applyNumberFormat="1" applyFont="1" applyFill="1" applyBorder="1" applyAlignment="1">
      <alignment horizontal="center" wrapText="1"/>
    </xf>
    <xf numFmtId="3" fontId="74" fillId="65" borderId="242" xfId="0" applyNumberFormat="1" applyFont="1" applyFill="1" applyBorder="1" applyAlignment="1">
      <alignment horizontal="center" wrapText="1"/>
    </xf>
    <xf numFmtId="3" fontId="74" fillId="65" borderId="243" xfId="0" applyNumberFormat="1" applyFont="1" applyFill="1" applyBorder="1" applyAlignment="1">
      <alignment horizontal="center" wrapText="1"/>
    </xf>
    <xf numFmtId="3" fontId="74" fillId="65" borderId="244" xfId="0" applyNumberFormat="1" applyFont="1" applyFill="1" applyBorder="1" applyAlignment="1">
      <alignment horizontal="center" wrapText="1"/>
    </xf>
    <xf numFmtId="3" fontId="74" fillId="65" borderId="253" xfId="0" applyNumberFormat="1" applyFont="1" applyFill="1" applyBorder="1" applyAlignment="1">
      <alignment horizontal="center" wrapText="1"/>
    </xf>
    <xf numFmtId="9" fontId="78" fillId="65" borderId="341" xfId="0" applyNumberFormat="1" applyFont="1" applyFill="1" applyBorder="1" applyAlignment="1">
      <alignment horizontal="center" vertical="center"/>
    </xf>
    <xf numFmtId="164" fontId="27" fillId="48" borderId="296" xfId="1" applyNumberFormat="1" applyFont="1" applyFill="1" applyBorder="1" applyAlignment="1">
      <alignment horizontal="center" vertical="center"/>
    </xf>
    <xf numFmtId="164" fontId="27" fillId="48" borderId="309" xfId="1" applyNumberFormat="1" applyFont="1" applyFill="1" applyBorder="1" applyAlignment="1">
      <alignment horizontal="center" vertical="center"/>
    </xf>
    <xf numFmtId="164" fontId="27" fillId="48" borderId="289" xfId="1" applyNumberFormat="1" applyFont="1" applyFill="1" applyBorder="1" applyAlignment="1">
      <alignment horizontal="center" vertical="center"/>
    </xf>
    <xf numFmtId="164" fontId="27" fillId="48" borderId="290" xfId="1" applyNumberFormat="1" applyFont="1" applyFill="1" applyBorder="1" applyAlignment="1">
      <alignment horizontal="center" vertical="center"/>
    </xf>
    <xf numFmtId="0" fontId="78" fillId="65" borderId="341" xfId="0" applyFont="1" applyFill="1" applyBorder="1" applyAlignment="1">
      <alignment horizontal="center" vertical="center"/>
    </xf>
    <xf numFmtId="164" fontId="78" fillId="0" borderId="306" xfId="1" applyNumberFormat="1" applyFont="1" applyBorder="1" applyAlignment="1">
      <alignment horizontal="center" vertical="center"/>
    </xf>
    <xf numFmtId="164" fontId="78" fillId="48" borderId="292" xfId="0" applyNumberFormat="1" applyFont="1" applyFill="1" applyBorder="1" applyAlignment="1">
      <alignment horizontal="center" vertical="center"/>
    </xf>
    <xf numFmtId="164" fontId="27" fillId="48" borderId="292" xfId="1" applyNumberFormat="1" applyFont="1" applyFill="1" applyBorder="1" applyAlignment="1">
      <alignment horizontal="center" vertical="center"/>
    </xf>
    <xf numFmtId="0" fontId="76" fillId="65" borderId="113" xfId="0" applyFont="1" applyFill="1" applyBorder="1" applyAlignment="1">
      <alignment vertical="center"/>
    </xf>
    <xf numFmtId="164" fontId="76" fillId="65" borderId="117" xfId="1" applyNumberFormat="1" applyFont="1" applyFill="1" applyBorder="1" applyAlignment="1">
      <alignment horizontal="center" vertical="center"/>
    </xf>
    <xf numFmtId="164" fontId="76" fillId="65" borderId="327" xfId="1" applyNumberFormat="1" applyFont="1" applyFill="1" applyBorder="1" applyAlignment="1">
      <alignment horizontal="center" vertical="center"/>
    </xf>
    <xf numFmtId="164" fontId="76" fillId="65" borderId="328" xfId="1" applyNumberFormat="1" applyFont="1" applyFill="1" applyBorder="1" applyAlignment="1">
      <alignment horizontal="center" vertical="center"/>
    </xf>
    <xf numFmtId="0" fontId="74" fillId="65" borderId="95" xfId="0" applyFont="1" applyFill="1" applyBorder="1" applyAlignment="1">
      <alignment horizontal="center" vertical="center" wrapText="1"/>
    </xf>
    <xf numFmtId="0" fontId="74" fillId="65" borderId="165" xfId="0" applyFont="1" applyFill="1" applyBorder="1" applyAlignment="1">
      <alignment horizontal="center" vertical="center" wrapText="1"/>
    </xf>
    <xf numFmtId="17" fontId="59" fillId="0" borderId="111" xfId="0" applyNumberFormat="1" applyFont="1" applyBorder="1" applyAlignment="1">
      <alignment horizontal="center" vertical="center"/>
    </xf>
    <xf numFmtId="1" fontId="86" fillId="0" borderId="116" xfId="0" applyNumberFormat="1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48" borderId="1" xfId="0" applyFont="1" applyFill="1" applyBorder="1" applyAlignment="1">
      <alignment horizontal="center" vertical="center"/>
    </xf>
    <xf numFmtId="1" fontId="86" fillId="0" borderId="239" xfId="0" applyNumberFormat="1" applyFont="1" applyBorder="1" applyAlignment="1">
      <alignment horizontal="center" vertical="center"/>
    </xf>
    <xf numFmtId="1" fontId="86" fillId="48" borderId="1" xfId="0" quotePrefix="1" applyNumberFormat="1" applyFont="1" applyFill="1" applyBorder="1" applyAlignment="1">
      <alignment horizontal="center" vertical="center"/>
    </xf>
    <xf numFmtId="1" fontId="86" fillId="48" borderId="1" xfId="0" applyNumberFormat="1" applyFont="1" applyFill="1" applyBorder="1" applyAlignment="1">
      <alignment horizontal="center" vertical="center"/>
    </xf>
    <xf numFmtId="0" fontId="86" fillId="0" borderId="116" xfId="0" applyFont="1" applyBorder="1" applyAlignment="1">
      <alignment horizontal="center" vertical="center"/>
    </xf>
    <xf numFmtId="0" fontId="86" fillId="48" borderId="116" xfId="0" applyFont="1" applyFill="1" applyBorder="1" applyAlignment="1">
      <alignment horizontal="center" vertical="center"/>
    </xf>
    <xf numFmtId="1" fontId="75" fillId="48" borderId="1" xfId="0" applyNumberFormat="1" applyFont="1" applyFill="1" applyBorder="1" applyAlignment="1">
      <alignment horizontal="center" vertical="center"/>
    </xf>
    <xf numFmtId="0" fontId="74" fillId="65" borderId="171" xfId="0" applyFont="1" applyFill="1" applyBorder="1" applyAlignment="1">
      <alignment horizontal="center" vertical="center"/>
    </xf>
    <xf numFmtId="1" fontId="74" fillId="65" borderId="96" xfId="0" applyNumberFormat="1" applyFont="1" applyFill="1" applyBorder="1" applyAlignment="1">
      <alignment horizontal="center" vertical="center"/>
    </xf>
    <xf numFmtId="0" fontId="74" fillId="65" borderId="118" xfId="0" applyFont="1" applyFill="1" applyBorder="1" applyAlignment="1">
      <alignment horizontal="center" vertical="center"/>
    </xf>
    <xf numFmtId="0" fontId="74" fillId="65" borderId="164" xfId="0" applyFont="1" applyFill="1" applyBorder="1" applyAlignment="1">
      <alignment horizontal="center" vertical="center"/>
    </xf>
    <xf numFmtId="1" fontId="86" fillId="0" borderId="139" xfId="0" applyNumberFormat="1" applyFont="1" applyBorder="1" applyAlignment="1">
      <alignment horizontal="center" vertical="center"/>
    </xf>
    <xf numFmtId="1" fontId="86" fillId="48" borderId="116" xfId="0" applyNumberFormat="1" applyFont="1" applyFill="1" applyBorder="1" applyAlignment="1">
      <alignment horizontal="center" vertical="center"/>
    </xf>
    <xf numFmtId="0" fontId="74" fillId="65" borderId="127" xfId="0" applyFont="1" applyFill="1" applyBorder="1" applyAlignment="1">
      <alignment horizontal="center" vertical="center" wrapText="1"/>
    </xf>
    <xf numFmtId="0" fontId="74" fillId="65" borderId="268" xfId="0" applyFont="1" applyFill="1" applyBorder="1" applyAlignment="1">
      <alignment horizontal="center" vertical="center" wrapText="1"/>
    </xf>
    <xf numFmtId="0" fontId="74" fillId="65" borderId="270" xfId="0" applyFont="1" applyFill="1" applyBorder="1" applyAlignment="1">
      <alignment horizontal="center" vertical="center" wrapText="1"/>
    </xf>
    <xf numFmtId="0" fontId="74" fillId="65" borderId="267" xfId="0" applyFont="1" applyFill="1" applyBorder="1" applyAlignment="1">
      <alignment horizontal="center" vertical="center" wrapText="1"/>
    </xf>
    <xf numFmtId="0" fontId="74" fillId="65" borderId="269" xfId="0" applyFont="1" applyFill="1" applyBorder="1" applyAlignment="1">
      <alignment horizontal="center" vertical="center" wrapText="1"/>
    </xf>
    <xf numFmtId="17" fontId="59" fillId="48" borderId="128" xfId="0" applyNumberFormat="1" applyFont="1" applyFill="1" applyBorder="1" applyAlignment="1">
      <alignment horizontal="center" vertical="center"/>
    </xf>
    <xf numFmtId="1" fontId="86" fillId="48" borderId="323" xfId="0" applyNumberFormat="1" applyFont="1" applyFill="1" applyBorder="1" applyAlignment="1">
      <alignment horizontal="center" vertical="center"/>
    </xf>
    <xf numFmtId="1" fontId="86" fillId="48" borderId="303" xfId="0" applyNumberFormat="1" applyFont="1" applyFill="1" applyBorder="1" applyAlignment="1">
      <alignment horizontal="center" vertical="center"/>
    </xf>
    <xf numFmtId="1" fontId="86" fillId="48" borderId="359" xfId="0" applyNumberFormat="1" applyFont="1" applyFill="1" applyBorder="1" applyAlignment="1">
      <alignment horizontal="center" vertical="center"/>
    </xf>
    <xf numFmtId="0" fontId="86" fillId="48" borderId="359" xfId="0" applyFont="1" applyFill="1" applyBorder="1" applyAlignment="1">
      <alignment horizontal="center" vertical="center"/>
    </xf>
    <xf numFmtId="1" fontId="86" fillId="48" borderId="288" xfId="0" applyNumberFormat="1" applyFont="1" applyFill="1" applyBorder="1" applyAlignment="1">
      <alignment horizontal="center" vertical="center"/>
    </xf>
    <xf numFmtId="1" fontId="86" fillId="48" borderId="289" xfId="0" applyNumberFormat="1" applyFont="1" applyFill="1" applyBorder="1" applyAlignment="1">
      <alignment horizontal="center" vertical="center"/>
    </xf>
    <xf numFmtId="1" fontId="86" fillId="48" borderId="324" xfId="0" applyNumberFormat="1" applyFont="1" applyFill="1" applyBorder="1" applyAlignment="1">
      <alignment horizontal="center" vertical="center"/>
    </xf>
    <xf numFmtId="1" fontId="86" fillId="48" borderId="306" xfId="0" applyNumberFormat="1" applyFont="1" applyFill="1" applyBorder="1" applyAlignment="1">
      <alignment horizontal="center" vertical="center"/>
    </xf>
    <xf numFmtId="0" fontId="86" fillId="48" borderId="306" xfId="0" applyFont="1" applyFill="1" applyBorder="1" applyAlignment="1">
      <alignment horizontal="center" vertical="center"/>
    </xf>
    <xf numFmtId="0" fontId="74" fillId="65" borderId="113" xfId="0" applyFont="1" applyFill="1" applyBorder="1" applyAlignment="1">
      <alignment vertical="center"/>
    </xf>
    <xf numFmtId="1" fontId="74" fillId="65" borderId="117" xfId="0" applyNumberFormat="1" applyFont="1" applyFill="1" applyBorder="1" applyAlignment="1">
      <alignment horizontal="center" vertical="center"/>
    </xf>
    <xf numFmtId="0" fontId="74" fillId="65" borderId="129" xfId="0" applyFont="1" applyFill="1" applyBorder="1" applyAlignment="1">
      <alignment horizontal="center" vertical="center"/>
    </xf>
    <xf numFmtId="0" fontId="75" fillId="0" borderId="131" xfId="0" applyFont="1" applyBorder="1"/>
    <xf numFmtId="0" fontId="75" fillId="0" borderId="133" xfId="0" applyFont="1" applyBorder="1"/>
    <xf numFmtId="0" fontId="74" fillId="65" borderId="134" xfId="0" applyFont="1" applyFill="1" applyBorder="1" applyAlignment="1">
      <alignment horizontal="center" vertical="center"/>
    </xf>
    <xf numFmtId="0" fontId="75" fillId="0" borderId="135" xfId="0" applyFont="1" applyFill="1" applyBorder="1"/>
    <xf numFmtId="3" fontId="25" fillId="65" borderId="46" xfId="0" applyNumberFormat="1" applyFont="1" applyFill="1" applyBorder="1" applyAlignment="1">
      <alignment horizontal="center" vertical="center" wrapText="1"/>
    </xf>
    <xf numFmtId="3" fontId="25" fillId="65" borderId="47" xfId="0" applyNumberFormat="1" applyFont="1" applyFill="1" applyBorder="1" applyAlignment="1">
      <alignment horizontal="center" vertical="center" wrapText="1"/>
    </xf>
    <xf numFmtId="3" fontId="25" fillId="65" borderId="30" xfId="0" applyNumberFormat="1" applyFont="1" applyFill="1" applyBorder="1" applyAlignment="1">
      <alignment horizontal="center" vertical="center" wrapText="1"/>
    </xf>
    <xf numFmtId="0" fontId="47" fillId="48" borderId="0" xfId="0" applyFont="1" applyFill="1" applyBorder="1" applyAlignment="1"/>
    <xf numFmtId="0" fontId="0" fillId="48" borderId="0" xfId="0" applyFill="1" applyBorder="1" applyAlignment="1"/>
    <xf numFmtId="0" fontId="76" fillId="65" borderId="238" xfId="0" applyFont="1" applyFill="1" applyBorder="1" applyAlignment="1">
      <alignment horizontal="center" vertical="center"/>
    </xf>
    <xf numFmtId="0" fontId="76" fillId="65" borderId="237" xfId="0" applyFont="1" applyFill="1" applyBorder="1" applyAlignment="1">
      <alignment horizontal="center" vertical="center"/>
    </xf>
    <xf numFmtId="0" fontId="76" fillId="65" borderId="553" xfId="0" applyFont="1" applyFill="1" applyBorder="1" applyAlignment="1">
      <alignment horizontal="center" vertical="center"/>
    </xf>
    <xf numFmtId="17" fontId="79" fillId="0" borderId="554" xfId="0" applyNumberFormat="1" applyFont="1" applyBorder="1" applyAlignment="1">
      <alignment horizontal="center" vertical="center"/>
    </xf>
    <xf numFmtId="0" fontId="79" fillId="0" borderId="530" xfId="0" applyFont="1" applyBorder="1" applyAlignment="1">
      <alignment horizontal="center" vertical="center"/>
    </xf>
    <xf numFmtId="0" fontId="79" fillId="0" borderId="536" xfId="0" applyFont="1" applyFill="1" applyBorder="1" applyAlignment="1">
      <alignment horizontal="center" vertical="center"/>
    </xf>
    <xf numFmtId="0" fontId="79" fillId="0" borderId="537" xfId="0" applyFont="1" applyFill="1" applyBorder="1" applyAlignment="1">
      <alignment horizontal="center" vertical="center"/>
    </xf>
    <xf numFmtId="0" fontId="79" fillId="0" borderId="534" xfId="0" applyFont="1" applyFill="1" applyBorder="1" applyAlignment="1">
      <alignment horizontal="center" vertical="center"/>
    </xf>
    <xf numFmtId="0" fontId="79" fillId="0" borderId="532" xfId="0" applyFont="1" applyFill="1" applyBorder="1" applyAlignment="1">
      <alignment horizontal="center" vertical="center"/>
    </xf>
    <xf numFmtId="0" fontId="79" fillId="0" borderId="542" xfId="0" applyFont="1" applyFill="1" applyBorder="1" applyAlignment="1">
      <alignment horizontal="center" vertical="center"/>
    </xf>
    <xf numFmtId="0" fontId="79" fillId="0" borderId="543" xfId="0" applyFont="1" applyFill="1" applyBorder="1" applyAlignment="1">
      <alignment horizontal="center" vertical="center"/>
    </xf>
    <xf numFmtId="0" fontId="79" fillId="0" borderId="555" xfId="0" applyFont="1" applyFill="1" applyBorder="1" applyAlignment="1">
      <alignment horizontal="center" vertical="center"/>
    </xf>
    <xf numFmtId="0" fontId="79" fillId="0" borderId="538" xfId="0" applyFont="1" applyFill="1" applyBorder="1" applyAlignment="1">
      <alignment horizontal="center" vertical="center"/>
    </xf>
    <xf numFmtId="0" fontId="79" fillId="0" borderId="539" xfId="0" applyFont="1" applyFill="1" applyBorder="1" applyAlignment="1">
      <alignment horizontal="center" vertical="center"/>
    </xf>
    <xf numFmtId="0" fontId="79" fillId="0" borderId="146" xfId="0" applyFont="1" applyFill="1" applyBorder="1" applyAlignment="1">
      <alignment horizontal="center" vertical="center"/>
    </xf>
    <xf numFmtId="0" fontId="79" fillId="0" borderId="263" xfId="0" applyFont="1" applyFill="1" applyBorder="1" applyAlignment="1">
      <alignment horizontal="center" vertical="center"/>
    </xf>
    <xf numFmtId="0" fontId="79" fillId="0" borderId="544" xfId="0" applyFont="1" applyFill="1" applyBorder="1" applyAlignment="1">
      <alignment horizontal="center" vertical="center"/>
    </xf>
    <xf numFmtId="0" fontId="79" fillId="0" borderId="545" xfId="0" applyFont="1" applyFill="1" applyBorder="1" applyAlignment="1">
      <alignment horizontal="center" vertical="center"/>
    </xf>
    <xf numFmtId="0" fontId="79" fillId="0" borderId="556" xfId="0" applyFont="1" applyFill="1" applyBorder="1" applyAlignment="1">
      <alignment horizontal="center" vertical="center"/>
    </xf>
    <xf numFmtId="0" fontId="79" fillId="48" borderId="531" xfId="0" applyFont="1" applyFill="1" applyBorder="1" applyAlignment="1">
      <alignment horizontal="center" vertical="center"/>
    </xf>
    <xf numFmtId="0" fontId="79" fillId="0" borderId="540" xfId="0" applyFont="1" applyFill="1" applyBorder="1" applyAlignment="1">
      <alignment horizontal="center" vertical="center"/>
    </xf>
    <xf numFmtId="0" fontId="79" fillId="0" borderId="541" xfId="0" applyFont="1" applyFill="1" applyBorder="1" applyAlignment="1">
      <alignment horizontal="center" vertical="center"/>
    </xf>
    <xf numFmtId="0" fontId="79" fillId="0" borderId="535" xfId="0" applyFont="1" applyFill="1" applyBorder="1" applyAlignment="1">
      <alignment horizontal="center" vertical="center"/>
    </xf>
    <xf numFmtId="0" fontId="79" fillId="0" borderId="533" xfId="0" applyFont="1" applyFill="1" applyBorder="1" applyAlignment="1">
      <alignment horizontal="center" vertical="center"/>
    </xf>
    <xf numFmtId="0" fontId="79" fillId="0" borderId="546" xfId="0" applyFont="1" applyFill="1" applyBorder="1" applyAlignment="1">
      <alignment horizontal="center" vertical="center"/>
    </xf>
    <xf numFmtId="0" fontId="79" fillId="0" borderId="547" xfId="0" applyFont="1" applyFill="1" applyBorder="1" applyAlignment="1">
      <alignment horizontal="center" vertical="center"/>
    </xf>
    <xf numFmtId="0" fontId="79" fillId="0" borderId="557" xfId="0" applyFont="1" applyFill="1" applyBorder="1" applyAlignment="1">
      <alignment horizontal="center" vertical="center"/>
    </xf>
    <xf numFmtId="0" fontId="76" fillId="65" borderId="558" xfId="0" applyFont="1" applyFill="1" applyBorder="1" applyAlignment="1">
      <alignment horizontal="center" vertical="center"/>
    </xf>
    <xf numFmtId="0" fontId="76" fillId="65" borderId="559" xfId="0" applyFont="1" applyFill="1" applyBorder="1" applyAlignment="1">
      <alignment horizontal="center" vertical="center"/>
    </xf>
    <xf numFmtId="0" fontId="76" fillId="65" borderId="560" xfId="0" applyFont="1" applyFill="1" applyBorder="1" applyAlignment="1">
      <alignment horizontal="center" vertical="center"/>
    </xf>
    <xf numFmtId="3" fontId="154" fillId="64" borderId="418" xfId="0" applyNumberFormat="1" applyFont="1" applyFill="1" applyBorder="1" applyAlignment="1">
      <alignment horizontal="center" wrapText="1"/>
    </xf>
    <xf numFmtId="3" fontId="154" fillId="64" borderId="108" xfId="0" applyNumberFormat="1" applyFont="1" applyFill="1" applyBorder="1" applyAlignment="1">
      <alignment horizontal="center" wrapText="1"/>
    </xf>
    <xf numFmtId="3" fontId="154" fillId="64" borderId="168" xfId="0" applyNumberFormat="1" applyFont="1" applyFill="1" applyBorder="1" applyAlignment="1">
      <alignment horizontal="center" wrapText="1"/>
    </xf>
    <xf numFmtId="3" fontId="154" fillId="64" borderId="106" xfId="0" applyNumberFormat="1" applyFont="1" applyFill="1" applyBorder="1" applyAlignment="1">
      <alignment horizontal="center" wrapText="1"/>
    </xf>
    <xf numFmtId="3" fontId="154" fillId="64" borderId="256" xfId="0" applyNumberFormat="1" applyFont="1" applyFill="1" applyBorder="1" applyAlignment="1">
      <alignment horizontal="center" wrapText="1"/>
    </xf>
    <xf numFmtId="17" fontId="87" fillId="0" borderId="407" xfId="0" applyNumberFormat="1" applyFont="1" applyBorder="1" applyAlignment="1">
      <alignment horizontal="center"/>
    </xf>
    <xf numFmtId="3" fontId="85" fillId="0" borderId="295" xfId="0" applyNumberFormat="1" applyFont="1" applyFill="1" applyBorder="1" applyAlignment="1">
      <alignment horizontal="center"/>
    </xf>
    <xf numFmtId="3" fontId="85" fillId="0" borderId="296" xfId="0" applyNumberFormat="1" applyFont="1" applyFill="1" applyBorder="1" applyAlignment="1">
      <alignment horizontal="center"/>
    </xf>
    <xf numFmtId="3" fontId="85" fillId="0" borderId="402" xfId="0" applyNumberFormat="1" applyFont="1" applyFill="1" applyBorder="1" applyAlignment="1">
      <alignment horizontal="center"/>
    </xf>
    <xf numFmtId="3" fontId="85" fillId="0" borderId="401" xfId="0" applyNumberFormat="1" applyFont="1" applyFill="1" applyBorder="1" applyAlignment="1">
      <alignment horizontal="center"/>
    </xf>
    <xf numFmtId="3" fontId="85" fillId="0" borderId="377" xfId="0" applyNumberFormat="1" applyFont="1" applyFill="1" applyBorder="1" applyAlignment="1">
      <alignment horizontal="center"/>
    </xf>
    <xf numFmtId="3" fontId="85" fillId="0" borderId="375" xfId="0" applyNumberFormat="1" applyFont="1" applyFill="1" applyBorder="1" applyAlignment="1">
      <alignment horizontal="center"/>
    </xf>
    <xf numFmtId="3" fontId="85" fillId="64" borderId="419" xfId="0" applyNumberFormat="1" applyFont="1" applyFill="1" applyBorder="1" applyAlignment="1">
      <alignment horizontal="center"/>
    </xf>
    <xf numFmtId="3" fontId="85" fillId="0" borderId="297" xfId="0" applyNumberFormat="1" applyFont="1" applyFill="1" applyBorder="1" applyAlignment="1">
      <alignment horizontal="center"/>
    </xf>
    <xf numFmtId="3" fontId="85" fillId="0" borderId="399" xfId="0" applyNumberFormat="1" applyFont="1" applyFill="1" applyBorder="1" applyAlignment="1">
      <alignment horizontal="center"/>
    </xf>
    <xf numFmtId="3" fontId="85" fillId="0" borderId="400" xfId="0" quotePrefix="1" applyNumberFormat="1" applyFont="1" applyFill="1" applyBorder="1" applyAlignment="1">
      <alignment horizontal="center"/>
    </xf>
    <xf numFmtId="3" fontId="85" fillId="0" borderId="297" xfId="0" quotePrefix="1" applyNumberFormat="1" applyFont="1" applyFill="1" applyBorder="1" applyAlignment="1">
      <alignment horizontal="center"/>
    </xf>
    <xf numFmtId="3" fontId="85" fillId="0" borderId="399" xfId="0" quotePrefix="1" applyNumberFormat="1" applyFont="1" applyFill="1" applyBorder="1" applyAlignment="1">
      <alignment horizontal="center"/>
    </xf>
    <xf numFmtId="3" fontId="85" fillId="0" borderId="309" xfId="0" applyNumberFormat="1" applyFont="1" applyFill="1" applyBorder="1" applyAlignment="1">
      <alignment horizontal="center"/>
    </xf>
    <xf numFmtId="17" fontId="87" fillId="0" borderId="408" xfId="0" applyNumberFormat="1" applyFont="1" applyBorder="1" applyAlignment="1">
      <alignment horizontal="center"/>
    </xf>
    <xf numFmtId="3" fontId="85" fillId="0" borderId="288" xfId="0" applyNumberFormat="1" applyFont="1" applyFill="1" applyBorder="1" applyAlignment="1">
      <alignment horizontal="center"/>
    </xf>
    <xf numFmtId="3" fontId="85" fillId="0" borderId="289" xfId="0" applyNumberFormat="1" applyFont="1" applyFill="1" applyBorder="1" applyAlignment="1">
      <alignment horizontal="center"/>
    </xf>
    <xf numFmtId="3" fontId="85" fillId="0" borderId="404" xfId="0" applyNumberFormat="1" applyFont="1" applyFill="1" applyBorder="1" applyAlignment="1">
      <alignment horizontal="center"/>
    </xf>
    <xf numFmtId="3" fontId="85" fillId="0" borderId="403" xfId="0" applyNumberFormat="1" applyFont="1" applyFill="1" applyBorder="1" applyAlignment="1">
      <alignment horizontal="center"/>
    </xf>
    <xf numFmtId="3" fontId="85" fillId="0" borderId="315" xfId="0" applyNumberFormat="1" applyFont="1" applyFill="1" applyBorder="1" applyAlignment="1">
      <alignment horizontal="center"/>
    </xf>
    <xf numFmtId="3" fontId="85" fillId="0" borderId="350" xfId="0" applyNumberFormat="1" applyFont="1" applyFill="1" applyBorder="1" applyAlignment="1">
      <alignment horizontal="center"/>
    </xf>
    <xf numFmtId="3" fontId="85" fillId="0" borderId="315" xfId="0" quotePrefix="1" applyNumberFormat="1" applyFont="1" applyFill="1" applyBorder="1" applyAlignment="1">
      <alignment horizontal="center"/>
    </xf>
    <xf numFmtId="3" fontId="85" fillId="0" borderId="289" xfId="0" quotePrefix="1" applyNumberFormat="1" applyFont="1" applyFill="1" applyBorder="1" applyAlignment="1">
      <alignment horizontal="center"/>
    </xf>
    <xf numFmtId="3" fontId="85" fillId="0" borderId="350" xfId="0" quotePrefix="1" applyNumberFormat="1" applyFont="1" applyFill="1" applyBorder="1" applyAlignment="1">
      <alignment horizontal="center"/>
    </xf>
    <xf numFmtId="3" fontId="85" fillId="0" borderId="290" xfId="0" applyNumberFormat="1" applyFont="1" applyFill="1" applyBorder="1" applyAlignment="1">
      <alignment horizontal="center"/>
    </xf>
    <xf numFmtId="17" fontId="87" fillId="0" borderId="409" xfId="0" applyNumberFormat="1" applyFont="1" applyBorder="1" applyAlignment="1">
      <alignment horizontal="center"/>
    </xf>
    <xf numFmtId="3" fontId="85" fillId="0" borderId="291" xfId="0" applyNumberFormat="1" applyFont="1" applyFill="1" applyBorder="1" applyAlignment="1">
      <alignment horizontal="center"/>
    </xf>
    <xf numFmtId="3" fontId="85" fillId="0" borderId="292" xfId="0" applyNumberFormat="1" applyFont="1" applyFill="1" applyBorder="1" applyAlignment="1">
      <alignment horizontal="center"/>
    </xf>
    <xf numFmtId="3" fontId="85" fillId="0" borderId="376" xfId="0" applyNumberFormat="1" applyFont="1" applyFill="1" applyBorder="1" applyAlignment="1">
      <alignment horizontal="center"/>
    </xf>
    <xf numFmtId="3" fontId="85" fillId="0" borderId="405" xfId="0" applyNumberFormat="1" applyFont="1" applyFill="1" applyBorder="1" applyAlignment="1">
      <alignment horizontal="center"/>
    </xf>
    <xf numFmtId="3" fontId="85" fillId="0" borderId="406" xfId="0" applyNumberFormat="1" applyFont="1" applyFill="1" applyBorder="1" applyAlignment="1">
      <alignment horizontal="center"/>
    </xf>
    <xf numFmtId="3" fontId="85" fillId="0" borderId="378" xfId="0" applyNumberFormat="1" applyFont="1" applyFill="1" applyBorder="1" applyAlignment="1">
      <alignment horizontal="center"/>
    </xf>
    <xf numFmtId="3" fontId="85" fillId="0" borderId="378" xfId="0" quotePrefix="1" applyNumberFormat="1" applyFont="1" applyFill="1" applyBorder="1" applyAlignment="1">
      <alignment horizontal="center"/>
    </xf>
    <xf numFmtId="3" fontId="85" fillId="0" borderId="292" xfId="0" quotePrefix="1" applyNumberFormat="1" applyFont="1" applyFill="1" applyBorder="1" applyAlignment="1">
      <alignment horizontal="center"/>
    </xf>
    <xf numFmtId="3" fontId="85" fillId="0" borderId="376" xfId="0" quotePrefix="1" applyNumberFormat="1" applyFont="1" applyFill="1" applyBorder="1" applyAlignment="1">
      <alignment horizontal="center"/>
    </xf>
    <xf numFmtId="3" fontId="85" fillId="0" borderId="293" xfId="0" applyNumberFormat="1" applyFont="1" applyFill="1" applyBorder="1" applyAlignment="1">
      <alignment horizontal="center"/>
    </xf>
    <xf numFmtId="0" fontId="154" fillId="64" borderId="86" xfId="0" applyFont="1" applyFill="1" applyBorder="1" applyAlignment="1">
      <alignment horizontal="center" vertical="center"/>
    </xf>
    <xf numFmtId="3" fontId="154" fillId="64" borderId="71" xfId="0" applyNumberFormat="1" applyFont="1" applyFill="1" applyBorder="1" applyAlignment="1">
      <alignment horizontal="center"/>
    </xf>
    <xf numFmtId="3" fontId="154" fillId="64" borderId="72" xfId="0" applyNumberFormat="1" applyFont="1" applyFill="1" applyBorder="1" applyAlignment="1">
      <alignment horizontal="center"/>
    </xf>
    <xf numFmtId="3" fontId="154" fillId="64" borderId="73" xfId="0" applyNumberFormat="1" applyFont="1" applyFill="1" applyBorder="1" applyAlignment="1">
      <alignment horizontal="center"/>
    </xf>
    <xf numFmtId="3" fontId="154" fillId="64" borderId="418" xfId="0" applyNumberFormat="1" applyFont="1" applyFill="1" applyBorder="1" applyAlignment="1">
      <alignment horizontal="center" vertical="center" wrapText="1"/>
    </xf>
    <xf numFmtId="3" fontId="154" fillId="64" borderId="108" xfId="0" applyNumberFormat="1" applyFont="1" applyFill="1" applyBorder="1" applyAlignment="1">
      <alignment horizontal="center" vertical="center" wrapText="1"/>
    </xf>
    <xf numFmtId="3" fontId="154" fillId="64" borderId="168" xfId="0" applyNumberFormat="1" applyFont="1" applyFill="1" applyBorder="1" applyAlignment="1">
      <alignment horizontal="center" vertical="center" wrapText="1"/>
    </xf>
    <xf numFmtId="3" fontId="154" fillId="64" borderId="176" xfId="0" applyNumberFormat="1" applyFont="1" applyFill="1" applyBorder="1" applyAlignment="1">
      <alignment horizontal="center" vertical="center" wrapText="1"/>
    </xf>
    <xf numFmtId="3" fontId="154" fillId="64" borderId="411" xfId="0" applyNumberFormat="1" applyFont="1" applyFill="1" applyBorder="1" applyAlignment="1">
      <alignment horizontal="center" vertical="center" wrapText="1"/>
    </xf>
    <xf numFmtId="3" fontId="154" fillId="64" borderId="412" xfId="0" applyNumberFormat="1" applyFont="1" applyFill="1" applyBorder="1" applyAlignment="1">
      <alignment horizontal="center" vertical="center" wrapText="1"/>
    </xf>
    <xf numFmtId="3" fontId="154" fillId="64" borderId="178" xfId="0" applyNumberFormat="1" applyFont="1" applyFill="1" applyBorder="1" applyAlignment="1">
      <alignment horizontal="center" vertical="center" wrapText="1"/>
    </xf>
    <xf numFmtId="3" fontId="154" fillId="64" borderId="169" xfId="0" applyNumberFormat="1" applyFont="1" applyFill="1" applyBorder="1" applyAlignment="1">
      <alignment horizontal="center" vertical="center" wrapText="1"/>
    </xf>
    <xf numFmtId="17" fontId="87" fillId="0" borderId="407" xfId="0" applyNumberFormat="1" applyFont="1" applyBorder="1" applyAlignment="1">
      <alignment horizontal="center" vertical="center"/>
    </xf>
    <xf numFmtId="166" fontId="85" fillId="0" borderId="295" xfId="0" applyNumberFormat="1" applyFont="1" applyFill="1" applyBorder="1" applyAlignment="1">
      <alignment horizontal="center" vertical="center"/>
    </xf>
    <xf numFmtId="166" fontId="85" fillId="0" borderId="296" xfId="0" applyNumberFormat="1" applyFont="1" applyFill="1" applyBorder="1" applyAlignment="1">
      <alignment horizontal="center" vertical="center"/>
    </xf>
    <xf numFmtId="3" fontId="85" fillId="0" borderId="375" xfId="0" applyNumberFormat="1" applyFont="1" applyFill="1" applyBorder="1" applyAlignment="1">
      <alignment horizontal="center" vertical="center"/>
    </xf>
    <xf numFmtId="166" fontId="85" fillId="0" borderId="308" xfId="0" applyNumberFormat="1" applyFont="1" applyFill="1" applyBorder="1" applyAlignment="1">
      <alignment horizontal="center" vertical="center"/>
    </xf>
    <xf numFmtId="3" fontId="85" fillId="0" borderId="413" xfId="0" applyNumberFormat="1" applyFont="1" applyFill="1" applyBorder="1" applyAlignment="1">
      <alignment horizontal="center" vertical="center"/>
    </xf>
    <xf numFmtId="166" fontId="85" fillId="0" borderId="377" xfId="0" applyNumberFormat="1" applyFont="1" applyFill="1" applyBorder="1" applyAlignment="1">
      <alignment horizontal="center" vertical="center"/>
    </xf>
    <xf numFmtId="166" fontId="85" fillId="0" borderId="413" xfId="0" applyNumberFormat="1" applyFont="1" applyFill="1" applyBorder="1" applyAlignment="1">
      <alignment horizontal="center" vertical="center"/>
    </xf>
    <xf numFmtId="166" fontId="85" fillId="0" borderId="375" xfId="0" applyNumberFormat="1" applyFont="1" applyFill="1" applyBorder="1" applyAlignment="1">
      <alignment horizontal="center" vertical="center"/>
    </xf>
    <xf numFmtId="166" fontId="85" fillId="0" borderId="400" xfId="0" applyNumberFormat="1" applyFont="1" applyFill="1" applyBorder="1" applyAlignment="1">
      <alignment horizontal="center" vertical="center"/>
    </xf>
    <xf numFmtId="166" fontId="85" fillId="0" borderId="297" xfId="0" applyNumberFormat="1" applyFont="1" applyFill="1" applyBorder="1" applyAlignment="1">
      <alignment horizontal="center" vertical="center"/>
    </xf>
    <xf numFmtId="166" fontId="85" fillId="0" borderId="399" xfId="0" applyNumberFormat="1" applyFont="1" applyFill="1" applyBorder="1" applyAlignment="1">
      <alignment horizontal="center" vertical="center"/>
    </xf>
    <xf numFmtId="166" fontId="85" fillId="0" borderId="297" xfId="0" quotePrefix="1" applyNumberFormat="1" applyFont="1" applyFill="1" applyBorder="1" applyAlignment="1">
      <alignment horizontal="center" vertical="center"/>
    </xf>
    <xf numFmtId="166" fontId="85" fillId="0" borderId="416" xfId="0" applyNumberFormat="1" applyFont="1" applyFill="1" applyBorder="1" applyAlignment="1">
      <alignment horizontal="center" vertical="center"/>
    </xf>
    <xf numFmtId="166" fontId="85" fillId="0" borderId="417" xfId="0" applyNumberFormat="1" applyFont="1" applyFill="1" applyBorder="1" applyAlignment="1">
      <alignment horizontal="center" vertical="center"/>
    </xf>
    <xf numFmtId="166" fontId="85" fillId="0" borderId="298" xfId="0" applyNumberFormat="1" applyFont="1" applyFill="1" applyBorder="1" applyAlignment="1">
      <alignment horizontal="center" vertical="center"/>
    </xf>
    <xf numFmtId="17" fontId="87" fillId="0" borderId="408" xfId="0" applyNumberFormat="1" applyFont="1" applyBorder="1" applyAlignment="1">
      <alignment horizontal="center" vertical="center"/>
    </xf>
    <xf numFmtId="166" fontId="85" fillId="0" borderId="288" xfId="0" applyNumberFormat="1" applyFont="1" applyFill="1" applyBorder="1" applyAlignment="1">
      <alignment horizontal="center" vertical="center"/>
    </xf>
    <xf numFmtId="166" fontId="85" fillId="0" borderId="289" xfId="0" applyNumberFormat="1" applyFont="1" applyFill="1" applyBorder="1" applyAlignment="1">
      <alignment horizontal="center" vertical="center"/>
    </xf>
    <xf numFmtId="3" fontId="85" fillId="0" borderId="350" xfId="0" applyNumberFormat="1" applyFont="1" applyFill="1" applyBorder="1" applyAlignment="1">
      <alignment horizontal="center" vertical="center"/>
    </xf>
    <xf numFmtId="166" fontId="85" fillId="0" borderId="310" xfId="0" applyNumberFormat="1" applyFont="1" applyFill="1" applyBorder="1" applyAlignment="1">
      <alignment horizontal="center" vertical="center"/>
    </xf>
    <xf numFmtId="3" fontId="85" fillId="0" borderId="414" xfId="0" applyNumberFormat="1" applyFont="1" applyFill="1" applyBorder="1" applyAlignment="1">
      <alignment horizontal="center" vertical="center"/>
    </xf>
    <xf numFmtId="166" fontId="85" fillId="0" borderId="315" xfId="0" applyNumberFormat="1" applyFont="1" applyFill="1" applyBorder="1" applyAlignment="1">
      <alignment horizontal="center" vertical="center"/>
    </xf>
    <xf numFmtId="166" fontId="85" fillId="0" borderId="414" xfId="0" applyNumberFormat="1" applyFont="1" applyFill="1" applyBorder="1" applyAlignment="1">
      <alignment horizontal="center" vertical="center"/>
    </xf>
    <xf numFmtId="166" fontId="85" fillId="0" borderId="350" xfId="0" applyNumberFormat="1" applyFont="1" applyFill="1" applyBorder="1" applyAlignment="1">
      <alignment horizontal="center" vertical="center"/>
    </xf>
    <xf numFmtId="166" fontId="85" fillId="0" borderId="315" xfId="0" quotePrefix="1" applyNumberFormat="1" applyFont="1" applyFill="1" applyBorder="1" applyAlignment="1">
      <alignment horizontal="center" vertical="center"/>
    </xf>
    <xf numFmtId="166" fontId="85" fillId="0" borderId="289" xfId="0" quotePrefix="1" applyNumberFormat="1" applyFont="1" applyFill="1" applyBorder="1" applyAlignment="1">
      <alignment horizontal="center" vertical="center"/>
    </xf>
    <xf numFmtId="166" fontId="85" fillId="0" borderId="290" xfId="0" applyNumberFormat="1" applyFont="1" applyFill="1" applyBorder="1" applyAlignment="1">
      <alignment horizontal="center" vertical="center"/>
    </xf>
    <xf numFmtId="17" fontId="87" fillId="0" borderId="409" xfId="0" applyNumberFormat="1" applyFont="1" applyBorder="1" applyAlignment="1">
      <alignment horizontal="center" vertical="center"/>
    </xf>
    <xf numFmtId="166" fontId="85" fillId="0" borderId="291" xfId="0" applyNumberFormat="1" applyFont="1" applyFill="1" applyBorder="1" applyAlignment="1">
      <alignment horizontal="center" vertical="center"/>
    </xf>
    <xf numFmtId="166" fontId="85" fillId="0" borderId="292" xfId="0" applyNumberFormat="1" applyFont="1" applyFill="1" applyBorder="1" applyAlignment="1">
      <alignment horizontal="center" vertical="center"/>
    </xf>
    <xf numFmtId="3" fontId="85" fillId="0" borderId="376" xfId="0" applyNumberFormat="1" applyFont="1" applyFill="1" applyBorder="1" applyAlignment="1">
      <alignment horizontal="center" vertical="center"/>
    </xf>
    <xf numFmtId="166" fontId="85" fillId="0" borderId="311" xfId="0" applyNumberFormat="1" applyFont="1" applyFill="1" applyBorder="1" applyAlignment="1">
      <alignment horizontal="center" vertical="center"/>
    </xf>
    <xf numFmtId="3" fontId="85" fillId="0" borderId="415" xfId="0" applyNumberFormat="1" applyFont="1" applyFill="1" applyBorder="1" applyAlignment="1">
      <alignment horizontal="center" vertical="center"/>
    </xf>
    <xf numFmtId="166" fontId="85" fillId="0" borderId="378" xfId="0" applyNumberFormat="1" applyFont="1" applyFill="1" applyBorder="1" applyAlignment="1">
      <alignment horizontal="center" vertical="center"/>
    </xf>
    <xf numFmtId="166" fontId="85" fillId="0" borderId="376" xfId="0" applyNumberFormat="1" applyFont="1" applyFill="1" applyBorder="1" applyAlignment="1">
      <alignment horizontal="center" vertical="center"/>
    </xf>
    <xf numFmtId="166" fontId="85" fillId="0" borderId="415" xfId="0" applyNumberFormat="1" applyFont="1" applyFill="1" applyBorder="1" applyAlignment="1">
      <alignment horizontal="center" vertical="center"/>
    </xf>
    <xf numFmtId="166" fontId="85" fillId="0" borderId="293" xfId="0" applyNumberFormat="1" applyFont="1" applyFill="1" applyBorder="1" applyAlignment="1">
      <alignment horizontal="center" vertical="center"/>
    </xf>
    <xf numFmtId="166" fontId="154" fillId="64" borderId="71" xfId="0" applyNumberFormat="1" applyFont="1" applyFill="1" applyBorder="1" applyAlignment="1">
      <alignment horizontal="center" vertical="center"/>
    </xf>
    <xf numFmtId="166" fontId="154" fillId="64" borderId="72" xfId="0" applyNumberFormat="1" applyFont="1" applyFill="1" applyBorder="1" applyAlignment="1">
      <alignment horizontal="center" vertical="center"/>
    </xf>
    <xf numFmtId="166" fontId="154" fillId="64" borderId="87" xfId="0" applyNumberFormat="1" applyFont="1" applyFill="1" applyBorder="1" applyAlignment="1">
      <alignment horizontal="center" vertical="center"/>
    </xf>
    <xf numFmtId="166" fontId="154" fillId="64" borderId="88" xfId="0" applyNumberFormat="1" applyFont="1" applyFill="1" applyBorder="1" applyAlignment="1">
      <alignment horizontal="center" vertical="center"/>
    </xf>
    <xf numFmtId="166" fontId="154" fillId="64" borderId="92" xfId="0" applyNumberFormat="1" applyFont="1" applyFill="1" applyBorder="1" applyAlignment="1">
      <alignment horizontal="center" vertical="center"/>
    </xf>
    <xf numFmtId="166" fontId="154" fillId="64" borderId="183" xfId="0" applyNumberFormat="1" applyFont="1" applyFill="1" applyBorder="1" applyAlignment="1">
      <alignment horizontal="center" vertical="center"/>
    </xf>
    <xf numFmtId="166" fontId="154" fillId="64" borderId="89" xfId="0" applyNumberFormat="1" applyFont="1" applyFill="1" applyBorder="1" applyAlignment="1">
      <alignment horizontal="center" vertical="center"/>
    </xf>
    <xf numFmtId="166" fontId="154" fillId="64" borderId="410" xfId="0" applyNumberFormat="1" applyFont="1" applyFill="1" applyBorder="1" applyAlignment="1">
      <alignment horizontal="center" vertical="center"/>
    </xf>
    <xf numFmtId="166" fontId="154" fillId="64" borderId="91" xfId="0" applyNumberFormat="1" applyFont="1" applyFill="1" applyBorder="1" applyAlignment="1">
      <alignment horizontal="center" vertical="center"/>
    </xf>
    <xf numFmtId="166" fontId="154" fillId="64" borderId="73" xfId="0" applyNumberFormat="1" applyFont="1" applyFill="1" applyBorder="1" applyAlignment="1">
      <alignment horizontal="center" vertical="center"/>
    </xf>
    <xf numFmtId="3" fontId="76" fillId="64" borderId="105" xfId="0" applyNumberFormat="1" applyFont="1" applyFill="1" applyBorder="1" applyAlignment="1">
      <alignment horizontal="center" vertical="center" wrapText="1"/>
    </xf>
    <xf numFmtId="3" fontId="76" fillId="64" borderId="104" xfId="0" applyNumberFormat="1" applyFont="1" applyFill="1" applyBorder="1" applyAlignment="1">
      <alignment horizontal="center" vertical="center" wrapText="1"/>
    </xf>
    <xf numFmtId="3" fontId="76" fillId="64" borderId="0" xfId="0" applyNumberFormat="1" applyFont="1" applyFill="1" applyBorder="1" applyAlignment="1">
      <alignment horizontal="center" vertical="center" wrapText="1"/>
    </xf>
    <xf numFmtId="3" fontId="76" fillId="64" borderId="462" xfId="0" applyNumberFormat="1" applyFont="1" applyFill="1" applyBorder="1" applyAlignment="1">
      <alignment horizontal="center" vertical="center" wrapText="1"/>
    </xf>
    <xf numFmtId="3" fontId="159" fillId="0" borderId="296" xfId="0" applyNumberFormat="1" applyFont="1" applyFill="1" applyBorder="1" applyAlignment="1">
      <alignment horizontal="center"/>
    </xf>
    <xf numFmtId="3" fontId="159" fillId="0" borderId="296" xfId="0" quotePrefix="1" applyNumberFormat="1" applyFont="1" applyFill="1" applyBorder="1" applyAlignment="1">
      <alignment horizontal="center"/>
    </xf>
    <xf numFmtId="3" fontId="159" fillId="0" borderId="289" xfId="0" applyNumberFormat="1" applyFont="1" applyFill="1" applyBorder="1" applyAlignment="1">
      <alignment horizontal="center"/>
    </xf>
    <xf numFmtId="3" fontId="159" fillId="0" borderId="289" xfId="0" quotePrefix="1" applyNumberFormat="1" applyFont="1" applyFill="1" applyBorder="1" applyAlignment="1">
      <alignment horizontal="center"/>
    </xf>
    <xf numFmtId="3" fontId="159" fillId="0" borderId="292" xfId="0" applyNumberFormat="1" applyFont="1" applyFill="1" applyBorder="1" applyAlignment="1">
      <alignment horizontal="center"/>
    </xf>
    <xf numFmtId="0" fontId="76" fillId="64" borderId="451" xfId="0" applyFont="1" applyFill="1" applyBorder="1" applyAlignment="1">
      <alignment horizontal="center" vertical="center"/>
    </xf>
    <xf numFmtId="3" fontId="141" fillId="64" borderId="466" xfId="0" applyNumberFormat="1" applyFont="1" applyFill="1" applyBorder="1" applyAlignment="1">
      <alignment horizontal="center"/>
    </xf>
    <xf numFmtId="3" fontId="141" fillId="64" borderId="455" xfId="0" applyNumberFormat="1" applyFont="1" applyFill="1" applyBorder="1" applyAlignment="1">
      <alignment horizontal="center"/>
    </xf>
    <xf numFmtId="3" fontId="141" fillId="64" borderId="467" xfId="0" applyNumberFormat="1" applyFont="1" applyFill="1" applyBorder="1" applyAlignment="1">
      <alignment horizontal="center"/>
    </xf>
    <xf numFmtId="3" fontId="141" fillId="64" borderId="468" xfId="0" applyNumberFormat="1" applyFont="1" applyFill="1" applyBorder="1" applyAlignment="1">
      <alignment horizontal="center"/>
    </xf>
    <xf numFmtId="3" fontId="141" fillId="64" borderId="453" xfId="0" applyNumberFormat="1" applyFont="1" applyFill="1" applyBorder="1" applyAlignment="1">
      <alignment horizontal="center"/>
    </xf>
    <xf numFmtId="3" fontId="141" fillId="64" borderId="454" xfId="0" applyNumberFormat="1" applyFont="1" applyFill="1" applyBorder="1" applyAlignment="1">
      <alignment horizontal="center"/>
    </xf>
    <xf numFmtId="3" fontId="141" fillId="64" borderId="452" xfId="0" applyNumberFormat="1" applyFont="1" applyFill="1" applyBorder="1" applyAlignment="1">
      <alignment horizontal="center"/>
    </xf>
    <xf numFmtId="3" fontId="141" fillId="64" borderId="457" xfId="0" applyNumberFormat="1" applyFont="1" applyFill="1" applyBorder="1" applyAlignment="1">
      <alignment horizontal="center"/>
    </xf>
    <xf numFmtId="3" fontId="76" fillId="64" borderId="166" xfId="0" applyNumberFormat="1" applyFont="1" applyFill="1" applyBorder="1" applyAlignment="1">
      <alignment horizontal="center" vertical="center" wrapText="1"/>
    </xf>
    <xf numFmtId="3" fontId="76" fillId="64" borderId="271" xfId="0" applyNumberFormat="1" applyFont="1" applyFill="1" applyBorder="1" applyAlignment="1">
      <alignment horizontal="center" vertical="center" wrapText="1"/>
    </xf>
    <xf numFmtId="3" fontId="76" fillId="64" borderId="272" xfId="0" applyNumberFormat="1" applyFont="1" applyFill="1" applyBorder="1" applyAlignment="1">
      <alignment horizontal="center" vertical="center" wrapText="1"/>
    </xf>
    <xf numFmtId="3" fontId="76" fillId="64" borderId="444" xfId="0" applyNumberFormat="1" applyFont="1" applyFill="1" applyBorder="1" applyAlignment="1">
      <alignment horizontal="center" vertical="center" wrapText="1"/>
    </xf>
    <xf numFmtId="17" fontId="147" fillId="0" borderId="445" xfId="0" applyNumberFormat="1" applyFont="1" applyBorder="1" applyAlignment="1">
      <alignment horizontal="center"/>
    </xf>
    <xf numFmtId="3" fontId="159" fillId="0" borderId="287" xfId="0" applyNumberFormat="1" applyFont="1" applyFill="1" applyBorder="1" applyAlignment="1">
      <alignment horizontal="center"/>
    </xf>
    <xf numFmtId="0" fontId="76" fillId="64" borderId="451" xfId="0" applyFont="1" applyFill="1" applyBorder="1" applyAlignment="1">
      <alignment horizontal="center"/>
    </xf>
    <xf numFmtId="3" fontId="76" fillId="64" borderId="452" xfId="0" applyNumberFormat="1" applyFont="1" applyFill="1" applyBorder="1" applyAlignment="1">
      <alignment horizontal="center"/>
    </xf>
    <xf numFmtId="3" fontId="76" fillId="64" borderId="453" xfId="0" applyNumberFormat="1" applyFont="1" applyFill="1" applyBorder="1" applyAlignment="1">
      <alignment horizontal="center"/>
    </xf>
    <xf numFmtId="3" fontId="76" fillId="64" borderId="454" xfId="0" applyNumberFormat="1" applyFont="1" applyFill="1" applyBorder="1" applyAlignment="1">
      <alignment horizontal="center"/>
    </xf>
    <xf numFmtId="3" fontId="76" fillId="64" borderId="455" xfId="0" applyNumberFormat="1" applyFont="1" applyFill="1" applyBorder="1" applyAlignment="1">
      <alignment horizontal="center"/>
    </xf>
    <xf numFmtId="3" fontId="76" fillId="64" borderId="456" xfId="0" applyNumberFormat="1" applyFont="1" applyFill="1" applyBorder="1" applyAlignment="1">
      <alignment horizontal="center"/>
    </xf>
    <xf numFmtId="3" fontId="76" fillId="64" borderId="457" xfId="0" applyNumberFormat="1" applyFont="1" applyFill="1" applyBorder="1" applyAlignment="1">
      <alignment horizontal="center"/>
    </xf>
    <xf numFmtId="1" fontId="159" fillId="0" borderId="287" xfId="0" applyNumberFormat="1" applyFont="1" applyFill="1" applyBorder="1" applyAlignment="1">
      <alignment horizontal="center"/>
    </xf>
    <xf numFmtId="1" fontId="159" fillId="0" borderId="289" xfId="0" applyNumberFormat="1" applyFont="1" applyFill="1" applyBorder="1" applyAlignment="1">
      <alignment horizontal="center"/>
    </xf>
    <xf numFmtId="1" fontId="159" fillId="0" borderId="292" xfId="0" applyNumberFormat="1" applyFont="1" applyFill="1" applyBorder="1" applyAlignment="1">
      <alignment horizontal="center"/>
    </xf>
    <xf numFmtId="1" fontId="76" fillId="64" borderId="454" xfId="0" applyNumberFormat="1" applyFont="1" applyFill="1" applyBorder="1" applyAlignment="1">
      <alignment horizontal="center"/>
    </xf>
    <xf numFmtId="1" fontId="76" fillId="64" borderId="455" xfId="0" applyNumberFormat="1" applyFont="1" applyFill="1" applyBorder="1" applyAlignment="1">
      <alignment horizontal="center"/>
    </xf>
    <xf numFmtId="1" fontId="76" fillId="64" borderId="456" xfId="0" applyNumberFormat="1" applyFont="1" applyFill="1" applyBorder="1" applyAlignment="1">
      <alignment horizontal="center"/>
    </xf>
    <xf numFmtId="1" fontId="76" fillId="64" borderId="457" xfId="0" applyNumberFormat="1" applyFont="1" applyFill="1" applyBorder="1" applyAlignment="1">
      <alignment horizontal="center"/>
    </xf>
    <xf numFmtId="0" fontId="83" fillId="64" borderId="107" xfId="0" applyFont="1" applyFill="1" applyBorder="1" applyAlignment="1">
      <alignment horizontal="center" vertical="center"/>
    </xf>
    <xf numFmtId="44" fontId="0" fillId="58" borderId="1" xfId="54" applyFont="1" applyFill="1" applyBorder="1" applyAlignment="1">
      <alignment horizontal="center"/>
    </xf>
    <xf numFmtId="44" fontId="0" fillId="58" borderId="37" xfId="54" applyFont="1" applyFill="1" applyBorder="1" applyAlignment="1">
      <alignment horizontal="center"/>
    </xf>
    <xf numFmtId="44" fontId="0" fillId="58" borderId="4" xfId="54" applyFont="1" applyFill="1" applyBorder="1" applyAlignment="1">
      <alignment horizontal="center"/>
    </xf>
    <xf numFmtId="44" fontId="0" fillId="58" borderId="3" xfId="54" applyFont="1" applyFill="1" applyBorder="1" applyAlignment="1">
      <alignment horizontal="center"/>
    </xf>
    <xf numFmtId="1" fontId="0" fillId="58" borderId="37" xfId="0" applyNumberFormat="1" applyFill="1" applyBorder="1" applyAlignment="1">
      <alignment horizontal="center"/>
    </xf>
    <xf numFmtId="1" fontId="132" fillId="0" borderId="116" xfId="0" applyNumberFormat="1" applyFont="1" applyFill="1" applyBorder="1" applyAlignment="1">
      <alignment horizontal="center" vertical="center"/>
    </xf>
    <xf numFmtId="165" fontId="132" fillId="0" borderId="116" xfId="0" applyNumberFormat="1" applyFont="1" applyFill="1" applyBorder="1" applyAlignment="1">
      <alignment horizontal="center" vertical="center"/>
    </xf>
    <xf numFmtId="165" fontId="132" fillId="0" borderId="0" xfId="68" applyNumberFormat="1" applyFont="1" applyFill="1" applyBorder="1" applyAlignment="1">
      <alignment horizontal="center" vertical="center"/>
    </xf>
    <xf numFmtId="2" fontId="132" fillId="0" borderId="116" xfId="54" applyNumberFormat="1" applyFont="1" applyFill="1" applyBorder="1" applyAlignment="1">
      <alignment horizontal="center" vertical="center"/>
    </xf>
    <xf numFmtId="1" fontId="86" fillId="0" borderId="289" xfId="0" applyNumberFormat="1" applyFont="1" applyFill="1" applyBorder="1" applyAlignment="1">
      <alignment horizontal="center" vertical="center"/>
    </xf>
    <xf numFmtId="44" fontId="0" fillId="58" borderId="223" xfId="54" applyFont="1" applyFill="1" applyBorder="1" applyAlignment="1">
      <alignment horizontal="center"/>
    </xf>
    <xf numFmtId="44" fontId="0" fillId="58" borderId="214" xfId="54" applyFont="1" applyFill="1" applyBorder="1" applyAlignment="1">
      <alignment horizontal="center"/>
    </xf>
    <xf numFmtId="44" fontId="0" fillId="58" borderId="213" xfId="54" applyFont="1" applyFill="1" applyBorder="1" applyAlignment="1">
      <alignment horizontal="center"/>
    </xf>
    <xf numFmtId="1" fontId="0" fillId="46" borderId="44" xfId="54" applyNumberFormat="1" applyFont="1" applyFill="1" applyBorder="1" applyAlignment="1">
      <alignment horizontal="center"/>
    </xf>
    <xf numFmtId="49" fontId="86" fillId="59" borderId="520" xfId="1" applyNumberFormat="1" applyFont="1" applyFill="1" applyBorder="1" applyAlignment="1">
      <alignment horizontal="center" vertical="center"/>
    </xf>
    <xf numFmtId="0" fontId="67" fillId="64" borderId="113" xfId="0" applyFont="1" applyFill="1" applyBorder="1" applyAlignment="1">
      <alignment horizontal="center" vertical="center"/>
    </xf>
    <xf numFmtId="0" fontId="160" fillId="48" borderId="111" xfId="0" applyFont="1" applyFill="1" applyBorder="1" applyAlignment="1">
      <alignment horizontal="left" vertical="center" indent="1"/>
    </xf>
    <xf numFmtId="44" fontId="132" fillId="48" borderId="116" xfId="54" applyFont="1" applyFill="1" applyBorder="1" applyAlignment="1">
      <alignment horizontal="center" vertical="center"/>
    </xf>
    <xf numFmtId="2" fontId="132" fillId="48" borderId="116" xfId="88" applyNumberFormat="1" applyFont="1" applyFill="1" applyBorder="1" applyAlignment="1">
      <alignment horizontal="center" vertical="center"/>
    </xf>
    <xf numFmtId="1" fontId="132" fillId="48" borderId="116" xfId="0" applyNumberFormat="1" applyFont="1" applyFill="1" applyBorder="1" applyAlignment="1">
      <alignment horizontal="center" vertical="center"/>
    </xf>
    <xf numFmtId="0" fontId="132" fillId="48" borderId="116" xfId="0" applyFont="1" applyFill="1" applyBorder="1" applyAlignment="1">
      <alignment horizontal="center" vertical="center"/>
    </xf>
    <xf numFmtId="0" fontId="131" fillId="48" borderId="116" xfId="0" applyFont="1" applyFill="1" applyBorder="1" applyAlignment="1">
      <alignment horizontal="center" vertical="center"/>
    </xf>
    <xf numFmtId="9" fontId="132" fillId="48" borderId="116" xfId="1" applyFont="1" applyFill="1" applyBorder="1" applyAlignment="1">
      <alignment horizontal="center" vertical="center"/>
    </xf>
    <xf numFmtId="0" fontId="0" fillId="58" borderId="44" xfId="0" applyFill="1" applyBorder="1" applyAlignment="1">
      <alignment horizontal="center"/>
    </xf>
    <xf numFmtId="0" fontId="37" fillId="58" borderId="44" xfId="0" applyFont="1" applyFill="1" applyBorder="1" applyAlignment="1">
      <alignment horizontal="center"/>
    </xf>
    <xf numFmtId="164" fontId="60" fillId="0" borderId="297" xfId="0" applyNumberFormat="1" applyFont="1" applyFill="1" applyBorder="1" applyAlignment="1">
      <alignment horizontal="center" vertical="center"/>
    </xf>
    <xf numFmtId="174" fontId="85" fillId="0" borderId="189" xfId="0" quotePrefix="1" applyNumberFormat="1" applyFont="1" applyFill="1" applyBorder="1" applyAlignment="1">
      <alignment horizontal="center" vertical="center"/>
    </xf>
    <xf numFmtId="3" fontId="63" fillId="65" borderId="562" xfId="0" applyNumberFormat="1" applyFont="1" applyFill="1" applyBorder="1" applyAlignment="1">
      <alignment horizontal="center" vertical="center"/>
    </xf>
    <xf numFmtId="164" fontId="63" fillId="65" borderId="563" xfId="1" applyNumberFormat="1" applyFont="1" applyFill="1" applyBorder="1" applyAlignment="1">
      <alignment horizontal="center" vertical="center"/>
    </xf>
    <xf numFmtId="3" fontId="63" fillId="65" borderId="564" xfId="0" applyNumberFormat="1" applyFont="1" applyFill="1" applyBorder="1" applyAlignment="1">
      <alignment horizontal="center" vertical="center"/>
    </xf>
    <xf numFmtId="164" fontId="63" fillId="65" borderId="565" xfId="1" applyNumberFormat="1" applyFont="1" applyFill="1" applyBorder="1" applyAlignment="1">
      <alignment horizontal="center" vertical="center"/>
    </xf>
    <xf numFmtId="3" fontId="63" fillId="65" borderId="566" xfId="0" applyNumberFormat="1" applyFont="1" applyFill="1" applyBorder="1" applyAlignment="1">
      <alignment horizontal="center" vertical="center"/>
    </xf>
    <xf numFmtId="164" fontId="63" fillId="65" borderId="567" xfId="1" applyNumberFormat="1" applyFont="1" applyFill="1" applyBorder="1" applyAlignment="1">
      <alignment horizontal="center" vertical="center"/>
    </xf>
    <xf numFmtId="3" fontId="85" fillId="66" borderId="419" xfId="0" applyNumberFormat="1" applyFont="1" applyFill="1" applyBorder="1" applyAlignment="1">
      <alignment horizontal="center"/>
    </xf>
    <xf numFmtId="166" fontId="85" fillId="0" borderId="416" xfId="0" quotePrefix="1" applyNumberFormat="1" applyFont="1" applyFill="1" applyBorder="1" applyAlignment="1">
      <alignment horizontal="center" vertical="center"/>
    </xf>
    <xf numFmtId="166" fontId="85" fillId="0" borderId="310" xfId="0" quotePrefix="1" applyNumberFormat="1" applyFont="1" applyFill="1" applyBorder="1" applyAlignment="1">
      <alignment horizontal="center" vertical="center"/>
    </xf>
    <xf numFmtId="169" fontId="132" fillId="0" borderId="116" xfId="0" applyNumberFormat="1" applyFont="1" applyBorder="1" applyAlignment="1">
      <alignment horizontal="right" vertical="center"/>
    </xf>
    <xf numFmtId="169" fontId="132" fillId="0" borderId="116" xfId="0" applyNumberFormat="1" applyFont="1" applyFill="1" applyBorder="1" applyAlignment="1">
      <alignment horizontal="right" vertical="center"/>
    </xf>
    <xf numFmtId="1" fontId="0" fillId="6" borderId="56" xfId="0" applyNumberFormat="1" applyFill="1" applyBorder="1" applyAlignment="1">
      <alignment horizontal="center"/>
    </xf>
    <xf numFmtId="17" fontId="48" fillId="64" borderId="0" xfId="0" applyNumberFormat="1" applyFont="1" applyFill="1" applyAlignment="1">
      <alignment horizontal="center"/>
    </xf>
    <xf numFmtId="0" fontId="139" fillId="48" borderId="0" xfId="0" applyFont="1" applyFill="1" applyBorder="1" applyAlignment="1">
      <alignment horizontal="center" vertical="center"/>
    </xf>
    <xf numFmtId="0" fontId="161" fillId="0" borderId="0" xfId="0" applyFont="1" applyBorder="1" applyAlignment="1">
      <alignment horizontal="center" vertical="center"/>
    </xf>
    <xf numFmtId="0" fontId="139" fillId="48" borderId="0" xfId="0" applyFont="1" applyFill="1" applyBorder="1" applyAlignment="1">
      <alignment horizontal="center"/>
    </xf>
    <xf numFmtId="1" fontId="86" fillId="0" borderId="1" xfId="0" applyNumberFormat="1" applyFont="1" applyFill="1" applyBorder="1" applyAlignment="1">
      <alignment horizontal="center" vertical="center"/>
    </xf>
    <xf numFmtId="0" fontId="115" fillId="65" borderId="110" xfId="0" applyFont="1" applyFill="1" applyBorder="1" applyAlignment="1">
      <alignment horizontal="center" vertical="center"/>
    </xf>
    <xf numFmtId="0" fontId="109" fillId="0" borderId="85" xfId="0" applyFont="1" applyBorder="1" applyAlignment="1"/>
    <xf numFmtId="0" fontId="109" fillId="0" borderId="85" xfId="0" applyFont="1" applyBorder="1" applyAlignment="1">
      <alignment vertical="center"/>
    </xf>
    <xf numFmtId="1" fontId="0" fillId="58" borderId="60" xfId="54" applyNumberFormat="1" applyFont="1" applyFill="1" applyBorder="1" applyAlignment="1">
      <alignment horizontal="center"/>
    </xf>
    <xf numFmtId="1" fontId="37" fillId="44" borderId="3" xfId="54" applyNumberFormat="1" applyFont="1" applyFill="1" applyBorder="1" applyAlignment="1">
      <alignment horizontal="center"/>
    </xf>
    <xf numFmtId="0" fontId="71" fillId="64" borderId="109" xfId="0" applyFont="1" applyFill="1" applyBorder="1" applyAlignment="1">
      <alignment vertical="center"/>
    </xf>
    <xf numFmtId="0" fontId="131" fillId="0" borderId="111" xfId="0" applyFont="1" applyBorder="1" applyAlignment="1">
      <alignment horizontal="left" vertical="center" wrapText="1"/>
    </xf>
    <xf numFmtId="0" fontId="163" fillId="48" borderId="0" xfId="0" applyFont="1" applyFill="1" applyBorder="1" applyAlignment="1">
      <alignment vertical="center"/>
    </xf>
    <xf numFmtId="0" fontId="164" fillId="48" borderId="0" xfId="0" applyFont="1" applyFill="1" applyBorder="1" applyAlignment="1">
      <alignment vertical="center"/>
    </xf>
    <xf numFmtId="0" fontId="37" fillId="48" borderId="0" xfId="0" applyFont="1" applyFill="1" applyAlignment="1">
      <alignment vertical="center"/>
    </xf>
    <xf numFmtId="9" fontId="9" fillId="65" borderId="114" xfId="1" applyNumberFormat="1" applyFont="1" applyFill="1" applyBorder="1" applyAlignment="1">
      <alignment horizontal="center"/>
    </xf>
    <xf numFmtId="164" fontId="9" fillId="65" borderId="114" xfId="1" applyNumberFormat="1" applyFont="1" applyFill="1" applyBorder="1" applyAlignment="1">
      <alignment horizontal="center"/>
    </xf>
    <xf numFmtId="1" fontId="9" fillId="65" borderId="73" xfId="1" applyNumberFormat="1" applyFont="1" applyFill="1" applyBorder="1" applyAlignment="1">
      <alignment horizontal="center"/>
    </xf>
    <xf numFmtId="1" fontId="110" fillId="58" borderId="210" xfId="0" applyNumberFormat="1" applyFont="1" applyFill="1" applyBorder="1" applyAlignment="1">
      <alignment horizontal="center"/>
    </xf>
    <xf numFmtId="1" fontId="110" fillId="58" borderId="211" xfId="54" applyNumberFormat="1" applyFont="1" applyFill="1" applyBorder="1" applyAlignment="1">
      <alignment horizontal="center"/>
    </xf>
    <xf numFmtId="1" fontId="110" fillId="58" borderId="61" xfId="54" applyNumberFormat="1" applyFont="1" applyFill="1" applyBorder="1" applyAlignment="1">
      <alignment horizontal="center"/>
    </xf>
    <xf numFmtId="3" fontId="154" fillId="64" borderId="96" xfId="0" applyNumberFormat="1" applyFont="1" applyFill="1" applyBorder="1" applyAlignment="1">
      <alignment horizontal="center"/>
    </xf>
    <xf numFmtId="1" fontId="85" fillId="0" borderId="116" xfId="1" applyNumberFormat="1" applyFont="1" applyFill="1" applyBorder="1" applyAlignment="1">
      <alignment horizontal="center" vertical="center"/>
    </xf>
    <xf numFmtId="44" fontId="0" fillId="58" borderId="37" xfId="54" applyNumberFormat="1" applyFont="1" applyFill="1" applyBorder="1" applyAlignment="1">
      <alignment horizontal="center"/>
    </xf>
    <xf numFmtId="44" fontId="0" fillId="58" borderId="3" xfId="54" applyNumberFormat="1" applyFont="1" applyFill="1" applyBorder="1" applyAlignment="1">
      <alignment horizontal="center"/>
    </xf>
    <xf numFmtId="1" fontId="0" fillId="58" borderId="36" xfId="0" applyNumberFormat="1" applyFill="1" applyBorder="1" applyAlignment="1">
      <alignment horizontal="center"/>
    </xf>
    <xf numFmtId="1" fontId="0" fillId="58" borderId="3" xfId="54" applyNumberFormat="1" applyFont="1" applyFill="1" applyBorder="1" applyAlignment="1">
      <alignment horizontal="center"/>
    </xf>
    <xf numFmtId="0" fontId="78" fillId="6" borderId="279" xfId="68" applyFont="1" applyFill="1" applyBorder="1" applyAlignment="1">
      <alignment horizontal="center" vertical="center"/>
    </xf>
    <xf numFmtId="1" fontId="85" fillId="0" borderId="0" xfId="68" applyNumberFormat="1" applyFont="1" applyFill="1" applyBorder="1" applyAlignment="1">
      <alignment horizontal="center" vertical="center"/>
    </xf>
    <xf numFmtId="165" fontId="0" fillId="44" borderId="1" xfId="54" applyNumberFormat="1" applyFont="1" applyFill="1" applyBorder="1" applyAlignment="1">
      <alignment horizontal="center"/>
    </xf>
    <xf numFmtId="165" fontId="0" fillId="43" borderId="1" xfId="54" applyNumberFormat="1" applyFont="1" applyFill="1" applyBorder="1" applyAlignment="1">
      <alignment horizontal="center"/>
    </xf>
    <xf numFmtId="0" fontId="167" fillId="62" borderId="7" xfId="87" applyFont="1" applyFill="1" applyBorder="1" applyAlignment="1">
      <alignment horizontal="center" vertical="center"/>
    </xf>
    <xf numFmtId="0" fontId="167" fillId="3" borderId="5" xfId="87" applyFont="1" applyFill="1" applyBorder="1" applyAlignment="1">
      <alignment horizontal="center" vertical="center"/>
    </xf>
    <xf numFmtId="0" fontId="167" fillId="45" borderId="395" xfId="87" applyFont="1" applyFill="1" applyBorder="1" applyAlignment="1">
      <alignment horizontal="center" vertical="center"/>
    </xf>
    <xf numFmtId="0" fontId="167" fillId="42" borderId="7" xfId="87" applyFont="1" applyFill="1" applyBorder="1" applyAlignment="1">
      <alignment horizontal="center" vertical="center"/>
    </xf>
    <xf numFmtId="0" fontId="167" fillId="43" borderId="15" xfId="87" applyFont="1" applyFill="1" applyBorder="1" applyAlignment="1">
      <alignment horizontal="center" vertical="center"/>
    </xf>
    <xf numFmtId="0" fontId="167" fillId="6" borderId="15" xfId="87" applyFont="1" applyFill="1" applyBorder="1" applyAlignment="1">
      <alignment horizontal="center" vertical="center"/>
    </xf>
    <xf numFmtId="0" fontId="167" fillId="4" borderId="395" xfId="87" applyFont="1" applyFill="1" applyBorder="1" applyAlignment="1">
      <alignment horizontal="center" vertical="center"/>
    </xf>
    <xf numFmtId="0" fontId="167" fillId="4" borderId="397" xfId="87" applyFont="1" applyFill="1" applyBorder="1" applyAlignment="1">
      <alignment horizontal="center" vertical="center"/>
    </xf>
    <xf numFmtId="0" fontId="167" fillId="43" borderId="395" xfId="87" applyFont="1" applyFill="1" applyBorder="1" applyAlignment="1">
      <alignment horizontal="center" vertical="center" wrapText="1"/>
    </xf>
    <xf numFmtId="0" fontId="167" fillId="0" borderId="12" xfId="87" applyFont="1" applyFill="1" applyBorder="1" applyAlignment="1">
      <alignment horizontal="center" vertical="center"/>
    </xf>
    <xf numFmtId="0" fontId="167" fillId="0" borderId="57" xfId="87" applyFont="1" applyFill="1" applyBorder="1" applyAlignment="1">
      <alignment horizontal="center" vertical="center"/>
    </xf>
    <xf numFmtId="0" fontId="30" fillId="0" borderId="7" xfId="0" applyFont="1" applyFill="1" applyBorder="1" applyAlignment="1">
      <alignment horizontal="center" vertical="center"/>
    </xf>
    <xf numFmtId="0" fontId="30" fillId="0" borderId="398" xfId="0" applyFont="1" applyFill="1" applyBorder="1" applyAlignment="1">
      <alignment horizontal="center" vertical="center"/>
    </xf>
    <xf numFmtId="0" fontId="30" fillId="0" borderId="8" xfId="0" applyFont="1" applyFill="1" applyBorder="1" applyAlignment="1">
      <alignment horizontal="center" vertical="center"/>
    </xf>
    <xf numFmtId="0" fontId="30" fillId="0" borderId="19" xfId="0" applyFont="1" applyFill="1" applyBorder="1" applyAlignment="1">
      <alignment horizontal="center" vertical="center"/>
    </xf>
    <xf numFmtId="0" fontId="167" fillId="6" borderId="394" xfId="87" applyFont="1" applyFill="1" applyBorder="1" applyAlignment="1">
      <alignment horizontal="center" vertical="center"/>
    </xf>
    <xf numFmtId="0" fontId="30" fillId="0" borderId="12" xfId="0" applyFont="1" applyFill="1" applyBorder="1" applyAlignment="1">
      <alignment horizontal="center" vertical="center"/>
    </xf>
    <xf numFmtId="0" fontId="30" fillId="0" borderId="394" xfId="0" applyFont="1" applyFill="1" applyBorder="1" applyAlignment="1">
      <alignment horizontal="center" vertical="center"/>
    </xf>
    <xf numFmtId="0" fontId="25" fillId="55" borderId="5" xfId="0" applyFont="1" applyFill="1" applyBorder="1" applyAlignment="1">
      <alignment horizontal="center" vertical="center"/>
    </xf>
    <xf numFmtId="0" fontId="170" fillId="9" borderId="5" xfId="0" applyFont="1" applyFill="1" applyBorder="1" applyAlignment="1">
      <alignment horizontal="center" vertical="center"/>
    </xf>
    <xf numFmtId="0" fontId="25" fillId="52" borderId="5" xfId="0" applyFont="1" applyFill="1" applyBorder="1" applyAlignment="1">
      <alignment horizontal="center" vertical="center"/>
    </xf>
    <xf numFmtId="0" fontId="25" fillId="63" borderId="5" xfId="0" applyFont="1" applyFill="1" applyBorder="1" applyAlignment="1">
      <alignment horizontal="center" vertical="center"/>
    </xf>
    <xf numFmtId="0" fontId="25" fillId="44" borderId="5" xfId="0" applyFont="1" applyFill="1" applyBorder="1" applyAlignment="1">
      <alignment horizontal="center" vertical="center"/>
    </xf>
    <xf numFmtId="0" fontId="25" fillId="57" borderId="5" xfId="0" applyFont="1" applyFill="1" applyBorder="1" applyAlignment="1">
      <alignment horizontal="center" vertical="center"/>
    </xf>
    <xf numFmtId="0" fontId="25" fillId="56" borderId="5" xfId="0" applyFont="1" applyFill="1" applyBorder="1" applyAlignment="1">
      <alignment horizontal="center" vertical="center"/>
    </xf>
    <xf numFmtId="37" fontId="0" fillId="0" borderId="29" xfId="88" applyNumberFormat="1" applyFont="1" applyFill="1" applyBorder="1" applyAlignment="1"/>
    <xf numFmtId="37" fontId="0" fillId="0" borderId="29" xfId="88" applyNumberFormat="1" applyFont="1" applyFill="1" applyBorder="1" applyAlignment="1">
      <alignment horizontal="right"/>
    </xf>
    <xf numFmtId="37" fontId="0" fillId="0" borderId="0" xfId="88" applyNumberFormat="1" applyFont="1" applyFill="1" applyBorder="1" applyAlignment="1"/>
    <xf numFmtId="37" fontId="0" fillId="0" borderId="0" xfId="88" applyNumberFormat="1" applyFont="1" applyFill="1" applyBorder="1" applyAlignment="1">
      <alignment horizontal="right"/>
    </xf>
    <xf numFmtId="0" fontId="116" fillId="58" borderId="0" xfId="0" applyFont="1" applyFill="1" applyAlignment="1">
      <alignment horizontal="center" vertical="top"/>
    </xf>
    <xf numFmtId="0" fontId="115" fillId="58" borderId="0" xfId="0" applyFont="1" applyFill="1" applyAlignment="1">
      <alignment vertical="center"/>
    </xf>
    <xf numFmtId="0" fontId="9" fillId="58" borderId="0" xfId="0" applyFont="1" applyFill="1"/>
    <xf numFmtId="0" fontId="0" fillId="58" borderId="0" xfId="0" applyFill="1"/>
    <xf numFmtId="0" fontId="0" fillId="58" borderId="0" xfId="0" applyFill="1" applyAlignment="1">
      <alignment horizontal="center"/>
    </xf>
    <xf numFmtId="0" fontId="9" fillId="58" borderId="0" xfId="0" applyFont="1" applyFill="1" applyAlignment="1">
      <alignment vertical="center"/>
    </xf>
    <xf numFmtId="0" fontId="1" fillId="58" borderId="0" xfId="0" applyFont="1" applyFill="1"/>
    <xf numFmtId="0" fontId="1" fillId="58" borderId="0" xfId="0" applyFont="1" applyFill="1" applyBorder="1"/>
    <xf numFmtId="0" fontId="77" fillId="58" borderId="0" xfId="0" applyFont="1" applyFill="1" applyBorder="1"/>
    <xf numFmtId="0" fontId="52" fillId="58" borderId="29" xfId="0" applyFont="1" applyFill="1" applyBorder="1" applyAlignment="1">
      <alignment horizontal="center"/>
    </xf>
    <xf numFmtId="0" fontId="111" fillId="58" borderId="0" xfId="0" applyFont="1" applyFill="1" applyBorder="1" applyAlignment="1">
      <alignment horizontal="center"/>
    </xf>
    <xf numFmtId="0" fontId="52" fillId="58" borderId="0" xfId="0" applyFont="1" applyFill="1" applyBorder="1" applyAlignment="1">
      <alignment horizontal="center"/>
    </xf>
    <xf numFmtId="0" fontId="171" fillId="59" borderId="0" xfId="0" applyFont="1" applyFill="1" applyAlignment="1">
      <alignment horizontal="right"/>
    </xf>
    <xf numFmtId="0" fontId="171" fillId="59" borderId="0" xfId="0" applyFont="1" applyFill="1" applyAlignment="1">
      <alignment horizontal="right" vertical="center"/>
    </xf>
    <xf numFmtId="175" fontId="9" fillId="58" borderId="43" xfId="0" applyNumberFormat="1" applyFont="1" applyFill="1" applyBorder="1" applyAlignment="1">
      <alignment horizontal="right"/>
    </xf>
    <xf numFmtId="169" fontId="9" fillId="0" borderId="0" xfId="0" applyNumberFormat="1" applyFont="1" applyFill="1" applyBorder="1" applyAlignment="1">
      <alignment horizontal="center"/>
    </xf>
    <xf numFmtId="166" fontId="9" fillId="58" borderId="43" xfId="54" applyNumberFormat="1" applyFont="1" applyFill="1" applyBorder="1" applyAlignment="1">
      <alignment horizontal="right" indent="2"/>
    </xf>
    <xf numFmtId="37" fontId="2" fillId="0" borderId="0" xfId="88" applyNumberFormat="1" applyFont="1" applyFill="1" applyAlignment="1">
      <alignment vertical="top"/>
    </xf>
    <xf numFmtId="37" fontId="2" fillId="0" borderId="0" xfId="88" applyNumberFormat="1" applyFont="1" applyFill="1" applyAlignment="1"/>
    <xf numFmtId="37" fontId="2" fillId="0" borderId="0" xfId="88" applyNumberFormat="1" applyFont="1" applyAlignment="1"/>
    <xf numFmtId="37" fontId="2" fillId="0" borderId="0" xfId="88" applyNumberFormat="1" applyFont="1" applyFill="1" applyAlignment="1">
      <alignment horizontal="right" vertical="top"/>
    </xf>
    <xf numFmtId="37" fontId="2" fillId="0" borderId="0" xfId="88" applyNumberFormat="1" applyFont="1" applyFill="1" applyAlignment="1">
      <alignment horizontal="right"/>
    </xf>
    <xf numFmtId="37" fontId="137" fillId="48" borderId="0" xfId="88" applyNumberFormat="1" applyFont="1" applyFill="1" applyAlignment="1">
      <alignment horizontal="right" vertical="top"/>
    </xf>
    <xf numFmtId="37" fontId="2" fillId="48" borderId="0" xfId="88" applyNumberFormat="1" applyFont="1" applyFill="1" applyAlignment="1">
      <alignment vertical="top"/>
    </xf>
    <xf numFmtId="37" fontId="0" fillId="0" borderId="0" xfId="88" applyNumberFormat="1" applyFont="1" applyFill="1" applyAlignment="1">
      <alignment horizontal="right"/>
    </xf>
    <xf numFmtId="168" fontId="0" fillId="0" borderId="0" xfId="88" applyNumberFormat="1" applyFont="1" applyAlignment="1">
      <alignment horizontal="right"/>
    </xf>
    <xf numFmtId="168" fontId="0" fillId="0" borderId="0" xfId="88" applyNumberFormat="1" applyFont="1" applyFill="1" applyAlignment="1">
      <alignment horizontal="right"/>
    </xf>
    <xf numFmtId="168" fontId="0" fillId="0" borderId="0" xfId="88" applyNumberFormat="1" applyFont="1" applyAlignment="1">
      <alignment horizontal="right" vertical="center"/>
    </xf>
    <xf numFmtId="168" fontId="0" fillId="0" borderId="0" xfId="88" applyNumberFormat="1" applyFont="1" applyFill="1" applyBorder="1" applyAlignment="1">
      <alignment horizontal="right"/>
    </xf>
    <xf numFmtId="168" fontId="0" fillId="0" borderId="29" xfId="88" applyNumberFormat="1" applyFont="1" applyFill="1" applyBorder="1" applyAlignment="1">
      <alignment horizontal="right"/>
    </xf>
    <xf numFmtId="169" fontId="9" fillId="58" borderId="43" xfId="0" applyNumberFormat="1" applyFont="1" applyFill="1" applyBorder="1" applyAlignment="1">
      <alignment horizontal="right"/>
    </xf>
    <xf numFmtId="175" fontId="9" fillId="58" borderId="43" xfId="0" applyNumberFormat="1" applyFont="1" applyFill="1" applyBorder="1" applyAlignment="1"/>
    <xf numFmtId="169" fontId="9" fillId="61" borderId="43" xfId="0" applyNumberFormat="1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37" fontId="0" fillId="0" borderId="0" xfId="88" applyNumberFormat="1" applyFont="1" applyAlignment="1">
      <alignment horizontal="right" vertical="center"/>
    </xf>
    <xf numFmtId="1" fontId="0" fillId="0" borderId="0" xfId="0" applyNumberFormat="1" applyFill="1" applyBorder="1" applyAlignment="1">
      <alignment horizontal="right"/>
    </xf>
    <xf numFmtId="1" fontId="0" fillId="9" borderId="0" xfId="88" applyNumberFormat="1" applyFont="1" applyFill="1" applyAlignment="1">
      <alignment horizontal="right"/>
    </xf>
    <xf numFmtId="1" fontId="0" fillId="0" borderId="29" xfId="0" applyNumberFormat="1" applyFill="1" applyBorder="1" applyAlignment="1">
      <alignment horizontal="right"/>
    </xf>
    <xf numFmtId="1" fontId="0" fillId="9" borderId="29" xfId="88" applyNumberFormat="1" applyFont="1" applyFill="1" applyBorder="1" applyAlignment="1">
      <alignment horizontal="right"/>
    </xf>
    <xf numFmtId="168" fontId="0" fillId="0" borderId="0" xfId="88" applyNumberFormat="1" applyFont="1" applyFill="1" applyAlignment="1"/>
    <xf numFmtId="168" fontId="0" fillId="0" borderId="0" xfId="88" applyNumberFormat="1" applyFont="1" applyBorder="1" applyAlignment="1">
      <alignment vertical="center"/>
    </xf>
    <xf numFmtId="168" fontId="0" fillId="0" borderId="0" xfId="88" applyNumberFormat="1" applyFont="1" applyAlignment="1">
      <alignment vertical="center"/>
    </xf>
    <xf numFmtId="168" fontId="0" fillId="0" borderId="0" xfId="88" applyNumberFormat="1" applyFont="1" applyFill="1" applyBorder="1" applyAlignment="1"/>
    <xf numFmtId="168" fontId="0" fillId="9" borderId="0" xfId="88" applyNumberFormat="1" applyFont="1" applyFill="1" applyAlignment="1"/>
    <xf numFmtId="168" fontId="0" fillId="0" borderId="29" xfId="88" applyNumberFormat="1" applyFont="1" applyFill="1" applyBorder="1" applyAlignment="1"/>
    <xf numFmtId="37" fontId="0" fillId="0" borderId="0" xfId="88" applyNumberFormat="1" applyFont="1" applyBorder="1" applyAlignment="1">
      <alignment vertical="center"/>
    </xf>
    <xf numFmtId="2" fontId="3" fillId="0" borderId="0" xfId="0" applyNumberFormat="1" applyFont="1" applyFill="1" applyAlignment="1">
      <alignment horizontal="center"/>
    </xf>
    <xf numFmtId="2" fontId="118" fillId="0" borderId="0" xfId="0" applyNumberFormat="1" applyFont="1" applyFill="1" applyAlignment="1">
      <alignment horizontal="center"/>
    </xf>
    <xf numFmtId="164" fontId="146" fillId="0" borderId="294" xfId="1" applyNumberFormat="1" applyFont="1" applyFill="1" applyBorder="1" applyAlignment="1">
      <alignment horizontal="center" vertical="center"/>
    </xf>
    <xf numFmtId="164" fontId="59" fillId="0" borderId="358" xfId="1" applyNumberFormat="1" applyFont="1" applyFill="1" applyBorder="1" applyAlignment="1">
      <alignment horizontal="center" vertical="center"/>
    </xf>
    <xf numFmtId="3" fontId="138" fillId="9" borderId="485" xfId="0" applyNumberFormat="1" applyFont="1" applyFill="1" applyBorder="1" applyAlignment="1">
      <alignment horizontal="center" vertical="center"/>
    </xf>
    <xf numFmtId="164" fontId="138" fillId="9" borderId="320" xfId="1" applyNumberFormat="1" applyFont="1" applyFill="1" applyBorder="1" applyAlignment="1">
      <alignment horizontal="center" vertical="center"/>
    </xf>
    <xf numFmtId="1" fontId="138" fillId="9" borderId="486" xfId="1" applyNumberFormat="1" applyFont="1" applyFill="1" applyBorder="1" applyAlignment="1">
      <alignment horizontal="center" vertical="center"/>
    </xf>
    <xf numFmtId="3" fontId="138" fillId="9" borderId="483" xfId="0" applyNumberFormat="1" applyFont="1" applyFill="1" applyBorder="1" applyAlignment="1">
      <alignment horizontal="center" vertical="center"/>
    </xf>
    <xf numFmtId="1" fontId="138" fillId="9" borderId="502" xfId="1" applyNumberFormat="1" applyFont="1" applyFill="1" applyBorder="1" applyAlignment="1">
      <alignment horizontal="center" vertical="center"/>
    </xf>
    <xf numFmtId="3" fontId="138" fillId="9" borderId="487" xfId="0" applyNumberFormat="1" applyFont="1" applyFill="1" applyBorder="1" applyAlignment="1">
      <alignment horizontal="center" vertical="center"/>
    </xf>
    <xf numFmtId="164" fontId="138" fillId="9" borderId="289" xfId="1" applyNumberFormat="1" applyFont="1" applyFill="1" applyBorder="1" applyAlignment="1">
      <alignment horizontal="center" vertical="center"/>
    </xf>
    <xf numFmtId="1" fontId="138" fillId="9" borderId="488" xfId="1" applyNumberFormat="1" applyFont="1" applyFill="1" applyBorder="1" applyAlignment="1">
      <alignment horizontal="center" vertical="center"/>
    </xf>
    <xf numFmtId="3" fontId="138" fillId="9" borderId="315" xfId="0" applyNumberFormat="1" applyFont="1" applyFill="1" applyBorder="1" applyAlignment="1">
      <alignment horizontal="center" vertical="center"/>
    </xf>
    <xf numFmtId="1" fontId="138" fillId="9" borderId="503" xfId="1" applyNumberFormat="1" applyFont="1" applyFill="1" applyBorder="1" applyAlignment="1">
      <alignment horizontal="center" vertical="center"/>
    </xf>
    <xf numFmtId="1" fontId="85" fillId="0" borderId="0" xfId="68" applyNumberFormat="1" applyFont="1" applyBorder="1" applyAlignment="1">
      <alignment horizontal="center" vertical="center"/>
    </xf>
    <xf numFmtId="3" fontId="85" fillId="0" borderId="276" xfId="68" applyNumberFormat="1" applyFont="1" applyFill="1" applyBorder="1" applyAlignment="1">
      <alignment horizontal="center" vertical="center"/>
    </xf>
    <xf numFmtId="37" fontId="85" fillId="0" borderId="0" xfId="88" applyNumberFormat="1" applyFont="1" applyFill="1" applyBorder="1" applyAlignment="1">
      <alignment horizontal="center" vertical="center"/>
    </xf>
    <xf numFmtId="165" fontId="78" fillId="9" borderId="0" xfId="68" applyNumberFormat="1" applyFont="1" applyFill="1" applyBorder="1" applyAlignment="1">
      <alignment horizontal="center" vertical="center"/>
    </xf>
    <xf numFmtId="0" fontId="78" fillId="0" borderId="0" xfId="0" applyFont="1" applyFill="1" applyBorder="1" applyAlignment="1">
      <alignment vertical="center"/>
    </xf>
    <xf numFmtId="0" fontId="90" fillId="65" borderId="0" xfId="0" applyFont="1" applyFill="1" applyBorder="1" applyAlignment="1">
      <alignment horizontal="center" vertical="center"/>
    </xf>
    <xf numFmtId="0" fontId="90" fillId="65" borderId="0" xfId="68" applyFont="1" applyFill="1" applyBorder="1" applyAlignment="1">
      <alignment horizontal="center" vertical="center" wrapText="1"/>
    </xf>
    <xf numFmtId="0" fontId="97" fillId="0" borderId="514" xfId="0" applyFont="1" applyFill="1" applyBorder="1"/>
    <xf numFmtId="43" fontId="1" fillId="0" borderId="0" xfId="88" applyFont="1"/>
    <xf numFmtId="43" fontId="0" fillId="0" borderId="0" xfId="88" applyFont="1"/>
    <xf numFmtId="10" fontId="6" fillId="5" borderId="50" xfId="0" applyNumberFormat="1" applyFont="1" applyFill="1" applyBorder="1" applyAlignment="1">
      <alignment horizontal="center"/>
    </xf>
    <xf numFmtId="10" fontId="6" fillId="5" borderId="44" xfId="0" applyNumberFormat="1" applyFont="1" applyFill="1" applyBorder="1" applyAlignment="1">
      <alignment horizontal="center"/>
    </xf>
    <xf numFmtId="10" fontId="6" fillId="5" borderId="90" xfId="0" applyNumberFormat="1" applyFont="1" applyFill="1" applyBorder="1" applyAlignment="1">
      <alignment horizontal="center"/>
    </xf>
    <xf numFmtId="164" fontId="0" fillId="0" borderId="0" xfId="88" applyNumberFormat="1" applyFont="1" applyFill="1" applyAlignment="1">
      <alignment horizontal="center"/>
    </xf>
    <xf numFmtId="44" fontId="0" fillId="58" borderId="1" xfId="54" applyNumberFormat="1" applyFont="1" applyFill="1" applyBorder="1" applyAlignment="1">
      <alignment horizontal="center"/>
    </xf>
    <xf numFmtId="0" fontId="0" fillId="58" borderId="36" xfId="0" applyFill="1" applyBorder="1" applyAlignment="1">
      <alignment horizontal="center"/>
    </xf>
    <xf numFmtId="0" fontId="0" fillId="58" borderId="37" xfId="0" applyFill="1" applyBorder="1" applyAlignment="1">
      <alignment horizontal="center"/>
    </xf>
    <xf numFmtId="1" fontId="0" fillId="58" borderId="34" xfId="0" applyNumberFormat="1" applyFill="1" applyBorder="1" applyAlignment="1">
      <alignment horizontal="center"/>
    </xf>
    <xf numFmtId="1" fontId="0" fillId="58" borderId="227" xfId="0" applyNumberFormat="1" applyFill="1" applyBorder="1" applyAlignment="1">
      <alignment horizontal="center"/>
    </xf>
    <xf numFmtId="44" fontId="0" fillId="44" borderId="17" xfId="54" applyNumberFormat="1" applyFont="1" applyFill="1" applyBorder="1" applyAlignment="1">
      <alignment horizontal="center"/>
    </xf>
    <xf numFmtId="44" fontId="0" fillId="44" borderId="3" xfId="54" applyNumberFormat="1" applyFont="1" applyFill="1" applyBorder="1" applyAlignment="1">
      <alignment horizontal="center"/>
    </xf>
    <xf numFmtId="44" fontId="0" fillId="44" borderId="11" xfId="54" applyNumberFormat="1" applyFont="1" applyFill="1" applyBorder="1" applyAlignment="1">
      <alignment horizontal="center"/>
    </xf>
    <xf numFmtId="0" fontId="111" fillId="43" borderId="33" xfId="0" applyFont="1" applyFill="1" applyBorder="1" applyAlignment="1">
      <alignment horizontal="center" wrapText="1"/>
    </xf>
    <xf numFmtId="0" fontId="111" fillId="43" borderId="0" xfId="0" applyFont="1" applyFill="1" applyBorder="1" applyAlignment="1">
      <alignment horizontal="center" wrapText="1"/>
    </xf>
    <xf numFmtId="0" fontId="111" fillId="43" borderId="34" xfId="0" applyFont="1" applyFill="1" applyBorder="1" applyAlignment="1">
      <alignment horizontal="center" wrapText="1"/>
    </xf>
    <xf numFmtId="0" fontId="111" fillId="44" borderId="33" xfId="0" applyFont="1" applyFill="1" applyBorder="1" applyAlignment="1">
      <alignment horizontal="center" wrapText="1"/>
    </xf>
    <xf numFmtId="0" fontId="111" fillId="44" borderId="0" xfId="0" applyFont="1" applyFill="1" applyBorder="1" applyAlignment="1">
      <alignment horizontal="center" wrapText="1"/>
    </xf>
    <xf numFmtId="0" fontId="111" fillId="44" borderId="34" xfId="0" applyFont="1" applyFill="1" applyBorder="1" applyAlignment="1">
      <alignment horizontal="center"/>
    </xf>
    <xf numFmtId="0" fontId="111" fillId="44" borderId="34" xfId="0" applyFont="1" applyFill="1" applyBorder="1" applyAlignment="1">
      <alignment horizontal="center" wrapText="1"/>
    </xf>
    <xf numFmtId="8" fontId="0" fillId="58" borderId="0" xfId="54" applyNumberFormat="1" applyFont="1" applyFill="1" applyBorder="1" applyAlignment="1">
      <alignment horizontal="center"/>
    </xf>
    <xf numFmtId="7" fontId="37" fillId="58" borderId="0" xfId="54" applyNumberFormat="1" applyFont="1" applyFill="1" applyBorder="1" applyAlignment="1">
      <alignment horizontal="center"/>
    </xf>
    <xf numFmtId="44" fontId="0" fillId="58" borderId="0" xfId="54" applyNumberFormat="1" applyFont="1" applyFill="1" applyBorder="1" applyAlignment="1">
      <alignment horizontal="center"/>
    </xf>
    <xf numFmtId="44" fontId="37" fillId="58" borderId="0" xfId="54" applyNumberFormat="1" applyFont="1" applyFill="1" applyBorder="1" applyAlignment="1">
      <alignment horizontal="center"/>
    </xf>
    <xf numFmtId="8" fontId="0" fillId="58" borderId="0" xfId="54" quotePrefix="1" applyNumberFormat="1" applyFont="1" applyFill="1" applyBorder="1" applyAlignment="1">
      <alignment horizontal="center"/>
    </xf>
    <xf numFmtId="7" fontId="37" fillId="58" borderId="0" xfId="54" quotePrefix="1" applyNumberFormat="1" applyFont="1" applyFill="1" applyBorder="1" applyAlignment="1">
      <alignment horizontal="center"/>
    </xf>
    <xf numFmtId="166" fontId="0" fillId="58" borderId="0" xfId="54" applyNumberFormat="1" applyFont="1" applyFill="1" applyBorder="1" applyAlignment="1">
      <alignment horizontal="center"/>
    </xf>
    <xf numFmtId="1" fontId="86" fillId="0" borderId="239" xfId="0" applyNumberFormat="1" applyFont="1" applyFill="1" applyBorder="1" applyAlignment="1">
      <alignment horizontal="center" vertical="center"/>
    </xf>
    <xf numFmtId="1" fontId="86" fillId="0" borderId="116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1" fontId="0" fillId="2" borderId="17" xfId="1" applyNumberFormat="1" applyFont="1" applyFill="1" applyBorder="1" applyAlignment="1">
      <alignment horizontal="center"/>
    </xf>
    <xf numFmtId="0" fontId="0" fillId="2" borderId="1" xfId="88" applyNumberFormat="1" applyFont="1" applyFill="1" applyBorder="1" applyAlignment="1">
      <alignment horizontal="center"/>
    </xf>
    <xf numFmtId="0" fontId="0" fillId="2" borderId="37" xfId="1" applyNumberFormat="1" applyFont="1" applyFill="1" applyBorder="1" applyAlignment="1">
      <alignment horizontal="center"/>
    </xf>
    <xf numFmtId="0" fontId="0" fillId="2" borderId="1" xfId="1" applyNumberFormat="1" applyFont="1" applyFill="1" applyBorder="1" applyAlignment="1">
      <alignment horizontal="center"/>
    </xf>
    <xf numFmtId="0" fontId="0" fillId="2" borderId="37" xfId="88" applyNumberFormat="1" applyFont="1" applyFill="1" applyBorder="1" applyAlignment="1">
      <alignment horizontal="center"/>
    </xf>
    <xf numFmtId="1" fontId="22" fillId="58" borderId="43" xfId="1" applyNumberFormat="1" applyFont="1" applyFill="1" applyBorder="1" applyAlignment="1">
      <alignment horizontal="center"/>
    </xf>
    <xf numFmtId="1" fontId="22" fillId="58" borderId="30" xfId="1" applyNumberFormat="1" applyFont="1" applyFill="1" applyBorder="1" applyAlignment="1">
      <alignment horizontal="center"/>
    </xf>
    <xf numFmtId="1" fontId="22" fillId="58" borderId="0" xfId="1" applyNumberFormat="1" applyFont="1" applyFill="1" applyBorder="1" applyAlignment="1">
      <alignment horizontal="center"/>
    </xf>
    <xf numFmtId="1" fontId="22" fillId="58" borderId="60" xfId="1" applyNumberFormat="1" applyFont="1" applyFill="1" applyBorder="1" applyAlignment="1">
      <alignment horizontal="center"/>
    </xf>
    <xf numFmtId="0" fontId="0" fillId="2" borderId="37" xfId="1" applyNumberFormat="1" applyFont="1" applyFill="1" applyBorder="1" applyAlignment="1">
      <alignment horizontal="center" vertical="top"/>
    </xf>
    <xf numFmtId="0" fontId="111" fillId="2" borderId="13" xfId="0" applyFont="1" applyFill="1" applyBorder="1" applyAlignment="1">
      <alignment horizontal="left" vertical="center" wrapText="1" indent="1"/>
    </xf>
    <xf numFmtId="0" fontId="111" fillId="2" borderId="343" xfId="0" applyFont="1" applyFill="1" applyBorder="1" applyAlignment="1">
      <alignment horizontal="left" vertical="center" wrapText="1" indent="1"/>
    </xf>
    <xf numFmtId="10" fontId="6" fillId="0" borderId="50" xfId="0" applyNumberFormat="1" applyFont="1" applyFill="1" applyBorder="1" applyAlignment="1">
      <alignment horizontal="center"/>
    </xf>
    <xf numFmtId="10" fontId="6" fillId="0" borderId="44" xfId="0" applyNumberFormat="1" applyFont="1" applyFill="1" applyBorder="1" applyAlignment="1">
      <alignment horizontal="center"/>
    </xf>
    <xf numFmtId="10" fontId="6" fillId="0" borderId="90" xfId="0" applyNumberFormat="1" applyFont="1" applyFill="1" applyBorder="1" applyAlignment="1">
      <alignment horizontal="center"/>
    </xf>
    <xf numFmtId="0" fontId="5" fillId="6" borderId="85" xfId="0" applyFont="1" applyFill="1" applyBorder="1" applyAlignment="1">
      <alignment horizontal="right"/>
    </xf>
    <xf numFmtId="10" fontId="6" fillId="6" borderId="50" xfId="0" applyNumberFormat="1" applyFont="1" applyFill="1" applyBorder="1" applyAlignment="1">
      <alignment horizontal="center"/>
    </xf>
    <xf numFmtId="10" fontId="6" fillId="6" borderId="44" xfId="0" applyNumberFormat="1" applyFont="1" applyFill="1" applyBorder="1" applyAlignment="1">
      <alignment horizontal="center"/>
    </xf>
    <xf numFmtId="10" fontId="6" fillId="6" borderId="90" xfId="0" applyNumberFormat="1" applyFont="1" applyFill="1" applyBorder="1" applyAlignment="1">
      <alignment horizontal="center"/>
    </xf>
    <xf numFmtId="10" fontId="6" fillId="58" borderId="50" xfId="0" applyNumberFormat="1" applyFont="1" applyFill="1" applyBorder="1" applyAlignment="1">
      <alignment horizontal="center"/>
    </xf>
    <xf numFmtId="10" fontId="6" fillId="58" borderId="44" xfId="0" applyNumberFormat="1" applyFont="1" applyFill="1" applyBorder="1" applyAlignment="1">
      <alignment horizontal="center"/>
    </xf>
    <xf numFmtId="10" fontId="6" fillId="0" borderId="56" xfId="0" applyNumberFormat="1" applyFont="1" applyFill="1" applyBorder="1" applyAlignment="1">
      <alignment horizontal="center"/>
    </xf>
    <xf numFmtId="10" fontId="6" fillId="58" borderId="51" xfId="0" applyNumberFormat="1" applyFont="1" applyFill="1" applyBorder="1" applyAlignment="1">
      <alignment horizontal="center"/>
    </xf>
    <xf numFmtId="10" fontId="6" fillId="58" borderId="43" xfId="0" applyNumberFormat="1" applyFont="1" applyFill="1" applyBorder="1" applyAlignment="1">
      <alignment horizontal="center"/>
    </xf>
    <xf numFmtId="10" fontId="6" fillId="58" borderId="0" xfId="0" applyNumberFormat="1" applyFont="1" applyFill="1" applyBorder="1" applyAlignment="1">
      <alignment horizontal="center"/>
    </xf>
    <xf numFmtId="10" fontId="6" fillId="58" borderId="29" xfId="0" applyNumberFormat="1" applyFont="1" applyFill="1" applyBorder="1" applyAlignment="1">
      <alignment horizontal="center"/>
    </xf>
    <xf numFmtId="1" fontId="22" fillId="58" borderId="62" xfId="1" applyNumberFormat="1" applyFont="1" applyFill="1" applyBorder="1" applyAlignment="1">
      <alignment horizontal="center"/>
    </xf>
    <xf numFmtId="1" fontId="22" fillId="58" borderId="33" xfId="1" applyNumberFormat="1" applyFont="1" applyFill="1" applyBorder="1" applyAlignment="1">
      <alignment horizontal="center"/>
    </xf>
    <xf numFmtId="10" fontId="6" fillId="58" borderId="4" xfId="0" applyNumberFormat="1" applyFont="1" applyFill="1" applyBorder="1" applyAlignment="1">
      <alignment horizontal="center"/>
    </xf>
    <xf numFmtId="10" fontId="6" fillId="58" borderId="3" xfId="0" applyNumberFormat="1" applyFont="1" applyFill="1" applyBorder="1" applyAlignment="1">
      <alignment horizontal="center"/>
    </xf>
    <xf numFmtId="10" fontId="6" fillId="58" borderId="90" xfId="0" applyNumberFormat="1" applyFont="1" applyFill="1" applyBorder="1" applyAlignment="1">
      <alignment horizontal="center"/>
    </xf>
    <xf numFmtId="174" fontId="85" fillId="65" borderId="568" xfId="0" applyNumberFormat="1" applyFont="1" applyFill="1" applyBorder="1" applyAlignment="1">
      <alignment horizontal="center" vertical="center"/>
    </xf>
    <xf numFmtId="4" fontId="85" fillId="65" borderId="248" xfId="0" applyNumberFormat="1" applyFont="1" applyFill="1" applyBorder="1" applyAlignment="1">
      <alignment horizontal="center" vertical="center"/>
    </xf>
    <xf numFmtId="174" fontId="85" fillId="65" borderId="569" xfId="0" applyNumberFormat="1" applyFont="1" applyFill="1" applyBorder="1" applyAlignment="1">
      <alignment horizontal="center" vertical="center"/>
    </xf>
    <xf numFmtId="4" fontId="85" fillId="65" borderId="250" xfId="0" applyNumberFormat="1" applyFont="1" applyFill="1" applyBorder="1" applyAlignment="1">
      <alignment horizontal="center" vertical="center"/>
    </xf>
    <xf numFmtId="164" fontId="27" fillId="0" borderId="289" xfId="1" applyNumberFormat="1" applyFont="1" applyFill="1" applyBorder="1" applyAlignment="1">
      <alignment horizontal="center" vertical="center"/>
    </xf>
    <xf numFmtId="0" fontId="111" fillId="4" borderId="280" xfId="0" applyFont="1" applyFill="1" applyBorder="1" applyAlignment="1">
      <alignment horizontal="center" vertical="center" wrapText="1"/>
    </xf>
    <xf numFmtId="0" fontId="111" fillId="4" borderId="225" xfId="0" applyFont="1" applyFill="1" applyBorder="1" applyAlignment="1">
      <alignment horizontal="left" vertical="center" wrapText="1" indent="1"/>
    </xf>
    <xf numFmtId="1" fontId="0" fillId="4" borderId="214" xfId="0" applyNumberFormat="1" applyFill="1" applyBorder="1" applyAlignment="1">
      <alignment horizontal="center"/>
    </xf>
    <xf numFmtId="1" fontId="0" fillId="4" borderId="211" xfId="0" applyNumberFormat="1" applyFill="1" applyBorder="1" applyAlignment="1">
      <alignment horizontal="center"/>
    </xf>
    <xf numFmtId="1" fontId="0" fillId="4" borderId="596" xfId="1" applyNumberFormat="1" applyFont="1" applyFill="1" applyBorder="1" applyAlignment="1">
      <alignment horizontal="center"/>
    </xf>
    <xf numFmtId="1" fontId="0" fillId="58" borderId="597" xfId="1" applyNumberFormat="1" applyFont="1" applyFill="1" applyBorder="1" applyAlignment="1">
      <alignment horizontal="center"/>
    </xf>
    <xf numFmtId="1" fontId="0" fillId="58" borderId="598" xfId="1" applyNumberFormat="1" applyFont="1" applyFill="1" applyBorder="1" applyAlignment="1">
      <alignment horizontal="center"/>
    </xf>
    <xf numFmtId="1" fontId="0" fillId="58" borderId="599" xfId="1" applyNumberFormat="1" applyFont="1" applyFill="1" applyBorder="1" applyAlignment="1">
      <alignment horizontal="center"/>
    </xf>
    <xf numFmtId="1" fontId="0" fillId="58" borderId="600" xfId="0" applyNumberFormat="1" applyFill="1" applyBorder="1" applyAlignment="1">
      <alignment horizontal="center"/>
    </xf>
    <xf numFmtId="0" fontId="111" fillId="4" borderId="59" xfId="0" applyFont="1" applyFill="1" applyBorder="1" applyAlignment="1">
      <alignment horizontal="left" vertical="center" wrapText="1" indent="1"/>
    </xf>
    <xf numFmtId="0" fontId="111" fillId="4" borderId="280" xfId="0" applyFont="1" applyFill="1" applyBorder="1" applyAlignment="1">
      <alignment horizontal="left" vertical="center" wrapText="1" indent="1"/>
    </xf>
    <xf numFmtId="0" fontId="111" fillId="4" borderId="34" xfId="0" applyFont="1" applyFill="1" applyBorder="1" applyAlignment="1">
      <alignment horizontal="left" vertical="center" wrapText="1" indent="1"/>
    </xf>
    <xf numFmtId="1" fontId="0" fillId="2" borderId="37" xfId="1" applyNumberFormat="1" applyFont="1" applyFill="1" applyBorder="1" applyAlignment="1">
      <alignment horizontal="center"/>
    </xf>
    <xf numFmtId="1" fontId="0" fillId="4" borderId="37" xfId="1" applyNumberFormat="1" applyFont="1" applyFill="1" applyBorder="1" applyAlignment="1">
      <alignment horizontal="center"/>
    </xf>
    <xf numFmtId="0" fontId="111" fillId="2" borderId="280" xfId="0" applyFont="1" applyFill="1" applyBorder="1" applyAlignment="1">
      <alignment horizontal="center" vertical="center" wrapText="1"/>
    </xf>
    <xf numFmtId="0" fontId="111" fillId="2" borderId="280" xfId="0" applyFont="1" applyFill="1" applyBorder="1" applyAlignment="1">
      <alignment horizontal="left" vertical="center" wrapText="1" indent="1"/>
    </xf>
    <xf numFmtId="0" fontId="111" fillId="2" borderId="34" xfId="0" applyFont="1" applyFill="1" applyBorder="1" applyAlignment="1">
      <alignment horizontal="left" vertical="center" wrapText="1" indent="1"/>
    </xf>
    <xf numFmtId="1" fontId="0" fillId="2" borderId="51" xfId="1" applyNumberFormat="1" applyFont="1" applyFill="1" applyBorder="1" applyAlignment="1">
      <alignment horizontal="center"/>
    </xf>
    <xf numFmtId="1" fontId="2" fillId="4" borderId="37" xfId="1" applyNumberFormat="1" applyFont="1" applyFill="1" applyBorder="1" applyAlignment="1">
      <alignment horizontal="center"/>
    </xf>
    <xf numFmtId="1" fontId="2" fillId="2" borderId="37" xfId="1" applyNumberFormat="1" applyFont="1" applyFill="1" applyBorder="1" applyAlignment="1">
      <alignment horizontal="center"/>
    </xf>
    <xf numFmtId="1" fontId="2" fillId="58" borderId="43" xfId="1" applyNumberFormat="1" applyFont="1" applyFill="1" applyBorder="1" applyAlignment="1">
      <alignment horizontal="center"/>
    </xf>
    <xf numFmtId="1" fontId="2" fillId="58" borderId="30" xfId="1" applyNumberFormat="1" applyFont="1" applyFill="1" applyBorder="1" applyAlignment="1">
      <alignment horizontal="center"/>
    </xf>
    <xf numFmtId="1" fontId="2" fillId="58" borderId="0" xfId="1" applyNumberFormat="1" applyFont="1" applyFill="1" applyBorder="1" applyAlignment="1">
      <alignment horizontal="center"/>
    </xf>
    <xf numFmtId="1" fontId="2" fillId="58" borderId="60" xfId="1" applyNumberFormat="1" applyFont="1" applyFill="1" applyBorder="1" applyAlignment="1">
      <alignment horizontal="center"/>
    </xf>
    <xf numFmtId="1" fontId="0" fillId="58" borderId="30" xfId="1" applyNumberFormat="1" applyFont="1" applyFill="1" applyBorder="1" applyAlignment="1">
      <alignment horizontal="center"/>
    </xf>
    <xf numFmtId="1" fontId="2" fillId="58" borderId="33" xfId="1" applyNumberFormat="1" applyFont="1" applyFill="1" applyBorder="1" applyAlignment="1">
      <alignment horizontal="center"/>
    </xf>
    <xf numFmtId="0" fontId="111" fillId="4" borderId="0" xfId="0" applyFont="1" applyFill="1" applyBorder="1" applyAlignment="1">
      <alignment horizontal="left" vertical="center" wrapText="1" indent="1"/>
    </xf>
    <xf numFmtId="1" fontId="0" fillId="4" borderId="601" xfId="1" applyNumberFormat="1" applyFont="1" applyFill="1" applyBorder="1" applyAlignment="1">
      <alignment horizontal="center"/>
    </xf>
    <xf numFmtId="1" fontId="3" fillId="58" borderId="62" xfId="1" applyNumberFormat="1" applyFont="1" applyFill="1" applyBorder="1" applyAlignment="1">
      <alignment horizontal="center"/>
    </xf>
    <xf numFmtId="1" fontId="3" fillId="58" borderId="33" xfId="1" applyNumberFormat="1" applyFont="1" applyFill="1" applyBorder="1" applyAlignment="1">
      <alignment horizontal="center"/>
    </xf>
    <xf numFmtId="0" fontId="111" fillId="2" borderId="16" xfId="0" applyFont="1" applyFill="1" applyBorder="1" applyAlignment="1">
      <alignment horizontal="left" vertical="center" wrapText="1" indent="1"/>
    </xf>
    <xf numFmtId="0" fontId="111" fillId="2" borderId="49" xfId="0" applyFont="1" applyFill="1" applyBorder="1" applyAlignment="1">
      <alignment horizontal="left" vertical="center" wrapText="1" indent="1"/>
    </xf>
    <xf numFmtId="0" fontId="46" fillId="58" borderId="0" xfId="0" applyFont="1" applyFill="1" applyBorder="1" applyAlignment="1">
      <alignment horizontal="center"/>
    </xf>
    <xf numFmtId="0" fontId="46" fillId="58" borderId="60" xfId="0" applyFont="1" applyFill="1" applyBorder="1" applyAlignment="1">
      <alignment horizontal="center"/>
    </xf>
    <xf numFmtId="0" fontId="0" fillId="0" borderId="0" xfId="0" applyAlignment="1">
      <alignment wrapText="1"/>
    </xf>
    <xf numFmtId="10" fontId="60" fillId="48" borderId="287" xfId="1" applyNumberFormat="1" applyFont="1" applyFill="1" applyBorder="1" applyAlignment="1">
      <alignment horizontal="center" vertical="center"/>
    </xf>
    <xf numFmtId="164" fontId="60" fillId="48" borderId="287" xfId="1" applyNumberFormat="1" applyFont="1" applyFill="1" applyBorder="1" applyAlignment="1">
      <alignment horizontal="center" vertical="center"/>
    </xf>
    <xf numFmtId="164" fontId="60" fillId="48" borderId="294" xfId="1" applyNumberFormat="1" applyFont="1" applyFill="1" applyBorder="1" applyAlignment="1">
      <alignment horizontal="center" vertical="center"/>
    </xf>
    <xf numFmtId="10" fontId="60" fillId="48" borderId="297" xfId="1" applyNumberFormat="1" applyFont="1" applyFill="1" applyBorder="1" applyAlignment="1">
      <alignment horizontal="center" vertical="center"/>
    </xf>
    <xf numFmtId="164" fontId="60" fillId="0" borderId="297" xfId="1" applyNumberFormat="1" applyFont="1" applyFill="1" applyBorder="1" applyAlignment="1">
      <alignment horizontal="center" vertical="center"/>
    </xf>
    <xf numFmtId="164" fontId="60" fillId="0" borderId="298" xfId="1" applyNumberFormat="1" applyFont="1" applyFill="1" applyBorder="1" applyAlignment="1">
      <alignment horizontal="center" vertical="center"/>
    </xf>
    <xf numFmtId="164" fontId="60" fillId="0" borderId="289" xfId="1" applyNumberFormat="1" applyFont="1" applyFill="1" applyBorder="1" applyAlignment="1">
      <alignment horizontal="center" vertical="center"/>
    </xf>
    <xf numFmtId="164" fontId="60" fillId="64" borderId="359" xfId="1" applyNumberFormat="1" applyFont="1" applyFill="1" applyBorder="1" applyAlignment="1">
      <alignment horizontal="center" vertical="center"/>
    </xf>
    <xf numFmtId="164" fontId="60" fillId="64" borderId="341" xfId="1" applyNumberFormat="1" applyFont="1" applyFill="1" applyBorder="1" applyAlignment="1">
      <alignment horizontal="center" vertical="center"/>
    </xf>
    <xf numFmtId="0" fontId="0" fillId="64" borderId="341" xfId="0" applyFill="1" applyBorder="1" applyAlignment="1">
      <alignment horizontal="center" vertical="center"/>
    </xf>
    <xf numFmtId="164" fontId="9" fillId="64" borderId="627" xfId="1" applyNumberFormat="1" applyFont="1" applyFill="1" applyBorder="1" applyAlignment="1">
      <alignment horizontal="center" vertical="center"/>
    </xf>
    <xf numFmtId="164" fontId="9" fillId="64" borderId="628" xfId="1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5" borderId="0" xfId="0" applyFill="1" applyAlignment="1">
      <alignment vertical="center"/>
    </xf>
    <xf numFmtId="164" fontId="0" fillId="5" borderId="0" xfId="1" applyNumberFormat="1" applyFont="1" applyFill="1" applyAlignment="1">
      <alignment horizontal="center" vertical="center"/>
    </xf>
    <xf numFmtId="9" fontId="0" fillId="5" borderId="0" xfId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 wrapText="1"/>
    </xf>
    <xf numFmtId="164" fontId="0" fillId="0" borderId="0" xfId="1" applyNumberFormat="1" applyFont="1" applyFill="1" applyAlignment="1">
      <alignment horizontal="center" vertical="center"/>
    </xf>
    <xf numFmtId="164" fontId="60" fillId="0" borderId="289" xfId="0" applyNumberFormat="1" applyFont="1" applyFill="1" applyBorder="1" applyAlignment="1">
      <alignment horizontal="center" vertical="center"/>
    </xf>
    <xf numFmtId="164" fontId="60" fillId="64" borderId="318" xfId="0" applyNumberFormat="1" applyFont="1" applyFill="1" applyBorder="1" applyAlignment="1">
      <alignment horizontal="center" vertical="center"/>
    </xf>
    <xf numFmtId="0" fontId="139" fillId="48" borderId="0" xfId="0" applyFont="1" applyFill="1" applyBorder="1" applyAlignment="1">
      <alignment horizontal="left" vertical="center" indent="1"/>
    </xf>
    <xf numFmtId="0" fontId="161" fillId="48" borderId="0" xfId="0" applyFont="1" applyFill="1" applyBorder="1" applyAlignment="1">
      <alignment horizontal="center" vertical="center"/>
    </xf>
    <xf numFmtId="164" fontId="60" fillId="0" borderId="287" xfId="0" applyNumberFormat="1" applyFont="1" applyFill="1" applyBorder="1" applyAlignment="1">
      <alignment horizontal="center" vertical="center"/>
    </xf>
    <xf numFmtId="164" fontId="60" fillId="64" borderId="318" xfId="1" applyNumberFormat="1" applyFont="1" applyFill="1" applyBorder="1" applyAlignment="1">
      <alignment horizontal="center" vertical="center"/>
    </xf>
    <xf numFmtId="164" fontId="60" fillId="64" borderId="629" xfId="1" applyNumberFormat="1" applyFont="1" applyFill="1" applyBorder="1" applyAlignment="1">
      <alignment horizontal="center" vertical="center"/>
    </xf>
    <xf numFmtId="0" fontId="9" fillId="64" borderId="71" xfId="0" applyFont="1" applyFill="1" applyBorder="1" applyAlignment="1">
      <alignment horizontal="center" vertical="center"/>
    </xf>
    <xf numFmtId="0" fontId="0" fillId="0" borderId="630" xfId="0" applyFill="1" applyBorder="1" applyAlignment="1">
      <alignment horizontal="center"/>
    </xf>
    <xf numFmtId="0" fontId="0" fillId="0" borderId="631" xfId="0" applyFill="1" applyBorder="1" applyAlignment="1">
      <alignment horizontal="center"/>
    </xf>
    <xf numFmtId="0" fontId="0" fillId="0" borderId="631" xfId="0" applyBorder="1" applyAlignment="1">
      <alignment horizontal="center"/>
    </xf>
    <xf numFmtId="0" fontId="0" fillId="0" borderId="632" xfId="0" applyBorder="1" applyAlignment="1">
      <alignment horizontal="center"/>
    </xf>
    <xf numFmtId="1" fontId="0" fillId="0" borderId="64" xfId="0" applyNumberFormat="1" applyFill="1" applyBorder="1" applyAlignment="1">
      <alignment horizontal="center"/>
    </xf>
    <xf numFmtId="1" fontId="0" fillId="48" borderId="633" xfId="0" applyNumberFormat="1" applyFill="1" applyBorder="1" applyAlignment="1">
      <alignment horizontal="center"/>
    </xf>
    <xf numFmtId="1" fontId="0" fillId="0" borderId="633" xfId="0" applyNumberFormat="1" applyFill="1" applyBorder="1" applyAlignment="1">
      <alignment horizontal="center"/>
    </xf>
    <xf numFmtId="0" fontId="0" fillId="0" borderId="65" xfId="0" applyFill="1" applyBorder="1" applyAlignment="1">
      <alignment horizontal="center"/>
    </xf>
    <xf numFmtId="0" fontId="0" fillId="48" borderId="635" xfId="0" applyFill="1" applyBorder="1" applyAlignment="1">
      <alignment horizontal="center"/>
    </xf>
    <xf numFmtId="0" fontId="0" fillId="0" borderId="635" xfId="0" applyFill="1" applyBorder="1" applyAlignment="1">
      <alignment horizontal="center"/>
    </xf>
    <xf numFmtId="0" fontId="0" fillId="0" borderId="635" xfId="0" applyBorder="1" applyAlignment="1">
      <alignment horizontal="center"/>
    </xf>
    <xf numFmtId="0" fontId="0" fillId="0" borderId="636" xfId="0" applyBorder="1" applyAlignment="1">
      <alignment horizontal="center"/>
    </xf>
    <xf numFmtId="1" fontId="0" fillId="0" borderId="65" xfId="0" applyNumberFormat="1" applyFill="1" applyBorder="1" applyAlignment="1">
      <alignment horizontal="center"/>
    </xf>
    <xf numFmtId="1" fontId="0" fillId="48" borderId="635" xfId="0" applyNumberFormat="1" applyFill="1" applyBorder="1" applyAlignment="1">
      <alignment horizontal="center"/>
    </xf>
    <xf numFmtId="1" fontId="0" fillId="0" borderId="635" xfId="0" applyNumberFormat="1" applyFill="1" applyBorder="1" applyAlignment="1">
      <alignment horizontal="center"/>
    </xf>
    <xf numFmtId="1" fontId="0" fillId="0" borderId="636" xfId="0" applyNumberFormat="1" applyBorder="1" applyAlignment="1">
      <alignment horizontal="center"/>
    </xf>
    <xf numFmtId="1" fontId="0" fillId="0" borderId="630" xfId="0" applyNumberFormat="1" applyFill="1" applyBorder="1" applyAlignment="1">
      <alignment horizontal="center"/>
    </xf>
    <xf numFmtId="1" fontId="0" fillId="48" borderId="631" xfId="0" applyNumberFormat="1" applyFill="1" applyBorder="1" applyAlignment="1">
      <alignment horizontal="center"/>
    </xf>
    <xf numFmtId="1" fontId="0" fillId="0" borderId="631" xfId="0" applyNumberFormat="1" applyFill="1" applyBorder="1" applyAlignment="1">
      <alignment horizontal="center"/>
    </xf>
    <xf numFmtId="1" fontId="0" fillId="0" borderId="631" xfId="0" applyNumberFormat="1" applyBorder="1" applyAlignment="1">
      <alignment horizontal="center"/>
    </xf>
    <xf numFmtId="1" fontId="0" fillId="0" borderId="632" xfId="0" applyNumberFormat="1" applyBorder="1" applyAlignment="1">
      <alignment horizontal="center"/>
    </xf>
    <xf numFmtId="0" fontId="0" fillId="0" borderId="64" xfId="0" applyFill="1" applyBorder="1" applyAlignment="1">
      <alignment horizontal="center"/>
    </xf>
    <xf numFmtId="0" fontId="0" fillId="48" borderId="633" xfId="0" applyFill="1" applyBorder="1" applyAlignment="1">
      <alignment horizontal="center"/>
    </xf>
    <xf numFmtId="0" fontId="0" fillId="0" borderId="633" xfId="0" applyFill="1" applyBorder="1" applyAlignment="1">
      <alignment horizontal="center"/>
    </xf>
    <xf numFmtId="0" fontId="0" fillId="0" borderId="633" xfId="0" applyBorder="1" applyAlignment="1">
      <alignment horizontal="center"/>
    </xf>
    <xf numFmtId="0" fontId="0" fillId="0" borderId="634" xfId="0" applyBorder="1" applyAlignment="1">
      <alignment horizontal="center"/>
    </xf>
    <xf numFmtId="0" fontId="0" fillId="67" borderId="56" xfId="0" applyFill="1" applyBorder="1" applyAlignment="1">
      <alignment horizontal="center"/>
    </xf>
    <xf numFmtId="7" fontId="0" fillId="58" borderId="37" xfId="54" applyNumberFormat="1" applyFont="1" applyFill="1" applyBorder="1" applyAlignment="1">
      <alignment horizontal="right"/>
    </xf>
    <xf numFmtId="7" fontId="0" fillId="58" borderId="37" xfId="54" applyNumberFormat="1" applyFont="1" applyFill="1" applyBorder="1" applyAlignment="1">
      <alignment horizontal="center"/>
    </xf>
    <xf numFmtId="44" fontId="0" fillId="58" borderId="10" xfId="54" applyFont="1" applyFill="1" applyBorder="1" applyAlignment="1">
      <alignment horizontal="center"/>
    </xf>
    <xf numFmtId="44" fontId="0" fillId="58" borderId="11" xfId="54" applyFont="1" applyFill="1" applyBorder="1" applyAlignment="1">
      <alignment horizontal="center"/>
    </xf>
    <xf numFmtId="44" fontId="0" fillId="58" borderId="39" xfId="54" applyFont="1" applyFill="1" applyBorder="1" applyAlignment="1">
      <alignment horizontal="center"/>
    </xf>
    <xf numFmtId="44" fontId="0" fillId="58" borderId="14" xfId="54" applyFont="1" applyFill="1" applyBorder="1" applyAlignment="1">
      <alignment horizontal="center"/>
    </xf>
    <xf numFmtId="1" fontId="0" fillId="6" borderId="218" xfId="0" applyNumberFormat="1" applyFill="1" applyBorder="1" applyAlignment="1">
      <alignment horizontal="center"/>
    </xf>
    <xf numFmtId="1" fontId="86" fillId="0" borderId="138" xfId="0" applyNumberFormat="1" applyFont="1" applyFill="1" applyBorder="1" applyAlignment="1">
      <alignment horizontal="center" vertical="center"/>
    </xf>
    <xf numFmtId="0" fontId="69" fillId="65" borderId="80" xfId="0" applyFont="1" applyFill="1" applyBorder="1" applyAlignment="1">
      <alignment horizontal="center" vertical="center"/>
    </xf>
    <xf numFmtId="164" fontId="161" fillId="0" borderId="0" xfId="1" applyNumberFormat="1" applyFont="1" applyBorder="1" applyAlignment="1">
      <alignment horizontal="center" vertical="center"/>
    </xf>
    <xf numFmtId="164" fontId="161" fillId="0" borderId="0" xfId="0" applyNumberFormat="1" applyFont="1" applyBorder="1" applyAlignment="1">
      <alignment horizontal="center" vertical="center"/>
    </xf>
    <xf numFmtId="1" fontId="86" fillId="48" borderId="350" xfId="0" applyNumberFormat="1" applyFont="1" applyFill="1" applyBorder="1" applyAlignment="1">
      <alignment horizontal="center" vertical="center"/>
    </xf>
    <xf numFmtId="1" fontId="86" fillId="48" borderId="318" xfId="0" applyNumberFormat="1" applyFont="1" applyFill="1" applyBorder="1" applyAlignment="1">
      <alignment horizontal="center" vertical="center"/>
    </xf>
    <xf numFmtId="1" fontId="86" fillId="48" borderId="287" xfId="0" applyNumberFormat="1" applyFont="1" applyFill="1" applyBorder="1" applyAlignment="1">
      <alignment horizontal="center" vertical="center"/>
    </xf>
    <xf numFmtId="1" fontId="74" fillId="65" borderId="114" xfId="0" applyNumberFormat="1" applyFont="1" applyFill="1" applyBorder="1" applyAlignment="1">
      <alignment horizontal="center" vertical="center"/>
    </xf>
    <xf numFmtId="10" fontId="6" fillId="5" borderId="44" xfId="0" applyNumberFormat="1" applyFont="1" applyFill="1" applyBorder="1" applyAlignment="1">
      <alignment horizontal="center"/>
    </xf>
    <xf numFmtId="10" fontId="6" fillId="5" borderId="90" xfId="0" applyNumberFormat="1" applyFont="1" applyFill="1" applyBorder="1" applyAlignment="1">
      <alignment horizontal="center"/>
    </xf>
    <xf numFmtId="0" fontId="177" fillId="65" borderId="6" xfId="0" applyFont="1" applyFill="1" applyBorder="1" applyAlignment="1">
      <alignment vertical="center"/>
    </xf>
    <xf numFmtId="0" fontId="177" fillId="65" borderId="0" xfId="0" applyFont="1" applyFill="1" applyBorder="1" applyAlignment="1">
      <alignment vertical="center"/>
    </xf>
    <xf numFmtId="0" fontId="177" fillId="65" borderId="60" xfId="0" applyFont="1" applyFill="1" applyBorder="1" applyAlignment="1">
      <alignment vertical="center"/>
    </xf>
    <xf numFmtId="0" fontId="177" fillId="0" borderId="0" xfId="0" applyFont="1" applyAlignment="1">
      <alignment vertical="center"/>
    </xf>
    <xf numFmtId="0" fontId="173" fillId="65" borderId="9" xfId="0" applyFont="1" applyFill="1" applyBorder="1"/>
    <xf numFmtId="0" fontId="173" fillId="65" borderId="43" xfId="0" applyFont="1" applyFill="1" applyBorder="1"/>
    <xf numFmtId="0" fontId="180" fillId="65" borderId="43" xfId="0" applyFont="1" applyFill="1" applyBorder="1"/>
    <xf numFmtId="0" fontId="181" fillId="65" borderId="43" xfId="0" applyFont="1" applyFill="1" applyBorder="1"/>
    <xf numFmtId="0" fontId="173" fillId="65" borderId="30" xfId="0" applyFont="1" applyFill="1" applyBorder="1"/>
    <xf numFmtId="0" fontId="173" fillId="0" borderId="0" xfId="0" applyFont="1"/>
    <xf numFmtId="0" fontId="173" fillId="65" borderId="6" xfId="0" applyFont="1" applyFill="1" applyBorder="1" applyAlignment="1">
      <alignment horizontal="center" vertical="center" wrapText="1"/>
    </xf>
    <xf numFmtId="0" fontId="84" fillId="65" borderId="0" xfId="0" applyFont="1" applyFill="1" applyBorder="1" applyAlignment="1">
      <alignment horizontal="center" wrapText="1"/>
    </xf>
    <xf numFmtId="3" fontId="82" fillId="65" borderId="104" xfId="0" applyNumberFormat="1" applyFont="1" applyFill="1" applyBorder="1" applyAlignment="1">
      <alignment horizontal="center" vertical="center" wrapText="1"/>
    </xf>
    <xf numFmtId="3" fontId="82" fillId="65" borderId="626" xfId="0" applyNumberFormat="1" applyFont="1" applyFill="1" applyBorder="1" applyAlignment="1">
      <alignment horizontal="center" vertical="center" wrapText="1"/>
    </xf>
    <xf numFmtId="0" fontId="173" fillId="65" borderId="60" xfId="0" applyFont="1" applyFill="1" applyBorder="1" applyAlignment="1">
      <alignment horizontal="center" vertical="center" wrapText="1"/>
    </xf>
    <xf numFmtId="0" fontId="173" fillId="0" borderId="0" xfId="0" applyFont="1" applyAlignment="1">
      <alignment horizontal="center" vertical="center" wrapText="1"/>
    </xf>
    <xf numFmtId="0" fontId="173" fillId="65" borderId="6" xfId="0" applyFont="1" applyFill="1" applyBorder="1" applyAlignment="1">
      <alignment vertical="center"/>
    </xf>
    <xf numFmtId="164" fontId="182" fillId="0" borderId="109" xfId="1" applyNumberFormat="1" applyFont="1" applyFill="1" applyBorder="1" applyAlignment="1">
      <alignment horizontal="center" vertical="center"/>
    </xf>
    <xf numFmtId="17" fontId="182" fillId="0" borderId="110" xfId="0" applyNumberFormat="1" applyFont="1" applyBorder="1" applyAlignment="1">
      <alignment horizontal="center" vertical="center"/>
    </xf>
    <xf numFmtId="164" fontId="182" fillId="0" borderId="522" xfId="1" applyNumberFormat="1" applyFont="1" applyFill="1" applyBorder="1" applyAlignment="1">
      <alignment horizontal="center" vertical="center"/>
    </xf>
    <xf numFmtId="164" fontId="182" fillId="0" borderId="523" xfId="1" applyNumberFormat="1" applyFont="1" applyFill="1" applyBorder="1" applyAlignment="1">
      <alignment horizontal="center" vertical="center"/>
    </xf>
    <xf numFmtId="164" fontId="182" fillId="65" borderId="101" xfId="1" applyNumberFormat="1" applyFont="1" applyFill="1" applyBorder="1" applyAlignment="1">
      <alignment horizontal="center" vertical="center"/>
    </xf>
    <xf numFmtId="164" fontId="182" fillId="65" borderId="611" xfId="1" applyNumberFormat="1" applyFont="1" applyFill="1" applyBorder="1" applyAlignment="1">
      <alignment horizontal="center" vertical="center"/>
    </xf>
    <xf numFmtId="164" fontId="182" fillId="0" borderId="623" xfId="1" applyNumberFormat="1" applyFont="1" applyFill="1" applyBorder="1" applyAlignment="1">
      <alignment horizontal="center" vertical="center"/>
    </xf>
    <xf numFmtId="164" fontId="182" fillId="0" borderId="612" xfId="1" applyNumberFormat="1" applyFont="1" applyFill="1" applyBorder="1" applyAlignment="1">
      <alignment horizontal="center" vertical="center"/>
    </xf>
    <xf numFmtId="164" fontId="182" fillId="65" borderId="607" xfId="1" applyNumberFormat="1" applyFont="1" applyFill="1" applyBorder="1" applyAlignment="1">
      <alignment horizontal="center" vertical="center"/>
    </xf>
    <xf numFmtId="164" fontId="182" fillId="0" borderId="607" xfId="1" applyNumberFormat="1" applyFont="1" applyFill="1" applyBorder="1" applyAlignment="1">
      <alignment horizontal="center" vertical="center"/>
    </xf>
    <xf numFmtId="164" fontId="182" fillId="0" borderId="613" xfId="1" applyNumberFormat="1" applyFont="1" applyFill="1" applyBorder="1" applyAlignment="1">
      <alignment horizontal="center" vertical="center"/>
    </xf>
    <xf numFmtId="164" fontId="182" fillId="0" borderId="614" xfId="1" applyNumberFormat="1" applyFont="1" applyFill="1" applyBorder="1" applyAlignment="1">
      <alignment horizontal="center" vertical="center"/>
    </xf>
    <xf numFmtId="164" fontId="182" fillId="65" borderId="102" xfId="1" applyNumberFormat="1" applyFont="1" applyFill="1" applyBorder="1" applyAlignment="1">
      <alignment horizontal="center" vertical="center"/>
    </xf>
    <xf numFmtId="0" fontId="173" fillId="65" borderId="60" xfId="0" applyFont="1" applyFill="1" applyBorder="1" applyAlignment="1">
      <alignment vertical="center"/>
    </xf>
    <xf numFmtId="0" fontId="173" fillId="0" borderId="0" xfId="0" applyFont="1" applyAlignment="1">
      <alignment vertical="center"/>
    </xf>
    <xf numFmtId="164" fontId="182" fillId="0" borderId="111" xfId="1" applyNumberFormat="1" applyFont="1" applyFill="1" applyBorder="1" applyAlignment="1">
      <alignment horizontal="center" vertical="center"/>
    </xf>
    <xf numFmtId="17" fontId="182" fillId="0" borderId="112" xfId="0" applyNumberFormat="1" applyFont="1" applyBorder="1" applyAlignment="1">
      <alignment horizontal="center" vertical="center"/>
    </xf>
    <xf numFmtId="164" fontId="182" fillId="0" borderId="593" xfId="1" applyNumberFormat="1" applyFont="1" applyFill="1" applyBorder="1" applyAlignment="1">
      <alignment horizontal="center" vertical="center"/>
    </xf>
    <xf numFmtId="164" fontId="182" fillId="0" borderId="589" xfId="1" applyNumberFormat="1" applyFont="1" applyFill="1" applyBorder="1" applyAlignment="1">
      <alignment horizontal="center" vertical="center"/>
    </xf>
    <xf numFmtId="164" fontId="182" fillId="65" borderId="0" xfId="1" applyNumberFormat="1" applyFont="1" applyFill="1" applyBorder="1" applyAlignment="1">
      <alignment horizontal="center" vertical="center"/>
    </xf>
    <xf numFmtId="164" fontId="182" fillId="65" borderId="594" xfId="1" applyNumberFormat="1" applyFont="1" applyFill="1" applyBorder="1" applyAlignment="1">
      <alignment horizontal="center" vertical="center"/>
    </xf>
    <xf numFmtId="164" fontId="182" fillId="0" borderId="624" xfId="1" applyNumberFormat="1" applyFont="1" applyFill="1" applyBorder="1" applyAlignment="1">
      <alignment horizontal="center" vertical="center"/>
    </xf>
    <xf numFmtId="164" fontId="182" fillId="0" borderId="590" xfId="1" applyNumberFormat="1" applyFont="1" applyFill="1" applyBorder="1" applyAlignment="1">
      <alignment horizontal="center" vertical="center"/>
    </xf>
    <xf numFmtId="164" fontId="182" fillId="65" borderId="576" xfId="1" applyNumberFormat="1" applyFont="1" applyFill="1" applyBorder="1" applyAlignment="1">
      <alignment horizontal="center" vertical="center"/>
    </xf>
    <xf numFmtId="164" fontId="182" fillId="0" borderId="283" xfId="1" applyNumberFormat="1" applyFont="1" applyFill="1" applyBorder="1" applyAlignment="1">
      <alignment horizontal="center" vertical="center"/>
    </xf>
    <xf numFmtId="164" fontId="182" fillId="0" borderId="526" xfId="1" applyNumberFormat="1" applyFont="1" applyFill="1" applyBorder="1" applyAlignment="1">
      <alignment horizontal="center" vertical="center"/>
    </xf>
    <xf numFmtId="164" fontId="182" fillId="0" borderId="285" xfId="1" applyNumberFormat="1" applyFont="1" applyFill="1" applyBorder="1" applyAlignment="1">
      <alignment horizontal="center" vertical="center"/>
    </xf>
    <xf numFmtId="164" fontId="182" fillId="65" borderId="68" xfId="1" applyNumberFormat="1" applyFont="1" applyFill="1" applyBorder="1" applyAlignment="1">
      <alignment horizontal="center" vertical="center"/>
    </xf>
    <xf numFmtId="164" fontId="182" fillId="0" borderId="288" xfId="1" applyNumberFormat="1" applyFont="1" applyFill="1" applyBorder="1" applyAlignment="1">
      <alignment horizontal="center" vertical="center"/>
    </xf>
    <xf numFmtId="164" fontId="182" fillId="0" borderId="289" xfId="1" applyNumberFormat="1" applyFont="1" applyFill="1" applyBorder="1" applyAlignment="1">
      <alignment horizontal="center" vertical="center"/>
    </xf>
    <xf numFmtId="164" fontId="182" fillId="65" borderId="578" xfId="1" applyNumberFormat="1" applyFont="1" applyFill="1" applyBorder="1" applyAlignment="1">
      <alignment horizontal="center" vertical="center"/>
    </xf>
    <xf numFmtId="164" fontId="182" fillId="65" borderId="595" xfId="1" applyNumberFormat="1" applyFont="1" applyFill="1" applyBorder="1" applyAlignment="1">
      <alignment horizontal="center" vertical="center"/>
    </xf>
    <xf numFmtId="164" fontId="182" fillId="0" borderId="625" xfId="1" applyNumberFormat="1" applyFont="1" applyFill="1" applyBorder="1" applyAlignment="1">
      <alignment horizontal="center" vertical="center"/>
    </xf>
    <xf numFmtId="164" fontId="182" fillId="0" borderId="591" xfId="1" applyNumberFormat="1" applyFont="1" applyFill="1" applyBorder="1" applyAlignment="1">
      <alignment horizontal="center" vertical="center"/>
    </xf>
    <xf numFmtId="164" fontId="182" fillId="0" borderId="318" xfId="1" applyNumberFormat="1" applyFont="1" applyFill="1" applyBorder="1" applyAlignment="1">
      <alignment horizontal="center" vertical="center"/>
    </xf>
    <xf numFmtId="164" fontId="182" fillId="0" borderId="580" xfId="1" applyNumberFormat="1" applyFont="1" applyFill="1" applyBorder="1" applyAlignment="1">
      <alignment horizontal="center" vertical="center"/>
    </xf>
    <xf numFmtId="164" fontId="182" fillId="65" borderId="581" xfId="1" applyNumberFormat="1" applyFont="1" applyFill="1" applyBorder="1" applyAlignment="1">
      <alignment horizontal="center" vertical="center"/>
    </xf>
    <xf numFmtId="164" fontId="182" fillId="0" borderId="355" xfId="1" applyNumberFormat="1" applyFont="1" applyFill="1" applyBorder="1" applyAlignment="1">
      <alignment horizontal="center" vertical="center"/>
    </xf>
    <xf numFmtId="164" fontId="182" fillId="0" borderId="350" xfId="1" applyNumberFormat="1" applyFont="1" applyFill="1" applyBorder="1" applyAlignment="1">
      <alignment horizontal="center" vertical="center"/>
    </xf>
    <xf numFmtId="164" fontId="182" fillId="65" borderId="577" xfId="1" applyNumberFormat="1" applyFont="1" applyFill="1" applyBorder="1" applyAlignment="1">
      <alignment horizontal="center" vertical="center"/>
    </xf>
    <xf numFmtId="164" fontId="182" fillId="0" borderId="310" xfId="1" applyNumberFormat="1" applyFont="1" applyFill="1" applyBorder="1" applyAlignment="1">
      <alignment horizontal="center" vertical="center"/>
    </xf>
    <xf numFmtId="164" fontId="182" fillId="0" borderId="356" xfId="1" applyNumberFormat="1" applyFont="1" applyFill="1" applyBorder="1" applyAlignment="1">
      <alignment horizontal="center" vertical="center"/>
    </xf>
    <xf numFmtId="164" fontId="182" fillId="0" borderId="579" xfId="1" applyNumberFormat="1" applyFont="1" applyFill="1" applyBorder="1" applyAlignment="1">
      <alignment horizontal="center" vertical="center"/>
    </xf>
    <xf numFmtId="164" fontId="182" fillId="0" borderId="585" xfId="1" applyNumberFormat="1" applyFont="1" applyFill="1" applyBorder="1" applyAlignment="1">
      <alignment horizontal="center" vertical="center"/>
    </xf>
    <xf numFmtId="164" fontId="182" fillId="0" borderId="315" xfId="1" applyNumberFormat="1" applyFont="1" applyFill="1" applyBorder="1" applyAlignment="1">
      <alignment horizontal="center" vertical="center"/>
    </xf>
    <xf numFmtId="164" fontId="182" fillId="0" borderId="578" xfId="1" applyNumberFormat="1" applyFont="1" applyFill="1" applyBorder="1" applyAlignment="1">
      <alignment horizontal="center" vertical="center"/>
    </xf>
    <xf numFmtId="164" fontId="182" fillId="0" borderId="582" xfId="1" applyNumberFormat="1" applyFont="1" applyFill="1" applyBorder="1" applyAlignment="1">
      <alignment horizontal="center" vertical="center"/>
    </xf>
    <xf numFmtId="164" fontId="182" fillId="0" borderId="352" xfId="1" applyNumberFormat="1" applyFont="1" applyFill="1" applyBorder="1" applyAlignment="1">
      <alignment horizontal="center" vertical="center"/>
    </xf>
    <xf numFmtId="164" fontId="182" fillId="65" borderId="606" xfId="1" applyNumberFormat="1" applyFont="1" applyFill="1" applyBorder="1" applyAlignment="1">
      <alignment horizontal="center" vertical="center"/>
    </xf>
    <xf numFmtId="164" fontId="182" fillId="65" borderId="610" xfId="1" applyNumberFormat="1" applyFont="1" applyFill="1" applyBorder="1" applyAlignment="1">
      <alignment horizontal="center" vertical="center"/>
    </xf>
    <xf numFmtId="164" fontId="182" fillId="65" borderId="572" xfId="1" applyNumberFormat="1" applyFont="1" applyFill="1" applyBorder="1" applyAlignment="1">
      <alignment horizontal="center" vertical="center"/>
    </xf>
    <xf numFmtId="164" fontId="182" fillId="65" borderId="573" xfId="1" applyNumberFormat="1" applyFont="1" applyFill="1" applyBorder="1" applyAlignment="1">
      <alignment horizontal="center" vertical="center"/>
    </xf>
    <xf numFmtId="164" fontId="182" fillId="0" borderId="300" xfId="1" applyNumberFormat="1" applyFont="1" applyFill="1" applyBorder="1" applyAlignment="1">
      <alignment horizontal="center" vertical="center"/>
    </xf>
    <xf numFmtId="9" fontId="182" fillId="0" borderId="583" xfId="1" applyFont="1" applyFill="1" applyBorder="1" applyAlignment="1">
      <alignment horizontal="center" vertical="center"/>
    </xf>
    <xf numFmtId="9" fontId="182" fillId="0" borderId="577" xfId="1" applyFont="1" applyFill="1" applyBorder="1" applyAlignment="1">
      <alignment horizontal="center" vertical="center"/>
    </xf>
    <xf numFmtId="9" fontId="182" fillId="0" borderId="602" xfId="1" applyFont="1" applyFill="1" applyBorder="1" applyAlignment="1">
      <alignment horizontal="center" vertical="center"/>
    </xf>
    <xf numFmtId="164" fontId="182" fillId="65" borderId="574" xfId="1" applyNumberFormat="1" applyFont="1" applyFill="1" applyBorder="1" applyAlignment="1">
      <alignment horizontal="center" vertical="center"/>
    </xf>
    <xf numFmtId="164" fontId="182" fillId="0" borderId="571" xfId="1" applyNumberFormat="1" applyFont="1" applyFill="1" applyBorder="1" applyAlignment="1">
      <alignment horizontal="center" vertical="center"/>
    </xf>
    <xf numFmtId="164" fontId="182" fillId="0" borderId="604" xfId="1" applyNumberFormat="1" applyFont="1" applyFill="1" applyBorder="1" applyAlignment="1">
      <alignment horizontal="center" vertical="center"/>
    </xf>
    <xf numFmtId="164" fontId="182" fillId="0" borderId="602" xfId="1" applyNumberFormat="1" applyFont="1" applyFill="1" applyBorder="1" applyAlignment="1">
      <alignment horizontal="center" vertical="center"/>
    </xf>
    <xf numFmtId="164" fontId="182" fillId="0" borderId="605" xfId="1" applyNumberFormat="1" applyFont="1" applyFill="1" applyBorder="1" applyAlignment="1">
      <alignment horizontal="center" vertical="center"/>
    </xf>
    <xf numFmtId="164" fontId="182" fillId="65" borderId="586" xfId="1" applyNumberFormat="1" applyFont="1" applyFill="1" applyBorder="1" applyAlignment="1">
      <alignment horizontal="center" vertical="center"/>
    </xf>
    <xf numFmtId="164" fontId="182" fillId="65" borderId="587" xfId="1" applyNumberFormat="1" applyFont="1" applyFill="1" applyBorder="1" applyAlignment="1">
      <alignment horizontal="center" vertical="center"/>
    </xf>
    <xf numFmtId="164" fontId="182" fillId="65" borderId="588" xfId="1" applyNumberFormat="1" applyFont="1" applyFill="1" applyBorder="1" applyAlignment="1">
      <alignment horizontal="center" vertical="center"/>
    </xf>
    <xf numFmtId="164" fontId="182" fillId="65" borderId="591" xfId="1" applyNumberFormat="1" applyFont="1" applyFill="1" applyBorder="1" applyAlignment="1">
      <alignment horizontal="center" vertical="center"/>
    </xf>
    <xf numFmtId="164" fontId="182" fillId="0" borderId="290" xfId="1" applyNumberFormat="1" applyFont="1" applyFill="1" applyBorder="1" applyAlignment="1">
      <alignment horizontal="center" vertical="center"/>
    </xf>
    <xf numFmtId="164" fontId="182" fillId="65" borderId="76" xfId="1" applyNumberFormat="1" applyFont="1" applyFill="1" applyBorder="1" applyAlignment="1">
      <alignment horizontal="center" vertical="center"/>
    </xf>
    <xf numFmtId="164" fontId="182" fillId="65" borderId="575" xfId="1" applyNumberFormat="1" applyFont="1" applyFill="1" applyBorder="1" applyAlignment="1">
      <alignment horizontal="center" vertical="center"/>
    </xf>
    <xf numFmtId="164" fontId="182" fillId="65" borderId="592" xfId="1" applyNumberFormat="1" applyFont="1" applyFill="1" applyBorder="1" applyAlignment="1">
      <alignment horizontal="center" vertical="center"/>
    </xf>
    <xf numFmtId="9" fontId="182" fillId="0" borderId="584" xfId="1" applyFont="1" applyFill="1" applyBorder="1" applyAlignment="1">
      <alignment horizontal="center" vertical="center"/>
    </xf>
    <xf numFmtId="9" fontId="182" fillId="0" borderId="571" xfId="1" applyFont="1" applyFill="1" applyBorder="1" applyAlignment="1">
      <alignment horizontal="center" vertical="center"/>
    </xf>
    <xf numFmtId="9" fontId="182" fillId="0" borderId="603" xfId="1" applyFont="1" applyFill="1" applyBorder="1" applyAlignment="1">
      <alignment horizontal="center" vertical="center"/>
    </xf>
    <xf numFmtId="164" fontId="182" fillId="0" borderId="284" xfId="1" applyNumberFormat="1" applyFont="1" applyFill="1" applyBorder="1" applyAlignment="1">
      <alignment horizontal="center" vertical="center"/>
    </xf>
    <xf numFmtId="164" fontId="182" fillId="0" borderId="140" xfId="1" applyNumberFormat="1" applyFont="1" applyFill="1" applyBorder="1" applyAlignment="1">
      <alignment horizontal="center" vertical="center"/>
    </xf>
    <xf numFmtId="17" fontId="182" fillId="0" borderId="141" xfId="0" applyNumberFormat="1" applyFont="1" applyBorder="1" applyAlignment="1">
      <alignment horizontal="center" vertical="center"/>
    </xf>
    <xf numFmtId="164" fontId="182" fillId="0" borderId="584" xfId="1" applyNumberFormat="1" applyFont="1" applyFill="1" applyBorder="1" applyAlignment="1">
      <alignment horizontal="center" vertical="center"/>
    </xf>
    <xf numFmtId="0" fontId="173" fillId="65" borderId="113" xfId="0" applyFont="1" applyFill="1" applyBorder="1" applyAlignment="1">
      <alignment vertical="center"/>
    </xf>
    <xf numFmtId="0" fontId="182" fillId="0" borderId="114" xfId="0" applyFont="1" applyFill="1" applyBorder="1" applyAlignment="1">
      <alignment horizontal="center" vertical="center"/>
    </xf>
    <xf numFmtId="164" fontId="182" fillId="65" borderId="125" xfId="1" applyNumberFormat="1" applyFont="1" applyFill="1" applyBorder="1" applyAlignment="1">
      <alignment horizontal="center" vertical="center"/>
    </xf>
    <xf numFmtId="164" fontId="182" fillId="65" borderId="103" xfId="1" applyNumberFormat="1" applyFont="1" applyFill="1" applyBorder="1" applyAlignment="1">
      <alignment horizontal="center" vertical="center"/>
    </xf>
    <xf numFmtId="164" fontId="182" fillId="0" borderId="615" xfId="1" applyNumberFormat="1" applyFont="1" applyFill="1" applyBorder="1" applyAlignment="1">
      <alignment horizontal="center" vertical="center"/>
    </xf>
    <xf numFmtId="164" fontId="182" fillId="0" borderId="608" xfId="1" applyNumberFormat="1" applyFont="1" applyFill="1" applyBorder="1" applyAlignment="1">
      <alignment horizontal="center" vertical="center"/>
    </xf>
    <xf numFmtId="164" fontId="182" fillId="0" borderId="529" xfId="1" applyNumberFormat="1" applyFont="1" applyFill="1" applyBorder="1" applyAlignment="1">
      <alignment horizontal="center" vertical="center"/>
    </xf>
    <xf numFmtId="9" fontId="182" fillId="0" borderId="616" xfId="1" applyFont="1" applyFill="1" applyBorder="1" applyAlignment="1">
      <alignment horizontal="center" vertical="center"/>
    </xf>
    <xf numFmtId="9" fontId="182" fillId="0" borderId="617" xfId="1" applyFont="1" applyFill="1" applyBorder="1" applyAlignment="1">
      <alignment horizontal="center" vertical="center"/>
    </xf>
    <xf numFmtId="9" fontId="182" fillId="0" borderId="618" xfId="1" applyFont="1" applyFill="1" applyBorder="1" applyAlignment="1">
      <alignment horizontal="center" vertical="center"/>
    </xf>
    <xf numFmtId="164" fontId="182" fillId="65" borderId="619" xfId="1" applyNumberFormat="1" applyFont="1" applyFill="1" applyBorder="1" applyAlignment="1">
      <alignment horizontal="center" vertical="center"/>
    </xf>
    <xf numFmtId="164" fontId="182" fillId="0" borderId="617" xfId="1" applyNumberFormat="1" applyFont="1" applyFill="1" applyBorder="1" applyAlignment="1">
      <alignment horizontal="center" vertical="center"/>
    </xf>
    <xf numFmtId="164" fontId="182" fillId="0" borderId="528" xfId="1" applyNumberFormat="1" applyFont="1" applyFill="1" applyBorder="1" applyAlignment="1">
      <alignment horizontal="center" vertical="center"/>
    </xf>
    <xf numFmtId="164" fontId="182" fillId="0" borderId="620" xfId="1" applyNumberFormat="1" applyFont="1" applyFill="1" applyBorder="1" applyAlignment="1">
      <alignment horizontal="center" vertical="center"/>
    </xf>
    <xf numFmtId="164" fontId="182" fillId="0" borderId="616" xfId="1" applyNumberFormat="1" applyFont="1" applyFill="1" applyBorder="1" applyAlignment="1">
      <alignment horizontal="center" vertical="center"/>
    </xf>
    <xf numFmtId="164" fontId="182" fillId="65" borderId="621" xfId="1" applyNumberFormat="1" applyFont="1" applyFill="1" applyBorder="1" applyAlignment="1">
      <alignment horizontal="center" vertical="center"/>
    </xf>
    <xf numFmtId="164" fontId="182" fillId="65" borderId="622" xfId="1" applyNumberFormat="1" applyFont="1" applyFill="1" applyBorder="1" applyAlignment="1">
      <alignment horizontal="center" vertical="center"/>
    </xf>
    <xf numFmtId="164" fontId="182" fillId="0" borderId="609" xfId="1" applyNumberFormat="1" applyFont="1" applyFill="1" applyBorder="1" applyAlignment="1">
      <alignment horizontal="center" vertical="center"/>
    </xf>
    <xf numFmtId="0" fontId="173" fillId="65" borderId="6" xfId="0" applyFont="1" applyFill="1" applyBorder="1"/>
    <xf numFmtId="0" fontId="173" fillId="65" borderId="0" xfId="0" applyFont="1" applyFill="1" applyBorder="1"/>
    <xf numFmtId="0" fontId="173" fillId="65" borderId="101" xfId="0" applyFont="1" applyFill="1" applyBorder="1"/>
    <xf numFmtId="0" fontId="173" fillId="65" borderId="60" xfId="0" applyFont="1" applyFill="1" applyBorder="1"/>
    <xf numFmtId="17" fontId="179" fillId="0" borderId="260" xfId="0" applyNumberFormat="1" applyFont="1" applyBorder="1" applyAlignment="1">
      <alignment horizontal="center" vertical="center"/>
    </xf>
    <xf numFmtId="3" fontId="183" fillId="0" borderId="258" xfId="0" applyNumberFormat="1" applyFont="1" applyFill="1" applyBorder="1" applyAlignment="1">
      <alignment horizontal="center" vertical="center"/>
    </xf>
    <xf numFmtId="3" fontId="183" fillId="0" borderId="259" xfId="0" applyNumberFormat="1" applyFont="1" applyFill="1" applyBorder="1" applyAlignment="1">
      <alignment horizontal="center" vertical="center"/>
    </xf>
    <xf numFmtId="17" fontId="179" fillId="0" borderId="261" xfId="0" applyNumberFormat="1" applyFont="1" applyBorder="1" applyAlignment="1">
      <alignment horizontal="center" vertical="center"/>
    </xf>
    <xf numFmtId="17" fontId="179" fillId="0" borderId="262" xfId="0" applyNumberFormat="1" applyFont="1" applyBorder="1" applyAlignment="1">
      <alignment horizontal="center" vertical="center"/>
    </xf>
    <xf numFmtId="3" fontId="83" fillId="65" borderId="264" xfId="0" applyNumberFormat="1" applyFont="1" applyFill="1" applyBorder="1" applyAlignment="1">
      <alignment horizontal="center" vertical="center"/>
    </xf>
    <xf numFmtId="3" fontId="83" fillId="65" borderId="98" xfId="0" applyNumberFormat="1" applyFont="1" applyFill="1" applyBorder="1" applyAlignment="1">
      <alignment horizontal="center" vertical="center"/>
    </xf>
    <xf numFmtId="3" fontId="83" fillId="65" borderId="89" xfId="0" applyNumberFormat="1" applyFont="1" applyFill="1" applyBorder="1" applyAlignment="1">
      <alignment horizontal="center" vertical="center"/>
    </xf>
    <xf numFmtId="3" fontId="83" fillId="65" borderId="88" xfId="0" applyNumberFormat="1" applyFont="1" applyFill="1" applyBorder="1" applyAlignment="1">
      <alignment horizontal="center" vertical="center"/>
    </xf>
    <xf numFmtId="3" fontId="83" fillId="65" borderId="87" xfId="0" applyNumberFormat="1" applyFont="1" applyFill="1" applyBorder="1" applyAlignment="1">
      <alignment horizontal="center" vertical="center"/>
    </xf>
    <xf numFmtId="3" fontId="83" fillId="65" borderId="92" xfId="0" applyNumberFormat="1" applyFont="1" applyFill="1" applyBorder="1" applyAlignment="1">
      <alignment horizontal="center" vertical="center"/>
    </xf>
    <xf numFmtId="3" fontId="83" fillId="65" borderId="91" xfId="0" applyNumberFormat="1" applyFont="1" applyFill="1" applyBorder="1" applyAlignment="1">
      <alignment horizontal="center" vertical="center"/>
    </xf>
    <xf numFmtId="3" fontId="83" fillId="65" borderId="73" xfId="0" applyNumberFormat="1" applyFont="1" applyFill="1" applyBorder="1" applyAlignment="1">
      <alignment horizontal="center" vertical="center"/>
    </xf>
    <xf numFmtId="0" fontId="64" fillId="0" borderId="0" xfId="0" applyFont="1"/>
    <xf numFmtId="0" fontId="83" fillId="65" borderId="86" xfId="0" applyFont="1" applyFill="1" applyBorder="1" applyAlignment="1">
      <alignment horizontal="center" vertical="center" wrapText="1"/>
    </xf>
    <xf numFmtId="1" fontId="0" fillId="9" borderId="634" xfId="0" applyNumberFormat="1" applyFill="1" applyBorder="1" applyAlignment="1">
      <alignment horizontal="center"/>
    </xf>
    <xf numFmtId="0" fontId="5" fillId="0" borderId="85" xfId="0" applyFont="1" applyFill="1" applyBorder="1" applyAlignment="1">
      <alignment horizontal="left" vertical="center"/>
    </xf>
    <xf numFmtId="10" fontId="6" fillId="58" borderId="9" xfId="0" applyNumberFormat="1" applyFont="1" applyFill="1" applyBorder="1" applyAlignment="1">
      <alignment horizontal="center"/>
    </xf>
    <xf numFmtId="10" fontId="6" fillId="58" borderId="30" xfId="0" applyNumberFormat="1" applyFont="1" applyFill="1" applyBorder="1" applyAlignment="1">
      <alignment horizontal="center"/>
    </xf>
    <xf numFmtId="10" fontId="6" fillId="58" borderId="6" xfId="0" applyNumberFormat="1" applyFont="1" applyFill="1" applyBorder="1" applyAlignment="1">
      <alignment horizontal="center"/>
    </xf>
    <xf numFmtId="10" fontId="6" fillId="58" borderId="60" xfId="0" applyNumberFormat="1" applyFont="1" applyFill="1" applyBorder="1" applyAlignment="1">
      <alignment horizontal="center"/>
    </xf>
    <xf numFmtId="10" fontId="6" fillId="58" borderId="17" xfId="0" applyNumberFormat="1" applyFont="1" applyFill="1" applyBorder="1" applyAlignment="1">
      <alignment horizontal="center"/>
    </xf>
    <xf numFmtId="10" fontId="6" fillId="58" borderId="18" xfId="0" applyNumberFormat="1" applyFont="1" applyFill="1" applyBorder="1" applyAlignment="1">
      <alignment horizontal="center"/>
    </xf>
    <xf numFmtId="0" fontId="0" fillId="51" borderId="37" xfId="0" applyFill="1" applyBorder="1" applyAlignment="1">
      <alignment horizontal="center"/>
    </xf>
    <xf numFmtId="0" fontId="63" fillId="51" borderId="112" xfId="0" applyFont="1" applyFill="1" applyBorder="1" applyAlignment="1">
      <alignment horizontal="center" vertical="center"/>
    </xf>
    <xf numFmtId="0" fontId="37" fillId="58" borderId="36" xfId="0" applyFont="1" applyFill="1" applyBorder="1" applyAlignment="1">
      <alignment horizontal="center"/>
    </xf>
    <xf numFmtId="0" fontId="0" fillId="0" borderId="637" xfId="0" applyBorder="1"/>
    <xf numFmtId="0" fontId="108" fillId="0" borderId="637" xfId="0" applyFont="1" applyFill="1" applyBorder="1" applyAlignment="1">
      <alignment horizontal="center" vertical="center"/>
    </xf>
    <xf numFmtId="0" fontId="0" fillId="48" borderId="637" xfId="0" applyFill="1" applyBorder="1" applyAlignment="1">
      <alignment horizontal="center"/>
    </xf>
    <xf numFmtId="0" fontId="0" fillId="0" borderId="637" xfId="0" applyBorder="1" applyAlignment="1">
      <alignment horizontal="center"/>
    </xf>
    <xf numFmtId="0" fontId="0" fillId="0" borderId="637" xfId="0" applyFill="1" applyBorder="1" applyAlignment="1">
      <alignment horizontal="center"/>
    </xf>
    <xf numFmtId="1" fontId="0" fillId="0" borderId="637" xfId="0" applyNumberFormat="1" applyBorder="1" applyAlignment="1">
      <alignment horizontal="center"/>
    </xf>
    <xf numFmtId="1" fontId="0" fillId="0" borderId="637" xfId="0" applyNumberFormat="1" applyFill="1" applyBorder="1" applyAlignment="1">
      <alignment horizontal="center"/>
    </xf>
    <xf numFmtId="0" fontId="0" fillId="5" borderId="637" xfId="0" applyFill="1" applyBorder="1"/>
    <xf numFmtId="164" fontId="0" fillId="5" borderId="637" xfId="1" applyNumberFormat="1" applyFont="1" applyFill="1" applyBorder="1" applyAlignment="1">
      <alignment horizontal="center"/>
    </xf>
    <xf numFmtId="1" fontId="0" fillId="48" borderId="637" xfId="0" applyNumberFormat="1" applyFill="1" applyBorder="1" applyAlignment="1">
      <alignment horizontal="center"/>
    </xf>
    <xf numFmtId="9" fontId="0" fillId="5" borderId="637" xfId="1" applyFont="1" applyFill="1" applyBorder="1" applyAlignment="1">
      <alignment horizontal="center"/>
    </xf>
    <xf numFmtId="0" fontId="0" fillId="5" borderId="637" xfId="0" applyFill="1" applyBorder="1" applyAlignment="1">
      <alignment horizontal="center"/>
    </xf>
    <xf numFmtId="0" fontId="0" fillId="5" borderId="637" xfId="0" applyFill="1" applyBorder="1" applyAlignment="1">
      <alignment wrapText="1"/>
    </xf>
    <xf numFmtId="0" fontId="0" fillId="0" borderId="637" xfId="0" applyBorder="1" applyAlignment="1">
      <alignment wrapText="1"/>
    </xf>
    <xf numFmtId="0" fontId="0" fillId="0" borderId="637" xfId="0" applyNumberFormat="1" applyBorder="1" applyAlignment="1">
      <alignment horizontal="center"/>
    </xf>
    <xf numFmtId="164" fontId="0" fillId="0" borderId="637" xfId="1" applyNumberFormat="1" applyFont="1" applyFill="1" applyBorder="1" applyAlignment="1">
      <alignment horizontal="center"/>
    </xf>
    <xf numFmtId="1" fontId="0" fillId="9" borderId="37" xfId="54" applyNumberFormat="1" applyFont="1" applyFill="1" applyBorder="1" applyAlignment="1">
      <alignment horizontal="center"/>
    </xf>
    <xf numFmtId="3" fontId="136" fillId="64" borderId="581" xfId="0" applyNumberFormat="1" applyFont="1" applyFill="1" applyBorder="1" applyAlignment="1">
      <alignment horizontal="center" vertical="center"/>
    </xf>
    <xf numFmtId="3" fontId="136" fillId="64" borderId="0" xfId="0" applyNumberFormat="1" applyFont="1" applyFill="1" applyBorder="1" applyAlignment="1">
      <alignment horizontal="center" vertical="center"/>
    </xf>
    <xf numFmtId="164" fontId="136" fillId="64" borderId="638" xfId="1" applyNumberFormat="1" applyFont="1" applyFill="1" applyBorder="1" applyAlignment="1">
      <alignment horizontal="center" vertical="center"/>
    </xf>
    <xf numFmtId="3" fontId="136" fillId="64" borderId="639" xfId="0" applyNumberFormat="1" applyFont="1" applyFill="1" applyBorder="1" applyAlignment="1">
      <alignment horizontal="center" vertical="center"/>
    </xf>
    <xf numFmtId="3" fontId="136" fillId="64" borderId="640" xfId="0" applyNumberFormat="1" applyFont="1" applyFill="1" applyBorder="1" applyAlignment="1">
      <alignment horizontal="center" vertical="center"/>
    </xf>
    <xf numFmtId="164" fontId="136" fillId="64" borderId="641" xfId="1" applyNumberFormat="1" applyFont="1" applyFill="1" applyBorder="1" applyAlignment="1">
      <alignment horizontal="center" vertical="center"/>
    </xf>
    <xf numFmtId="3" fontId="183" fillId="64" borderId="642" xfId="0" applyNumberFormat="1" applyFont="1" applyFill="1" applyBorder="1" applyAlignment="1">
      <alignment horizontal="center" vertical="center"/>
    </xf>
    <xf numFmtId="3" fontId="183" fillId="64" borderId="643" xfId="0" applyNumberFormat="1" applyFont="1" applyFill="1" applyBorder="1" applyAlignment="1">
      <alignment horizontal="center" vertical="center"/>
    </xf>
    <xf numFmtId="3" fontId="183" fillId="64" borderId="76" xfId="0" applyNumberFormat="1" applyFont="1" applyFill="1" applyBorder="1" applyAlignment="1">
      <alignment horizontal="center" vertical="center"/>
    </xf>
    <xf numFmtId="3" fontId="183" fillId="64" borderId="68" xfId="0" applyNumberFormat="1" applyFont="1" applyFill="1" applyBorder="1" applyAlignment="1">
      <alignment horizontal="center" vertical="center"/>
    </xf>
    <xf numFmtId="3" fontId="183" fillId="64" borderId="125" xfId="0" applyNumberFormat="1" applyFont="1" applyFill="1" applyBorder="1" applyAlignment="1">
      <alignment horizontal="center" vertical="center"/>
    </xf>
    <xf numFmtId="3" fontId="183" fillId="64" borderId="126" xfId="0" applyNumberFormat="1" applyFont="1" applyFill="1" applyBorder="1" applyAlignment="1">
      <alignment horizontal="center" vertical="center"/>
    </xf>
    <xf numFmtId="3" fontId="127" fillId="64" borderId="644" xfId="0" applyNumberFormat="1" applyFont="1" applyFill="1" applyBorder="1" applyAlignment="1">
      <alignment horizontal="center" vertical="center"/>
    </xf>
    <xf numFmtId="164" fontId="127" fillId="64" borderId="573" xfId="1" applyNumberFormat="1" applyFont="1" applyFill="1" applyBorder="1" applyAlignment="1">
      <alignment horizontal="center" vertical="center"/>
    </xf>
    <xf numFmtId="1" fontId="127" fillId="64" borderId="645" xfId="1" applyNumberFormat="1" applyFont="1" applyFill="1" applyBorder="1" applyAlignment="1">
      <alignment horizontal="center" vertical="center"/>
    </xf>
    <xf numFmtId="3" fontId="127" fillId="64" borderId="646" xfId="0" applyNumberFormat="1" applyFont="1" applyFill="1" applyBorder="1" applyAlignment="1">
      <alignment horizontal="center" vertical="center"/>
    </xf>
    <xf numFmtId="164" fontId="127" fillId="64" borderId="0" xfId="1" applyNumberFormat="1" applyFont="1" applyFill="1" applyBorder="1" applyAlignment="1">
      <alignment horizontal="center" vertical="center"/>
    </xf>
    <xf numFmtId="1" fontId="127" fillId="64" borderId="647" xfId="1" applyNumberFormat="1" applyFont="1" applyFill="1" applyBorder="1" applyAlignment="1">
      <alignment horizontal="center" vertical="center"/>
    </xf>
    <xf numFmtId="3" fontId="127" fillId="64" borderId="648" xfId="0" applyNumberFormat="1" applyFont="1" applyFill="1" applyBorder="1" applyAlignment="1">
      <alignment horizontal="center" vertical="center"/>
    </xf>
    <xf numFmtId="164" fontId="127" fillId="64" borderId="649" xfId="1" applyNumberFormat="1" applyFont="1" applyFill="1" applyBorder="1" applyAlignment="1">
      <alignment horizontal="center" vertical="center"/>
    </xf>
    <xf numFmtId="1" fontId="127" fillId="64" borderId="650" xfId="1" applyNumberFormat="1" applyFont="1" applyFill="1" applyBorder="1" applyAlignment="1">
      <alignment horizontal="center" vertical="center"/>
    </xf>
    <xf numFmtId="0" fontId="79" fillId="64" borderId="651" xfId="0" applyFont="1" applyFill="1" applyBorder="1" applyAlignment="1">
      <alignment horizontal="center" vertical="center"/>
    </xf>
    <xf numFmtId="0" fontId="79" fillId="64" borderId="652" xfId="0" applyFont="1" applyFill="1" applyBorder="1" applyAlignment="1">
      <alignment horizontal="center" vertical="center"/>
    </xf>
    <xf numFmtId="0" fontId="79" fillId="64" borderId="653" xfId="0" applyFont="1" applyFill="1" applyBorder="1" applyAlignment="1">
      <alignment horizontal="center" vertical="center"/>
    </xf>
    <xf numFmtId="0" fontId="79" fillId="64" borderId="654" xfId="0" applyFont="1" applyFill="1" applyBorder="1" applyAlignment="1">
      <alignment horizontal="center" vertical="center"/>
    </xf>
    <xf numFmtId="0" fontId="79" fillId="64" borderId="655" xfId="0" applyFont="1" applyFill="1" applyBorder="1" applyAlignment="1">
      <alignment horizontal="center" vertical="center"/>
    </xf>
    <xf numFmtId="0" fontId="79" fillId="64" borderId="656" xfId="0" applyFont="1" applyFill="1" applyBorder="1" applyAlignment="1">
      <alignment horizontal="center" vertical="center"/>
    </xf>
    <xf numFmtId="4" fontId="85" fillId="64" borderId="657" xfId="0" applyNumberFormat="1" applyFont="1" applyFill="1" applyBorder="1" applyAlignment="1">
      <alignment horizontal="center" vertical="center"/>
    </xf>
    <xf numFmtId="4" fontId="85" fillId="64" borderId="76" xfId="0" applyNumberFormat="1" applyFont="1" applyFill="1" applyBorder="1" applyAlignment="1">
      <alignment horizontal="center" vertical="center"/>
    </xf>
    <xf numFmtId="4" fontId="85" fillId="64" borderId="658" xfId="0" applyNumberFormat="1" applyFont="1" applyFill="1" applyBorder="1" applyAlignment="1">
      <alignment horizontal="center" vertical="center"/>
    </xf>
    <xf numFmtId="4" fontId="85" fillId="64" borderId="659" xfId="0" applyNumberFormat="1" applyFont="1" applyFill="1" applyBorder="1" applyAlignment="1">
      <alignment horizontal="center" vertical="center"/>
    </xf>
    <xf numFmtId="4" fontId="85" fillId="65" borderId="660" xfId="0" applyNumberFormat="1" applyFont="1" applyFill="1" applyBorder="1" applyAlignment="1">
      <alignment horizontal="center" vertical="center"/>
    </xf>
    <xf numFmtId="4" fontId="85" fillId="64" borderId="654" xfId="0" applyNumberFormat="1" applyFont="1" applyFill="1" applyBorder="1" applyAlignment="1">
      <alignment horizontal="center" vertical="center"/>
    </xf>
    <xf numFmtId="4" fontId="85" fillId="64" borderId="661" xfId="0" applyNumberFormat="1" applyFont="1" applyFill="1" applyBorder="1" applyAlignment="1">
      <alignment horizontal="center" vertical="center"/>
    </xf>
    <xf numFmtId="4" fontId="85" fillId="65" borderId="662" xfId="0" applyNumberFormat="1" applyFont="1" applyFill="1" applyBorder="1" applyAlignment="1">
      <alignment horizontal="center" vertical="center"/>
    </xf>
    <xf numFmtId="164" fontId="78" fillId="64" borderId="341" xfId="0" applyNumberFormat="1" applyFont="1" applyFill="1" applyBorder="1" applyAlignment="1">
      <alignment horizontal="center" vertical="center"/>
    </xf>
    <xf numFmtId="164" fontId="78" fillId="64" borderId="629" xfId="0" applyNumberFormat="1" applyFont="1" applyFill="1" applyBorder="1" applyAlignment="1">
      <alignment horizontal="center" vertical="center"/>
    </xf>
    <xf numFmtId="1" fontId="85" fillId="64" borderId="122" xfId="1" applyNumberFormat="1" applyFont="1" applyFill="1" applyBorder="1" applyAlignment="1">
      <alignment horizontal="center" vertical="center"/>
    </xf>
    <xf numFmtId="164" fontId="85" fillId="64" borderId="197" xfId="1" applyNumberFormat="1" applyFont="1" applyFill="1" applyBorder="1" applyAlignment="1">
      <alignment horizontal="center" vertical="center"/>
    </xf>
    <xf numFmtId="1" fontId="85" fillId="64" borderId="123" xfId="1" applyNumberFormat="1" applyFont="1" applyFill="1" applyBorder="1" applyAlignment="1">
      <alignment horizontal="center" vertical="center"/>
    </xf>
    <xf numFmtId="164" fontId="85" fillId="64" borderId="594" xfId="1" applyNumberFormat="1" applyFont="1" applyFill="1" applyBorder="1" applyAlignment="1">
      <alignment horizontal="center" vertical="center"/>
    </xf>
    <xf numFmtId="1" fontId="85" fillId="64" borderId="664" xfId="1" applyNumberFormat="1" applyFont="1" applyFill="1" applyBorder="1" applyAlignment="1">
      <alignment horizontal="center" vertical="center"/>
    </xf>
    <xf numFmtId="164" fontId="85" fillId="64" borderId="665" xfId="1" applyNumberFormat="1" applyFont="1" applyFill="1" applyBorder="1" applyAlignment="1">
      <alignment horizontal="center" vertical="center"/>
    </xf>
    <xf numFmtId="1" fontId="22" fillId="58" borderId="29" xfId="54" applyNumberFormat="1" applyFont="1" applyFill="1" applyBorder="1" applyAlignment="1">
      <alignment horizontal="center"/>
    </xf>
    <xf numFmtId="0" fontId="160" fillId="0" borderId="525" xfId="0" applyFont="1" applyBorder="1" applyAlignment="1">
      <alignment horizontal="center" vertical="center"/>
    </xf>
    <xf numFmtId="0" fontId="126" fillId="0" borderId="526" xfId="0" applyFont="1" applyBorder="1" applyAlignment="1">
      <alignment horizontal="center" vertical="center"/>
    </xf>
    <xf numFmtId="0" fontId="126" fillId="0" borderId="526" xfId="0" applyFont="1" applyFill="1" applyBorder="1" applyAlignment="1">
      <alignment horizontal="center" vertical="center"/>
    </xf>
    <xf numFmtId="0" fontId="160" fillId="0" borderId="525" xfId="0" applyFont="1" applyFill="1" applyBorder="1" applyAlignment="1">
      <alignment horizontal="center" vertical="center"/>
    </xf>
    <xf numFmtId="0" fontId="186" fillId="64" borderId="527" xfId="0" applyFont="1" applyFill="1" applyBorder="1" applyAlignment="1">
      <alignment horizontal="center" vertical="center"/>
    </xf>
    <xf numFmtId="0" fontId="126" fillId="0" borderId="528" xfId="0" applyFont="1" applyFill="1" applyBorder="1" applyAlignment="1">
      <alignment horizontal="center" vertical="center"/>
    </xf>
    <xf numFmtId="0" fontId="187" fillId="0" borderId="76" xfId="0" applyFont="1" applyBorder="1" applyAlignment="1">
      <alignment horizontal="left" vertical="center" indent="1"/>
    </xf>
    <xf numFmtId="0" fontId="187" fillId="0" borderId="67" xfId="0" applyFont="1" applyBorder="1" applyAlignment="1">
      <alignment horizontal="left" vertical="center" indent="1"/>
    </xf>
    <xf numFmtId="0" fontId="187" fillId="0" borderId="78" xfId="0" applyFont="1" applyFill="1" applyBorder="1" applyAlignment="1">
      <alignment horizontal="left" vertical="center" indent="1"/>
    </xf>
    <xf numFmtId="0" fontId="188" fillId="0" borderId="111" xfId="0" applyFont="1" applyBorder="1" applyAlignment="1">
      <alignment horizontal="left" vertical="center" indent="1"/>
    </xf>
    <xf numFmtId="0" fontId="188" fillId="0" borderId="111" xfId="0" applyFont="1" applyFill="1" applyBorder="1" applyAlignment="1">
      <alignment horizontal="left" vertical="center" indent="1"/>
    </xf>
    <xf numFmtId="0" fontId="188" fillId="0" borderId="130" xfId="0" applyFont="1" applyBorder="1" applyAlignment="1">
      <alignment horizontal="left" vertical="center" indent="1"/>
    </xf>
    <xf numFmtId="0" fontId="188" fillId="0" borderId="132" xfId="0" applyFont="1" applyBorder="1" applyAlignment="1">
      <alignment horizontal="left" vertical="center" indent="1"/>
    </xf>
    <xf numFmtId="0" fontId="188" fillId="0" borderId="132" xfId="0" applyFont="1" applyFill="1" applyBorder="1" applyAlignment="1">
      <alignment horizontal="left" vertical="center" indent="1"/>
    </xf>
    <xf numFmtId="3" fontId="63" fillId="68" borderId="366" xfId="0" applyNumberFormat="1" applyFont="1" applyFill="1" applyBorder="1" applyAlignment="1">
      <alignment horizontal="center" vertical="center"/>
    </xf>
    <xf numFmtId="164" fontId="63" fillId="68" borderId="367" xfId="1" applyNumberFormat="1" applyFont="1" applyFill="1" applyBorder="1" applyAlignment="1">
      <alignment horizontal="center" vertical="center"/>
    </xf>
    <xf numFmtId="0" fontId="189" fillId="0" borderId="111" xfId="0" applyFont="1" applyBorder="1" applyAlignment="1">
      <alignment horizontal="left" vertical="center"/>
    </xf>
    <xf numFmtId="0" fontId="189" fillId="0" borderId="111" xfId="0" applyFont="1" applyFill="1" applyBorder="1" applyAlignment="1">
      <alignment horizontal="left" vertical="center"/>
    </xf>
    <xf numFmtId="0" fontId="190" fillId="0" borderId="111" xfId="0" applyFont="1" applyBorder="1" applyAlignment="1">
      <alignment horizontal="left" vertical="center" indent="1"/>
    </xf>
    <xf numFmtId="0" fontId="190" fillId="0" borderId="111" xfId="0" applyFont="1" applyFill="1" applyBorder="1" applyAlignment="1">
      <alignment horizontal="left" vertical="center" indent="1"/>
    </xf>
    <xf numFmtId="1" fontId="0" fillId="58" borderId="49" xfId="0" applyNumberFormat="1" applyFill="1" applyBorder="1" applyAlignment="1">
      <alignment horizontal="center"/>
    </xf>
    <xf numFmtId="1" fontId="0" fillId="58" borderId="30" xfId="0" applyNumberFormat="1" applyFill="1" applyBorder="1" applyAlignment="1">
      <alignment horizontal="center"/>
    </xf>
    <xf numFmtId="1" fontId="0" fillId="58" borderId="60" xfId="0" applyNumberFormat="1" applyFill="1" applyBorder="1" applyAlignment="1">
      <alignment horizontal="center"/>
    </xf>
    <xf numFmtId="1" fontId="0" fillId="43" borderId="35" xfId="0" applyNumberFormat="1" applyFill="1" applyBorder="1" applyAlignment="1">
      <alignment horizontal="center"/>
    </xf>
    <xf numFmtId="1" fontId="0" fillId="58" borderId="30" xfId="54" applyNumberFormat="1" applyFont="1" applyFill="1" applyBorder="1" applyAlignment="1">
      <alignment horizontal="center"/>
    </xf>
    <xf numFmtId="1" fontId="0" fillId="58" borderId="60" xfId="54" quotePrefix="1" applyNumberFormat="1" applyFont="1" applyFill="1" applyBorder="1" applyAlignment="1">
      <alignment horizontal="center"/>
    </xf>
    <xf numFmtId="1" fontId="0" fillId="58" borderId="45" xfId="0" applyNumberFormat="1" applyFill="1" applyBorder="1" applyAlignment="1">
      <alignment horizontal="center"/>
    </xf>
    <xf numFmtId="0" fontId="158" fillId="64" borderId="666" xfId="0" applyFont="1" applyFill="1" applyBorder="1" applyAlignment="1">
      <alignment horizontal="center" vertical="center"/>
    </xf>
    <xf numFmtId="0" fontId="145" fillId="64" borderId="667" xfId="0" applyFont="1" applyFill="1" applyBorder="1" applyAlignment="1">
      <alignment horizontal="center" vertical="center"/>
    </xf>
    <xf numFmtId="17" fontId="145" fillId="64" borderId="667" xfId="0" applyNumberFormat="1" applyFont="1" applyFill="1" applyBorder="1" applyAlignment="1">
      <alignment horizontal="center" vertical="center"/>
    </xf>
    <xf numFmtId="17" fontId="145" fillId="64" borderId="668" xfId="0" applyNumberFormat="1" applyFont="1" applyFill="1" applyBorder="1" applyAlignment="1">
      <alignment horizontal="center" vertical="center"/>
    </xf>
    <xf numFmtId="0" fontId="131" fillId="0" borderId="111" xfId="0" applyFont="1" applyBorder="1" applyAlignment="1">
      <alignment horizontal="right" vertical="center" wrapText="1"/>
    </xf>
    <xf numFmtId="0" fontId="131" fillId="0" borderId="111" xfId="0" applyFont="1" applyBorder="1" applyAlignment="1">
      <alignment vertical="center"/>
    </xf>
    <xf numFmtId="0" fontId="131" fillId="0" borderId="111" xfId="0" applyFont="1" applyBorder="1" applyAlignment="1">
      <alignment horizontal="right" vertical="center"/>
    </xf>
    <xf numFmtId="3" fontId="159" fillId="47" borderId="296" xfId="0" applyNumberFormat="1" applyFont="1" applyFill="1" applyBorder="1" applyAlignment="1">
      <alignment horizontal="center"/>
    </xf>
    <xf numFmtId="3" fontId="159" fillId="47" borderId="289" xfId="0" applyNumberFormat="1" applyFont="1" applyFill="1" applyBorder="1" applyAlignment="1">
      <alignment horizontal="center"/>
    </xf>
    <xf numFmtId="3" fontId="159" fillId="47" borderId="292" xfId="0" applyNumberFormat="1" applyFont="1" applyFill="1" applyBorder="1" applyAlignment="1">
      <alignment horizontal="center"/>
    </xf>
    <xf numFmtId="3" fontId="159" fillId="47" borderId="296" xfId="0" quotePrefix="1" applyNumberFormat="1" applyFont="1" applyFill="1" applyBorder="1" applyAlignment="1">
      <alignment horizontal="center"/>
    </xf>
    <xf numFmtId="3" fontId="159" fillId="47" borderId="289" xfId="0" quotePrefix="1" applyNumberFormat="1" applyFont="1" applyFill="1" applyBorder="1" applyAlignment="1">
      <alignment horizontal="center"/>
    </xf>
    <xf numFmtId="3" fontId="159" fillId="47" borderId="464" xfId="0" applyNumberFormat="1" applyFont="1" applyFill="1" applyBorder="1" applyAlignment="1">
      <alignment horizontal="center"/>
    </xf>
    <xf numFmtId="3" fontId="159" fillId="47" borderId="448" xfId="0" applyNumberFormat="1" applyFont="1" applyFill="1" applyBorder="1" applyAlignment="1">
      <alignment horizontal="center"/>
    </xf>
    <xf numFmtId="3" fontId="159" fillId="47" borderId="450" xfId="0" applyNumberFormat="1" applyFont="1" applyFill="1" applyBorder="1" applyAlignment="1">
      <alignment horizontal="center"/>
    </xf>
    <xf numFmtId="3" fontId="159" fillId="47" borderId="287" xfId="0" applyNumberFormat="1" applyFont="1" applyFill="1" applyBorder="1" applyAlignment="1">
      <alignment horizontal="center"/>
    </xf>
    <xf numFmtId="3" fontId="159" fillId="47" borderId="446" xfId="0" applyNumberFormat="1" applyFont="1" applyFill="1" applyBorder="1" applyAlignment="1">
      <alignment horizontal="center"/>
    </xf>
    <xf numFmtId="1" fontId="159" fillId="47" borderId="287" xfId="0" applyNumberFormat="1" applyFont="1" applyFill="1" applyBorder="1" applyAlignment="1">
      <alignment horizontal="center"/>
    </xf>
    <xf numFmtId="1" fontId="159" fillId="47" borderId="289" xfId="0" applyNumberFormat="1" applyFont="1" applyFill="1" applyBorder="1" applyAlignment="1">
      <alignment horizontal="center"/>
    </xf>
    <xf numFmtId="1" fontId="159" fillId="47" borderId="292" xfId="0" applyNumberFormat="1" applyFont="1" applyFill="1" applyBorder="1" applyAlignment="1">
      <alignment horizontal="center"/>
    </xf>
    <xf numFmtId="1" fontId="159" fillId="47" borderId="446" xfId="0" applyNumberFormat="1" applyFont="1" applyFill="1" applyBorder="1" applyAlignment="1">
      <alignment horizontal="center"/>
    </xf>
    <xf numFmtId="1" fontId="159" fillId="47" borderId="448" xfId="0" applyNumberFormat="1" applyFont="1" applyFill="1" applyBorder="1" applyAlignment="1">
      <alignment horizontal="center"/>
    </xf>
    <xf numFmtId="1" fontId="159" fillId="47" borderId="450" xfId="0" applyNumberFormat="1" applyFont="1" applyFill="1" applyBorder="1" applyAlignment="1">
      <alignment horizontal="center"/>
    </xf>
    <xf numFmtId="0" fontId="85" fillId="0" borderId="669" xfId="68" applyFont="1" applyBorder="1" applyAlignment="1">
      <alignment horizontal="center" vertical="center"/>
    </xf>
    <xf numFmtId="49" fontId="85" fillId="0" borderId="669" xfId="68" applyNumberFormat="1" applyFont="1" applyFill="1" applyBorder="1" applyAlignment="1">
      <alignment horizontal="center" vertical="center"/>
    </xf>
    <xf numFmtId="49" fontId="85" fillId="0" borderId="669" xfId="68" applyNumberFormat="1" applyFont="1" applyBorder="1" applyAlignment="1">
      <alignment horizontal="center" vertical="center" wrapText="1"/>
    </xf>
    <xf numFmtId="49" fontId="78" fillId="0" borderId="669" xfId="68" applyNumberFormat="1" applyFont="1" applyFill="1" applyBorder="1" applyAlignment="1">
      <alignment horizontal="center" vertical="center"/>
    </xf>
    <xf numFmtId="0" fontId="78" fillId="0" borderId="669" xfId="0" applyFont="1" applyFill="1" applyBorder="1" applyAlignment="1">
      <alignment vertical="center"/>
    </xf>
    <xf numFmtId="1" fontId="63" fillId="0" borderId="669" xfId="0" applyNumberFormat="1" applyFont="1" applyFill="1" applyBorder="1" applyAlignment="1">
      <alignment horizontal="center"/>
    </xf>
    <xf numFmtId="0" fontId="87" fillId="0" borderId="669" xfId="68" applyFont="1" applyFill="1" applyBorder="1" applyAlignment="1">
      <alignment horizontal="center" vertical="center"/>
    </xf>
    <xf numFmtId="49" fontId="85" fillId="48" borderId="669" xfId="68" applyNumberFormat="1" applyFont="1" applyFill="1" applyBorder="1" applyAlignment="1">
      <alignment horizontal="center" vertical="center"/>
    </xf>
    <xf numFmtId="49" fontId="87" fillId="52" borderId="669" xfId="68" applyNumberFormat="1" applyFont="1" applyFill="1" applyBorder="1" applyAlignment="1">
      <alignment horizontal="center" vertical="center"/>
    </xf>
    <xf numFmtId="9" fontId="78" fillId="0" borderId="279" xfId="68" applyNumberFormat="1" applyFont="1" applyFill="1" applyBorder="1" applyAlignment="1">
      <alignment horizontal="center" vertical="center"/>
    </xf>
    <xf numFmtId="0" fontId="78" fillId="0" borderId="0" xfId="0" applyFont="1" applyFill="1" applyBorder="1" applyAlignment="1">
      <alignment vertical="center"/>
    </xf>
    <xf numFmtId="1" fontId="78" fillId="6" borderId="0" xfId="68" applyNumberFormat="1" applyFont="1" applyFill="1" applyBorder="1" applyAlignment="1">
      <alignment horizontal="center" vertical="center"/>
    </xf>
    <xf numFmtId="0" fontId="78" fillId="0" borderId="0" xfId="68" applyFont="1" applyFill="1" applyBorder="1" applyAlignment="1">
      <alignment vertical="center" wrapText="1"/>
    </xf>
    <xf numFmtId="0" fontId="79" fillId="0" borderId="0" xfId="68" quotePrefix="1" applyFont="1" applyFill="1" applyBorder="1" applyAlignment="1">
      <alignment vertical="center" wrapText="1"/>
    </xf>
    <xf numFmtId="3" fontId="85" fillId="0" borderId="0" xfId="68" applyNumberFormat="1" applyFont="1" applyFill="1" applyBorder="1" applyAlignment="1">
      <alignment horizontal="center" vertical="center"/>
    </xf>
    <xf numFmtId="9" fontId="78" fillId="0" borderId="0" xfId="68" applyNumberFormat="1" applyFont="1" applyFill="1" applyBorder="1" applyAlignment="1">
      <alignment vertical="center"/>
    </xf>
    <xf numFmtId="0" fontId="88" fillId="0" borderId="0" xfId="68" applyFont="1" applyFill="1" applyBorder="1" applyAlignment="1">
      <alignment vertical="center" wrapText="1"/>
    </xf>
    <xf numFmtId="0" fontId="191" fillId="0" borderId="0" xfId="1" applyNumberFormat="1" applyFont="1" applyBorder="1" applyAlignment="1">
      <alignment vertical="center" wrapText="1"/>
    </xf>
    <xf numFmtId="0" fontId="78" fillId="0" borderId="0" xfId="0" applyFont="1" applyAlignment="1">
      <alignment horizontal="left" vertical="center" wrapText="1"/>
    </xf>
    <xf numFmtId="164" fontId="78" fillId="65" borderId="0" xfId="68" applyNumberFormat="1" applyFont="1" applyFill="1" applyBorder="1" applyAlignment="1">
      <alignment horizontal="center" vertical="center"/>
    </xf>
    <xf numFmtId="0" fontId="85" fillId="65" borderId="0" xfId="68" applyFont="1" applyFill="1" applyBorder="1" applyAlignment="1">
      <alignment horizontal="center" vertical="center"/>
    </xf>
    <xf numFmtId="0" fontId="172" fillId="65" borderId="104" xfId="68" applyFont="1" applyFill="1" applyBorder="1" applyAlignment="1">
      <alignment horizontal="center" vertical="center" wrapText="1"/>
    </xf>
    <xf numFmtId="0" fontId="28" fillId="65" borderId="104" xfId="68" applyFont="1" applyFill="1" applyBorder="1" applyAlignment="1">
      <alignment vertical="center"/>
    </xf>
    <xf numFmtId="0" fontId="65" fillId="65" borderId="670" xfId="68" applyFont="1" applyFill="1" applyBorder="1" applyAlignment="1">
      <alignment vertical="center"/>
    </xf>
    <xf numFmtId="49" fontId="172" fillId="65" borderId="104" xfId="68" applyNumberFormat="1" applyFont="1" applyFill="1" applyBorder="1" applyAlignment="1">
      <alignment horizontal="center" vertical="center" wrapText="1"/>
    </xf>
    <xf numFmtId="165" fontId="28" fillId="65" borderId="104" xfId="68" applyNumberFormat="1" applyFont="1" applyFill="1" applyBorder="1" applyAlignment="1">
      <alignment vertical="center"/>
    </xf>
    <xf numFmtId="0" fontId="66" fillId="65" borderId="670" xfId="68" applyFont="1" applyFill="1" applyBorder="1" applyAlignment="1">
      <alignment vertical="center"/>
    </xf>
    <xf numFmtId="0" fontId="192" fillId="65" borderId="104" xfId="68" applyFont="1" applyFill="1" applyBorder="1" applyAlignment="1">
      <alignment horizontal="center" vertical="center" wrapText="1"/>
    </xf>
    <xf numFmtId="0" fontId="172" fillId="65" borderId="104" xfId="68" applyFont="1" applyFill="1" applyBorder="1" applyAlignment="1">
      <alignment horizontal="center" vertical="center"/>
    </xf>
    <xf numFmtId="0" fontId="28" fillId="65" borderId="104" xfId="68" applyFont="1" applyFill="1" applyBorder="1" applyAlignment="1">
      <alignment vertical="center" wrapText="1"/>
    </xf>
    <xf numFmtId="0" fontId="92" fillId="65" borderId="282" xfId="68" applyFont="1" applyFill="1" applyBorder="1" applyAlignment="1">
      <alignment horizontal="center" vertical="center" wrapText="1"/>
    </xf>
    <xf numFmtId="0" fontId="92" fillId="65" borderId="44" xfId="68" applyFont="1" applyFill="1" applyBorder="1" applyAlignment="1">
      <alignment horizontal="center" vertical="center" wrapText="1"/>
    </xf>
    <xf numFmtId="0" fontId="92" fillId="65" borderId="670" xfId="68" applyFont="1" applyFill="1" applyBorder="1" applyAlignment="1">
      <alignment horizontal="center" vertical="center" wrapText="1"/>
    </xf>
    <xf numFmtId="0" fontId="65" fillId="65" borderId="670" xfId="68" applyFont="1" applyFill="1" applyBorder="1" applyAlignment="1">
      <alignment vertical="center" wrapText="1"/>
    </xf>
    <xf numFmtId="164" fontId="78" fillId="65" borderId="581" xfId="68" applyNumberFormat="1" applyFont="1" applyFill="1" applyBorder="1" applyAlignment="1">
      <alignment horizontal="center" vertical="center"/>
    </xf>
    <xf numFmtId="0" fontId="85" fillId="65" borderId="638" xfId="68" applyFont="1" applyFill="1" applyBorder="1" applyAlignment="1">
      <alignment horizontal="center" vertical="center"/>
    </xf>
    <xf numFmtId="164" fontId="78" fillId="65" borderId="278" xfId="68" applyNumberFormat="1" applyFont="1" applyFill="1" applyBorder="1" applyAlignment="1">
      <alignment horizontal="center" vertical="center"/>
    </xf>
    <xf numFmtId="0" fontId="85" fillId="65" borderId="281" xfId="68" applyFont="1" applyFill="1" applyBorder="1" applyAlignment="1">
      <alignment horizontal="center" vertical="center"/>
    </xf>
    <xf numFmtId="9" fontId="95" fillId="9" borderId="275" xfId="1" applyNumberFormat="1" applyFont="1" applyFill="1" applyBorder="1" applyAlignment="1">
      <alignment horizontal="center" vertical="center"/>
    </xf>
    <xf numFmtId="49" fontId="85" fillId="0" borderId="277" xfId="68" applyNumberFormat="1" applyFont="1" applyFill="1" applyBorder="1" applyAlignment="1">
      <alignment horizontal="center" vertical="center"/>
    </xf>
    <xf numFmtId="164" fontId="78" fillId="6" borderId="581" xfId="68" applyNumberFormat="1" applyFont="1" applyFill="1" applyBorder="1" applyAlignment="1">
      <alignment horizontal="center" vertical="center"/>
    </xf>
    <xf numFmtId="0" fontId="85" fillId="0" borderId="638" xfId="68" applyFont="1" applyFill="1" applyBorder="1" applyAlignment="1">
      <alignment horizontal="center" vertical="center"/>
    </xf>
    <xf numFmtId="1" fontId="78" fillId="6" borderId="581" xfId="68" applyNumberFormat="1" applyFont="1" applyFill="1" applyBorder="1" applyAlignment="1">
      <alignment horizontal="center" vertical="center"/>
    </xf>
    <xf numFmtId="3" fontId="85" fillId="0" borderId="638" xfId="68" applyNumberFormat="1" applyFont="1" applyFill="1" applyBorder="1" applyAlignment="1">
      <alignment horizontal="center" vertical="center"/>
    </xf>
    <xf numFmtId="0" fontId="78" fillId="65" borderId="671" xfId="68" applyFont="1" applyFill="1" applyBorder="1" applyAlignment="1">
      <alignment horizontal="center" vertical="center"/>
    </xf>
    <xf numFmtId="0" fontId="85" fillId="65" borderId="672" xfId="68" applyFont="1" applyFill="1" applyBorder="1" applyAlignment="1">
      <alignment horizontal="center" vertical="center"/>
    </xf>
    <xf numFmtId="0" fontId="78" fillId="52" borderId="581" xfId="68" applyFont="1" applyFill="1" applyBorder="1" applyAlignment="1">
      <alignment horizontal="center" vertical="center"/>
    </xf>
    <xf numFmtId="167" fontId="78" fillId="6" borderId="581" xfId="1" applyNumberFormat="1" applyFont="1" applyFill="1" applyBorder="1" applyAlignment="1">
      <alignment horizontal="center" vertical="center"/>
    </xf>
    <xf numFmtId="49" fontId="85" fillId="0" borderId="638" xfId="68" applyNumberFormat="1" applyFont="1" applyFill="1" applyBorder="1" applyAlignment="1">
      <alignment horizontal="center" vertical="center"/>
    </xf>
    <xf numFmtId="164" fontId="78" fillId="52" borderId="581" xfId="68" applyNumberFormat="1" applyFont="1" applyFill="1" applyBorder="1" applyAlignment="1">
      <alignment horizontal="center" vertical="center"/>
    </xf>
    <xf numFmtId="9" fontId="78" fillId="6" borderId="581" xfId="68" applyNumberFormat="1" applyFont="1" applyFill="1" applyBorder="1" applyAlignment="1">
      <alignment horizontal="center" vertical="center"/>
    </xf>
    <xf numFmtId="49" fontId="85" fillId="0" borderId="638" xfId="68" applyNumberFormat="1" applyFont="1" applyFill="1" applyBorder="1" applyAlignment="1">
      <alignment horizontal="center" vertical="center" wrapText="1"/>
    </xf>
    <xf numFmtId="164" fontId="78" fillId="6" borderId="275" xfId="1" applyNumberFormat="1" applyFont="1" applyFill="1" applyBorder="1" applyAlignment="1">
      <alignment horizontal="center" vertical="center"/>
    </xf>
    <xf numFmtId="3" fontId="85" fillId="0" borderId="277" xfId="68" applyNumberFormat="1" applyFont="1" applyFill="1" applyBorder="1" applyAlignment="1">
      <alignment horizontal="center" vertical="center"/>
    </xf>
    <xf numFmtId="164" fontId="78" fillId="6" borderId="278" xfId="1" applyNumberFormat="1" applyFont="1" applyFill="1" applyBorder="1" applyAlignment="1">
      <alignment horizontal="center" vertical="center"/>
    </xf>
    <xf numFmtId="9" fontId="78" fillId="65" borderId="671" xfId="68" applyNumberFormat="1" applyFont="1" applyFill="1" applyBorder="1" applyAlignment="1">
      <alignment horizontal="center" vertical="center"/>
    </xf>
    <xf numFmtId="0" fontId="79" fillId="0" borderId="674" xfId="68" applyFont="1" applyFill="1" applyBorder="1" applyAlignment="1">
      <alignment vertical="center" wrapText="1"/>
    </xf>
    <xf numFmtId="0" fontId="78" fillId="52" borderId="674" xfId="68" applyFont="1" applyFill="1" applyBorder="1" applyAlignment="1">
      <alignment horizontal="left" vertical="center" wrapText="1"/>
    </xf>
    <xf numFmtId="9" fontId="78" fillId="52" borderId="674" xfId="68" applyNumberFormat="1" applyFont="1" applyFill="1" applyBorder="1" applyAlignment="1">
      <alignment horizontal="center" vertical="center"/>
    </xf>
    <xf numFmtId="49" fontId="87" fillId="52" borderId="674" xfId="68" applyNumberFormat="1" applyFont="1" applyFill="1" applyBorder="1" applyAlignment="1">
      <alignment horizontal="center" vertical="center"/>
    </xf>
    <xf numFmtId="0" fontId="78" fillId="0" borderId="674" xfId="68" applyFont="1" applyFill="1" applyBorder="1" applyAlignment="1">
      <alignment horizontal="center" vertical="center"/>
    </xf>
    <xf numFmtId="0" fontId="79" fillId="0" borderId="674" xfId="68" applyFont="1" applyFill="1" applyBorder="1" applyAlignment="1">
      <alignment vertical="center"/>
    </xf>
    <xf numFmtId="9" fontId="78" fillId="52" borderId="675" xfId="68" applyNumberFormat="1" applyFont="1" applyFill="1" applyBorder="1" applyAlignment="1">
      <alignment horizontal="center" vertical="center"/>
    </xf>
    <xf numFmtId="49" fontId="85" fillId="52" borderId="676" xfId="68" applyNumberFormat="1" applyFont="1" applyFill="1" applyBorder="1" applyAlignment="1">
      <alignment horizontal="center" vertical="center"/>
    </xf>
    <xf numFmtId="49" fontId="87" fillId="52" borderId="673" xfId="68" applyNumberFormat="1" applyFont="1" applyFill="1" applyBorder="1" applyAlignment="1">
      <alignment horizontal="center" vertical="center"/>
    </xf>
    <xf numFmtId="0" fontId="78" fillId="52" borderId="677" xfId="68" applyFont="1" applyFill="1" applyBorder="1" applyAlignment="1">
      <alignment horizontal="left" vertical="center" wrapText="1"/>
    </xf>
    <xf numFmtId="9" fontId="79" fillId="52" borderId="678" xfId="68" applyNumberFormat="1" applyFont="1" applyFill="1" applyBorder="1" applyAlignment="1">
      <alignment horizontal="center" vertical="center"/>
    </xf>
    <xf numFmtId="0" fontId="78" fillId="52" borderId="678" xfId="68" applyFont="1" applyFill="1" applyBorder="1" applyAlignment="1">
      <alignment horizontal="center" vertical="center"/>
    </xf>
    <xf numFmtId="49" fontId="87" fillId="52" borderId="679" xfId="68" applyNumberFormat="1" applyFont="1" applyFill="1" applyBorder="1" applyAlignment="1">
      <alignment horizontal="center" vertical="center"/>
    </xf>
    <xf numFmtId="0" fontId="172" fillId="65" borderId="105" xfId="68" applyFont="1" applyFill="1" applyBorder="1" applyAlignment="1">
      <alignment horizontal="center" vertical="center" wrapText="1"/>
    </xf>
    <xf numFmtId="0" fontId="65" fillId="65" borderId="680" xfId="68" applyFont="1" applyFill="1" applyBorder="1" applyAlignment="1">
      <alignment vertical="center"/>
    </xf>
    <xf numFmtId="0" fontId="66" fillId="65" borderId="681" xfId="68" applyFont="1" applyFill="1" applyBorder="1" applyAlignment="1">
      <alignment vertical="center"/>
    </xf>
    <xf numFmtId="0" fontId="172" fillId="65" borderId="166" xfId="68" applyFont="1" applyFill="1" applyBorder="1" applyAlignment="1">
      <alignment horizontal="center" vertical="center" wrapText="1"/>
    </xf>
    <xf numFmtId="0" fontId="66" fillId="65" borderId="680" xfId="68" applyFont="1" applyFill="1" applyBorder="1" applyAlignment="1">
      <alignment vertical="center"/>
    </xf>
    <xf numFmtId="0" fontId="0" fillId="46" borderId="4" xfId="54" applyNumberFormat="1" applyFont="1" applyFill="1" applyBorder="1" applyAlignment="1">
      <alignment horizontal="center"/>
    </xf>
    <xf numFmtId="1" fontId="0" fillId="46" borderId="4" xfId="54" applyNumberFormat="1" applyFont="1" applyFill="1" applyBorder="1" applyAlignment="1">
      <alignment horizontal="center"/>
    </xf>
    <xf numFmtId="1" fontId="0" fillId="46" borderId="4" xfId="0" applyNumberFormat="1" applyFill="1" applyBorder="1" applyAlignment="1">
      <alignment horizontal="center"/>
    </xf>
    <xf numFmtId="1" fontId="0" fillId="65" borderId="0" xfId="1" applyNumberFormat="1" applyFont="1" applyFill="1" applyAlignment="1">
      <alignment horizontal="center"/>
    </xf>
    <xf numFmtId="1" fontId="0" fillId="65" borderId="0" xfId="1" applyNumberFormat="1" applyFont="1" applyFill="1" applyBorder="1" applyAlignment="1">
      <alignment horizontal="center"/>
    </xf>
    <xf numFmtId="1" fontId="0" fillId="65" borderId="477" xfId="1" applyNumberFormat="1" applyFont="1" applyFill="1" applyBorder="1" applyAlignment="1">
      <alignment horizontal="center"/>
    </xf>
    <xf numFmtId="9" fontId="0" fillId="65" borderId="0" xfId="1" applyFont="1" applyFill="1" applyAlignment="1">
      <alignment horizontal="center"/>
    </xf>
    <xf numFmtId="3" fontId="146" fillId="48" borderId="315" xfId="0" applyNumberFormat="1" applyFont="1" applyFill="1" applyBorder="1" applyAlignment="1">
      <alignment horizontal="center" vertical="center"/>
    </xf>
    <xf numFmtId="3" fontId="146" fillId="0" borderId="682" xfId="0" applyNumberFormat="1" applyFont="1" applyFill="1" applyBorder="1" applyAlignment="1">
      <alignment horizontal="center" vertical="center"/>
    </xf>
    <xf numFmtId="3" fontId="146" fillId="0" borderId="341" xfId="0" applyNumberFormat="1" applyFont="1" applyFill="1" applyBorder="1" applyAlignment="1">
      <alignment horizontal="center" vertical="center"/>
    </xf>
    <xf numFmtId="164" fontId="146" fillId="0" borderId="683" xfId="1" applyNumberFormat="1" applyFont="1" applyFill="1" applyBorder="1" applyAlignment="1">
      <alignment horizontal="center" vertical="center"/>
    </xf>
    <xf numFmtId="1" fontId="86" fillId="48" borderId="315" xfId="0" applyNumberFormat="1" applyFont="1" applyFill="1" applyBorder="1" applyAlignment="1">
      <alignment horizontal="center" vertical="center"/>
    </xf>
    <xf numFmtId="1" fontId="86" fillId="48" borderId="341" xfId="0" applyNumberFormat="1" applyFont="1" applyFill="1" applyBorder="1" applyAlignment="1">
      <alignment horizontal="center" vertical="center"/>
    </xf>
    <xf numFmtId="1" fontId="86" fillId="48" borderId="684" xfId="0" applyNumberFormat="1" applyFont="1" applyFill="1" applyBorder="1" applyAlignment="1">
      <alignment horizontal="center" vertical="center"/>
    </xf>
    <xf numFmtId="1" fontId="86" fillId="48" borderId="685" xfId="0" applyNumberFormat="1" applyFont="1" applyFill="1" applyBorder="1" applyAlignment="1">
      <alignment horizontal="center" vertical="center"/>
    </xf>
    <xf numFmtId="1" fontId="86" fillId="48" borderId="408" xfId="0" applyNumberFormat="1" applyFont="1" applyFill="1" applyBorder="1" applyAlignment="1">
      <alignment horizontal="center" vertical="center"/>
    </xf>
    <xf numFmtId="1" fontId="86" fillId="48" borderId="687" xfId="0" applyNumberFormat="1" applyFont="1" applyFill="1" applyBorder="1" applyAlignment="1">
      <alignment horizontal="center" vertical="center"/>
    </xf>
    <xf numFmtId="1" fontId="86" fillId="48" borderId="688" xfId="0" applyNumberFormat="1" applyFont="1" applyFill="1" applyBorder="1" applyAlignment="1">
      <alignment horizontal="center" vertical="center"/>
    </xf>
    <xf numFmtId="1" fontId="86" fillId="0" borderId="318" xfId="0" applyNumberFormat="1" applyFont="1" applyFill="1" applyBorder="1" applyAlignment="1">
      <alignment horizontal="center" vertical="center"/>
    </xf>
    <xf numFmtId="1" fontId="74" fillId="65" borderId="327" xfId="0" applyNumberFormat="1" applyFont="1" applyFill="1" applyBorder="1" applyAlignment="1">
      <alignment horizontal="center" vertical="center"/>
    </xf>
    <xf numFmtId="1" fontId="86" fillId="64" borderId="0" xfId="0" applyNumberFormat="1" applyFont="1" applyFill="1" applyBorder="1" applyAlignment="1">
      <alignment horizontal="center" vertical="center"/>
    </xf>
    <xf numFmtId="0" fontId="86" fillId="64" borderId="0" xfId="0" applyFont="1" applyFill="1" applyBorder="1" applyAlignment="1">
      <alignment horizontal="center" vertical="center"/>
    </xf>
    <xf numFmtId="0" fontId="0" fillId="0" borderId="56" xfId="1" applyNumberFormat="1" applyFont="1" applyFill="1" applyBorder="1" applyAlignment="1">
      <alignment horizontal="center"/>
    </xf>
    <xf numFmtId="164" fontId="60" fillId="0" borderId="315" xfId="1" applyNumberFormat="1" applyFont="1" applyFill="1" applyBorder="1" applyAlignment="1">
      <alignment horizontal="center" vertical="center"/>
    </xf>
    <xf numFmtId="164" fontId="60" fillId="48" borderId="318" xfId="1" applyNumberFormat="1" applyFont="1" applyFill="1" applyBorder="1" applyAlignment="1">
      <alignment horizontal="center" vertical="center"/>
    </xf>
    <xf numFmtId="164" fontId="60" fillId="0" borderId="526" xfId="1" applyNumberFormat="1" applyFont="1" applyFill="1" applyBorder="1" applyAlignment="1">
      <alignment horizontal="center" vertical="center"/>
    </xf>
    <xf numFmtId="3" fontId="138" fillId="48" borderId="690" xfId="0" applyNumberFormat="1" applyFont="1" applyFill="1" applyBorder="1" applyAlignment="1">
      <alignment horizontal="center" vertical="center"/>
    </xf>
    <xf numFmtId="3" fontId="138" fillId="48" borderId="689" xfId="0" applyNumberFormat="1" applyFont="1" applyFill="1" applyBorder="1" applyAlignment="1">
      <alignment horizontal="center" vertical="center"/>
    </xf>
    <xf numFmtId="3" fontId="138" fillId="48" borderId="691" xfId="0" applyNumberFormat="1" applyFont="1" applyFill="1" applyBorder="1" applyAlignment="1">
      <alignment horizontal="center" vertical="center"/>
    </xf>
    <xf numFmtId="1" fontId="138" fillId="48" borderId="692" xfId="1" applyNumberFormat="1" applyFont="1" applyFill="1" applyBorder="1" applyAlignment="1">
      <alignment horizontal="center" vertical="center"/>
    </xf>
    <xf numFmtId="164" fontId="138" fillId="48" borderId="693" xfId="1" applyNumberFormat="1" applyFont="1" applyFill="1" applyBorder="1" applyAlignment="1">
      <alignment horizontal="center" vertical="center"/>
    </xf>
    <xf numFmtId="164" fontId="138" fillId="48" borderId="526" xfId="1" applyNumberFormat="1" applyFont="1" applyFill="1" applyBorder="1" applyAlignment="1">
      <alignment horizontal="center" vertical="center"/>
    </xf>
    <xf numFmtId="3" fontId="138" fillId="48" borderId="694" xfId="0" applyNumberFormat="1" applyFont="1" applyFill="1" applyBorder="1" applyAlignment="1">
      <alignment horizontal="center" vertical="center"/>
    </xf>
    <xf numFmtId="1" fontId="138" fillId="48" borderId="694" xfId="1" applyNumberFormat="1" applyFont="1" applyFill="1" applyBorder="1" applyAlignment="1">
      <alignment horizontal="center" vertical="center"/>
    </xf>
    <xf numFmtId="164" fontId="138" fillId="48" borderId="287" xfId="1" applyNumberFormat="1" applyFont="1" applyFill="1" applyBorder="1" applyAlignment="1">
      <alignment horizontal="center" vertical="center"/>
    </xf>
    <xf numFmtId="164" fontId="27" fillId="48" borderId="287" xfId="1" applyNumberFormat="1" applyFont="1" applyFill="1" applyBorder="1" applyAlignment="1">
      <alignment horizontal="center" vertical="center"/>
    </xf>
    <xf numFmtId="164" fontId="27" fillId="48" borderId="294" xfId="1" applyNumberFormat="1" applyFont="1" applyFill="1" applyBorder="1" applyAlignment="1">
      <alignment horizontal="center" vertical="center"/>
    </xf>
    <xf numFmtId="164" fontId="27" fillId="0" borderId="696" xfId="1" applyNumberFormat="1" applyFont="1" applyFill="1" applyBorder="1" applyAlignment="1">
      <alignment horizontal="center" vertical="center"/>
    </xf>
    <xf numFmtId="164" fontId="27" fillId="48" borderId="696" xfId="1" applyNumberFormat="1" applyFont="1" applyFill="1" applyBorder="1" applyAlignment="1">
      <alignment horizontal="center" vertical="center"/>
    </xf>
    <xf numFmtId="164" fontId="27" fillId="48" borderId="697" xfId="1" applyNumberFormat="1" applyFont="1" applyFill="1" applyBorder="1" applyAlignment="1">
      <alignment horizontal="center" vertical="center"/>
    </xf>
    <xf numFmtId="1" fontId="194" fillId="48" borderId="1" xfId="0" applyNumberFormat="1" applyFont="1" applyFill="1" applyBorder="1" applyAlignment="1">
      <alignment horizontal="center" vertical="center"/>
    </xf>
    <xf numFmtId="0" fontId="86" fillId="65" borderId="138" xfId="0" applyFont="1" applyFill="1" applyBorder="1" applyAlignment="1">
      <alignment horizontal="center" vertical="center"/>
    </xf>
    <xf numFmtId="0" fontId="86" fillId="65" borderId="116" xfId="0" applyFont="1" applyFill="1" applyBorder="1" applyAlignment="1">
      <alignment horizontal="center" vertical="center"/>
    </xf>
    <xf numFmtId="1" fontId="86" fillId="65" borderId="138" xfId="0" applyNumberFormat="1" applyFont="1" applyFill="1" applyBorder="1" applyAlignment="1">
      <alignment horizontal="center" vertical="center"/>
    </xf>
    <xf numFmtId="1" fontId="86" fillId="48" borderId="698" xfId="0" applyNumberFormat="1" applyFont="1" applyFill="1" applyBorder="1" applyAlignment="1">
      <alignment horizontal="center" vertical="center"/>
    </xf>
    <xf numFmtId="164" fontId="78" fillId="65" borderId="0" xfId="0" applyNumberFormat="1" applyFont="1" applyFill="1" applyBorder="1" applyAlignment="1">
      <alignment horizontal="center" vertical="center"/>
    </xf>
    <xf numFmtId="9" fontId="182" fillId="0" borderId="603" xfId="1" applyNumberFormat="1" applyFont="1" applyFill="1" applyBorder="1" applyAlignment="1">
      <alignment horizontal="center" vertical="center"/>
    </xf>
    <xf numFmtId="9" fontId="182" fillId="0" borderId="571" xfId="1" applyNumberFormat="1" applyFont="1" applyFill="1" applyBorder="1" applyAlignment="1">
      <alignment horizontal="center" vertical="center"/>
    </xf>
    <xf numFmtId="164" fontId="63" fillId="0" borderId="663" xfId="1" applyNumberFormat="1" applyFont="1" applyFill="1" applyBorder="1" applyAlignment="1">
      <alignment horizontal="center" vertical="center"/>
    </xf>
    <xf numFmtId="164" fontId="63" fillId="0" borderId="567" xfId="1" applyNumberFormat="1" applyFont="1" applyFill="1" applyBorder="1" applyAlignment="1">
      <alignment horizontal="center" vertical="center"/>
    </xf>
    <xf numFmtId="3" fontId="63" fillId="0" borderId="701" xfId="0" applyNumberFormat="1" applyFont="1" applyFill="1" applyBorder="1" applyAlignment="1">
      <alignment horizontal="center" vertical="center"/>
    </xf>
    <xf numFmtId="3" fontId="63" fillId="48" borderId="700" xfId="0" applyNumberFormat="1" applyFont="1" applyFill="1" applyBorder="1" applyAlignment="1">
      <alignment horizontal="center" vertical="center"/>
    </xf>
    <xf numFmtId="164" fontId="63" fillId="48" borderId="702" xfId="1" applyNumberFormat="1" applyFont="1" applyFill="1" applyBorder="1" applyAlignment="1">
      <alignment horizontal="center" vertical="center"/>
    </xf>
    <xf numFmtId="164" fontId="63" fillId="0" borderId="702" xfId="1" applyNumberFormat="1" applyFont="1" applyFill="1" applyBorder="1" applyAlignment="1">
      <alignment horizontal="center" vertical="center"/>
    </xf>
    <xf numFmtId="3" fontId="63" fillId="48" borderId="703" xfId="0" applyNumberFormat="1" applyFont="1" applyFill="1" applyBorder="1" applyAlignment="1">
      <alignment horizontal="center" vertical="center"/>
    </xf>
    <xf numFmtId="3" fontId="63" fillId="48" borderId="704" xfId="0" applyNumberFormat="1" applyFont="1" applyFill="1" applyBorder="1" applyAlignment="1">
      <alignment horizontal="center" vertical="center"/>
    </xf>
    <xf numFmtId="3" fontId="63" fillId="48" borderId="705" xfId="0" applyNumberFormat="1" applyFont="1" applyFill="1" applyBorder="1" applyAlignment="1">
      <alignment horizontal="center" vertical="center"/>
    </xf>
    <xf numFmtId="10" fontId="63" fillId="48" borderId="372" xfId="1" applyNumberFormat="1" applyFont="1" applyFill="1" applyBorder="1" applyAlignment="1">
      <alignment horizontal="center" vertical="center"/>
    </xf>
    <xf numFmtId="10" fontId="63" fillId="48" borderId="706" xfId="1" applyNumberFormat="1" applyFont="1" applyFill="1" applyBorder="1" applyAlignment="1">
      <alignment horizontal="center" vertical="center"/>
    </xf>
    <xf numFmtId="10" fontId="63" fillId="48" borderId="702" xfId="1" applyNumberFormat="1" applyFont="1" applyFill="1" applyBorder="1" applyAlignment="1">
      <alignment horizontal="center" vertical="center"/>
    </xf>
    <xf numFmtId="164" fontId="85" fillId="0" borderId="112" xfId="1" applyNumberFormat="1" applyFont="1" applyFill="1" applyBorder="1" applyAlignment="1">
      <alignment horizontal="center" vertical="center"/>
    </xf>
    <xf numFmtId="49" fontId="74" fillId="65" borderId="117" xfId="1" quotePrefix="1" applyNumberFormat="1" applyFont="1" applyFill="1" applyBorder="1" applyAlignment="1">
      <alignment horizontal="center" vertical="center"/>
    </xf>
    <xf numFmtId="164" fontId="78" fillId="65" borderId="279" xfId="68" applyNumberFormat="1" applyFont="1" applyFill="1" applyBorder="1" applyAlignment="1">
      <alignment horizontal="center" vertical="center"/>
    </xf>
    <xf numFmtId="164" fontId="78" fillId="6" borderId="707" xfId="68" applyNumberFormat="1" applyFont="1" applyFill="1" applyBorder="1" applyAlignment="1">
      <alignment horizontal="center" vertical="center"/>
    </xf>
    <xf numFmtId="0" fontId="85" fillId="65" borderId="708" xfId="68" applyFont="1" applyFill="1" applyBorder="1" applyAlignment="1">
      <alignment horizontal="center" vertical="center"/>
    </xf>
    <xf numFmtId="164" fontId="78" fillId="65" borderId="708" xfId="68" applyNumberFormat="1" applyFont="1" applyFill="1" applyBorder="1" applyAlignment="1">
      <alignment horizontal="center" vertical="center"/>
    </xf>
    <xf numFmtId="164" fontId="78" fillId="65" borderId="709" xfId="68" applyNumberFormat="1" applyFont="1" applyFill="1" applyBorder="1" applyAlignment="1">
      <alignment horizontal="center" vertical="center"/>
    </xf>
    <xf numFmtId="0" fontId="85" fillId="65" borderId="710" xfId="68" applyFont="1" applyFill="1" applyBorder="1" applyAlignment="1">
      <alignment horizontal="center" vertical="center"/>
    </xf>
    <xf numFmtId="0" fontId="85" fillId="65" borderId="711" xfId="68" applyFont="1" applyFill="1" applyBorder="1" applyAlignment="1">
      <alignment horizontal="center" vertical="center"/>
    </xf>
    <xf numFmtId="164" fontId="78" fillId="65" borderId="712" xfId="68" applyNumberFormat="1" applyFont="1" applyFill="1" applyBorder="1" applyAlignment="1">
      <alignment horizontal="center" vertical="center"/>
    </xf>
    <xf numFmtId="164" fontId="78" fillId="6" borderId="713" xfId="68" applyNumberFormat="1" applyFont="1" applyFill="1" applyBorder="1" applyAlignment="1">
      <alignment horizontal="center" vertical="center"/>
    </xf>
    <xf numFmtId="0" fontId="85" fillId="0" borderId="0" xfId="68" applyFont="1" applyFill="1" applyBorder="1" applyAlignment="1">
      <alignment horizontal="center" vertical="center" wrapText="1"/>
    </xf>
    <xf numFmtId="165" fontId="95" fillId="9" borderId="581" xfId="68" applyNumberFormat="1" applyFont="1" applyFill="1" applyBorder="1" applyAlignment="1">
      <alignment horizontal="center" vertical="center"/>
    </xf>
    <xf numFmtId="49" fontId="0" fillId="0" borderId="0" xfId="0" applyNumberFormat="1"/>
    <xf numFmtId="9" fontId="78" fillId="9" borderId="581" xfId="68" applyNumberFormat="1" applyFont="1" applyFill="1" applyBorder="1" applyAlignment="1">
      <alignment horizontal="center" vertical="center"/>
    </xf>
    <xf numFmtId="9" fontId="85" fillId="9" borderId="0" xfId="68" quotePrefix="1" applyNumberFormat="1" applyFont="1" applyFill="1" applyBorder="1" applyAlignment="1">
      <alignment horizontal="center" vertical="center"/>
    </xf>
    <xf numFmtId="0" fontId="78" fillId="0" borderId="674" xfId="68" applyFont="1" applyFill="1" applyBorder="1" applyAlignment="1">
      <alignment horizontal="left" vertical="center" wrapText="1"/>
    </xf>
    <xf numFmtId="9" fontId="78" fillId="0" borderId="674" xfId="68" applyNumberFormat="1" applyFont="1" applyBorder="1" applyAlignment="1">
      <alignment horizontal="center" vertical="center"/>
    </xf>
    <xf numFmtId="164" fontId="78" fillId="6" borderId="674" xfId="68" applyNumberFormat="1" applyFont="1" applyFill="1" applyBorder="1" applyAlignment="1">
      <alignment horizontal="center" vertical="center"/>
    </xf>
    <xf numFmtId="0" fontId="85" fillId="0" borderId="674" xfId="68" applyFont="1" applyFill="1" applyBorder="1" applyAlignment="1">
      <alignment horizontal="center" vertical="center"/>
    </xf>
    <xf numFmtId="0" fontId="78" fillId="0" borderId="674" xfId="68" applyFont="1" applyBorder="1" applyAlignment="1">
      <alignment horizontal="center" vertical="center"/>
    </xf>
    <xf numFmtId="0" fontId="78" fillId="0" borderId="676" xfId="68" applyFont="1" applyBorder="1" applyAlignment="1">
      <alignment vertical="center"/>
    </xf>
    <xf numFmtId="174" fontId="85" fillId="48" borderId="246" xfId="0" applyNumberFormat="1" applyFont="1" applyFill="1" applyBorder="1" applyAlignment="1">
      <alignment horizontal="center" vertical="center"/>
    </xf>
    <xf numFmtId="164" fontId="0" fillId="48" borderId="290" xfId="0" applyNumberFormat="1" applyFill="1" applyBorder="1" applyAlignment="1">
      <alignment horizontal="center" vertical="center"/>
    </xf>
    <xf numFmtId="164" fontId="60" fillId="0" borderId="319" xfId="1" applyNumberFormat="1" applyFont="1" applyFill="1" applyBorder="1" applyAlignment="1">
      <alignment horizontal="center" vertical="center"/>
    </xf>
    <xf numFmtId="164" fontId="60" fillId="0" borderId="290" xfId="1" applyNumberFormat="1" applyFont="1" applyFill="1" applyBorder="1" applyAlignment="1">
      <alignment horizontal="center" vertical="center"/>
    </xf>
    <xf numFmtId="164" fontId="182" fillId="0" borderId="583" xfId="1" applyNumberFormat="1" applyFont="1" applyFill="1" applyBorder="1" applyAlignment="1">
      <alignment horizontal="center" vertical="center"/>
    </xf>
    <xf numFmtId="164" fontId="182" fillId="0" borderId="577" xfId="1" applyNumberFormat="1" applyFont="1" applyFill="1" applyBorder="1" applyAlignment="1">
      <alignment horizontal="center" vertical="center"/>
    </xf>
    <xf numFmtId="164" fontId="182" fillId="0" borderId="603" xfId="1" applyNumberFormat="1" applyFont="1" applyFill="1" applyBorder="1" applyAlignment="1">
      <alignment horizontal="center" vertical="center"/>
    </xf>
    <xf numFmtId="164" fontId="63" fillId="0" borderId="714" xfId="1" applyNumberFormat="1" applyFont="1" applyFill="1" applyBorder="1" applyAlignment="1">
      <alignment horizontal="center" vertical="center"/>
    </xf>
    <xf numFmtId="16" fontId="74" fillId="65" borderId="117" xfId="1" quotePrefix="1" applyNumberFormat="1" applyFont="1" applyFill="1" applyBorder="1" applyAlignment="1">
      <alignment horizontal="center" vertical="center"/>
    </xf>
    <xf numFmtId="171" fontId="79" fillId="0" borderId="128" xfId="0" applyNumberFormat="1" applyFont="1" applyBorder="1" applyAlignment="1">
      <alignment horizontal="center" vertical="center"/>
    </xf>
    <xf numFmtId="164" fontId="78" fillId="0" borderId="315" xfId="1" applyNumberFormat="1" applyFont="1" applyFill="1" applyBorder="1" applyAlignment="1">
      <alignment horizontal="center" vertical="center"/>
    </xf>
    <xf numFmtId="171" fontId="79" fillId="0" borderId="554" xfId="0" applyNumberFormat="1" applyFont="1" applyBorder="1" applyAlignment="1">
      <alignment horizontal="center" vertical="center"/>
    </xf>
    <xf numFmtId="49" fontId="79" fillId="0" borderId="554" xfId="0" applyNumberFormat="1" applyFont="1" applyBorder="1" applyAlignment="1">
      <alignment horizontal="center" vertical="center"/>
    </xf>
    <xf numFmtId="9" fontId="27" fillId="48" borderId="296" xfId="0" applyNumberFormat="1" applyFont="1" applyFill="1" applyBorder="1" applyAlignment="1">
      <alignment horizontal="center" vertical="center"/>
    </xf>
    <xf numFmtId="164" fontId="27" fillId="48" borderId="296" xfId="0" applyNumberFormat="1" applyFont="1" applyFill="1" applyBorder="1" applyAlignment="1">
      <alignment horizontal="center" vertical="center"/>
    </xf>
    <xf numFmtId="9" fontId="27" fillId="48" borderId="289" xfId="0" applyNumberFormat="1" applyFont="1" applyFill="1" applyBorder="1" applyAlignment="1">
      <alignment horizontal="center" vertical="center"/>
    </xf>
    <xf numFmtId="164" fontId="27" fillId="48" borderId="289" xfId="0" applyNumberFormat="1" applyFont="1" applyFill="1" applyBorder="1" applyAlignment="1">
      <alignment horizontal="center" vertical="center"/>
    </xf>
    <xf numFmtId="9" fontId="27" fillId="48" borderId="696" xfId="0" applyNumberFormat="1" applyFont="1" applyFill="1" applyBorder="1" applyAlignment="1">
      <alignment horizontal="center" vertical="center"/>
    </xf>
    <xf numFmtId="164" fontId="27" fillId="48" borderId="696" xfId="0" applyNumberFormat="1" applyFont="1" applyFill="1" applyBorder="1" applyAlignment="1">
      <alignment horizontal="center" vertical="center"/>
    </xf>
    <xf numFmtId="9" fontId="27" fillId="48" borderId="287" xfId="0" applyNumberFormat="1" applyFont="1" applyFill="1" applyBorder="1" applyAlignment="1">
      <alignment horizontal="center" vertical="center"/>
    </xf>
    <xf numFmtId="164" fontId="27" fillId="48" borderId="287" xfId="0" applyNumberFormat="1" applyFont="1" applyFill="1" applyBorder="1" applyAlignment="1">
      <alignment horizontal="center" vertical="center"/>
    </xf>
    <xf numFmtId="164" fontId="27" fillId="0" borderId="695" xfId="1" applyNumberFormat="1" applyFont="1" applyFill="1" applyBorder="1" applyAlignment="1">
      <alignment horizontal="center" vertical="center"/>
    </xf>
    <xf numFmtId="164" fontId="27" fillId="0" borderId="296" xfId="0" applyNumberFormat="1" applyFont="1" applyFill="1" applyBorder="1" applyAlignment="1">
      <alignment horizontal="center" vertical="center"/>
    </xf>
    <xf numFmtId="164" fontId="27" fillId="48" borderId="318" xfId="0" applyNumberFormat="1" applyFont="1" applyFill="1" applyBorder="1" applyAlignment="1">
      <alignment horizontal="center" vertical="center"/>
    </xf>
    <xf numFmtId="164" fontId="27" fillId="0" borderId="318" xfId="0" applyNumberFormat="1" applyFont="1" applyFill="1" applyBorder="1" applyAlignment="1">
      <alignment horizontal="center" vertical="center"/>
    </xf>
    <xf numFmtId="164" fontId="27" fillId="48" borderId="585" xfId="1" applyNumberFormat="1" applyFont="1" applyFill="1" applyBorder="1" applyAlignment="1">
      <alignment horizontal="center" vertical="center"/>
    </xf>
    <xf numFmtId="164" fontId="27" fillId="0" borderId="526" xfId="1" applyNumberFormat="1" applyFont="1" applyFill="1" applyBorder="1" applyAlignment="1">
      <alignment horizontal="center" vertical="center"/>
    </xf>
    <xf numFmtId="164" fontId="27" fillId="48" borderId="526" xfId="0" applyNumberFormat="1" applyFont="1" applyFill="1" applyBorder="1" applyAlignment="1">
      <alignment horizontal="center" vertical="center"/>
    </xf>
    <xf numFmtId="164" fontId="27" fillId="0" borderId="526" xfId="0" applyNumberFormat="1" applyFont="1" applyFill="1" applyBorder="1" applyAlignment="1">
      <alignment horizontal="center" vertical="center"/>
    </xf>
    <xf numFmtId="164" fontId="27" fillId="48" borderId="526" xfId="1" applyNumberFormat="1" applyFont="1" applyFill="1" applyBorder="1" applyAlignment="1">
      <alignment horizontal="center" vertical="center"/>
    </xf>
    <xf numFmtId="164" fontId="27" fillId="0" borderId="303" xfId="1" applyNumberFormat="1" applyFont="1" applyBorder="1" applyAlignment="1">
      <alignment horizontal="center" vertical="center"/>
    </xf>
    <xf numFmtId="164" fontId="27" fillId="0" borderId="303" xfId="0" applyNumberFormat="1" applyFont="1" applyFill="1" applyBorder="1" applyAlignment="1">
      <alignment horizontal="center" vertical="center"/>
    </xf>
    <xf numFmtId="164" fontId="27" fillId="0" borderId="289" xfId="1" applyNumberFormat="1" applyFont="1" applyBorder="1" applyAlignment="1">
      <alignment horizontal="center" vertical="center"/>
    </xf>
    <xf numFmtId="164" fontId="27" fillId="0" borderId="318" xfId="1" applyNumberFormat="1" applyFont="1" applyBorder="1" applyAlignment="1">
      <alignment horizontal="center" vertical="center"/>
    </xf>
    <xf numFmtId="164" fontId="27" fillId="48" borderId="318" xfId="1" applyNumberFormat="1" applyFont="1" applyFill="1" applyBorder="1" applyAlignment="1">
      <alignment horizontal="center" vertical="center"/>
    </xf>
    <xf numFmtId="164" fontId="27" fillId="48" borderId="350" xfId="1" applyNumberFormat="1" applyFont="1" applyFill="1" applyBorder="1" applyAlignment="1">
      <alignment horizontal="center" vertical="center"/>
    </xf>
    <xf numFmtId="164" fontId="27" fillId="0" borderId="526" xfId="1" applyNumberFormat="1" applyFont="1" applyBorder="1" applyAlignment="1">
      <alignment horizontal="center" vertical="center"/>
    </xf>
    <xf numFmtId="164" fontId="27" fillId="0" borderId="315" xfId="1" applyNumberFormat="1" applyFont="1" applyFill="1" applyBorder="1" applyAlignment="1">
      <alignment horizontal="center" vertical="center"/>
    </xf>
    <xf numFmtId="164" fontId="27" fillId="0" borderId="350" xfId="1" applyNumberFormat="1" applyFont="1" applyBorder="1" applyAlignment="1">
      <alignment horizontal="center" vertical="center"/>
    </xf>
    <xf numFmtId="164" fontId="27" fillId="0" borderId="699" xfId="0" applyNumberFormat="1" applyFont="1" applyFill="1" applyBorder="1" applyAlignment="1">
      <alignment horizontal="center" vertical="center"/>
    </xf>
    <xf numFmtId="164" fontId="78" fillId="0" borderId="316" xfId="1" applyNumberFormat="1" applyFont="1" applyFill="1" applyBorder="1" applyAlignment="1">
      <alignment horizontal="center" vertical="center"/>
    </xf>
    <xf numFmtId="164" fontId="79" fillId="0" borderId="719" xfId="0" applyNumberFormat="1" applyFont="1" applyBorder="1" applyAlignment="1">
      <alignment horizontal="center" vertical="center"/>
    </xf>
    <xf numFmtId="164" fontId="27" fillId="0" borderId="718" xfId="1" applyNumberFormat="1" applyFont="1" applyFill="1" applyBorder="1" applyAlignment="1">
      <alignment horizontal="center" vertical="center"/>
    </xf>
    <xf numFmtId="164" fontId="27" fillId="0" borderId="720" xfId="1" applyNumberFormat="1" applyFont="1" applyFill="1" applyBorder="1" applyAlignment="1">
      <alignment horizontal="center" vertical="center"/>
    </xf>
    <xf numFmtId="164" fontId="79" fillId="0" borderId="721" xfId="0" applyNumberFormat="1" applyFont="1" applyBorder="1" applyAlignment="1">
      <alignment horizontal="center" vertical="center"/>
    </xf>
    <xf numFmtId="164" fontId="79" fillId="0" borderId="9" xfId="0" applyNumberFormat="1" applyFont="1" applyBorder="1" applyAlignment="1">
      <alignment horizontal="center" vertical="center"/>
    </xf>
    <xf numFmtId="164" fontId="27" fillId="0" borderId="722" xfId="1" applyNumberFormat="1" applyFont="1" applyFill="1" applyBorder="1" applyAlignment="1">
      <alignment horizontal="center" vertical="center"/>
    </xf>
    <xf numFmtId="9" fontId="78" fillId="65" borderId="723" xfId="0" applyNumberFormat="1" applyFont="1" applyFill="1" applyBorder="1" applyAlignment="1">
      <alignment horizontal="center" vertical="center"/>
    </xf>
    <xf numFmtId="164" fontId="76" fillId="65" borderId="724" xfId="1" applyNumberFormat="1" applyFont="1" applyFill="1" applyBorder="1" applyAlignment="1">
      <alignment horizontal="center" vertical="center"/>
    </xf>
    <xf numFmtId="164" fontId="76" fillId="65" borderId="717" xfId="0" applyNumberFormat="1" applyFont="1" applyFill="1" applyBorder="1" applyAlignment="1">
      <alignment horizontal="center" vertical="center"/>
    </xf>
    <xf numFmtId="0" fontId="85" fillId="0" borderId="279" xfId="68" applyFont="1" applyFill="1" applyBorder="1" applyAlignment="1">
      <alignment horizontal="center" vertical="center"/>
    </xf>
    <xf numFmtId="1" fontId="2" fillId="46" borderId="37" xfId="54" applyNumberFormat="1" applyFont="1" applyFill="1" applyBorder="1" applyAlignment="1">
      <alignment horizontal="center"/>
    </xf>
    <xf numFmtId="164" fontId="0" fillId="9" borderId="0" xfId="1" applyNumberFormat="1" applyFont="1" applyFill="1" applyBorder="1" applyAlignment="1">
      <alignment horizontal="center"/>
    </xf>
    <xf numFmtId="1" fontId="2" fillId="2" borderId="3" xfId="1" applyNumberFormat="1" applyFont="1" applyFill="1" applyBorder="1" applyAlignment="1">
      <alignment horizontal="center"/>
    </xf>
    <xf numFmtId="1" fontId="2" fillId="2" borderId="51" xfId="1" applyNumberFormat="1" applyFont="1" applyFill="1" applyBorder="1" applyAlignment="1">
      <alignment horizontal="center"/>
    </xf>
    <xf numFmtId="49" fontId="86" fillId="0" borderId="517" xfId="1" quotePrefix="1" applyNumberFormat="1" applyFont="1" applyBorder="1" applyAlignment="1">
      <alignment horizontal="center" vertical="center"/>
    </xf>
    <xf numFmtId="3" fontId="85" fillId="0" borderId="669" xfId="68" applyNumberFormat="1" applyFont="1" applyFill="1" applyBorder="1" applyAlignment="1">
      <alignment horizontal="center" vertical="center"/>
    </xf>
    <xf numFmtId="164" fontId="78" fillId="6" borderId="0" xfId="1" applyNumberFormat="1" applyFont="1" applyFill="1" applyBorder="1" applyAlignment="1">
      <alignment horizontal="center" vertical="center"/>
    </xf>
    <xf numFmtId="9" fontId="85" fillId="6" borderId="0" xfId="68" quotePrefix="1" applyNumberFormat="1" applyFont="1" applyFill="1" applyBorder="1" applyAlignment="1">
      <alignment horizontal="center" vertical="center"/>
    </xf>
    <xf numFmtId="49" fontId="85" fillId="52" borderId="669" xfId="68" applyNumberFormat="1" applyFont="1" applyFill="1" applyBorder="1" applyAlignment="1">
      <alignment horizontal="center" vertical="center"/>
    </xf>
    <xf numFmtId="49" fontId="85" fillId="52" borderId="673" xfId="68" applyNumberFormat="1" applyFont="1" applyFill="1" applyBorder="1" applyAlignment="1">
      <alignment horizontal="center" vertical="center"/>
    </xf>
    <xf numFmtId="9" fontId="27" fillId="9" borderId="0" xfId="1" applyNumberFormat="1" applyFont="1" applyFill="1" applyBorder="1" applyAlignment="1">
      <alignment horizontal="center" vertical="center"/>
    </xf>
    <xf numFmtId="0" fontId="0" fillId="0" borderId="219" xfId="0" applyFill="1" applyBorder="1" applyAlignment="1">
      <alignment horizontal="center"/>
    </xf>
    <xf numFmtId="0" fontId="172" fillId="65" borderId="166" xfId="68" applyNumberFormat="1" applyFont="1" applyFill="1" applyBorder="1" applyAlignment="1">
      <alignment horizontal="center" wrapText="1"/>
    </xf>
    <xf numFmtId="0" fontId="172" fillId="65" borderId="680" xfId="68" applyNumberFormat="1" applyFont="1" applyFill="1" applyBorder="1" applyAlignment="1">
      <alignment horizontal="center" wrapText="1"/>
    </xf>
    <xf numFmtId="0" fontId="172" fillId="65" borderId="166" xfId="68" applyNumberFormat="1" applyFont="1" applyFill="1" applyBorder="1" applyAlignment="1">
      <alignment horizontal="center" vertical="center" wrapText="1"/>
    </xf>
    <xf numFmtId="164" fontId="85" fillId="0" borderId="116" xfId="1" applyNumberFormat="1" applyFont="1" applyFill="1" applyBorder="1" applyAlignment="1">
      <alignment horizontal="center" vertical="center"/>
    </xf>
    <xf numFmtId="3" fontId="127" fillId="9" borderId="487" xfId="0" applyNumberFormat="1" applyFont="1" applyFill="1" applyBorder="1" applyAlignment="1">
      <alignment horizontal="center" vertical="center"/>
    </xf>
    <xf numFmtId="164" fontId="127" fillId="9" borderId="289" xfId="1" applyNumberFormat="1" applyFont="1" applyFill="1" applyBorder="1" applyAlignment="1">
      <alignment horizontal="center" vertical="center"/>
    </xf>
    <xf numFmtId="1" fontId="127" fillId="9" borderId="488" xfId="1" applyNumberFormat="1" applyFont="1" applyFill="1" applyBorder="1" applyAlignment="1">
      <alignment horizontal="center" vertical="center"/>
    </xf>
    <xf numFmtId="3" fontId="127" fillId="9" borderId="315" xfId="0" applyNumberFormat="1" applyFont="1" applyFill="1" applyBorder="1" applyAlignment="1">
      <alignment horizontal="center" vertical="center"/>
    </xf>
    <xf numFmtId="1" fontId="127" fillId="9" borderId="503" xfId="1" applyNumberFormat="1" applyFont="1" applyFill="1" applyBorder="1" applyAlignment="1">
      <alignment horizontal="center" vertical="center"/>
    </xf>
    <xf numFmtId="164" fontId="0" fillId="9" borderId="0" xfId="1" applyNumberFormat="1" applyFont="1" applyFill="1" applyAlignment="1">
      <alignment horizontal="center" vertical="center"/>
    </xf>
    <xf numFmtId="49" fontId="86" fillId="59" borderId="517" xfId="1" quotePrefix="1" applyNumberFormat="1" applyFont="1" applyFill="1" applyBorder="1" applyAlignment="1">
      <alignment horizontal="center" vertical="center"/>
    </xf>
    <xf numFmtId="0" fontId="86" fillId="0" borderId="116" xfId="0" applyFont="1" applyFill="1" applyBorder="1" applyAlignment="1">
      <alignment horizontal="center" vertical="center"/>
    </xf>
    <xf numFmtId="0" fontId="37" fillId="9" borderId="36" xfId="0" applyFont="1" applyFill="1" applyBorder="1" applyAlignment="1">
      <alignment horizontal="center"/>
    </xf>
    <xf numFmtId="1" fontId="86" fillId="9" borderId="289" xfId="0" applyNumberFormat="1" applyFont="1" applyFill="1" applyBorder="1" applyAlignment="1">
      <alignment horizontal="center" vertical="center"/>
    </xf>
    <xf numFmtId="1" fontId="0" fillId="0" borderId="686" xfId="0" quotePrefix="1" applyNumberFormat="1" applyFont="1" applyFill="1" applyBorder="1" applyAlignment="1">
      <alignment horizontal="center"/>
    </xf>
    <xf numFmtId="3" fontId="63" fillId="0" borderId="725" xfId="0" applyNumberFormat="1" applyFont="1" applyFill="1" applyBorder="1" applyAlignment="1">
      <alignment horizontal="center" vertical="center"/>
    </xf>
    <xf numFmtId="164" fontId="63" fillId="0" borderId="726" xfId="1" applyNumberFormat="1" applyFont="1" applyFill="1" applyBorder="1" applyAlignment="1">
      <alignment horizontal="center" vertical="center"/>
    </xf>
    <xf numFmtId="164" fontId="63" fillId="0" borderId="727" xfId="1" applyNumberFormat="1" applyFont="1" applyFill="1" applyBorder="1" applyAlignment="1">
      <alignment horizontal="center" vertical="center"/>
    </xf>
    <xf numFmtId="0" fontId="0" fillId="9" borderId="37" xfId="54" applyNumberFormat="1" applyFont="1" applyFill="1" applyBorder="1" applyAlignment="1">
      <alignment horizontal="center"/>
    </xf>
    <xf numFmtId="3" fontId="59" fillId="0" borderId="355" xfId="0" applyNumberFormat="1" applyFont="1" applyFill="1" applyBorder="1" applyAlignment="1">
      <alignment horizontal="center" vertical="center"/>
    </xf>
    <xf numFmtId="3" fontId="59" fillId="0" borderId="289" xfId="0" applyNumberFormat="1" applyFont="1" applyFill="1" applyBorder="1" applyAlignment="1">
      <alignment horizontal="center" vertical="center"/>
    </xf>
    <xf numFmtId="164" fontId="160" fillId="0" borderId="356" xfId="1" applyNumberFormat="1" applyFont="1" applyFill="1" applyBorder="1" applyAlignment="1">
      <alignment horizontal="center" vertical="center"/>
    </xf>
    <xf numFmtId="3" fontId="160" fillId="0" borderId="357" xfId="0" applyNumberFormat="1" applyFont="1" applyFill="1" applyBorder="1" applyAlignment="1">
      <alignment horizontal="center" vertical="center"/>
    </xf>
    <xf numFmtId="3" fontId="160" fillId="0" borderId="306" xfId="0" applyNumberFormat="1" applyFont="1" applyFill="1" applyBorder="1" applyAlignment="1">
      <alignment horizontal="center" vertical="center"/>
    </xf>
    <xf numFmtId="164" fontId="160" fillId="0" borderId="358" xfId="1" applyNumberFormat="1" applyFont="1" applyFill="1" applyBorder="1" applyAlignment="1">
      <alignment horizontal="center" vertical="center"/>
    </xf>
    <xf numFmtId="10" fontId="0" fillId="48" borderId="318" xfId="1" applyNumberFormat="1" applyFont="1" applyFill="1" applyBorder="1" applyAlignment="1">
      <alignment horizontal="center" vertical="center"/>
    </xf>
    <xf numFmtId="164" fontId="27" fillId="0" borderId="287" xfId="1" applyNumberFormat="1" applyFont="1" applyFill="1" applyBorder="1" applyAlignment="1">
      <alignment horizontal="center" vertical="center"/>
    </xf>
    <xf numFmtId="164" fontId="27" fillId="0" borderId="294" xfId="1" applyNumberFormat="1" applyFont="1" applyFill="1" applyBorder="1" applyAlignment="1">
      <alignment horizontal="center" vertical="center"/>
    </xf>
    <xf numFmtId="0" fontId="27" fillId="0" borderId="289" xfId="0" applyFont="1" applyFill="1" applyBorder="1" applyAlignment="1">
      <alignment horizontal="center" vertical="center"/>
    </xf>
    <xf numFmtId="0" fontId="27" fillId="0" borderId="290" xfId="0" applyFont="1" applyFill="1" applyBorder="1" applyAlignment="1">
      <alignment horizontal="center" vertical="center"/>
    </xf>
    <xf numFmtId="164" fontId="27" fillId="0" borderId="292" xfId="1" applyNumberFormat="1" applyFont="1" applyFill="1" applyBorder="1" applyAlignment="1">
      <alignment horizontal="center" vertical="center"/>
    </xf>
    <xf numFmtId="164" fontId="27" fillId="0" borderId="293" xfId="1" applyNumberFormat="1" applyFont="1" applyFill="1" applyBorder="1" applyAlignment="1">
      <alignment horizontal="center" vertical="center"/>
    </xf>
    <xf numFmtId="0" fontId="27" fillId="48" borderId="292" xfId="0" applyFont="1" applyFill="1" applyBorder="1" applyAlignment="1">
      <alignment horizontal="center" vertical="center"/>
    </xf>
    <xf numFmtId="3" fontId="25" fillId="65" borderId="728" xfId="0" applyNumberFormat="1" applyFont="1" applyFill="1" applyBorder="1" applyAlignment="1">
      <alignment horizontal="center" vertical="center" wrapText="1"/>
    </xf>
    <xf numFmtId="3" fontId="25" fillId="65" borderId="596" xfId="0" applyNumberFormat="1" applyFont="1" applyFill="1" applyBorder="1" applyAlignment="1">
      <alignment horizontal="center" vertical="center" wrapText="1"/>
    </xf>
    <xf numFmtId="3" fontId="25" fillId="65" borderId="43" xfId="0" applyNumberFormat="1" applyFont="1" applyFill="1" applyBorder="1" applyAlignment="1">
      <alignment horizontal="center" vertical="center" wrapText="1"/>
    </xf>
    <xf numFmtId="3" fontId="183" fillId="0" borderId="260" xfId="0" applyNumberFormat="1" applyFont="1" applyFill="1" applyBorder="1" applyAlignment="1">
      <alignment horizontal="center" vertical="center"/>
    </xf>
    <xf numFmtId="3" fontId="183" fillId="0" borderId="729" xfId="0" applyNumberFormat="1" applyFont="1" applyFill="1" applyBorder="1" applyAlignment="1">
      <alignment horizontal="center" vertical="center"/>
    </xf>
    <xf numFmtId="3" fontId="183" fillId="0" borderId="730" xfId="0" applyNumberFormat="1" applyFont="1" applyFill="1" applyBorder="1" applyAlignment="1">
      <alignment horizontal="center" vertical="center"/>
    </xf>
    <xf numFmtId="3" fontId="183" fillId="0" borderId="732" xfId="0" applyNumberFormat="1" applyFont="1" applyFill="1" applyBorder="1" applyAlignment="1">
      <alignment horizontal="center" vertical="center"/>
    </xf>
    <xf numFmtId="3" fontId="183" fillId="0" borderId="733" xfId="0" applyNumberFormat="1" applyFont="1" applyFill="1" applyBorder="1" applyAlignment="1">
      <alignment horizontal="center" vertical="center"/>
    </xf>
    <xf numFmtId="3" fontId="83" fillId="65" borderId="103" xfId="0" applyNumberFormat="1" applyFont="1" applyFill="1" applyBorder="1" applyAlignment="1">
      <alignment horizontal="center" vertical="center"/>
    </xf>
    <xf numFmtId="3" fontId="183" fillId="0" borderId="729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83" fillId="65" borderId="82" xfId="0" applyFont="1" applyFill="1" applyBorder="1" applyAlignment="1">
      <alignment horizontal="center" vertical="center"/>
    </xf>
    <xf numFmtId="1" fontId="0" fillId="44" borderId="33" xfId="0" applyNumberFormat="1" applyFill="1" applyBorder="1" applyAlignment="1">
      <alignment horizontal="center"/>
    </xf>
    <xf numFmtId="1" fontId="0" fillId="44" borderId="0" xfId="54" applyNumberFormat="1" applyFont="1" applyFill="1" applyBorder="1" applyAlignment="1">
      <alignment horizontal="center"/>
    </xf>
    <xf numFmtId="1" fontId="0" fillId="43" borderId="54" xfId="0" applyNumberFormat="1" applyFill="1" applyBorder="1" applyAlignment="1">
      <alignment horizontal="center"/>
    </xf>
    <xf numFmtId="1" fontId="0" fillId="43" borderId="61" xfId="54" applyNumberFormat="1" applyFont="1" applyFill="1" applyBorder="1" applyAlignment="1">
      <alignment horizontal="center"/>
    </xf>
    <xf numFmtId="1" fontId="0" fillId="44" borderId="54" xfId="0" applyNumberFormat="1" applyFill="1" applyBorder="1" applyAlignment="1">
      <alignment horizontal="center"/>
    </xf>
    <xf numFmtId="1" fontId="0" fillId="44" borderId="61" xfId="54" applyNumberFormat="1" applyFont="1" applyFill="1" applyBorder="1" applyAlignment="1">
      <alignment horizontal="center"/>
    </xf>
    <xf numFmtId="1" fontId="0" fillId="43" borderId="29" xfId="54" applyNumberFormat="1" applyFont="1" applyFill="1" applyBorder="1" applyAlignment="1">
      <alignment horizontal="center"/>
    </xf>
    <xf numFmtId="1" fontId="0" fillId="44" borderId="54" xfId="54" applyNumberFormat="1" applyFont="1" applyFill="1" applyBorder="1" applyAlignment="1">
      <alignment horizontal="center"/>
    </xf>
    <xf numFmtId="1" fontId="0" fillId="44" borderId="29" xfId="54" applyNumberFormat="1" applyFont="1" applyFill="1" applyBorder="1" applyAlignment="1">
      <alignment horizontal="center"/>
    </xf>
    <xf numFmtId="1" fontId="0" fillId="44" borderId="61" xfId="0" applyNumberFormat="1" applyFill="1" applyBorder="1" applyAlignment="1">
      <alignment horizontal="center"/>
    </xf>
    <xf numFmtId="1" fontId="0" fillId="43" borderId="33" xfId="0" applyNumberFormat="1" applyFill="1" applyBorder="1" applyAlignment="1">
      <alignment horizontal="center"/>
    </xf>
    <xf numFmtId="1" fontId="0" fillId="43" borderId="34" xfId="0" applyNumberFormat="1" applyFill="1" applyBorder="1" applyAlignment="1">
      <alignment horizontal="center"/>
    </xf>
    <xf numFmtId="1" fontId="0" fillId="43" borderId="50" xfId="0" applyNumberFormat="1" applyFill="1" applyBorder="1" applyAlignment="1">
      <alignment horizontal="center"/>
    </xf>
    <xf numFmtId="1" fontId="0" fillId="43" borderId="51" xfId="54" applyNumberFormat="1" applyFont="1" applyFill="1" applyBorder="1" applyAlignment="1">
      <alignment horizontal="center"/>
    </xf>
    <xf numFmtId="3" fontId="183" fillId="64" borderId="0" xfId="0" applyNumberFormat="1" applyFont="1" applyFill="1" applyBorder="1" applyAlignment="1">
      <alignment horizontal="center" vertical="center"/>
    </xf>
    <xf numFmtId="164" fontId="183" fillId="0" borderId="731" xfId="1" applyNumberFormat="1" applyFont="1" applyFill="1" applyBorder="1" applyAlignment="1">
      <alignment horizontal="center" vertical="center"/>
    </xf>
    <xf numFmtId="164" fontId="183" fillId="9" borderId="731" xfId="1" applyNumberFormat="1" applyFont="1" applyFill="1" applyBorder="1" applyAlignment="1">
      <alignment horizontal="center" vertical="center"/>
    </xf>
    <xf numFmtId="164" fontId="183" fillId="0" borderId="259" xfId="1" applyNumberFormat="1" applyFont="1" applyFill="1" applyBorder="1" applyAlignment="1">
      <alignment horizontal="center" vertical="center"/>
    </xf>
    <xf numFmtId="9" fontId="183" fillId="0" borderId="732" xfId="1" applyFont="1" applyFill="1" applyBorder="1" applyAlignment="1">
      <alignment horizontal="center" vertical="center"/>
    </xf>
    <xf numFmtId="164" fontId="183" fillId="0" borderId="732" xfId="1" applyNumberFormat="1" applyFont="1" applyFill="1" applyBorder="1" applyAlignment="1">
      <alignment horizontal="center" vertical="center"/>
    </xf>
    <xf numFmtId="9" fontId="83" fillId="65" borderId="98" xfId="1" applyFont="1" applyFill="1" applyBorder="1" applyAlignment="1">
      <alignment horizontal="center" vertical="center"/>
    </xf>
    <xf numFmtId="164" fontId="83" fillId="65" borderId="98" xfId="1" applyNumberFormat="1" applyFont="1" applyFill="1" applyBorder="1" applyAlignment="1">
      <alignment horizontal="center" vertical="center"/>
    </xf>
    <xf numFmtId="164" fontId="83" fillId="65" borderId="89" xfId="1" applyNumberFormat="1" applyFont="1" applyFill="1" applyBorder="1" applyAlignment="1">
      <alignment horizontal="center" vertical="center"/>
    </xf>
    <xf numFmtId="9" fontId="83" fillId="65" borderId="87" xfId="1" applyFont="1" applyFill="1" applyBorder="1" applyAlignment="1">
      <alignment horizontal="center" vertical="center"/>
    </xf>
    <xf numFmtId="164" fontId="83" fillId="65" borderId="87" xfId="1" applyNumberFormat="1" applyFont="1" applyFill="1" applyBorder="1" applyAlignment="1">
      <alignment horizontal="center" vertical="center"/>
    </xf>
    <xf numFmtId="164" fontId="83" fillId="65" borderId="92" xfId="1" applyNumberFormat="1" applyFont="1" applyFill="1" applyBorder="1" applyAlignment="1">
      <alignment horizontal="center" vertical="center"/>
    </xf>
    <xf numFmtId="164" fontId="83" fillId="65" borderId="73" xfId="1" applyNumberFormat="1" applyFont="1" applyFill="1" applyBorder="1" applyAlignment="1">
      <alignment horizontal="center" vertical="center"/>
    </xf>
    <xf numFmtId="3" fontId="183" fillId="0" borderId="76" xfId="0" applyNumberFormat="1" applyFont="1" applyFill="1" applyBorder="1" applyAlignment="1">
      <alignment horizontal="center" vertical="center"/>
    </xf>
    <xf numFmtId="3" fontId="183" fillId="0" borderId="734" xfId="0" applyNumberFormat="1" applyFont="1" applyFill="1" applyBorder="1" applyAlignment="1">
      <alignment horizontal="center" vertical="center" wrapText="1"/>
    </xf>
    <xf numFmtId="3" fontId="183" fillId="0" borderId="734" xfId="0" applyNumberFormat="1" applyFont="1" applyFill="1" applyBorder="1" applyAlignment="1">
      <alignment horizontal="center" vertical="center"/>
    </xf>
    <xf numFmtId="3" fontId="183" fillId="0" borderId="735" xfId="0" applyNumberFormat="1" applyFont="1" applyFill="1" applyBorder="1" applyAlignment="1">
      <alignment horizontal="center" vertical="center"/>
    </xf>
    <xf numFmtId="164" fontId="183" fillId="9" borderId="68" xfId="1" applyNumberFormat="1" applyFont="1" applyFill="1" applyBorder="1" applyAlignment="1">
      <alignment horizontal="center" vertical="center"/>
    </xf>
    <xf numFmtId="3" fontId="83" fillId="65" borderId="736" xfId="0" applyNumberFormat="1" applyFont="1" applyFill="1" applyBorder="1" applyAlignment="1">
      <alignment horizontal="center" vertical="center"/>
    </xf>
    <xf numFmtId="0" fontId="83" fillId="65" borderId="737" xfId="0" applyFont="1" applyFill="1" applyBorder="1" applyAlignment="1">
      <alignment horizontal="center" vertical="center" wrapText="1"/>
    </xf>
    <xf numFmtId="3" fontId="83" fillId="65" borderId="738" xfId="0" applyNumberFormat="1" applyFont="1" applyFill="1" applyBorder="1" applyAlignment="1">
      <alignment horizontal="center" vertical="center"/>
    </xf>
    <xf numFmtId="3" fontId="83" fillId="65" borderId="19" xfId="0" applyNumberFormat="1" applyFont="1" applyFill="1" applyBorder="1" applyAlignment="1">
      <alignment horizontal="center" vertical="center"/>
    </xf>
    <xf numFmtId="164" fontId="83" fillId="65" borderId="739" xfId="1" applyNumberFormat="1" applyFont="1" applyFill="1" applyBorder="1" applyAlignment="1">
      <alignment horizontal="center" vertical="center"/>
    </xf>
    <xf numFmtId="3" fontId="83" fillId="65" borderId="740" xfId="0" applyNumberFormat="1" applyFont="1" applyFill="1" applyBorder="1" applyAlignment="1">
      <alignment horizontal="center" vertical="center"/>
    </xf>
    <xf numFmtId="164" fontId="83" fillId="65" borderId="19" xfId="1" applyNumberFormat="1" applyFont="1" applyFill="1" applyBorder="1" applyAlignment="1">
      <alignment horizontal="center" vertical="center"/>
    </xf>
    <xf numFmtId="3" fontId="83" fillId="65" borderId="739" xfId="0" applyNumberFormat="1" applyFont="1" applyFill="1" applyBorder="1" applyAlignment="1">
      <alignment horizontal="center" vertical="center"/>
    </xf>
    <xf numFmtId="3" fontId="25" fillId="65" borderId="601" xfId="0" applyNumberFormat="1" applyFont="1" applyFill="1" applyBorder="1" applyAlignment="1">
      <alignment horizontal="center" vertical="center" wrapText="1"/>
    </xf>
    <xf numFmtId="164" fontId="183" fillId="9" borderId="741" xfId="1" applyNumberFormat="1" applyFont="1" applyFill="1" applyBorder="1" applyAlignment="1">
      <alignment horizontal="center" vertical="center"/>
    </xf>
    <xf numFmtId="164" fontId="183" fillId="9" borderId="0" xfId="1" applyNumberFormat="1" applyFont="1" applyFill="1" applyBorder="1" applyAlignment="1">
      <alignment horizontal="center" vertical="center"/>
    </xf>
    <xf numFmtId="3" fontId="25" fillId="65" borderId="742" xfId="0" applyNumberFormat="1" applyFont="1" applyFill="1" applyBorder="1" applyAlignment="1">
      <alignment horizontal="center" vertical="center" wrapText="1"/>
    </xf>
    <xf numFmtId="3" fontId="183" fillId="0" borderId="743" xfId="0" applyNumberFormat="1" applyFont="1" applyFill="1" applyBorder="1" applyAlignment="1">
      <alignment horizontal="center" vertical="center"/>
    </xf>
    <xf numFmtId="3" fontId="183" fillId="0" borderId="744" xfId="0" applyNumberFormat="1" applyFont="1" applyFill="1" applyBorder="1" applyAlignment="1">
      <alignment horizontal="center" vertical="center"/>
    </xf>
    <xf numFmtId="164" fontId="183" fillId="9" borderId="745" xfId="1" applyNumberFormat="1" applyFont="1" applyFill="1" applyBorder="1" applyAlignment="1">
      <alignment horizontal="center" vertical="center"/>
    </xf>
    <xf numFmtId="164" fontId="183" fillId="9" borderId="746" xfId="1" applyNumberFormat="1" applyFont="1" applyFill="1" applyBorder="1" applyAlignment="1">
      <alignment horizontal="center" vertical="center"/>
    </xf>
    <xf numFmtId="3" fontId="25" fillId="65" borderId="747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3" fillId="0" borderId="0" xfId="0" applyNumberFormat="1" applyFont="1"/>
    <xf numFmtId="0" fontId="3" fillId="0" borderId="0" xfId="0" applyFont="1" applyFill="1" applyBorder="1" applyAlignment="1">
      <alignment horizontal="right"/>
    </xf>
    <xf numFmtId="164" fontId="0" fillId="0" borderId="0" xfId="0" applyNumberFormat="1" applyAlignment="1">
      <alignment horizontal="center"/>
    </xf>
    <xf numFmtId="164" fontId="35" fillId="0" borderId="0" xfId="1" applyNumberFormat="1" applyFont="1" applyFill="1" applyBorder="1" applyAlignment="1">
      <alignment horizontal="center"/>
    </xf>
    <xf numFmtId="164" fontId="0" fillId="9" borderId="0" xfId="1" applyNumberFormat="1" applyFont="1" applyFill="1"/>
    <xf numFmtId="0" fontId="9" fillId="64" borderId="2" xfId="0" applyFont="1" applyFill="1" applyBorder="1" applyAlignment="1">
      <alignment horizontal="center" vertical="center" wrapText="1"/>
    </xf>
    <xf numFmtId="0" fontId="0" fillId="64" borderId="16" xfId="0" applyFill="1" applyBorder="1" applyAlignment="1">
      <alignment horizontal="center" vertical="center" wrapText="1"/>
    </xf>
    <xf numFmtId="0" fontId="9" fillId="64" borderId="0" xfId="0" applyFont="1" applyFill="1" applyAlignment="1">
      <alignment horizontal="center" vertical="center"/>
    </xf>
    <xf numFmtId="0" fontId="0" fillId="64" borderId="0" xfId="0" applyFill="1" applyAlignment="1">
      <alignment vertical="center"/>
    </xf>
    <xf numFmtId="0" fontId="9" fillId="64" borderId="29" xfId="0" applyFont="1" applyFill="1" applyBorder="1" applyAlignment="1">
      <alignment horizontal="center" wrapText="1"/>
    </xf>
    <xf numFmtId="0" fontId="0" fillId="64" borderId="29" xfId="0" applyFill="1" applyBorder="1" applyAlignment="1">
      <alignment wrapText="1"/>
    </xf>
    <xf numFmtId="0" fontId="99" fillId="64" borderId="0" xfId="0" applyFont="1" applyFill="1" applyAlignment="1">
      <alignment horizontal="center" vertical="center"/>
    </xf>
    <xf numFmtId="0" fontId="101" fillId="64" borderId="0" xfId="0" applyFont="1" applyFill="1" applyAlignment="1">
      <alignment horizontal="center" vertical="center"/>
    </xf>
    <xf numFmtId="0" fontId="3" fillId="64" borderId="16" xfId="0" applyFont="1" applyFill="1" applyBorder="1" applyAlignment="1">
      <alignment horizontal="center" vertical="center" wrapText="1"/>
    </xf>
    <xf numFmtId="0" fontId="154" fillId="64" borderId="107" xfId="0" applyFont="1" applyFill="1" applyBorder="1" applyAlignment="1">
      <alignment horizontal="center" vertical="center"/>
    </xf>
    <xf numFmtId="0" fontId="154" fillId="64" borderId="137" xfId="0" applyFont="1" applyFill="1" applyBorder="1" applyAlignment="1">
      <alignment horizontal="center" vertical="center"/>
    </xf>
    <xf numFmtId="0" fontId="154" fillId="64" borderId="107" xfId="0" applyFont="1" applyFill="1" applyBorder="1" applyAlignment="1">
      <alignment horizontal="center"/>
    </xf>
    <xf numFmtId="0" fontId="154" fillId="64" borderId="137" xfId="0" applyFont="1" applyFill="1" applyBorder="1" applyAlignment="1">
      <alignment horizontal="center"/>
    </xf>
    <xf numFmtId="0" fontId="154" fillId="64" borderId="95" xfId="0" applyFont="1" applyFill="1" applyBorder="1" applyAlignment="1">
      <alignment horizontal="center" vertical="center" wrapText="1"/>
    </xf>
    <xf numFmtId="0" fontId="154" fillId="64" borderId="93" xfId="0" applyFont="1" applyFill="1" applyBorder="1" applyAlignment="1">
      <alignment horizontal="center" vertical="center" wrapText="1"/>
    </xf>
    <xf numFmtId="0" fontId="154" fillId="64" borderId="207" xfId="0" applyFont="1" applyFill="1" applyBorder="1" applyAlignment="1">
      <alignment horizontal="center" vertical="center"/>
    </xf>
    <xf numFmtId="0" fontId="154" fillId="64" borderId="93" xfId="0" applyFont="1" applyFill="1" applyBorder="1" applyAlignment="1">
      <alignment wrapText="1"/>
    </xf>
    <xf numFmtId="0" fontId="154" fillId="64" borderId="207" xfId="0" applyFont="1" applyFill="1" applyBorder="1" applyAlignment="1">
      <alignment horizontal="center"/>
    </xf>
    <xf numFmtId="0" fontId="76" fillId="64" borderId="437" xfId="0" applyFont="1" applyFill="1" applyBorder="1" applyAlignment="1">
      <alignment horizontal="center" vertical="center"/>
    </xf>
    <xf numFmtId="0" fontId="141" fillId="64" borderId="437" xfId="0" applyFont="1" applyFill="1" applyBorder="1" applyAlignment="1">
      <alignment horizontal="center" vertical="center"/>
    </xf>
    <xf numFmtId="0" fontId="76" fillId="64" borderId="459" xfId="0" applyFont="1" applyFill="1" applyBorder="1" applyAlignment="1">
      <alignment horizontal="center" vertical="center"/>
    </xf>
    <xf numFmtId="0" fontId="141" fillId="64" borderId="460" xfId="0" applyFont="1" applyFill="1" applyBorder="1" applyAlignment="1">
      <alignment horizontal="center" vertical="center"/>
    </xf>
    <xf numFmtId="0" fontId="76" fillId="64" borderId="440" xfId="0" applyFont="1" applyFill="1" applyBorder="1" applyAlignment="1">
      <alignment horizontal="center" vertical="center"/>
    </xf>
    <xf numFmtId="0" fontId="76" fillId="64" borderId="441" xfId="0" applyFont="1" applyFill="1" applyBorder="1" applyAlignment="1">
      <alignment horizontal="center" vertical="center"/>
    </xf>
    <xf numFmtId="0" fontId="133" fillId="0" borderId="0" xfId="0" applyFont="1" applyBorder="1" applyAlignment="1">
      <alignment horizontal="left" vertical="center" wrapText="1" indent="1"/>
    </xf>
    <xf numFmtId="0" fontId="134" fillId="0" borderId="0" xfId="0" applyFont="1" applyBorder="1" applyAlignment="1">
      <alignment horizontal="left" vertical="center" wrapText="1" indent="1"/>
    </xf>
    <xf numFmtId="0" fontId="76" fillId="64" borderId="458" xfId="0" applyFont="1" applyFill="1" applyBorder="1" applyAlignment="1">
      <alignment horizontal="center" vertical="center" wrapText="1"/>
    </xf>
    <xf numFmtId="0" fontId="141" fillId="64" borderId="461" xfId="0" applyFont="1" applyFill="1" applyBorder="1" applyAlignment="1">
      <alignment horizontal="center" vertical="center" wrapText="1"/>
    </xf>
    <xf numFmtId="0" fontId="76" fillId="64" borderId="436" xfId="0" applyFont="1" applyFill="1" applyBorder="1" applyAlignment="1">
      <alignment horizontal="center" vertical="center" wrapText="1"/>
    </xf>
    <xf numFmtId="0" fontId="76" fillId="64" borderId="443" xfId="0" applyFont="1" applyFill="1" applyBorder="1" applyAlignment="1">
      <alignment horizontal="center" vertical="center" wrapText="1"/>
    </xf>
    <xf numFmtId="0" fontId="141" fillId="64" borderId="443" xfId="0" applyFont="1" applyFill="1" applyBorder="1" applyAlignment="1">
      <alignment wrapText="1"/>
    </xf>
    <xf numFmtId="0" fontId="58" fillId="48" borderId="0" xfId="0" applyFont="1" applyFill="1" applyBorder="1" applyAlignment="1">
      <alignment horizontal="left" vertical="center" wrapText="1" indent="1"/>
    </xf>
    <xf numFmtId="0" fontId="54" fillId="48" borderId="0" xfId="0" applyFont="1" applyFill="1" applyBorder="1" applyAlignment="1">
      <alignment horizontal="left" vertical="center" wrapText="1" indent="1"/>
    </xf>
    <xf numFmtId="0" fontId="58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76" fillId="64" borderId="438" xfId="0" applyFont="1" applyFill="1" applyBorder="1" applyAlignment="1">
      <alignment horizontal="center" vertical="center"/>
    </xf>
    <xf numFmtId="0" fontId="76" fillId="64" borderId="439" xfId="0" applyFont="1" applyFill="1" applyBorder="1" applyAlignment="1">
      <alignment horizontal="center" vertical="center"/>
    </xf>
    <xf numFmtId="0" fontId="76" fillId="64" borderId="442" xfId="0" applyFont="1" applyFill="1" applyBorder="1" applyAlignment="1">
      <alignment horizontal="center" vertical="center"/>
    </xf>
    <xf numFmtId="0" fontId="152" fillId="64" borderId="147" xfId="0" applyFont="1" applyFill="1" applyBorder="1" applyAlignment="1">
      <alignment horizontal="center" vertical="center"/>
    </xf>
    <xf numFmtId="0" fontId="152" fillId="64" borderId="148" xfId="0" applyFont="1" applyFill="1" applyBorder="1" applyAlignment="1">
      <alignment horizontal="center" vertical="center"/>
    </xf>
    <xf numFmtId="0" fontId="152" fillId="64" borderId="95" xfId="0" applyFont="1" applyFill="1" applyBorder="1" applyAlignment="1">
      <alignment horizontal="center" vertical="center" wrapText="1"/>
    </xf>
    <xf numFmtId="0" fontId="152" fillId="64" borderId="93" xfId="0" applyFont="1" applyFill="1" applyBorder="1" applyAlignment="1">
      <alignment horizontal="center" vertical="center" wrapText="1"/>
    </xf>
    <xf numFmtId="0" fontId="153" fillId="64" borderId="93" xfId="0" applyFont="1" applyFill="1" applyBorder="1" applyAlignment="1">
      <alignment horizontal="center" vertical="center" wrapText="1"/>
    </xf>
    <xf numFmtId="0" fontId="152" fillId="64" borderId="152" xfId="0" applyFont="1" applyFill="1" applyBorder="1" applyAlignment="1">
      <alignment horizontal="center" vertical="center"/>
    </xf>
    <xf numFmtId="0" fontId="152" fillId="64" borderId="153" xfId="0" applyFont="1" applyFill="1" applyBorder="1" applyAlignment="1">
      <alignment horizontal="center" vertical="center"/>
    </xf>
    <xf numFmtId="172" fontId="100" fillId="58" borderId="0" xfId="0" applyNumberFormat="1" applyFont="1" applyFill="1" applyBorder="1" applyAlignment="1">
      <alignment horizontal="center" vertical="center" wrapText="1"/>
    </xf>
    <xf numFmtId="0" fontId="117" fillId="58" borderId="0" xfId="0" applyFont="1" applyFill="1" applyAlignment="1">
      <alignment vertical="center" wrapText="1"/>
    </xf>
    <xf numFmtId="0" fontId="52" fillId="58" borderId="0" xfId="0" applyFont="1" applyFill="1" applyBorder="1" applyAlignment="1">
      <alignment horizontal="center" wrapText="1"/>
    </xf>
    <xf numFmtId="0" fontId="1" fillId="58" borderId="0" xfId="0" applyFont="1" applyFill="1" applyAlignment="1"/>
    <xf numFmtId="0" fontId="1" fillId="58" borderId="0" xfId="0" applyFont="1" applyFill="1" applyAlignment="1">
      <alignment horizontal="center" wrapText="1"/>
    </xf>
    <xf numFmtId="0" fontId="52" fillId="58" borderId="0" xfId="0" applyFont="1" applyFill="1" applyBorder="1" applyAlignment="1">
      <alignment horizontal="center"/>
    </xf>
    <xf numFmtId="0" fontId="145" fillId="64" borderId="152" xfId="0" applyFont="1" applyFill="1" applyBorder="1" applyAlignment="1">
      <alignment horizontal="center" vertical="center"/>
    </xf>
    <xf numFmtId="0" fontId="145" fillId="64" borderId="153" xfId="0" applyFont="1" applyFill="1" applyBorder="1" applyAlignment="1">
      <alignment horizontal="center" vertical="center"/>
    </xf>
    <xf numFmtId="0" fontId="143" fillId="64" borderId="147" xfId="0" applyFont="1" applyFill="1" applyBorder="1" applyAlignment="1">
      <alignment horizontal="center" vertical="center"/>
    </xf>
    <xf numFmtId="0" fontId="143" fillId="64" borderId="152" xfId="0" applyFont="1" applyFill="1" applyBorder="1" applyAlignment="1">
      <alignment horizontal="center" vertical="center"/>
    </xf>
    <xf numFmtId="0" fontId="143" fillId="64" borderId="153" xfId="0" applyFont="1" applyFill="1" applyBorder="1" applyAlignment="1">
      <alignment horizontal="center" vertical="center"/>
    </xf>
    <xf numFmtId="0" fontId="143" fillId="64" borderId="148" xfId="0" applyFont="1" applyFill="1" applyBorder="1" applyAlignment="1">
      <alignment horizontal="center" vertical="center"/>
    </xf>
    <xf numFmtId="0" fontId="145" fillId="64" borderId="148" xfId="0" applyFont="1" applyFill="1" applyBorder="1" applyAlignment="1">
      <alignment horizontal="center" vertical="center"/>
    </xf>
    <xf numFmtId="0" fontId="145" fillId="64" borderId="147" xfId="0" applyFont="1" applyFill="1" applyBorder="1" applyAlignment="1">
      <alignment horizontal="center" vertical="center"/>
    </xf>
    <xf numFmtId="0" fontId="67" fillId="64" borderId="109" xfId="0" applyFont="1" applyFill="1" applyBorder="1" applyAlignment="1">
      <alignment horizontal="center" vertical="center" wrapText="1"/>
    </xf>
    <xf numFmtId="0" fontId="67" fillId="64" borderId="110" xfId="0" applyFont="1" applyFill="1" applyBorder="1" applyAlignment="1">
      <alignment horizontal="center" vertical="center" wrapText="1"/>
    </xf>
    <xf numFmtId="0" fontId="143" fillId="64" borderId="95" xfId="0" applyFont="1" applyFill="1" applyBorder="1" applyAlignment="1">
      <alignment horizontal="center" vertical="center" wrapText="1"/>
    </xf>
    <xf numFmtId="0" fontId="143" fillId="64" borderId="93" xfId="0" applyFont="1" applyFill="1" applyBorder="1" applyAlignment="1">
      <alignment horizontal="center" vertical="center" wrapText="1"/>
    </xf>
    <xf numFmtId="0" fontId="145" fillId="64" borderId="95" xfId="0" applyFont="1" applyFill="1" applyBorder="1" applyAlignment="1">
      <alignment horizontal="center" vertical="center" wrapText="1"/>
    </xf>
    <xf numFmtId="0" fontId="145" fillId="64" borderId="93" xfId="0" applyFont="1" applyFill="1" applyBorder="1" applyAlignment="1">
      <alignment horizontal="center" vertical="center" wrapText="1"/>
    </xf>
    <xf numFmtId="0" fontId="173" fillId="9" borderId="0" xfId="0" applyFont="1" applyFill="1" applyAlignment="1">
      <alignment horizontal="center" vertical="center" textRotation="90"/>
    </xf>
    <xf numFmtId="0" fontId="175" fillId="9" borderId="33" xfId="0" applyFont="1" applyFill="1" applyBorder="1" applyAlignment="1">
      <alignment horizontal="center" vertical="center" textRotation="90" wrapText="1"/>
    </xf>
    <xf numFmtId="0" fontId="140" fillId="9" borderId="33" xfId="0" applyFont="1" applyFill="1" applyBorder="1" applyAlignment="1">
      <alignment horizontal="center" vertical="center" textRotation="90" wrapText="1"/>
    </xf>
    <xf numFmtId="0" fontId="176" fillId="9" borderId="33" xfId="0" applyFont="1" applyFill="1" applyBorder="1" applyAlignment="1">
      <alignment horizontal="center" vertical="center" textRotation="90" wrapText="1"/>
    </xf>
    <xf numFmtId="0" fontId="174" fillId="9" borderId="33" xfId="0" applyFont="1" applyFill="1" applyBorder="1" applyAlignment="1">
      <alignment horizontal="center" vertical="center" textRotation="90" wrapText="1"/>
    </xf>
    <xf numFmtId="0" fontId="102" fillId="7" borderId="216" xfId="0" applyFont="1" applyFill="1" applyBorder="1" applyAlignment="1">
      <alignment horizontal="center" vertical="center" wrapText="1"/>
    </xf>
    <xf numFmtId="0" fontId="102" fillId="0" borderId="217" xfId="0" applyFont="1" applyBorder="1" applyAlignment="1">
      <alignment horizontal="center" vertical="center" wrapText="1"/>
    </xf>
    <xf numFmtId="0" fontId="103" fillId="7" borderId="31" xfId="0" applyFont="1" applyFill="1" applyBorder="1" applyAlignment="1">
      <alignment horizontal="center"/>
    </xf>
    <xf numFmtId="0" fontId="103" fillId="0" borderId="32" xfId="0" applyFont="1" applyBorder="1" applyAlignment="1">
      <alignment horizontal="center"/>
    </xf>
    <xf numFmtId="0" fontId="103" fillId="42" borderId="31" xfId="0" applyFont="1" applyFill="1" applyBorder="1" applyAlignment="1">
      <alignment horizontal="center"/>
    </xf>
    <xf numFmtId="0" fontId="103" fillId="6" borderId="31" xfId="0" applyFont="1" applyFill="1" applyBorder="1" applyAlignment="1">
      <alignment horizontal="center"/>
    </xf>
    <xf numFmtId="0" fontId="103" fillId="6" borderId="32" xfId="0" applyFont="1" applyFill="1" applyBorder="1" applyAlignment="1">
      <alignment horizontal="center"/>
    </xf>
    <xf numFmtId="0" fontId="103" fillId="5" borderId="31" xfId="0" applyFont="1" applyFill="1" applyBorder="1" applyAlignment="1">
      <alignment horizontal="center"/>
    </xf>
    <xf numFmtId="0" fontId="103" fillId="5" borderId="32" xfId="0" applyFont="1" applyFill="1" applyBorder="1" applyAlignment="1">
      <alignment horizontal="center"/>
    </xf>
    <xf numFmtId="0" fontId="0" fillId="5" borderId="210" xfId="0" applyFill="1" applyBorder="1" applyAlignment="1"/>
    <xf numFmtId="0" fontId="0" fillId="0" borderId="211" xfId="0" applyBorder="1" applyAlignment="1"/>
    <xf numFmtId="0" fontId="0" fillId="0" borderId="229" xfId="0" applyBorder="1" applyAlignment="1"/>
    <xf numFmtId="0" fontId="0" fillId="0" borderId="230" xfId="0" applyBorder="1" applyAlignment="1"/>
    <xf numFmtId="0" fontId="0" fillId="0" borderId="212" xfId="0" applyBorder="1" applyAlignment="1"/>
    <xf numFmtId="0" fontId="0" fillId="6" borderId="210" xfId="0" applyFill="1" applyBorder="1" applyAlignment="1"/>
    <xf numFmtId="0" fontId="0" fillId="6" borderId="211" xfId="0" applyFill="1" applyBorder="1" applyAlignment="1"/>
    <xf numFmtId="0" fontId="0" fillId="6" borderId="212" xfId="0" applyFill="1" applyBorder="1" applyAlignment="1"/>
    <xf numFmtId="0" fontId="102" fillId="44" borderId="216" xfId="0" applyFont="1" applyFill="1" applyBorder="1" applyAlignment="1">
      <alignment horizontal="center" vertical="center"/>
    </xf>
    <xf numFmtId="0" fontId="103" fillId="0" borderId="217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102" fillId="46" borderId="225" xfId="0" applyFont="1" applyFill="1" applyBorder="1" applyAlignment="1">
      <alignment horizontal="center" vertical="center"/>
    </xf>
    <xf numFmtId="0" fontId="103" fillId="0" borderId="214" xfId="0" applyFont="1" applyBorder="1" applyAlignment="1">
      <alignment horizontal="center" vertical="center"/>
    </xf>
    <xf numFmtId="0" fontId="102" fillId="46" borderId="226" xfId="0" applyFont="1" applyFill="1" applyBorder="1" applyAlignment="1">
      <alignment horizontal="center" vertical="center"/>
    </xf>
    <xf numFmtId="0" fontId="103" fillId="0" borderId="215" xfId="0" applyFont="1" applyBorder="1" applyAlignment="1">
      <alignment horizontal="center" vertical="center"/>
    </xf>
    <xf numFmtId="0" fontId="102" fillId="44" borderId="31" xfId="0" applyFont="1" applyFill="1" applyBorder="1" applyAlignment="1">
      <alignment horizontal="center"/>
    </xf>
    <xf numFmtId="0" fontId="103" fillId="0" borderId="59" xfId="0" applyFont="1" applyBorder="1" applyAlignment="1">
      <alignment horizontal="center"/>
    </xf>
    <xf numFmtId="0" fontId="102" fillId="43" borderId="31" xfId="0" applyFont="1" applyFill="1" applyBorder="1" applyAlignment="1">
      <alignment horizontal="center"/>
    </xf>
    <xf numFmtId="0" fontId="102" fillId="5" borderId="216" xfId="0" applyFont="1" applyFill="1" applyBorder="1" applyAlignment="1">
      <alignment horizontal="center" vertical="center"/>
    </xf>
    <xf numFmtId="0" fontId="102" fillId="0" borderId="217" xfId="0" applyFont="1" applyBorder="1" applyAlignment="1">
      <alignment horizontal="center" vertical="center"/>
    </xf>
    <xf numFmtId="0" fontId="102" fillId="46" borderId="224" xfId="0" applyFont="1" applyFill="1" applyBorder="1" applyAlignment="1">
      <alignment horizontal="center" vertical="center" wrapText="1"/>
    </xf>
    <xf numFmtId="0" fontId="102" fillId="0" borderId="213" xfId="0" applyFont="1" applyBorder="1" applyAlignment="1">
      <alignment horizontal="center" vertical="center" wrapText="1"/>
    </xf>
    <xf numFmtId="0" fontId="3" fillId="4" borderId="228" xfId="0" applyFont="1" applyFill="1" applyBorder="1" applyAlignment="1">
      <alignment horizontal="center" vertical="center"/>
    </xf>
    <xf numFmtId="0" fontId="0" fillId="0" borderId="229" xfId="0" applyFont="1" applyBorder="1" applyAlignment="1">
      <alignment horizontal="center" vertical="center"/>
    </xf>
    <xf numFmtId="0" fontId="0" fillId="0" borderId="229" xfId="0" applyBorder="1" applyAlignment="1">
      <alignment horizontal="center" vertical="center"/>
    </xf>
    <xf numFmtId="0" fontId="0" fillId="0" borderId="230" xfId="0" applyBorder="1" applyAlignment="1">
      <alignment horizontal="center" vertical="center"/>
    </xf>
    <xf numFmtId="0" fontId="102" fillId="46" borderId="31" xfId="0" applyFont="1" applyFill="1" applyBorder="1" applyAlignment="1">
      <alignment horizontal="center" vertical="center"/>
    </xf>
    <xf numFmtId="0" fontId="3" fillId="0" borderId="210" xfId="0" applyFont="1" applyBorder="1" applyAlignment="1">
      <alignment horizontal="center" vertical="center"/>
    </xf>
    <xf numFmtId="0" fontId="3" fillId="46" borderId="31" xfId="0" applyFont="1" applyFill="1" applyBorder="1" applyAlignment="1">
      <alignment horizontal="center"/>
    </xf>
    <xf numFmtId="0" fontId="102" fillId="5" borderId="216" xfId="0" applyFont="1" applyFill="1" applyBorder="1" applyAlignment="1">
      <alignment horizontal="center" vertical="center" wrapText="1"/>
    </xf>
    <xf numFmtId="0" fontId="103" fillId="0" borderId="58" xfId="0" applyFont="1" applyBorder="1" applyAlignment="1">
      <alignment horizontal="center" vertical="center" wrapText="1"/>
    </xf>
    <xf numFmtId="0" fontId="102" fillId="6" borderId="216" xfId="0" applyFont="1" applyFill="1" applyBorder="1" applyAlignment="1">
      <alignment horizontal="center" vertical="center" wrapText="1"/>
    </xf>
    <xf numFmtId="0" fontId="102" fillId="44" borderId="216" xfId="0" applyFont="1" applyFill="1" applyBorder="1" applyAlignment="1">
      <alignment horizontal="center" vertical="center" wrapText="1"/>
    </xf>
    <xf numFmtId="0" fontId="3" fillId="0" borderId="217" xfId="0" applyFont="1" applyBorder="1" applyAlignment="1">
      <alignment horizontal="center" vertical="center" wrapText="1"/>
    </xf>
    <xf numFmtId="0" fontId="70" fillId="43" borderId="31" xfId="0" applyNumberFormat="1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70" fillId="44" borderId="31" xfId="0" applyNumberFormat="1" applyFont="1" applyFill="1" applyBorder="1" applyAlignment="1">
      <alignment horizontal="center" vertical="center"/>
    </xf>
    <xf numFmtId="0" fontId="102" fillId="0" borderId="58" xfId="0" applyFont="1" applyBorder="1" applyAlignment="1">
      <alignment horizontal="center" vertical="center" wrapText="1"/>
    </xf>
    <xf numFmtId="0" fontId="102" fillId="9" borderId="216" xfId="0" applyFont="1" applyFill="1" applyBorder="1" applyAlignment="1">
      <alignment horizontal="center" vertical="center" wrapText="1"/>
    </xf>
    <xf numFmtId="0" fontId="70" fillId="44" borderId="31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221" xfId="0" applyBorder="1" applyAlignment="1">
      <alignment horizontal="center"/>
    </xf>
    <xf numFmtId="0" fontId="70" fillId="43" borderId="222" xfId="0" applyFont="1" applyFill="1" applyBorder="1" applyAlignment="1">
      <alignment horizontal="center"/>
    </xf>
    <xf numFmtId="0" fontId="70" fillId="44" borderId="222" xfId="0" applyFont="1" applyFill="1" applyBorder="1" applyAlignment="1">
      <alignment horizontal="center"/>
    </xf>
    <xf numFmtId="0" fontId="107" fillId="0" borderId="59" xfId="0" applyFont="1" applyBorder="1" applyAlignment="1">
      <alignment horizontal="center"/>
    </xf>
    <xf numFmtId="0" fontId="107" fillId="0" borderId="32" xfId="0" applyFont="1" applyBorder="1" applyAlignment="1">
      <alignment horizontal="center"/>
    </xf>
    <xf numFmtId="0" fontId="3" fillId="43" borderId="31" xfId="0" applyFont="1" applyFill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44" borderId="31" xfId="0" applyFont="1" applyFill="1" applyBorder="1" applyAlignment="1">
      <alignment horizontal="center"/>
    </xf>
    <xf numFmtId="0" fontId="70" fillId="9" borderId="31" xfId="0" applyFont="1" applyFill="1" applyBorder="1" applyAlignment="1">
      <alignment horizontal="center"/>
    </xf>
    <xf numFmtId="0" fontId="70" fillId="45" borderId="31" xfId="0" applyFont="1" applyFill="1" applyBorder="1" applyAlignment="1">
      <alignment horizontal="center"/>
    </xf>
    <xf numFmtId="0" fontId="107" fillId="45" borderId="59" xfId="0" applyFont="1" applyFill="1" applyBorder="1" applyAlignment="1">
      <alignment horizontal="center"/>
    </xf>
    <xf numFmtId="0" fontId="70" fillId="0" borderId="59" xfId="0" applyFont="1" applyBorder="1" applyAlignment="1">
      <alignment horizontal="center"/>
    </xf>
    <xf numFmtId="0" fontId="70" fillId="43" borderId="31" xfId="0" applyFont="1" applyFill="1" applyBorder="1" applyAlignment="1">
      <alignment horizontal="center"/>
    </xf>
    <xf numFmtId="0" fontId="70" fillId="0" borderId="32" xfId="0" applyFont="1" applyBorder="1" applyAlignment="1">
      <alignment horizontal="center"/>
    </xf>
    <xf numFmtId="0" fontId="0" fillId="43" borderId="59" xfId="0" applyFill="1" applyBorder="1" applyAlignment="1">
      <alignment horizontal="center"/>
    </xf>
    <xf numFmtId="0" fontId="0" fillId="43" borderId="32" xfId="0" applyFill="1" applyBorder="1" applyAlignment="1">
      <alignment horizontal="center"/>
    </xf>
    <xf numFmtId="0" fontId="106" fillId="5" borderId="216" xfId="0" applyFont="1" applyFill="1" applyBorder="1" applyAlignment="1">
      <alignment horizontal="center" vertical="center"/>
    </xf>
    <xf numFmtId="0" fontId="106" fillId="0" borderId="58" xfId="0" applyFont="1" applyBorder="1" applyAlignment="1">
      <alignment horizontal="center" vertical="center"/>
    </xf>
    <xf numFmtId="0" fontId="106" fillId="6" borderId="216" xfId="0" applyFont="1" applyFill="1" applyBorder="1" applyAlignment="1">
      <alignment horizontal="center" vertical="center"/>
    </xf>
    <xf numFmtId="0" fontId="25" fillId="54" borderId="95" xfId="0" applyFont="1" applyFill="1" applyBorder="1" applyAlignment="1">
      <alignment horizontal="center" vertical="center"/>
    </xf>
    <xf numFmtId="0" fontId="25" fillId="54" borderId="101" xfId="0" applyFont="1" applyFill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2" fillId="3" borderId="216" xfId="0" applyFont="1" applyFill="1" applyBorder="1" applyAlignment="1">
      <alignment horizontal="center" vertical="center"/>
    </xf>
    <xf numFmtId="0" fontId="102" fillId="0" borderId="58" xfId="0" applyFont="1" applyBorder="1" applyAlignment="1">
      <alignment horizontal="center" vertical="center"/>
    </xf>
    <xf numFmtId="1" fontId="6" fillId="5" borderId="50" xfId="0" applyNumberFormat="1" applyFont="1" applyFill="1" applyBorder="1" applyAlignment="1">
      <alignment horizontal="center"/>
    </xf>
    <xf numFmtId="1" fontId="6" fillId="5" borderId="44" xfId="0" applyNumberFormat="1" applyFont="1" applyFill="1" applyBorder="1" applyAlignment="1">
      <alignment horizontal="center"/>
    </xf>
    <xf numFmtId="1" fontId="6" fillId="5" borderId="90" xfId="0" applyNumberFormat="1" applyFont="1" applyFill="1" applyBorder="1" applyAlignment="1">
      <alignment horizontal="center"/>
    </xf>
    <xf numFmtId="165" fontId="34" fillId="5" borderId="38" xfId="0" applyNumberFormat="1" applyFont="1" applyFill="1" applyBorder="1" applyAlignment="1">
      <alignment horizontal="center"/>
    </xf>
    <xf numFmtId="165" fontId="34" fillId="5" borderId="10" xfId="0" applyNumberFormat="1" applyFont="1" applyFill="1" applyBorder="1" applyAlignment="1">
      <alignment horizontal="center"/>
    </xf>
    <xf numFmtId="165" fontId="34" fillId="5" borderId="79" xfId="0" applyNumberFormat="1" applyFont="1" applyFill="1" applyBorder="1" applyAlignment="1">
      <alignment horizontal="center"/>
    </xf>
    <xf numFmtId="10" fontId="6" fillId="5" borderId="50" xfId="0" applyNumberFormat="1" applyFont="1" applyFill="1" applyBorder="1" applyAlignment="1">
      <alignment horizontal="center"/>
    </xf>
    <xf numFmtId="10" fontId="6" fillId="5" borderId="44" xfId="0" applyNumberFormat="1" applyFont="1" applyFill="1" applyBorder="1" applyAlignment="1">
      <alignment horizontal="center"/>
    </xf>
    <xf numFmtId="10" fontId="6" fillId="5" borderId="51" xfId="0" applyNumberFormat="1" applyFont="1" applyFill="1" applyBorder="1" applyAlignment="1">
      <alignment horizontal="center"/>
    </xf>
    <xf numFmtId="10" fontId="6" fillId="5" borderId="52" xfId="0" applyNumberFormat="1" applyFont="1" applyFill="1" applyBorder="1" applyAlignment="1">
      <alignment horizontal="center"/>
    </xf>
    <xf numFmtId="10" fontId="6" fillId="5" borderId="45" xfId="0" applyNumberFormat="1" applyFont="1" applyFill="1" applyBorder="1" applyAlignment="1">
      <alignment horizontal="center"/>
    </xf>
    <xf numFmtId="10" fontId="6" fillId="5" borderId="53" xfId="0" applyNumberFormat="1" applyFont="1" applyFill="1" applyBorder="1" applyAlignment="1">
      <alignment horizontal="center"/>
    </xf>
    <xf numFmtId="1" fontId="6" fillId="5" borderId="51" xfId="0" applyNumberFormat="1" applyFont="1" applyFill="1" applyBorder="1" applyAlignment="1">
      <alignment horizontal="center"/>
    </xf>
    <xf numFmtId="10" fontId="6" fillId="2" borderId="38" xfId="0" applyNumberFormat="1" applyFont="1" applyFill="1" applyBorder="1" applyAlignment="1">
      <alignment horizontal="center"/>
    </xf>
    <xf numFmtId="10" fontId="6" fillId="2" borderId="10" xfId="0" applyNumberFormat="1" applyFont="1" applyFill="1" applyBorder="1" applyAlignment="1">
      <alignment horizontal="center"/>
    </xf>
    <xf numFmtId="10" fontId="6" fillId="2" borderId="39" xfId="0" applyNumberFormat="1" applyFont="1" applyFill="1" applyBorder="1" applyAlignment="1">
      <alignment horizontal="center"/>
    </xf>
    <xf numFmtId="10" fontId="6" fillId="2" borderId="79" xfId="0" applyNumberFormat="1" applyFont="1" applyFill="1" applyBorder="1" applyAlignment="1">
      <alignment horizontal="center"/>
    </xf>
    <xf numFmtId="165" fontId="34" fillId="5" borderId="39" xfId="0" applyNumberFormat="1" applyFont="1" applyFill="1" applyBorder="1" applyAlignment="1">
      <alignment horizontal="center"/>
    </xf>
    <xf numFmtId="10" fontId="6" fillId="5" borderId="36" xfId="0" applyNumberFormat="1" applyFont="1" applyFill="1" applyBorder="1" applyAlignment="1">
      <alignment horizontal="center"/>
    </xf>
    <xf numFmtId="10" fontId="6" fillId="5" borderId="1" xfId="0" applyNumberFormat="1" applyFont="1" applyFill="1" applyBorder="1" applyAlignment="1">
      <alignment horizontal="center"/>
    </xf>
    <xf numFmtId="10" fontId="6" fillId="5" borderId="37" xfId="0" applyNumberFormat="1" applyFont="1" applyFill="1" applyBorder="1" applyAlignment="1">
      <alignment horizontal="center"/>
    </xf>
    <xf numFmtId="10" fontId="6" fillId="5" borderId="90" xfId="0" applyNumberFormat="1" applyFont="1" applyFill="1" applyBorder="1" applyAlignment="1">
      <alignment horizontal="center"/>
    </xf>
    <xf numFmtId="10" fontId="6" fillId="5" borderId="50" xfId="1" applyNumberFormat="1" applyFont="1" applyFill="1" applyBorder="1" applyAlignment="1">
      <alignment horizontal="center"/>
    </xf>
    <xf numFmtId="10" fontId="6" fillId="5" borderId="44" xfId="1" applyNumberFormat="1" applyFont="1" applyFill="1" applyBorder="1" applyAlignment="1">
      <alignment horizontal="center"/>
    </xf>
    <xf numFmtId="10" fontId="6" fillId="5" borderId="51" xfId="1" applyNumberFormat="1" applyFont="1" applyFill="1" applyBorder="1" applyAlignment="1">
      <alignment horizontal="center"/>
    </xf>
    <xf numFmtId="164" fontId="6" fillId="5" borderId="52" xfId="1" applyNumberFormat="1" applyFont="1" applyFill="1" applyBorder="1" applyAlignment="1">
      <alignment horizontal="center"/>
    </xf>
    <xf numFmtId="164" fontId="6" fillId="5" borderId="45" xfId="1" applyNumberFormat="1" applyFont="1" applyFill="1" applyBorder="1" applyAlignment="1">
      <alignment horizontal="center"/>
    </xf>
    <xf numFmtId="164" fontId="6" fillId="5" borderId="53" xfId="1" applyNumberFormat="1" applyFont="1" applyFill="1" applyBorder="1" applyAlignment="1">
      <alignment horizontal="center"/>
    </xf>
    <xf numFmtId="10" fontId="6" fillId="5" borderId="334" xfId="0" applyNumberFormat="1" applyFont="1" applyFill="1" applyBorder="1" applyAlignment="1">
      <alignment horizontal="center"/>
    </xf>
    <xf numFmtId="164" fontId="6" fillId="5" borderId="334" xfId="1" applyNumberFormat="1" applyFont="1" applyFill="1" applyBorder="1" applyAlignment="1">
      <alignment horizontal="center"/>
    </xf>
    <xf numFmtId="10" fontId="6" fillId="5" borderId="90" xfId="1" applyNumberFormat="1" applyFont="1" applyFill="1" applyBorder="1" applyAlignment="1">
      <alignment horizontal="center"/>
    </xf>
    <xf numFmtId="10" fontId="6" fillId="5" borderId="52" xfId="1" applyNumberFormat="1" applyFont="1" applyFill="1" applyBorder="1" applyAlignment="1">
      <alignment horizontal="center"/>
    </xf>
    <xf numFmtId="10" fontId="6" fillId="5" borderId="45" xfId="1" applyNumberFormat="1" applyFont="1" applyFill="1" applyBorder="1" applyAlignment="1">
      <alignment horizontal="center"/>
    </xf>
    <xf numFmtId="10" fontId="6" fillId="5" borderId="334" xfId="1" applyNumberFormat="1" applyFont="1" applyFill="1" applyBorder="1" applyAlignment="1">
      <alignment horizontal="center"/>
    </xf>
    <xf numFmtId="10" fontId="6" fillId="5" borderId="53" xfId="1" applyNumberFormat="1" applyFont="1" applyFill="1" applyBorder="1" applyAlignment="1">
      <alignment horizontal="center"/>
    </xf>
    <xf numFmtId="10" fontId="6" fillId="5" borderId="70" xfId="0" applyNumberFormat="1" applyFont="1" applyFill="1" applyBorder="1" applyAlignment="1">
      <alignment horizontal="center"/>
    </xf>
    <xf numFmtId="0" fontId="105" fillId="3" borderId="55" xfId="0" applyFont="1" applyFill="1" applyBorder="1" applyAlignment="1">
      <alignment horizontal="center" vertical="center" wrapText="1"/>
    </xf>
    <xf numFmtId="0" fontId="105" fillId="3" borderId="56" xfId="0" applyFont="1" applyFill="1" applyBorder="1" applyAlignment="1">
      <alignment vertical="center" wrapText="1"/>
    </xf>
    <xf numFmtId="0" fontId="3" fillId="46" borderId="224" xfId="0" applyFont="1" applyFill="1" applyBorder="1" applyAlignment="1">
      <alignment horizontal="center"/>
    </xf>
    <xf numFmtId="0" fontId="0" fillId="0" borderId="226" xfId="0" applyBorder="1" applyAlignment="1">
      <alignment horizontal="center"/>
    </xf>
    <xf numFmtId="0" fontId="3" fillId="2" borderId="228" xfId="0" applyFont="1" applyFill="1" applyBorder="1" applyAlignment="1">
      <alignment horizontal="center" vertical="center"/>
    </xf>
    <xf numFmtId="0" fontId="3" fillId="0" borderId="229" xfId="0" applyFont="1" applyBorder="1" applyAlignment="1">
      <alignment horizontal="center" vertical="center"/>
    </xf>
    <xf numFmtId="0" fontId="3" fillId="0" borderId="230" xfId="0" applyFont="1" applyBorder="1" applyAlignment="1">
      <alignment horizontal="center" vertical="center"/>
    </xf>
    <xf numFmtId="0" fontId="3" fillId="4" borderId="228" xfId="0" applyFont="1" applyFill="1" applyBorder="1" applyAlignment="1">
      <alignment horizontal="center"/>
    </xf>
    <xf numFmtId="0" fontId="3" fillId="0" borderId="229" xfId="0" applyFont="1" applyBorder="1" applyAlignment="1">
      <alignment horizontal="center"/>
    </xf>
    <xf numFmtId="0" fontId="0" fillId="0" borderId="229" xfId="0" applyBorder="1" applyAlignment="1">
      <alignment horizontal="center"/>
    </xf>
    <xf numFmtId="0" fontId="0" fillId="0" borderId="230" xfId="0" applyBorder="1" applyAlignment="1">
      <alignment horizontal="center"/>
    </xf>
    <xf numFmtId="0" fontId="3" fillId="4" borderId="228" xfId="0" applyFont="1" applyFill="1" applyBorder="1" applyAlignment="1">
      <alignment horizontal="center" vertical="center" wrapText="1"/>
    </xf>
    <xf numFmtId="0" fontId="0" fillId="0" borderId="229" xfId="0" applyBorder="1" applyAlignment="1">
      <alignment wrapText="1"/>
    </xf>
    <xf numFmtId="0" fontId="0" fillId="0" borderId="230" xfId="0" applyBorder="1" applyAlignment="1">
      <alignment wrapText="1"/>
    </xf>
    <xf numFmtId="0" fontId="3" fillId="2" borderId="228" xfId="0" applyFont="1" applyFill="1" applyBorder="1" applyAlignment="1">
      <alignment horizontal="center" vertical="center" wrapText="1"/>
    </xf>
    <xf numFmtId="0" fontId="0" fillId="2" borderId="228" xfId="0" applyFont="1" applyFill="1" applyBorder="1" applyAlignment="1">
      <alignment horizontal="center" vertical="center" wrapText="1"/>
    </xf>
    <xf numFmtId="0" fontId="3" fillId="4" borderId="40" xfId="0" applyFont="1" applyFill="1" applyBorder="1" applyAlignment="1">
      <alignment horizontal="center" vertical="center" wrapText="1"/>
    </xf>
    <xf numFmtId="0" fontId="0" fillId="0" borderId="41" xfId="0" applyBorder="1" applyAlignment="1">
      <alignment wrapText="1"/>
    </xf>
    <xf numFmtId="0" fontId="0" fillId="0" borderId="42" xfId="0" applyBorder="1" applyAlignment="1">
      <alignment wrapText="1"/>
    </xf>
    <xf numFmtId="0" fontId="3" fillId="2" borderId="228" xfId="0" applyFont="1" applyFill="1" applyBorder="1" applyAlignment="1">
      <alignment horizontal="center"/>
    </xf>
    <xf numFmtId="0" fontId="0" fillId="0" borderId="229" xfId="0" applyBorder="1" applyAlignment="1">
      <alignment horizontal="center" vertical="center" wrapText="1"/>
    </xf>
    <xf numFmtId="0" fontId="100" fillId="64" borderId="0" xfId="0" applyFont="1" applyFill="1" applyAlignment="1">
      <alignment horizontal="center" vertical="center"/>
    </xf>
    <xf numFmtId="0" fontId="47" fillId="64" borderId="0" xfId="0" applyFont="1" applyFill="1" applyAlignment="1">
      <alignment vertical="center"/>
    </xf>
    <xf numFmtId="0" fontId="100" fillId="64" borderId="0" xfId="0" applyFont="1" applyFill="1" applyBorder="1" applyAlignment="1">
      <alignment horizontal="center" vertical="center"/>
    </xf>
    <xf numFmtId="1" fontId="0" fillId="3" borderId="0" xfId="0" applyNumberFormat="1" applyFill="1" applyAlignment="1">
      <alignment horizontal="left"/>
    </xf>
    <xf numFmtId="1" fontId="50" fillId="3" borderId="0" xfId="0" applyNumberFormat="1" applyFont="1" applyFill="1" applyAlignment="1">
      <alignment horizontal="right"/>
    </xf>
    <xf numFmtId="0" fontId="0" fillId="3" borderId="0" xfId="0" applyFill="1" applyAlignment="1"/>
    <xf numFmtId="0" fontId="78" fillId="0" borderId="0" xfId="0" applyFont="1" applyFill="1" applyBorder="1" applyAlignment="1">
      <alignment vertical="center"/>
    </xf>
    <xf numFmtId="0" fontId="119" fillId="65" borderId="0" xfId="13" applyFont="1" applyFill="1" applyBorder="1" applyAlignment="1">
      <alignment horizontal="center" vertical="center" wrapText="1"/>
    </xf>
    <xf numFmtId="0" fontId="120" fillId="6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3" fillId="65" borderId="95" xfId="13" applyFont="1" applyFill="1" applyBorder="1" applyAlignment="1">
      <alignment horizontal="center" vertical="center" wrapText="1"/>
    </xf>
    <xf numFmtId="0" fontId="93" fillId="65" borderId="101" xfId="13" applyFont="1" applyFill="1" applyBorder="1" applyAlignment="1">
      <alignment horizontal="center" vertical="center" wrapText="1"/>
    </xf>
    <xf numFmtId="0" fontId="93" fillId="65" borderId="102" xfId="13" applyFont="1" applyFill="1" applyBorder="1" applyAlignment="1">
      <alignment horizontal="center" vertical="center" wrapText="1"/>
    </xf>
    <xf numFmtId="0" fontId="67" fillId="54" borderId="0" xfId="13" applyFont="1" applyFill="1" applyBorder="1" applyAlignment="1">
      <alignment horizontal="center" vertical="center"/>
    </xf>
    <xf numFmtId="0" fontId="68" fillId="54" borderId="0" xfId="0" applyFont="1" applyFill="1" applyBorder="1" applyAlignment="1">
      <alignment horizontal="center" vertical="center"/>
    </xf>
    <xf numFmtId="0" fontId="139" fillId="0" borderId="0" xfId="0" applyFont="1" applyFill="1" applyBorder="1" applyAlignment="1">
      <alignment horizontal="left" vertical="center" indent="1"/>
    </xf>
    <xf numFmtId="0" fontId="140" fillId="0" borderId="0" xfId="0" applyFont="1" applyBorder="1" applyAlignment="1">
      <alignment horizontal="left" indent="1"/>
    </xf>
    <xf numFmtId="0" fontId="83" fillId="65" borderId="84" xfId="0" applyFont="1" applyFill="1" applyBorder="1" applyAlignment="1">
      <alignment horizontal="center" vertical="center"/>
    </xf>
    <xf numFmtId="0" fontId="83" fillId="65" borderId="83" xfId="0" applyFont="1" applyFill="1" applyBorder="1" applyAlignment="1">
      <alignment horizontal="center" vertical="center"/>
    </xf>
    <xf numFmtId="0" fontId="25" fillId="65" borderId="94" xfId="0" applyFont="1" applyFill="1" applyBorder="1" applyAlignment="1">
      <alignment horizontal="center" vertical="center" wrapText="1"/>
    </xf>
    <xf numFmtId="0" fontId="25" fillId="65" borderId="257" xfId="0" applyFont="1" applyFill="1" applyBorder="1" applyAlignment="1">
      <alignment vertical="center" wrapText="1"/>
    </xf>
    <xf numFmtId="0" fontId="155" fillId="0" borderId="103" xfId="0" applyFont="1" applyBorder="1" applyAlignment="1">
      <alignment horizontal="center"/>
    </xf>
    <xf numFmtId="0" fontId="156" fillId="0" borderId="103" xfId="0" applyFont="1" applyBorder="1" applyAlignment="1"/>
    <xf numFmtId="0" fontId="178" fillId="65" borderId="561" xfId="0" applyFont="1" applyFill="1" applyBorder="1" applyAlignment="1">
      <alignment horizontal="center" vertical="center"/>
    </xf>
    <xf numFmtId="0" fontId="178" fillId="65" borderId="82" xfId="0" applyFont="1" applyFill="1" applyBorder="1" applyAlignment="1">
      <alignment horizontal="center" vertical="center"/>
    </xf>
    <xf numFmtId="0" fontId="178" fillId="65" borderId="83" xfId="0" applyFont="1" applyFill="1" applyBorder="1" applyAlignment="1">
      <alignment horizontal="center" vertical="center"/>
    </xf>
    <xf numFmtId="0" fontId="83" fillId="65" borderId="82" xfId="0" applyFont="1" applyFill="1" applyBorder="1" applyAlignment="1">
      <alignment horizontal="center" vertical="center"/>
    </xf>
    <xf numFmtId="0" fontId="83" fillId="65" borderId="101" xfId="0" applyFont="1" applyFill="1" applyBorder="1" applyAlignment="1">
      <alignment horizontal="center" vertical="center"/>
    </xf>
    <xf numFmtId="3" fontId="146" fillId="64" borderId="0" xfId="0" applyNumberFormat="1" applyFont="1" applyFill="1" applyBorder="1" applyAlignment="1">
      <alignment horizontal="center" vertical="center"/>
    </xf>
    <xf numFmtId="0" fontId="83" fillId="64" borderId="107" xfId="0" applyFont="1" applyFill="1" applyBorder="1" applyAlignment="1">
      <alignment horizontal="center" vertical="center"/>
    </xf>
    <xf numFmtId="0" fontId="82" fillId="64" borderId="127" xfId="0" applyFont="1" applyFill="1" applyBorder="1" applyAlignment="1">
      <alignment horizontal="center" vertical="center" wrapText="1"/>
    </xf>
    <xf numFmtId="0" fontId="84" fillId="64" borderId="128" xfId="0" applyFont="1" applyFill="1" applyBorder="1" applyAlignment="1">
      <alignment horizontal="center" vertical="center" wrapText="1"/>
    </xf>
    <xf numFmtId="0" fontId="83" fillId="64" borderId="177" xfId="0" applyFont="1" applyFill="1" applyBorder="1" applyAlignment="1">
      <alignment horizontal="center" vertical="center"/>
    </xf>
    <xf numFmtId="0" fontId="83" fillId="64" borderId="137" xfId="0" applyFont="1" applyFill="1" applyBorder="1" applyAlignment="1">
      <alignment horizontal="center" vertical="center"/>
    </xf>
    <xf numFmtId="0" fontId="83" fillId="64" borderId="175" xfId="0" applyFont="1" applyFill="1" applyBorder="1" applyAlignment="1">
      <alignment horizontal="center" vertical="center"/>
    </xf>
    <xf numFmtId="0" fontId="126" fillId="48" borderId="0" xfId="0" applyFont="1" applyFill="1" applyBorder="1" applyAlignment="1">
      <alignment horizontal="center"/>
    </xf>
    <xf numFmtId="0" fontId="103" fillId="0" borderId="0" xfId="0" applyFont="1" applyBorder="1" applyAlignment="1">
      <alignment horizontal="center"/>
    </xf>
    <xf numFmtId="0" fontId="74" fillId="64" borderId="491" xfId="0" applyFont="1" applyFill="1" applyBorder="1" applyAlignment="1">
      <alignment horizontal="center" vertical="center" wrapText="1"/>
    </xf>
    <xf numFmtId="0" fontId="74" fillId="64" borderId="499" xfId="0" applyFont="1" applyFill="1" applyBorder="1" applyAlignment="1">
      <alignment wrapText="1"/>
    </xf>
    <xf numFmtId="0" fontId="74" fillId="64" borderId="492" xfId="0" applyFont="1" applyFill="1" applyBorder="1" applyAlignment="1">
      <alignment horizontal="center" vertical="center"/>
    </xf>
    <xf numFmtId="0" fontId="74" fillId="64" borderId="493" xfId="0" applyFont="1" applyFill="1" applyBorder="1" applyAlignment="1">
      <alignment horizontal="center" vertical="center" wrapText="1"/>
    </xf>
    <xf numFmtId="0" fontId="0" fillId="0" borderId="494" xfId="0" applyBorder="1" applyAlignment="1">
      <alignment horizontal="center" vertical="center" wrapText="1"/>
    </xf>
    <xf numFmtId="0" fontId="0" fillId="0" borderId="495" xfId="0" applyBorder="1" applyAlignment="1">
      <alignment horizontal="center" vertical="center" wrapText="1"/>
    </xf>
    <xf numFmtId="0" fontId="74" fillId="64" borderId="496" xfId="0" applyFont="1" applyFill="1" applyBorder="1" applyAlignment="1">
      <alignment horizontal="center" vertical="center"/>
    </xf>
    <xf numFmtId="0" fontId="74" fillId="64" borderId="497" xfId="0" applyFont="1" applyFill="1" applyBorder="1" applyAlignment="1">
      <alignment horizontal="center" vertical="center"/>
    </xf>
    <xf numFmtId="0" fontId="74" fillId="64" borderId="495" xfId="0" applyFont="1" applyFill="1" applyBorder="1" applyAlignment="1">
      <alignment horizontal="center" vertical="center"/>
    </xf>
    <xf numFmtId="0" fontId="74" fillId="64" borderId="498" xfId="0" applyFont="1" applyFill="1" applyBorder="1" applyAlignment="1">
      <alignment horizontal="center" vertical="center"/>
    </xf>
    <xf numFmtId="0" fontId="74" fillId="64" borderId="493" xfId="0" applyFont="1" applyFill="1" applyBorder="1" applyAlignment="1">
      <alignment horizontal="center" vertical="center"/>
    </xf>
    <xf numFmtId="0" fontId="76" fillId="65" borderId="548" xfId="0" applyFont="1" applyFill="1" applyBorder="1" applyAlignment="1">
      <alignment horizontal="center" vertical="center"/>
    </xf>
    <xf numFmtId="0" fontId="157" fillId="65" borderId="552" xfId="0" applyFont="1" applyFill="1" applyBorder="1" applyAlignment="1">
      <alignment horizontal="center" vertical="center"/>
    </xf>
    <xf numFmtId="0" fontId="76" fillId="65" borderId="549" xfId="0" applyFont="1" applyFill="1" applyBorder="1" applyAlignment="1">
      <alignment horizontal="center" vertical="center"/>
    </xf>
    <xf numFmtId="0" fontId="157" fillId="65" borderId="238" xfId="0" applyFont="1" applyFill="1" applyBorder="1" applyAlignment="1">
      <alignment horizontal="center" vertical="center"/>
    </xf>
    <xf numFmtId="0" fontId="157" fillId="65" borderId="551" xfId="0" applyFont="1" applyFill="1" applyBorder="1" applyAlignment="1">
      <alignment horizontal="center" vertical="center"/>
    </xf>
    <xf numFmtId="0" fontId="157" fillId="65" borderId="550" xfId="0" applyFont="1" applyFill="1" applyBorder="1" applyAlignment="1">
      <alignment horizontal="center" vertical="center"/>
    </xf>
    <xf numFmtId="0" fontId="94" fillId="65" borderId="144" xfId="0" applyFont="1" applyFill="1" applyBorder="1" applyAlignment="1">
      <alignment horizontal="center" vertical="center"/>
    </xf>
    <xf numFmtId="0" fontId="94" fillId="65" borderId="119" xfId="0" applyFont="1" applyFill="1" applyBorder="1" applyAlignment="1">
      <alignment horizontal="center" vertical="center"/>
    </xf>
    <xf numFmtId="0" fontId="94" fillId="65" borderId="142" xfId="0" applyFont="1" applyFill="1" applyBorder="1" applyAlignment="1">
      <alignment horizontal="center" vertical="center"/>
    </xf>
    <xf numFmtId="0" fontId="94" fillId="65" borderId="145" xfId="0" applyFont="1" applyFill="1" applyBorder="1" applyAlignment="1">
      <alignment horizontal="center" vertical="center"/>
    </xf>
    <xf numFmtId="0" fontId="94" fillId="65" borderId="143" xfId="0" applyFont="1" applyFill="1" applyBorder="1" applyAlignment="1">
      <alignment horizontal="center" vertical="center"/>
    </xf>
    <xf numFmtId="0" fontId="94" fillId="65" borderId="252" xfId="0" applyFont="1" applyFill="1" applyBorder="1" applyAlignment="1">
      <alignment horizontal="center" vertical="center"/>
    </xf>
    <xf numFmtId="0" fontId="124" fillId="0" borderId="0" xfId="0" applyFont="1" applyBorder="1" applyAlignment="1">
      <alignment horizontal="left"/>
    </xf>
    <xf numFmtId="0" fontId="125" fillId="48" borderId="0" xfId="0" applyFont="1" applyFill="1" applyBorder="1" applyAlignment="1"/>
    <xf numFmtId="0" fontId="124" fillId="0" borderId="0" xfId="0" applyFont="1" applyBorder="1" applyAlignment="1"/>
    <xf numFmtId="0" fontId="76" fillId="65" borderId="164" xfId="0" applyFont="1" applyFill="1" applyBorder="1" applyAlignment="1">
      <alignment horizontal="center" vertical="center" wrapText="1"/>
    </xf>
    <xf numFmtId="0" fontId="27" fillId="65" borderId="104" xfId="0" applyFont="1" applyFill="1" applyBorder="1" applyAlignment="1">
      <alignment horizontal="center" vertical="center" wrapText="1"/>
    </xf>
    <xf numFmtId="0" fontId="76" fillId="65" borderId="102" xfId="0" applyFont="1" applyFill="1" applyBorder="1" applyAlignment="1">
      <alignment horizontal="center" vertical="center" wrapText="1"/>
    </xf>
    <xf numFmtId="0" fontId="27" fillId="65" borderId="68" xfId="0" applyFont="1" applyFill="1" applyBorder="1" applyAlignment="1">
      <alignment horizontal="center" vertical="center" wrapText="1"/>
    </xf>
    <xf numFmtId="0" fontId="76" fillId="65" borderId="95" xfId="0" applyFont="1" applyFill="1" applyBorder="1" applyAlignment="1">
      <alignment horizontal="center" vertical="center" wrapText="1"/>
    </xf>
    <xf numFmtId="0" fontId="27" fillId="65" borderId="326" xfId="0" applyFont="1" applyFill="1" applyBorder="1" applyAlignment="1">
      <alignment horizontal="center" vertical="center" wrapText="1"/>
    </xf>
    <xf numFmtId="0" fontId="27" fillId="65" borderId="185" xfId="0" applyFont="1" applyFill="1" applyBorder="1" applyAlignment="1">
      <alignment horizontal="center" vertical="center" wrapText="1"/>
    </xf>
    <xf numFmtId="0" fontId="76" fillId="65" borderId="715" xfId="0" applyFont="1" applyFill="1" applyBorder="1" applyAlignment="1">
      <alignment horizontal="center" vertical="center" wrapText="1"/>
    </xf>
    <xf numFmtId="0" fontId="76" fillId="65" borderId="716" xfId="0" applyFont="1" applyFill="1" applyBorder="1" applyAlignment="1">
      <alignment horizontal="center" vertical="center" wrapText="1"/>
    </xf>
    <xf numFmtId="0" fontId="184" fillId="65" borderId="570" xfId="0" applyFont="1" applyFill="1" applyBorder="1" applyAlignment="1">
      <alignment horizontal="center" vertical="center" wrapText="1"/>
    </xf>
    <xf numFmtId="0" fontId="184" fillId="65" borderId="156" xfId="0" applyFont="1" applyFill="1" applyBorder="1" applyAlignment="1">
      <alignment horizontal="center" vertical="center" wrapText="1"/>
    </xf>
    <xf numFmtId="0" fontId="185" fillId="0" borderId="156" xfId="0" applyFont="1" applyBorder="1" applyAlignment="1">
      <alignment horizontal="center" vertical="center" wrapText="1"/>
    </xf>
    <xf numFmtId="0" fontId="103" fillId="0" borderId="266" xfId="0" applyFont="1" applyBorder="1" applyAlignment="1">
      <alignment horizontal="center" vertical="center" wrapText="1"/>
    </xf>
    <xf numFmtId="0" fontId="0" fillId="0" borderId="266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82" fillId="65" borderId="105" xfId="0" applyFont="1" applyFill="1" applyBorder="1" applyAlignment="1">
      <alignment horizontal="center" wrapText="1"/>
    </xf>
    <xf numFmtId="0" fontId="177" fillId="65" borderId="105" xfId="0" applyFont="1" applyFill="1" applyBorder="1" applyAlignment="1">
      <alignment horizontal="center" wrapText="1"/>
    </xf>
    <xf numFmtId="0" fontId="102" fillId="0" borderId="156" xfId="0" applyFont="1" applyBorder="1" applyAlignment="1">
      <alignment horizontal="center" vertical="center" wrapText="1"/>
    </xf>
    <xf numFmtId="0" fontId="102" fillId="0" borderId="266" xfId="0" applyFont="1" applyBorder="1" applyAlignment="1">
      <alignment horizontal="center" vertical="center" wrapText="1"/>
    </xf>
    <xf numFmtId="0" fontId="74" fillId="65" borderId="107" xfId="0" applyFont="1" applyFill="1" applyBorder="1" applyAlignment="1">
      <alignment horizontal="center" vertical="center"/>
    </xf>
    <xf numFmtId="0" fontId="74" fillId="65" borderId="137" xfId="0" applyFont="1" applyFill="1" applyBorder="1" applyAlignment="1">
      <alignment horizontal="center" vertical="center"/>
    </xf>
    <xf numFmtId="0" fontId="74" fillId="65" borderId="118" xfId="0" applyFont="1" applyFill="1" applyBorder="1" applyAlignment="1">
      <alignment horizontal="center" vertical="center" wrapText="1"/>
    </xf>
    <xf numFmtId="0" fontId="74" fillId="65" borderId="428" xfId="0" applyFont="1" applyFill="1" applyBorder="1" applyAlignment="1">
      <alignment wrapText="1"/>
    </xf>
    <xf numFmtId="0" fontId="74" fillId="65" borderId="164" xfId="0" applyFont="1" applyFill="1" applyBorder="1" applyAlignment="1">
      <alignment horizontal="center" vertical="center" wrapText="1"/>
    </xf>
    <xf numFmtId="0" fontId="0" fillId="0" borderId="429" xfId="0" applyBorder="1" applyAlignment="1">
      <alignment wrapText="1"/>
    </xf>
    <xf numFmtId="0" fontId="52" fillId="65" borderId="207" xfId="0" applyFont="1" applyFill="1" applyBorder="1" applyAlignment="1">
      <alignment horizontal="center" vertical="center" wrapText="1"/>
    </xf>
    <xf numFmtId="0" fontId="52" fillId="65" borderId="208" xfId="0" applyFont="1" applyFill="1" applyBorder="1" applyAlignment="1">
      <alignment horizontal="center" vertical="center" wrapText="1"/>
    </xf>
  </cellXfs>
  <cellStyles count="89">
    <cellStyle name="20% - Accent1" xfId="30" builtinId="30" customBuiltin="1"/>
    <cellStyle name="20% - Accent2" xfId="34" builtinId="34" customBuiltin="1"/>
    <cellStyle name="20% - Accent3" xfId="38" builtinId="38" customBuiltin="1"/>
    <cellStyle name="20% - Accent4" xfId="42" builtinId="42" customBuiltin="1"/>
    <cellStyle name="20% - Accent5" xfId="46" builtinId="46" customBuiltin="1"/>
    <cellStyle name="20% - Accent6" xfId="50" builtinId="50" customBuiltin="1"/>
    <cellStyle name="40% - Accent1" xfId="31" builtinId="31" customBuiltin="1"/>
    <cellStyle name="40% - Accent2" xfId="35" builtinId="35" customBuiltin="1"/>
    <cellStyle name="40% - Accent3" xfId="39" builtinId="39" customBuiltin="1"/>
    <cellStyle name="40% - Accent4" xfId="43" builtinId="43" customBuiltin="1"/>
    <cellStyle name="40% - Accent5" xfId="47" builtinId="47" customBuiltin="1"/>
    <cellStyle name="40% - Accent6" xfId="51" builtinId="51" customBuiltin="1"/>
    <cellStyle name="60% - Accent1" xfId="32" builtinId="32" customBuiltin="1"/>
    <cellStyle name="60% - Accent2" xfId="36" builtinId="36" customBuiltin="1"/>
    <cellStyle name="60% - Accent3" xfId="40" builtinId="40" customBuiltin="1"/>
    <cellStyle name="60% - Accent4" xfId="44" builtinId="44" customBuiltin="1"/>
    <cellStyle name="60% - Accent5" xfId="48" builtinId="48" customBuiltin="1"/>
    <cellStyle name="60% - Accent6" xfId="52" builtinId="52" customBuiltin="1"/>
    <cellStyle name="Accent1" xfId="29" builtinId="29" customBuiltin="1"/>
    <cellStyle name="Accent2" xfId="33" builtinId="33" customBuiltin="1"/>
    <cellStyle name="Accent3" xfId="37" builtinId="37" customBuiltin="1"/>
    <cellStyle name="Accent4" xfId="41" builtinId="41" customBuiltin="1"/>
    <cellStyle name="Accent5" xfId="45" builtinId="45" customBuiltin="1"/>
    <cellStyle name="Accent6" xfId="49" builtinId="49" customBuiltin="1"/>
    <cellStyle name="Bad" xfId="18" builtinId="27" customBuiltin="1"/>
    <cellStyle name="Calculation" xfId="22" builtinId="22" customBuiltin="1"/>
    <cellStyle name="Check Cell" xfId="24" builtinId="23" customBuiltin="1"/>
    <cellStyle name="Comma" xfId="88" builtinId="3"/>
    <cellStyle name="Comma 2" xfId="2"/>
    <cellStyle name="Comma 2 2" xfId="69"/>
    <cellStyle name="Comma 2 3" xfId="70"/>
    <cellStyle name="Comma 2 4" xfId="71"/>
    <cellStyle name="Comma 2 5" xfId="72"/>
    <cellStyle name="Currency" xfId="54" builtinId="4"/>
    <cellStyle name="Explanatory Text" xfId="27" builtinId="53" customBuiltin="1"/>
    <cellStyle name="Good" xfId="17" builtinId="26" customBuiltin="1"/>
    <cellStyle name="Heading 1" xfId="13" builtinId="16" customBuiltin="1"/>
    <cellStyle name="Heading 2" xfId="14" builtinId="17" customBuiltin="1"/>
    <cellStyle name="Heading 3" xfId="15" builtinId="18" customBuiltin="1"/>
    <cellStyle name="Heading 4" xfId="16" builtinId="19" customBuiltin="1"/>
    <cellStyle name="Hyperlink" xfId="87" builtinId="8"/>
    <cellStyle name="Input" xfId="20" builtinId="20" customBuiltin="1"/>
    <cellStyle name="Linked Cell" xfId="23" builtinId="24" customBuiltin="1"/>
    <cellStyle name="Neutral" xfId="19" builtinId="28" customBuiltin="1"/>
    <cellStyle name="Normal" xfId="0" builtinId="0"/>
    <cellStyle name="Normal 10" xfId="56"/>
    <cellStyle name="Normal 11" xfId="57"/>
    <cellStyle name="Normal 12" xfId="58"/>
    <cellStyle name="Normal 13" xfId="59"/>
    <cellStyle name="Normal 14" xfId="60"/>
    <cellStyle name="Normal 15" xfId="61"/>
    <cellStyle name="Normal 16" xfId="62"/>
    <cellStyle name="Normal 17" xfId="67"/>
    <cellStyle name="Normal 2" xfId="3"/>
    <cellStyle name="Normal 2 2" xfId="4"/>
    <cellStyle name="Normal 2 3" xfId="73"/>
    <cellStyle name="Normal 2 4" xfId="74"/>
    <cellStyle name="Normal 2 5" xfId="75"/>
    <cellStyle name="Normal 2 6" xfId="76"/>
    <cellStyle name="Normal 3" xfId="5"/>
    <cellStyle name="Normal 3 2" xfId="68"/>
    <cellStyle name="Normal 3 2 2" xfId="77"/>
    <cellStyle name="Normal 3 2 3" xfId="78"/>
    <cellStyle name="Normal 3 3" xfId="79"/>
    <cellStyle name="Normal 3 4" xfId="80"/>
    <cellStyle name="Normal 4" xfId="6"/>
    <cellStyle name="Normal 4 2" xfId="63"/>
    <cellStyle name="Normal 5" xfId="7"/>
    <cellStyle name="Normal 5 2" xfId="8"/>
    <cellStyle name="Normal 5 2 2" xfId="9"/>
    <cellStyle name="Normal 6" xfId="11"/>
    <cellStyle name="Normal 6 2" xfId="81"/>
    <cellStyle name="Normal 6 3" xfId="82"/>
    <cellStyle name="Normal 7" xfId="53"/>
    <cellStyle name="Normal 7 2" xfId="64"/>
    <cellStyle name="Normal 8" xfId="55"/>
    <cellStyle name="Normal 8 2" xfId="65"/>
    <cellStyle name="Normal 9" xfId="66"/>
    <cellStyle name="Note" xfId="26" builtinId="10" customBuiltin="1"/>
    <cellStyle name="Output" xfId="21" builtinId="21" customBuiltin="1"/>
    <cellStyle name="Percent" xfId="1" builtinId="5"/>
    <cellStyle name="Percent 2" xfId="10"/>
    <cellStyle name="Percent 2 2" xfId="83"/>
    <cellStyle name="Percent 2 3" xfId="84"/>
    <cellStyle name="Percent 3" xfId="85"/>
    <cellStyle name="Percent 4" xfId="86"/>
    <cellStyle name="Title" xfId="12" builtinId="15" customBuiltin="1"/>
    <cellStyle name="Total" xfId="28" builtinId="25" customBuiltin="1"/>
    <cellStyle name="Warning Text" xfId="25" builtinId="11" customBuiltin="1"/>
  </cellStyles>
  <dxfs count="2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</dxf>
    <dxf>
      <font>
        <b/>
        <strike val="0"/>
        <outline val="0"/>
        <shadow val="0"/>
        <u val="none"/>
        <vertAlign val="baseline"/>
        <sz val="9"/>
        <color theme="0"/>
        <name val="Arial Black"/>
        <scheme val="none"/>
      </font>
      <fill>
        <patternFill>
          <fgColor indexed="64"/>
          <bgColor theme="3" tint="-0.249977111117893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0.0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alignment vertical="center" textRotation="0" indent="0" justifyLastLine="0" shrinkToFit="0" readingOrder="0"/>
    </dxf>
    <dxf>
      <border>
        <bottom style="thick">
          <color theme="4"/>
        </bottom>
      </border>
    </dxf>
    <dxf>
      <font>
        <b/>
        <strike val="0"/>
        <outline val="0"/>
        <shadow val="0"/>
        <u val="none"/>
        <vertAlign val="baseline"/>
        <sz val="13"/>
        <color theme="0"/>
        <name val="Arial Narrow"/>
        <scheme val="none"/>
      </font>
      <fill>
        <patternFill>
          <fgColor indexed="64"/>
          <bgColor theme="3" tint="-0.249977111117893"/>
        </patternFill>
      </fill>
      <alignment horizontal="center" vertical="center" textRotation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B5258"/>
      <color rgb="FF56004E"/>
      <color rgb="FFE46C0A"/>
      <color rgb="FF005258"/>
      <color rgb="FF558ED5"/>
      <color rgb="FF2C4D75"/>
      <color rgb="FF953735"/>
      <color rgb="FF5F7530"/>
      <color rgb="FF002060"/>
      <color rgb="FF2540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0.xml"/><Relationship Id="rId18" Type="http://schemas.openxmlformats.org/officeDocument/2006/relationships/worksheet" Target="worksheets/sheet15.xml"/><Relationship Id="rId26" Type="http://schemas.openxmlformats.org/officeDocument/2006/relationships/worksheet" Target="worksheets/sheet23.xml"/><Relationship Id="rId39" Type="http://schemas.openxmlformats.org/officeDocument/2006/relationships/theme" Target="theme/theme1.xml"/><Relationship Id="rId21" Type="http://schemas.openxmlformats.org/officeDocument/2006/relationships/worksheet" Target="worksheets/sheet18.xml"/><Relationship Id="rId34" Type="http://schemas.openxmlformats.org/officeDocument/2006/relationships/worksheet" Target="worksheets/sheet31.xml"/><Relationship Id="rId42" Type="http://schemas.openxmlformats.org/officeDocument/2006/relationships/calcChain" Target="calcChain.xml"/><Relationship Id="rId7" Type="http://schemas.openxmlformats.org/officeDocument/2006/relationships/worksheet" Target="worksheets/sheet4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3.xml"/><Relationship Id="rId20" Type="http://schemas.openxmlformats.org/officeDocument/2006/relationships/worksheet" Target="worksheets/sheet17.xml"/><Relationship Id="rId29" Type="http://schemas.openxmlformats.org/officeDocument/2006/relationships/worksheet" Target="worksheets/sheet26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24" Type="http://schemas.openxmlformats.org/officeDocument/2006/relationships/worksheet" Target="worksheets/sheet21.xml"/><Relationship Id="rId32" Type="http://schemas.openxmlformats.org/officeDocument/2006/relationships/worksheet" Target="worksheets/sheet29.xml"/><Relationship Id="rId37" Type="http://schemas.openxmlformats.org/officeDocument/2006/relationships/worksheet" Target="worksheets/sheet34.xml"/><Relationship Id="rId40" Type="http://schemas.openxmlformats.org/officeDocument/2006/relationships/styles" Target="styles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23" Type="http://schemas.openxmlformats.org/officeDocument/2006/relationships/worksheet" Target="worksheets/sheet20.xml"/><Relationship Id="rId28" Type="http://schemas.openxmlformats.org/officeDocument/2006/relationships/worksheet" Target="worksheets/sheet25.xml"/><Relationship Id="rId36" Type="http://schemas.openxmlformats.org/officeDocument/2006/relationships/worksheet" Target="worksheets/sheet33.xml"/><Relationship Id="rId10" Type="http://schemas.openxmlformats.org/officeDocument/2006/relationships/worksheet" Target="worksheets/sheet7.xml"/><Relationship Id="rId19" Type="http://schemas.openxmlformats.org/officeDocument/2006/relationships/worksheet" Target="worksheets/sheet16.xml"/><Relationship Id="rId31" Type="http://schemas.openxmlformats.org/officeDocument/2006/relationships/worksheet" Target="worksheets/sheet28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worksheet" Target="worksheets/sheet19.xml"/><Relationship Id="rId27" Type="http://schemas.openxmlformats.org/officeDocument/2006/relationships/worksheet" Target="worksheets/sheet24.xml"/><Relationship Id="rId30" Type="http://schemas.openxmlformats.org/officeDocument/2006/relationships/worksheet" Target="worksheets/sheet27.xml"/><Relationship Id="rId35" Type="http://schemas.openxmlformats.org/officeDocument/2006/relationships/worksheet" Target="worksheets/sheet32.xml"/><Relationship Id="rId8" Type="http://schemas.openxmlformats.org/officeDocument/2006/relationships/worksheet" Target="worksheets/sheet5.xml"/><Relationship Id="rId3" Type="http://schemas.openxmlformats.org/officeDocument/2006/relationships/chartsheet" Target="chartsheets/sheet2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25" Type="http://schemas.openxmlformats.org/officeDocument/2006/relationships/worksheet" Target="worksheets/sheet22.xml"/><Relationship Id="rId33" Type="http://schemas.openxmlformats.org/officeDocument/2006/relationships/worksheet" Target="worksheets/sheet30.xml"/><Relationship Id="rId38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2.xml"/><Relationship Id="rId1" Type="http://schemas.openxmlformats.org/officeDocument/2006/relationships/themeOverride" Target="../theme/themeOverride3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9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1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800" b="1" i="0" u="none" strike="noStrike" kern="1200" baseline="0">
                <a:solidFill>
                  <a:sysClr val="windowText" lastClr="000000"/>
                </a:solidFill>
                <a:latin typeface="Arial Narrow" pitchFamily="34" charset="0"/>
                <a:ea typeface="+mn-ea"/>
                <a:cs typeface="+mn-cs"/>
              </a:defRPr>
            </a:pPr>
            <a:r>
              <a:rPr lang="en-US" sz="2800" b="1" i="0" u="none" strike="noStrike" kern="1200" baseline="0">
                <a:solidFill>
                  <a:sysClr val="windowText" lastClr="000000"/>
                </a:solidFill>
                <a:effectLst/>
                <a:latin typeface="Arial Narrow" pitchFamily="34" charset="0"/>
                <a:ea typeface="+mn-ea"/>
                <a:cs typeface="+mn-cs"/>
              </a:rPr>
              <a:t>Arrival to Qualified Provider (mins)</a:t>
            </a:r>
            <a:r>
              <a:rPr lang="en-US" sz="2800" baseline="0">
                <a:latin typeface="Arial Narrow" pitchFamily="34" charset="0"/>
              </a:rPr>
              <a:t> 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800" b="1" i="0" u="none" strike="noStrike" kern="1200" baseline="0">
                <a:solidFill>
                  <a:sysClr val="windowText" lastClr="000000"/>
                </a:solidFill>
                <a:latin typeface="Arial Narrow" pitchFamily="34" charset="0"/>
                <a:ea typeface="+mn-ea"/>
                <a:cs typeface="+mn-cs"/>
              </a:defRPr>
            </a:pPr>
            <a:r>
              <a:rPr lang="en-US" sz="2800" baseline="0">
                <a:latin typeface="Arial Narrow" pitchFamily="34" charset="0"/>
              </a:rPr>
              <a:t>(2015 YTD)</a:t>
            </a:r>
          </a:p>
        </c:rich>
      </c:tx>
      <c:layout>
        <c:manualLayout>
          <c:xMode val="edge"/>
          <c:yMode val="edge"/>
          <c:x val="0.23924727124503692"/>
          <c:y val="1.841522890129524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1118240413662093E-2"/>
          <c:y val="0.17844837020531013"/>
          <c:w val="0.81397740448639999"/>
          <c:h val="0.76549235506997348"/>
        </c:manualLayout>
      </c:layout>
      <c:lineChart>
        <c:grouping val="standard"/>
        <c:varyColors val="0"/>
        <c:ser>
          <c:idx val="1"/>
          <c:order val="0"/>
          <c:tx>
            <c:strRef>
              <c:f>'GRAPH DATA'!$A$18</c:f>
              <c:strCache>
                <c:ptCount val="1"/>
                <c:pt idx="0">
                  <c:v>All Sites</c:v>
                </c:pt>
              </c:strCache>
            </c:strRef>
          </c:tx>
          <c:spPr>
            <a:ln>
              <a:solidFill>
                <a:srgbClr val="0B5258"/>
              </a:solidFill>
            </a:ln>
          </c:spPr>
          <c:marker>
            <c:spPr>
              <a:solidFill>
                <a:srgbClr val="0B5258"/>
              </a:solidFill>
              <a:ln>
                <a:solidFill>
                  <a:srgbClr val="0B5258"/>
                </a:solidFill>
              </a:ln>
            </c:spPr>
          </c:marker>
          <c:dLbls>
            <c:dLbl>
              <c:idx val="1"/>
              <c:layout>
                <c:manualLayout>
                  <c:x val="-7.6592036454599484E-3"/>
                  <c:y val="-1.9769725467597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9.4614568557567381E-3"/>
                  <c:y val="-1.65994242337942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0274550405193058E-2"/>
                  <c:y val="-2.58213265859021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9.4614568557567381E-3"/>
                  <c:y val="-2.76657070563236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3.1763462301469148E-2"/>
                  <c:y val="-1.56772339985835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3167052929667215E-2"/>
                      <c:h val="4.0954540959115604E-2"/>
                    </c:manualLayout>
                  </c15:layout>
                </c:ext>
              </c:extLst>
            </c:dLbl>
            <c:dLbl>
              <c:idx val="7"/>
              <c:layout>
                <c:manualLayout>
                  <c:x val="-1.2164730243115806E-2"/>
                  <c:y val="-1.8443804704215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1.7571277017833942E-2"/>
                  <c:y val="-2.02881851746374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2977823792552178E-2"/>
                  <c:y val="-1.84438047042159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7032733873590779E-2"/>
                  <c:y val="-2.58213265859021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9.4614568557567381E-3"/>
                  <c:y val="-1.8443804704215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DATA'!$C$17:$O$17</c:f>
              <c:numCache>
                <c:formatCode>mmm\-yy</c:formatCode>
                <c:ptCount val="13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 formatCode="[$-409]mmm\-yy;@">
                  <c:v>42370</c:v>
                </c:pt>
                <c:pt idx="7" formatCode="[$-409]mmm\-yy;@">
                  <c:v>42401</c:v>
                </c:pt>
                <c:pt idx="8" formatCode="[$-409]mmm\-yy;@">
                  <c:v>42430</c:v>
                </c:pt>
                <c:pt idx="9" formatCode="[$-409]mmm\-yy;@">
                  <c:v>42461</c:v>
                </c:pt>
                <c:pt idx="10" formatCode="[$-409]mmm\-yy;@">
                  <c:v>42491</c:v>
                </c:pt>
                <c:pt idx="11" formatCode="[$-409]mmm\-yy;@">
                  <c:v>42522</c:v>
                </c:pt>
                <c:pt idx="12" formatCode="[$-409]mmm\-yy;@">
                  <c:v>42552</c:v>
                </c:pt>
              </c:numCache>
            </c:numRef>
          </c:cat>
          <c:val>
            <c:numRef>
              <c:f>'GRAPH DATA'!$C$18:$O$18</c:f>
              <c:numCache>
                <c:formatCode>0</c:formatCode>
                <c:ptCount val="13"/>
                <c:pt idx="0">
                  <c:v>36</c:v>
                </c:pt>
                <c:pt idx="1">
                  <c:v>29</c:v>
                </c:pt>
                <c:pt idx="2">
                  <c:v>28</c:v>
                </c:pt>
                <c:pt idx="3">
                  <c:v>27</c:v>
                </c:pt>
                <c:pt idx="4">
                  <c:v>28</c:v>
                </c:pt>
                <c:pt idx="5">
                  <c:v>39</c:v>
                </c:pt>
                <c:pt idx="6">
                  <c:v>27.030028165210179</c:v>
                </c:pt>
                <c:pt idx="7">
                  <c:v>28.897045379393514</c:v>
                </c:pt>
                <c:pt idx="8">
                  <c:v>34.247114810911235</c:v>
                </c:pt>
                <c:pt idx="9">
                  <c:v>29.523170404372436</c:v>
                </c:pt>
                <c:pt idx="10">
                  <c:v>27.620734700247763</c:v>
                </c:pt>
                <c:pt idx="11">
                  <c:v>30.775070271164022</c:v>
                </c:pt>
                <c:pt idx="12">
                  <c:v>21.54180234759561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'GRAPH DATA'!$A$20</c:f>
              <c:strCache>
                <c:ptCount val="1"/>
                <c:pt idx="0">
                  <c:v>TARGET 
(&lt; 30 mins)</c:v>
                </c:pt>
              </c:strCache>
            </c:strRef>
          </c:tx>
          <c:spPr>
            <a:ln w="28575">
              <a:solidFill>
                <a:srgbClr val="648C1A"/>
              </a:solidFill>
            </a:ln>
          </c:spPr>
          <c:marker>
            <c:symbol val="none"/>
          </c:marker>
          <c:cat>
            <c:numRef>
              <c:f>'GRAPH DATA'!$C$17:$O$17</c:f>
              <c:numCache>
                <c:formatCode>mmm\-yy</c:formatCode>
                <c:ptCount val="13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 formatCode="[$-409]mmm\-yy;@">
                  <c:v>42370</c:v>
                </c:pt>
                <c:pt idx="7" formatCode="[$-409]mmm\-yy;@">
                  <c:v>42401</c:v>
                </c:pt>
                <c:pt idx="8" formatCode="[$-409]mmm\-yy;@">
                  <c:v>42430</c:v>
                </c:pt>
                <c:pt idx="9" formatCode="[$-409]mmm\-yy;@">
                  <c:v>42461</c:v>
                </c:pt>
                <c:pt idx="10" formatCode="[$-409]mmm\-yy;@">
                  <c:v>42491</c:v>
                </c:pt>
                <c:pt idx="11" formatCode="[$-409]mmm\-yy;@">
                  <c:v>42522</c:v>
                </c:pt>
                <c:pt idx="12" formatCode="[$-409]mmm\-yy;@">
                  <c:v>42552</c:v>
                </c:pt>
              </c:numCache>
            </c:numRef>
          </c:cat>
          <c:val>
            <c:numRef>
              <c:f>'GRAPH DATA'!$C$20:$O$20</c:f>
              <c:numCache>
                <c:formatCode>General</c:formatCode>
                <c:ptCount val="1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'GRAPH DATA'!$A$19</c:f>
              <c:strCache>
                <c:ptCount val="1"/>
                <c:pt idx="0">
                  <c:v>Excluding Baptist Hospital Miami</c:v>
                </c:pt>
              </c:strCache>
            </c:strRef>
          </c:tx>
          <c:spPr>
            <a:ln>
              <a:prstDash val="sysDash"/>
            </a:ln>
          </c:spPr>
          <c:dLbls>
            <c:dLbl>
              <c:idx val="0"/>
              <c:layout>
                <c:manualLayout>
                  <c:x val="-1.7571277017833942E-2"/>
                  <c:y val="2.02881851746372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4868003630474873E-2"/>
                  <c:y val="1.65994242337942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4868003630474873E-2"/>
                  <c:y val="1.8443804704215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7571277017833942E-2"/>
                  <c:y val="1.8443804704215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571277017833991E-2"/>
                  <c:y val="1.29106632929510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2.1626187098872544E-2"/>
                  <c:y val="1.47550437633726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1626187098872641E-2"/>
                  <c:y val="1.4755043763372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1.8922913711513476E-2"/>
                  <c:y val="1.29106632929510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1.4868003630474873E-2"/>
                  <c:y val="9.22190235210791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1.7571277017833942E-2"/>
                  <c:y val="1.4755043763372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1.4868003630474774E-2"/>
                  <c:y val="1.8443804704215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2977823792552077E-2"/>
                  <c:y val="3.3198848467588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DATA'!$C$17:$O$17</c:f>
              <c:numCache>
                <c:formatCode>mmm\-yy</c:formatCode>
                <c:ptCount val="13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 formatCode="[$-409]mmm\-yy;@">
                  <c:v>42370</c:v>
                </c:pt>
                <c:pt idx="7" formatCode="[$-409]mmm\-yy;@">
                  <c:v>42401</c:v>
                </c:pt>
                <c:pt idx="8" formatCode="[$-409]mmm\-yy;@">
                  <c:v>42430</c:v>
                </c:pt>
                <c:pt idx="9" formatCode="[$-409]mmm\-yy;@">
                  <c:v>42461</c:v>
                </c:pt>
                <c:pt idx="10" formatCode="[$-409]mmm\-yy;@">
                  <c:v>42491</c:v>
                </c:pt>
                <c:pt idx="11" formatCode="[$-409]mmm\-yy;@">
                  <c:v>42522</c:v>
                </c:pt>
                <c:pt idx="12" formatCode="[$-409]mmm\-yy;@">
                  <c:v>42552</c:v>
                </c:pt>
              </c:numCache>
            </c:numRef>
          </c:cat>
          <c:val>
            <c:numRef>
              <c:f>'GRAPH DATA'!$C$19:$O$19</c:f>
              <c:numCache>
                <c:formatCode>0</c:formatCode>
                <c:ptCount val="13"/>
                <c:pt idx="0">
                  <c:v>19</c:v>
                </c:pt>
                <c:pt idx="1">
                  <c:v>18</c:v>
                </c:pt>
                <c:pt idx="2">
                  <c:v>20</c:v>
                </c:pt>
                <c:pt idx="3">
                  <c:v>21</c:v>
                </c:pt>
                <c:pt idx="4">
                  <c:v>21</c:v>
                </c:pt>
                <c:pt idx="5">
                  <c:v>31</c:v>
                </c:pt>
                <c:pt idx="6">
                  <c:v>12.595023842727969</c:v>
                </c:pt>
                <c:pt idx="7">
                  <c:v>14.813263053565796</c:v>
                </c:pt>
                <c:pt idx="8">
                  <c:v>14.031227162690612</c:v>
                </c:pt>
                <c:pt idx="9">
                  <c:v>12.678473371980241</c:v>
                </c:pt>
                <c:pt idx="10">
                  <c:v>10.911562968686088</c:v>
                </c:pt>
                <c:pt idx="11">
                  <c:v>10.355743920403777</c:v>
                </c:pt>
                <c:pt idx="12">
                  <c:v>10.836217233686558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257344"/>
        <c:axId val="448260608"/>
      </c:lineChart>
      <c:dateAx>
        <c:axId val="4482573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 Narrow" pitchFamily="34" charset="0"/>
              </a:defRPr>
            </a:pPr>
            <a:endParaRPr lang="en-US"/>
          </a:p>
        </c:txPr>
        <c:crossAx val="448260608"/>
        <c:crosses val="autoZero"/>
        <c:auto val="1"/>
        <c:lblOffset val="100"/>
        <c:baseTimeUnit val="months"/>
      </c:dateAx>
      <c:valAx>
        <c:axId val="448260608"/>
        <c:scaling>
          <c:orientation val="minMax"/>
          <c:max val="100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spPr>
          <a:ln cap="flat"/>
        </c:spPr>
        <c:txPr>
          <a:bodyPr/>
          <a:lstStyle/>
          <a:p>
            <a:pPr>
              <a:defRPr>
                <a:latin typeface="Arial Narrow" pitchFamily="34" charset="0"/>
              </a:defRPr>
            </a:pPr>
            <a:endParaRPr lang="en-US"/>
          </a:p>
        </c:txPr>
        <c:crossAx val="44825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620011715603728"/>
          <c:y val="0.34472545670563731"/>
          <c:w val="0.12217369574509027"/>
          <c:h val="0.13245643449886077"/>
        </c:manualLayout>
      </c:layout>
      <c:overlay val="0"/>
      <c:txPr>
        <a:bodyPr/>
        <a:lstStyle/>
        <a:p>
          <a:pPr>
            <a:defRPr sz="800">
              <a:latin typeface="Arial Narrow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 w="254000">
      <a:solidFill>
        <a:srgbClr val="0B5258"/>
      </a:solidFill>
      <a:miter lim="800000"/>
    </a:ln>
  </c:sp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800" b="1" i="0" u="none" strike="noStrike" kern="1200" baseline="0">
                <a:solidFill>
                  <a:sysClr val="windowText" lastClr="000000"/>
                </a:solidFill>
                <a:latin typeface="Arial Narrow" pitchFamily="34" charset="0"/>
                <a:ea typeface="+mn-ea"/>
                <a:cs typeface="+mn-cs"/>
              </a:defRPr>
            </a:pPr>
            <a:r>
              <a:rPr lang="en-US" sz="2800" baseline="0">
                <a:latin typeface="Arial Narrow" pitchFamily="34" charset="0"/>
              </a:rPr>
              <a:t>Patients/Hour 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800" b="1" i="0" u="none" strike="noStrike" kern="1200" baseline="0">
                <a:solidFill>
                  <a:sysClr val="windowText" lastClr="000000"/>
                </a:solidFill>
                <a:latin typeface="Arial Narrow" pitchFamily="34" charset="0"/>
                <a:ea typeface="+mn-ea"/>
                <a:cs typeface="+mn-cs"/>
              </a:defRPr>
            </a:pPr>
            <a:r>
              <a:rPr lang="en-US" sz="2800" baseline="0">
                <a:latin typeface="Arial Narrow" pitchFamily="34" charset="0"/>
              </a:rPr>
              <a:t>(2015 YTD)</a:t>
            </a:r>
          </a:p>
        </c:rich>
      </c:tx>
      <c:layout>
        <c:manualLayout>
          <c:xMode val="edge"/>
          <c:yMode val="edge"/>
          <c:x val="0.39512997045582066"/>
          <c:y val="1.659751037344398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1119567500870905E-2"/>
          <c:y val="0.17844837020531013"/>
          <c:w val="0.89908825226633904"/>
          <c:h val="0.69356189397487145"/>
        </c:manualLayout>
      </c:layout>
      <c:lineChart>
        <c:grouping val="standard"/>
        <c:varyColors val="0"/>
        <c:ser>
          <c:idx val="1"/>
          <c:order val="0"/>
          <c:tx>
            <c:strRef>
              <c:f>'GRAPH DATA'!$A$24</c:f>
              <c:strCache>
                <c:ptCount val="1"/>
                <c:pt idx="0">
                  <c:v>≥ 20k Visits 
(Physician Only)</c:v>
                </c:pt>
              </c:strCache>
            </c:strRef>
          </c:tx>
          <c:spPr>
            <a:ln>
              <a:solidFill>
                <a:srgbClr val="0B5258"/>
              </a:solidFill>
            </a:ln>
          </c:spPr>
          <c:marker>
            <c:symbol val="none"/>
          </c:marker>
          <c:dLbls>
            <c:dLbl>
              <c:idx val="1"/>
              <c:layout>
                <c:manualLayout>
                  <c:x val="5.8571426759601534E-3"/>
                  <c:y val="6.051660211827168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DATA'!$C$23:$M$23</c:f>
              <c:numCache>
                <c:formatCode>mmm\-yy</c:formatCode>
                <c:ptCount val="11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</c:numCache>
            </c:numRef>
          </c:cat>
          <c:val>
            <c:numRef>
              <c:f>'GRAPH DATA'!$C$24:$M$24</c:f>
              <c:numCache>
                <c:formatCode>0.0</c:formatCode>
                <c:ptCount val="11"/>
                <c:pt idx="0">
                  <c:v>2.2565938404843382</c:v>
                </c:pt>
                <c:pt idx="1">
                  <c:v>2.309324634783676</c:v>
                </c:pt>
                <c:pt idx="2">
                  <c:v>2.3698763473809437</c:v>
                </c:pt>
                <c:pt idx="3">
                  <c:v>2.2844537887535115</c:v>
                </c:pt>
                <c:pt idx="4">
                  <c:v>2.2774724626957328</c:v>
                </c:pt>
                <c:pt idx="5">
                  <c:v>2.3532215216627024</c:v>
                </c:pt>
                <c:pt idx="6">
                  <c:v>2.4535280713106511</c:v>
                </c:pt>
                <c:pt idx="7">
                  <c:v>2.6307195590035586</c:v>
                </c:pt>
                <c:pt idx="8">
                  <c:v>2.6669153375206252</c:v>
                </c:pt>
                <c:pt idx="9">
                  <c:v>2.5634975250426058</c:v>
                </c:pt>
                <c:pt idx="10">
                  <c:v>2.508735201502168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'GRAPH DATA'!$A$27</c:f>
              <c:strCache>
                <c:ptCount val="1"/>
                <c:pt idx="0">
                  <c:v>Target for ≥ 20k Visits
(Physician Only) </c:v>
                </c:pt>
              </c:strCache>
            </c:strRef>
          </c:tx>
          <c:spPr>
            <a:ln w="28575">
              <a:solidFill>
                <a:srgbClr val="648C1A"/>
              </a:solidFill>
            </a:ln>
          </c:spPr>
          <c:marker>
            <c:symbol val="none"/>
          </c:marker>
          <c:cat>
            <c:numRef>
              <c:f>'GRAPH DATA'!$C$23:$M$23</c:f>
              <c:numCache>
                <c:formatCode>mmm\-yy</c:formatCode>
                <c:ptCount val="11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</c:numCache>
            </c:numRef>
          </c:cat>
          <c:val>
            <c:numRef>
              <c:f>'GRAPH DATA'!$C$27:$M$27</c:f>
              <c:numCache>
                <c:formatCode>0.0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'GRAPH DATA'!$A$25</c:f>
              <c:strCache>
                <c:ptCount val="1"/>
                <c:pt idx="0">
                  <c:v>&lt; 20k Visits
(Physician Only)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DATA'!$C$23:$M$23</c:f>
              <c:numCache>
                <c:formatCode>mmm\-yy</c:formatCode>
                <c:ptCount val="11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</c:numCache>
            </c:numRef>
          </c:cat>
          <c:val>
            <c:numRef>
              <c:f>'GRAPH DATA'!$C$25:$M$25</c:f>
              <c:numCache>
                <c:formatCode>0.0</c:formatCode>
                <c:ptCount val="11"/>
                <c:pt idx="0">
                  <c:v>1.150274320888532</c:v>
                </c:pt>
                <c:pt idx="1">
                  <c:v>1.159909005754048</c:v>
                </c:pt>
                <c:pt idx="2">
                  <c:v>1.1776762221298989</c:v>
                </c:pt>
                <c:pt idx="3">
                  <c:v>1.1822554783538215</c:v>
                </c:pt>
                <c:pt idx="4">
                  <c:v>1.2305150096392179</c:v>
                </c:pt>
                <c:pt idx="5">
                  <c:v>1.3229727037258419</c:v>
                </c:pt>
                <c:pt idx="6">
                  <c:v>1.2082868307727876</c:v>
                </c:pt>
                <c:pt idx="7">
                  <c:v>1.3393924019193628</c:v>
                </c:pt>
                <c:pt idx="8">
                  <c:v>1.28044758391309</c:v>
                </c:pt>
                <c:pt idx="9">
                  <c:v>1.2513025387102992</c:v>
                </c:pt>
                <c:pt idx="10">
                  <c:v>1.1786645569380483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'GRAPH DATA'!$A$26</c:f>
              <c:strCache>
                <c:ptCount val="1"/>
                <c:pt idx="0">
                  <c:v>Overall Pts. per Adjusted Hr (≥ 20k Visits)
Formula: Volume / (EDP Hrs +  (0.5*MLP Hrs))
Excludes W Marion Quick Care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DATA'!$C$23:$M$23</c:f>
              <c:numCache>
                <c:formatCode>mmm\-yy</c:formatCode>
                <c:ptCount val="11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</c:numCache>
            </c:numRef>
          </c:cat>
          <c:val>
            <c:numRef>
              <c:f>'GRAPH DATA'!$C$26:$M$26</c:f>
              <c:numCache>
                <c:formatCode>0.0</c:formatCode>
                <c:ptCount val="11"/>
                <c:pt idx="0">
                  <c:v>1.8657118719073098</c:v>
                </c:pt>
                <c:pt idx="1">
                  <c:v>1.8934818881532913</c:v>
                </c:pt>
                <c:pt idx="2">
                  <c:v>1.9525699857586118</c:v>
                </c:pt>
                <c:pt idx="3">
                  <c:v>1.8893730699799642</c:v>
                </c:pt>
                <c:pt idx="4">
                  <c:v>1.9024682005003342</c:v>
                </c:pt>
                <c:pt idx="5">
                  <c:v>2.0066179496502201</c:v>
                </c:pt>
                <c:pt idx="6">
                  <c:v>1.8954812154065317</c:v>
                </c:pt>
                <c:pt idx="7">
                  <c:v>2.0055749314603193</c:v>
                </c:pt>
                <c:pt idx="8">
                  <c:v>2.0406857624623314</c:v>
                </c:pt>
                <c:pt idx="9">
                  <c:v>1.9389658151836666</c:v>
                </c:pt>
                <c:pt idx="10">
                  <c:v>1.9133240422385662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62784"/>
        <c:axId val="448266048"/>
      </c:lineChart>
      <c:dateAx>
        <c:axId val="4482627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 Narrow" pitchFamily="34" charset="0"/>
              </a:defRPr>
            </a:pPr>
            <a:endParaRPr lang="en-US"/>
          </a:p>
        </c:txPr>
        <c:crossAx val="448266048"/>
        <c:crosses val="autoZero"/>
        <c:auto val="1"/>
        <c:lblOffset val="100"/>
        <c:baseTimeUnit val="months"/>
      </c:dateAx>
      <c:valAx>
        <c:axId val="448266048"/>
        <c:scaling>
          <c:orientation val="minMax"/>
          <c:max val="3"/>
        </c:scaling>
        <c:delete val="0"/>
        <c:axPos val="l"/>
        <c:majorGridlines/>
        <c:numFmt formatCode="#,##0.0" sourceLinked="0"/>
        <c:majorTickMark val="out"/>
        <c:minorTickMark val="none"/>
        <c:tickLblPos val="nextTo"/>
        <c:spPr>
          <a:ln cap="flat"/>
        </c:spPr>
        <c:txPr>
          <a:bodyPr/>
          <a:lstStyle/>
          <a:p>
            <a:pPr>
              <a:defRPr>
                <a:latin typeface="Arial Narrow" pitchFamily="34" charset="0"/>
              </a:defRPr>
            </a:pPr>
            <a:endParaRPr lang="en-US"/>
          </a:p>
        </c:txPr>
        <c:crossAx val="448262784"/>
        <c:crosses val="autoZero"/>
        <c:crossBetween val="between"/>
        <c:majorUnit val="0.5"/>
      </c:valAx>
    </c:plotArea>
    <c:legend>
      <c:legendPos val="b"/>
      <c:layout>
        <c:manualLayout>
          <c:xMode val="edge"/>
          <c:yMode val="edge"/>
          <c:x val="6.2532608955795418E-2"/>
          <c:y val="0.91902607609733433"/>
          <c:w val="0.854671251199983"/>
          <c:h val="6.06880778906786E-2"/>
        </c:manualLayout>
      </c:layout>
      <c:overlay val="0"/>
      <c:txPr>
        <a:bodyPr/>
        <a:lstStyle/>
        <a:p>
          <a:pPr>
            <a:defRPr sz="800">
              <a:latin typeface="Arial Narrow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 w="254000">
      <a:solidFill>
        <a:srgbClr val="0B5258"/>
      </a:solidFill>
      <a:miter lim="800000"/>
    </a:ln>
  </c:sp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800">
                <a:latin typeface="Arial Narrow" panose="020B0606020202030204" pitchFamily="34" charset="0"/>
              </a:defRPr>
            </a:pPr>
            <a:r>
              <a:rPr lang="en-US" sz="2800">
                <a:latin typeface="Arial Narrow" panose="020B0606020202030204" pitchFamily="34" charset="0"/>
              </a:rPr>
              <a:t>Labor Cost/Case</a:t>
            </a:r>
          </a:p>
          <a:p>
            <a:pPr>
              <a:defRPr sz="2800">
                <a:latin typeface="Arial Narrow" panose="020B0606020202030204" pitchFamily="34" charset="0"/>
              </a:defRPr>
            </a:pPr>
            <a:r>
              <a:rPr lang="en-US" sz="2800">
                <a:latin typeface="Arial Narrow" panose="020B0606020202030204" pitchFamily="34" charset="0"/>
              </a:rPr>
              <a:t>2015 YTD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8253300225569131E-2"/>
          <c:y val="0.15587609130291755"/>
          <c:w val="0.90563791369426705"/>
          <c:h val="0.73683753229055793"/>
        </c:manualLayout>
      </c:layout>
      <c:lineChart>
        <c:grouping val="standard"/>
        <c:varyColors val="0"/>
        <c:ser>
          <c:idx val="0"/>
          <c:order val="0"/>
          <c:tx>
            <c:strRef>
              <c:f>'GRAPH DATA'!$A$31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solidFill>
                <a:srgbClr val="0B5258"/>
              </a:solidFill>
            </a:ln>
          </c:spPr>
          <c:marker>
            <c:spPr>
              <a:solidFill>
                <a:srgbClr val="0B5258"/>
              </a:solidFill>
              <a:ln>
                <a:solidFill>
                  <a:srgbClr val="0B5258"/>
                </a:solidFill>
              </a:ln>
            </c:spPr>
          </c:marker>
          <c:dLbls>
            <c:dLbl>
              <c:idx val="0"/>
              <c:layout>
                <c:manualLayout>
                  <c:x val="-3.5597640531902029E-2"/>
                  <c:y val="-3.0778062793457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3.3682007258524452E-2"/>
                  <c:y val="-2.62247856469254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4895396669344108E-2"/>
                  <c:y val="-2.0172912036096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3.7285696405795821E-2"/>
                  <c:y val="1.8559114790319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9288701963934308E-2"/>
                  <c:y val="2.42074944433157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2.1626187098872544E-2"/>
                  <c:y val="2.58213265859021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5681097179911246E-2"/>
                  <c:y val="2.3976946115480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3.2439280648309012E-2"/>
                  <c:y val="2.58213265859021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1.2164730243115904E-2"/>
                  <c:y val="1.65994242337941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1626187098872544E-2"/>
                  <c:y val="-2.76657070563237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319562674222778E-2"/>
                  <c:y val="2.7717262573410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9737177969897027E-2"/>
                  <c:y val="-2.2165241677015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-2.9736007260949746E-2"/>
                  <c:y val="1.84766259629808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-1.7573476889656218E-2"/>
                  <c:y val="1.840786880526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DATA'!$C$30:$M$30</c:f>
              <c:numCache>
                <c:formatCode>mmm\-yy</c:formatCode>
                <c:ptCount val="11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</c:numCache>
            </c:numRef>
          </c:cat>
          <c:val>
            <c:numRef>
              <c:f>'GRAPH DATA'!$C$31:$M$31</c:f>
              <c:numCache>
                <c:formatCode>_("$"* #,##0.00_);_("$"* \(#,##0.00\);_("$"* "-"??_);_(@_)</c:formatCode>
                <c:ptCount val="11"/>
                <c:pt idx="0">
                  <c:v>112.49804082376527</c:v>
                </c:pt>
                <c:pt idx="1">
                  <c:v>109.96205128205128</c:v>
                </c:pt>
                <c:pt idx="2">
                  <c:v>109.8802829512894</c:v>
                </c:pt>
                <c:pt idx="3">
                  <c:v>118.66903494894291</c:v>
                </c:pt>
                <c:pt idx="4">
                  <c:v>120.05016642891108</c:v>
                </c:pt>
                <c:pt idx="5">
                  <c:v>117.59322373696872</c:v>
                </c:pt>
                <c:pt idx="6">
                  <c:v>109.20528450402765</c:v>
                </c:pt>
                <c:pt idx="7">
                  <c:v>130.10862369544793</c:v>
                </c:pt>
                <c:pt idx="8">
                  <c:v>130.3032408883777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'GRAPH DATA'!$A$32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solidFill>
                <a:srgbClr val="648C1A"/>
              </a:solidFill>
            </a:ln>
          </c:spPr>
          <c:marker>
            <c:spPr>
              <a:solidFill>
                <a:srgbClr val="648C1A"/>
              </a:solidFill>
              <a:ln>
                <a:solidFill>
                  <a:srgbClr val="648C1A"/>
                </a:solidFill>
              </a:ln>
            </c:spPr>
          </c:marker>
          <c:dLbls>
            <c:dLbl>
              <c:idx val="0"/>
              <c:layout>
                <c:manualLayout>
                  <c:x val="-3.7851680967763368E-2"/>
                  <c:y val="2.85878972915344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9288701963934308E-2"/>
                  <c:y val="3.02593680541446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379677088672476E-2"/>
                  <c:y val="2.62247666604558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6134267970595197E-2"/>
                  <c:y val="-2.3919291072428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489539666934416E-2"/>
                  <c:y val="-2.42074944433157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864038545698518E-2"/>
                  <c:y val="-2.6051946758109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3.7845827423027049E-2"/>
                  <c:y val="-2.39769461154806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3.7845827423027147E-2"/>
                  <c:y val="-2.02881851746374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6494190729347516E-2"/>
                  <c:y val="-1.8443804704215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7032733873590679E-2"/>
                  <c:y val="1.47550437633725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5670241515127361E-2"/>
                  <c:y val="-2.21512999033806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3.3796345174380391E-2"/>
                  <c:y val="2.217787640937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-3.1087643954629381E-2"/>
                  <c:y val="-2.4025451869584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-1.8921789871392911E-2"/>
                  <c:y val="-1.84094649471285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DATA'!$C$30:$M$30</c:f>
              <c:numCache>
                <c:formatCode>mmm\-yy</c:formatCode>
                <c:ptCount val="11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</c:numCache>
            </c:numRef>
          </c:cat>
          <c:val>
            <c:numRef>
              <c:f>'GRAPH DATA'!$C$32:$M$32</c:f>
              <c:numCache>
                <c:formatCode>_("$"* #,##0.00_);_("$"* \(#,##0.00\);_("$"* "-"??_);_(@_)</c:formatCode>
                <c:ptCount val="11"/>
                <c:pt idx="0">
                  <c:v>119.74021877384889</c:v>
                </c:pt>
                <c:pt idx="1">
                  <c:v>123.89096388518354</c:v>
                </c:pt>
                <c:pt idx="2">
                  <c:v>123.80100605124885</c:v>
                </c:pt>
                <c:pt idx="3">
                  <c:v>126.99421371908539</c:v>
                </c:pt>
                <c:pt idx="4">
                  <c:v>127.59606129685918</c:v>
                </c:pt>
                <c:pt idx="5">
                  <c:v>169.74761403172778</c:v>
                </c:pt>
                <c:pt idx="6">
                  <c:v>166.84695284007549</c:v>
                </c:pt>
                <c:pt idx="7">
                  <c:v>117.92154907889878</c:v>
                </c:pt>
                <c:pt idx="8">
                  <c:v>118.47119799845214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'GRAPH DATA'!$A$34</c:f>
              <c:strCache>
                <c:ptCount val="1"/>
                <c:pt idx="0">
                  <c:v>Premium Costs: travelers, shift incentives, MLP OT</c:v>
                </c:pt>
              </c:strCache>
            </c:strRef>
          </c:tx>
          <c:spPr>
            <a:ln>
              <a:prstDash val="dash"/>
            </a:ln>
          </c:spPr>
          <c:dLbls>
            <c:dLbl>
              <c:idx val="0"/>
              <c:layout>
                <c:manualLayout>
                  <c:x val="-2.9288701963934308E-2"/>
                  <c:y val="-2.82420768505350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3430961571147445E-2"/>
                  <c:y val="-2.42074944433159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75313706213097E-2"/>
                  <c:y val="-2.42074944433157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1966526472950731E-2"/>
                  <c:y val="-2.42074944433159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3.0753137062131022E-2"/>
                  <c:y val="-2.01729120360966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2.7824266865737593E-2"/>
                  <c:y val="-1.81556208324868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027455040519301E-2"/>
                  <c:y val="-1.8443804704215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1.8922913711513573E-2"/>
                  <c:y val="-1.65994242337942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2.9736007260949847E-2"/>
                  <c:y val="-2.2132565645058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7032733873590779E-2"/>
                  <c:y val="-2.2132565645058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5681097179911145E-2"/>
                  <c:y val="-1.8443804704215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5681097179911145E-2"/>
                  <c:y val="-1.84438047042159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-2.7032733873590679E-2"/>
                  <c:y val="-1.65994242337942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-2.5681097179911343E-2"/>
                  <c:y val="-1.84438047042159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DATA'!$C$30:$M$30</c:f>
              <c:numCache>
                <c:formatCode>mmm\-yy</c:formatCode>
                <c:ptCount val="11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</c:numCache>
            </c:numRef>
          </c:cat>
          <c:val>
            <c:numRef>
              <c:f>'GRAPH DATA'!$C$34:$M$34</c:f>
              <c:numCache>
                <c:formatCode>_("$"* #,##0.00_);_("$"* \(#,##0.00\);_("$"* "-"??_);_(@_)</c:formatCode>
                <c:ptCount val="11"/>
                <c:pt idx="0">
                  <c:v>6.3776274166878641</c:v>
                </c:pt>
                <c:pt idx="1">
                  <c:v>7.3517496665184536</c:v>
                </c:pt>
                <c:pt idx="2">
                  <c:v>7.0612352765395832</c:v>
                </c:pt>
                <c:pt idx="3">
                  <c:v>9.3229209441592786</c:v>
                </c:pt>
                <c:pt idx="4">
                  <c:v>9.7513202095997968</c:v>
                </c:pt>
                <c:pt idx="5">
                  <c:v>10.875494709374701</c:v>
                </c:pt>
                <c:pt idx="6">
                  <c:v>14.247882833787466</c:v>
                </c:pt>
                <c:pt idx="7">
                  <c:v>4.6730074140801996</c:v>
                </c:pt>
                <c:pt idx="8">
                  <c:v>4.5950540292670814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256800"/>
        <c:axId val="448254080"/>
      </c:lineChart>
      <c:dateAx>
        <c:axId val="4482568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 Narrow" panose="020B0606020202030204" pitchFamily="34" charset="0"/>
              </a:defRPr>
            </a:pPr>
            <a:endParaRPr lang="en-US"/>
          </a:p>
        </c:txPr>
        <c:crossAx val="448254080"/>
        <c:crosses val="autoZero"/>
        <c:auto val="1"/>
        <c:lblOffset val="100"/>
        <c:baseTimeUnit val="months"/>
      </c:dateAx>
      <c:valAx>
        <c:axId val="448254080"/>
        <c:scaling>
          <c:orientation val="minMax"/>
          <c:max val="200"/>
          <c:min val="0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>
                <a:latin typeface="Arial Narrow" panose="020B0606020202030204" pitchFamily="34" charset="0"/>
              </a:defRPr>
            </a:pPr>
            <a:endParaRPr lang="en-US"/>
          </a:p>
        </c:txPr>
        <c:crossAx val="44825680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1114017688069792"/>
          <c:y val="0.9451060118295862"/>
          <c:w val="0.57771964623860417"/>
          <c:h val="3.4721076134317283E-2"/>
        </c:manualLayout>
      </c:layout>
      <c:overlay val="0"/>
      <c:txPr>
        <a:bodyPr/>
        <a:lstStyle/>
        <a:p>
          <a:pPr>
            <a:defRPr>
              <a:latin typeface="Arial Narrow" panose="020B0606020202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 w="254000">
      <a:solidFill>
        <a:srgbClr val="0B5258"/>
      </a:solidFill>
      <a:miter lim="800000"/>
    </a:ln>
  </c:sp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200" b="1" i="0" u="none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</a:rPr>
              <a:t>Premium Hours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245155221939946E-2"/>
          <c:y val="0.16160627969129188"/>
          <c:w val="0.88586399118418691"/>
          <c:h val="0.60594142062836664"/>
        </c:manualLayout>
      </c:layout>
      <c:lineChart>
        <c:grouping val="standard"/>
        <c:varyColors val="0"/>
        <c:ser>
          <c:idx val="0"/>
          <c:order val="0"/>
          <c:tx>
            <c:strRef>
              <c:f>'EDP PREMIUM LABOR (COST &amp; HRS)'!$C$19</c:f>
              <c:strCache>
                <c:ptCount val="1"/>
                <c:pt idx="0">
                  <c:v>Transition Team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747827169487705E-2"/>
                  <c:y val="-4.5978066616913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9694166901048053E-2"/>
                  <c:y val="-4.59780666169139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'EDP PREMIUM LABOR (COST &amp; HRS)'!$B$20:$B$31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'EDP PREMIUM LABOR (COST &amp; HRS)'!$C$20:$C$31</c:f>
              <c:numCache>
                <c:formatCode>#,##0</c:formatCode>
                <c:ptCount val="12"/>
                <c:pt idx="0">
                  <c:v>2542</c:v>
                </c:pt>
                <c:pt idx="1">
                  <c:v>2253</c:v>
                </c:pt>
                <c:pt idx="2">
                  <c:v>2443</c:v>
                </c:pt>
                <c:pt idx="3">
                  <c:v>2728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'EDP PREMIUM LABOR (COST &amp; HRS)'!$D$19</c:f>
              <c:strCache>
                <c:ptCount val="1"/>
                <c:pt idx="0">
                  <c:v>Shift Incentive</c:v>
                </c:pt>
              </c:strCache>
            </c:strRef>
          </c:tx>
          <c:spPr>
            <a:ln w="6350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4190277707335281E-2"/>
                  <c:y val="-1.6204104422997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5227980062983248E-2"/>
                  <c:y val="-2.6214711521260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3826769415104341E-2"/>
                      <c:h val="8.4479764925871503E-2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'EDP PREMIUM LABOR (COST &amp; HRS)'!$B$20:$B$31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'EDP PREMIUM LABOR (COST &amp; HRS)'!$D$20:$D$31</c:f>
              <c:numCache>
                <c:formatCode>#,##0</c:formatCode>
                <c:ptCount val="12"/>
                <c:pt idx="0">
                  <c:v>69</c:v>
                </c:pt>
                <c:pt idx="1">
                  <c:v>111</c:v>
                </c:pt>
                <c:pt idx="2">
                  <c:v>34</c:v>
                </c:pt>
                <c:pt idx="3">
                  <c:v>240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'EDP PREMIUM LABOR (COST &amp; HRS)'!$E$19</c:f>
              <c:strCache>
                <c:ptCount val="1"/>
                <c:pt idx="0">
                  <c:v>Locum</c:v>
                </c:pt>
              </c:strCache>
            </c:strRef>
          </c:tx>
          <c:spPr>
            <a:ln w="635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801791749468626E-2"/>
                  <c:y val="-3.67984994660310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3.1117238326655385E-2"/>
                  <c:y val="-3.22087158905897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'EDP PREMIUM LABOR (COST &amp; HRS)'!$B$20:$B$31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'EDP PREMIUM LABOR (COST &amp; HRS)'!$E$20:$E$31</c:f>
              <c:numCache>
                <c:formatCode>#,##0</c:formatCode>
                <c:ptCount val="12"/>
                <c:pt idx="0">
                  <c:v>482</c:v>
                </c:pt>
                <c:pt idx="1">
                  <c:v>594</c:v>
                </c:pt>
                <c:pt idx="2">
                  <c:v>438</c:v>
                </c:pt>
                <c:pt idx="3">
                  <c:v>438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58432"/>
        <c:axId val="448258976"/>
      </c:lineChart>
      <c:dateAx>
        <c:axId val="448258432"/>
        <c:scaling>
          <c:orientation val="minMax"/>
        </c:scaling>
        <c:delete val="0"/>
        <c:axPos val="b"/>
        <c:minorGridlines>
          <c:spPr>
            <a:ln w="3175" cap="flat" cmpd="sng" algn="ctr">
              <a:noFill/>
              <a:round/>
            </a:ln>
            <a:effectLst/>
          </c:spPr>
        </c:minorGridlines>
        <c:numFmt formatCode="mmm\-yy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8258976"/>
        <c:crosses val="autoZero"/>
        <c:auto val="0"/>
        <c:lblOffset val="100"/>
        <c:baseTimeUnit val="months"/>
      </c:dateAx>
      <c:valAx>
        <c:axId val="448258976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825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>
                  <a:lumMod val="7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0" cap="flat" cmpd="sng" algn="ctr">
      <a:solidFill>
        <a:srgbClr val="0B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200" b="1" i="0" u="none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</a:rPr>
              <a:t>Premium Costs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894475204733683"/>
          <c:y val="0.12176641139556799"/>
          <c:w val="0.83536479905329752"/>
          <c:h val="0.6437597679344883"/>
        </c:manualLayout>
      </c:layout>
      <c:lineChart>
        <c:grouping val="standard"/>
        <c:varyColors val="0"/>
        <c:ser>
          <c:idx val="0"/>
          <c:order val="0"/>
          <c:tx>
            <c:strRef>
              <c:f>'EDP PREMIUM LABOR (COST &amp; HRS)'!$C$36</c:f>
              <c:strCache>
                <c:ptCount val="1"/>
                <c:pt idx="0">
                  <c:v>Transition Team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4743039003536572E-2"/>
                  <c:y val="-8.0408853666752393E-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8733015825361514E-2"/>
                  <c:y val="4.512623943298333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2154823801270984E-2"/>
                  <c:y val="-1.38734676899384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002B5C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'EDP PREMIUM LABOR (COST &amp; HRS)'!$B$37:$B$48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'EDP PREMIUM LABOR (COST &amp; HRS)'!$C$37:$C$48</c:f>
              <c:numCache>
                <c:formatCode>_("$"* #,##0_);_("$"* \(#,##0\);_("$"* "-"??_);_(@_)</c:formatCode>
                <c:ptCount val="12"/>
                <c:pt idx="0">
                  <c:v>479749.4</c:v>
                </c:pt>
                <c:pt idx="1">
                  <c:v>108007.2</c:v>
                </c:pt>
                <c:pt idx="2">
                  <c:v>119379.3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'EDP PREMIUM LABOR (COST &amp; HRS)'!$D$36</c:f>
              <c:strCache>
                <c:ptCount val="1"/>
                <c:pt idx="0">
                  <c:v>Shift Incentive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1"/>
            <c:bubble3D val="0"/>
          </c:dPt>
          <c:dLbls>
            <c:dLbl>
              <c:idx val="0"/>
              <c:layout>
                <c:manualLayout>
                  <c:x val="-5.57339614142651E-2"/>
                  <c:y val="-2.7680204571714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3.6715748486378541E-2"/>
                  <c:y val="-2.7680323040882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334002010580525E-2"/>
                  <c:y val="-3.22642656297346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'EDP PREMIUM LABOR (COST &amp; HRS)'!$B$37:$B$48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'EDP PREMIUM LABOR (COST &amp; HRS)'!$D$37:$D$48</c:f>
              <c:numCache>
                <c:formatCode>_("$"* #,##0_);_("$"* \(#,##0\);_("$"* "-"??_);_(@_)</c:formatCode>
                <c:ptCount val="12"/>
                <c:pt idx="0">
                  <c:v>42081</c:v>
                </c:pt>
                <c:pt idx="1">
                  <c:v>40083</c:v>
                </c:pt>
                <c:pt idx="2">
                  <c:v>39240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'EDP PREMIUM LABOR (COST &amp; HRS)'!$E$36</c:f>
              <c:strCache>
                <c:ptCount val="1"/>
                <c:pt idx="0">
                  <c:v>Locum</c:v>
                </c:pt>
              </c:strCache>
            </c:strRef>
          </c:tx>
          <c:spPr>
            <a:ln w="635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536300250477002E-2"/>
                  <c:y val="-1.35007189710565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4919765578595945E-2"/>
                  <c:y val="-1.35007189710565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0837666088965959E-2"/>
                  <c:y val="-4.678068720040369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'EDP PREMIUM LABOR (COST &amp; HRS)'!$E$37:$E$48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61152"/>
        <c:axId val="448261696"/>
      </c:lineChart>
      <c:dateAx>
        <c:axId val="448261152"/>
        <c:scaling>
          <c:orientation val="minMax"/>
        </c:scaling>
        <c:delete val="0"/>
        <c:axPos val="b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mmm\-yy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8261696"/>
        <c:crossesAt val="0"/>
        <c:auto val="1"/>
        <c:lblOffset val="100"/>
        <c:baseTimeUnit val="months"/>
      </c:dateAx>
      <c:valAx>
        <c:axId val="448261696"/>
        <c:scaling>
          <c:orientation val="minMax"/>
        </c:scaling>
        <c:delete val="0"/>
        <c:axPos val="l"/>
        <c:majorGridlines>
          <c:spPr>
            <a:ln w="0" cap="flat" cmpd="sng" algn="ctr">
              <a:noFill/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 w="9525"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826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>
                  <a:lumMod val="7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0" cap="flat" cmpd="sng" algn="ctr">
      <a:solidFill>
        <a:srgbClr val="0B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200" b="1" i="0" u="none" baseline="0">
                <a:solidFill>
                  <a:srgbClr val="002B5C"/>
                </a:solidFill>
                <a:latin typeface="Arial Narrow" panose="020B0606020202030204" pitchFamily="34" charset="0"/>
              </a:rPr>
              <a:t>EDP Hours</a:t>
            </a:r>
          </a:p>
        </c:rich>
      </c:tx>
      <c:layout>
        <c:manualLayout>
          <c:xMode val="edge"/>
          <c:yMode val="edge"/>
          <c:x val="0.42227275588810187"/>
          <c:y val="5.11999569974114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4729129655704005E-2"/>
          <c:y val="0.14550093816194173"/>
          <c:w val="0.86439304836235609"/>
          <c:h val="0.58424559853388047"/>
        </c:manualLayout>
      </c:layout>
      <c:lineChart>
        <c:grouping val="standard"/>
        <c:varyColors val="0"/>
        <c:ser>
          <c:idx val="0"/>
          <c:order val="0"/>
          <c:tx>
            <c:strRef>
              <c:f>'BUDGET HOURS'!$C$21</c:f>
              <c:strCache>
                <c:ptCount val="1"/>
                <c:pt idx="0">
                  <c:v>EDP Budget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789310440661417E-2"/>
                  <c:y val="2.3392064342623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2604008162500711E-2"/>
                  <c:y val="8.530302546727519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4.457053975994632E-2"/>
                  <c:y val="-2.99412241963471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8.007419338493544E-3"/>
                  <c:y val="-3.4207887279464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002B5C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'BUDGET HOURS'!$B$22:$B$33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'BUDGET HOURS'!$C$22:$C$33</c:f>
              <c:numCache>
                <c:formatCode>#,##0</c:formatCode>
                <c:ptCount val="12"/>
                <c:pt idx="0">
                  <c:v>946.85670765027317</c:v>
                </c:pt>
                <c:pt idx="1">
                  <c:v>947.62670765027315</c:v>
                </c:pt>
                <c:pt idx="2">
                  <c:v>953.62670765027315</c:v>
                </c:pt>
                <c:pt idx="3">
                  <c:v>953.62670765027315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'BUDGET HOURS'!$D$21</c:f>
              <c:strCache>
                <c:ptCount val="1"/>
                <c:pt idx="0">
                  <c:v>EDP Actual</c:v>
                </c:pt>
              </c:strCache>
            </c:strRef>
          </c:tx>
          <c:spPr>
            <a:ln w="635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9167128583953543E-2"/>
                  <c:y val="-4.26330350588681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4.9167128583953508E-2"/>
                  <c:y val="-1.7063292755239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195126145644483E-2"/>
                  <c:y val="-2.55250599264588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5070208868504862E-2"/>
                  <c:y val="3.42082232371878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002B5C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'BUDGET HOURS'!$B$22:$B$33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'BUDGET HOURS'!$D$22:$D$33</c:f>
              <c:numCache>
                <c:formatCode>#,##0</c:formatCode>
                <c:ptCount val="12"/>
                <c:pt idx="0">
                  <c:v>950.54838709677415</c:v>
                </c:pt>
                <c:pt idx="1">
                  <c:v>956.72413793103453</c:v>
                </c:pt>
                <c:pt idx="2">
                  <c:v>958.55387096774189</c:v>
                </c:pt>
                <c:pt idx="3">
                  <c:v>949.37766666666676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21926432"/>
        <c:axId val="-1921922624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'BUDGET HOURS'!$E$21</c15:sqref>
                        </c15:formulaRef>
                      </c:ext>
                    </c:extLst>
                    <c:strCache>
                      <c:ptCount val="1"/>
                      <c:pt idx="0">
                        <c:v>QC PCP Budget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'BUDGET HOURS'!$B$22:$B$33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42370</c:v>
                      </c:pt>
                      <c:pt idx="1">
                        <c:v>42401</c:v>
                      </c:pt>
                      <c:pt idx="2">
                        <c:v>42430</c:v>
                      </c:pt>
                      <c:pt idx="3">
                        <c:v>42461</c:v>
                      </c:pt>
                      <c:pt idx="4">
                        <c:v>42491</c:v>
                      </c:pt>
                      <c:pt idx="5">
                        <c:v>42522</c:v>
                      </c:pt>
                      <c:pt idx="6">
                        <c:v>42552</c:v>
                      </c:pt>
                      <c:pt idx="7">
                        <c:v>42583</c:v>
                      </c:pt>
                      <c:pt idx="8">
                        <c:v>42614</c:v>
                      </c:pt>
                      <c:pt idx="9">
                        <c:v>42644</c:v>
                      </c:pt>
                      <c:pt idx="10">
                        <c:v>42675</c:v>
                      </c:pt>
                      <c:pt idx="11">
                        <c:v>42705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'BUDGET HOURS'!$E$22:$E$31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24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'BUDGET HOURS'!$F$21</c15:sqref>
                        </c15:formulaRef>
                      </c:ext>
                    </c:extLst>
                    <c:strCache>
                      <c:ptCount val="1"/>
                      <c:pt idx="0">
                        <c:v>QC PCP 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'BUDGET HOURS'!$B$22:$B$33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42370</c:v>
                      </c:pt>
                      <c:pt idx="1">
                        <c:v>42401</c:v>
                      </c:pt>
                      <c:pt idx="2">
                        <c:v>42430</c:v>
                      </c:pt>
                      <c:pt idx="3">
                        <c:v>42461</c:v>
                      </c:pt>
                      <c:pt idx="4">
                        <c:v>42491</c:v>
                      </c:pt>
                      <c:pt idx="5">
                        <c:v>42522</c:v>
                      </c:pt>
                      <c:pt idx="6">
                        <c:v>42552</c:v>
                      </c:pt>
                      <c:pt idx="7">
                        <c:v>42583</c:v>
                      </c:pt>
                      <c:pt idx="8">
                        <c:v>42614</c:v>
                      </c:pt>
                      <c:pt idx="9">
                        <c:v>42644</c:v>
                      </c:pt>
                      <c:pt idx="10">
                        <c:v>42675</c:v>
                      </c:pt>
                      <c:pt idx="11">
                        <c:v>42705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'BUDGET HOURS'!$F$22:$F$31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24</c:v>
                      </c:pt>
                      <c:pt idx="1">
                        <c:v>22.905172413793103</c:v>
                      </c:pt>
                      <c:pt idx="2">
                        <c:v>22.258064516129032</c:v>
                      </c:pt>
                      <c:pt idx="3">
                        <c:v>22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21926432"/>
        <c:scaling>
          <c:orientation val="minMax"/>
        </c:scaling>
        <c:delete val="0"/>
        <c:axPos val="b"/>
        <c:minorGridlines>
          <c:spPr>
            <a:ln w="3175" cap="flat" cmpd="sng" algn="ctr">
              <a:noFill/>
              <a:round/>
            </a:ln>
            <a:effectLst/>
          </c:spPr>
        </c:minorGridlines>
        <c:numFmt formatCode="mmm\-yy" sourceLinked="1"/>
        <c:majorTickMark val="in"/>
        <c:minorTickMark val="in"/>
        <c:tickLblPos val="low"/>
        <c:spPr>
          <a:noFill/>
          <a:ln w="9525" cap="flat" cmpd="sng" algn="ctr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30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-1921922624"/>
        <c:crosses val="autoZero"/>
        <c:auto val="0"/>
        <c:lblAlgn val="ctr"/>
        <c:lblOffset val="100"/>
        <c:tickMarkSkip val="2"/>
        <c:noMultiLvlLbl val="1"/>
      </c:catAx>
      <c:valAx>
        <c:axId val="-1921922624"/>
        <c:scaling>
          <c:orientation val="minMax"/>
          <c:max val="990"/>
          <c:min val="940"/>
        </c:scaling>
        <c:delete val="0"/>
        <c:axPos val="l"/>
        <c:majorGridlines>
          <c:spPr>
            <a:ln w="3175" cap="flat" cmpd="sng" algn="ctr">
              <a:noFill/>
              <a:prstDash val="sysDot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-1921926432"/>
        <c:crosses val="autoZero"/>
        <c:crossBetween val="between"/>
        <c:majorUnit val="5"/>
        <c:min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198085743108477"/>
          <c:y val="0.89253518737202109"/>
          <c:w val="0.38141284503685868"/>
          <c:h val="9.46648233786260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>
                  <a:lumMod val="7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0" cap="flat" cmpd="sng" algn="ctr">
      <a:solidFill>
        <a:srgbClr val="0B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200" b="1" baseline="0">
                <a:solidFill>
                  <a:srgbClr val="002B5C"/>
                </a:solidFill>
                <a:latin typeface="Arial Narrow" panose="020B0606020202030204" pitchFamily="34" charset="0"/>
              </a:rPr>
              <a:t>MLP Hours</a:t>
            </a:r>
          </a:p>
        </c:rich>
      </c:tx>
      <c:layout>
        <c:manualLayout>
          <c:xMode val="edge"/>
          <c:yMode val="edge"/>
          <c:x val="0.410306022454483"/>
          <c:y val="3.83386581469648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093362469931608"/>
          <c:y val="0.14526091586794462"/>
          <c:w val="0.85219136568884635"/>
          <c:h val="0.60952797833178196"/>
        </c:manualLayout>
      </c:layout>
      <c:lineChart>
        <c:grouping val="standard"/>
        <c:varyColors val="0"/>
        <c:ser>
          <c:idx val="0"/>
          <c:order val="0"/>
          <c:tx>
            <c:strRef>
              <c:f>'BUDGET HOURS'!$C$38</c:f>
              <c:strCache>
                <c:ptCount val="1"/>
                <c:pt idx="0">
                  <c:v>Budget</c:v>
                </c:pt>
              </c:strCache>
            </c:strRef>
          </c:tx>
          <c:spPr>
            <a:ln w="635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5996156495274875E-2"/>
                  <c:y val="-2.012527986717315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9954484488698425E-2"/>
                  <c:y val="-2.75716334180272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6783962185031616E-2"/>
                  <c:y val="-4.2523710095343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971460583058684E-2"/>
                  <c:y val="-2.54843064744703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rgbClr val="002B5C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'BUDGET HOURS'!$B$39:$B$50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'BUDGET HOURS'!$C$39:$C$50</c:f>
              <c:numCache>
                <c:formatCode>#,##0</c:formatCode>
                <c:ptCount val="12"/>
                <c:pt idx="0">
                  <c:v>438.92480874316936</c:v>
                </c:pt>
                <c:pt idx="1">
                  <c:v>438.64480874316939</c:v>
                </c:pt>
                <c:pt idx="2">
                  <c:v>431.90295081967213</c:v>
                </c:pt>
                <c:pt idx="3">
                  <c:v>431.81967213114751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'BUDGET HOURS'!$D$38</c:f>
              <c:strCache>
                <c:ptCount val="1"/>
                <c:pt idx="0">
                  <c:v>Actual</c:v>
                </c:pt>
              </c:strCache>
            </c:strRef>
          </c:tx>
          <c:spPr>
            <a:ln w="63500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8183654893301953E-2"/>
                  <c:y val="2.75719688393583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7350317288040781E-2"/>
                  <c:y val="-2.78060929284797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4.7617299790292771E-2"/>
                  <c:y val="4.185387369709776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1575627783716328E-2"/>
                  <c:y val="3.40043437062379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rgbClr val="002B5C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'BUDGET HOURS'!$B$39:$B$50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'BUDGET HOURS'!$D$39:$D$50</c:f>
              <c:numCache>
                <c:formatCode>#,##0</c:formatCode>
                <c:ptCount val="12"/>
                <c:pt idx="0">
                  <c:v>430.72580645161293</c:v>
                </c:pt>
                <c:pt idx="1">
                  <c:v>449.32989447899001</c:v>
                </c:pt>
                <c:pt idx="2">
                  <c:v>429.64516129032256</c:v>
                </c:pt>
                <c:pt idx="3">
                  <c:v>420.45967741935482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21922080"/>
        <c:axId val="-1921926976"/>
      </c:lineChart>
      <c:dateAx>
        <c:axId val="-1921922080"/>
        <c:scaling>
          <c:orientation val="minMax"/>
        </c:scaling>
        <c:delete val="0"/>
        <c:axPos val="b"/>
        <c:minorGridlines>
          <c:spPr>
            <a:ln w="3175" cap="flat" cmpd="sng" algn="ctr">
              <a:noFill/>
              <a:round/>
            </a:ln>
            <a:effectLst/>
          </c:spPr>
        </c:minorGridlines>
        <c:numFmt formatCode="mmm\-yy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txPr>
          <a:bodyPr rot="-30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-1921926976"/>
        <c:crosses val="autoZero"/>
        <c:auto val="0"/>
        <c:lblOffset val="100"/>
        <c:baseTimeUnit val="months"/>
      </c:dateAx>
      <c:valAx>
        <c:axId val="-1921926976"/>
        <c:scaling>
          <c:orientation val="minMax"/>
          <c:max val="500"/>
          <c:min val="4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accen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-192192208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93678886499117"/>
          <c:y val="0.9055708451778991"/>
          <c:w val="0.3361262172174822"/>
          <c:h val="6.88700493907910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2B5C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0" cap="flat" cmpd="sng" algn="ctr">
      <a:solidFill>
        <a:srgbClr val="0B5258"/>
      </a:solidFill>
      <a:miter lim="800000"/>
    </a:ln>
    <a:effectLst/>
  </c:spPr>
  <c:txPr>
    <a:bodyPr/>
    <a:lstStyle/>
    <a:p>
      <a:pPr>
        <a:defRPr baseline="0">
          <a:latin typeface="Arial Black" panose="020B0A040201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200" b="1" i="0" u="none" baseline="0">
                <a:solidFill>
                  <a:srgbClr val="002B5C"/>
                </a:solidFill>
                <a:latin typeface="Arial Narrow" panose="020B0606020202030204" pitchFamily="34" charset="0"/>
              </a:rPr>
              <a:t>Scribe Hours</a:t>
            </a:r>
          </a:p>
        </c:rich>
      </c:tx>
      <c:layout>
        <c:manualLayout>
          <c:xMode val="edge"/>
          <c:yMode val="edge"/>
          <c:x val="0.38975534112515686"/>
          <c:y val="2.547769848782169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7560315398988486E-2"/>
          <c:y val="0.12286837425201057"/>
          <c:w val="0.88346960805264685"/>
          <c:h val="0.66079286463952902"/>
        </c:manualLayout>
      </c:layout>
      <c:lineChart>
        <c:grouping val="standard"/>
        <c:varyColors val="0"/>
        <c:ser>
          <c:idx val="0"/>
          <c:order val="0"/>
          <c:tx>
            <c:strRef>
              <c:f>'BUDGET HOURS'!$C$55</c:f>
              <c:strCache>
                <c:ptCount val="1"/>
                <c:pt idx="0">
                  <c:v>Budget</c:v>
                </c:pt>
              </c:strCache>
            </c:strRef>
          </c:tx>
          <c:spPr>
            <a:ln w="635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012630206192908E-2"/>
                  <c:y val="-2.54743549578364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1609707450451758E-2"/>
                  <c:y val="-2.9720638039140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5845621071896283E-2"/>
                  <c:y val="-2.96494208504535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8629197968208044E-2"/>
                  <c:y val="-2.54031377691500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'BUDGET HOURS'!$B$56:$B$67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'BUDGET HOURS'!$C$56:$C$67</c:f>
              <c:numCache>
                <c:formatCode>0</c:formatCode>
                <c:ptCount val="12"/>
                <c:pt idx="0">
                  <c:v>452</c:v>
                </c:pt>
                <c:pt idx="1">
                  <c:v>451.90451612903223</c:v>
                </c:pt>
                <c:pt idx="2">
                  <c:v>452</c:v>
                </c:pt>
                <c:pt idx="3">
                  <c:v>452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'BUDGET HOURS'!$D$55</c:f>
              <c:strCache>
                <c:ptCount val="1"/>
                <c:pt idx="0">
                  <c:v>Actual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9445476413569401E-2"/>
                  <c:y val="-2.5480707664808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3.9445476413569415E-2"/>
                  <c:y val="5.09523877986566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6.4815697620260931E-2"/>
                  <c:y val="4.172056715630434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7494890382961002E-2"/>
                  <c:y val="-4.320509446976796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'BUDGET HOURS'!$B$56:$B$67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'BUDGET HOURS'!$D$56:$D$67</c:f>
              <c:numCache>
                <c:formatCode>0</c:formatCode>
                <c:ptCount val="12"/>
                <c:pt idx="0">
                  <c:v>476.58032258064509</c:v>
                </c:pt>
                <c:pt idx="1">
                  <c:v>461.53275862068966</c:v>
                </c:pt>
                <c:pt idx="2">
                  <c:v>492.43193548387097</c:v>
                </c:pt>
                <c:pt idx="3">
                  <c:v>451.81966666666671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21924256"/>
        <c:axId val="-1921923712"/>
      </c:lineChart>
      <c:catAx>
        <c:axId val="-1921924256"/>
        <c:scaling>
          <c:orientation val="minMax"/>
        </c:scaling>
        <c:delete val="0"/>
        <c:axPos val="b"/>
        <c:minorGridlines>
          <c:spPr>
            <a:ln w="3175" cap="flat" cmpd="sng" algn="ctr">
              <a:noFill/>
              <a:round/>
            </a:ln>
            <a:effectLst/>
          </c:spPr>
        </c:minorGridlines>
        <c:numFmt formatCode="mmm\-yy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0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-1921923712"/>
        <c:crosses val="autoZero"/>
        <c:auto val="0"/>
        <c:lblAlgn val="ctr"/>
        <c:lblOffset val="50"/>
        <c:tickMarkSkip val="2"/>
        <c:noMultiLvlLbl val="1"/>
      </c:catAx>
      <c:valAx>
        <c:axId val="-1921923712"/>
        <c:scaling>
          <c:orientation val="minMax"/>
          <c:max val="600"/>
          <c:min val="330"/>
        </c:scaling>
        <c:delete val="0"/>
        <c:axPos val="l"/>
        <c:majorGridlines>
          <c:spPr>
            <a:ln w="317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-1921924256"/>
        <c:crosses val="autoZero"/>
        <c:crossBetween val="between"/>
        <c:majorUnit val="50"/>
        <c:min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972394369284215"/>
          <c:y val="0.90587795914941938"/>
          <c:w val="0.32055189343503254"/>
          <c:h val="8.1473801269270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>
                  <a:lumMod val="7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0" cap="flat" cmpd="sng" algn="ctr">
      <a:solidFill>
        <a:srgbClr val="0B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200" b="1" i="0" u="none" baseline="0">
                <a:solidFill>
                  <a:srgbClr val="002B5C"/>
                </a:solidFill>
                <a:latin typeface="Arial Narrow" panose="020B0606020202030204" pitchFamily="34" charset="0"/>
              </a:rPr>
              <a:t>QC - PCP Hours</a:t>
            </a:r>
          </a:p>
        </c:rich>
      </c:tx>
      <c:layout>
        <c:manualLayout>
          <c:xMode val="edge"/>
          <c:yMode val="edge"/>
          <c:x val="0.39597520338374009"/>
          <c:y val="3.82165605095541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9431365833504023E-2"/>
          <c:y val="0.16598726114649684"/>
          <c:w val="0.8434845602582306"/>
          <c:h val="0.59803032582710602"/>
        </c:manualLayout>
      </c:layout>
      <c:lineChart>
        <c:grouping val="standard"/>
        <c:varyColors val="0"/>
        <c:ser>
          <c:idx val="3"/>
          <c:order val="2"/>
          <c:tx>
            <c:strRef>
              <c:f>'BUDGET HOURS'!$E$21</c:f>
              <c:strCache>
                <c:ptCount val="1"/>
                <c:pt idx="0">
                  <c:v>QC PCP Budget</c:v>
                </c:pt>
              </c:strCache>
            </c:strRef>
          </c:tx>
          <c:spPr>
            <a:ln w="6350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bubble3D val="0"/>
          </c:dPt>
          <c:dLbls>
            <c:dLbl>
              <c:idx val="0"/>
              <c:layout>
                <c:manualLayout>
                  <c:x val="-5.2087029359537171E-2"/>
                  <c:y val="-3.21564103850076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5.46962911706073E-2"/>
                  <c:y val="2.30452881287928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3698671762465953E-2"/>
                  <c:y val="2.5552267749970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6307933573536085E-2"/>
                  <c:y val="2.5552267749970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'BUDGET HOURS'!$B$22:$B$33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'BUDGET HOURS'!$E$22:$E$33</c:f>
              <c:numCache>
                <c:formatCode>#,##0</c:formatCode>
                <c:ptCount val="12"/>
                <c:pt idx="0">
                  <c:v>24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</c:numCache>
            </c:numRef>
          </c:val>
          <c:smooth val="0"/>
        </c:ser>
        <c:ser>
          <c:idx val="2"/>
          <c:order val="3"/>
          <c:tx>
            <c:strRef>
              <c:f>'BUDGET HOURS'!$F$21</c:f>
              <c:strCache>
                <c:ptCount val="1"/>
                <c:pt idx="0">
                  <c:v>QC PCP Actual</c:v>
                </c:pt>
              </c:strCache>
            </c:strRef>
          </c:tx>
          <c:spPr>
            <a:ln w="635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2185236221402882E-3"/>
                  <c:y val="-8.49256900212318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5655570866420793E-2"/>
                  <c:y val="-2.12314225053078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609261811070137E-2"/>
                  <c:y val="-3.39702760084925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7.8277854332103967E-3"/>
                  <c:y val="-8.492569002123220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5.6594888682111169E-2"/>
                  <c:y val="-1.28130798936757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'BUDGET HOURS'!$B$22:$B$33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'BUDGET HOURS'!$F$22:$F$33</c:f>
              <c:numCache>
                <c:formatCode>#,##0</c:formatCode>
                <c:ptCount val="12"/>
                <c:pt idx="0">
                  <c:v>24</c:v>
                </c:pt>
                <c:pt idx="1">
                  <c:v>22.905172413793103</c:v>
                </c:pt>
                <c:pt idx="2">
                  <c:v>22.258064516129032</c:v>
                </c:pt>
                <c:pt idx="3">
                  <c:v>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21920992"/>
        <c:axId val="-19219280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'BUDGET HOURS'!$C$21</c15:sqref>
                        </c15:formulaRef>
                      </c:ext>
                    </c:extLst>
                    <c:strCache>
                      <c:ptCount val="1"/>
                      <c:pt idx="0">
                        <c:v>EDP Budget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'BUDGET HOURS'!$B$22:$B$33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42370</c:v>
                      </c:pt>
                      <c:pt idx="1">
                        <c:v>42401</c:v>
                      </c:pt>
                      <c:pt idx="2">
                        <c:v>42430</c:v>
                      </c:pt>
                      <c:pt idx="3">
                        <c:v>42461</c:v>
                      </c:pt>
                      <c:pt idx="4">
                        <c:v>42491</c:v>
                      </c:pt>
                      <c:pt idx="5">
                        <c:v>42522</c:v>
                      </c:pt>
                      <c:pt idx="6">
                        <c:v>42552</c:v>
                      </c:pt>
                      <c:pt idx="7">
                        <c:v>42583</c:v>
                      </c:pt>
                      <c:pt idx="8">
                        <c:v>42614</c:v>
                      </c:pt>
                      <c:pt idx="9">
                        <c:v>42644</c:v>
                      </c:pt>
                      <c:pt idx="10">
                        <c:v>42675</c:v>
                      </c:pt>
                      <c:pt idx="11">
                        <c:v>42705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'BUDGET HOURS'!$C$22:$C$33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946.85670765027317</c:v>
                      </c:pt>
                      <c:pt idx="1">
                        <c:v>947.62670765027315</c:v>
                      </c:pt>
                      <c:pt idx="2">
                        <c:v>953.62670765027315</c:v>
                      </c:pt>
                      <c:pt idx="3">
                        <c:v>953.62670765027315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'BUDGET HOURS'!$D$21</c15:sqref>
                        </c15:formulaRef>
                      </c:ext>
                    </c:extLst>
                    <c:strCache>
                      <c:ptCount val="1"/>
                      <c:pt idx="0">
                        <c:v>EDP 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'BUDGET HOURS'!$B$22:$B$33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42370</c:v>
                      </c:pt>
                      <c:pt idx="1">
                        <c:v>42401</c:v>
                      </c:pt>
                      <c:pt idx="2">
                        <c:v>42430</c:v>
                      </c:pt>
                      <c:pt idx="3">
                        <c:v>42461</c:v>
                      </c:pt>
                      <c:pt idx="4">
                        <c:v>42491</c:v>
                      </c:pt>
                      <c:pt idx="5">
                        <c:v>42522</c:v>
                      </c:pt>
                      <c:pt idx="6">
                        <c:v>42552</c:v>
                      </c:pt>
                      <c:pt idx="7">
                        <c:v>42583</c:v>
                      </c:pt>
                      <c:pt idx="8">
                        <c:v>42614</c:v>
                      </c:pt>
                      <c:pt idx="9">
                        <c:v>42644</c:v>
                      </c:pt>
                      <c:pt idx="10">
                        <c:v>42675</c:v>
                      </c:pt>
                      <c:pt idx="11">
                        <c:v>42705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'BUDGET HOURS'!$D$22:$D$31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950.54838709677415</c:v>
                      </c:pt>
                      <c:pt idx="1">
                        <c:v>956.72413793103453</c:v>
                      </c:pt>
                      <c:pt idx="2">
                        <c:v>958.55387096774189</c:v>
                      </c:pt>
                      <c:pt idx="3">
                        <c:v>949.37766666666676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-1921920992"/>
        <c:scaling>
          <c:orientation val="minMax"/>
        </c:scaling>
        <c:delete val="0"/>
        <c:axPos val="b"/>
        <c:minorGridlines>
          <c:spPr>
            <a:ln w="3175" cap="flat" cmpd="sng" algn="ctr">
              <a:noFill/>
              <a:round/>
            </a:ln>
            <a:effectLst/>
          </c:spPr>
        </c:minorGridlines>
        <c:numFmt formatCode="mmm\-yy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0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-1921928064"/>
        <c:crosses val="autoZero"/>
        <c:auto val="1"/>
        <c:lblOffset val="100"/>
        <c:baseTimeUnit val="months"/>
      </c:dateAx>
      <c:valAx>
        <c:axId val="-1921928064"/>
        <c:scaling>
          <c:orientation val="minMax"/>
          <c:max val="25"/>
          <c:min val="20"/>
        </c:scaling>
        <c:delete val="0"/>
        <c:axPos val="l"/>
        <c:majorGridlines>
          <c:spPr>
            <a:ln w="3175" cap="flat" cmpd="sng" algn="ctr">
              <a:noFill/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accent3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-1921920992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205712557555283"/>
          <c:y val="0.8995416018857515"/>
          <c:w val="0.56096396403985227"/>
          <c:h val="8.286540615544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>
                  <a:lumMod val="7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0" cap="flat" cmpd="sng" algn="ctr">
      <a:solidFill>
        <a:srgbClr val="0B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b="0" i="0" u="none" baseline="0">
                <a:solidFill>
                  <a:srgbClr val="002060"/>
                </a:solidFill>
                <a:latin typeface="Arial Narrow" panose="020B0606020202030204" pitchFamily="34" charset="0"/>
              </a:rPr>
              <a:t>Premium Hours</a:t>
            </a:r>
          </a:p>
        </c:rich>
      </c:tx>
      <c:layout>
        <c:manualLayout>
          <c:xMode val="edge"/>
          <c:yMode val="edge"/>
          <c:x val="0.44194259864128832"/>
          <c:y val="1.526612491957486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1599565603038262E-2"/>
          <c:y val="8.3861787016557027E-2"/>
          <c:w val="0.87879094207187847"/>
          <c:h val="0.72623030998932492"/>
        </c:manualLayout>
      </c:layout>
      <c:lineChart>
        <c:grouping val="standard"/>
        <c:varyColors val="0"/>
        <c:ser>
          <c:idx val="1"/>
          <c:order val="0"/>
          <c:tx>
            <c:strRef>
              <c:f>'MLP PREMIUM LABOR'!$C$3</c:f>
              <c:strCache>
                <c:ptCount val="1"/>
                <c:pt idx="0">
                  <c:v>Shift Incentive</c:v>
                </c:pt>
              </c:strCache>
            </c:strRef>
          </c:tx>
          <c:spPr>
            <a:ln w="635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211593510152917E-2"/>
                  <c:y val="1.82048539665930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3848000736294957E-2"/>
                  <c:y val="-3.90431144818127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7.7371759739617773E-3"/>
                  <c:y val="5.38130903415014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'MLP PREMIUM LABOR'!$A$4:$A$15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'MLP PREMIUM LABOR'!$C$4:$C$15</c:f>
              <c:numCache>
                <c:formatCode>#,##0</c:formatCode>
                <c:ptCount val="12"/>
                <c:pt idx="0">
                  <c:v>93.75</c:v>
                </c:pt>
                <c:pt idx="1">
                  <c:v>43</c:v>
                </c:pt>
                <c:pt idx="2">
                  <c:v>1022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'MLP PREMIUM LABOR'!$D$3</c:f>
              <c:strCache>
                <c:ptCount val="1"/>
                <c:pt idx="0">
                  <c:v>Total OT</c:v>
                </c:pt>
              </c:strCache>
            </c:strRef>
          </c:tx>
          <c:spPr>
            <a:ln w="635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1729470898912281E-2"/>
                  <c:y val="2.20213851964867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3302498315767941E-2"/>
                  <c:y val="2.58379164263803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7573709748133586E-2"/>
                  <c:y val="2.44639651836186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'MLP PREMIUM LABOR'!$A$4:$A$15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'MLP PREMIUM LABOR'!$D$4:$D$15</c:f>
              <c:numCache>
                <c:formatCode>#,##0</c:formatCode>
                <c:ptCount val="12"/>
                <c:pt idx="0">
                  <c:v>725.25</c:v>
                </c:pt>
                <c:pt idx="1">
                  <c:v>793.75</c:v>
                </c:pt>
                <c:pt idx="2">
                  <c:v>614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'MLP PREMIUM LABOR'!$E$3</c:f>
              <c:strCache>
                <c:ptCount val="1"/>
                <c:pt idx="0">
                  <c:v>Locums</c:v>
                </c:pt>
              </c:strCache>
            </c:strRef>
          </c:tx>
          <c:spPr>
            <a:ln w="63500" cap="rnd">
              <a:solidFill>
                <a:srgbClr val="B1005D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2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'MLP PREMIUM LABOR'!$A$4:$A$15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'MLP PREMIUM LABOR'!$E$4:$E$15</c:f>
              <c:numCache>
                <c:formatCode>#,##0</c:formatCode>
                <c:ptCount val="12"/>
                <c:pt idx="0">
                  <c:v>92</c:v>
                </c:pt>
                <c:pt idx="1">
                  <c:v>256</c:v>
                </c:pt>
                <c:pt idx="2">
                  <c:v>233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354864"/>
        <c:axId val="448356496"/>
      </c:lineChart>
      <c:dateAx>
        <c:axId val="4483548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mm\-yy" sourceLinked="1"/>
        <c:majorTickMark val="in"/>
        <c:minorTickMark val="in"/>
        <c:tickLblPos val="low"/>
        <c:spPr>
          <a:noFill/>
          <a:ln w="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000" b="1" i="0" u="none" strike="noStrike" kern="1200" baseline="0">
                <a:ln>
                  <a:noFill/>
                </a:ln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8356496"/>
        <c:crossesAt val="0"/>
        <c:auto val="0"/>
        <c:lblOffset val="200"/>
        <c:baseTimeUnit val="months"/>
        <c:majorUnit val="1"/>
      </c:dateAx>
      <c:valAx>
        <c:axId val="448356496"/>
        <c:scaling>
          <c:orientation val="minMax"/>
          <c:max val="1200"/>
          <c:min val="-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0"/>
        <c:majorTickMark val="in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8354864"/>
        <c:crossesAt val="1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237440058054708"/>
          <c:y val="0.90005616611707617"/>
          <c:w val="0.35277381880351344"/>
          <c:h val="6.1778521583986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>
                  <a:lumMod val="7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00525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b="0" i="0" u="none" baseline="0">
                <a:solidFill>
                  <a:srgbClr val="002060"/>
                </a:solidFill>
                <a:latin typeface="Arial Narrow" panose="020B0606020202030204" pitchFamily="34" charset="0"/>
              </a:rPr>
              <a:t>Premium Costs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7319500887099712E-2"/>
          <c:y val="0.10358051761506763"/>
          <c:w val="0.87233144519908079"/>
          <c:h val="0.67432605058613526"/>
        </c:manualLayout>
      </c:layout>
      <c:lineChart>
        <c:grouping val="standard"/>
        <c:varyColors val="0"/>
        <c:ser>
          <c:idx val="0"/>
          <c:order val="0"/>
          <c:tx>
            <c:strRef>
              <c:f>'MLP PREMIUM LABOR'!$B$20</c:f>
              <c:strCache>
                <c:ptCount val="1"/>
                <c:pt idx="0">
                  <c:v>Transition Team</c:v>
                </c:pt>
              </c:strCache>
            </c:strRef>
          </c:tx>
          <c:spPr>
            <a:ln w="31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'MLP PREMIUM LABOR'!$A$21:$A$32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'MLP PREMIUM LABOR'!$B$21:$B$32</c:f>
              <c:numCache>
                <c:formatCode>_("$"* #,##0_);_("$"* \(#,##0\);_("$"*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'MLP PREMIUM LABOR'!$C$20</c:f>
              <c:strCache>
                <c:ptCount val="1"/>
                <c:pt idx="0">
                  <c:v>Shift Incentive</c:v>
                </c:pt>
              </c:strCache>
            </c:strRef>
          </c:tx>
          <c:spPr>
            <a:ln w="635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515406162464999E-2"/>
                  <c:y val="-2.3008258610635005E-2"/>
                </c:manualLayout>
              </c:layout>
              <c:tx>
                <c:rich>
                  <a:bodyPr/>
                  <a:lstStyle/>
                  <a:p>
                    <a:fld id="{1BB92526-FC53-40ED-BF9A-7BE4D2E9FDB5}" type="VALUE">
                      <a:rPr lang="en-US" i="1"/>
                      <a:pPr/>
                      <a:t>[VALUE]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dLbl>
              <c:idx val="2"/>
              <c:layout>
                <c:manualLayout>
                  <c:x val="-7.1008403361344534E-3"/>
                  <c:y val="-1.91846883775206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'MLP PREMIUM LABOR'!$A$21:$A$32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'MLP PREMIUM LABOR'!$C$21:$C$32</c:f>
              <c:numCache>
                <c:formatCode>_("$"* #,##0_);_("$"* \(#,##0\);_("$"* "-"??_);_(@_)</c:formatCode>
                <c:ptCount val="12"/>
                <c:pt idx="0">
                  <c:v>3940</c:v>
                </c:pt>
                <c:pt idx="1">
                  <c:v>3012.5</c:v>
                </c:pt>
                <c:pt idx="2">
                  <c:v>2000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'MLP PREMIUM LABOR'!$D$20</c:f>
              <c:strCache>
                <c:ptCount val="1"/>
                <c:pt idx="0">
                  <c:v>Total OT</c:v>
                </c:pt>
              </c:strCache>
            </c:strRef>
          </c:tx>
          <c:spPr>
            <a:ln w="635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6"/>
            <c:bubble3D val="0"/>
          </c:dPt>
          <c:dLbls>
            <c:dLbl>
              <c:idx val="0"/>
              <c:layout>
                <c:manualLayout>
                  <c:x val="-4.5024813074836245E-2"/>
                  <c:y val="-2.62868948184000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3.7512957939081146E-2"/>
                  <c:y val="-2.57437672041843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2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983968254769137E-2"/>
                      <c:h val="4.0016967576022695E-2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6.5336685855444544E-3"/>
                  <c:y val="-6.6837211948927942E-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'MLP PREMIUM LABOR'!$A$21:$A$32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'MLP PREMIUM LABOR'!$D$21:$D$32</c:f>
              <c:numCache>
                <c:formatCode>_("$"* #,##0_);_("$"* \(#,##0\);_("$"* "-"??_);_(@_)</c:formatCode>
                <c:ptCount val="12"/>
                <c:pt idx="0">
                  <c:v>57119.519999999997</c:v>
                </c:pt>
                <c:pt idx="1">
                  <c:v>96061.27</c:v>
                </c:pt>
                <c:pt idx="2">
                  <c:v>70274.890000000014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'MLP PREMIUM LABOR'!$E$20</c:f>
              <c:strCache>
                <c:ptCount val="1"/>
                <c:pt idx="0">
                  <c:v>Incremental OT</c:v>
                </c:pt>
              </c:strCache>
            </c:strRef>
          </c:tx>
          <c:spPr>
            <a:ln w="635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4348794635964625E-2"/>
                  <c:y val="-1.53611181444063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7325481373651822E-3"/>
                  <c:y val="-3.890407445063344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'MLP PREMIUM LABOR'!$A$21:$A$32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'MLP PREMIUM LABOR'!$E$21:$E$32</c:f>
              <c:numCache>
                <c:formatCode>_("$"* #,##0_);_("$"* \(#,##0\);_("$"* "-"??_);_(@_)</c:formatCode>
                <c:ptCount val="12"/>
                <c:pt idx="0">
                  <c:v>30707.489999999998</c:v>
                </c:pt>
                <c:pt idx="1">
                  <c:v>34013.300000000003</c:v>
                </c:pt>
                <c:pt idx="2">
                  <c:v>23814.760000000002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355952"/>
        <c:axId val="448359760"/>
      </c:lineChart>
      <c:dateAx>
        <c:axId val="448355952"/>
        <c:scaling>
          <c:orientation val="minMax"/>
        </c:scaling>
        <c:delete val="0"/>
        <c:axPos val="b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mmm\-yy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3000000" spcFirstLastPara="1" vertOverflow="ellipsis" wrap="square" anchor="ctr" anchorCtr="1"/>
          <a:lstStyle/>
          <a:p>
            <a:pPr>
              <a:defRPr sz="7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448359760"/>
        <c:crosses val="autoZero"/>
        <c:auto val="0"/>
        <c:lblOffset val="100"/>
        <c:baseTimeUnit val="months"/>
        <c:minorUnit val="1"/>
        <c:minorTimeUnit val="months"/>
      </c:dateAx>
      <c:valAx>
        <c:axId val="448359760"/>
        <c:scaling>
          <c:orientation val="minMax"/>
          <c:max val="110000"/>
          <c:min val="500"/>
        </c:scaling>
        <c:delete val="0"/>
        <c:axPos val="l"/>
        <c:majorGridlines>
          <c:spPr>
            <a:ln w="6350" cap="flat" cmpd="sng" algn="ctr">
              <a:noFill/>
              <a:prstDash val="sysDot"/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8355952"/>
        <c:crosses val="autoZero"/>
        <c:crossBetween val="between"/>
        <c:majorUnit val="20000"/>
        <c:minorUnit val="5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>
                  <a:lumMod val="7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00525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2B5C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400" b="0" i="0" baseline="0">
                <a:solidFill>
                  <a:srgbClr val="002B5C"/>
                </a:solidFill>
                <a:latin typeface="Arial Black" panose="020B0A04020102020204" pitchFamily="34" charset="0"/>
              </a:rPr>
              <a:t>EM Division - Labor Costs / Case Variance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2B5C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400" b="0" i="0" baseline="0">
                <a:solidFill>
                  <a:srgbClr val="002B5C"/>
                </a:solidFill>
                <a:effectLst/>
                <a:latin typeface="Arial Black" panose="020B0A04020102020204" pitchFamily="34" charset="0"/>
              </a:rPr>
              <a:t>↓ is Positive; Below Budget</a:t>
            </a:r>
          </a:p>
        </c:rich>
      </c:tx>
      <c:layout>
        <c:manualLayout>
          <c:xMode val="edge"/>
          <c:yMode val="edge"/>
          <c:x val="0.25305535356893055"/>
          <c:y val="2.94534132954051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92086133212406"/>
          <c:y val="0.16742625878902739"/>
          <c:w val="0.8284992728089926"/>
          <c:h val="0.648383958621606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'LABOR COST VARIANCE'!$C$21</c:f>
              <c:strCache>
                <c:ptCount val="1"/>
                <c:pt idx="0">
                  <c:v>DIVISION</c:v>
                </c:pt>
              </c:strCache>
            </c:strRef>
          </c:tx>
          <c:spPr>
            <a:solidFill>
              <a:srgbClr val="0B5258"/>
            </a:solidFill>
            <a:ln w="19050">
              <a:solidFill>
                <a:srgbClr val="C00000"/>
              </a:solidFill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002B5C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'LABOR COST VARIANCE'!$B$22:$B$33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'LABOR COST VARIANCE'!$C$22:$C$33</c:f>
              <c:numCache>
                <c:formatCode>"$"#,##0.00</c:formatCode>
                <c:ptCount val="12"/>
                <c:pt idx="0">
                  <c:v>57.641668336047843</c:v>
                </c:pt>
                <c:pt idx="1">
                  <c:v>-12.187074616549154</c:v>
                </c:pt>
                <c:pt idx="2">
                  <c:v>-11.83204288992556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32"/>
        <c:axId val="448358672"/>
        <c:axId val="448359216"/>
      </c:barChart>
      <c:catAx>
        <c:axId val="448358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2B5C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448359216"/>
        <c:crosses val="autoZero"/>
        <c:auto val="0"/>
        <c:lblAlgn val="ctr"/>
        <c:lblOffset val="75"/>
        <c:tickLblSkip val="1"/>
        <c:noMultiLvlLbl val="1"/>
      </c:catAx>
      <c:valAx>
        <c:axId val="448359216"/>
        <c:scaling>
          <c:orientation val="minMax"/>
          <c:max val="45"/>
          <c:min val="-25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8358672"/>
        <c:crossesAt val="1"/>
        <c:crossBetween val="between"/>
        <c:majorUnit val="5"/>
      </c:valAx>
      <c:spPr>
        <a:noFill/>
        <a:ln w="952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0" cap="flat" cmpd="sng" algn="ctr">
      <a:solidFill>
        <a:srgbClr val="0B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800" b="0" i="0" u="none" baseline="0">
                <a:solidFill>
                  <a:srgbClr val="002B5C"/>
                </a:solidFill>
                <a:latin typeface="Arial Narrow" panose="020B0606020202030204" pitchFamily="34" charset="0"/>
              </a:defRPr>
            </a:pPr>
            <a:r>
              <a:rPr lang="en-US" sz="2800" b="0" i="0" u="none" baseline="0">
                <a:solidFill>
                  <a:srgbClr val="002B5C"/>
                </a:solidFill>
                <a:latin typeface="Arial Narrow" panose="020B0606020202030204" pitchFamily="34" charset="0"/>
              </a:rPr>
              <a:t>EM - Labor Cost per Case</a:t>
            </a:r>
          </a:p>
        </c:rich>
      </c:tx>
      <c:layout>
        <c:manualLayout>
          <c:xMode val="edge"/>
          <c:yMode val="edge"/>
          <c:x val="0.36933773842464634"/>
          <c:y val="3.4217543991851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726961633591315E-2"/>
          <c:y val="0.15058789488022442"/>
          <c:w val="0.84492981975924619"/>
          <c:h val="0.63671674297597014"/>
        </c:manualLayout>
      </c:layout>
      <c:lineChart>
        <c:grouping val="standard"/>
        <c:varyColors val="0"/>
        <c:ser>
          <c:idx val="1"/>
          <c:order val="0"/>
          <c:tx>
            <c:strRef>
              <c:f>'GRAPH DATA'!$A$32</c:f>
              <c:strCache>
                <c:ptCount val="1"/>
                <c:pt idx="0">
                  <c:v>Actual</c:v>
                </c:pt>
              </c:strCache>
            </c:strRef>
          </c:tx>
          <c:spPr>
            <a:ln w="50800">
              <a:solidFill>
                <a:srgbClr val="0B5258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0900655794360337E-2"/>
                  <c:y val="-1.8781454464053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3057953290270505E-2"/>
                  <c:y val="1.71669808670163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9.084958123543195E-4"/>
                  <c:y val="1.1981313701367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800" b="0" i="0" baseline="0">
                    <a:solidFill>
                      <a:schemeClr val="accent1">
                        <a:lumMod val="50000"/>
                      </a:schemeClr>
                    </a:solidFill>
                    <a:latin typeface="Arial Narrow" panose="020B0606020202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'GRAPH DATA'!$F$30:$T$30</c15:sqref>
                  </c15:fullRef>
                </c:ext>
              </c:extLst>
              <c:f>'GRAPH DATA'!$I$30:$T$30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DATA'!$F$32:$T$32</c15:sqref>
                  </c15:fullRef>
                </c:ext>
              </c:extLst>
              <c:f>'GRAPH DATA'!$I$32:$T$32</c:f>
              <c:numCache>
                <c:formatCode>_("$"* #,##0.00_);_("$"* \(#,##0.00\);_("$"* "-"??_);_(@_)</c:formatCode>
                <c:ptCount val="12"/>
                <c:pt idx="0">
                  <c:v>166.84695284007549</c:v>
                </c:pt>
                <c:pt idx="1">
                  <c:v>117.92154907889878</c:v>
                </c:pt>
                <c:pt idx="2">
                  <c:v>118.47119799845214</c:v>
                </c:pt>
              </c:numCache>
            </c:numRef>
          </c:val>
          <c:smooth val="0"/>
          <c:extLst/>
        </c:ser>
        <c:ser>
          <c:idx val="0"/>
          <c:order val="1"/>
          <c:tx>
            <c:strRef>
              <c:f>'GRAPH DATA'!$A$31</c:f>
              <c:strCache>
                <c:ptCount val="1"/>
                <c:pt idx="0">
                  <c:v>Budget</c:v>
                </c:pt>
              </c:strCache>
            </c:strRef>
          </c:tx>
          <c:spPr>
            <a:ln w="50800" cmpd="sng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0727886015992761E-2"/>
                  <c:y val="1.4306106223480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6943063056733673E-2"/>
                  <c:y val="-1.3619404055958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4466991121468859E-4"/>
                  <c:y val="7.6635547855860413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800" b="0" i="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'GRAPH DATA'!$F$30:$T$30</c15:sqref>
                  </c15:fullRef>
                </c:ext>
              </c:extLst>
              <c:f>'GRAPH DATA'!$I$30:$T$30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DATA'!$F$31:$T$31</c15:sqref>
                  </c15:fullRef>
                </c:ext>
              </c:extLst>
              <c:f>'GRAPH DATA'!$I$31:$T$31</c:f>
              <c:numCache>
                <c:formatCode>_("$"* #,##0.00_);_("$"* \(#,##0.00\);_("$"* "-"??_);_(@_)</c:formatCode>
                <c:ptCount val="12"/>
                <c:pt idx="0">
                  <c:v>109.20528450402765</c:v>
                </c:pt>
                <c:pt idx="1">
                  <c:v>130.10862369544793</c:v>
                </c:pt>
                <c:pt idx="2">
                  <c:v>130.3032408883777</c:v>
                </c:pt>
              </c:numCache>
            </c:numRef>
          </c:val>
          <c:smooth val="0"/>
          <c:extLst/>
        </c:ser>
        <c:ser>
          <c:idx val="3"/>
          <c:order val="2"/>
          <c:tx>
            <c:strRef>
              <c:f>'GRAPH DATA'!$A$34</c:f>
              <c:strCache>
                <c:ptCount val="1"/>
                <c:pt idx="0">
                  <c:v>Premium Costs: travelers, shift incentives, MLP OT</c:v>
                </c:pt>
              </c:strCache>
            </c:strRef>
          </c:tx>
          <c:spPr>
            <a:ln w="50800">
              <a:solidFill>
                <a:schemeClr val="accent3"/>
              </a:solidFill>
              <a:prstDash val="sysDash"/>
              <a:headEnd type="none"/>
              <a:tailEnd type="triangle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6943063056733673E-2"/>
                  <c:y val="-2.83210074270398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800" b="0" i="0" baseline="0">
                    <a:solidFill>
                      <a:schemeClr val="accent1">
                        <a:lumMod val="50000"/>
                      </a:schemeClr>
                    </a:solidFill>
                    <a:latin typeface="Arial Narrow" panose="020B0606020202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'GRAPH DATA'!$F$30:$T$30</c15:sqref>
                  </c15:fullRef>
                </c:ext>
              </c:extLst>
              <c:f>'GRAPH DATA'!$I$30:$T$30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DATA'!$F$34:$T$34</c15:sqref>
                  </c15:fullRef>
                </c:ext>
              </c:extLst>
              <c:f>'GRAPH DATA'!$I$34:$T$34</c:f>
              <c:numCache>
                <c:formatCode>_("$"* #,##0.00_);_("$"* \(#,##0.00\);_("$"* "-"??_);_(@_)</c:formatCode>
                <c:ptCount val="12"/>
                <c:pt idx="0">
                  <c:v>14.247882833787466</c:v>
                </c:pt>
                <c:pt idx="1">
                  <c:v>4.6730074140801996</c:v>
                </c:pt>
                <c:pt idx="2">
                  <c:v>4.5950540292670814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21097344"/>
        <c:axId val="-2021096800"/>
      </c:lineChart>
      <c:dateAx>
        <c:axId val="-2021097344"/>
        <c:scaling>
          <c:orientation val="minMax"/>
        </c:scaling>
        <c:delete val="0"/>
        <c:axPos val="b"/>
        <c:minorGridlines>
          <c:spPr>
            <a:ln w="3175">
              <a:noFill/>
            </a:ln>
          </c:spPr>
        </c:minorGridlines>
        <c:numFmt formatCode="mmm\-yy" sourceLinked="1"/>
        <c:majorTickMark val="in"/>
        <c:minorTickMark val="in"/>
        <c:tickLblPos val="nextTo"/>
        <c:spPr>
          <a:ln w="3175">
            <a:solidFill>
              <a:schemeClr val="bg1">
                <a:lumMod val="50000"/>
              </a:schemeClr>
            </a:solidFill>
          </a:ln>
        </c:spPr>
        <c:txPr>
          <a:bodyPr rot="0"/>
          <a:lstStyle/>
          <a:p>
            <a:pPr>
              <a:defRPr sz="1200" b="0" i="0" baseline="0">
                <a:solidFill>
                  <a:srgbClr val="002B5C"/>
                </a:solidFill>
                <a:latin typeface="Arial Narrow" panose="020B0606020202030204" pitchFamily="34" charset="0"/>
              </a:defRPr>
            </a:pPr>
            <a:endParaRPr lang="en-US"/>
          </a:p>
        </c:txPr>
        <c:crossAx val="-2021096800"/>
        <c:crosses val="autoZero"/>
        <c:auto val="0"/>
        <c:lblOffset val="100"/>
        <c:baseTimeUnit val="months"/>
      </c:dateAx>
      <c:valAx>
        <c:axId val="-2021096800"/>
        <c:scaling>
          <c:orientation val="minMax"/>
          <c:max val="182"/>
          <c:min val="1"/>
        </c:scaling>
        <c:delete val="0"/>
        <c:axPos val="l"/>
        <c:majorGridlines>
          <c:spPr>
            <a:ln w="0">
              <a:noFill/>
              <a:prstDash val="sysDot"/>
            </a:ln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</a:ln>
        </c:spPr>
        <c:txPr>
          <a:bodyPr/>
          <a:lstStyle/>
          <a:p>
            <a:pPr>
              <a:defRPr sz="1200" b="0" i="0" baseline="0">
                <a:solidFill>
                  <a:srgbClr val="002B5C"/>
                </a:solidFill>
                <a:latin typeface="Arial Narrow" panose="020B0606020202030204" pitchFamily="34" charset="0"/>
              </a:defRPr>
            </a:pPr>
            <a:endParaRPr lang="en-US"/>
          </a:p>
        </c:txPr>
        <c:crossAx val="-2021097344"/>
        <c:crosses val="autoZero"/>
        <c:crossBetween val="between"/>
        <c:majorUnit val="20"/>
        <c:minorUnit val="1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0.16386345664155141"/>
          <c:y val="0.86808030086701049"/>
          <c:w val="0.76546154882994766"/>
          <c:h val="5.2552087373060878E-2"/>
        </c:manualLayout>
      </c:layout>
      <c:overlay val="0"/>
      <c:txPr>
        <a:bodyPr/>
        <a:lstStyle/>
        <a:p>
          <a:pPr>
            <a:defRPr sz="1200" b="0" i="0" baseline="0">
              <a:solidFill>
                <a:srgbClr val="002B5C"/>
              </a:solidFill>
              <a:latin typeface="Arial Narrow" panose="020B0606020202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 w="254000">
      <a:solidFill>
        <a:srgbClr val="0B5258"/>
      </a:solidFill>
      <a:miter lim="800000"/>
    </a:ln>
  </c:spPr>
  <c:printSettings>
    <c:headerFooter/>
    <c:pageMargins b="0" l="0" r="0" t="0" header="0.3" footer="0.3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baseline="0">
                <a:solidFill>
                  <a:srgbClr val="002B5C"/>
                </a:solidFill>
                <a:latin typeface="Arial Black" panose="020B0A04020102020204" pitchFamily="34" charset="0"/>
              </a:defRPr>
            </a:pPr>
            <a:r>
              <a:rPr lang="en-US" sz="1800" b="0" i="0" u="none" baseline="0">
                <a:solidFill>
                  <a:srgbClr val="002B5C"/>
                </a:solidFill>
                <a:latin typeface="Arial Black" panose="020B0A04020102020204" pitchFamily="34" charset="0"/>
              </a:rPr>
              <a:t>Physician Quality Reporting Standards (PQRS)</a:t>
            </a:r>
          </a:p>
        </c:rich>
      </c:tx>
      <c:layout>
        <c:manualLayout>
          <c:xMode val="edge"/>
          <c:yMode val="edge"/>
          <c:x val="0.22664653219717398"/>
          <c:y val="6.88783955698796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290413361541468E-2"/>
          <c:y val="0.22558063595337499"/>
          <c:w val="0.81561808937752156"/>
          <c:h val="0.58086493053004584"/>
        </c:manualLayout>
      </c:layout>
      <c:lineChart>
        <c:grouping val="standard"/>
        <c:varyColors val="0"/>
        <c:ser>
          <c:idx val="0"/>
          <c:order val="0"/>
          <c:tx>
            <c:strRef>
              <c:f>'GRAPH DATA'!$A$12</c:f>
              <c:strCache>
                <c:ptCount val="1"/>
                <c:pt idx="0">
                  <c:v>PQRS (Avg)</c:v>
                </c:pt>
              </c:strCache>
            </c:strRef>
          </c:tx>
          <c:spPr>
            <a:ln w="63500">
              <a:solidFill>
                <a:srgbClr val="0B5258"/>
              </a:solidFill>
              <a:prstDash val="solid"/>
            </a:ln>
          </c:spPr>
          <c:marker>
            <c:symbol val="square"/>
            <c:size val="8"/>
            <c:spPr>
              <a:solidFill>
                <a:srgbClr val="0B5258"/>
              </a:solidFill>
              <a:ln w="9525">
                <a:solidFill>
                  <a:schemeClr val="bg1"/>
                </a:solidFill>
              </a:ln>
            </c:spPr>
          </c:marker>
          <c:dLbls>
            <c:dLbl>
              <c:idx val="0"/>
              <c:layout>
                <c:manualLayout>
                  <c:x val="-2.325419051298732E-2"/>
                  <c:y val="-1.94255617603732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5860948921364899E-2"/>
                  <c:y val="-1.94322093663945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4089971698228529E-2"/>
                  <c:y val="-2.90610988525905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 lIns="0" tIns="0" rIns="0" bIns="0">
                <a:noAutofit/>
              </a:bodyPr>
              <a:lstStyle/>
              <a:p>
                <a:pPr>
                  <a:defRPr sz="1050" b="0" i="0" baseline="0">
                    <a:solidFill>
                      <a:srgbClr val="002B5C"/>
                    </a:solidFill>
                    <a:latin typeface="Arial Narrow" panose="020B0606020202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'GRAPH DATA'!$I$7:$T$7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'GRAPH DATA'!$I$12:$T$12</c:f>
              <c:numCache>
                <c:formatCode>0.0%</c:formatCode>
                <c:ptCount val="12"/>
                <c:pt idx="0">
                  <c:v>0.97670535460902241</c:v>
                </c:pt>
                <c:pt idx="1">
                  <c:v>0.97783549783549795</c:v>
                </c:pt>
                <c:pt idx="2">
                  <c:v>0.99145244727417425</c:v>
                </c:pt>
                <c:pt idx="3">
                  <c:v>0.99851411589895989</c:v>
                </c:pt>
                <c:pt idx="4">
                  <c:v>0.99486294685124799</c:v>
                </c:pt>
                <c:pt idx="5">
                  <c:v>0.9932846445847795</c:v>
                </c:pt>
                <c:pt idx="6">
                  <c:v>0.94986283714067377</c:v>
                </c:pt>
                <c:pt idx="7">
                  <c:v>0.99224484531538915</c:v>
                </c:pt>
                <c:pt idx="8">
                  <c:v>0.99061371742302073</c:v>
                </c:pt>
                <c:pt idx="9">
                  <c:v>0.9919568642852914</c:v>
                </c:pt>
                <c:pt idx="10">
                  <c:v>0.99297014987855658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'GRAPH DATA'!$A$14</c:f>
              <c:strCache>
                <c:ptCount val="1"/>
                <c:pt idx="0">
                  <c:v>TARGET</c:v>
                </c:pt>
              </c:strCache>
            </c:strRef>
          </c:tx>
          <c:spPr>
            <a:ln w="63500">
              <a:solidFill>
                <a:srgbClr val="648C1A"/>
              </a:solidFill>
            </a:ln>
          </c:spPr>
          <c:marker>
            <c:symbol val="square"/>
            <c:size val="5"/>
            <c:spPr>
              <a:solidFill>
                <a:srgbClr val="648C1A"/>
              </a:solidFill>
              <a:ln w="19050">
                <a:noFill/>
              </a:ln>
            </c:spPr>
          </c:marker>
          <c:cat>
            <c:numRef>
              <c:f>'GRAPH DATA'!$I$7:$T$7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'GRAPH DATA'!$I$14:$T$14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21095712"/>
        <c:axId val="-202109081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All Sites</c:v>
                </c:tx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'GRAPH DATA'!$I$7:$T$7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42370</c:v>
                      </c:pt>
                      <c:pt idx="1">
                        <c:v>42401</c:v>
                      </c:pt>
                      <c:pt idx="2">
                        <c:v>42430</c:v>
                      </c:pt>
                      <c:pt idx="3">
                        <c:v>42461</c:v>
                      </c:pt>
                      <c:pt idx="4">
                        <c:v>42491</c:v>
                      </c:pt>
                      <c:pt idx="5">
                        <c:v>42522</c:v>
                      </c:pt>
                      <c:pt idx="6">
                        <c:v>42552</c:v>
                      </c:pt>
                      <c:pt idx="7">
                        <c:v>42583</c:v>
                      </c:pt>
                      <c:pt idx="8">
                        <c:v>42614</c:v>
                      </c:pt>
                      <c:pt idx="9">
                        <c:v>42644</c:v>
                      </c:pt>
                      <c:pt idx="10">
                        <c:v>42675</c:v>
                      </c:pt>
                      <c:pt idx="11">
                        <c:v>42705</c:v>
                      </c:pt>
                    </c:numCache>
                  </c:num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smooth val="0"/>
              </c15:ser>
            </c15:filteredLineSeries>
          </c:ext>
        </c:extLst>
      </c:lineChart>
      <c:dateAx>
        <c:axId val="-2021095712"/>
        <c:scaling>
          <c:orientation val="minMax"/>
        </c:scaling>
        <c:delete val="0"/>
        <c:axPos val="b"/>
        <c:minorGridlines>
          <c:spPr>
            <a:ln w="3175">
              <a:noFill/>
            </a:ln>
          </c:spPr>
        </c:minorGridlines>
        <c:numFmt formatCode="mmm\-yy" sourceLinked="1"/>
        <c:majorTickMark val="out"/>
        <c:minorTickMark val="out"/>
        <c:tickLblPos val="nextTo"/>
        <c:spPr>
          <a:noFill/>
          <a:ln w="3175">
            <a:solidFill>
              <a:schemeClr val="bg1">
                <a:lumMod val="50000"/>
              </a:schemeClr>
            </a:solidFill>
          </a:ln>
        </c:spPr>
        <c:txPr>
          <a:bodyPr rot="0" anchor="ctr" anchorCtr="1"/>
          <a:lstStyle/>
          <a:p>
            <a:pPr>
              <a:defRPr sz="800" b="0" i="0" baseline="0">
                <a:solidFill>
                  <a:srgbClr val="002B5C"/>
                </a:solidFill>
                <a:latin typeface="Arial Black" panose="020B0A04020102020204" pitchFamily="34" charset="0"/>
              </a:defRPr>
            </a:pPr>
            <a:endParaRPr lang="en-US"/>
          </a:p>
        </c:txPr>
        <c:crossAx val="-2021090816"/>
        <c:crossesAt val="0.70000000000000007"/>
        <c:auto val="1"/>
        <c:lblOffset val="100"/>
        <c:baseTimeUnit val="months"/>
      </c:dateAx>
      <c:valAx>
        <c:axId val="-2021090816"/>
        <c:scaling>
          <c:orientation val="minMax"/>
          <c:max val="1"/>
          <c:min val="0.70000000000000007"/>
        </c:scaling>
        <c:delete val="0"/>
        <c:axPos val="l"/>
        <c:majorGridlines>
          <c:spPr>
            <a:ln w="9525">
              <a:noFill/>
              <a:prstDash val="sysDot"/>
              <a:miter lim="800000"/>
            </a:ln>
          </c:spPr>
        </c:majorGridlines>
        <c:numFmt formatCode="0%" sourceLinked="0"/>
        <c:majorTickMark val="out"/>
        <c:minorTickMark val="none"/>
        <c:tickLblPos val="nextTo"/>
        <c:spPr>
          <a:ln w="3175" cap="flat" cmpd="sng">
            <a:solidFill>
              <a:schemeClr val="bg1">
                <a:lumMod val="50000"/>
              </a:schemeClr>
            </a:solidFill>
          </a:ln>
        </c:spPr>
        <c:txPr>
          <a:bodyPr/>
          <a:lstStyle/>
          <a:p>
            <a:pPr>
              <a:defRPr sz="800" b="0" i="0" baseline="0">
                <a:solidFill>
                  <a:srgbClr val="002B5C"/>
                </a:solidFill>
                <a:latin typeface="Arial Black" panose="020B0A04020102020204" pitchFamily="34" charset="0"/>
              </a:defRPr>
            </a:pPr>
            <a:endParaRPr lang="en-US"/>
          </a:p>
        </c:txPr>
        <c:crossAx val="-2021095712"/>
        <c:crossesAt val="41791"/>
        <c:crossBetween val="between"/>
      </c:valAx>
      <c:spPr>
        <a:noFill/>
        <a:ln w="0" cap="flat">
          <a:noFill/>
          <a:prstDash val="sysDash"/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41883739692385946"/>
          <c:y val="0.86155012360183869"/>
          <c:w val="0.14497954586067263"/>
          <c:h val="3.3066203227484214E-2"/>
        </c:manualLayout>
      </c:layout>
      <c:overlay val="0"/>
      <c:txPr>
        <a:bodyPr/>
        <a:lstStyle/>
        <a:p>
          <a:pPr>
            <a:defRPr sz="800" b="0" i="0" baseline="0">
              <a:solidFill>
                <a:srgbClr val="002B5C"/>
              </a:solidFill>
              <a:latin typeface="Arial Black" panose="020B0A040201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 w="254000" cap="rnd">
      <a:solidFill>
        <a:srgbClr val="0B5258"/>
      </a:solidFill>
      <a:miter lim="800000"/>
    </a:ln>
  </c:spPr>
  <c:printSettings>
    <c:headerFooter/>
    <c:pageMargins b="0" l="0" r="0" t="0" header="0" footer="0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2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2200" b="0" i="0" u="none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</a:rPr>
              <a:t>2016 EM Division - Case Volume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2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2200" b="0" i="0" u="none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</a:rPr>
              <a:t>If Budget Variance </a:t>
            </a:r>
            <a:r>
              <a:rPr lang="en-US" sz="2200" b="0" i="0" u="none" baseline="0">
                <a:solidFill>
                  <a:schemeClr val="accent1">
                    <a:lumMod val="50000"/>
                  </a:schemeClr>
                </a:solidFill>
                <a:effectLst/>
                <a:latin typeface="Arial Black" panose="020B0A04020102020204" pitchFamily="34" charset="0"/>
              </a:rPr>
              <a:t>↓ is Negative;  it is Below  Budget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2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 sz="2200" b="0" i="0" u="none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26721977829351917"/>
          <c:y val="1.911254412163996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235247136533248"/>
          <c:y val="0.20499802852082943"/>
          <c:w val="0.82202156800106674"/>
          <c:h val="0.5400477871300569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 CASE  VOLUME - BUDGET VARIANCE'!$C$19</c:f>
              <c:strCache>
                <c:ptCount val="1"/>
                <c:pt idx="0">
                  <c:v>% Variance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 w="6350"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 CASE  VOLUME - BUDGET VARIANCE'!$A$20:$A$31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 CASE  VOLUME - BUDGET VARIANCE'!$C$20:$C$31</c:f>
              <c:numCache>
                <c:formatCode>0.0%</c:formatCode>
                <c:ptCount val="12"/>
                <c:pt idx="0">
                  <c:v>3.9474465558194775E-2</c:v>
                </c:pt>
                <c:pt idx="1">
                  <c:v>0.15278961515767389</c:v>
                </c:pt>
                <c:pt idx="2">
                  <c:v>0.1178035089781644</c:v>
                </c:pt>
                <c:pt idx="3">
                  <c:v>0.11014049994430919</c:v>
                </c:pt>
              </c:numCache>
            </c:numRef>
          </c:val>
          <c:extLst/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2021094080"/>
        <c:axId val="-2021093536"/>
      </c:barChart>
      <c:dateAx>
        <c:axId val="-202109408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mmm\-yy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-2021093536"/>
        <c:crosses val="autoZero"/>
        <c:auto val="0"/>
        <c:lblOffset val="100"/>
        <c:baseTimeUnit val="months"/>
      </c:dateAx>
      <c:valAx>
        <c:axId val="-2021093536"/>
        <c:scaling>
          <c:orientation val="minMax"/>
          <c:max val="0.1"/>
          <c:min val="-0.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-2021094080"/>
        <c:crossesAt val="1"/>
        <c:crossBetween val="between"/>
        <c:majorUnit val="2.5000000000000005E-2"/>
      </c:valAx>
      <c:spPr>
        <a:noFill/>
        <a:ln w="3175"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38927748368052384"/>
          <c:y val="0.88896538148248705"/>
          <c:w val="0.23173765434262839"/>
          <c:h val="5.4957100190062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0" cap="flat" cmpd="sng" algn="ctr">
      <a:solidFill>
        <a:srgbClr val="0B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000" b="1" i="0" u="none" baseline="0">
                <a:solidFill>
                  <a:srgbClr val="002B5C"/>
                </a:solidFill>
                <a:latin typeface="Arial Narrow" panose="020B0606020202030204" pitchFamily="34" charset="0"/>
              </a:defRPr>
            </a:pPr>
            <a:r>
              <a:rPr lang="en-US" sz="3000" b="1" i="0" u="none" baseline="0">
                <a:solidFill>
                  <a:srgbClr val="002B5C"/>
                </a:solidFill>
                <a:latin typeface="Arial Narrow" panose="020B0606020202030204" pitchFamily="34" charset="0"/>
              </a:rPr>
              <a:t>EM Division - Clinical Performance Composite Score </a:t>
            </a:r>
          </a:p>
        </c:rich>
      </c:tx>
      <c:layout>
        <c:manualLayout>
          <c:xMode val="edge"/>
          <c:yMode val="edge"/>
          <c:x val="0.24890622126039211"/>
          <c:y val="5.371671574423433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457897467972611E-2"/>
          <c:y val="0.25166876281853351"/>
          <c:w val="0.82051534190921926"/>
          <c:h val="0.51511883154864557"/>
        </c:manualLayout>
      </c:layout>
      <c:lineChart>
        <c:grouping val="standard"/>
        <c:varyColors val="0"/>
        <c:ser>
          <c:idx val="0"/>
          <c:order val="0"/>
          <c:tx>
            <c:strRef>
              <c:f>'GRAPH DATA'!$A$13</c:f>
              <c:strCache>
                <c:ptCount val="1"/>
                <c:pt idx="0">
                  <c:v>COMPOSITE 
POC 50%
PQRS 50%</c:v>
                </c:pt>
              </c:strCache>
            </c:strRef>
          </c:tx>
          <c:spPr>
            <a:ln w="101600">
              <a:solidFill>
                <a:srgbClr val="0B5258"/>
              </a:solidFill>
              <a:prstDash val="solid"/>
            </a:ln>
          </c:spPr>
          <c:marker>
            <c:symbol val="square"/>
            <c:size val="12"/>
            <c:spPr>
              <a:solidFill>
                <a:srgbClr val="0B5258"/>
              </a:solidFill>
              <a:ln>
                <a:solidFill>
                  <a:schemeClr val="bg1"/>
                </a:solidFill>
              </a:ln>
            </c:spPr>
          </c:marker>
          <c:dLbls>
            <c:dLbl>
              <c:idx val="6"/>
              <c:layout>
                <c:manualLayout>
                  <c:x val="-2.717630225695775E-2"/>
                  <c:y val="-5.4363985521905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1400" b="1" i="0" kern="1200" cap="none" spc="1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DATA'!$I$7:$T$7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'GRAPH DATA'!$I$13:$T$13</c:f>
              <c:numCache>
                <c:formatCode>0.0%</c:formatCode>
                <c:ptCount val="12"/>
                <c:pt idx="0">
                  <c:v>0.98644248150051506</c:v>
                </c:pt>
                <c:pt idx="1">
                  <c:v>0.98715117798477203</c:v>
                </c:pt>
                <c:pt idx="2">
                  <c:v>0.99038026007518254</c:v>
                </c:pt>
                <c:pt idx="3">
                  <c:v>0.99339909572174745</c:v>
                </c:pt>
                <c:pt idx="4">
                  <c:v>0.99073930227914453</c:v>
                </c:pt>
                <c:pt idx="5">
                  <c:v>0.99435426628624279</c:v>
                </c:pt>
                <c:pt idx="6">
                  <c:v>0.97254276529223005</c:v>
                </c:pt>
                <c:pt idx="7">
                  <c:v>0.99388146120223164</c:v>
                </c:pt>
                <c:pt idx="8">
                  <c:v>0.99300179089092289</c:v>
                </c:pt>
                <c:pt idx="9">
                  <c:v>0.99375322256380727</c:v>
                </c:pt>
                <c:pt idx="10">
                  <c:v>0.99445207253355883</c:v>
                </c:pt>
              </c:numCache>
            </c:numRef>
          </c:val>
          <c:smooth val="0"/>
          <c:extLst/>
        </c:ser>
        <c:ser>
          <c:idx val="1"/>
          <c:order val="1"/>
          <c:tx>
            <c:strRef>
              <c:f>'GRAPH DATA'!$A$14</c:f>
              <c:strCache>
                <c:ptCount val="1"/>
                <c:pt idx="0">
                  <c:v>TARGET</c:v>
                </c:pt>
              </c:strCache>
            </c:strRef>
          </c:tx>
          <c:spPr>
            <a:ln w="127000">
              <a:solidFill>
                <a:schemeClr val="accent3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'GRAPH DATA'!$I$7:$T$7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'GRAPH DATA'!$I$14:$T$14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21094624"/>
        <c:axId val="-2021091360"/>
      </c:lineChart>
      <c:dateAx>
        <c:axId val="-2021094624"/>
        <c:scaling>
          <c:orientation val="minMax"/>
        </c:scaling>
        <c:delete val="0"/>
        <c:axPos val="b"/>
        <c:minorGridlines>
          <c:spPr>
            <a:ln w="3175">
              <a:noFill/>
            </a:ln>
          </c:spPr>
        </c:minorGridlines>
        <c:numFmt formatCode="mmm\-yy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txPr>
          <a:bodyPr rot="0"/>
          <a:lstStyle/>
          <a:p>
            <a:pPr>
              <a:defRPr sz="1300" b="1" i="0" baseline="0">
                <a:solidFill>
                  <a:srgbClr val="002B5C"/>
                </a:solidFill>
                <a:latin typeface="Arial Narrow" panose="020B0606020202030204" pitchFamily="34" charset="0"/>
              </a:defRPr>
            </a:pPr>
            <a:endParaRPr lang="en-US"/>
          </a:p>
        </c:txPr>
        <c:crossAx val="-2021091360"/>
        <c:crosses val="autoZero"/>
        <c:auto val="1"/>
        <c:lblOffset val="100"/>
        <c:baseTimeUnit val="months"/>
      </c:dateAx>
      <c:valAx>
        <c:axId val="-2021091360"/>
        <c:scaling>
          <c:orientation val="minMax"/>
          <c:max val="1"/>
          <c:min val="0.9"/>
        </c:scaling>
        <c:delete val="0"/>
        <c:axPos val="l"/>
        <c:majorGridlines>
          <c:spPr>
            <a:ln w="15875">
              <a:noFill/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0" cap="flat">
            <a:solidFill>
              <a:schemeClr val="bg1">
                <a:lumMod val="65000"/>
              </a:schemeClr>
            </a:solidFill>
          </a:ln>
          <a:effectLst/>
        </c:spPr>
        <c:txPr>
          <a:bodyPr rot="0" vert="horz"/>
          <a:lstStyle/>
          <a:p>
            <a:pPr>
              <a:defRPr sz="1200" b="1" i="0" kern="1200" baseline="0">
                <a:ln w="6350">
                  <a:noFill/>
                </a:ln>
                <a:solidFill>
                  <a:srgbClr val="002B5C"/>
                </a:solidFill>
                <a:latin typeface="Arial Narrow" panose="020B0606020202030204" pitchFamily="34" charset="0"/>
              </a:defRPr>
            </a:pPr>
            <a:endParaRPr lang="en-US"/>
          </a:p>
        </c:txPr>
        <c:crossAx val="-2021094624"/>
        <c:crosses val="autoZero"/>
        <c:crossBetween val="between"/>
      </c:valAx>
      <c:spPr>
        <a:ln w="0">
          <a:noFill/>
          <a:prstDash val="sysDot"/>
        </a:ln>
        <a:effectLst>
          <a:outerShdw dir="5400000" algn="ctr" rotWithShape="0">
            <a:srgbClr val="000000"/>
          </a:outerShdw>
        </a:effectLst>
      </c:spPr>
    </c:plotArea>
    <c:legend>
      <c:legendPos val="r"/>
      <c:legendEntry>
        <c:idx val="0"/>
        <c:txPr>
          <a:bodyPr/>
          <a:lstStyle/>
          <a:p>
            <a:pPr>
              <a:defRPr sz="1200" b="1" i="0" baseline="0">
                <a:solidFill>
                  <a:srgbClr val="002B5C"/>
                </a:solidFill>
                <a:latin typeface="Arial Narrow" panose="020B0606020202030204" pitchFamily="34" charset="0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200" b="1" i="0" baseline="0">
                <a:solidFill>
                  <a:srgbClr val="002B5C"/>
                </a:solidFill>
                <a:latin typeface="Arial Narrow" panose="020B060602020203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15141046362067456"/>
          <c:y val="0.84547093126881201"/>
          <c:w val="0.72454332730131754"/>
          <c:h val="0.12044804215112161"/>
        </c:manualLayout>
      </c:layout>
      <c:overlay val="0"/>
      <c:txPr>
        <a:bodyPr/>
        <a:lstStyle/>
        <a:p>
          <a:pPr>
            <a:defRPr sz="1200" b="1" i="0" baseline="0">
              <a:latin typeface="Arial Narrow" panose="020B0606020202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190500" cap="rnd">
      <a:solidFill>
        <a:srgbClr val="0B5258"/>
      </a:solidFill>
      <a:miter lim="800000"/>
    </a:ln>
  </c:spPr>
  <c:printSettings>
    <c:headerFooter/>
    <c:pageMargins b="0" l="0" r="0" t="0" header="0" footer="0"/>
    <c:pageSetup orientation="landscape" blackAndWhite="1" draft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800" b="1" i="0" u="none" strike="noStrike" kern="120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2800" b="1" i="0" u="none" strike="noStrike" kern="1200" baseline="0">
                <a:solidFill>
                  <a:srgbClr val="002B5C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EM Division - Arrival to Qualified Provider (Min.)</a:t>
            </a:r>
            <a:r>
              <a:rPr lang="en-US" sz="2800" b="1" i="0" u="none" baseline="0">
                <a:solidFill>
                  <a:srgbClr val="002B5C"/>
                </a:solidFill>
                <a:latin typeface="Arial Narrow" panose="020B0606020202030204" pitchFamily="34" charset="0"/>
              </a:rPr>
              <a:t> </a:t>
            </a:r>
          </a:p>
        </c:rich>
      </c:tx>
      <c:layout>
        <c:manualLayout>
          <c:xMode val="edge"/>
          <c:yMode val="edge"/>
          <c:x val="0.21900837341346707"/>
          <c:y val="5.23685304768138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032052011386191E-2"/>
          <c:y val="0.1787647396626531"/>
          <c:w val="0.87210165536769901"/>
          <c:h val="0.58843137511800236"/>
        </c:manualLayout>
      </c:layout>
      <c:lineChart>
        <c:grouping val="standard"/>
        <c:varyColors val="0"/>
        <c:ser>
          <c:idx val="1"/>
          <c:order val="0"/>
          <c:tx>
            <c:strRef>
              <c:f>'GRAPH DATA'!$A$18</c:f>
              <c:strCache>
                <c:ptCount val="1"/>
                <c:pt idx="0">
                  <c:v>All Sites</c:v>
                </c:pt>
              </c:strCache>
            </c:strRef>
          </c:tx>
          <c:spPr>
            <a:ln w="88900">
              <a:solidFill>
                <a:srgbClr val="4F81BD">
                  <a:lumMod val="50000"/>
                </a:srgbClr>
              </a:solidFill>
            </a:ln>
          </c:spPr>
          <c:marker>
            <c:symbol val="square"/>
            <c:size val="9"/>
            <c:spPr>
              <a:solidFill>
                <a:srgbClr val="254061"/>
              </a:solidFill>
              <a:ln>
                <a:solidFill>
                  <a:sysClr val="window" lastClr="FFFFFF"/>
                </a:solidFill>
              </a:ln>
            </c:spPr>
          </c:marker>
          <c:dLbls>
            <c:dLbl>
              <c:idx val="0"/>
              <c:layout>
                <c:manualLayout>
                  <c:x val="-1.8254198439974459E-2"/>
                  <c:y val="1.92102091656213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5429187050219343E-2"/>
                  <c:y val="1.79652806680488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1268025111570884E-2"/>
                  <c:y val="-2.1414695819672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861563621702687E-2"/>
                  <c:y val="-2.78300062844589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9165890506493782E-2"/>
                  <c:y val="2.42943273495097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1.9165890506493782E-2"/>
                  <c:y val="2.7540062466344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0300971692058457E-2"/>
                  <c:y val="1.78028571158397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1.8030809320929191E-2"/>
                  <c:y val="2.26714597910922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1.9165890506493866E-2"/>
                  <c:y val="1.94257246742572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2571134063187556E-2"/>
                  <c:y val="2.91629300247621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baseline="0">
                    <a:solidFill>
                      <a:srgbClr val="002B5C"/>
                    </a:solidFill>
                    <a:latin typeface="Arial Narrow" panose="020B0606020202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DATA'!$I$17:$T$17</c:f>
              <c:numCache>
                <c:formatCode>[$-409]mmm\-yy;@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'GRAPH DATA'!$I$18:$T$18</c:f>
              <c:numCache>
                <c:formatCode>0</c:formatCode>
                <c:ptCount val="12"/>
                <c:pt idx="0">
                  <c:v>27.030028165210179</c:v>
                </c:pt>
                <c:pt idx="1">
                  <c:v>28.897045379393514</c:v>
                </c:pt>
                <c:pt idx="2">
                  <c:v>34.247114810911235</c:v>
                </c:pt>
                <c:pt idx="3">
                  <c:v>29.523170404372436</c:v>
                </c:pt>
                <c:pt idx="4">
                  <c:v>27.620734700247763</c:v>
                </c:pt>
                <c:pt idx="5">
                  <c:v>30.775070271164022</c:v>
                </c:pt>
                <c:pt idx="6">
                  <c:v>21.54180234759561</c:v>
                </c:pt>
                <c:pt idx="7">
                  <c:v>24.887207535703432</c:v>
                </c:pt>
                <c:pt idx="8">
                  <c:v>27.796772736438797</c:v>
                </c:pt>
                <c:pt idx="9">
                  <c:v>26.360567286862512</c:v>
                </c:pt>
                <c:pt idx="10">
                  <c:v>11.946666666666667</c:v>
                </c:pt>
                <c:pt idx="11">
                  <c:v>11.854000000000003</c:v>
                </c:pt>
              </c:numCache>
            </c:numRef>
          </c:val>
          <c:smooth val="0"/>
          <c:extLst/>
        </c:ser>
        <c:ser>
          <c:idx val="0"/>
          <c:order val="1"/>
          <c:tx>
            <c:strRef>
              <c:f>'GRAPH DATA'!$A$20</c:f>
              <c:strCache>
                <c:ptCount val="1"/>
                <c:pt idx="0">
                  <c:v>TARGET 
(&lt; 30 mins)</c:v>
                </c:pt>
              </c:strCache>
            </c:strRef>
          </c:tx>
          <c:spPr>
            <a:ln w="88900">
              <a:solidFill>
                <a:srgbClr val="648C1A"/>
              </a:solidFill>
            </a:ln>
          </c:spPr>
          <c:marker>
            <c:symbol val="none"/>
          </c:marker>
          <c:cat>
            <c:numRef>
              <c:f>'GRAPH DATA'!$I$17:$T$17</c:f>
              <c:numCache>
                <c:formatCode>[$-409]mmm\-yy;@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'GRAPH DATA'!$I$20:$T$20</c:f>
              <c:numCache>
                <c:formatCode>General</c:formatCode>
                <c:ptCount val="1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'GRAPH DATA'!$A$19</c:f>
              <c:strCache>
                <c:ptCount val="1"/>
                <c:pt idx="0">
                  <c:v>Excluding Baptist Hospital Miami</c:v>
                </c:pt>
              </c:strCache>
            </c:strRef>
          </c:tx>
          <c:spPr>
            <a:ln w="88900" cap="rnd">
              <a:solidFill>
                <a:srgbClr val="F79646">
                  <a:lumMod val="75000"/>
                </a:srgbClr>
              </a:solidFill>
              <a:prstDash val="solid"/>
              <a:bevel/>
            </a:ln>
          </c:spPr>
          <c:marker>
            <c:symbol val="square"/>
            <c:size val="9"/>
            <c:spPr>
              <a:solidFill>
                <a:srgbClr val="E46C0A"/>
              </a:solidFill>
              <a:ln>
                <a:solidFill>
                  <a:sysClr val="window" lastClr="FFFFFF"/>
                </a:solidFill>
              </a:ln>
            </c:spPr>
          </c:marker>
          <c:dLbls>
            <c:dLbl>
              <c:idx val="0"/>
              <c:layout>
                <c:manualLayout>
                  <c:x val="-2.1869168045198634E-2"/>
                  <c:y val="1.95848346636095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9513386226924914E-2"/>
                  <c:y val="2.1045653181190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988634262273646E-2"/>
                  <c:y val="2.14148236045191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2862858865524829E-2"/>
                  <c:y val="2.2842308131690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baseline="0">
                    <a:solidFill>
                      <a:srgbClr val="002B5C"/>
                    </a:solidFill>
                    <a:latin typeface="Arial Narrow" panose="020B060602020203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DATA'!$I$17:$T$17</c:f>
              <c:numCache>
                <c:formatCode>[$-409]mmm\-yy;@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'GRAPH DATA'!$I$19:$T$19</c:f>
              <c:numCache>
                <c:formatCode>0</c:formatCode>
                <c:ptCount val="12"/>
                <c:pt idx="0">
                  <c:v>12.595023842727969</c:v>
                </c:pt>
                <c:pt idx="1">
                  <c:v>14.813263053565796</c:v>
                </c:pt>
                <c:pt idx="2">
                  <c:v>14.031227162690612</c:v>
                </c:pt>
                <c:pt idx="3">
                  <c:v>12.678473371980241</c:v>
                </c:pt>
                <c:pt idx="4">
                  <c:v>10.911562968686088</c:v>
                </c:pt>
                <c:pt idx="5">
                  <c:v>10.355743920403777</c:v>
                </c:pt>
                <c:pt idx="6">
                  <c:v>10.836217233686558</c:v>
                </c:pt>
                <c:pt idx="7">
                  <c:v>9.454026096156106</c:v>
                </c:pt>
                <c:pt idx="8">
                  <c:v>9.8441333114738754</c:v>
                </c:pt>
                <c:pt idx="9">
                  <c:v>9.2787826620130183</c:v>
                </c:pt>
                <c:pt idx="10">
                  <c:v>11.946666666666667</c:v>
                </c:pt>
                <c:pt idx="11">
                  <c:v>11.854000000000003</c:v>
                </c:pt>
              </c:numCache>
            </c:numRef>
          </c:val>
          <c:smooth val="0"/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073456"/>
        <c:axId val="2081074000"/>
      </c:lineChart>
      <c:dateAx>
        <c:axId val="2081073456"/>
        <c:scaling>
          <c:orientation val="minMax"/>
        </c:scaling>
        <c:delete val="0"/>
        <c:axPos val="b"/>
        <c:minorGridlines>
          <c:spPr>
            <a:ln w="0">
              <a:noFill/>
            </a:ln>
          </c:spPr>
        </c:minorGridlines>
        <c:numFmt formatCode="[$-409]mmm\-yy;@" sourceLinked="1"/>
        <c:majorTickMark val="out"/>
        <c:minorTickMark val="none"/>
        <c:tickLblPos val="nextTo"/>
        <c:spPr>
          <a:ln w="6350">
            <a:solidFill>
              <a:sysClr val="window" lastClr="FFFFFF">
                <a:lumMod val="50000"/>
              </a:sysClr>
            </a:solidFill>
          </a:ln>
        </c:spPr>
        <c:txPr>
          <a:bodyPr rot="0"/>
          <a:lstStyle/>
          <a:p>
            <a:pPr>
              <a:defRPr sz="1300" b="0" i="0" baseline="0">
                <a:solidFill>
                  <a:srgbClr val="002B5C"/>
                </a:solidFill>
                <a:latin typeface="Arial Narrow" panose="020B0606020202030204" pitchFamily="34" charset="0"/>
              </a:defRPr>
            </a:pPr>
            <a:endParaRPr lang="en-US"/>
          </a:p>
        </c:txPr>
        <c:crossAx val="2081074000"/>
        <c:crosses val="autoZero"/>
        <c:auto val="1"/>
        <c:lblOffset val="100"/>
        <c:baseTimeUnit val="months"/>
      </c:dateAx>
      <c:valAx>
        <c:axId val="2081074000"/>
        <c:scaling>
          <c:orientation val="minMax"/>
          <c:max val="100"/>
          <c:min val="0"/>
        </c:scaling>
        <c:delete val="0"/>
        <c:axPos val="l"/>
        <c:majorGridlines>
          <c:spPr>
            <a:ln w="6350">
              <a:noFill/>
              <a:bevel/>
            </a:ln>
            <a:effectLst>
              <a:outerShdw dir="5400000" algn="ctr" rotWithShape="0">
                <a:srgbClr val="1F497D">
                  <a:lumMod val="75000"/>
                </a:srgbClr>
              </a:outerShdw>
            </a:effectLst>
          </c:spPr>
        </c:majorGridlines>
        <c:numFmt formatCode="#,##0" sourceLinked="0"/>
        <c:majorTickMark val="out"/>
        <c:minorTickMark val="none"/>
        <c:tickLblPos val="nextTo"/>
        <c:spPr>
          <a:noFill/>
          <a:ln w="6350" cap="flat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300" b="0" i="0" baseline="0">
                <a:solidFill>
                  <a:srgbClr val="002B5C"/>
                </a:solidFill>
                <a:latin typeface="Arial Narrow" panose="020B0606020202030204" pitchFamily="34" charset="0"/>
              </a:defRPr>
            </a:pPr>
            <a:endParaRPr lang="en-US"/>
          </a:p>
        </c:txPr>
        <c:crossAx val="2081073456"/>
        <c:crosses val="autoZero"/>
        <c:crossBetween val="between"/>
        <c:majorUnit val="10"/>
      </c:valAx>
      <c:spPr>
        <a:noFill/>
        <a:ln w="0" cap="flat">
          <a:solidFill>
            <a:sysClr val="window" lastClr="FFFFFF"/>
          </a:solidFill>
          <a:prstDash val="sysDot"/>
          <a:round/>
        </a:ln>
      </c:spPr>
    </c:plotArea>
    <c:legend>
      <c:legendPos val="r"/>
      <c:legendEntry>
        <c:idx val="0"/>
        <c:txPr>
          <a:bodyPr/>
          <a:lstStyle/>
          <a:p>
            <a:pPr>
              <a:defRPr sz="1200" b="0" i="0" baseline="0">
                <a:solidFill>
                  <a:srgbClr val="002B5C"/>
                </a:solidFill>
                <a:latin typeface="Arial Narrow" panose="020B0606020202030204" pitchFamily="34" charset="0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200" b="0" i="0" baseline="0">
                <a:solidFill>
                  <a:srgbClr val="002B5C"/>
                </a:solidFill>
                <a:latin typeface="Arial Narrow" panose="020B0606020202030204" pitchFamily="34" charset="0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200" b="0" i="0" baseline="0">
                <a:solidFill>
                  <a:srgbClr val="002B5C"/>
                </a:solidFill>
                <a:latin typeface="Arial Narrow" panose="020B060602020203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5.4141657207808142E-2"/>
          <c:y val="0.84085653490618151"/>
          <c:w val="0.86562010789120547"/>
          <c:h val="8.0819506119094581E-2"/>
        </c:manualLayout>
      </c:layout>
      <c:overlay val="0"/>
      <c:txPr>
        <a:bodyPr/>
        <a:lstStyle/>
        <a:p>
          <a:pPr>
            <a:defRPr sz="1200" b="0" i="0" baseline="0">
              <a:solidFill>
                <a:srgbClr val="002B5C"/>
              </a:solidFill>
              <a:latin typeface="Arial Narrow" panose="020B0606020202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 w="254000">
      <a:solidFill>
        <a:srgbClr val="0B5258"/>
      </a:solidFill>
      <a:miter lim="800000"/>
    </a:ln>
  </c:spPr>
  <c:printSettings>
    <c:headerFooter>
      <c:oddFooter>&amp;L&amp;"-,Bold"Data Source:&amp;"-,Regular" Clinical Quality&amp;CMonitors the Number of Patients Seen per Hour by a Physician Month to Month&amp;R&amp;D</c:oddFooter>
    </c:headerFooter>
    <c:pageMargins b="0.75" l="0" r="0" t="0" header="0" footer="0.3"/>
    <c:pageSetup orientation="landscape" draft="1"/>
  </c:printSettings>
  <c:userShapes r:id="rId2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2800" b="1" i="0" u="none" baseline="0">
                <a:solidFill>
                  <a:srgbClr val="002B5C"/>
                </a:solidFill>
              </a:rPr>
              <a:t>EM Division (PPH) - Patients per Hour </a:t>
            </a:r>
          </a:p>
        </c:rich>
      </c:tx>
      <c:layout>
        <c:manualLayout>
          <c:xMode val="edge"/>
          <c:yMode val="edge"/>
          <c:x val="0.24345996262116815"/>
          <c:y val="2.959369375067064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5846339792435163E-2"/>
          <c:y val="0.15527550532770432"/>
          <c:w val="0.87875385736262235"/>
          <c:h val="0.63844061121822526"/>
        </c:manualLayout>
      </c:layout>
      <c:lineChart>
        <c:grouping val="standard"/>
        <c:varyColors val="0"/>
        <c:ser>
          <c:idx val="0"/>
          <c:order val="0"/>
          <c:tx>
            <c:strRef>
              <c:f>'GRAPH DATA'!$A$24</c:f>
              <c:strCache>
                <c:ptCount val="1"/>
                <c:pt idx="0">
                  <c:v>≥ 20k Visits 
(Physician Only)</c:v>
                </c:pt>
              </c:strCache>
            </c:strRef>
          </c:tx>
          <c:spPr>
            <a:ln w="88900" cap="rnd">
              <a:solidFill>
                <a:srgbClr val="0B5258"/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rgbClr val="0B5258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1331433635797471E-2"/>
                  <c:y val="-2.13210407045285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1237685575518802E-2"/>
                  <c:y val="-2.32482186750083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6543078763271643E-2"/>
                  <c:y val="-2.47955038198913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295758453325834E-2"/>
                  <c:y val="-2.49927887974123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3230627930005954E-2"/>
                  <c:y val="2.3064908578014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4477971540860368E-2"/>
                  <c:y val="2.125002579138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4497118484678955E-2"/>
                  <c:y val="2.30649085780145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1964137375332954E-2"/>
                  <c:y val="1.9547586528545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3230627930005954E-2"/>
                  <c:y val="2.48235696027489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2B5C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DATA'!$I$23:$T$23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'GRAPH DATA'!$I$24:$T$24</c:f>
              <c:numCache>
                <c:formatCode>0.0</c:formatCode>
                <c:ptCount val="12"/>
                <c:pt idx="0">
                  <c:v>2.4535280713106511</c:v>
                </c:pt>
                <c:pt idx="1">
                  <c:v>2.6307195590035586</c:v>
                </c:pt>
                <c:pt idx="2">
                  <c:v>2.6669153375206252</c:v>
                </c:pt>
                <c:pt idx="3">
                  <c:v>2.5634975250426058</c:v>
                </c:pt>
                <c:pt idx="4">
                  <c:v>2.508735201502168</c:v>
                </c:pt>
                <c:pt idx="5">
                  <c:v>2.4730433129831977</c:v>
                </c:pt>
                <c:pt idx="6">
                  <c:v>2.4498893808689788</c:v>
                </c:pt>
                <c:pt idx="7">
                  <c:v>2.3565025715411454</c:v>
                </c:pt>
                <c:pt idx="8">
                  <c:v>2.4554369014526305</c:v>
                </c:pt>
                <c:pt idx="9">
                  <c:v>2.3262813590165505</c:v>
                </c:pt>
                <c:pt idx="10">
                  <c:v>2.2899899331860323</c:v>
                </c:pt>
                <c:pt idx="11">
                  <c:v>2.4360324798070732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'GRAPH DATA'!$A$26</c:f>
              <c:strCache>
                <c:ptCount val="1"/>
                <c:pt idx="0">
                  <c:v>Overall Pts. per Adjusted Hr (≥ 20k Visits)
Formula: Volume / (EDP Hrs +  (0.5*MLP Hrs))
Excludes W Marion Quick Care</c:v>
                </c:pt>
              </c:strCache>
            </c:strRef>
          </c:tx>
          <c:spPr>
            <a:ln w="88900" cap="rnd">
              <a:solidFill>
                <a:srgbClr val="7D60A0"/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rgbClr val="7D6096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3893391412396263E-2"/>
                  <c:y val="2.5158684538170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3527465747912986E-2"/>
                  <c:y val="-1.8978047229728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1573027903367983E-2"/>
                  <c:y val="-2.05246792848293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63665383223134E-2"/>
                  <c:y val="2.10956236620501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3050128095048621E-2"/>
                  <c:y val="2.28366980765372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2.3050128095048621E-2"/>
                  <c:y val="2.1059204146341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1783637540375621E-2"/>
                  <c:y val="2.1565615435116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1964137375332954E-2"/>
                  <c:y val="1.9547586528545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2.441873568342124E-2"/>
                  <c:y val="2.28044328782094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1881001131553342E-2"/>
                  <c:y val="1.9756051717494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1.3049123716819702E-2"/>
                  <c:y val="1.9756051717494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1964137375332954E-2"/>
                  <c:y val="2.48235696027489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2B5C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DATA'!$I$23:$T$23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'GRAPH DATA'!$I$26:$T$26</c:f>
              <c:numCache>
                <c:formatCode>0.0</c:formatCode>
                <c:ptCount val="12"/>
                <c:pt idx="0">
                  <c:v>1.8954812154065317</c:v>
                </c:pt>
                <c:pt idx="1">
                  <c:v>2.0055749314603193</c:v>
                </c:pt>
                <c:pt idx="2">
                  <c:v>2.0406857624623314</c:v>
                </c:pt>
                <c:pt idx="3">
                  <c:v>1.9389658151836666</c:v>
                </c:pt>
                <c:pt idx="4">
                  <c:v>1.9133240422385662</c:v>
                </c:pt>
                <c:pt idx="5">
                  <c:v>1.8662754846518852</c:v>
                </c:pt>
                <c:pt idx="6">
                  <c:v>1.8446512280718272</c:v>
                </c:pt>
                <c:pt idx="7">
                  <c:v>1.7907578355254672</c:v>
                </c:pt>
                <c:pt idx="8">
                  <c:v>1.8521746184657093</c:v>
                </c:pt>
                <c:pt idx="9">
                  <c:v>1.790633691920031</c:v>
                </c:pt>
                <c:pt idx="10">
                  <c:v>1.7638412441629505</c:v>
                </c:pt>
                <c:pt idx="11">
                  <c:v>1.8826757341505362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'GRAPH DATA'!$A$25</c:f>
              <c:strCache>
                <c:ptCount val="1"/>
                <c:pt idx="0">
                  <c:v>&lt; 20k Visits
(Physician Only)</c:v>
                </c:pt>
              </c:strCache>
            </c:strRef>
          </c:tx>
          <c:spPr>
            <a:ln w="88900" cap="rnd">
              <a:solidFill>
                <a:srgbClr val="C0504D"/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rgbClr val="C0504D"/>
              </a:solidFill>
              <a:ln w="9525">
                <a:solidFill>
                  <a:schemeClr val="bg1"/>
                </a:solidFill>
              </a:ln>
              <a:effectLst/>
            </c:spPr>
          </c:marker>
          <c:dPt>
            <c:idx val="1"/>
            <c:bubble3D val="0"/>
          </c:dPt>
          <c:dLbls>
            <c:dLbl>
              <c:idx val="0"/>
              <c:layout>
                <c:manualLayout>
                  <c:x val="-1.6668701164044994E-2"/>
                  <c:y val="2.52976217970081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3001263498844723E-2"/>
                  <c:y val="-1.83899167516339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82265841353609E-2"/>
                  <c:y val="-2.53506140011850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2992387100491663E-2"/>
                  <c:y val="-2.81843636912765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3045338626499011E-2"/>
                  <c:y val="2.15093958842037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2.1783641852965632E-2"/>
                  <c:y val="1.84982847933081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4316618649721622E-2"/>
                  <c:y val="2.5082937484585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1964137375332954E-2"/>
                  <c:y val="1.7788925503811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2.1881001131553342E-2"/>
                  <c:y val="2.15334679784465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1881001131553342E-2"/>
                  <c:y val="1.9756051717494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1.1787426943286234E-2"/>
                  <c:y val="2.33108842393980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2B5C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DATA'!$I$23:$T$23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'GRAPH DATA'!$I$25:$T$25</c:f>
              <c:numCache>
                <c:formatCode>0.0</c:formatCode>
                <c:ptCount val="12"/>
                <c:pt idx="0">
                  <c:v>1.2082868307727876</c:v>
                </c:pt>
                <c:pt idx="1">
                  <c:v>1.3393924019193628</c:v>
                </c:pt>
                <c:pt idx="2">
                  <c:v>1.28044758391309</c:v>
                </c:pt>
                <c:pt idx="3">
                  <c:v>1.2513025387102992</c:v>
                </c:pt>
                <c:pt idx="4">
                  <c:v>1.1786645569380483</c:v>
                </c:pt>
                <c:pt idx="5">
                  <c:v>1.1495636204430943</c:v>
                </c:pt>
                <c:pt idx="6">
                  <c:v>1.0822638364855908</c:v>
                </c:pt>
                <c:pt idx="7">
                  <c:v>1.125834511760069</c:v>
                </c:pt>
                <c:pt idx="8">
                  <c:v>1.1256468523139915</c:v>
                </c:pt>
                <c:pt idx="9">
                  <c:v>1.1130986052670695</c:v>
                </c:pt>
                <c:pt idx="10">
                  <c:v>1.1920218731188086</c:v>
                </c:pt>
                <c:pt idx="11">
                  <c:v>1.1795074884792627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'GRAPH DATA'!$A$27</c:f>
              <c:strCache>
                <c:ptCount val="1"/>
                <c:pt idx="0">
                  <c:v>Target for ≥ 20k Visits
(Physician Only) </c:v>
                </c:pt>
              </c:strCache>
            </c:strRef>
          </c:tx>
          <c:spPr>
            <a:ln w="88900" cap="rnd">
              <a:solidFill>
                <a:srgbClr val="648C1A"/>
              </a:solidFill>
              <a:round/>
            </a:ln>
            <a:effectLst/>
          </c:spPr>
          <c:marker>
            <c:symbol val="none"/>
          </c:marker>
          <c:cat>
            <c:numRef>
              <c:f>'GRAPH DATA'!$I$23:$T$23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'GRAPH DATA'!$I$27:$T$27</c:f>
              <c:numCache>
                <c:formatCode>0.0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074544"/>
        <c:axId val="2081075088"/>
      </c:lineChart>
      <c:dateAx>
        <c:axId val="2081074544"/>
        <c:scaling>
          <c:orientation val="minMax"/>
        </c:scaling>
        <c:delete val="0"/>
        <c:axPos val="b"/>
        <c:minorGridlines>
          <c:spPr>
            <a:ln w="3175" cap="flat" cmpd="sng" algn="ctr">
              <a:noFill/>
              <a:round/>
            </a:ln>
            <a:effectLst/>
          </c:spPr>
        </c:minorGridlines>
        <c:numFmt formatCode="mmm\-yy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300" b="0" i="0" u="none" strike="noStrike" kern="120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2081075088"/>
        <c:crosses val="autoZero"/>
        <c:auto val="1"/>
        <c:lblOffset val="100"/>
        <c:baseTimeUnit val="months"/>
      </c:dateAx>
      <c:valAx>
        <c:axId val="2081075088"/>
        <c:scaling>
          <c:orientation val="minMax"/>
          <c:max val="3"/>
        </c:scaling>
        <c:delete val="0"/>
        <c:axPos val="l"/>
        <c:majorGridlines>
          <c:spPr>
            <a:ln w="3175" cap="flat" cmpd="sng" algn="ctr">
              <a:noFill/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 w="6350"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20810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2.9311169844544994E-2"/>
          <c:y val="0.83325661099500514"/>
          <c:w val="0.93486335430757039"/>
          <c:h val="0.103781944644797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2B5C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0" cap="flat" cmpd="sng" algn="ctr">
      <a:solidFill>
        <a:srgbClr val="0B5258"/>
      </a:solidFill>
      <a:miter lim="800000"/>
    </a:ln>
    <a:effectLst/>
  </c:spPr>
  <c:txPr>
    <a:bodyPr/>
    <a:lstStyle/>
    <a:p>
      <a:pPr>
        <a:defRPr b="1" i="0" baseline="0">
          <a:solidFill>
            <a:schemeClr val="tx2">
              <a:lumMod val="75000"/>
            </a:schemeClr>
          </a:solidFill>
          <a:latin typeface="Arial Narrow" panose="020B0606020202030204" pitchFamily="34" charset="0"/>
        </a:defRPr>
      </a:pPr>
      <a:endParaRPr lang="en-US"/>
    </a:p>
  </c:txPr>
  <c:printSettings>
    <c:headerFooter/>
    <c:pageMargins b="0" l="0" r="0" t="0" header="0.3" footer="0.3"/>
    <c:pageSetup orientation="landscape" draft="1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3600" b="1" i="0" u="none" baseline="0">
                <a:solidFill>
                  <a:srgbClr val="002B5C"/>
                </a:solidFill>
                <a:latin typeface="Arial Narrow" panose="020B0606020202030204" pitchFamily="34" charset="0"/>
              </a:rPr>
              <a:t>EM Division - Physicians Premium Hours</a:t>
            </a:r>
          </a:p>
        </c:rich>
      </c:tx>
      <c:layout>
        <c:manualLayout>
          <c:xMode val="edge"/>
          <c:yMode val="edge"/>
          <c:x val="0.28481404288486145"/>
          <c:y val="3.867952766606561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017149172142958E-2"/>
          <c:y val="0.14513316368254664"/>
          <c:w val="0.88483941986310455"/>
          <c:h val="0.66032865934902618"/>
        </c:manualLayout>
      </c:layout>
      <c:lineChart>
        <c:grouping val="standard"/>
        <c:varyColors val="0"/>
        <c:ser>
          <c:idx val="0"/>
          <c:order val="0"/>
          <c:tx>
            <c:strRef>
              <c:f>'EDP PREMIUM LABOR (HOURS)'!$B$22</c:f>
              <c:strCache>
                <c:ptCount val="1"/>
                <c:pt idx="0">
                  <c:v>Transition Team</c:v>
                </c:pt>
              </c:strCache>
            </c:strRef>
          </c:tx>
          <c:spPr>
            <a:ln w="114300" cap="rnd">
              <a:solidFill>
                <a:srgbClr val="860410"/>
              </a:solidFill>
              <a:round/>
            </a:ln>
            <a:effectLst/>
          </c:spPr>
          <c:marker>
            <c:symbol val="square"/>
            <c:size val="13"/>
            <c:spPr>
              <a:solidFill>
                <a:srgbClr val="860410"/>
              </a:solidFill>
              <a:ln>
                <a:solidFill>
                  <a:schemeClr val="bg1"/>
                </a:solidFill>
              </a:ln>
            </c:spPr>
          </c:marker>
          <c:dLbls>
            <c:dLbl>
              <c:idx val="0"/>
              <c:layout>
                <c:manualLayout>
                  <c:x val="-3.413470225066996E-2"/>
                  <c:y val="-1.78263600227215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1819290403426412E-2"/>
                  <c:y val="2.08191690360547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4272190851671233E-2"/>
                  <c:y val="2.38557586271436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4718629632307303E-2"/>
                  <c:y val="2.93646122443141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2.8138113772160848E-2"/>
                  <c:y val="2.12909490739391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'EDP PREMIUM LABOR (HOURS)'!$A$23:$A$34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'EDP PREMIUM LABOR (HOURS)'!$B$23:$B$34</c:f>
              <c:numCache>
                <c:formatCode>#,##0</c:formatCode>
                <c:ptCount val="12"/>
                <c:pt idx="0">
                  <c:v>2542</c:v>
                </c:pt>
                <c:pt idx="1">
                  <c:v>2253</c:v>
                </c:pt>
                <c:pt idx="2">
                  <c:v>2443</c:v>
                </c:pt>
                <c:pt idx="3">
                  <c:v>2728</c:v>
                </c:pt>
                <c:pt idx="4">
                  <c:v>2691</c:v>
                </c:pt>
                <c:pt idx="5">
                  <c:v>2468</c:v>
                </c:pt>
                <c:pt idx="6">
                  <c:v>2138.25</c:v>
                </c:pt>
                <c:pt idx="7">
                  <c:v>2290</c:v>
                </c:pt>
                <c:pt idx="8">
                  <c:v>2131</c:v>
                </c:pt>
                <c:pt idx="9">
                  <c:v>2177.33</c:v>
                </c:pt>
                <c:pt idx="10">
                  <c:v>2387.25</c:v>
                </c:pt>
                <c:pt idx="11">
                  <c:v>3040.25</c:v>
                </c:pt>
              </c:numCache>
            </c:numRef>
          </c:val>
          <c:smooth val="0"/>
          <c:extLst/>
        </c:ser>
        <c:ser>
          <c:idx val="2"/>
          <c:order val="1"/>
          <c:tx>
            <c:strRef>
              <c:f>'EDP PREMIUM LABOR (HOURS)'!$C$22</c:f>
              <c:strCache>
                <c:ptCount val="1"/>
                <c:pt idx="0">
                  <c:v>Locums</c:v>
                </c:pt>
              </c:strCache>
            </c:strRef>
          </c:tx>
          <c:spPr>
            <a:ln w="114300" cap="rnd" cmpd="sng">
              <a:solidFill>
                <a:srgbClr val="0B5258"/>
              </a:solidFill>
              <a:round/>
            </a:ln>
            <a:effectLst/>
          </c:spPr>
          <c:marker>
            <c:symbol val="square"/>
            <c:size val="13"/>
            <c:spPr>
              <a:solidFill>
                <a:srgbClr val="0B5258"/>
              </a:solidFill>
              <a:ln>
                <a:solidFill>
                  <a:schemeClr val="bg1"/>
                </a:solidFill>
              </a:ln>
            </c:spPr>
          </c:marker>
          <c:dPt>
            <c:idx val="1"/>
            <c:bubble3D val="0"/>
          </c:dPt>
          <c:dLbls>
            <c:dLbl>
              <c:idx val="0"/>
              <c:layout>
                <c:manualLayout>
                  <c:x val="-1.930415638501326E-2"/>
                  <c:y val="-2.660725738256616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rgbClr val="002B5C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</c:extLst>
            </c:dLbl>
            <c:dLbl>
              <c:idx val="1"/>
              <c:layout>
                <c:manualLayout>
                  <c:x val="-1.9087255751473783E-2"/>
                  <c:y val="-2.79157617275699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2B5C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'EDP PREMIUM LABOR (HOURS)'!$A$23:$A$34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'EDP PREMIUM LABOR (HOURS)'!$C$23:$C$34</c:f>
              <c:numCache>
                <c:formatCode>#,##0</c:formatCode>
                <c:ptCount val="12"/>
                <c:pt idx="0">
                  <c:v>482</c:v>
                </c:pt>
                <c:pt idx="1">
                  <c:v>594</c:v>
                </c:pt>
                <c:pt idx="2">
                  <c:v>438</c:v>
                </c:pt>
                <c:pt idx="3">
                  <c:v>488</c:v>
                </c:pt>
                <c:pt idx="4">
                  <c:v>440</c:v>
                </c:pt>
                <c:pt idx="5">
                  <c:v>479</c:v>
                </c:pt>
                <c:pt idx="6">
                  <c:v>578</c:v>
                </c:pt>
                <c:pt idx="7">
                  <c:v>236</c:v>
                </c:pt>
                <c:pt idx="8">
                  <c:v>248</c:v>
                </c:pt>
                <c:pt idx="9">
                  <c:v>565</c:v>
                </c:pt>
                <c:pt idx="10">
                  <c:v>411</c:v>
                </c:pt>
                <c:pt idx="11">
                  <c:v>622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077808"/>
        <c:axId val="2081071824"/>
      </c:lineChart>
      <c:dateAx>
        <c:axId val="2081077808"/>
        <c:scaling>
          <c:orientation val="minMax"/>
        </c:scaling>
        <c:delete val="0"/>
        <c:axPos val="b"/>
        <c:minorGridlines>
          <c:spPr>
            <a:ln w="3175" cap="flat" cmpd="sng" algn="ctr">
              <a:noFill/>
              <a:round/>
            </a:ln>
            <a:effectLst/>
          </c:spPr>
        </c:minorGridlines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2081071824"/>
        <c:crosses val="autoZero"/>
        <c:auto val="1"/>
        <c:lblOffset val="100"/>
        <c:baseTimeUnit val="months"/>
      </c:dateAx>
      <c:valAx>
        <c:axId val="2081071824"/>
        <c:scaling>
          <c:orientation val="minMax"/>
          <c:max val="4700"/>
          <c:min val="0"/>
        </c:scaling>
        <c:delete val="0"/>
        <c:axPos val="l"/>
        <c:majorGridlines>
          <c:spPr>
            <a:ln w="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accen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2081077808"/>
        <c:crosses val="autoZero"/>
        <c:crossBetween val="between"/>
        <c:majorUnit val="400"/>
        <c:min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123223670675364"/>
          <c:y val="0.88058882201492517"/>
          <c:w val="0.42374690930854547"/>
          <c:h val="9.442380976616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002B5C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794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landscape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3600" b="1" i="0" u="none" baseline="0">
                <a:solidFill>
                  <a:srgbClr val="002B5C"/>
                </a:solidFill>
                <a:latin typeface="Arial Narrow" panose="020B0606020202030204" pitchFamily="34" charset="0"/>
              </a:rPr>
              <a:t>EM Division - Physicians Premium Labor (Hours)</a:t>
            </a:r>
            <a:endParaRPr lang="en-US" sz="3200" b="1" i="0" u="none" baseline="0">
              <a:solidFill>
                <a:srgbClr val="002B5C"/>
              </a:solidFill>
              <a:latin typeface="Arial Narrow" panose="020B0606020202030204" pitchFamily="34" charset="0"/>
            </a:endParaRPr>
          </a:p>
          <a:p>
            <a:pPr>
              <a:defRPr sz="3600" b="1" i="0" u="none" strike="noStrike" kern="1200" spc="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2800" b="1" i="0" u="none" baseline="0">
                <a:solidFill>
                  <a:srgbClr val="002B5C"/>
                </a:solidFill>
                <a:latin typeface="Arial Narrow" panose="020B0606020202030204" pitchFamily="34" charset="0"/>
              </a:rPr>
              <a:t>Percentage of Total Hours</a:t>
            </a:r>
            <a:endParaRPr lang="en-US" sz="3200" b="1" i="0" u="none" baseline="0">
              <a:solidFill>
                <a:srgbClr val="002B5C"/>
              </a:solidFill>
              <a:latin typeface="Arial Narrow" panose="020B0606020202030204" pitchFamily="34" charset="0"/>
            </a:endParaRPr>
          </a:p>
        </c:rich>
      </c:tx>
      <c:layout>
        <c:manualLayout>
          <c:xMode val="edge"/>
          <c:yMode val="edge"/>
          <c:x val="0.28041178636141706"/>
          <c:y val="4.13440669022764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1615190553317578E-2"/>
          <c:y val="0.15895491715220991"/>
          <c:w val="0.88483941986310455"/>
          <c:h val="0.660328659349026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'EDP PREMIUM LABOR (HOURS) (2)'!$D$22</c:f>
              <c:strCache>
                <c:ptCount val="1"/>
                <c:pt idx="0">
                  <c:v>JV Sites %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 w="114300" cap="rnd">
              <a:noFill/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1.6156575703108913E-3"/>
                  <c:y val="-4.503860916780223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5968227145085562E-3"/>
                  <c:y val="8.3533433829414722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3596509518420224E-3"/>
                  <c:y val="-9.416691645610934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4.6222737911070727E-3"/>
                  <c:y val="-1.33225494114475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8889211194419204E-3"/>
                  <c:y val="-1.33225494114475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4.5152121556086625E-3"/>
                  <c:y val="-6.56503330342134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941530238314611E-3"/>
                  <c:y val="-4.12159816043925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5.8400256963035318E-3"/>
                  <c:y val="-2.70583031053702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5.3091479380234872E-3"/>
                  <c:y val="3.73089318891318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9.4070226651576626E-3"/>
                  <c:y val="-2.56821829855547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3.3596509518421212E-3"/>
                  <c:y val="-9.416691645610934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889211194419204E-3"/>
                  <c:y val="-1.33225494114475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'EDP PREMIUM LABOR (HOURS) (2)'!$A$23:$A$34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'EDP PREMIUM LABOR (HOURS) (2)'!$D$23:$D$34</c:f>
              <c:numCache>
                <c:formatCode>0.0%</c:formatCode>
                <c:ptCount val="12"/>
                <c:pt idx="0">
                  <c:v>0.11059907834101383</c:v>
                </c:pt>
                <c:pt idx="1">
                  <c:v>7.2125662236267304E-2</c:v>
                </c:pt>
                <c:pt idx="2">
                  <c:v>6.8950526041213808E-2</c:v>
                </c:pt>
                <c:pt idx="3">
                  <c:v>8.4276729559748423E-2</c:v>
                </c:pt>
                <c:pt idx="4">
                  <c:v>7.6341187722806708E-2</c:v>
                </c:pt>
                <c:pt idx="5">
                  <c:v>7.2506738544474397E-2</c:v>
                </c:pt>
                <c:pt idx="6">
                  <c:v>6.4690026954177901E-2</c:v>
                </c:pt>
                <c:pt idx="7">
                  <c:v>5.8081905921224239E-2</c:v>
                </c:pt>
                <c:pt idx="8">
                  <c:v>5.0134770889487867E-2</c:v>
                </c:pt>
                <c:pt idx="9">
                  <c:v>4.9126162942352836E-2</c:v>
                </c:pt>
                <c:pt idx="10">
                  <c:v>4.2048517520215635E-2</c:v>
                </c:pt>
                <c:pt idx="11">
                  <c:v>4.8865316059473092E-2</c:v>
                </c:pt>
              </c:numCache>
            </c:numRef>
          </c:val>
          <c:extLst/>
        </c:ser>
        <c:ser>
          <c:idx val="2"/>
          <c:order val="1"/>
          <c:tx>
            <c:strRef>
              <c:f>'EDP PREMIUM LABOR (HOURS) (2)'!$G$22</c:f>
              <c:strCache>
                <c:ptCount val="1"/>
                <c:pt idx="0">
                  <c:v>Organic %</c:v>
                </c:pt>
              </c:strCache>
            </c:strRef>
          </c:tx>
          <c:spPr>
            <a:solidFill>
              <a:srgbClr val="0B5258"/>
            </a:solidFill>
            <a:ln w="114300" cap="rnd" cmpd="sng">
              <a:noFill/>
              <a:round/>
            </a:ln>
            <a:effectLst/>
          </c:spPr>
          <c:invertIfNegative val="0"/>
          <c:dPt>
            <c:idx val="1"/>
            <c:invertIfNegative val="0"/>
            <c:bubble3D val="0"/>
          </c:dPt>
          <c:dLbls>
            <c:dLbl>
              <c:idx val="0"/>
              <c:layout>
                <c:manualLayout>
                  <c:x val="2.9341128005716892E-3"/>
                  <c:y val="-5.243007545405138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</c:extLst>
            </c:dLbl>
            <c:dLbl>
              <c:idx val="1"/>
              <c:layout>
                <c:manualLayout>
                  <c:x val="-2.909302799150739E-3"/>
                  <c:y val="-2.60293242949801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4.031581142210452E-3"/>
                  <c:y val="-1.284109149277688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1555684477767682E-3"/>
                  <c:y val="-1.33225494114475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8889211194419204E-3"/>
                  <c:y val="-2.66450988228950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2169992729927958E-3"/>
                  <c:y val="1.84598273530415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1.7333526716651524E-3"/>
                  <c:y val="-6.661274705723765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4.0444895672186888E-3"/>
                  <c:y val="-1.33225494114480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'EDP PREMIUM LABOR (HOURS) (2)'!$A$23:$A$34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'EDP PREMIUM LABOR (HOURS) (2)'!$G$23:$G$34</c:f>
              <c:numCache>
                <c:formatCode>0.0%</c:formatCode>
                <c:ptCount val="12"/>
                <c:pt idx="0">
                  <c:v>5.1221271771617026E-2</c:v>
                </c:pt>
                <c:pt idx="1">
                  <c:v>0.11104990635672579</c:v>
                </c:pt>
                <c:pt idx="2">
                  <c:v>8.9199216737091622E-2</c:v>
                </c:pt>
                <c:pt idx="3">
                  <c:v>8.7113951011714597E-2</c:v>
                </c:pt>
                <c:pt idx="4">
                  <c:v>9.7959394001855091E-2</c:v>
                </c:pt>
                <c:pt idx="5">
                  <c:v>9.6379126730564424E-2</c:v>
                </c:pt>
                <c:pt idx="6">
                  <c:v>7.5543646294960326E-2</c:v>
                </c:pt>
                <c:pt idx="7">
                  <c:v>5.8950839946408325E-2</c:v>
                </c:pt>
                <c:pt idx="8">
                  <c:v>5.7720979765708197E-2</c:v>
                </c:pt>
                <c:pt idx="9">
                  <c:v>5.1736576316603111E-2</c:v>
                </c:pt>
                <c:pt idx="10">
                  <c:v>6.5388711395101176E-2</c:v>
                </c:pt>
                <c:pt idx="11">
                  <c:v>0.13877151396475318</c:v>
                </c:pt>
              </c:numCache>
            </c:numRef>
          </c:val>
        </c:ser>
        <c:ser>
          <c:idx val="1"/>
          <c:order val="2"/>
          <c:tx>
            <c:strRef>
              <c:f>'EDP PREMIUM LABOR (HOURS) (2)'!$J$22</c:f>
              <c:strCache>
                <c:ptCount val="1"/>
                <c:pt idx="0">
                  <c:v>Same Contracts %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00" b="1">
                    <a:latin typeface="Arial Narrow" panose="020B060602020203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'EDP PREMIUM LABOR (HOURS) (2)'!$A$23:$A$34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'EDP PREMIUM LABOR (HOURS) (2)'!$J$23:$J$34</c:f>
              <c:numCache>
                <c:formatCode>0.0%</c:formatCode>
                <c:ptCount val="12"/>
                <c:pt idx="0">
                  <c:v>0.14979239859469817</c:v>
                </c:pt>
                <c:pt idx="1">
                  <c:v>0.15010811425970183</c:v>
                </c:pt>
                <c:pt idx="2">
                  <c:v>0.1549558181624614</c:v>
                </c:pt>
                <c:pt idx="3">
                  <c:v>0.1935093509350935</c:v>
                </c:pt>
                <c:pt idx="4">
                  <c:v>0.17741935483870969</c:v>
                </c:pt>
                <c:pt idx="5">
                  <c:v>0.17733773377337733</c:v>
                </c:pt>
                <c:pt idx="6">
                  <c:v>0.17292132439050356</c:v>
                </c:pt>
                <c:pt idx="7">
                  <c:v>0.17566272756307888</c:v>
                </c:pt>
                <c:pt idx="8">
                  <c:v>0.15742574257425743</c:v>
                </c:pt>
                <c:pt idx="9">
                  <c:v>0.17835941658681997</c:v>
                </c:pt>
                <c:pt idx="10">
                  <c:v>0.19144664466446645</c:v>
                </c:pt>
                <c:pt idx="11">
                  <c:v>0.19107313957202171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9831264"/>
        <c:axId val="449823648"/>
      </c:barChart>
      <c:dateAx>
        <c:axId val="449831264"/>
        <c:scaling>
          <c:orientation val="minMax"/>
        </c:scaling>
        <c:delete val="0"/>
        <c:axPos val="b"/>
        <c:minorGridlines>
          <c:spPr>
            <a:ln w="3175" cap="flat" cmpd="sng" algn="ctr">
              <a:noFill/>
              <a:round/>
            </a:ln>
            <a:effectLst/>
          </c:spPr>
        </c:minorGridlines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9823648"/>
        <c:crosses val="autoZero"/>
        <c:auto val="1"/>
        <c:lblOffset val="100"/>
        <c:baseTimeUnit val="months"/>
      </c:dateAx>
      <c:valAx>
        <c:axId val="449823648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accen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98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674428325730542"/>
          <c:y val="0.88458560052702728"/>
          <c:w val="0.2981692336075355"/>
          <c:h val="3.6765662719126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rgbClr val="002B5C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794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landscape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rgbClr val="002B5C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3200" b="1" i="0" u="none" baseline="0">
                <a:solidFill>
                  <a:srgbClr val="002B5C"/>
                </a:solidFill>
                <a:latin typeface="Arial Narrow" panose="020B0606020202030204" pitchFamily="34" charset="0"/>
              </a:rPr>
              <a:t>EM Division (LBBS) - Left Before Being Seen</a:t>
            </a:r>
          </a:p>
        </c:rich>
      </c:tx>
      <c:layout>
        <c:manualLayout>
          <c:xMode val="edge"/>
          <c:yMode val="edge"/>
          <c:x val="0.25721178465995359"/>
          <c:y val="3.51830032996362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2017801699070789E-2"/>
          <c:y val="0.15084173509424803"/>
          <c:w val="0.83409831111231825"/>
          <c:h val="0.63734389617923837"/>
        </c:manualLayout>
      </c:layout>
      <c:lineChart>
        <c:grouping val="standard"/>
        <c:varyColors val="0"/>
        <c:ser>
          <c:idx val="0"/>
          <c:order val="0"/>
          <c:tx>
            <c:strRef>
              <c:f>LBBS!$E$2</c:f>
              <c:strCache>
                <c:ptCount val="1"/>
                <c:pt idx="0">
                  <c:v>% LBBS/LPT</c:v>
                </c:pt>
              </c:strCache>
            </c:strRef>
          </c:tx>
          <c:spPr>
            <a:ln w="88900" cap="rnd" cmpd="sng">
              <a:solidFill>
                <a:srgbClr val="0B5258"/>
              </a:solidFill>
              <a:prstDash val="solid"/>
              <a:round/>
            </a:ln>
            <a:effectLst/>
          </c:spPr>
          <c:marker>
            <c:symbol val="square"/>
            <c:size val="13"/>
            <c:spPr>
              <a:solidFill>
                <a:srgbClr val="0B5258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6523639693844657E-2"/>
                  <c:y val="-2.35961347720811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0900168147510827E-2"/>
                  <c:y val="-2.30778067483718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1598904078304771E-2"/>
                  <c:y val="-2.9054292365459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1227929102607918E-2"/>
                  <c:y val="-2.89578888739541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7228575710107578E-2"/>
                  <c:y val="2.0380738582397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2.3682897427784899E-2"/>
                  <c:y val="2.4425863060751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2796477857204227E-2"/>
                  <c:y val="2.4425863060751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132725655193982E-2"/>
                  <c:y val="2.28819207992231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1.9592100284381183E-2"/>
                  <c:y val="2.28819207992231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5665147220836411E-2"/>
                  <c:y val="2.01851711469870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5665147220836411E-2"/>
                  <c:y val="2.42302956253411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LBBS!$B$3:$B$14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LBBS!$E$3:$E$14</c:f>
              <c:numCache>
                <c:formatCode>0.0%</c:formatCode>
                <c:ptCount val="12"/>
                <c:pt idx="0">
                  <c:v>1.6240444539956406E-2</c:v>
                </c:pt>
                <c:pt idx="1">
                  <c:v>1.8794990031806905E-2</c:v>
                </c:pt>
                <c:pt idx="2">
                  <c:v>1.8618233618233618E-2</c:v>
                </c:pt>
                <c:pt idx="3">
                  <c:v>1.614426128008668E-2</c:v>
                </c:pt>
                <c:pt idx="4">
                  <c:v>1.4029241860392694E-2</c:v>
                </c:pt>
                <c:pt idx="5">
                  <c:v>1.3204663986978043E-2</c:v>
                </c:pt>
                <c:pt idx="6">
                  <c:v>1.2738325962000365E-2</c:v>
                </c:pt>
                <c:pt idx="7">
                  <c:v>1.2482185856798859E-2</c:v>
                </c:pt>
                <c:pt idx="8">
                  <c:v>1.3993806020286104E-2</c:v>
                </c:pt>
                <c:pt idx="9">
                  <c:v>1.3449196530737466E-2</c:v>
                </c:pt>
                <c:pt idx="10">
                  <c:v>1.3219892791057019E-2</c:v>
                </c:pt>
                <c:pt idx="11">
                  <c:v>1.4018965685795288E-2</c:v>
                </c:pt>
              </c:numCache>
            </c:numRef>
          </c:val>
          <c:smooth val="0"/>
          <c:extLst/>
        </c:ser>
        <c:ser>
          <c:idx val="1"/>
          <c:order val="1"/>
          <c:tx>
            <c:strRef>
              <c:f>LBBS!$F$2</c:f>
              <c:strCache>
                <c:ptCount val="1"/>
                <c:pt idx="0">
                  <c:v>TARGET   &lt; 2 %</c:v>
                </c:pt>
              </c:strCache>
            </c:strRef>
          </c:tx>
          <c:spPr>
            <a:ln w="88900" cap="rnd">
              <a:solidFill>
                <a:srgbClr val="648C1A"/>
              </a:solidFill>
              <a:round/>
            </a:ln>
            <a:effectLst/>
          </c:spPr>
          <c:marker>
            <c:symbol val="none"/>
          </c:marker>
          <c:val>
            <c:numRef>
              <c:f>LBBS!$F$3:$F$14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819840"/>
        <c:axId val="449820384"/>
      </c:lineChart>
      <c:dateAx>
        <c:axId val="449819840"/>
        <c:scaling>
          <c:orientation val="minMax"/>
        </c:scaling>
        <c:delete val="0"/>
        <c:axPos val="b"/>
        <c:minorGridlines>
          <c:spPr>
            <a:ln w="3175" cap="flat" cmpd="sng" algn="ctr">
              <a:noFill/>
              <a:round/>
            </a:ln>
            <a:effectLst/>
          </c:spPr>
        </c:minorGridlines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prstDash val="solid"/>
            <a:beve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rgbClr val="002B5C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449820384"/>
        <c:crosses val="autoZero"/>
        <c:auto val="1"/>
        <c:lblOffset val="100"/>
        <c:baseTimeUnit val="months"/>
      </c:dateAx>
      <c:valAx>
        <c:axId val="449820384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3175" cap="flat" cmpd="sng" algn="ctr">
              <a:noFill/>
              <a:prstDash val="sysDot"/>
              <a:round/>
            </a:ln>
            <a:effectLst/>
          </c:spPr>
        </c:majorGridlines>
        <c:numFmt formatCode="0.0%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2B5C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4498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771895341859927"/>
          <c:y val="0.88435966471932947"/>
          <c:w val="0.24539210619437166"/>
          <c:h val="2.9217397459752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0" cap="flat" cmpd="sng" algn="ctr">
      <a:solidFill>
        <a:srgbClr val="0B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2000" b="0" i="0" u="none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</a:rPr>
              <a:t>EM Division Admissions - 2016 Avg</a:t>
            </a:r>
          </a:p>
        </c:rich>
      </c:tx>
      <c:layout>
        <c:manualLayout>
          <c:xMode val="edge"/>
          <c:yMode val="edge"/>
          <c:x val="0.32527826482076938"/>
          <c:y val="2.817368549652014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3830103658217464E-2"/>
          <c:y val="0.21942068052304273"/>
          <c:w val="0.91596191882697331"/>
          <c:h val="0.494834168922105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ADMISSIONS!$A$20:$A$31</c:f>
              <c:strCache>
                <c:ptCount val="1"/>
                <c:pt idx="0">
                  <c:v>Jan-16 Feb-16 Mar-16 Apr-16 May-16 Jun-16 Jul-16 Aug-16 Sep-16 Oct-16 Nov-16 Dec-16</c:v>
                </c:pt>
              </c:strCache>
            </c:strRef>
          </c:tx>
          <c:spPr>
            <a:solidFill>
              <a:srgbClr val="0B5258"/>
            </a:solidFill>
            <a:ln w="3175">
              <a:solidFill>
                <a:schemeClr val="tx2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ADMISSIONS!$C$19:$W$19</c15:sqref>
                  </c15:fullRef>
                </c:ext>
              </c:extLst>
              <c:f>(ADMISSIONS!$C$19:$N$19,ADMISSIONS!$P$19:$W$19)</c:f>
              <c:strCache>
                <c:ptCount val="20"/>
                <c:pt idx="0">
                  <c:v>BAPTIST</c:v>
                </c:pt>
                <c:pt idx="1">
                  <c:v>JFK</c:v>
                </c:pt>
                <c:pt idx="2">
                  <c:v>JFK BB</c:v>
                </c:pt>
                <c:pt idx="3">
                  <c:v>JFK PBG</c:v>
                </c:pt>
                <c:pt idx="4">
                  <c:v>JUPITER</c:v>
                </c:pt>
                <c:pt idx="5">
                  <c:v>KENDALL</c:v>
                </c:pt>
                <c:pt idx="6">
                  <c:v>MOBERLY</c:v>
                </c:pt>
                <c:pt idx="7">
                  <c:v>MONROE</c:v>
                </c:pt>
                <c:pt idx="8">
                  <c:v>OCALA</c:v>
                </c:pt>
                <c:pt idx="9">
                  <c:v>SAN RAMON</c:v>
                </c:pt>
                <c:pt idx="10">
                  <c:v>ST MARY'S</c:v>
                </c:pt>
                <c:pt idx="11">
                  <c:v>W MARION</c:v>
                </c:pt>
                <c:pt idx="12">
                  <c:v>WESTCHESTER</c:v>
                </c:pt>
                <c:pt idx="13">
                  <c:v>PROVIDENCE</c:v>
                </c:pt>
                <c:pt idx="14">
                  <c:v>ST JOHN</c:v>
                </c:pt>
                <c:pt idx="15">
                  <c:v>OSCEOLA</c:v>
                </c:pt>
                <c:pt idx="16">
                  <c:v>OSCEOLA PEDS</c:v>
                </c:pt>
                <c:pt idx="17">
                  <c:v>HUNTERS CREEK</c:v>
                </c:pt>
                <c:pt idx="18">
                  <c:v>CHANDLER</c:v>
                </c:pt>
                <c:pt idx="19">
                  <c:v>MERCY GILBERT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ADMISSIONS!$C$32:$W$32</c15:sqref>
                  </c15:fullRef>
                </c:ext>
              </c:extLst>
              <c:f>(ADMISSIONS!$C$32:$N$32,ADMISSIONS!$P$32:$W$32)</c:f>
              <c:numCache>
                <c:formatCode>0.0%</c:formatCode>
                <c:ptCount val="20"/>
                <c:pt idx="0">
                  <c:v>0.37931288785498568</c:v>
                </c:pt>
                <c:pt idx="1">
                  <c:v>0.38216926917073546</c:v>
                </c:pt>
                <c:pt idx="2">
                  <c:v>0.10239508499307477</c:v>
                </c:pt>
                <c:pt idx="3">
                  <c:v>1.793491346485265E-2</c:v>
                </c:pt>
                <c:pt idx="4">
                  <c:v>0.19538172996416259</c:v>
                </c:pt>
                <c:pt idx="5">
                  <c:v>0.23083530503530145</c:v>
                </c:pt>
                <c:pt idx="6">
                  <c:v>0.10170956169209698</c:v>
                </c:pt>
                <c:pt idx="7">
                  <c:v>7.9874726117343531E-2</c:v>
                </c:pt>
                <c:pt idx="8">
                  <c:v>0.26521944293424426</c:v>
                </c:pt>
                <c:pt idx="9">
                  <c:v>0.18430937448827511</c:v>
                </c:pt>
                <c:pt idx="10">
                  <c:v>0.17935077259869273</c:v>
                </c:pt>
                <c:pt idx="11">
                  <c:v>0.1418233837659191</c:v>
                </c:pt>
                <c:pt idx="12">
                  <c:v>0.51878052414310927</c:v>
                </c:pt>
                <c:pt idx="13">
                  <c:v>0.21135928765441736</c:v>
                </c:pt>
                <c:pt idx="14">
                  <c:v>0.12010049340810194</c:v>
                </c:pt>
                <c:pt idx="15">
                  <c:v>0.29293700292092512</c:v>
                </c:pt>
                <c:pt idx="16">
                  <c:v>3.5667046864366392E-2</c:v>
                </c:pt>
                <c:pt idx="17">
                  <c:v>6.2676873002739344E-2</c:v>
                </c:pt>
                <c:pt idx="18">
                  <c:v>0.27750000000000008</c:v>
                </c:pt>
                <c:pt idx="19">
                  <c:v>0.25113160466143247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ADMISSIONS!$O$32</c15:sqref>
                  <c15:dLbl>
                    <c:idx val="11"/>
                    <c:layout>
                      <c:manualLayout>
                        <c:x val="-9.1380134757703647E-17"/>
                        <c:y val="7.6299418141838465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</c:extLst>
                  </c15:dLbl>
                </c15:categoryFilterException>
              </c15:categoryFilterExceptions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9829632"/>
        <c:axId val="449833984"/>
      </c:barChart>
      <c:catAx>
        <c:axId val="44982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3900000" spcFirstLastPara="1" vertOverflow="ellipsis" wrap="square" anchor="ctr" anchorCtr="1"/>
          <a:lstStyle/>
          <a:p>
            <a:pPr>
              <a:defRPr sz="7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9833984"/>
        <c:crosses val="autoZero"/>
        <c:auto val="1"/>
        <c:lblAlgn val="ctr"/>
        <c:lblOffset val="100"/>
        <c:noMultiLvlLbl val="0"/>
      </c:catAx>
      <c:valAx>
        <c:axId val="449833984"/>
        <c:scaling>
          <c:orientation val="minMax"/>
        </c:scaling>
        <c:delete val="0"/>
        <c:axPos val="l"/>
        <c:majorGridlines>
          <c:spPr>
            <a:ln w="317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9829632"/>
        <c:crosses val="autoZero"/>
        <c:crossBetween val="between"/>
      </c:valAx>
      <c:spPr>
        <a:noFill/>
        <a:ln w="3175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2">
                    <a:lumMod val="50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2000" baseline="0">
                <a:solidFill>
                  <a:schemeClr val="tx2">
                    <a:lumMod val="50000"/>
                  </a:schemeClr>
                </a:solidFill>
              </a:rPr>
              <a:t>EM Division Critical Care - 2016 YTD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4969973698609559E-2"/>
          <c:y val="0.22061375661375662"/>
          <c:w val="0.90649568746226372"/>
          <c:h val="0.51308586426696667"/>
        </c:manualLayout>
      </c:layout>
      <c:barChart>
        <c:barDir val="col"/>
        <c:grouping val="clustered"/>
        <c:varyColors val="0"/>
        <c:ser>
          <c:idx val="0"/>
          <c:order val="0"/>
          <c:tx>
            <c:v>Facility</c:v>
          </c:tx>
          <c:spPr>
            <a:solidFill>
              <a:schemeClr val="tx2">
                <a:lumMod val="50000"/>
              </a:schemeClr>
            </a:solidFill>
            <a:ln>
              <a:solidFill>
                <a:srgbClr val="56004E"/>
              </a:solidFill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ADMISSIONS!$C$35:$W$35</c15:sqref>
                  </c15:fullRef>
                </c:ext>
              </c:extLst>
              <c:f>(ADMISSIONS!$C$35:$N$35,ADMISSIONS!$P$35:$W$35)</c:f>
              <c:strCache>
                <c:ptCount val="20"/>
                <c:pt idx="0">
                  <c:v>BAPTIST</c:v>
                </c:pt>
                <c:pt idx="1">
                  <c:v>JFK</c:v>
                </c:pt>
                <c:pt idx="2">
                  <c:v>JFK BB</c:v>
                </c:pt>
                <c:pt idx="3">
                  <c:v>JFK PBG</c:v>
                </c:pt>
                <c:pt idx="4">
                  <c:v>JUPITER</c:v>
                </c:pt>
                <c:pt idx="5">
                  <c:v>KENDALL</c:v>
                </c:pt>
                <c:pt idx="6">
                  <c:v>MOBERLY</c:v>
                </c:pt>
                <c:pt idx="7">
                  <c:v>MONROE</c:v>
                </c:pt>
                <c:pt idx="8">
                  <c:v>OCALA</c:v>
                </c:pt>
                <c:pt idx="9">
                  <c:v>SAN RAMON</c:v>
                </c:pt>
                <c:pt idx="10">
                  <c:v>ST MARY'S</c:v>
                </c:pt>
                <c:pt idx="11">
                  <c:v>W MARION</c:v>
                </c:pt>
                <c:pt idx="12">
                  <c:v>WESTCHESTER</c:v>
                </c:pt>
                <c:pt idx="13">
                  <c:v>PROVIDENCE</c:v>
                </c:pt>
                <c:pt idx="14">
                  <c:v>ST JOHN</c:v>
                </c:pt>
                <c:pt idx="15">
                  <c:v>OSCEOLA</c:v>
                </c:pt>
                <c:pt idx="16">
                  <c:v>OSCEOLA PEDS</c:v>
                </c:pt>
                <c:pt idx="17">
                  <c:v>HUNTERS CREEK</c:v>
                </c:pt>
                <c:pt idx="18">
                  <c:v>CHANDLER</c:v>
                </c:pt>
                <c:pt idx="19">
                  <c:v>MERCY GILBERT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ADMISSIONS!$C$48:$W$48</c15:sqref>
                  </c15:fullRef>
                </c:ext>
              </c:extLst>
              <c:f>(ADMISSIONS!$C$48:$N$48,ADMISSIONS!$P$48:$W$48)</c:f>
              <c:numCache>
                <c:formatCode>0.0%</c:formatCode>
                <c:ptCount val="20"/>
                <c:pt idx="0">
                  <c:v>4.135120526306453E-2</c:v>
                </c:pt>
                <c:pt idx="1">
                  <c:v>4.7021950557750401E-2</c:v>
                </c:pt>
                <c:pt idx="2">
                  <c:v>8.4429315320048593E-3</c:v>
                </c:pt>
                <c:pt idx="3">
                  <c:v>2.5295527693530995E-3</c:v>
                </c:pt>
                <c:pt idx="4">
                  <c:v>2.4313605994999262E-2</c:v>
                </c:pt>
                <c:pt idx="5">
                  <c:v>5.8917614913562781E-2</c:v>
                </c:pt>
                <c:pt idx="6">
                  <c:v>4.9368619022031168E-3</c:v>
                </c:pt>
                <c:pt idx="7">
                  <c:v>1.3556102039502688E-2</c:v>
                </c:pt>
                <c:pt idx="8">
                  <c:v>4.8460366353408287E-2</c:v>
                </c:pt>
                <c:pt idx="9">
                  <c:v>2.3516577759741485E-2</c:v>
                </c:pt>
                <c:pt idx="10">
                  <c:v>2.3241936116124712E-2</c:v>
                </c:pt>
                <c:pt idx="11">
                  <c:v>4.7872271560836156E-2</c:v>
                </c:pt>
                <c:pt idx="12">
                  <c:v>1.2102955585366828E-2</c:v>
                </c:pt>
                <c:pt idx="13">
                  <c:v>2.4504776640422221E-2</c:v>
                </c:pt>
                <c:pt idx="14">
                  <c:v>1.2405882213441794E-2</c:v>
                </c:pt>
                <c:pt idx="15">
                  <c:v>3.6944807149344991E-2</c:v>
                </c:pt>
                <c:pt idx="17">
                  <c:v>4.9300249159026539E-3</c:v>
                </c:pt>
                <c:pt idx="18">
                  <c:v>3.1378125093101887E-2</c:v>
                </c:pt>
                <c:pt idx="19">
                  <c:v>2.333964946119706E-2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9826912"/>
        <c:axId val="449827456"/>
      </c:barChart>
      <c:catAx>
        <c:axId val="44982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3900000" spcFirstLastPara="1" vertOverflow="ellipsis" wrap="square" anchor="ctr" anchorCtr="1"/>
          <a:lstStyle/>
          <a:p>
            <a:pPr>
              <a:defRPr sz="700" b="1" i="0" u="none" strike="noStrike" kern="1200" baseline="0">
                <a:solidFill>
                  <a:schemeClr val="tx2">
                    <a:lumMod val="50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9827456"/>
        <c:crosses val="autoZero"/>
        <c:auto val="1"/>
        <c:lblAlgn val="ctr"/>
        <c:lblOffset val="100"/>
        <c:noMultiLvlLbl val="0"/>
      </c:catAx>
      <c:valAx>
        <c:axId val="4498274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3175">
            <a:solidFill>
              <a:schemeClr val="tx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982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0" cap="flat" cmpd="sng" algn="ctr">
      <a:solidFill>
        <a:srgbClr val="005258"/>
      </a:solidFill>
      <a:miter lim="800000"/>
    </a:ln>
    <a:effectLst/>
  </c:spPr>
  <c:txPr>
    <a:bodyPr/>
    <a:lstStyle/>
    <a:p>
      <a:pPr>
        <a:defRPr baseline="0">
          <a:latin typeface="Arial Narrow" panose="020B0606020202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2800" b="1" i="0" u="none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</a:rPr>
              <a:t>EM Division - Division Reason Codes</a:t>
            </a:r>
          </a:p>
        </c:rich>
      </c:tx>
      <c:layout>
        <c:manualLayout>
          <c:xMode val="edge"/>
          <c:yMode val="edge"/>
          <c:x val="0.24028931229723777"/>
          <c:y val="3.886962073745460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017638841159492"/>
          <c:y val="0.16480853797245909"/>
          <c:w val="0.84449246377829124"/>
          <c:h val="0.65280160568164258"/>
        </c:manualLayout>
      </c:layout>
      <c:lineChart>
        <c:grouping val="standard"/>
        <c:varyColors val="0"/>
        <c:ser>
          <c:idx val="0"/>
          <c:order val="0"/>
          <c:tx>
            <c:strRef>
              <c:f>'REASON CODES'!$D$25</c:f>
              <c:strCache>
                <c:ptCount val="1"/>
                <c:pt idx="0">
                  <c:v>% Reason Codes</c:v>
                </c:pt>
              </c:strCache>
            </c:strRef>
          </c:tx>
          <c:spPr>
            <a:ln w="63500" cap="rnd">
              <a:solidFill>
                <a:srgbClr val="002060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rgbClr val="002060"/>
              </a:solidFill>
              <a:ln>
                <a:solidFill>
                  <a:schemeClr val="bg1"/>
                </a:solidFill>
              </a:ln>
            </c:spPr>
          </c:marker>
          <c:dLbls>
            <c:dLbl>
              <c:idx val="0"/>
              <c:layout>
                <c:manualLayout>
                  <c:x val="-4.085007073643402E-2"/>
                  <c:y val="-2.60469624590839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2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</c:extLst>
            </c:dLbl>
            <c:dLbl>
              <c:idx val="1"/>
              <c:layout>
                <c:manualLayout>
                  <c:x val="-2.6329000013142458E-2"/>
                  <c:y val="-3.17070749426665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4.4635823008138953E-2"/>
                  <c:y val="-3.16403850715790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3.8566594541823436E-2"/>
                  <c:y val="-3.62809647314118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4.2215128989854502E-2"/>
                  <c:y val="-3.76585071668689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3.361451990732138E-2"/>
                  <c:y val="-2.85276154961046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4.2638009944755528E-2"/>
                  <c:y val="2.4112712166819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4.134917190126039E-2"/>
                  <c:y val="-3.3619240347513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3.3616143640289566E-2"/>
                  <c:y val="-3.3619240347513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'REASON CODES'!$B$26:$B$37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'REASON CODES'!$D$26:$D$37</c:f>
              <c:numCache>
                <c:formatCode>0.0%</c:formatCode>
                <c:ptCount val="12"/>
                <c:pt idx="0">
                  <c:v>1.9276781320527396E-2</c:v>
                </c:pt>
                <c:pt idx="1">
                  <c:v>2.8932105083589219E-2</c:v>
                </c:pt>
                <c:pt idx="2">
                  <c:v>1.5402843601895734E-2</c:v>
                </c:pt>
                <c:pt idx="3">
                  <c:v>2.0418589601675721E-2</c:v>
                </c:pt>
                <c:pt idx="4">
                  <c:v>3.7983573616340548E-2</c:v>
                </c:pt>
                <c:pt idx="5">
                  <c:v>3.4970238095238096E-2</c:v>
                </c:pt>
                <c:pt idx="6">
                  <c:v>5.741445624663704E-2</c:v>
                </c:pt>
                <c:pt idx="7">
                  <c:v>3.3262432897802084E-2</c:v>
                </c:pt>
                <c:pt idx="8">
                  <c:v>2.5105868118572294E-2</c:v>
                </c:pt>
                <c:pt idx="9">
                  <c:v>1.6783754783066426E-2</c:v>
                </c:pt>
                <c:pt idx="10">
                  <c:v>2.7461693299921947E-2</c:v>
                </c:pt>
                <c:pt idx="11">
                  <c:v>3.4075504251735611E-2</c:v>
                </c:pt>
              </c:numCache>
            </c:numRef>
          </c:val>
          <c:smooth val="0"/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830720"/>
        <c:axId val="449832352"/>
      </c:lineChart>
      <c:dateAx>
        <c:axId val="449830720"/>
        <c:scaling>
          <c:orientation val="minMax"/>
        </c:scaling>
        <c:delete val="0"/>
        <c:axPos val="b"/>
        <c:minorGridlines>
          <c:spPr>
            <a:ln w="3175" cap="flat" cmpd="sng" algn="ctr">
              <a:noFill/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*Includes Missing/Incomp Proc Note &amp;</a:t>
                </a:r>
                <a:r>
                  <a:rPr lang="en-US" sz="1600" baseline="0"/>
                  <a:t> N</a:t>
                </a:r>
                <a:r>
                  <a:rPr lang="en-US" sz="1600"/>
                  <a:t>on-specific</a:t>
                </a:r>
                <a:r>
                  <a:rPr lang="en-US" sz="1600" baseline="0"/>
                  <a:t> </a:t>
                </a:r>
                <a:r>
                  <a:rPr lang="en-US" sz="1600"/>
                  <a:t>codes</a:t>
                </a:r>
              </a:p>
            </c:rich>
          </c:tx>
          <c:layout>
            <c:manualLayout>
              <c:xMode val="edge"/>
              <c:yMode val="edge"/>
              <c:x val="0.22067169964164554"/>
              <c:y val="0.92525030438073386"/>
            </c:manualLayout>
          </c:layout>
          <c:overlay val="0"/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9832352"/>
        <c:crosses val="autoZero"/>
        <c:auto val="1"/>
        <c:lblOffset val="100"/>
        <c:baseTimeUnit val="months"/>
      </c:dateAx>
      <c:valAx>
        <c:axId val="449832352"/>
        <c:scaling>
          <c:orientation val="minMax"/>
          <c:max val="6.0000000000000012E-2"/>
          <c:min val="0"/>
        </c:scaling>
        <c:delete val="0"/>
        <c:axPos val="l"/>
        <c:majorGridlines>
          <c:spPr>
            <a:ln w="9525" cap="flat" cmpd="sng" algn="ctr">
              <a:noFill/>
              <a:prstDash val="sysDot"/>
              <a:round/>
            </a:ln>
            <a:effectLst/>
          </c:spPr>
        </c:majorGridlines>
        <c:numFmt formatCode="0.0%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9830720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808335671207568"/>
          <c:y val="0.87735443413035341"/>
          <c:w val="0.16659145216430776"/>
          <c:h val="4.55965348064790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>
                  <a:lumMod val="7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2500" b="0" i="0" u="none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</a:rPr>
              <a:t>Terminations - 2016</a:t>
            </a:r>
          </a:p>
        </c:rich>
      </c:tx>
      <c:layout>
        <c:manualLayout>
          <c:xMode val="edge"/>
          <c:yMode val="edge"/>
          <c:x val="0.39733838223782397"/>
          <c:y val="5.19691100929280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5782377048070236E-2"/>
          <c:y val="0.13226956929832751"/>
          <c:w val="0.93043212591391466"/>
          <c:h val="0.66794046800718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TERMINATIONS!$C$24</c:f>
              <c:strCache>
                <c:ptCount val="1"/>
                <c:pt idx="0">
                  <c:v>DIVISION</c:v>
                </c:pt>
              </c:strCache>
            </c:strRef>
          </c:tx>
          <c:spPr>
            <a:solidFill>
              <a:schemeClr val="accent3"/>
            </a:solidFill>
            <a:ln w="15875">
              <a:solidFill>
                <a:schemeClr val="tx2">
                  <a:lumMod val="7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 w="15875">
                <a:solidFill>
                  <a:schemeClr val="tx2">
                    <a:lumMod val="75000"/>
                    <a:alpha val="92000"/>
                  </a:schemeClr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TERMINATIONS!$B$26:$B$37</c:f>
              <c:strCache>
                <c:ptCount val="12"/>
                <c:pt idx="0">
                  <c:v>Jan-16</c:v>
                </c:pt>
                <c:pt idx="1">
                  <c:v>Feb-16</c:v>
                </c:pt>
                <c:pt idx="2">
                  <c:v>Mar-16</c:v>
                </c:pt>
                <c:pt idx="3">
                  <c:v>Apr-16</c:v>
                </c:pt>
                <c:pt idx="4">
                  <c:v>May-16</c:v>
                </c:pt>
                <c:pt idx="5">
                  <c:v>Jun-16</c:v>
                </c:pt>
                <c:pt idx="6">
                  <c:v>Jul-16</c:v>
                </c:pt>
                <c:pt idx="7">
                  <c:v>Aug-16</c:v>
                </c:pt>
                <c:pt idx="8">
                  <c:v>Sep-16</c:v>
                </c:pt>
                <c:pt idx="9">
                  <c:v>Oct-16</c:v>
                </c:pt>
                <c:pt idx="10">
                  <c:v>Nov-16</c:v>
                </c:pt>
                <c:pt idx="11">
                  <c:v>Dec-16</c:v>
                </c:pt>
              </c:strCache>
            </c:strRef>
          </c:cat>
          <c:val>
            <c:numRef>
              <c:f>TERMINATIONS!$C$26:$C$37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2"/>
        <c:overlap val="5"/>
        <c:axId val="449832896"/>
        <c:axId val="449822016"/>
      </c:barChart>
      <c:catAx>
        <c:axId val="449832896"/>
        <c:scaling>
          <c:orientation val="minMax"/>
        </c:scaling>
        <c:delete val="0"/>
        <c:axPos val="b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m\a\r\ch" sourceLinked="0"/>
        <c:majorTickMark val="out"/>
        <c:minorTickMark val="none"/>
        <c:tickLblPos val="nextTo"/>
        <c:spPr>
          <a:noFill/>
          <a:ln w="317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9822016"/>
        <c:crosses val="autoZero"/>
        <c:auto val="1"/>
        <c:lblAlgn val="ctr"/>
        <c:lblOffset val="100"/>
        <c:noMultiLvlLbl val="0"/>
      </c:catAx>
      <c:valAx>
        <c:axId val="449822016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6350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983289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2000" b="1" i="0" u="none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</a:rPr>
              <a:t>EM Division (PPH) - Patients per Hour</a:t>
            </a:r>
          </a:p>
        </c:rich>
      </c:tx>
      <c:layout>
        <c:manualLayout>
          <c:xMode val="edge"/>
          <c:yMode val="edge"/>
          <c:x val="0.35044706259705533"/>
          <c:y val="3.907450221534557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1177457687605819E-2"/>
          <c:y val="0.14133751482349502"/>
          <c:w val="0.87916782618720157"/>
          <c:h val="0.62159514036404684"/>
        </c:manualLayout>
      </c:layout>
      <c:lineChart>
        <c:grouping val="standard"/>
        <c:varyColors val="0"/>
        <c:ser>
          <c:idx val="0"/>
          <c:order val="0"/>
          <c:tx>
            <c:strRef>
              <c:f>'PROVIDER PRODUCTIVITY'!$B$24</c:f>
              <c:strCache>
                <c:ptCount val="1"/>
                <c:pt idx="0">
                  <c:v>Overall Pt per Adjusted Hr w/o QC
(&gt; 20k volume)</c:v>
                </c:pt>
              </c:strCache>
            </c:strRef>
          </c:tx>
          <c:spPr>
            <a:ln w="47625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square"/>
            <c:size val="8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marker>
          <c:dLbls>
            <c:dLbl>
              <c:idx val="0"/>
              <c:layout>
                <c:manualLayout>
                  <c:x val="-1.9919361574499427E-2"/>
                  <c:y val="-2.45389063209204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8634121964367433E-2"/>
                  <c:y val="-2.0862288340083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453689763680838E-2"/>
                  <c:y val="-2.37713333664215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07589392555485E-2"/>
                  <c:y val="-2.98850574712643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'PROVIDER PRODUCTIVITY'!$A$25:$A$36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'PROVIDER PRODUCTIVITY'!$B$25:$B$36</c:f>
              <c:numCache>
                <c:formatCode>0.0</c:formatCode>
                <c:ptCount val="12"/>
                <c:pt idx="0">
                  <c:v>1.8954812154065317</c:v>
                </c:pt>
                <c:pt idx="1">
                  <c:v>2.0055749314603193</c:v>
                </c:pt>
                <c:pt idx="2">
                  <c:v>2.0406857624623314</c:v>
                </c:pt>
                <c:pt idx="3">
                  <c:v>1.9389658151836666</c:v>
                </c:pt>
                <c:pt idx="4">
                  <c:v>1.9133240422385662</c:v>
                </c:pt>
                <c:pt idx="5">
                  <c:v>1.8662754846518852</c:v>
                </c:pt>
                <c:pt idx="6">
                  <c:v>1.8446512280718272</c:v>
                </c:pt>
                <c:pt idx="7">
                  <c:v>1.7907578355254672</c:v>
                </c:pt>
                <c:pt idx="8">
                  <c:v>1.8521746184657093</c:v>
                </c:pt>
                <c:pt idx="9">
                  <c:v>1.790633691920031</c:v>
                </c:pt>
                <c:pt idx="10">
                  <c:v>1.7638412441629505</c:v>
                </c:pt>
                <c:pt idx="11">
                  <c:v>1.8826757341505362</c:v>
                </c:pt>
              </c:numCache>
            </c:numRef>
          </c:val>
          <c:smooth val="0"/>
          <c:extLst/>
        </c:ser>
        <c:ser>
          <c:idx val="3"/>
          <c:order val="1"/>
          <c:tx>
            <c:strRef>
              <c:f>'PROVIDER PRODUCTIVITY'!$C$24</c:f>
              <c:strCache>
                <c:ptCount val="1"/>
                <c:pt idx="0">
                  <c:v>EDP PPH 
(&lt; 20k volume)</c:v>
                </c:pt>
              </c:strCache>
            </c:strRef>
          </c:tx>
          <c:spPr>
            <a:ln w="47625" cap="rnd">
              <a:solidFill>
                <a:srgbClr val="2C4D75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rgbClr val="2C4D75"/>
              </a:solidFill>
              <a:ln>
                <a:solidFill>
                  <a:schemeClr val="bg1"/>
                </a:solidFill>
              </a:ln>
            </c:spPr>
          </c:marker>
          <c:dLbls>
            <c:dLbl>
              <c:idx val="0"/>
              <c:layout>
                <c:manualLayout>
                  <c:x val="-1.674238631511071E-2"/>
                  <c:y val="2.06986164833613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8025750638450834E-2"/>
                  <c:y val="2.3317940520592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5503879888336227E-2"/>
                  <c:y val="1.85710781257066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0652548614644047E-2"/>
                  <c:y val="2.10776942355889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0009668511783228E-2"/>
                  <c:y val="2.7343358395989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1.8723908306061549E-2"/>
                  <c:y val="2.73433583959899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1295428717504908E-2"/>
                  <c:y val="2.98496240601503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1.7438148100339917E-2"/>
                  <c:y val="2.48370927318295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1.9505570827899284E-2"/>
                  <c:y val="1.95525892967494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1.8252202400249978E-2"/>
                  <c:y val="1.9552589296749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1.5745465544951268E-2"/>
                  <c:y val="1.95525892967494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1.9505570827899374E-2"/>
                  <c:y val="2.4496353973550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'PROVIDER PRODUCTIVITY'!$A$25:$A$36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'PROVIDER PRODUCTIVITY'!$C$25:$C$36</c:f>
              <c:numCache>
                <c:formatCode>#,##0.0</c:formatCode>
                <c:ptCount val="12"/>
                <c:pt idx="0">
                  <c:v>1.2082868307727876</c:v>
                </c:pt>
                <c:pt idx="1">
                  <c:v>1.3393924019193628</c:v>
                </c:pt>
                <c:pt idx="2">
                  <c:v>1.28044758391309</c:v>
                </c:pt>
                <c:pt idx="3">
                  <c:v>1.2513025387102992</c:v>
                </c:pt>
                <c:pt idx="4">
                  <c:v>1.1786645569380483</c:v>
                </c:pt>
                <c:pt idx="5">
                  <c:v>1.1495636204430943</c:v>
                </c:pt>
                <c:pt idx="6">
                  <c:v>1.0822638364855908</c:v>
                </c:pt>
                <c:pt idx="7">
                  <c:v>1.125834511760069</c:v>
                </c:pt>
                <c:pt idx="8">
                  <c:v>1.1256468523139915</c:v>
                </c:pt>
                <c:pt idx="9">
                  <c:v>1.1130986052670695</c:v>
                </c:pt>
                <c:pt idx="10">
                  <c:v>1.1920218731188086</c:v>
                </c:pt>
                <c:pt idx="11">
                  <c:v>1.1795074884792627</c:v>
                </c:pt>
              </c:numCache>
            </c:numRef>
          </c:val>
          <c:smooth val="0"/>
          <c:extLst/>
        </c:ser>
        <c:ser>
          <c:idx val="1"/>
          <c:order val="2"/>
          <c:tx>
            <c:strRef>
              <c:f>'PROVIDER PRODUCTIVITY'!$D$24</c:f>
              <c:strCache>
                <c:ptCount val="1"/>
                <c:pt idx="0">
                  <c:v>EDP PPH (&gt;20k volume)</c:v>
                </c:pt>
              </c:strCache>
            </c:strRef>
          </c:tx>
          <c:spPr>
            <a:ln w="47625" cap="rnd">
              <a:solidFill>
                <a:srgbClr val="953735"/>
              </a:solidFill>
              <a:prstDash val="solid"/>
              <a:round/>
            </a:ln>
            <a:effectLst/>
          </c:spPr>
          <c:marker>
            <c:symbol val="square"/>
            <c:size val="8"/>
            <c:spPr>
              <a:solidFill>
                <a:srgbClr val="953735"/>
              </a:solidFill>
              <a:ln>
                <a:solidFill>
                  <a:schemeClr val="bg1"/>
                </a:solidFill>
              </a:ln>
            </c:spPr>
          </c:marker>
          <c:dLbls>
            <c:dLbl>
              <c:idx val="0"/>
              <c:layout>
                <c:manualLayout>
                  <c:x val="-2.1115211698368511E-2"/>
                  <c:y val="-2.5670790038898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1204109370610257E-2"/>
                  <c:y val="-2.32595267696801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640197217392183E-2"/>
                  <c:y val="-2.66877824482466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0652548614643999E-2"/>
                  <c:y val="-2.1528822055137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8691473492491385E-2"/>
                  <c:y val="-2.70723667884117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2.0042051991104044E-2"/>
                  <c:y val="2.1746336212978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1.8723942643097419E-2"/>
                  <c:y val="-2.77257611986488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1.8252202400249884E-2"/>
                  <c:y val="-3.23569398096650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1.8252202400249978E-2"/>
                  <c:y val="-2.74131751328636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1.8252202400249978E-2"/>
                  <c:y val="2.69682363119515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1.950557082789919E-2"/>
                  <c:y val="2.4496353973550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'PROVIDER PRODUCTIVITY'!$A$25:$A$36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'PROVIDER PRODUCTIVITY'!$D$25:$D$36</c:f>
              <c:numCache>
                <c:formatCode>#,##0.0</c:formatCode>
                <c:ptCount val="12"/>
                <c:pt idx="0">
                  <c:v>2.4535280713106511</c:v>
                </c:pt>
                <c:pt idx="1">
                  <c:v>2.6307195590035586</c:v>
                </c:pt>
                <c:pt idx="2">
                  <c:v>2.6669153375206252</c:v>
                </c:pt>
                <c:pt idx="3">
                  <c:v>2.5634975250426058</c:v>
                </c:pt>
                <c:pt idx="4">
                  <c:v>2.508735201502168</c:v>
                </c:pt>
                <c:pt idx="5">
                  <c:v>2.4730433129831977</c:v>
                </c:pt>
                <c:pt idx="6">
                  <c:v>2.4498893808689788</c:v>
                </c:pt>
                <c:pt idx="7">
                  <c:v>2.3565025715411454</c:v>
                </c:pt>
                <c:pt idx="8">
                  <c:v>2.4554369014526305</c:v>
                </c:pt>
                <c:pt idx="9">
                  <c:v>2.3262813590165505</c:v>
                </c:pt>
                <c:pt idx="10">
                  <c:v>2.2899899331860323</c:v>
                </c:pt>
                <c:pt idx="11">
                  <c:v>2.4360324798070732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'PROVIDER PRODUCTIVITY'!$E$24</c:f>
              <c:strCache>
                <c:ptCount val="1"/>
                <c:pt idx="0">
                  <c:v> EDP PPH QC</c:v>
                </c:pt>
              </c:strCache>
            </c:strRef>
          </c:tx>
          <c:spPr>
            <a:ln w="47625" cap="rnd" cmpd="sng">
              <a:solidFill>
                <a:srgbClr val="5F7530"/>
              </a:solidFill>
              <a:prstDash val="solid"/>
              <a:round/>
            </a:ln>
            <a:effectLst/>
          </c:spPr>
          <c:marker>
            <c:symbol val="square"/>
            <c:size val="8"/>
            <c:spPr>
              <a:solidFill>
                <a:srgbClr val="5F7530"/>
              </a:solidFill>
              <a:ln>
                <a:solidFill>
                  <a:schemeClr val="bg1"/>
                </a:solidFill>
              </a:ln>
            </c:spPr>
          </c:marker>
          <c:dLbls>
            <c:dLbl>
              <c:idx val="0"/>
              <c:layout>
                <c:manualLayout>
                  <c:x val="-1.9927157128502619E-2"/>
                  <c:y val="-2.17385984646656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9928776983879907E-2"/>
                  <c:y val="-2.18846328419473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9363751180089952E-2"/>
                  <c:y val="-2.42486136601345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6795267997479147E-2"/>
                  <c:y val="-2.9047619047619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438148100339917E-2"/>
                  <c:y val="-2.2781954887218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1.8723908306061549E-2"/>
                  <c:y val="-2.5288220551378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1.8723908306061549E-2"/>
                  <c:y val="-2.77944862155388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'PROVIDER PRODUCTIVITY'!$A$25:$A$36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'PROVIDER PRODUCTIVITY'!$E$25:$E$36</c:f>
              <c:numCache>
                <c:formatCode>#,##0.0</c:formatCode>
                <c:ptCount val="12"/>
                <c:pt idx="0">
                  <c:v>2.885752688172043</c:v>
                </c:pt>
                <c:pt idx="1">
                  <c:v>3.1328566051938278</c:v>
                </c:pt>
                <c:pt idx="2">
                  <c:v>3.3753623188405797</c:v>
                </c:pt>
                <c:pt idx="3">
                  <c:v>3.2166666666666668</c:v>
                </c:pt>
                <c:pt idx="4">
                  <c:v>2.792560801144492</c:v>
                </c:pt>
                <c:pt idx="5">
                  <c:v>2.6029850746268655</c:v>
                </c:pt>
                <c:pt idx="6">
                  <c:v>2.7639296187683287</c:v>
                </c:pt>
                <c:pt idx="7">
                  <c:v>2.8328530259365996</c:v>
                </c:pt>
                <c:pt idx="8">
                  <c:v>2.9267930137495357</c:v>
                </c:pt>
                <c:pt idx="9">
                  <c:v>2.6931121529029931</c:v>
                </c:pt>
                <c:pt idx="10">
                  <c:v>3.0405405405405403</c:v>
                </c:pt>
                <c:pt idx="11">
                  <c:v>2.8812316715542523</c:v>
                </c:pt>
              </c:numCache>
            </c:numRef>
          </c:val>
          <c:smooth val="0"/>
        </c:ser>
        <c:ser>
          <c:idx val="2"/>
          <c:order val="4"/>
          <c:tx>
            <c:strRef>
              <c:f>'PROVIDER PRODUCTIVITY'!$F$24</c:f>
              <c:strCache>
                <c:ptCount val="1"/>
                <c:pt idx="0">
                  <c:v>MLP PPH</c:v>
                </c:pt>
              </c:strCache>
            </c:strRef>
          </c:tx>
          <c:spPr>
            <a:ln w="47625" cap="rnd">
              <a:solidFill>
                <a:srgbClr val="558ED5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rgbClr val="558ED5"/>
              </a:solidFill>
              <a:ln>
                <a:solidFill>
                  <a:schemeClr val="bg1"/>
                </a:solidFill>
              </a:ln>
            </c:spPr>
          </c:marker>
          <c:dLbls>
            <c:dLbl>
              <c:idx val="0"/>
              <c:layout>
                <c:manualLayout>
                  <c:x val="-1.8041949192223693E-2"/>
                  <c:y val="-1.9774041402719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0616810555382604E-2"/>
                  <c:y val="-2.23547056617923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8147644755591663E-2"/>
                  <c:y val="2.7496497148382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0700514522543113E-2"/>
                  <c:y val="-3.99282959485459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8161413526298652E-2"/>
                  <c:y val="2.00501253132832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1.9447173732020238E-2"/>
                  <c:y val="2.50626566416040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1.6875653320576972E-2"/>
                  <c:y val="2.00501253132832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0376612539901865E-2"/>
                  <c:y val="2.4718823384006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1.8957246813409462E-2"/>
                  <c:y val="2.7190705722407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0210615241058862E-2"/>
                  <c:y val="2.4718823384006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1.645050995811085E-2"/>
                  <c:y val="2.2246941045606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5.1701941092670801E-3"/>
                  <c:y val="2.471882338400601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'PROVIDER PRODUCTIVITY'!$A$25:$A$36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'PROVIDER PRODUCTIVITY'!$F$25:$F$36</c:f>
              <c:numCache>
                <c:formatCode>#,##0.0</c:formatCode>
                <c:ptCount val="12"/>
                <c:pt idx="0">
                  <c:v>1.4525971234134256</c:v>
                </c:pt>
                <c:pt idx="1">
                  <c:v>1.432624917541691</c:v>
                </c:pt>
                <c:pt idx="2">
                  <c:v>1.697806535824083</c:v>
                </c:pt>
                <c:pt idx="3">
                  <c:v>1.6586997171463083</c:v>
                </c:pt>
                <c:pt idx="4">
                  <c:v>1.5190610298799685</c:v>
                </c:pt>
                <c:pt idx="5">
                  <c:v>1.550448770014395</c:v>
                </c:pt>
                <c:pt idx="6">
                  <c:v>1.4835669897158332</c:v>
                </c:pt>
                <c:pt idx="7">
                  <c:v>1.4701580684990969</c:v>
                </c:pt>
                <c:pt idx="8">
                  <c:v>1.4936500890693567</c:v>
                </c:pt>
                <c:pt idx="9">
                  <c:v>1.528459916916592</c:v>
                </c:pt>
                <c:pt idx="10">
                  <c:v>1.4950066009075953</c:v>
                </c:pt>
                <c:pt idx="11">
                  <c:v>1.3992984028069011</c:v>
                </c:pt>
              </c:numCache>
            </c:numRef>
          </c:val>
          <c:smooth val="0"/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822560"/>
        <c:axId val="449825824"/>
      </c:lineChart>
      <c:dateAx>
        <c:axId val="449822560"/>
        <c:scaling>
          <c:orientation val="minMax"/>
        </c:scaling>
        <c:delete val="0"/>
        <c:axPos val="b"/>
        <c:minorGridlines>
          <c:spPr>
            <a:ln w="3175" cap="flat" cmpd="sng" algn="ctr">
              <a:noFill/>
              <a:round/>
            </a:ln>
            <a:effectLst/>
          </c:spPr>
        </c:minorGridlines>
        <c:numFmt formatCode="[$-409]mmm\-yy;@" sourceLinked="0"/>
        <c:majorTickMark val="in"/>
        <c:minorTickMark val="in"/>
        <c:tickLblPos val="low"/>
        <c:spPr>
          <a:noFill/>
          <a:ln w="317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3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9825824"/>
        <c:crosses val="autoZero"/>
        <c:auto val="1"/>
        <c:lblOffset val="100"/>
        <c:baseTimeUnit val="months"/>
      </c:dateAx>
      <c:valAx>
        <c:axId val="449825824"/>
        <c:scaling>
          <c:orientation val="minMax"/>
          <c:max val="3.4499999999999997"/>
          <c:min val="0.8"/>
        </c:scaling>
        <c:delete val="0"/>
        <c:axPos val="l"/>
        <c:majorGridlines>
          <c:spPr>
            <a:ln w="3175" cap="flat" cmpd="sng" algn="ctr">
              <a:noFill/>
              <a:prstDash val="sysDash"/>
              <a:round/>
            </a:ln>
            <a:effectLst/>
          </c:spPr>
        </c:majorGridlines>
        <c:numFmt formatCode="0.0" sourceLinked="1"/>
        <c:majorTickMark val="in"/>
        <c:minorTickMark val="none"/>
        <c:tickLblPos val="nextTo"/>
        <c:spPr>
          <a:noFill/>
          <a:ln w="3175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4982256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1169788684803987E-2"/>
          <c:y val="0.85249141501851888"/>
          <c:w val="0.87561252046965676"/>
          <c:h val="8.6125433464285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ln>
                <a:noFill/>
              </a:ln>
              <a:solidFill>
                <a:schemeClr val="tx2">
                  <a:lumMod val="7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800" b="1" i="0" u="none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</a:rPr>
              <a:t>EM Division - Arrival to Provider (Min) </a:t>
            </a:r>
          </a:p>
        </c:rich>
      </c:tx>
      <c:layout>
        <c:manualLayout>
          <c:xMode val="edge"/>
          <c:yMode val="edge"/>
          <c:x val="0.34688281164564333"/>
          <c:y val="4.2124961652520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7830395745556588E-2"/>
          <c:y val="0.12576289440696789"/>
          <c:w val="0.90546178332660765"/>
          <c:h val="0.667514084068315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EFFICIENCY!$C$18</c:f>
              <c:strCache>
                <c:ptCount val="1"/>
                <c:pt idx="0">
                  <c:v>DIVISION
w/ Baptist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EFFICIENCY!$B$19:$B$30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EFFICIENCY!$C$19:$C$30</c:f>
              <c:numCache>
                <c:formatCode>0</c:formatCode>
                <c:ptCount val="12"/>
                <c:pt idx="0">
                  <c:v>27.030028165210179</c:v>
                </c:pt>
                <c:pt idx="1">
                  <c:v>28.897045379393514</c:v>
                </c:pt>
                <c:pt idx="2">
                  <c:v>34.247114810911235</c:v>
                </c:pt>
                <c:pt idx="3">
                  <c:v>29.523170404372436</c:v>
                </c:pt>
                <c:pt idx="4">
                  <c:v>27.620734700247763</c:v>
                </c:pt>
                <c:pt idx="5">
                  <c:v>30.775070271164022</c:v>
                </c:pt>
                <c:pt idx="6">
                  <c:v>21.54180234759561</c:v>
                </c:pt>
                <c:pt idx="7">
                  <c:v>24.887207535703432</c:v>
                </c:pt>
                <c:pt idx="8">
                  <c:v>27.796772736438797</c:v>
                </c:pt>
                <c:pt idx="9">
                  <c:v>26.360567286862512</c:v>
                </c:pt>
                <c:pt idx="10">
                  <c:v>11.946666666666667</c:v>
                </c:pt>
                <c:pt idx="11">
                  <c:v>11.854000000000003</c:v>
                </c:pt>
              </c:numCache>
            </c:numRef>
          </c:val>
        </c:ser>
        <c:ser>
          <c:idx val="1"/>
          <c:order val="1"/>
          <c:tx>
            <c:strRef>
              <c:f>EFFICIENCY!$D$18</c:f>
              <c:strCache>
                <c:ptCount val="1"/>
                <c:pt idx="0">
                  <c:v>DIVISION
w/o Baptist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EFFICIENCY!$B$19:$B$30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EFFICIENCY!$D$19:$D$30</c:f>
              <c:numCache>
                <c:formatCode>0</c:formatCode>
                <c:ptCount val="12"/>
                <c:pt idx="0">
                  <c:v>12.595023842727969</c:v>
                </c:pt>
                <c:pt idx="1">
                  <c:v>14.813263053565796</c:v>
                </c:pt>
                <c:pt idx="2">
                  <c:v>14.031227162690612</c:v>
                </c:pt>
                <c:pt idx="3">
                  <c:v>12.678473371980241</c:v>
                </c:pt>
                <c:pt idx="4">
                  <c:v>10.911562968686088</c:v>
                </c:pt>
                <c:pt idx="5">
                  <c:v>10.355743920403777</c:v>
                </c:pt>
                <c:pt idx="6">
                  <c:v>10.836217233686558</c:v>
                </c:pt>
                <c:pt idx="7">
                  <c:v>9.454026096156106</c:v>
                </c:pt>
                <c:pt idx="8">
                  <c:v>9.8441333114738754</c:v>
                </c:pt>
                <c:pt idx="9">
                  <c:v>9.2787826620130183</c:v>
                </c:pt>
                <c:pt idx="10">
                  <c:v>11.946666666666667</c:v>
                </c:pt>
                <c:pt idx="11">
                  <c:v>11.854000000000003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36"/>
        <c:axId val="2132819248"/>
        <c:axId val="2132846448"/>
      </c:barChart>
      <c:dateAx>
        <c:axId val="2132819248"/>
        <c:scaling>
          <c:orientation val="minMax"/>
        </c:scaling>
        <c:delete val="0"/>
        <c:axPos val="b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mmm\-yy" sourceLinked="1"/>
        <c:majorTickMark val="in"/>
        <c:minorTickMark val="in"/>
        <c:tickLblPos val="nextTo"/>
        <c:spPr>
          <a:noFill/>
          <a:ln w="317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46448"/>
        <c:crosses val="autoZero"/>
        <c:auto val="1"/>
        <c:lblOffset val="100"/>
        <c:baseTimeUnit val="months"/>
      </c:dateAx>
      <c:valAx>
        <c:axId val="2132846448"/>
        <c:scaling>
          <c:orientation val="minMax"/>
          <c:max val="45"/>
        </c:scaling>
        <c:delete val="0"/>
        <c:axPos val="l"/>
        <c:majorGridlines>
          <c:spPr>
            <a:ln w="6350" cap="flat" cmpd="sng" algn="ctr">
              <a:noFill/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3175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1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279797981213042E-2"/>
          <c:y val="0.86306569895248353"/>
          <c:w val="0.90450078779223231"/>
          <c:h val="9.3372033000774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>
                  <a:lumMod val="7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800" b="1" i="0" u="none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</a:rPr>
              <a:t>EM Division (LOS) - Discharged Length of Stay YTD</a:t>
            </a:r>
          </a:p>
        </c:rich>
      </c:tx>
      <c:layout>
        <c:manualLayout>
          <c:xMode val="edge"/>
          <c:yMode val="edge"/>
          <c:x val="0.27021334938613045"/>
          <c:y val="4.411680220715807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525018584254686E-2"/>
          <c:y val="0.15780702641727246"/>
          <c:w val="0.87923533557701172"/>
          <c:h val="0.655667868108636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EFFICIENCY!$C$49</c:f>
              <c:strCache>
                <c:ptCount val="1"/>
                <c:pt idx="0">
                  <c:v>DIVISION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EFFICIENCY!$B$50:$B$61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EFFICIENCY!$C$50:$C$61</c:f>
              <c:numCache>
                <c:formatCode>0</c:formatCode>
                <c:ptCount val="12"/>
                <c:pt idx="0">
                  <c:v>174.64500000000001</c:v>
                </c:pt>
                <c:pt idx="1">
                  <c:v>188.66299999999998</c:v>
                </c:pt>
                <c:pt idx="2">
                  <c:v>196.83499999999998</c:v>
                </c:pt>
                <c:pt idx="3">
                  <c:v>174.81052631578947</c:v>
                </c:pt>
                <c:pt idx="4">
                  <c:v>166.26315789473685</c:v>
                </c:pt>
                <c:pt idx="5">
                  <c:v>164.88421052631577</c:v>
                </c:pt>
                <c:pt idx="6">
                  <c:v>154.75</c:v>
                </c:pt>
                <c:pt idx="7">
                  <c:v>159.45555555555555</c:v>
                </c:pt>
                <c:pt idx="8">
                  <c:v>161</c:v>
                </c:pt>
                <c:pt idx="9">
                  <c:v>158.69473684210524</c:v>
                </c:pt>
                <c:pt idx="10">
                  <c:v>149.74117647058824</c:v>
                </c:pt>
                <c:pt idx="11">
                  <c:v>130.56666666666666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2817616"/>
        <c:axId val="2132816528"/>
      </c:barChart>
      <c:dateAx>
        <c:axId val="2132817616"/>
        <c:scaling>
          <c:orientation val="minMax"/>
        </c:scaling>
        <c:delete val="0"/>
        <c:axPos val="b"/>
        <c:numFmt formatCode="mmm\-yy" sourceLinked="1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16528"/>
        <c:crosses val="autoZero"/>
        <c:auto val="1"/>
        <c:lblOffset val="100"/>
        <c:baseTimeUnit val="months"/>
      </c:dateAx>
      <c:valAx>
        <c:axId val="2132816528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1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800" b="1" i="0" u="none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</a:rPr>
              <a:t>EM Division (LOS ) - Admitted Length of Stay YTD</a:t>
            </a:r>
          </a:p>
        </c:rich>
      </c:tx>
      <c:layout>
        <c:manualLayout>
          <c:xMode val="edge"/>
          <c:yMode val="edge"/>
          <c:x val="0.27212982733009011"/>
          <c:y val="4.7637581631240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166728344103158E-2"/>
          <c:y val="0.15213860390192774"/>
          <c:w val="0.88890971407652919"/>
          <c:h val="0.708164627241292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EFFICIENCY!$C$80</c:f>
              <c:strCache>
                <c:ptCount val="1"/>
                <c:pt idx="0">
                  <c:v>DIVISION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2">
                  <a:lumMod val="7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Lbl>
              <c:idx val="0"/>
              <c:layout>
                <c:manualLayout>
                  <c:x val="-1.8528504952241445E-3"/>
                  <c:y val="4.42563159246063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EFFICIENCY!$B$81:$B$92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EFFICIENCY!$C$81:$C$92</c:f>
              <c:numCache>
                <c:formatCode>0</c:formatCode>
                <c:ptCount val="12"/>
                <c:pt idx="0">
                  <c:v>379.38888888888891</c:v>
                </c:pt>
                <c:pt idx="1">
                  <c:v>381.73277777777776</c:v>
                </c:pt>
                <c:pt idx="2">
                  <c:v>365.22222222222223</c:v>
                </c:pt>
                <c:pt idx="3">
                  <c:v>333.41176470588238</c:v>
                </c:pt>
                <c:pt idx="4">
                  <c:v>326.05882352941177</c:v>
                </c:pt>
                <c:pt idx="5">
                  <c:v>327.11764705882354</c:v>
                </c:pt>
                <c:pt idx="6">
                  <c:v>311.875</c:v>
                </c:pt>
                <c:pt idx="7">
                  <c:v>307.3125</c:v>
                </c:pt>
                <c:pt idx="8">
                  <c:v>324.23529411764707</c:v>
                </c:pt>
                <c:pt idx="9">
                  <c:v>311.1764705882353</c:v>
                </c:pt>
                <c:pt idx="10">
                  <c:v>314</c:v>
                </c:pt>
                <c:pt idx="11">
                  <c:v>317.31333333333333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2820880"/>
        <c:axId val="2132818160"/>
      </c:barChart>
      <c:dateAx>
        <c:axId val="2132820880"/>
        <c:scaling>
          <c:orientation val="minMax"/>
        </c:scaling>
        <c:delete val="0"/>
        <c:axPos val="b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18160"/>
        <c:crosses val="autoZero"/>
        <c:auto val="1"/>
        <c:lblOffset val="100"/>
        <c:baseTimeUnit val="months"/>
      </c:dateAx>
      <c:valAx>
        <c:axId val="2132818160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3175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2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500" b="1" i="0" u="none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</a:rPr>
              <a:t>EM Division - FPPE On Time Completion </a:t>
            </a:r>
          </a:p>
        </c:rich>
      </c:tx>
      <c:layout>
        <c:manualLayout>
          <c:xMode val="edge"/>
          <c:yMode val="edge"/>
          <c:x val="0.41969726172104921"/>
          <c:y val="6.071899087398108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7510544173786351E-2"/>
          <c:y val="0.16192943136452814"/>
          <c:w val="0.86068523919617401"/>
          <c:h val="0.645266529710462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FPPE_OPPE!$B$20</c:f>
              <c:strCache>
                <c:ptCount val="1"/>
                <c:pt idx="0">
                  <c:v>DIVISION 
Completion</c:v>
                </c:pt>
              </c:strCache>
            </c:strRef>
          </c:tx>
          <c:spPr>
            <a:solidFill>
              <a:schemeClr val="accent3"/>
            </a:solidFill>
            <a:ln w="12700">
              <a:solidFill>
                <a:schemeClr val="tx2">
                  <a:lumMod val="7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 w="12700" cap="rnd">
                <a:solidFill>
                  <a:schemeClr val="tx2">
                    <a:lumMod val="75000"/>
                    <a:alpha val="92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FPPE_OPPE!$A$21:$A$32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FPPE_OPPE!$B$21:$B$32</c:f>
              <c:numCache>
                <c:formatCode>0%</c:formatCode>
                <c:ptCount val="12"/>
                <c:pt idx="0">
                  <c:v>0.75</c:v>
                </c:pt>
                <c:pt idx="1">
                  <c:v>0.5</c:v>
                </c:pt>
                <c:pt idx="2">
                  <c:v>1</c:v>
                </c:pt>
                <c:pt idx="3">
                  <c:v>1</c:v>
                </c:pt>
                <c:pt idx="4">
                  <c:v>0.88888888888888884</c:v>
                </c:pt>
                <c:pt idx="5">
                  <c:v>1</c:v>
                </c:pt>
                <c:pt idx="6">
                  <c:v>0.5</c:v>
                </c:pt>
                <c:pt idx="7">
                  <c:v>1</c:v>
                </c:pt>
                <c:pt idx="8">
                  <c:v>0.58333333333333337</c:v>
                </c:pt>
                <c:pt idx="9">
                  <c:v>0.42857142857142855</c:v>
                </c:pt>
                <c:pt idx="10">
                  <c:v>0.5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2833936"/>
        <c:axId val="2132834480"/>
      </c:barChart>
      <c:dateAx>
        <c:axId val="213283393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3175" cap="flat" cmpd="sng" algn="ctr">
              <a:noFill/>
              <a:round/>
            </a:ln>
            <a:effectLst/>
          </c:spPr>
        </c:minorGridlines>
        <c:numFmt formatCode="mmm\-yy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2132834480"/>
        <c:crosses val="autoZero"/>
        <c:auto val="1"/>
        <c:lblOffset val="100"/>
        <c:baseTimeUnit val="months"/>
      </c:dateAx>
      <c:valAx>
        <c:axId val="21328344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in"/>
        <c:minorTickMark val="none"/>
        <c:tickLblPos val="nextTo"/>
        <c:spPr>
          <a:noFill/>
          <a:ln w="3175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213283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36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3600" b="1" i="0" u="none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</a:rPr>
              <a:t>EM Division PQRS - Individual Measures Through March 2016</a:t>
            </a:r>
          </a:p>
          <a:p>
            <a:pPr algn="ctr">
              <a:defRPr sz="36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 sz="3600" b="1" i="0" u="none" baseline="0">
              <a:solidFill>
                <a:schemeClr val="tx2">
                  <a:lumMod val="75000"/>
                </a:schemeClr>
              </a:solidFill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2757923063090108"/>
          <c:y val="2.75612586524623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691556319063196E-2"/>
          <c:y val="0.133732147388195"/>
          <c:w val="0.78812950302500628"/>
          <c:h val="0.69243121231057181"/>
        </c:manualLayout>
      </c:layout>
      <c:lineChart>
        <c:grouping val="standard"/>
        <c:varyColors val="0"/>
        <c:ser>
          <c:idx val="0"/>
          <c:order val="0"/>
          <c:tx>
            <c:strRef>
              <c:f>PQRS!$D$44</c:f>
              <c:strCache>
                <c:ptCount val="1"/>
                <c:pt idx="0">
                  <c:v>AMI</c:v>
                </c:pt>
              </c:strCache>
            </c:strRef>
          </c:tx>
          <c:spPr>
            <a:ln w="101600" cap="rnd">
              <a:solidFill>
                <a:srgbClr val="E46C0A"/>
              </a:solidFill>
              <a:round/>
            </a:ln>
            <a:effectLst/>
          </c:spPr>
          <c:marker>
            <c:symbol val="square"/>
            <c:size val="16"/>
            <c:spPr>
              <a:solidFill>
                <a:srgbClr val="E46C0A"/>
              </a:solidFill>
              <a:ln>
                <a:solidFill>
                  <a:schemeClr val="bg1"/>
                </a:solidFill>
              </a:ln>
            </c:spPr>
          </c:marker>
          <c:dLbls>
            <c:dLbl>
              <c:idx val="0"/>
              <c:layout>
                <c:manualLayout>
                  <c:x val="-2.6233427571248528E-2"/>
                  <c:y val="2.9449317342813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3618441659904187E-3"/>
                  <c:y val="1.9774479760880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3.2510195866937203E-4"/>
                  <c:y val="1.60494582494889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104389719899941E-2"/>
                  <c:y val="2.05708596253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2329824000309868E-2"/>
                  <c:y val="-1.29911791882703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7521436595185656E-2"/>
                  <c:y val="2.05708596253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1070998898383046E-2"/>
                  <c:y val="2.260151456010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1.1713891415645317E-2"/>
                  <c:y val="2.17166791989849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5152303168648411E-2"/>
                  <c:y val="2.35685411198103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3.952257390448833E-2"/>
                  <c:y val="1.69512531731925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3.7290622325467662E-2"/>
                  <c:y val="1.71327612284720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4.3774127934388868E-2"/>
                  <c:y val="1.200415917312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PQRS!$C$45:$C$56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PQRS!$D$45:$D$56</c:f>
              <c:numCache>
                <c:formatCode>0.0%</c:formatCode>
                <c:ptCount val="12"/>
                <c:pt idx="0">
                  <c:v>0.9441624365482234</c:v>
                </c:pt>
                <c:pt idx="1">
                  <c:v>0.9363636363636364</c:v>
                </c:pt>
                <c:pt idx="2">
                  <c:v>0.97714285714285709</c:v>
                </c:pt>
              </c:numCache>
            </c:numRef>
          </c:val>
          <c:smooth val="0"/>
          <c:extLst/>
        </c:ser>
        <c:ser>
          <c:idx val="1"/>
          <c:order val="1"/>
          <c:tx>
            <c:strRef>
              <c:f>PQRS!$E$44</c:f>
              <c:strCache>
                <c:ptCount val="1"/>
                <c:pt idx="0">
                  <c:v>PNA</c:v>
                </c:pt>
              </c:strCache>
            </c:strRef>
          </c:tx>
          <c:spPr>
            <a:ln w="88900" cap="rnd">
              <a:solidFill>
                <a:srgbClr val="56004E"/>
              </a:solidFill>
              <a:round/>
            </a:ln>
            <a:effectLst/>
          </c:spPr>
          <c:marker>
            <c:symbol val="square"/>
            <c:size val="16"/>
            <c:spPr>
              <a:solidFill>
                <a:srgbClr val="56004E"/>
              </a:solidFill>
              <a:ln>
                <a:solidFill>
                  <a:schemeClr val="bg1"/>
                </a:solidFill>
              </a:ln>
            </c:spPr>
          </c:marker>
          <c:dPt>
            <c:idx val="1"/>
            <c:bubble3D val="0"/>
          </c:dPt>
          <c:dLbls>
            <c:dLbl>
              <c:idx val="0"/>
              <c:layout>
                <c:manualLayout>
                  <c:x val="-1.7021690869190736E-2"/>
                  <c:y val="-3.3668536155353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1482354849825542E-2"/>
                  <c:y val="-2.70980437308996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PQRS!$C$45:$C$56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PQRS!$E$45:$E$56</c:f>
              <c:numCache>
                <c:formatCode>0.0%</c:formatCode>
                <c:ptCount val="12"/>
                <c:pt idx="0">
                  <c:v>0.99328859060402686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/>
        </c:ser>
        <c:ser>
          <c:idx val="2"/>
          <c:order val="2"/>
          <c:tx>
            <c:strRef>
              <c:f>PQRS!$F$44</c:f>
              <c:strCache>
                <c:ptCount val="1"/>
                <c:pt idx="0">
                  <c:v>Syncope</c:v>
                </c:pt>
              </c:strCache>
            </c:strRef>
          </c:tx>
          <c:spPr>
            <a:ln w="10160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square"/>
            <c:size val="16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</c:spPr>
          </c:marker>
          <c:dLbls>
            <c:dLbl>
              <c:idx val="0"/>
              <c:layout>
                <c:manualLayout>
                  <c:x val="-1.4191048452945866E-2"/>
                  <c:y val="2.01877218166621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5157552824723714E-2"/>
                  <c:y val="2.99072256537627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519897916429894E-2"/>
                  <c:y val="2.78817218556262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3.0347361917611858E-2"/>
                  <c:y val="1.5584105715408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7617330097077081E-2"/>
                  <c:y val="1.92828720683250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2785103446041804E-2"/>
                  <c:y val="2.2119515138411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7543378415443499E-2"/>
                  <c:y val="1.7615076906642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3718205446392193E-2"/>
                  <c:y val="-1.87074835371394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2.0357191132859657E-2"/>
                  <c:y val="1.83185605499678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1.8725177381886737E-2"/>
                  <c:y val="1.87608964802789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2204152248397616E-2"/>
                  <c:y val="2.3265494631039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4997053654182755E-2"/>
                  <c:y val="2.03493718222097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PQRS!$C$45:$C$56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PQRS!$F$45:$F$56</c:f>
              <c:numCache>
                <c:formatCode>0.0%</c:formatCode>
                <c:ptCount val="12"/>
                <c:pt idx="0">
                  <c:v>0.99266503667481665</c:v>
                </c:pt>
                <c:pt idx="1">
                  <c:v>0.99714285714285711</c:v>
                </c:pt>
                <c:pt idx="2">
                  <c:v>0.99721448467966578</c:v>
                </c:pt>
              </c:numCache>
            </c:numRef>
          </c:val>
          <c:smooth val="0"/>
          <c:extLst/>
        </c:ser>
        <c:ser>
          <c:idx val="3"/>
          <c:order val="3"/>
          <c:tx>
            <c:strRef>
              <c:f>PQRS!$B$44</c:f>
              <c:strCache>
                <c:ptCount val="1"/>
                <c:pt idx="0">
                  <c:v>Target</c:v>
                </c:pt>
              </c:strCache>
            </c:strRef>
          </c:tx>
          <c:spPr>
            <a:ln w="127000" cap="rnd">
              <a:solidFill>
                <a:srgbClr val="648C1A"/>
              </a:solidFill>
              <a:round/>
            </a:ln>
            <a:effectLst/>
          </c:spPr>
          <c:marker>
            <c:symbol val="none"/>
          </c:marker>
          <c:val>
            <c:numRef>
              <c:f>PQRS!$B$45:$B$56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844816"/>
        <c:axId val="2132823600"/>
      </c:lineChart>
      <c:dateAx>
        <c:axId val="2132844816"/>
        <c:scaling>
          <c:orientation val="minMax"/>
        </c:scaling>
        <c:delete val="0"/>
        <c:axPos val="b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mmm\-yy" sourceLinked="1"/>
        <c:majorTickMark val="in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23600"/>
        <c:crosses val="autoZero"/>
        <c:auto val="1"/>
        <c:lblOffset val="100"/>
        <c:baseTimeUnit val="months"/>
      </c:dateAx>
      <c:valAx>
        <c:axId val="2132823600"/>
        <c:scaling>
          <c:orientation val="minMax"/>
          <c:max val="1.012"/>
          <c:min val="0.87000000000000011"/>
        </c:scaling>
        <c:delete val="0"/>
        <c:axPos val="l"/>
        <c:majorGridlines>
          <c:spPr>
            <a:ln w="0" cap="flat" cmpd="sng" algn="ctr">
              <a:solidFill>
                <a:schemeClr val="bg1"/>
              </a:solidFill>
              <a:prstDash val="sysDot"/>
              <a:round/>
            </a:ln>
            <a:effectLst/>
          </c:spPr>
        </c:majorGridlines>
        <c:numFmt formatCode="0.0%" sourceLinked="1"/>
        <c:majorTickMark val="in"/>
        <c:minorTickMark val="none"/>
        <c:tickLblPos val="nextTo"/>
        <c:spPr>
          <a:noFill/>
          <a:ln w="3175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44816"/>
        <c:crosses val="autoZero"/>
        <c:crossBetween val="between"/>
        <c:majorUnit val="1.0000000000000002E-2"/>
        <c:minorUnit val="1.0000000000000002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556586411418443"/>
          <c:y val="0.91502416535879583"/>
          <c:w val="0.5283894880758413"/>
          <c:h val="3.93192874104018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baseline="0">
              <a:solidFill>
                <a:schemeClr val="tx2">
                  <a:lumMod val="7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778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3600" b="1" i="0" u="none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</a:rPr>
              <a:t>EM Division PQRS - Composite Through March 2016</a:t>
            </a:r>
          </a:p>
        </c:rich>
      </c:tx>
      <c:layout>
        <c:manualLayout>
          <c:xMode val="edge"/>
          <c:yMode val="edge"/>
          <c:x val="0.38859250593210082"/>
          <c:y val="2.97143212148250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8054660265912363E-2"/>
          <c:y val="0.14691377471600006"/>
          <c:w val="0.8300448734230802"/>
          <c:h val="0.66260176336694876"/>
        </c:manualLayout>
      </c:layout>
      <c:lineChart>
        <c:grouping val="standard"/>
        <c:varyColors val="0"/>
        <c:ser>
          <c:idx val="0"/>
          <c:order val="0"/>
          <c:tx>
            <c:strRef>
              <c:f>PQRS!$I$44</c:f>
              <c:strCache>
                <c:ptCount val="1"/>
                <c:pt idx="0">
                  <c:v>AMI, PNA, SYNC Composite</c:v>
                </c:pt>
              </c:strCache>
            </c:strRef>
          </c:tx>
          <c:spPr>
            <a:ln w="127000" cap="rnd">
              <a:solidFill>
                <a:srgbClr val="E46C0A"/>
              </a:solidFill>
              <a:round/>
            </a:ln>
            <a:effectLst/>
          </c:spPr>
          <c:marker>
            <c:symbol val="square"/>
            <c:size val="16"/>
            <c:spPr>
              <a:solidFill>
                <a:srgbClr val="E46C0A"/>
              </a:solidFill>
              <a:ln>
                <a:solidFill>
                  <a:schemeClr val="bg1"/>
                </a:solidFill>
              </a:ln>
            </c:spPr>
          </c:marker>
          <c:dLbls>
            <c:dLbl>
              <c:idx val="0"/>
              <c:layout>
                <c:manualLayout>
                  <c:x val="-3.4131051009928109E-2"/>
                  <c:y val="2.0975154335506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816784206322036E-2"/>
                  <c:y val="2.50602103482188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PQRS!$C$45:$C$56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PQRS!$I$45:$I$56</c:f>
              <c:numCache>
                <c:formatCode>0.0%</c:formatCode>
                <c:ptCount val="12"/>
                <c:pt idx="0">
                  <c:v>0.98502495840266224</c:v>
                </c:pt>
                <c:pt idx="1">
                  <c:v>0.98661909009812665</c:v>
                </c:pt>
                <c:pt idx="2">
                  <c:v>0.99537892791127547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PQRS!$B$44</c:f>
              <c:strCache>
                <c:ptCount val="1"/>
                <c:pt idx="0">
                  <c:v>Target</c:v>
                </c:pt>
              </c:strCache>
            </c:strRef>
          </c:tx>
          <c:spPr>
            <a:ln w="127000" cap="rnd">
              <a:solidFill>
                <a:srgbClr val="648C1A"/>
              </a:solidFill>
              <a:round/>
            </a:ln>
            <a:effectLst/>
          </c:spPr>
          <c:marker>
            <c:symbol val="none"/>
          </c:marker>
          <c:val>
            <c:numRef>
              <c:f>PQRS!$B$45:$B$56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836112"/>
        <c:axId val="2132831760"/>
      </c:lineChart>
      <c:dateAx>
        <c:axId val="2132836112"/>
        <c:scaling>
          <c:orientation val="minMax"/>
        </c:scaling>
        <c:delete val="0"/>
        <c:axPos val="b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mmm\-yy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31760"/>
        <c:crossesAt val="0.1"/>
        <c:auto val="1"/>
        <c:lblOffset val="100"/>
        <c:baseTimeUnit val="months"/>
      </c:dateAx>
      <c:valAx>
        <c:axId val="2132831760"/>
        <c:scaling>
          <c:orientation val="minMax"/>
          <c:max val="1.0009999999999999"/>
          <c:min val="0.9"/>
        </c:scaling>
        <c:delete val="0"/>
        <c:axPos val="l"/>
        <c:majorGridlines>
          <c:spPr>
            <a:ln w="3175" cap="flat" cmpd="sng" algn="ctr">
              <a:noFill/>
              <a:round/>
            </a:ln>
            <a:effectLst/>
          </c:spPr>
        </c:majorGridlines>
        <c:numFmt formatCode="0.0%" sourceLinked="1"/>
        <c:majorTickMark val="in"/>
        <c:minorTickMark val="none"/>
        <c:tickLblPos val="nextTo"/>
        <c:spPr>
          <a:noFill/>
          <a:ln w="3175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36112"/>
        <c:crosses val="autoZero"/>
        <c:crossBetween val="between"/>
        <c:majorUnit val="1.0000000000000002E-2"/>
        <c:minorUnit val="2.0000000000000005E-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755336480523365"/>
          <c:y val="0.91868769297995734"/>
          <c:w val="0.21209793137192717"/>
          <c:h val="3.9356586290894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baseline="0">
              <a:solidFill>
                <a:schemeClr val="tx2">
                  <a:lumMod val="7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778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36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3600" b="1" i="0" u="none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</a:rPr>
              <a:t>EM Division PQRS - Individual Measures as of April 2016</a:t>
            </a:r>
          </a:p>
        </c:rich>
      </c:tx>
      <c:layout>
        <c:manualLayout>
          <c:xMode val="edge"/>
          <c:yMode val="edge"/>
          <c:x val="0.28154792870622114"/>
          <c:y val="2.62980347120013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5697481166942577E-2"/>
          <c:y val="0.133732147388195"/>
          <c:w val="0.78812950302500628"/>
          <c:h val="0.69243121231057181"/>
        </c:manualLayout>
      </c:layout>
      <c:lineChart>
        <c:grouping val="standard"/>
        <c:varyColors val="0"/>
        <c:ser>
          <c:idx val="3"/>
          <c:order val="0"/>
          <c:tx>
            <c:strRef>
              <c:f>PQRS!$B$44</c:f>
              <c:strCache>
                <c:ptCount val="1"/>
                <c:pt idx="0">
                  <c:v>Target</c:v>
                </c:pt>
              </c:strCache>
            </c:strRef>
          </c:tx>
          <c:spPr>
            <a:ln w="127000" cap="rnd">
              <a:solidFill>
                <a:srgbClr val="648C1A"/>
              </a:solidFill>
              <a:round/>
            </a:ln>
            <a:effectLst/>
          </c:spPr>
          <c:marker>
            <c:symbol val="none"/>
          </c:marker>
          <c:cat>
            <c:numRef>
              <c:f>PQRS!$C$45:$C$56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PQRS!$B$45:$B$56</c:f>
            </c:numRef>
          </c:val>
          <c:smooth val="0"/>
        </c:ser>
        <c:ser>
          <c:idx val="4"/>
          <c:order val="1"/>
          <c:tx>
            <c:v>Blood Pressure Screen</c:v>
          </c:tx>
          <c:spPr>
            <a:ln w="8890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16"/>
            <c:spPr>
              <a:ln>
                <a:solidFill>
                  <a:schemeClr val="bg1"/>
                </a:solidFill>
              </a:ln>
            </c:spPr>
          </c:marker>
          <c:dLbls>
            <c:dLbl>
              <c:idx val="3"/>
              <c:layout>
                <c:manualLayout>
                  <c:x val="-3.5082601362555352E-2"/>
                  <c:y val="3.2543683603601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242534213909183E-2"/>
                  <c:y val="3.36116479172255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8955966469895235E-2"/>
                  <c:y val="2.52924041559213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2061772964300112E-2"/>
                  <c:y val="2.4531155533320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8.0224628961091792E-3"/>
                  <c:y val="2.71133824315651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2.1058965102286401E-2"/>
                  <c:y val="3.09867227789315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2061772964300039E-2"/>
                  <c:y val="-3.48600631262980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8.0224628961092521E-3"/>
                  <c:y val="3.09867227789315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PQRS!$C$45:$C$56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PQRS!$H$45:$H$56</c:f>
              <c:numCache>
                <c:formatCode>0.0%</c:formatCode>
                <c:ptCount val="12"/>
                <c:pt idx="3">
                  <c:v>0.99702823179791977</c:v>
                </c:pt>
                <c:pt idx="4">
                  <c:v>0.99343417553191493</c:v>
                </c:pt>
                <c:pt idx="5">
                  <c:v>0.99009690267153661</c:v>
                </c:pt>
                <c:pt idx="6">
                  <c:v>0.99024119619118778</c:v>
                </c:pt>
                <c:pt idx="7">
                  <c:v>0.99030413411739693</c:v>
                </c:pt>
                <c:pt idx="8">
                  <c:v>0.9886042791639934</c:v>
                </c:pt>
                <c:pt idx="9">
                  <c:v>0.99340273274114843</c:v>
                </c:pt>
                <c:pt idx="10">
                  <c:v>0.99197835729355466</c:v>
                </c:pt>
              </c:numCache>
            </c:numRef>
          </c:val>
          <c:smooth val="0"/>
        </c:ser>
        <c:ser>
          <c:idx val="5"/>
          <c:order val="2"/>
          <c:tx>
            <c:v>Chest Pain (ECG)</c:v>
          </c:tx>
          <c:spPr>
            <a:ln w="101600" cap="rnd">
              <a:solidFill>
                <a:srgbClr val="C00000"/>
              </a:solidFill>
              <a:round/>
            </a:ln>
            <a:effectLst/>
          </c:spPr>
          <c:marker>
            <c:symbol val="square"/>
            <c:size val="16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</c:spPr>
          </c:marker>
          <c:dLbls>
            <c:dLbl>
              <c:idx val="3"/>
              <c:layout>
                <c:manualLayout>
                  <c:x val="-5.4350606896159642E-2"/>
                  <c:y val="-3.40111814491193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4711309777613538E-2"/>
                  <c:y val="-2.78207499417219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2.0528611752630229E-3"/>
                  <c:y val="-1.89483591069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1.5042117930204647E-2"/>
                  <c:y val="-2.58222689824430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1.303650220617737E-2"/>
                  <c:y val="-3.35689496771759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1.6546329723225176E-2"/>
                  <c:y val="3.48600631262980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1.0028078620136383E-3"/>
                  <c:y val="-1.9366701736832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PQRS!$C$45:$C$56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PQRS!$G$45:$G$56</c:f>
              <c:numCache>
                <c:formatCode>0.0%</c:formatCode>
                <c:ptCount val="12"/>
                <c:pt idx="3">
                  <c:v>1</c:v>
                </c:pt>
                <c:pt idx="4">
                  <c:v>0.99629171817058093</c:v>
                </c:pt>
                <c:pt idx="5">
                  <c:v>0.99414624576077648</c:v>
                </c:pt>
                <c:pt idx="6">
                  <c:v>0.91150442477876104</c:v>
                </c:pt>
                <c:pt idx="7">
                  <c:v>0.99437149475413555</c:v>
                </c:pt>
                <c:pt idx="8">
                  <c:v>0.9905501236600035</c:v>
                </c:pt>
                <c:pt idx="9">
                  <c:v>0.98424690504124623</c:v>
                </c:pt>
                <c:pt idx="10">
                  <c:v>0.99589487974177426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837200"/>
        <c:axId val="2132827952"/>
      </c:lineChart>
      <c:dateAx>
        <c:axId val="2132837200"/>
        <c:scaling>
          <c:orientation val="minMax"/>
        </c:scaling>
        <c:delete val="0"/>
        <c:axPos val="b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mmm\-yy" sourceLinked="1"/>
        <c:majorTickMark val="in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27952"/>
        <c:crosses val="autoZero"/>
        <c:auto val="1"/>
        <c:lblOffset val="100"/>
        <c:baseTimeUnit val="months"/>
      </c:dateAx>
      <c:valAx>
        <c:axId val="2132827952"/>
        <c:scaling>
          <c:orientation val="minMax"/>
          <c:max val="1.0009999999999999"/>
          <c:min val="0.87000000000000011"/>
        </c:scaling>
        <c:delete val="0"/>
        <c:axPos val="l"/>
        <c:majorGridlines>
          <c:spPr>
            <a:ln w="0" cap="flat" cmpd="sng" algn="ctr">
              <a:solidFill>
                <a:schemeClr val="bg1"/>
              </a:solidFill>
              <a:prstDash val="sysDot"/>
              <a:round/>
            </a:ln>
            <a:effectLst/>
          </c:spPr>
        </c:majorGridlines>
        <c:numFmt formatCode="0.0%" sourceLinked="1"/>
        <c:majorTickMark val="in"/>
        <c:minorTickMark val="none"/>
        <c:tickLblPos val="nextTo"/>
        <c:spPr>
          <a:noFill/>
          <a:ln w="3175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37200"/>
        <c:crosses val="autoZero"/>
        <c:crossBetween val="between"/>
        <c:majorUnit val="1.0000000000000002E-2"/>
        <c:minorUnit val="1.0000000000000002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556586411418443"/>
          <c:y val="0.91502416535879583"/>
          <c:w val="0.5283894880758413"/>
          <c:h val="3.93192874104018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baseline="0">
              <a:solidFill>
                <a:schemeClr val="tx2">
                  <a:lumMod val="7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778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3600" b="1" i="0" u="none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</a:rPr>
              <a:t>EM Division PQRS - Composite as of April</a:t>
            </a:r>
          </a:p>
        </c:rich>
      </c:tx>
      <c:layout>
        <c:manualLayout>
          <c:xMode val="edge"/>
          <c:yMode val="edge"/>
          <c:x val="0.39697629726884975"/>
          <c:y val="3.350758797715636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084927146100219"/>
          <c:y val="0.14691381906993681"/>
          <c:w val="0.8300448734230802"/>
          <c:h val="0.66260176336694876"/>
        </c:manualLayout>
      </c:layout>
      <c:lineChart>
        <c:grouping val="standard"/>
        <c:varyColors val="0"/>
        <c:ser>
          <c:idx val="0"/>
          <c:order val="0"/>
          <c:tx>
            <c:strRef>
              <c:f>PQRS!$J$44</c:f>
              <c:strCache>
                <c:ptCount val="1"/>
                <c:pt idx="0">
                  <c:v>ECG &amp; BPS Composite</c:v>
                </c:pt>
              </c:strCache>
            </c:strRef>
          </c:tx>
          <c:spPr>
            <a:ln w="127000" cap="rnd">
              <a:solidFill>
                <a:srgbClr val="E46C0A"/>
              </a:solidFill>
              <a:round/>
            </a:ln>
            <a:effectLst/>
          </c:spPr>
          <c:marker>
            <c:symbol val="square"/>
            <c:size val="16"/>
            <c:spPr>
              <a:solidFill>
                <a:srgbClr val="E46C0A"/>
              </a:solidFill>
              <a:ln>
                <a:solidFill>
                  <a:schemeClr val="bg1"/>
                </a:solidFill>
              </a:ln>
            </c:spPr>
          </c:marker>
          <c:dLbls>
            <c:dLbl>
              <c:idx val="0"/>
              <c:layout>
                <c:manualLayout>
                  <c:x val="-3.4131051009928109E-2"/>
                  <c:y val="2.0975154335506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816784206322036E-2"/>
                  <c:y val="2.50602103482188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2.3724137931034482E-3"/>
                  <c:y val="-2.9208154069951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PQRS!$C$45:$C$56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PQRS!$J$45:$J$56</c:f>
              <c:numCache>
                <c:formatCode>0.0%</c:formatCode>
                <c:ptCount val="12"/>
                <c:pt idx="3">
                  <c:v>0.99718668952481426</c:v>
                </c:pt>
                <c:pt idx="4">
                  <c:v>0.99361420450120708</c:v>
                </c:pt>
                <c:pt idx="5">
                  <c:v>0.99212157421615643</c:v>
                </c:pt>
                <c:pt idx="6">
                  <c:v>0.98325773790214044</c:v>
                </c:pt>
                <c:pt idx="7">
                  <c:v>0.9923378144357663</c:v>
                </c:pt>
                <c:pt idx="8">
                  <c:v>0.98957720141199845</c:v>
                </c:pt>
                <c:pt idx="9">
                  <c:v>0.98882481889119733</c:v>
                </c:pt>
                <c:pt idx="10">
                  <c:v>0.99393661851766435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PQRS!$B$44</c:f>
              <c:strCache>
                <c:ptCount val="1"/>
                <c:pt idx="0">
                  <c:v>Target</c:v>
                </c:pt>
              </c:strCache>
            </c:strRef>
          </c:tx>
          <c:spPr>
            <a:ln w="127000" cap="rnd">
              <a:solidFill>
                <a:srgbClr val="648C1A"/>
              </a:solidFill>
              <a:round/>
            </a:ln>
            <a:effectLst/>
          </c:spPr>
          <c:marker>
            <c:symbol val="none"/>
          </c:marker>
          <c:val>
            <c:numRef>
              <c:f>PQRS!$B$45:$B$56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823056"/>
        <c:axId val="2132835024"/>
      </c:lineChart>
      <c:dateAx>
        <c:axId val="2132823056"/>
        <c:scaling>
          <c:orientation val="minMax"/>
        </c:scaling>
        <c:delete val="0"/>
        <c:axPos val="b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mmm\-yy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35024"/>
        <c:crossesAt val="0.1"/>
        <c:auto val="1"/>
        <c:lblOffset val="100"/>
        <c:baseTimeUnit val="months"/>
      </c:dateAx>
      <c:valAx>
        <c:axId val="2132835024"/>
        <c:scaling>
          <c:orientation val="minMax"/>
          <c:max val="1.0009999999999999"/>
          <c:min val="0.9"/>
        </c:scaling>
        <c:delete val="0"/>
        <c:axPos val="l"/>
        <c:majorGridlines>
          <c:spPr>
            <a:ln w="3175" cap="flat" cmpd="sng" algn="ctr">
              <a:noFill/>
              <a:round/>
            </a:ln>
            <a:effectLst/>
          </c:spPr>
        </c:majorGridlines>
        <c:numFmt formatCode="0.0%" sourceLinked="1"/>
        <c:majorTickMark val="in"/>
        <c:minorTickMark val="none"/>
        <c:tickLblPos val="nextTo"/>
        <c:spPr>
          <a:noFill/>
          <a:ln w="3175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23056"/>
        <c:crosses val="autoZero"/>
        <c:crossBetween val="between"/>
        <c:majorUnit val="1.0000000000000002E-2"/>
        <c:minorUnit val="2.0000000000000005E-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892750475156123"/>
          <c:y val="0.92374538199639911"/>
          <c:w val="0.23254806769843425"/>
          <c:h val="3.9356586290894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baseline="0">
              <a:solidFill>
                <a:schemeClr val="tx2">
                  <a:lumMod val="7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778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800" b="1" i="0" u="none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</a:rPr>
              <a:t>EM - 72 Hr Return Admissions - 2nd Visit</a:t>
            </a:r>
          </a:p>
        </c:rich>
      </c:tx>
      <c:layout>
        <c:manualLayout>
          <c:xMode val="edge"/>
          <c:yMode val="edge"/>
          <c:x val="0.34494816237840359"/>
          <c:y val="4.826846754207080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94133870700866E-2"/>
          <c:y val="0.12170895304753571"/>
          <c:w val="0.84639890810226293"/>
          <c:h val="0.66970635640464238"/>
        </c:manualLayout>
      </c:layout>
      <c:lineChart>
        <c:grouping val="standard"/>
        <c:varyColors val="0"/>
        <c:ser>
          <c:idx val="0"/>
          <c:order val="0"/>
          <c:tx>
            <c:strRef>
              <c:f>'72HR RETURNS'!$E$21</c:f>
              <c:strCache>
                <c:ptCount val="1"/>
                <c:pt idx="0">
                  <c:v>% Returns Admitted</c:v>
                </c:pt>
              </c:strCache>
            </c:strRef>
          </c:tx>
          <c:spPr>
            <a:ln w="82550" cap="rnd">
              <a:solidFill>
                <a:srgbClr val="558ED5"/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rgbClr val="558ED5"/>
              </a:solidFill>
              <a:ln>
                <a:solidFill>
                  <a:schemeClr val="bg1"/>
                </a:solidFill>
              </a:ln>
            </c:spPr>
          </c:marker>
          <c:dLbls>
            <c:dLbl>
              <c:idx val="0"/>
              <c:layout>
                <c:manualLayout>
                  <c:x val="-3.5231228507039677E-2"/>
                  <c:y val="2.0813975655830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76550049967982E-2"/>
                  <c:y val="2.46007695561698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9057116435798933E-2"/>
                  <c:y val="2.4669107055218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634703825565891E-2"/>
                  <c:y val="2.65879597795852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8846072149410415E-2"/>
                  <c:y val="2.3788020582437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086360181402379E-2"/>
                  <c:y val="2.56424783557764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7605784117418361E-2"/>
                  <c:y val="2.3788020582437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3884822360967374E-2"/>
                  <c:y val="2.3788020582437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2.5632210394332715E-2"/>
                  <c:y val="-2.08275964515392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8043804808586339E-2"/>
                  <c:y val="2.39127422480903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3.0086360181402379E-2"/>
                  <c:y val="2.7496936129115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'72HR RETURNS'!$B$22:$B$33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'72HR RETURNS'!$E$22:$E$33</c:f>
              <c:numCache>
                <c:formatCode>0.00%</c:formatCode>
                <c:ptCount val="12"/>
                <c:pt idx="0">
                  <c:v>9.2234409584653464E-3</c:v>
                </c:pt>
                <c:pt idx="1">
                  <c:v>8.4623304593400006E-3</c:v>
                </c:pt>
                <c:pt idx="2">
                  <c:v>8.1204346358176929E-3</c:v>
                </c:pt>
                <c:pt idx="3">
                  <c:v>8.8669768094222015E-3</c:v>
                </c:pt>
                <c:pt idx="4">
                  <c:v>8.8756203523236675E-3</c:v>
                </c:pt>
                <c:pt idx="5">
                  <c:v>9.7517975604602663E-3</c:v>
                </c:pt>
                <c:pt idx="6">
                  <c:v>9.7402127182606331E-3</c:v>
                </c:pt>
                <c:pt idx="7">
                  <c:v>9.3754453864623773E-3</c:v>
                </c:pt>
                <c:pt idx="8">
                  <c:v>1.0986247444361295E-2</c:v>
                </c:pt>
                <c:pt idx="9">
                  <c:v>1.0285292648713607E-2</c:v>
                </c:pt>
                <c:pt idx="10">
                  <c:v>9.81996618905389E-3</c:v>
                </c:pt>
                <c:pt idx="11">
                  <c:v>9.2037236144406082E-3</c:v>
                </c:pt>
              </c:numCache>
            </c:numRef>
          </c:val>
          <c:smooth val="0"/>
          <c:extLst/>
        </c:ser>
        <c:ser>
          <c:idx val="1"/>
          <c:order val="1"/>
          <c:tx>
            <c:strRef>
              <c:f>'72HR RETURNS'!$C$20:$C$21</c:f>
              <c:strCache>
                <c:ptCount val="2"/>
                <c:pt idx="0">
                  <c:v>Target ≤ 1%</c:v>
                </c:pt>
              </c:strCache>
            </c:strRef>
          </c:tx>
          <c:spPr>
            <a:ln w="88900" cap="rnd">
              <a:solidFill>
                <a:srgbClr val="648C1A"/>
              </a:solidFill>
              <a:round/>
            </a:ln>
            <a:effectLst/>
          </c:spPr>
          <c:marker>
            <c:symbol val="none"/>
          </c:marker>
          <c:val>
            <c:numRef>
              <c:f>'72HR RETURNS'!$C$22:$C$33</c:f>
              <c:numCache>
                <c:formatCode>0%</c:formatCode>
                <c:ptCount val="12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826864"/>
        <c:axId val="2132832304"/>
      </c:lineChart>
      <c:dateAx>
        <c:axId val="2132826864"/>
        <c:scaling>
          <c:orientation val="minMax"/>
        </c:scaling>
        <c:delete val="0"/>
        <c:axPos val="b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mmm\-yy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32304"/>
        <c:crossesAt val="0"/>
        <c:auto val="1"/>
        <c:lblOffset val="100"/>
        <c:baseTimeUnit val="months"/>
      </c:dateAx>
      <c:valAx>
        <c:axId val="2132832304"/>
        <c:scaling>
          <c:orientation val="minMax"/>
          <c:max val="2.0000000000000004E-2"/>
          <c:min val="0"/>
        </c:scaling>
        <c:delete val="0"/>
        <c:axPos val="l"/>
        <c:majorGridlines>
          <c:spPr>
            <a:ln w="3175" cap="flat" cmpd="sng" algn="ctr">
              <a:noFill/>
              <a:round/>
            </a:ln>
            <a:effectLst/>
          </c:spPr>
        </c:majorGridlines>
        <c:numFmt formatCode="0.0%" sourceLinked="0"/>
        <c:majorTickMark val="in"/>
        <c:minorTickMark val="none"/>
        <c:tickLblPos val="nextTo"/>
        <c:spPr>
          <a:noFill/>
          <a:ln w="3175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26864"/>
        <c:crosses val="autoZero"/>
        <c:crossBetween val="between"/>
        <c:majorUnit val="5.000000000000001E-3"/>
        <c:minorUnit val="5.000000000000001E-3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11778954440873"/>
          <c:y val="0.8844568200068168"/>
          <c:w val="0.41488707313400869"/>
          <c:h val="7.3334065083390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>
                  <a:lumMod val="7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800" b="1" i="0" u="none" baseline="0">
                <a:solidFill>
                  <a:schemeClr val="tx2">
                    <a:lumMod val="75000"/>
                  </a:schemeClr>
                </a:solidFill>
                <a:latin typeface="Arial Narrow" panose="020B0606020202030204" pitchFamily="34" charset="0"/>
              </a:rPr>
              <a:t>Mortalities % with Opportunity for Improvement - (Category III)</a:t>
            </a:r>
          </a:p>
        </c:rich>
      </c:tx>
      <c:layout>
        <c:manualLayout>
          <c:xMode val="edge"/>
          <c:yMode val="edge"/>
          <c:x val="0.15460797179764293"/>
          <c:y val="5.22311973934292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680767845195809E-2"/>
          <c:y val="0.15735632183908047"/>
          <c:w val="0.85007512881528613"/>
          <c:h val="0.646716671191963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MORTALITIES!$D$23</c:f>
              <c:strCache>
                <c:ptCount val="1"/>
                <c:pt idx="0">
                  <c:v>% Cat III</c:v>
                </c:pt>
              </c:strCache>
            </c:strRef>
          </c:tx>
          <c:spPr>
            <a:solidFill>
              <a:schemeClr val="accent1"/>
            </a:solidFill>
            <a:ln w="34925">
              <a:solidFill>
                <a:schemeClr val="tx2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MORTALITIES!$B$24:$B$35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MORTALITIES!$D$24:$D$35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3.8461538461538464E-2</c:v>
                </c:pt>
                <c:pt idx="3">
                  <c:v>1.9230769230769232E-2</c:v>
                </c:pt>
                <c:pt idx="4">
                  <c:v>6.41025641025641E-3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/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0"/>
        <c:axId val="2132825776"/>
        <c:axId val="2132826320"/>
      </c:barChart>
      <c:dateAx>
        <c:axId val="2132825776"/>
        <c:scaling>
          <c:orientation val="minMax"/>
        </c:scaling>
        <c:delete val="0"/>
        <c:axPos val="b"/>
        <c:minorGridlines>
          <c:spPr>
            <a:ln w="3175" cap="flat" cmpd="sng" algn="ctr">
              <a:noFill/>
              <a:round/>
            </a:ln>
            <a:effectLst/>
          </c:spPr>
        </c:minorGridlines>
        <c:numFmt formatCode="mmm\-yy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1" i="0" u="none" strike="noStrike" kern="1200" baseline="0">
                <a:ln>
                  <a:noFill/>
                </a:ln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26320"/>
        <c:crosses val="autoZero"/>
        <c:auto val="1"/>
        <c:lblOffset val="200"/>
        <c:baseTimeUnit val="months"/>
      </c:dateAx>
      <c:valAx>
        <c:axId val="2132826320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in"/>
        <c:minorTickMark val="none"/>
        <c:tickLblPos val="nextTo"/>
        <c:spPr>
          <a:noFill/>
          <a:ln w="6350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2132825776"/>
        <c:crosses val="autoZero"/>
        <c:crossBetween val="between"/>
        <c:majorUnit val="1.0000000000000002E-2"/>
        <c:minorUnit val="2.0000000000000005E-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150198136997584"/>
          <c:y val="0.91801859896823246"/>
          <c:w val="0.16389186609659051"/>
          <c:h val="4.56392646659532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0" cap="flat" cmpd="sng" algn="ctr">
      <a:solidFill>
        <a:srgbClr val="005258"/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78" workbookViewId="0" zoomToFit="1"/>
  </sheetViews>
  <pageMargins left="0.3" right="0.3" top="0.3" bottom="0.55000000000000004" header="0.3" footer="0.05"/>
  <pageSetup orientation="landscape" r:id="rId1"/>
  <headerFooter>
    <oddFooter>&amp;L&amp;"-,Bold"Data Source:&amp;"-,Regular" Clinical Quality&amp;C&amp;"-,Bold"Purpose: &amp;"-,Regular"Monitor Provider Greet Times Month to Month&amp;R&amp;"-,Bold"&amp;D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9"/>
  <sheetViews>
    <sheetView workbookViewId="0"/>
  </sheetViews>
  <pageMargins left="0.3" right="0.3" top="0.3" bottom="0.55000000000000004" header="0.3" footer="0.05"/>
  <pageSetup orientation="landscape" r:id="rId1"/>
  <headerFooter>
    <oddFooter>&amp;L&amp;"-,Bold"Data Source: &amp;"-,Regular"Clinical Quality&amp;C&amp;"-,Bold"Purpose: &amp;"-,Regular"Monitor Number Patients Seen Per Hour by Physicians Month to Month&amp;R&amp;"-,Bold"&amp;D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10"/>
  <sheetViews>
    <sheetView workbookViewId="0"/>
  </sheetViews>
  <pageMargins left="0.3" right="0.3" top="0.3" bottom="0.55000000000000004" header="0.3" footer="0.05"/>
  <pageSetup orientation="landscape" r:id="rId1"/>
  <headerFooter>
    <oddFooter>&amp;L&amp;"-,Bold"Data Source: &amp;"-,Regular"Clinical Quality&amp;C&amp;"-,Bold"Purpose: &amp;"-,Regular"Monitor Cost of Labor Per Visit Month to Month&amp;R&amp;"-,Bold"&amp;D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image" Target="../media/image2.png"/><Relationship Id="rId4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cid:image001.png@01D174AC.2E076AD0" TargetMode="External"/><Relationship Id="rId2" Type="http://schemas.openxmlformats.org/officeDocument/2006/relationships/image" Target="../media/image3.png"/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174AC.2E076AD0" TargetMode="External"/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1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4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5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0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5.xml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6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98000" cy="688730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0.88197</cdr:x>
      <cdr:y>0.02687</cdr:y>
    </cdr:from>
    <cdr:to>
      <cdr:x>0.97858</cdr:x>
      <cdr:y>0.17412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8295756" y="185320"/>
          <a:ext cx="908692" cy="1015493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01175" cy="68865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0.88652</cdr:x>
      <cdr:y>0.02766</cdr:y>
    </cdr:from>
    <cdr:to>
      <cdr:x>0.98102</cdr:x>
      <cdr:y>0.1717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8334375" y="190500"/>
          <a:ext cx="888399" cy="991931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01175" cy="68865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0.88161</cdr:x>
      <cdr:y>0.02656</cdr:y>
    </cdr:from>
    <cdr:to>
      <cdr:x>0.97918</cdr:x>
      <cdr:y>0.1766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8274844" y="182623"/>
          <a:ext cx="915832" cy="1031626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110401</xdr:rowOff>
    </xdr:from>
    <xdr:to>
      <xdr:col>9</xdr:col>
      <xdr:colOff>564325</xdr:colOff>
      <xdr:row>15</xdr:row>
      <xdr:rowOff>86591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95251</xdr:colOff>
      <xdr:row>0</xdr:row>
      <xdr:rowOff>104774</xdr:rowOff>
    </xdr:from>
    <xdr:to>
      <xdr:col>18</xdr:col>
      <xdr:colOff>66676</xdr:colOff>
      <xdr:row>15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152399</xdr:colOff>
      <xdr:row>11</xdr:row>
      <xdr:rowOff>114301</xdr:rowOff>
    </xdr:from>
    <xdr:to>
      <xdr:col>22</xdr:col>
      <xdr:colOff>552449</xdr:colOff>
      <xdr:row>15</xdr:row>
      <xdr:rowOff>21331</xdr:rowOff>
    </xdr:to>
    <xdr:pic>
      <xdr:nvPicPr>
        <xdr:cNvPr id="4" name="chart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73074" y="2209801"/>
          <a:ext cx="2447925" cy="6690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19056</xdr:colOff>
      <xdr:row>1</xdr:row>
      <xdr:rowOff>33334</xdr:rowOff>
    </xdr:from>
    <xdr:to>
      <xdr:col>10</xdr:col>
      <xdr:colOff>266699</xdr:colOff>
      <xdr:row>16</xdr:row>
      <xdr:rowOff>152399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7145</xdr:colOff>
      <xdr:row>1</xdr:row>
      <xdr:rowOff>38099</xdr:rowOff>
    </xdr:from>
    <xdr:to>
      <xdr:col>20</xdr:col>
      <xdr:colOff>254794</xdr:colOff>
      <xdr:row>16</xdr:row>
      <xdr:rowOff>161924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2381</xdr:colOff>
      <xdr:row>1</xdr:row>
      <xdr:rowOff>28574</xdr:rowOff>
    </xdr:from>
    <xdr:to>
      <xdr:col>29</xdr:col>
      <xdr:colOff>450056</xdr:colOff>
      <xdr:row>16</xdr:row>
      <xdr:rowOff>161925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240504</xdr:colOff>
      <xdr:row>1</xdr:row>
      <xdr:rowOff>30956</xdr:rowOff>
    </xdr:from>
    <xdr:to>
      <xdr:col>39</xdr:col>
      <xdr:colOff>478631</xdr:colOff>
      <xdr:row>16</xdr:row>
      <xdr:rowOff>164306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40</xdr:col>
      <xdr:colOff>504825</xdr:colOff>
      <xdr:row>13</xdr:row>
      <xdr:rowOff>152400</xdr:rowOff>
    </xdr:from>
    <xdr:to>
      <xdr:col>45</xdr:col>
      <xdr:colOff>47625</xdr:colOff>
      <xdr:row>17</xdr:row>
      <xdr:rowOff>38099</xdr:rowOff>
    </xdr:to>
    <xdr:pic>
      <xdr:nvPicPr>
        <xdr:cNvPr id="8" name="chart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83575" y="2505075"/>
          <a:ext cx="2409825" cy="6476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62598</xdr:colOff>
      <xdr:row>33</xdr:row>
      <xdr:rowOff>150356</xdr:rowOff>
    </xdr:from>
    <xdr:to>
      <xdr:col>12</xdr:col>
      <xdr:colOff>257175</xdr:colOff>
      <xdr:row>54</xdr:row>
      <xdr:rowOff>77560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376767</xdr:colOff>
      <xdr:row>33</xdr:row>
      <xdr:rowOff>150739</xdr:rowOff>
    </xdr:from>
    <xdr:to>
      <xdr:col>24</xdr:col>
      <xdr:colOff>443442</xdr:colOff>
      <xdr:row>54</xdr:row>
      <xdr:rowOff>71817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24</xdr:col>
      <xdr:colOff>501649</xdr:colOff>
      <xdr:row>33</xdr:row>
      <xdr:rowOff>203201</xdr:rowOff>
    </xdr:from>
    <xdr:to>
      <xdr:col>27</xdr:col>
      <xdr:colOff>427566</xdr:colOff>
      <xdr:row>36</xdr:row>
      <xdr:rowOff>107950</xdr:rowOff>
    </xdr:to>
    <xdr:pic>
      <xdr:nvPicPr>
        <xdr:cNvPr id="5" name="chart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15566" y="8511118"/>
          <a:ext cx="2413000" cy="6349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</xdr:row>
      <xdr:rowOff>114299</xdr:rowOff>
    </xdr:from>
    <xdr:to>
      <xdr:col>9</xdr:col>
      <xdr:colOff>466725</xdr:colOff>
      <xdr:row>17</xdr:row>
      <xdr:rowOff>228600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257175</xdr:colOff>
      <xdr:row>16</xdr:row>
      <xdr:rowOff>19051</xdr:rowOff>
    </xdr:from>
    <xdr:to>
      <xdr:col>15</xdr:col>
      <xdr:colOff>116416</xdr:colOff>
      <xdr:row>18</xdr:row>
      <xdr:rowOff>38100</xdr:rowOff>
    </xdr:to>
    <xdr:pic>
      <xdr:nvPicPr>
        <xdr:cNvPr id="3" name="chart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67950" y="4810126"/>
          <a:ext cx="2402416" cy="64769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146053" y="148170"/>
    <xdr:ext cx="10134334" cy="679449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>
    <xdr:from>
      <xdr:col>0</xdr:col>
      <xdr:colOff>369359</xdr:colOff>
      <xdr:row>26</xdr:row>
      <xdr:rowOff>26723</xdr:rowOff>
    </xdr:from>
    <xdr:to>
      <xdr:col>3</xdr:col>
      <xdr:colOff>104775</xdr:colOff>
      <xdr:row>27</xdr:row>
      <xdr:rowOff>151078</xdr:rowOff>
    </xdr:to>
    <xdr:pic>
      <xdr:nvPicPr>
        <xdr:cNvPr id="3" name="Picture 1" descr="Sheridan Healthcorp, Inc.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359" y="6355556"/>
          <a:ext cx="1672166" cy="367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171451</xdr:colOff>
      <xdr:row>0</xdr:row>
      <xdr:rowOff>154781</xdr:rowOff>
    </xdr:from>
    <xdr:to>
      <xdr:col>15</xdr:col>
      <xdr:colOff>619125</xdr:colOff>
      <xdr:row>27</xdr:row>
      <xdr:rowOff>107157</xdr:rowOff>
    </xdr:to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0.77557</cdr:x>
      <cdr:y>0.91534</cdr:y>
    </cdr:from>
    <cdr:to>
      <cdr:x>0.98398</cdr:x>
      <cdr:y>0.97983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521510" y="6087534"/>
          <a:ext cx="2021168" cy="428861"/>
        </a:xfrm>
        <a:prstGeom xmlns:a="http://schemas.openxmlformats.org/drawingml/2006/main" prst="rect">
          <a:avLst/>
        </a:prstGeom>
      </cdr:spPr>
    </cdr:pic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61913</xdr:rowOff>
    </xdr:from>
    <xdr:to>
      <xdr:col>1</xdr:col>
      <xdr:colOff>400050</xdr:colOff>
      <xdr:row>5</xdr:row>
      <xdr:rowOff>181528</xdr:rowOff>
    </xdr:to>
    <xdr:pic>
      <xdr:nvPicPr>
        <xdr:cNvPr id="2" name="chart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71463"/>
          <a:ext cx="3895725" cy="95781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170089</xdr:colOff>
      <xdr:row>0</xdr:row>
      <xdr:rowOff>181429</xdr:rowOff>
    </xdr:from>
    <xdr:to>
      <xdr:col>12</xdr:col>
      <xdr:colOff>1238250</xdr:colOff>
      <xdr:row>16</xdr:row>
      <xdr:rowOff>13607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522061</xdr:colOff>
      <xdr:row>13</xdr:row>
      <xdr:rowOff>222251</xdr:rowOff>
    </xdr:from>
    <xdr:to>
      <xdr:col>21</xdr:col>
      <xdr:colOff>1067641</xdr:colOff>
      <xdr:row>15</xdr:row>
      <xdr:rowOff>225425</xdr:rowOff>
    </xdr:to>
    <xdr:pic>
      <xdr:nvPicPr>
        <xdr:cNvPr id="6" name="chart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14918" y="5964465"/>
          <a:ext cx="4505259" cy="87403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57149</xdr:colOff>
      <xdr:row>22</xdr:row>
      <xdr:rowOff>57150</xdr:rowOff>
    </xdr:from>
    <xdr:to>
      <xdr:col>4</xdr:col>
      <xdr:colOff>1135491</xdr:colOff>
      <xdr:row>25</xdr:row>
      <xdr:rowOff>6136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4" y="7572375"/>
          <a:ext cx="3040492" cy="67288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83345</xdr:colOff>
      <xdr:row>37</xdr:row>
      <xdr:rowOff>23813</xdr:rowOff>
    </xdr:from>
    <xdr:to>
      <xdr:col>17</xdr:col>
      <xdr:colOff>615152</xdr:colOff>
      <xdr:row>40</xdr:row>
      <xdr:rowOff>166687</xdr:rowOff>
    </xdr:to>
    <xdr:pic>
      <xdr:nvPicPr>
        <xdr:cNvPr id="4" name="Picture 1" descr="Sheridan Healthcorp, Inc.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85470" y="12930188"/>
          <a:ext cx="3353588" cy="773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2</xdr:col>
      <xdr:colOff>1809750</xdr:colOff>
      <xdr:row>0</xdr:row>
      <xdr:rowOff>714375</xdr:rowOff>
    </xdr:to>
    <xdr:pic>
      <xdr:nvPicPr>
        <xdr:cNvPr id="3" name="chart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2590800" cy="6381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138641</xdr:colOff>
      <xdr:row>0</xdr:row>
      <xdr:rowOff>37042</xdr:rowOff>
    </xdr:from>
    <xdr:to>
      <xdr:col>2</xdr:col>
      <xdr:colOff>843491</xdr:colOff>
      <xdr:row>1</xdr:row>
      <xdr:rowOff>370417</xdr:rowOff>
    </xdr:to>
    <xdr:pic>
      <xdr:nvPicPr>
        <xdr:cNvPr id="2" name="chart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41" y="37042"/>
          <a:ext cx="2779183" cy="7143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1817686" y="499925"/>
    <xdr:ext cx="13914439" cy="5496856"/>
    <xdr:graphicFrame macro="">
      <xdr:nvGraphicFramePr>
        <xdr:cNvPr id="3" name="Chart 2"/>
        <xdr:cNvGraphicFramePr>
          <a:graphicFrameLocks noGrp="1"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>
    <xdr:from>
      <xdr:col>0</xdr:col>
      <xdr:colOff>0</xdr:colOff>
      <xdr:row>33</xdr:row>
      <xdr:rowOff>22225</xdr:rowOff>
    </xdr:from>
    <xdr:to>
      <xdr:col>13</xdr:col>
      <xdr:colOff>1009650</xdr:colOff>
      <xdr:row>42</xdr:row>
      <xdr:rowOff>111125</xdr:rowOff>
    </xdr:to>
    <xdr:sp macro="" textlink="">
      <xdr:nvSpPr>
        <xdr:cNvPr id="2" name="Rectangle 1"/>
        <xdr:cNvSpPr/>
      </xdr:nvSpPr>
      <xdr:spPr>
        <a:xfrm>
          <a:off x="0" y="10182225"/>
          <a:ext cx="16344900" cy="3517900"/>
        </a:xfrm>
        <a:prstGeom prst="rect">
          <a:avLst/>
        </a:prstGeom>
        <a:noFill/>
        <a:ln w="381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>
            <a:latin typeface="Arial Narrow" panose="020B0606020202030204" pitchFamily="34" charset="0"/>
          </a:endParaRPr>
        </a:p>
      </xdr:txBody>
    </xdr:sp>
    <xdr:clientData/>
  </xdr:twoCellAnchor>
  <xdr:twoCellAnchor editAs="oneCell">
    <xdr:from>
      <xdr:col>11</xdr:col>
      <xdr:colOff>631030</xdr:colOff>
      <xdr:row>31</xdr:row>
      <xdr:rowOff>476250</xdr:rowOff>
    </xdr:from>
    <xdr:to>
      <xdr:col>13</xdr:col>
      <xdr:colOff>952308</xdr:colOff>
      <xdr:row>32</xdr:row>
      <xdr:rowOff>498110</xdr:rowOff>
    </xdr:to>
    <xdr:pic>
      <xdr:nvPicPr>
        <xdr:cNvPr id="5" name="chart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49186" y="9227344"/>
          <a:ext cx="2416778" cy="52192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1015279" y="127722"/>
    <xdr:ext cx="11188627" cy="7825654"/>
    <xdr:graphicFrame macro="">
      <xdr:nvGraphicFramePr>
        <xdr:cNvPr id="3" name="Chart 2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0.78448</cdr:x>
      <cdr:y>0.9179</cdr:y>
    </cdr:from>
    <cdr:to>
      <cdr:x>0.98261</cdr:x>
      <cdr:y>0.98167</cdr:y>
    </cdr:to>
    <cdr:pic>
      <cdr:nvPicPr>
        <cdr:cNvPr id="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936715" y="6655593"/>
          <a:ext cx="2257077" cy="46240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0.02445</cdr:x>
      <cdr:y>0.88956</cdr:y>
    </cdr:from>
    <cdr:to>
      <cdr:x>0.18312</cdr:x>
      <cdr:y>0.96319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7647" y="6329363"/>
          <a:ext cx="1607344" cy="523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0.01857</cdr:x>
      <cdr:y>0.88119</cdr:y>
    </cdr:from>
    <cdr:to>
      <cdr:x>0.12788</cdr:x>
      <cdr:y>0.97825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88116" y="6269832"/>
          <a:ext cx="1107281" cy="6905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800">
            <a:solidFill>
              <a:schemeClr val="tx2">
                <a:lumMod val="75000"/>
              </a:schemeClr>
            </a:solidFill>
            <a:latin typeface="Arial Black" panose="020B0A04020102020204" pitchFamily="34" charset="0"/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0</xdr:row>
      <xdr:rowOff>160471</xdr:rowOff>
    </xdr:from>
    <xdr:to>
      <xdr:col>16</xdr:col>
      <xdr:colOff>466991</xdr:colOff>
      <xdr:row>29</xdr:row>
      <xdr:rowOff>190499</xdr:rowOff>
    </xdr:to>
    <xdr:graphicFrame macro="">
      <xdr:nvGraphicFramePr>
        <xdr:cNvPr id="2" name="Chart 1" descr="l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0.78615</cdr:x>
      <cdr:y>0.92604</cdr:y>
    </cdr:from>
    <cdr:to>
      <cdr:x>0.98237</cdr:x>
      <cdr:y>0.98153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008672" y="6104885"/>
          <a:ext cx="1749327" cy="365818"/>
        </a:xfrm>
        <a:prstGeom xmlns:a="http://schemas.openxmlformats.org/drawingml/2006/main" prst="rect">
          <a:avLst/>
        </a:prstGeom>
      </cdr:spPr>
    </cdr:pic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0</xdr:row>
      <xdr:rowOff>170090</xdr:rowOff>
    </xdr:from>
    <xdr:to>
      <xdr:col>14</xdr:col>
      <xdr:colOff>781903</xdr:colOff>
      <xdr:row>18</xdr:row>
      <xdr:rowOff>555625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0.76983</cdr:x>
      <cdr:y>0.9099</cdr:y>
    </cdr:from>
    <cdr:to>
      <cdr:x>0.981</cdr:x>
      <cdr:y>0.98501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0290174" y="8670924"/>
          <a:ext cx="2822576" cy="715735"/>
        </a:xfrm>
        <a:prstGeom xmlns:a="http://schemas.openxmlformats.org/drawingml/2006/main" prst="rect">
          <a:avLst/>
        </a:prstGeom>
      </cdr:spPr>
    </cdr:pic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212727</xdr:colOff>
      <xdr:row>0</xdr:row>
      <xdr:rowOff>206375</xdr:rowOff>
    </xdr:from>
    <xdr:to>
      <xdr:col>18</xdr:col>
      <xdr:colOff>412750</xdr:colOff>
      <xdr:row>19</xdr:row>
      <xdr:rowOff>174625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0.76983</cdr:x>
      <cdr:y>0.9099</cdr:y>
    </cdr:from>
    <cdr:to>
      <cdr:x>0.981</cdr:x>
      <cdr:y>0.98501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0290174" y="8670924"/>
          <a:ext cx="2822576" cy="715735"/>
        </a:xfrm>
        <a:prstGeom xmlns:a="http://schemas.openxmlformats.org/drawingml/2006/main" prst="rect">
          <a:avLst/>
        </a:prstGeom>
      </cdr:spPr>
    </cdr:pic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154667</xdr:colOff>
      <xdr:row>16</xdr:row>
      <xdr:rowOff>141972</xdr:rowOff>
    </xdr:from>
    <xdr:to>
      <xdr:col>16</xdr:col>
      <xdr:colOff>35718</xdr:colOff>
      <xdr:row>34</xdr:row>
      <xdr:rowOff>416718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357187</xdr:colOff>
      <xdr:row>32</xdr:row>
      <xdr:rowOff>367392</xdr:rowOff>
    </xdr:from>
    <xdr:to>
      <xdr:col>24</xdr:col>
      <xdr:colOff>369210</xdr:colOff>
      <xdr:row>34</xdr:row>
      <xdr:rowOff>488837</xdr:rowOff>
    </xdr:to>
    <xdr:pic>
      <xdr:nvPicPr>
        <xdr:cNvPr id="4" name="chart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15401" y="15552963"/>
          <a:ext cx="4148595" cy="112837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104781</xdr:colOff>
      <xdr:row>0</xdr:row>
      <xdr:rowOff>95250</xdr:rowOff>
    </xdr:from>
    <xdr:to>
      <xdr:col>11</xdr:col>
      <xdr:colOff>180976</xdr:colOff>
      <xdr:row>16</xdr:row>
      <xdr:rowOff>219075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361950</xdr:colOff>
      <xdr:row>0</xdr:row>
      <xdr:rowOff>95250</xdr:rowOff>
    </xdr:from>
    <xdr:to>
      <xdr:col>22</xdr:col>
      <xdr:colOff>514350</xdr:colOff>
      <xdr:row>16</xdr:row>
      <xdr:rowOff>219076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66675</xdr:colOff>
      <xdr:row>49</xdr:row>
      <xdr:rowOff>21432</xdr:rowOff>
    </xdr:from>
    <xdr:to>
      <xdr:col>2</xdr:col>
      <xdr:colOff>616743</xdr:colOff>
      <xdr:row>52</xdr:row>
      <xdr:rowOff>40482</xdr:rowOff>
    </xdr:to>
    <xdr:pic>
      <xdr:nvPicPr>
        <xdr:cNvPr id="4" name="chart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10889457"/>
          <a:ext cx="2245518" cy="5905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142878</xdr:colOff>
      <xdr:row>1</xdr:row>
      <xdr:rowOff>68035</xdr:rowOff>
    </xdr:from>
    <xdr:to>
      <xdr:col>11</xdr:col>
      <xdr:colOff>598715</xdr:colOff>
      <xdr:row>22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190499</xdr:colOff>
      <xdr:row>19</xdr:row>
      <xdr:rowOff>142876</xdr:rowOff>
    </xdr:from>
    <xdr:to>
      <xdr:col>17</xdr:col>
      <xdr:colOff>843642</xdr:colOff>
      <xdr:row>22</xdr:row>
      <xdr:rowOff>60574</xdr:rowOff>
    </xdr:to>
    <xdr:pic>
      <xdr:nvPicPr>
        <xdr:cNvPr id="3" name="chart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81213" y="5980340"/>
          <a:ext cx="3388179" cy="85659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</xdr:row>
      <xdr:rowOff>80959</xdr:rowOff>
    </xdr:from>
    <xdr:to>
      <xdr:col>22</xdr:col>
      <xdr:colOff>202142</xdr:colOff>
      <xdr:row>21</xdr:row>
      <xdr:rowOff>161924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428625</xdr:colOff>
      <xdr:row>19</xdr:row>
      <xdr:rowOff>83608</xdr:rowOff>
    </xdr:from>
    <xdr:to>
      <xdr:col>28</xdr:col>
      <xdr:colOff>224116</xdr:colOff>
      <xdr:row>22</xdr:row>
      <xdr:rowOff>45507</xdr:rowOff>
    </xdr:to>
    <xdr:pic>
      <xdr:nvPicPr>
        <xdr:cNvPr id="3" name="chart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2400" y="4617508"/>
          <a:ext cx="2881591" cy="70484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828676</xdr:colOff>
      <xdr:row>19</xdr:row>
      <xdr:rowOff>80263</xdr:rowOff>
    </xdr:from>
    <xdr:to>
      <xdr:col>16</xdr:col>
      <xdr:colOff>209550</xdr:colOff>
      <xdr:row>21</xdr:row>
      <xdr:rowOff>28574</xdr:rowOff>
    </xdr:to>
    <xdr:pic>
      <xdr:nvPicPr>
        <xdr:cNvPr id="4" name="chart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58426" y="4785613"/>
          <a:ext cx="2486024" cy="576961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0</xdr:row>
      <xdr:rowOff>142876</xdr:rowOff>
    </xdr:from>
    <xdr:to>
      <xdr:col>12</xdr:col>
      <xdr:colOff>609600</xdr:colOff>
      <xdr:row>20</xdr:row>
      <xdr:rowOff>190501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109198</xdr:colOff>
      <xdr:row>1</xdr:row>
      <xdr:rowOff>96611</xdr:rowOff>
    </xdr:from>
    <xdr:to>
      <xdr:col>9</xdr:col>
      <xdr:colOff>473529</xdr:colOff>
      <xdr:row>15</xdr:row>
      <xdr:rowOff>190501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108856</xdr:colOff>
      <xdr:row>32</xdr:row>
      <xdr:rowOff>119742</xdr:rowOff>
    </xdr:from>
    <xdr:to>
      <xdr:col>9</xdr:col>
      <xdr:colOff>518431</xdr:colOff>
      <xdr:row>46</xdr:row>
      <xdr:rowOff>176891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95250</xdr:colOff>
      <xdr:row>63</xdr:row>
      <xdr:rowOff>114300</xdr:rowOff>
    </xdr:from>
    <xdr:to>
      <xdr:col>9</xdr:col>
      <xdr:colOff>459582</xdr:colOff>
      <xdr:row>77</xdr:row>
      <xdr:rowOff>190499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166687</xdr:colOff>
      <xdr:row>14</xdr:row>
      <xdr:rowOff>193103</xdr:rowOff>
    </xdr:from>
    <xdr:to>
      <xdr:col>23</xdr:col>
      <xdr:colOff>35719</xdr:colOff>
      <xdr:row>17</xdr:row>
      <xdr:rowOff>4762</xdr:rowOff>
    </xdr:to>
    <xdr:pic>
      <xdr:nvPicPr>
        <xdr:cNvPr id="5" name="chart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73625" y="4526978"/>
          <a:ext cx="3226594" cy="740347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13758</xdr:colOff>
      <xdr:row>0</xdr:row>
      <xdr:rowOff>154518</xdr:rowOff>
    </xdr:from>
    <xdr:to>
      <xdr:col>9</xdr:col>
      <xdr:colOff>381001</xdr:colOff>
      <xdr:row>2</xdr:row>
      <xdr:rowOff>165101</xdr:rowOff>
    </xdr:to>
    <xdr:pic>
      <xdr:nvPicPr>
        <xdr:cNvPr id="4" name="chart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3708" y="154518"/>
          <a:ext cx="2653243" cy="5630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161930</xdr:colOff>
      <xdr:row>0</xdr:row>
      <xdr:rowOff>185734</xdr:rowOff>
    </xdr:from>
    <xdr:to>
      <xdr:col>15</xdr:col>
      <xdr:colOff>361950</xdr:colOff>
      <xdr:row>15</xdr:row>
      <xdr:rowOff>238125</xdr:rowOff>
    </xdr:to>
    <xdr:grpSp>
      <xdr:nvGrpSpPr>
        <xdr:cNvPr id="4" name="Group 3"/>
        <xdr:cNvGrpSpPr/>
      </xdr:nvGrpSpPr>
      <xdr:grpSpPr>
        <a:xfrm>
          <a:off x="161930" y="185734"/>
          <a:ext cx="11189489" cy="3802860"/>
          <a:chOff x="810243" y="148007"/>
          <a:chExt cx="5772145" cy="2909145"/>
        </a:xfrm>
      </xdr:grpSpPr>
      <xdr:graphicFrame macro="">
        <xdr:nvGraphicFramePr>
          <xdr:cNvPr id="2" name="Chart 1"/>
          <xdr:cNvGraphicFramePr>
            <a:graphicFrameLocks/>
          </xdr:cNvGraphicFramePr>
        </xdr:nvGraphicFramePr>
        <xdr:xfrm>
          <a:off x="810243" y="148007"/>
          <a:ext cx="5772145" cy="29091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/>
          <xdr:cNvSpPr txBox="1"/>
        </xdr:nvSpPr>
        <xdr:spPr>
          <a:xfrm>
            <a:off x="2657475" y="2657475"/>
            <a:ext cx="533400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 editAs="oneCell">
    <xdr:from>
      <xdr:col>16</xdr:col>
      <xdr:colOff>57150</xdr:colOff>
      <xdr:row>15</xdr:row>
      <xdr:rowOff>142875</xdr:rowOff>
    </xdr:from>
    <xdr:to>
      <xdr:col>18</xdr:col>
      <xdr:colOff>771525</xdr:colOff>
      <xdr:row>19</xdr:row>
      <xdr:rowOff>2380</xdr:rowOff>
    </xdr:to>
    <xdr:pic>
      <xdr:nvPicPr>
        <xdr:cNvPr id="6" name="chart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01500" y="3857625"/>
          <a:ext cx="2409825" cy="64769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23019</xdr:colOff>
      <xdr:row>0</xdr:row>
      <xdr:rowOff>165890</xdr:rowOff>
    </xdr:from>
    <xdr:to>
      <xdr:col>24</xdr:col>
      <xdr:colOff>657225</xdr:colOff>
      <xdr:row>19</xdr:row>
      <xdr:rowOff>294481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146050</xdr:colOff>
      <xdr:row>0</xdr:row>
      <xdr:rowOff>138906</xdr:rowOff>
    </xdr:from>
    <xdr:to>
      <xdr:col>52</xdr:col>
      <xdr:colOff>114300</xdr:colOff>
      <xdr:row>19</xdr:row>
      <xdr:rowOff>257969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45</xdr:col>
      <xdr:colOff>241726</xdr:colOff>
      <xdr:row>63</xdr:row>
      <xdr:rowOff>72116</xdr:rowOff>
    </xdr:from>
    <xdr:to>
      <xdr:col>51</xdr:col>
      <xdr:colOff>1212850</xdr:colOff>
      <xdr:row>73</xdr:row>
      <xdr:rowOff>38100</xdr:rowOff>
    </xdr:to>
    <xdr:pic>
      <xdr:nvPicPr>
        <xdr:cNvPr id="5" name="chart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19076" y="32171366"/>
          <a:ext cx="7321124" cy="1870984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20</xdr:row>
      <xdr:rowOff>76200</xdr:rowOff>
    </xdr:from>
    <xdr:to>
      <xdr:col>24</xdr:col>
      <xdr:colOff>685800</xdr:colOff>
      <xdr:row>39</xdr:row>
      <xdr:rowOff>357191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114300</xdr:colOff>
      <xdr:row>20</xdr:row>
      <xdr:rowOff>76200</xdr:rowOff>
    </xdr:from>
    <xdr:to>
      <xdr:col>52</xdr:col>
      <xdr:colOff>76200</xdr:colOff>
      <xdr:row>39</xdr:row>
      <xdr:rowOff>347663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0.75896</cdr:x>
      <cdr:y>0.08953</cdr:y>
    </cdr:from>
    <cdr:to>
      <cdr:x>0.9741</cdr:x>
      <cdr:y>0.1875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629019" y="252415"/>
          <a:ext cx="102870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0.75896</cdr:x>
      <cdr:y>0.08953</cdr:y>
    </cdr:from>
    <cdr:to>
      <cdr:x>0.9741</cdr:x>
      <cdr:y>0.1875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629019" y="252415"/>
          <a:ext cx="102870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0.00996</cdr:x>
      <cdr:y>0.01858</cdr:y>
    </cdr:from>
    <cdr:to>
      <cdr:x>0.23705</cdr:x>
      <cdr:y>0.11318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19" y="52390"/>
          <a:ext cx="108585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endParaRPr lang="en-US" sz="1100" b="1" strike="noStrike" baseline="0">
            <a:solidFill>
              <a:schemeClr val="tx2">
                <a:lumMod val="75000"/>
              </a:schemeClr>
            </a:solidFill>
            <a:latin typeface="Arial Black" panose="020B0A04020102020204" pitchFamily="34" charset="0"/>
          </a:endParaRPr>
        </a:p>
      </cdr:txBody>
    </cdr:sp>
  </cdr:relSizeAnchor>
</c:userShapes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0.75896</cdr:x>
      <cdr:y>0.08953</cdr:y>
    </cdr:from>
    <cdr:to>
      <cdr:x>0.9741</cdr:x>
      <cdr:y>0.1875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629019" y="252415"/>
          <a:ext cx="102870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0.75896</cdr:x>
      <cdr:y>0.08953</cdr:y>
    </cdr:from>
    <cdr:to>
      <cdr:x>0.9741</cdr:x>
      <cdr:y>0.1875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629019" y="252415"/>
          <a:ext cx="102870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0.00996</cdr:x>
      <cdr:y>0.01858</cdr:y>
    </cdr:from>
    <cdr:to>
      <cdr:x>0.23705</cdr:x>
      <cdr:y>0.11318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19" y="52390"/>
          <a:ext cx="108585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endParaRPr lang="en-US" sz="1100" b="1" strike="noStrike" baseline="0">
            <a:solidFill>
              <a:schemeClr val="tx2">
                <a:lumMod val="75000"/>
              </a:schemeClr>
            </a:solidFill>
            <a:latin typeface="Arial Black" panose="020B0A04020102020204" pitchFamily="34" charset="0"/>
          </a:endParaRPr>
        </a:p>
      </cdr:txBody>
    </cdr:sp>
  </cdr:relSizeAnchor>
</c:userShapes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122464</xdr:colOff>
      <xdr:row>2</xdr:row>
      <xdr:rowOff>108856</xdr:rowOff>
    </xdr:from>
    <xdr:to>
      <xdr:col>16</xdr:col>
      <xdr:colOff>110740</xdr:colOff>
      <xdr:row>17</xdr:row>
      <xdr:rowOff>349250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31</xdr:col>
      <xdr:colOff>21937</xdr:colOff>
      <xdr:row>34</xdr:row>
      <xdr:rowOff>186171</xdr:rowOff>
    </xdr:from>
    <xdr:to>
      <xdr:col>35</xdr:col>
      <xdr:colOff>8177</xdr:colOff>
      <xdr:row>38</xdr:row>
      <xdr:rowOff>5000</xdr:rowOff>
    </xdr:to>
    <xdr:pic>
      <xdr:nvPicPr>
        <xdr:cNvPr id="3" name="chart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27270" y="10388504"/>
          <a:ext cx="2473324" cy="581889"/>
        </a:xfrm>
        <a:prstGeom prst="rect">
          <a:avLst/>
        </a:prstGeom>
      </xdr:spPr>
    </xdr:pic>
    <xdr:clientData/>
  </xdr:twoCellAnchor>
</xdr:wsDr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0.01737</cdr:x>
      <cdr:y>0.90933</cdr:y>
    </cdr:from>
    <cdr:to>
      <cdr:x>0.11741</cdr:x>
      <cdr:y>0.96667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3888" y="3897622"/>
          <a:ext cx="886406" cy="2457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/>
        </a:p>
      </cdr:txBody>
    </cdr:sp>
  </cdr:relSizeAnchor>
</c:userShapes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123826</xdr:rowOff>
    </xdr:from>
    <xdr:to>
      <xdr:col>11</xdr:col>
      <xdr:colOff>361950</xdr:colOff>
      <xdr:row>19</xdr:row>
      <xdr:rowOff>85726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628650</xdr:colOff>
      <xdr:row>36</xdr:row>
      <xdr:rowOff>219075</xdr:rowOff>
    </xdr:from>
    <xdr:to>
      <xdr:col>29</xdr:col>
      <xdr:colOff>200025</xdr:colOff>
      <xdr:row>39</xdr:row>
      <xdr:rowOff>114027</xdr:rowOff>
    </xdr:to>
    <xdr:pic>
      <xdr:nvPicPr>
        <xdr:cNvPr id="3" name="chart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73850" y="9553575"/>
          <a:ext cx="2743200" cy="63790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238126</xdr:colOff>
      <xdr:row>48</xdr:row>
      <xdr:rowOff>119062</xdr:rowOff>
    </xdr:from>
    <xdr:to>
      <xdr:col>16</xdr:col>
      <xdr:colOff>750094</xdr:colOff>
      <xdr:row>51</xdr:row>
      <xdr:rowOff>178593</xdr:rowOff>
    </xdr:to>
    <xdr:pic>
      <xdr:nvPicPr>
        <xdr:cNvPr id="2" name="chart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6876" y="9810750"/>
          <a:ext cx="2964656" cy="6429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MPM/QUALITY%20REPORTING/DIVISION%20REPORTS/2015/_DEC%202015%20-%20EM%20Division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V Quarter"/>
      <sheetName val="Timeliness Graph by Month"/>
      <sheetName val="PPH Graph"/>
      <sheetName val="Labor Cost_Case"/>
      <sheetName val="JV Data YTD"/>
      <sheetName val="EDP Premium Labor (cost &amp; hrs)"/>
      <sheetName val="Budget Hours"/>
      <sheetName val="MLP Premium Labor"/>
      <sheetName val="Labor Costs Variance"/>
      <sheetName val="Labor Cost per Case"/>
      <sheetName val="PQRS Graph"/>
      <sheetName val="Graph Data"/>
      <sheetName val=" Case Volume - Budget Variance"/>
      <sheetName val="Total Labor Cost"/>
      <sheetName val="2015 Composite"/>
      <sheetName val="Facilities"/>
      <sheetName val="Table of Contents"/>
      <sheetName val="2015 EM Executive Committee"/>
      <sheetName val="EM ACTION Plan"/>
      <sheetName val="JV All Sites Exec Committee"/>
      <sheetName val="Quality Composite"/>
      <sheetName val="Arr to Provider"/>
      <sheetName val="PPH"/>
      <sheetName val="LBBS"/>
      <sheetName val="Admissions"/>
      <sheetName val="Reason Codes"/>
      <sheetName val="EDP Premium Labor (Hours)"/>
      <sheetName val="Terminations"/>
      <sheetName val="Provider Productivity"/>
      <sheetName val="Efficiency"/>
      <sheetName val="Pt Satisfaction"/>
      <sheetName val="FPPE_OPPE"/>
      <sheetName val="PQRS"/>
      <sheetName val="72hr Returns"/>
      <sheetName val="Mortalities"/>
      <sheetName val="National Quality Measures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30">
          <cell r="L30">
            <v>35</v>
          </cell>
        </row>
        <row r="31">
          <cell r="L31">
            <v>27</v>
          </cell>
        </row>
        <row r="32">
          <cell r="L32">
            <v>21</v>
          </cell>
        </row>
      </sheetData>
      <sheetData sheetId="30"/>
      <sheetData sheetId="31"/>
      <sheetData sheetId="32"/>
      <sheetData sheetId="33"/>
      <sheetData sheetId="34"/>
      <sheetData sheetId="35"/>
    </sheetDataSet>
  </externalBook>
</externalLink>
</file>

<file path=xl/tables/table1.xml><?xml version="1.0" encoding="utf-8"?>
<table xmlns="http://schemas.openxmlformats.org/spreadsheetml/2006/main" id="3" name="Table144" displayName="Table144" ref="B2:H34" totalsRowShown="0" headerRowDxfId="72" dataDxfId="70" headerRowBorderDxfId="71" headerRowCellStyle="Normal 3 2" dataCellStyle="Normal 3 2">
  <tableColumns count="7">
    <tableColumn id="1" name="Dimension of Quality" dataDxfId="69" dataCellStyle="Normal 3 2"/>
    <tableColumn id="9" name="Measure Description" dataDxfId="68" dataCellStyle="Normal 3 2"/>
    <tableColumn id="3" name="Threshold" dataDxfId="67" dataCellStyle="Normal 3 2"/>
    <tableColumn id="4" name="Oct &amp; Nov 2016" dataDxfId="66" dataCellStyle="Normal 3 2"/>
    <tableColumn id="5" name="                               Volume Sample Size" dataDxfId="65" dataCellStyle="Normal 3 2"/>
    <tableColumn id="10" name="Unit" dataDxfId="64"/>
    <tableColumn id="6" name="Comments" dataDxfId="63" dataCellStyle="Normal 3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B5:H29" totalsRowShown="0" headerRowDxfId="62" dataDxfId="61" headerRowCellStyle="Normal 3 2" dataCellStyle="Normal 3 2">
  <tableColumns count="7">
    <tableColumn id="1" name="Dimension of Quality" dataDxfId="60" dataCellStyle="Normal 3 2"/>
    <tableColumn id="9" name="Measure Description" dataDxfId="59" dataCellStyle="Normal 3 2"/>
    <tableColumn id="3" name="Threshold" dataDxfId="58" dataCellStyle="Normal 3 2"/>
    <tableColumn id="4" name="4Q 2015" dataDxfId="57" dataCellStyle="Normal 3 2"/>
    <tableColumn id="5" name=" Volume Sample Size" dataDxfId="56" dataCellStyle="Normal 3 2"/>
    <tableColumn id="10" name="unit" dataDxfId="55"/>
    <tableColumn id="6" name="Comments" dataDxfId="54" dataCellStyle="Normal 3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Relationship Id="rId5" Type="http://schemas.openxmlformats.org/officeDocument/2006/relationships/comments" Target="../comments3.xml"/><Relationship Id="rId4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0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3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6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82"/>
  <sheetViews>
    <sheetView showGridLines="0" workbookViewId="0">
      <selection activeCell="N26" sqref="N26"/>
    </sheetView>
  </sheetViews>
  <sheetFormatPr defaultColWidth="9.140625" defaultRowHeight="15"/>
  <cols>
    <col min="1" max="1" width="23" style="23" bestFit="1" customWidth="1"/>
    <col min="2" max="4" width="7.7109375" style="23" bestFit="1" customWidth="1"/>
    <col min="5" max="5" width="11.7109375" style="187" bestFit="1" customWidth="1"/>
    <col min="6" max="6" width="3.85546875" style="23" customWidth="1"/>
    <col min="7" max="7" width="23" style="23" bestFit="1" customWidth="1"/>
    <col min="8" max="8" width="9" style="23" customWidth="1"/>
    <col min="9" max="9" width="9.42578125" style="23" customWidth="1"/>
    <col min="10" max="10" width="10" style="23" customWidth="1"/>
    <col min="11" max="11" width="11.85546875" style="183" customWidth="1"/>
    <col min="12" max="12" width="3.85546875" style="23" customWidth="1"/>
    <col min="13" max="13" width="10.85546875" style="23" bestFit="1" customWidth="1"/>
    <col min="14" max="14" width="14.5703125" style="23" customWidth="1"/>
    <col min="15" max="16" width="9.42578125" style="23" customWidth="1"/>
    <col min="17" max="17" width="9.5703125" style="23" customWidth="1"/>
    <col min="18" max="18" width="9.28515625" style="23" customWidth="1"/>
    <col min="19" max="19" width="10.140625" style="23" bestFit="1" customWidth="1"/>
    <col min="20" max="20" width="9.140625" style="23" customWidth="1"/>
    <col min="21" max="16384" width="9.140625" style="23"/>
  </cols>
  <sheetData>
    <row r="1" spans="1:19" ht="20.25" customHeight="1">
      <c r="A1" s="1099"/>
      <c r="B1" s="1100">
        <v>42370</v>
      </c>
      <c r="C1" s="1100">
        <v>42401</v>
      </c>
      <c r="D1" s="1100">
        <v>42430</v>
      </c>
      <c r="E1" s="1101" t="s">
        <v>501</v>
      </c>
      <c r="G1" s="1099"/>
      <c r="H1" s="1100">
        <v>42461</v>
      </c>
      <c r="I1" s="1100">
        <v>42491</v>
      </c>
      <c r="J1" s="1100">
        <v>42522</v>
      </c>
      <c r="K1" s="1101" t="s">
        <v>502</v>
      </c>
    </row>
    <row r="2" spans="1:19">
      <c r="A2" s="2784" t="s">
        <v>28</v>
      </c>
      <c r="B2" s="1102"/>
      <c r="C2" s="1102"/>
      <c r="D2" s="1102"/>
      <c r="E2" s="1103"/>
      <c r="G2" s="2784" t="s">
        <v>28</v>
      </c>
      <c r="H2" s="1102"/>
      <c r="I2" s="1102"/>
      <c r="J2" s="1102"/>
      <c r="K2" s="1099"/>
    </row>
    <row r="3" spans="1:19" ht="15" customHeight="1">
      <c r="A3" s="2785"/>
      <c r="B3" s="1102"/>
      <c r="C3" s="1102"/>
      <c r="D3" s="1102"/>
      <c r="E3" s="1103"/>
      <c r="G3" s="2785"/>
      <c r="H3" s="1102"/>
      <c r="I3" s="1102"/>
      <c r="J3" s="1102"/>
      <c r="K3" s="1099"/>
      <c r="M3" s="2786" t="s">
        <v>441</v>
      </c>
      <c r="N3" s="2787"/>
      <c r="O3" s="2787"/>
      <c r="P3" s="2787"/>
      <c r="Q3" s="2787"/>
      <c r="R3" s="2787"/>
      <c r="S3" s="2787"/>
    </row>
    <row r="4" spans="1:19" ht="15" customHeight="1">
      <c r="A4" s="23" t="s">
        <v>382</v>
      </c>
      <c r="B4" s="147">
        <v>7558</v>
      </c>
      <c r="C4" s="129">
        <v>7752</v>
      </c>
      <c r="D4" s="129">
        <v>8404</v>
      </c>
      <c r="E4" s="187">
        <f>SUM(B4:D4)</f>
        <v>23714</v>
      </c>
      <c r="G4" s="23" t="s">
        <v>382</v>
      </c>
      <c r="H4" s="129"/>
      <c r="I4" s="129"/>
      <c r="J4" s="129"/>
      <c r="K4" s="456">
        <f>SUM(H4:J4)</f>
        <v>0</v>
      </c>
      <c r="M4" s="2782" t="s">
        <v>57</v>
      </c>
      <c r="N4" s="2782" t="s">
        <v>141</v>
      </c>
      <c r="O4" s="2782" t="s">
        <v>160</v>
      </c>
      <c r="P4" s="2782" t="s">
        <v>143</v>
      </c>
      <c r="Q4" s="2782" t="s">
        <v>145</v>
      </c>
      <c r="R4" s="2782" t="s">
        <v>383</v>
      </c>
      <c r="S4" s="2782" t="s">
        <v>1</v>
      </c>
    </row>
    <row r="5" spans="1:19">
      <c r="A5" s="23" t="s">
        <v>141</v>
      </c>
      <c r="B5" s="85">
        <v>16</v>
      </c>
      <c r="C5" s="148">
        <v>16</v>
      </c>
      <c r="D5" s="148">
        <v>11</v>
      </c>
      <c r="E5" s="188">
        <f>((B5*B4)+(C5*C4)+(D5*D4))/SUM(B4:D4)</f>
        <v>14.228050940372775</v>
      </c>
      <c r="G5" s="23" t="s">
        <v>141</v>
      </c>
      <c r="H5" s="148"/>
      <c r="I5" s="148"/>
      <c r="J5" s="148"/>
      <c r="K5" s="457" t="e">
        <f>SUMPRODUCT(H5:J5,H4:J4)/SUM(H4:J4)</f>
        <v>#DIV/0!</v>
      </c>
      <c r="M5" s="2783"/>
      <c r="N5" s="2783"/>
      <c r="O5" s="2783"/>
      <c r="P5" s="2783"/>
      <c r="Q5" s="2783"/>
      <c r="R5" s="2783"/>
      <c r="S5" s="2783"/>
    </row>
    <row r="6" spans="1:19">
      <c r="A6" s="23" t="s">
        <v>160</v>
      </c>
      <c r="B6" s="147">
        <v>143</v>
      </c>
      <c r="C6" s="129">
        <v>171</v>
      </c>
      <c r="D6" s="129">
        <v>142</v>
      </c>
      <c r="E6" s="187">
        <f>SUM(B6:D6)</f>
        <v>456</v>
      </c>
      <c r="G6" s="23" t="s">
        <v>160</v>
      </c>
      <c r="H6" s="129"/>
      <c r="I6" s="129"/>
      <c r="J6" s="129"/>
      <c r="K6" s="456">
        <f>SUM(H6:J6)</f>
        <v>0</v>
      </c>
      <c r="M6" s="197">
        <f>SUM(K4,K37,K53,K69)</f>
        <v>0</v>
      </c>
      <c r="N6" s="97">
        <f>((H5*H$4)+(I5*I$4)+(J5*J$4)+(H38*H$37)+(I38*I$37)+(J38*J$37)+(H54*H$53)+(I54*I$53)+(J54*J$53)+(H70*H$69)+(I70*I$69)+(J70*J$69))/SUM(E$4,E$37,E$53,E$69)</f>
        <v>0</v>
      </c>
      <c r="O6" s="7">
        <f>SUM(K6,K39,K55,K71)</f>
        <v>0</v>
      </c>
      <c r="P6" s="97" t="e">
        <f>((H10*H8)+(I10*I8)+(J10*J8)+(H43*H41)+(I43*I41)+(J43*J41)+(H59*H57)+(I59*I57)+(J59*J57)+(H75*H73)+(I75*I73)+(J75*J73))/SUM(K$8,K$41,K$57,K$73)</f>
        <v>#DIV/0!</v>
      </c>
      <c r="Q6" s="17" t="e">
        <f>((H12*H13)+(I12*I13)+(J12*J13)+(H45*H46)+(I45*I46)+(J45*J46)+(H61*H62)+(I61*I62)+(J61*J62)+(H77*H78)+(I77*I78)+(J77*J78))/SUM(K$12,K$45,K$61,K$77)</f>
        <v>#DIV/0!</v>
      </c>
      <c r="R6" s="245">
        <f>SUM(K14,K47,K63,K79)</f>
        <v>0</v>
      </c>
      <c r="S6" s="244">
        <f>SUM(K16,K49,K65,K81)</f>
        <v>0</v>
      </c>
    </row>
    <row r="7" spans="1:19">
      <c r="A7" s="171" t="s">
        <v>161</v>
      </c>
      <c r="B7" s="173">
        <f>B6/B4</f>
        <v>1.8920349298756283E-2</v>
      </c>
      <c r="C7" s="173">
        <f>C6/C4</f>
        <v>2.2058823529411766E-2</v>
      </c>
      <c r="D7" s="173">
        <f>D6/D4</f>
        <v>1.6896715849595432E-2</v>
      </c>
      <c r="E7" s="189">
        <f>E6/E4</f>
        <v>1.9229147339124567E-2</v>
      </c>
      <c r="G7" s="171" t="s">
        <v>161</v>
      </c>
      <c r="H7" s="173" t="e">
        <f>H6/H4</f>
        <v>#DIV/0!</v>
      </c>
      <c r="I7" s="173" t="e">
        <f>I6/I4</f>
        <v>#DIV/0!</v>
      </c>
      <c r="J7" s="173" t="e">
        <f>J6/J4</f>
        <v>#DIV/0!</v>
      </c>
      <c r="K7" s="458" t="e">
        <f>K6/K4</f>
        <v>#DIV/0!</v>
      </c>
      <c r="M7" s="7"/>
      <c r="N7" s="7"/>
      <c r="O7" s="98" t="e">
        <f>(O6/M6)</f>
        <v>#DIV/0!</v>
      </c>
      <c r="P7" s="7"/>
      <c r="Q7" s="7"/>
      <c r="R7" s="98" t="e">
        <f>R6/M6</f>
        <v>#DIV/0!</v>
      </c>
      <c r="S7" s="98" t="e">
        <f>S6/M6</f>
        <v>#DIV/0!</v>
      </c>
    </row>
    <row r="8" spans="1:19">
      <c r="A8" s="23" t="s">
        <v>142</v>
      </c>
      <c r="B8" s="147">
        <v>1599</v>
      </c>
      <c r="C8" s="129">
        <v>1326</v>
      </c>
      <c r="D8" s="129">
        <v>1773</v>
      </c>
      <c r="E8" s="187">
        <f>SUM(B8:D8)</f>
        <v>4698</v>
      </c>
      <c r="G8" s="23" t="s">
        <v>142</v>
      </c>
      <c r="H8" s="129"/>
      <c r="I8" s="129"/>
      <c r="J8" s="129"/>
      <c r="K8" s="456">
        <f>SUM(H8:J8)</f>
        <v>0</v>
      </c>
    </row>
    <row r="9" spans="1:19">
      <c r="A9" s="171" t="s">
        <v>420</v>
      </c>
      <c r="B9" s="172">
        <f>B8/B4</f>
        <v>0.21156390579518392</v>
      </c>
      <c r="C9" s="172">
        <f>C8/C4</f>
        <v>0.17105263157894737</v>
      </c>
      <c r="D9" s="172">
        <f>D8/D4</f>
        <v>0.2109709662065683</v>
      </c>
      <c r="E9" s="190">
        <f>E8/E4</f>
        <v>0.19811082061229654</v>
      </c>
      <c r="G9" s="171" t="s">
        <v>420</v>
      </c>
      <c r="H9" s="172" t="e">
        <f>H8/H4</f>
        <v>#DIV/0!</v>
      </c>
      <c r="I9" s="172" t="e">
        <f>I8/I4</f>
        <v>#DIV/0!</v>
      </c>
      <c r="J9" s="172" t="e">
        <f>J8/J4</f>
        <v>#DIV/0!</v>
      </c>
      <c r="K9" s="459" t="e">
        <f>K8/K4</f>
        <v>#DIV/0!</v>
      </c>
      <c r="N9" s="147"/>
    </row>
    <row r="10" spans="1:19" ht="15" customHeight="1">
      <c r="A10" s="23" t="s">
        <v>143</v>
      </c>
      <c r="B10" s="85">
        <v>459</v>
      </c>
      <c r="C10" s="148">
        <v>448</v>
      </c>
      <c r="D10" s="148">
        <v>362</v>
      </c>
      <c r="E10" s="191">
        <f>((B10*B8)+(C10*C8)+(D10*D8))/SUM(B8:D8)</f>
        <v>419.28799489144319</v>
      </c>
      <c r="G10" s="23" t="s">
        <v>143</v>
      </c>
      <c r="H10" s="148"/>
      <c r="I10" s="148"/>
      <c r="J10" s="148"/>
      <c r="K10" s="460">
        <f>SUM(H10:J10)</f>
        <v>0</v>
      </c>
      <c r="M10" s="2786" t="s">
        <v>440</v>
      </c>
      <c r="N10" s="2787"/>
      <c r="O10" s="2787"/>
      <c r="P10" s="2787"/>
      <c r="Q10" s="2787"/>
      <c r="R10" s="2787"/>
      <c r="S10" s="2787"/>
    </row>
    <row r="11" spans="1:19" ht="15" customHeight="1">
      <c r="A11" s="171" t="s">
        <v>419</v>
      </c>
      <c r="B11" s="172">
        <f>B12/B4</f>
        <v>0.78843609420481608</v>
      </c>
      <c r="C11" s="172">
        <f>C12/C4</f>
        <v>0.82894736842105265</v>
      </c>
      <c r="D11" s="172">
        <f>D12/D4</f>
        <v>0.7890290337934317</v>
      </c>
      <c r="E11" s="190">
        <f>E12/E4</f>
        <v>0.80188917938770343</v>
      </c>
      <c r="G11" s="171" t="s">
        <v>419</v>
      </c>
      <c r="H11" s="172" t="e">
        <f>H12/H4</f>
        <v>#DIV/0!</v>
      </c>
      <c r="I11" s="172" t="e">
        <f>I12/I4</f>
        <v>#DIV/0!</v>
      </c>
      <c r="J11" s="172" t="e">
        <f>J12/J4</f>
        <v>#DIV/0!</v>
      </c>
      <c r="K11" s="459" t="e">
        <f>K12/K4</f>
        <v>#DIV/0!</v>
      </c>
      <c r="M11" s="2782" t="s">
        <v>57</v>
      </c>
      <c r="N11" s="2782" t="s">
        <v>141</v>
      </c>
      <c r="O11" s="2782" t="s">
        <v>160</v>
      </c>
      <c r="P11" s="2782" t="s">
        <v>143</v>
      </c>
      <c r="Q11" s="2782" t="s">
        <v>145</v>
      </c>
      <c r="R11" s="2782" t="s">
        <v>383</v>
      </c>
      <c r="S11" s="2782" t="s">
        <v>1</v>
      </c>
    </row>
    <row r="12" spans="1:19">
      <c r="A12" s="23" t="s">
        <v>144</v>
      </c>
      <c r="B12" s="129">
        <f>B4-B8</f>
        <v>5959</v>
      </c>
      <c r="C12" s="129">
        <f>C4-C8</f>
        <v>6426</v>
      </c>
      <c r="D12" s="129">
        <f>D4-D8</f>
        <v>6631</v>
      </c>
      <c r="E12" s="188">
        <f>SUM(B12:D12)</f>
        <v>19016</v>
      </c>
      <c r="G12" s="23" t="s">
        <v>144</v>
      </c>
      <c r="H12" s="155"/>
      <c r="I12" s="155"/>
      <c r="J12" s="155"/>
      <c r="K12" s="461">
        <f>SUM(H12:J12)</f>
        <v>0</v>
      </c>
      <c r="M12" s="2783"/>
      <c r="N12" s="2783"/>
      <c r="O12" s="2783"/>
      <c r="P12" s="2783"/>
      <c r="Q12" s="2783"/>
      <c r="R12" s="2783"/>
      <c r="S12" s="2783"/>
    </row>
    <row r="13" spans="1:19">
      <c r="A13" s="23" t="s">
        <v>145</v>
      </c>
      <c r="B13" s="148">
        <v>186</v>
      </c>
      <c r="C13" s="148">
        <v>194</v>
      </c>
      <c r="D13" s="148">
        <v>173</v>
      </c>
      <c r="E13" s="188">
        <f>((B13*B12)+(C13*C12)+(D13*D12))/SUM(B12:D12)</f>
        <v>184.17022507362222</v>
      </c>
      <c r="G13" s="23" t="s">
        <v>145</v>
      </c>
      <c r="H13" s="148"/>
      <c r="I13" s="148"/>
      <c r="J13" s="148"/>
      <c r="K13" s="461" t="e">
        <f>SUMPRODUCT(H13:J13,H12:J12)/SUM(H12:J12)</f>
        <v>#DIV/0!</v>
      </c>
      <c r="M13" s="197">
        <f>SUM(E4+E37+E53+E69)</f>
        <v>50880</v>
      </c>
      <c r="N13" s="97">
        <f>((B5*B$4)+(C5*C$4)+(D5*D$4)+(B38*B$37)+(C38*C$37)+(D38*D$37)+(B54*B$53)+(C54*C$53)+(D54*D$53)+(B70*B$69)+(C70*C$69)+(D70*D$69))/SUM(E$69,E$53,E$37,E$4)</f>
        <v>11.658942610062892</v>
      </c>
      <c r="O13" s="7">
        <f>SUM(E6,E39,E55,E71)</f>
        <v>1280</v>
      </c>
      <c r="P13" s="97">
        <f>((B10*B8)+(C10*C8)+(D10*D8)+(B43*B41)+(C43*C41)+(D43*D41)+(B59*B57)+(C59*C57)+(D59*D57)+(B75*B73)+(C75*C73)+(D75*D73))/SUM(E$73,E$57,E$41,E$8)</f>
        <v>384.60893653763134</v>
      </c>
      <c r="Q13" s="97">
        <f>((B12*B13)+(C12*C13)+(D12*D13)+(B45*B46)+(C45*C46)+(D45*D46)+(B61*B62)+(C61*C62)+(D61*D62)+(B77*B78)+(C77*C78)+(D77*D78))/SUM(E$12,E$45,E$61,E$77)</f>
        <v>170.38159104429181</v>
      </c>
      <c r="R13" s="7">
        <f>SUM(E14,E47,E63,E79)</f>
        <v>1323</v>
      </c>
      <c r="S13" s="244">
        <f>SUM(E16,E49,E65,E81)</f>
        <v>664</v>
      </c>
    </row>
    <row r="14" spans="1:19">
      <c r="A14" s="23" t="s">
        <v>383</v>
      </c>
      <c r="B14" s="129">
        <f>3+284</f>
        <v>287</v>
      </c>
      <c r="C14" s="129">
        <v>305</v>
      </c>
      <c r="D14" s="129">
        <v>146</v>
      </c>
      <c r="E14" s="187">
        <f>SUM(B14:D14)</f>
        <v>738</v>
      </c>
      <c r="G14" s="23" t="s">
        <v>383</v>
      </c>
      <c r="H14" s="129"/>
      <c r="I14" s="129"/>
      <c r="J14" s="129"/>
      <c r="K14" s="456">
        <f>SUM(H14:J14)</f>
        <v>0</v>
      </c>
      <c r="M14" s="7"/>
      <c r="N14" s="7"/>
      <c r="O14" s="98">
        <f>(O13/M13)</f>
        <v>2.5157232704402517E-2</v>
      </c>
      <c r="P14" s="7"/>
      <c r="Q14" s="7"/>
      <c r="R14" s="98">
        <f>R13/M13</f>
        <v>2.6002358490566039E-2</v>
      </c>
      <c r="S14" s="98">
        <f>S13/M13</f>
        <v>1.3050314465408806E-2</v>
      </c>
    </row>
    <row r="15" spans="1:19">
      <c r="A15" s="171" t="s">
        <v>421</v>
      </c>
      <c r="B15" s="173">
        <f>B14/B4</f>
        <v>3.7973008732468908E-2</v>
      </c>
      <c r="C15" s="173">
        <f>C14/C4</f>
        <v>3.9344685242518058E-2</v>
      </c>
      <c r="D15" s="173">
        <f>D14/D4</f>
        <v>1.7372679676344597E-2</v>
      </c>
      <c r="E15" s="189">
        <f>E14/E4</f>
        <v>3.1120856877793708E-2</v>
      </c>
      <c r="G15" s="171" t="s">
        <v>421</v>
      </c>
      <c r="H15" s="173" t="e">
        <f>H14/H4</f>
        <v>#DIV/0!</v>
      </c>
      <c r="I15" s="173" t="e">
        <f>I14/I4</f>
        <v>#DIV/0!</v>
      </c>
      <c r="J15" s="173" t="e">
        <f>J14/J4</f>
        <v>#DIV/0!</v>
      </c>
      <c r="K15" s="458" t="e">
        <f>K14/K4</f>
        <v>#DIV/0!</v>
      </c>
    </row>
    <row r="16" spans="1:19">
      <c r="A16" s="23" t="s">
        <v>1</v>
      </c>
      <c r="B16" s="147">
        <v>54</v>
      </c>
      <c r="C16" s="129">
        <v>47</v>
      </c>
      <c r="D16" s="129">
        <v>55</v>
      </c>
      <c r="E16" s="187">
        <f>SUM(B16:D16)</f>
        <v>156</v>
      </c>
      <c r="G16" s="23" t="s">
        <v>1</v>
      </c>
      <c r="H16" s="129"/>
      <c r="I16" s="129"/>
      <c r="J16" s="129"/>
      <c r="K16" s="456">
        <f>SUM(H16:J16)</f>
        <v>0</v>
      </c>
    </row>
    <row r="17" spans="1:15" ht="15" customHeight="1">
      <c r="A17" s="171" t="s">
        <v>422</v>
      </c>
      <c r="B17" s="173">
        <f>B16/B4</f>
        <v>7.1447472876422337E-3</v>
      </c>
      <c r="C17" s="173">
        <f>C16/C4</f>
        <v>6.0629514963880292E-3</v>
      </c>
      <c r="D17" s="173">
        <f>D16/D4</f>
        <v>6.5445026178010471E-3</v>
      </c>
      <c r="E17" s="189">
        <f>E16/E4</f>
        <v>6.5783925107531418E-3</v>
      </c>
      <c r="G17" s="171" t="s">
        <v>422</v>
      </c>
      <c r="H17" s="173" t="e">
        <f>H16/H4</f>
        <v>#DIV/0!</v>
      </c>
      <c r="I17" s="173" t="e">
        <f>I16/I4</f>
        <v>#DIV/0!</v>
      </c>
      <c r="J17" s="173" t="e">
        <f>J16/J4</f>
        <v>#DIV/0!</v>
      </c>
      <c r="K17" s="458" t="e">
        <f>K16/K4</f>
        <v>#DIV/0!</v>
      </c>
      <c r="O17" s="139"/>
    </row>
    <row r="18" spans="1:15" s="2" customFormat="1" ht="15" customHeight="1">
      <c r="A18" s="2784" t="s">
        <v>611</v>
      </c>
      <c r="B18" s="1102"/>
      <c r="C18" s="1102"/>
      <c r="D18" s="1102"/>
      <c r="E18" s="1103"/>
      <c r="F18" s="23"/>
      <c r="G18" s="2784" t="s">
        <v>611</v>
      </c>
      <c r="H18" s="1102"/>
      <c r="I18" s="1102"/>
      <c r="J18" s="1102"/>
      <c r="K18" s="1099"/>
      <c r="O18" s="72"/>
    </row>
    <row r="19" spans="1:15" s="2" customFormat="1" ht="15" customHeight="1">
      <c r="A19" s="2785"/>
      <c r="B19" s="1102"/>
      <c r="C19" s="1102"/>
      <c r="D19" s="1102"/>
      <c r="E19" s="1103"/>
      <c r="F19" s="23"/>
      <c r="G19" s="2785"/>
      <c r="H19" s="1102"/>
      <c r="I19" s="1102"/>
      <c r="J19" s="1102"/>
      <c r="K19" s="1099"/>
      <c r="O19" s="72"/>
    </row>
    <row r="20" spans="1:15" ht="15" customHeight="1">
      <c r="A20" s="23" t="s">
        <v>382</v>
      </c>
      <c r="B20" s="147">
        <v>1713</v>
      </c>
      <c r="C20" s="129">
        <v>2067</v>
      </c>
      <c r="D20" s="129">
        <v>2197</v>
      </c>
      <c r="E20" s="187">
        <f>SUM(B20:D20)</f>
        <v>5977</v>
      </c>
      <c r="G20" s="23" t="s">
        <v>382</v>
      </c>
      <c r="H20" s="129"/>
      <c r="I20" s="129"/>
      <c r="J20" s="129"/>
      <c r="K20" s="456">
        <f>SUM(H20:J20)</f>
        <v>0</v>
      </c>
      <c r="O20" s="135"/>
    </row>
    <row r="21" spans="1:15" ht="15" customHeight="1">
      <c r="A21" s="23" t="s">
        <v>141</v>
      </c>
      <c r="B21" s="85"/>
      <c r="C21" s="148"/>
      <c r="D21" s="148"/>
      <c r="E21" s="188">
        <f>((B21*B20)+(C21*C20)+(D21*D20))/SUM(B20:D20)</f>
        <v>0</v>
      </c>
      <c r="G21" s="23" t="s">
        <v>141</v>
      </c>
      <c r="H21" s="148"/>
      <c r="I21" s="148"/>
      <c r="J21" s="148"/>
      <c r="K21" s="457" t="e">
        <f>SUMPRODUCT(H21:J21,H20:J20)/SUM(H20:J20)</f>
        <v>#DIV/0!</v>
      </c>
      <c r="O21" s="139"/>
    </row>
    <row r="22" spans="1:15" ht="15" customHeight="1">
      <c r="A22" s="23" t="s">
        <v>160</v>
      </c>
      <c r="B22" s="147"/>
      <c r="C22" s="129"/>
      <c r="D22" s="129"/>
      <c r="E22" s="187">
        <f>SUM(B22:D22)</f>
        <v>0</v>
      </c>
      <c r="G22" s="23" t="s">
        <v>160</v>
      </c>
      <c r="H22" s="129"/>
      <c r="I22" s="129"/>
      <c r="J22" s="129"/>
      <c r="K22" s="456">
        <f>SUM(H22:J22)</f>
        <v>0</v>
      </c>
    </row>
    <row r="23" spans="1:15" ht="15" customHeight="1">
      <c r="A23" s="171" t="s">
        <v>161</v>
      </c>
      <c r="B23" s="173">
        <f>B22/B20</f>
        <v>0</v>
      </c>
      <c r="C23" s="173">
        <f>C22/C20</f>
        <v>0</v>
      </c>
      <c r="D23" s="173">
        <f>D22/D20</f>
        <v>0</v>
      </c>
      <c r="E23" s="189">
        <f>E22/E20</f>
        <v>0</v>
      </c>
      <c r="G23" s="171" t="s">
        <v>161</v>
      </c>
      <c r="H23" s="173" t="e">
        <f>H22/H20</f>
        <v>#DIV/0!</v>
      </c>
      <c r="I23" s="173" t="e">
        <f>I22/I20</f>
        <v>#DIV/0!</v>
      </c>
      <c r="J23" s="173" t="e">
        <f>J22/J20</f>
        <v>#DIV/0!</v>
      </c>
      <c r="K23" s="458" t="e">
        <f>K22/K20</f>
        <v>#DIV/0!</v>
      </c>
    </row>
    <row r="24" spans="1:15" ht="15" customHeight="1">
      <c r="A24" s="23" t="s">
        <v>142</v>
      </c>
      <c r="B24" s="147"/>
      <c r="C24" s="129"/>
      <c r="D24" s="129"/>
      <c r="E24" s="187">
        <f>SUM(B24:D24)</f>
        <v>0</v>
      </c>
      <c r="G24" s="23" t="s">
        <v>142</v>
      </c>
      <c r="H24" s="129"/>
      <c r="I24" s="129"/>
      <c r="J24" s="129"/>
      <c r="K24" s="456">
        <f>SUM(H24:J24)</f>
        <v>0</v>
      </c>
    </row>
    <row r="25" spans="1:15" ht="15" customHeight="1">
      <c r="A25" s="171" t="s">
        <v>420</v>
      </c>
      <c r="B25" s="172">
        <f>B24/B20</f>
        <v>0</v>
      </c>
      <c r="C25" s="172">
        <f>C24/C20</f>
        <v>0</v>
      </c>
      <c r="D25" s="172">
        <f>D24/D20</f>
        <v>0</v>
      </c>
      <c r="E25" s="190">
        <f>E24/E20</f>
        <v>0</v>
      </c>
      <c r="G25" s="171" t="s">
        <v>420</v>
      </c>
      <c r="H25" s="172" t="e">
        <f>H24/H20</f>
        <v>#DIV/0!</v>
      </c>
      <c r="I25" s="172" t="e">
        <f>I24/I20</f>
        <v>#DIV/0!</v>
      </c>
      <c r="J25" s="172" t="e">
        <f>J24/J20</f>
        <v>#DIV/0!</v>
      </c>
      <c r="K25" s="459" t="e">
        <f>K24/K20</f>
        <v>#DIV/0!</v>
      </c>
    </row>
    <row r="26" spans="1:15" ht="15" customHeight="1">
      <c r="A26" s="23" t="s">
        <v>143</v>
      </c>
      <c r="B26" s="85"/>
      <c r="C26" s="148"/>
      <c r="D26" s="148"/>
      <c r="E26" s="191" t="e">
        <f>((B26*B24)+(C26*C24)+(D26*D24))/SUM(B24:D24)</f>
        <v>#DIV/0!</v>
      </c>
      <c r="G26" s="23" t="s">
        <v>143</v>
      </c>
      <c r="H26" s="148"/>
      <c r="I26" s="148"/>
      <c r="J26" s="148"/>
      <c r="K26" s="460">
        <f>SUM(H26:J26)</f>
        <v>0</v>
      </c>
    </row>
    <row r="27" spans="1:15" ht="15" customHeight="1">
      <c r="A27" s="171" t="s">
        <v>419</v>
      </c>
      <c r="B27" s="172">
        <f>B28/B20</f>
        <v>0</v>
      </c>
      <c r="C27" s="172">
        <f>C28/C20</f>
        <v>0</v>
      </c>
      <c r="D27" s="172">
        <f>D28/D20</f>
        <v>0</v>
      </c>
      <c r="E27" s="190">
        <f>E28/E20</f>
        <v>0</v>
      </c>
      <c r="G27" s="171" t="s">
        <v>419</v>
      </c>
      <c r="H27" s="172" t="e">
        <f>H28/H20</f>
        <v>#DIV/0!</v>
      </c>
      <c r="I27" s="172" t="e">
        <f>I28/I20</f>
        <v>#DIV/0!</v>
      </c>
      <c r="J27" s="172" t="e">
        <f>J28/J20</f>
        <v>#DIV/0!</v>
      </c>
      <c r="K27" s="459" t="e">
        <f>K28/K20</f>
        <v>#DIV/0!</v>
      </c>
    </row>
    <row r="28" spans="1:15" ht="15" customHeight="1">
      <c r="A28" s="23" t="s">
        <v>144</v>
      </c>
      <c r="B28" s="129"/>
      <c r="C28" s="129"/>
      <c r="D28" s="129"/>
      <c r="E28" s="188">
        <f>SUM(B28:D28)</f>
        <v>0</v>
      </c>
      <c r="G28" s="23" t="s">
        <v>144</v>
      </c>
      <c r="H28" s="155"/>
      <c r="I28" s="155"/>
      <c r="J28" s="155"/>
      <c r="K28" s="461">
        <f>SUM(H28:J28)</f>
        <v>0</v>
      </c>
    </row>
    <row r="29" spans="1:15" ht="15" customHeight="1">
      <c r="A29" s="23" t="s">
        <v>145</v>
      </c>
      <c r="B29" s="148"/>
      <c r="C29" s="148"/>
      <c r="D29" s="148"/>
      <c r="E29" s="188" t="e">
        <f>((B29*B28)+(C29*C28)+(D29*D28))/SUM(B28:D28)</f>
        <v>#DIV/0!</v>
      </c>
      <c r="G29" s="23" t="s">
        <v>145</v>
      </c>
      <c r="H29" s="148"/>
      <c r="I29" s="148"/>
      <c r="J29" s="148"/>
      <c r="K29" s="461" t="e">
        <f>SUMPRODUCT(H29:J29,H28:J28)/SUM(H28:J28)</f>
        <v>#DIV/0!</v>
      </c>
    </row>
    <row r="30" spans="1:15" ht="15" customHeight="1">
      <c r="A30" s="23" t="s">
        <v>383</v>
      </c>
      <c r="B30" s="129"/>
      <c r="C30" s="129"/>
      <c r="D30" s="129"/>
      <c r="E30" s="187">
        <f>SUM(B30:D30)</f>
        <v>0</v>
      </c>
      <c r="G30" s="23" t="s">
        <v>383</v>
      </c>
      <c r="H30" s="129"/>
      <c r="I30" s="129"/>
      <c r="J30" s="129"/>
      <c r="K30" s="456">
        <f>SUM(H30:J30)</f>
        <v>0</v>
      </c>
    </row>
    <row r="31" spans="1:15" ht="15" customHeight="1">
      <c r="A31" s="171" t="s">
        <v>421</v>
      </c>
      <c r="B31" s="173">
        <f>B30/B20</f>
        <v>0</v>
      </c>
      <c r="C31" s="173">
        <f>C30/C20</f>
        <v>0</v>
      </c>
      <c r="D31" s="173">
        <f>D30/D20</f>
        <v>0</v>
      </c>
      <c r="E31" s="189">
        <f>E30/E20</f>
        <v>0</v>
      </c>
      <c r="G31" s="171" t="s">
        <v>421</v>
      </c>
      <c r="H31" s="173" t="e">
        <f>H30/H20</f>
        <v>#DIV/0!</v>
      </c>
      <c r="I31" s="173" t="e">
        <f>I30/I20</f>
        <v>#DIV/0!</v>
      </c>
      <c r="J31" s="173" t="e">
        <f>J30/J20</f>
        <v>#DIV/0!</v>
      </c>
      <c r="K31" s="458" t="e">
        <f>K30/K20</f>
        <v>#DIV/0!</v>
      </c>
    </row>
    <row r="32" spans="1:15" ht="15" customHeight="1">
      <c r="A32" s="23" t="s">
        <v>1</v>
      </c>
      <c r="B32" s="147"/>
      <c r="C32" s="129"/>
      <c r="D32" s="129"/>
      <c r="E32" s="187">
        <f>SUM(B32:D32)</f>
        <v>0</v>
      </c>
      <c r="G32" s="23" t="s">
        <v>1</v>
      </c>
      <c r="H32" s="129"/>
      <c r="I32" s="129"/>
      <c r="J32" s="129"/>
      <c r="K32" s="456">
        <f>SUM(H32:J32)</f>
        <v>0</v>
      </c>
    </row>
    <row r="33" spans="1:11" ht="15" customHeight="1">
      <c r="A33" s="171" t="s">
        <v>422</v>
      </c>
      <c r="B33" s="173">
        <f>B32/B20</f>
        <v>0</v>
      </c>
      <c r="C33" s="173">
        <f>C32/C20</f>
        <v>0</v>
      </c>
      <c r="D33" s="173">
        <f>D32/D20</f>
        <v>0</v>
      </c>
      <c r="E33" s="189">
        <f>E32/E20</f>
        <v>0</v>
      </c>
      <c r="G33" s="171" t="s">
        <v>422</v>
      </c>
      <c r="H33" s="173" t="e">
        <f>H32/H20</f>
        <v>#DIV/0!</v>
      </c>
      <c r="I33" s="173" t="e">
        <f>I32/I20</f>
        <v>#DIV/0!</v>
      </c>
      <c r="J33" s="173" t="e">
        <f>J32/J20</f>
        <v>#DIV/0!</v>
      </c>
      <c r="K33" s="458" t="e">
        <f>K32/K20</f>
        <v>#DIV/0!</v>
      </c>
    </row>
    <row r="34" spans="1:11" ht="15" customHeight="1">
      <c r="A34" s="2"/>
      <c r="B34" s="130"/>
      <c r="C34" s="130"/>
      <c r="D34" s="130"/>
      <c r="E34" s="1006"/>
      <c r="F34" s="2"/>
      <c r="G34" s="2"/>
      <c r="H34" s="130"/>
      <c r="I34" s="130"/>
      <c r="J34" s="130"/>
      <c r="K34" s="1007"/>
    </row>
    <row r="35" spans="1:11" ht="15" customHeight="1">
      <c r="A35" s="2784" t="s">
        <v>146</v>
      </c>
      <c r="B35" s="1104"/>
      <c r="C35" s="1104"/>
      <c r="D35" s="1104"/>
      <c r="E35" s="1105"/>
      <c r="G35" s="2784" t="s">
        <v>146</v>
      </c>
      <c r="H35" s="1104"/>
      <c r="I35" s="1104"/>
      <c r="J35" s="1104"/>
      <c r="K35" s="1107"/>
    </row>
    <row r="36" spans="1:11" ht="15" customHeight="1">
      <c r="A36" s="2785"/>
      <c r="B36" s="1102"/>
      <c r="C36" s="1102"/>
      <c r="D36" s="1102"/>
      <c r="E36" s="1106"/>
      <c r="G36" s="2785"/>
      <c r="H36" s="1102"/>
      <c r="I36" s="1102"/>
      <c r="J36" s="1102"/>
      <c r="K36" s="1099"/>
    </row>
    <row r="37" spans="1:11" ht="15" customHeight="1">
      <c r="A37" s="23" t="s">
        <v>57</v>
      </c>
      <c r="B37" s="147">
        <v>7515</v>
      </c>
      <c r="C37" s="129">
        <v>7460</v>
      </c>
      <c r="D37" s="129">
        <v>8153</v>
      </c>
      <c r="E37" s="187">
        <f>SUM(B37:D37)</f>
        <v>23128</v>
      </c>
      <c r="G37" s="23" t="s">
        <v>57</v>
      </c>
      <c r="H37" s="147"/>
      <c r="I37" s="147"/>
      <c r="J37" s="147"/>
      <c r="K37" s="462">
        <f>SUM(H37:J37)</f>
        <v>0</v>
      </c>
    </row>
    <row r="38" spans="1:11" ht="15" customHeight="1">
      <c r="A38" s="23" t="s">
        <v>141</v>
      </c>
      <c r="B38" s="85">
        <v>10</v>
      </c>
      <c r="C38" s="148">
        <v>9</v>
      </c>
      <c r="D38" s="148">
        <v>10</v>
      </c>
      <c r="E38" s="188">
        <f>((B38*B37)+(C38*C37)+(D38*D37))/SUM(B37:D37)</f>
        <v>9.677447250086475</v>
      </c>
      <c r="G38" s="23" t="s">
        <v>141</v>
      </c>
      <c r="H38" s="148"/>
      <c r="I38" s="148"/>
      <c r="J38" s="148"/>
      <c r="K38" s="457" t="e">
        <f>SUMPRODUCT(H38:J38,H37:J37)/SUM(H37:J37)</f>
        <v>#DIV/0!</v>
      </c>
    </row>
    <row r="39" spans="1:11" ht="15" customHeight="1">
      <c r="A39" s="23" t="s">
        <v>160</v>
      </c>
      <c r="B39" s="147">
        <v>303</v>
      </c>
      <c r="C39" s="129">
        <v>308</v>
      </c>
      <c r="D39" s="129">
        <v>143</v>
      </c>
      <c r="E39" s="187">
        <f>SUM(B39:D39)</f>
        <v>754</v>
      </c>
      <c r="G39" s="23" t="s">
        <v>160</v>
      </c>
      <c r="H39" s="129"/>
      <c r="I39" s="129"/>
      <c r="J39" s="129"/>
      <c r="K39" s="456">
        <f>SUM(H39:J39)</f>
        <v>0</v>
      </c>
    </row>
    <row r="40" spans="1:11" ht="15" customHeight="1">
      <c r="A40" s="171" t="s">
        <v>161</v>
      </c>
      <c r="B40" s="173">
        <f>B39/B37</f>
        <v>4.0319361277445107E-2</v>
      </c>
      <c r="C40" s="173">
        <f>C39/C37</f>
        <v>4.1286863270777477E-2</v>
      </c>
      <c r="D40" s="173">
        <f>D39/D37</f>
        <v>1.7539555991659513E-2</v>
      </c>
      <c r="E40" s="194">
        <f>E39/E37</f>
        <v>3.26011760636458E-2</v>
      </c>
      <c r="G40" s="171" t="s">
        <v>161</v>
      </c>
      <c r="H40" s="173" t="e">
        <f>H39/H37</f>
        <v>#DIV/0!</v>
      </c>
      <c r="I40" s="173" t="e">
        <f>I39/I37</f>
        <v>#DIV/0!</v>
      </c>
      <c r="J40" s="173" t="e">
        <f>J39/J37</f>
        <v>#DIV/0!</v>
      </c>
      <c r="K40" s="458" t="e">
        <f>K39/K37</f>
        <v>#DIV/0!</v>
      </c>
    </row>
    <row r="41" spans="1:11" ht="15" customHeight="1">
      <c r="A41" s="23" t="s">
        <v>142</v>
      </c>
      <c r="B41" s="147">
        <v>3008</v>
      </c>
      <c r="C41" s="129">
        <v>2853</v>
      </c>
      <c r="D41" s="129">
        <v>3055</v>
      </c>
      <c r="E41" s="187">
        <f>SUM(B41:D41)</f>
        <v>8916</v>
      </c>
      <c r="G41" s="23" t="s">
        <v>142</v>
      </c>
      <c r="H41" s="129"/>
      <c r="I41" s="129"/>
      <c r="J41" s="129"/>
      <c r="K41" s="456">
        <f>SUM(H41:J41)</f>
        <v>0</v>
      </c>
    </row>
    <row r="42" spans="1:11" ht="15" customHeight="1">
      <c r="A42" s="171" t="s">
        <v>420</v>
      </c>
      <c r="B42" s="172">
        <f>B41/B37</f>
        <v>0.4002661343978709</v>
      </c>
      <c r="C42" s="172">
        <f>C41/C37</f>
        <v>0.38243967828418229</v>
      </c>
      <c r="D42" s="172">
        <f>D41/D37</f>
        <v>0.37470869618545322</v>
      </c>
      <c r="E42" s="189">
        <f>E41/E37</f>
        <v>0.38550674507090971</v>
      </c>
      <c r="G42" s="171" t="s">
        <v>420</v>
      </c>
      <c r="H42" s="172" t="e">
        <f>H41/H37</f>
        <v>#DIV/0!</v>
      </c>
      <c r="I42" s="172" t="e">
        <f>I41/I37</f>
        <v>#DIV/0!</v>
      </c>
      <c r="J42" s="172" t="e">
        <f>J41/J37</f>
        <v>#DIV/0!</v>
      </c>
      <c r="K42" s="458" t="e">
        <f>K41/K37</f>
        <v>#DIV/0!</v>
      </c>
    </row>
    <row r="43" spans="1:11" ht="15" customHeight="1">
      <c r="A43" s="23" t="s">
        <v>143</v>
      </c>
      <c r="B43" s="85">
        <v>352</v>
      </c>
      <c r="C43" s="148">
        <v>392</v>
      </c>
      <c r="D43" s="148">
        <v>367</v>
      </c>
      <c r="E43" s="191">
        <f>((B43*B41)+(C43*C41)+(D43*D41))/SUM(B41:D41)</f>
        <v>369.93909825033649</v>
      </c>
      <c r="G43" s="23" t="s">
        <v>143</v>
      </c>
      <c r="H43" s="148"/>
      <c r="I43" s="148"/>
      <c r="J43" s="148"/>
      <c r="K43" s="460">
        <f>SUM(H43:J43)</f>
        <v>0</v>
      </c>
    </row>
    <row r="44" spans="1:11" ht="15" customHeight="1">
      <c r="A44" s="171" t="s">
        <v>419</v>
      </c>
      <c r="B44" s="172">
        <f>B45/B37</f>
        <v>0.59973386560212905</v>
      </c>
      <c r="C44" s="172">
        <f>C45/C37</f>
        <v>0.61756032171581765</v>
      </c>
      <c r="D44" s="172">
        <f>D45/D37</f>
        <v>0.62529130381454678</v>
      </c>
      <c r="E44" s="189">
        <f>E45/E37</f>
        <v>0.61449325492909024</v>
      </c>
      <c r="G44" s="171" t="s">
        <v>419</v>
      </c>
      <c r="H44" s="172" t="e">
        <f>H45/H37</f>
        <v>#DIV/0!</v>
      </c>
      <c r="I44" s="172" t="e">
        <f>I45/I37</f>
        <v>#DIV/0!</v>
      </c>
      <c r="J44" s="172" t="e">
        <f>J45/J37</f>
        <v>#DIV/0!</v>
      </c>
      <c r="K44" s="458" t="e">
        <f>K45/K37</f>
        <v>#DIV/0!</v>
      </c>
    </row>
    <row r="45" spans="1:11" ht="15" customHeight="1">
      <c r="A45" s="23" t="s">
        <v>144</v>
      </c>
      <c r="B45" s="129">
        <f>B37-B41</f>
        <v>4507</v>
      </c>
      <c r="C45" s="129">
        <f>C37-C41</f>
        <v>4607</v>
      </c>
      <c r="D45" s="129">
        <f>D37-D41</f>
        <v>5098</v>
      </c>
      <c r="E45" s="192">
        <f>SUM(B45:D45)</f>
        <v>14212</v>
      </c>
      <c r="G45" s="23" t="s">
        <v>144</v>
      </c>
      <c r="H45" s="129"/>
      <c r="I45" s="129"/>
      <c r="J45" s="129"/>
      <c r="K45" s="463">
        <f>SUM(H45:J45)</f>
        <v>0</v>
      </c>
    </row>
    <row r="46" spans="1:11" ht="15" customHeight="1">
      <c r="A46" s="23" t="s">
        <v>145</v>
      </c>
      <c r="B46" s="148">
        <v>165</v>
      </c>
      <c r="C46" s="148">
        <v>175</v>
      </c>
      <c r="D46" s="148">
        <v>177</v>
      </c>
      <c r="E46" s="188">
        <f>((B46*B45)+(C46*C45)+(D46*D45))/SUM(B45:D45)</f>
        <v>172.54615817618912</v>
      </c>
      <c r="G46" s="23" t="s">
        <v>145</v>
      </c>
      <c r="H46" s="148"/>
      <c r="I46" s="148"/>
      <c r="J46" s="148"/>
      <c r="K46" s="461" t="e">
        <f>SUMPRODUCT(H46:J46,H45:J45)/SUM(H45:J45)</f>
        <v>#DIV/0!</v>
      </c>
    </row>
    <row r="47" spans="1:11" ht="15" customHeight="1">
      <c r="A47" s="23" t="s">
        <v>383</v>
      </c>
      <c r="B47" s="129">
        <f>3+88</f>
        <v>91</v>
      </c>
      <c r="C47" s="129">
        <v>180</v>
      </c>
      <c r="D47" s="129">
        <v>304</v>
      </c>
      <c r="E47" s="187">
        <f>SUM(B47:D47)</f>
        <v>575</v>
      </c>
      <c r="G47" s="23" t="s">
        <v>383</v>
      </c>
      <c r="H47" s="129"/>
      <c r="I47" s="129"/>
      <c r="J47" s="129"/>
      <c r="K47" s="456">
        <f>SUM(H47:J47)</f>
        <v>0</v>
      </c>
    </row>
    <row r="48" spans="1:11" ht="15" customHeight="1">
      <c r="A48" s="174" t="s">
        <v>421</v>
      </c>
      <c r="B48" s="173">
        <f>B47/B37</f>
        <v>1.210911510312708E-2</v>
      </c>
      <c r="C48" s="173">
        <f>C47/C37</f>
        <v>2.4128686327077747E-2</v>
      </c>
      <c r="D48" s="173">
        <f>D47/D37</f>
        <v>3.7286888261989455E-2</v>
      </c>
      <c r="E48" s="193">
        <f>E47/E37</f>
        <v>2.4861639571082672E-2</v>
      </c>
      <c r="G48" s="174" t="s">
        <v>421</v>
      </c>
      <c r="H48" s="173" t="e">
        <f>H47/H37</f>
        <v>#DIV/0!</v>
      </c>
      <c r="I48" s="173" t="e">
        <f>I47/I37</f>
        <v>#DIV/0!</v>
      </c>
      <c r="J48" s="173" t="e">
        <f>J47/J37</f>
        <v>#DIV/0!</v>
      </c>
      <c r="K48" s="464" t="e">
        <f>K47/K37</f>
        <v>#DIV/0!</v>
      </c>
    </row>
    <row r="49" spans="1:11" ht="15" customHeight="1">
      <c r="A49" s="954" t="s">
        <v>1</v>
      </c>
      <c r="B49" s="147">
        <v>129</v>
      </c>
      <c r="C49" s="129">
        <v>177</v>
      </c>
      <c r="D49" s="129">
        <v>155</v>
      </c>
      <c r="E49" s="187">
        <f>SUM(B49:D49)</f>
        <v>461</v>
      </c>
      <c r="G49" s="954" t="s">
        <v>1</v>
      </c>
      <c r="H49" s="129"/>
      <c r="I49" s="129"/>
      <c r="J49" s="129"/>
      <c r="K49" s="456">
        <f>SUM(H49:J49)</f>
        <v>0</v>
      </c>
    </row>
    <row r="50" spans="1:11" ht="15" customHeight="1">
      <c r="A50" s="174" t="s">
        <v>422</v>
      </c>
      <c r="B50" s="173">
        <f>B49/B37</f>
        <v>1.716566866267465E-2</v>
      </c>
      <c r="C50" s="173">
        <f>C49/C37</f>
        <v>2.3726541554959787E-2</v>
      </c>
      <c r="D50" s="173">
        <f>D49/D37</f>
        <v>1.9011406844106463E-2</v>
      </c>
      <c r="E50" s="193">
        <f>E49/E37</f>
        <v>1.9932549290902803E-2</v>
      </c>
      <c r="G50" s="174" t="s">
        <v>422</v>
      </c>
      <c r="H50" s="173" t="e">
        <f>H49/H37</f>
        <v>#DIV/0!</v>
      </c>
      <c r="I50" s="173" t="e">
        <f>I49/I37</f>
        <v>#DIV/0!</v>
      </c>
      <c r="J50" s="173" t="e">
        <f>J49/J37</f>
        <v>#DIV/0!</v>
      </c>
      <c r="K50" s="464" t="e">
        <f>K49/K37</f>
        <v>#DIV/0!</v>
      </c>
    </row>
    <row r="51" spans="1:11" ht="15" customHeight="1">
      <c r="A51" s="2784" t="s">
        <v>41</v>
      </c>
      <c r="B51" s="1104"/>
      <c r="C51" s="1104"/>
      <c r="D51" s="1104"/>
      <c r="E51" s="1105"/>
      <c r="G51" s="2784" t="s">
        <v>41</v>
      </c>
      <c r="H51" s="1104"/>
      <c r="I51" s="1104"/>
      <c r="J51" s="1104"/>
      <c r="K51" s="1107"/>
    </row>
    <row r="52" spans="1:11" ht="15" customHeight="1">
      <c r="A52" s="2785"/>
      <c r="B52" s="1102"/>
      <c r="C52" s="1102"/>
      <c r="D52" s="1102"/>
      <c r="E52" s="1106"/>
      <c r="G52" s="2785"/>
      <c r="H52" s="1102"/>
      <c r="I52" s="1102"/>
      <c r="J52" s="1102"/>
      <c r="K52" s="1099"/>
    </row>
    <row r="53" spans="1:11" ht="15" customHeight="1">
      <c r="A53" s="23" t="s">
        <v>57</v>
      </c>
      <c r="B53" s="147">
        <v>863</v>
      </c>
      <c r="C53" s="129">
        <v>827</v>
      </c>
      <c r="D53" s="129">
        <v>806</v>
      </c>
      <c r="E53" s="187">
        <f>SUM(B53:D53)</f>
        <v>2496</v>
      </c>
      <c r="G53" s="23" t="s">
        <v>57</v>
      </c>
      <c r="H53" s="129"/>
      <c r="I53" s="129"/>
      <c r="J53" s="129"/>
      <c r="K53" s="456">
        <f>SUM(H53:J53)</f>
        <v>0</v>
      </c>
    </row>
    <row r="54" spans="1:11" ht="15" customHeight="1">
      <c r="A54" s="23" t="s">
        <v>141</v>
      </c>
      <c r="B54" s="85">
        <v>9</v>
      </c>
      <c r="C54" s="148">
        <v>9</v>
      </c>
      <c r="D54" s="148">
        <v>8</v>
      </c>
      <c r="E54" s="188">
        <f>((B54*B53)+(C54*C53)+(D54*D53))/SUM(B53:D53)</f>
        <v>8.6770833333333339</v>
      </c>
      <c r="G54" s="23" t="s">
        <v>141</v>
      </c>
      <c r="H54" s="148"/>
      <c r="I54" s="148"/>
      <c r="J54" s="148"/>
      <c r="K54" s="457" t="e">
        <f>SUMPRODUCT(H54:J54,H53:J53)/SUM(H53:J53)</f>
        <v>#DIV/0!</v>
      </c>
    </row>
    <row r="55" spans="1:11" ht="15" customHeight="1">
      <c r="A55" s="23" t="s">
        <v>160</v>
      </c>
      <c r="B55" s="147">
        <v>26</v>
      </c>
      <c r="C55" s="129">
        <v>20</v>
      </c>
      <c r="D55" s="129">
        <v>10</v>
      </c>
      <c r="E55" s="187">
        <f>SUM(B55:D55)</f>
        <v>56</v>
      </c>
      <c r="G55" s="23" t="s">
        <v>160</v>
      </c>
      <c r="H55" s="129"/>
      <c r="I55" s="129"/>
      <c r="J55" s="129"/>
      <c r="K55" s="456">
        <f>SUM(H55:J55)</f>
        <v>0</v>
      </c>
    </row>
    <row r="56" spans="1:11" ht="15" customHeight="1">
      <c r="A56" s="171" t="s">
        <v>161</v>
      </c>
      <c r="B56" s="173">
        <f>B55/B53</f>
        <v>3.0127462340672075E-2</v>
      </c>
      <c r="C56" s="173">
        <f>C55/C53</f>
        <v>2.4183796856106408E-2</v>
      </c>
      <c r="D56" s="173">
        <f>D55/D53</f>
        <v>1.2406947890818859E-2</v>
      </c>
      <c r="E56" s="193">
        <f>E55/E53</f>
        <v>2.2435897435897436E-2</v>
      </c>
      <c r="G56" s="171" t="s">
        <v>161</v>
      </c>
      <c r="H56" s="173">
        <f>'JV DATA YTD'!K39</f>
        <v>0</v>
      </c>
      <c r="I56" s="173">
        <f>'JV DATA YTD'!L39</f>
        <v>0</v>
      </c>
      <c r="J56" s="173">
        <f>'JV DATA YTD'!M39</f>
        <v>0</v>
      </c>
      <c r="K56" s="458" t="e">
        <f>K55/K53</f>
        <v>#DIV/0!</v>
      </c>
    </row>
    <row r="57" spans="1:11" ht="15" customHeight="1">
      <c r="A57" s="23" t="s">
        <v>142</v>
      </c>
      <c r="B57" s="147">
        <v>100</v>
      </c>
      <c r="C57" s="129">
        <v>88</v>
      </c>
      <c r="D57" s="129">
        <v>74</v>
      </c>
      <c r="E57" s="187">
        <f>SUM(B57:D57)</f>
        <v>262</v>
      </c>
      <c r="G57" s="23" t="s">
        <v>142</v>
      </c>
      <c r="H57" s="129"/>
      <c r="I57" s="129"/>
      <c r="J57" s="129"/>
      <c r="K57" s="456">
        <f>SUM(H57:J57)</f>
        <v>0</v>
      </c>
    </row>
    <row r="58" spans="1:11" ht="15" customHeight="1">
      <c r="A58" s="171" t="s">
        <v>420</v>
      </c>
      <c r="B58" s="173">
        <f>B57/B53</f>
        <v>0.11587485515643106</v>
      </c>
      <c r="C58" s="173">
        <f>C57/C53</f>
        <v>0.10640870616686819</v>
      </c>
      <c r="D58" s="173">
        <f>D57/D53</f>
        <v>9.1811414392059559E-2</v>
      </c>
      <c r="E58" s="194">
        <f>E57/E53</f>
        <v>0.10496794871794872</v>
      </c>
      <c r="G58" s="171" t="s">
        <v>420</v>
      </c>
      <c r="H58" s="173">
        <f>'JV DATA YTD'!K41</f>
        <v>0</v>
      </c>
      <c r="I58" s="173">
        <f>'JV DATA YTD'!L41</f>
        <v>0</v>
      </c>
      <c r="J58" s="173">
        <f>'JV DATA YTD'!M41</f>
        <v>0</v>
      </c>
      <c r="K58" s="458" t="e">
        <f>K57/K53</f>
        <v>#DIV/0!</v>
      </c>
    </row>
    <row r="59" spans="1:11" ht="15" customHeight="1">
      <c r="A59" s="23" t="s">
        <v>143</v>
      </c>
      <c r="B59" s="85">
        <v>269</v>
      </c>
      <c r="C59" s="148">
        <v>270</v>
      </c>
      <c r="D59" s="148">
        <v>279</v>
      </c>
      <c r="E59" s="188">
        <f>((B59*B57)+(C59*C57)+(D59*D57))/SUM(B57:D57)</f>
        <v>272.16030534351142</v>
      </c>
      <c r="G59" s="23" t="s">
        <v>143</v>
      </c>
      <c r="H59" s="148"/>
      <c r="I59" s="148"/>
      <c r="J59" s="148"/>
      <c r="K59" s="460">
        <f>SUM(H59:J59)</f>
        <v>0</v>
      </c>
    </row>
    <row r="60" spans="1:11" ht="15" customHeight="1">
      <c r="A60" s="171" t="s">
        <v>419</v>
      </c>
      <c r="B60" s="172">
        <f>B61/B53</f>
        <v>0.88412514484356897</v>
      </c>
      <c r="C60" s="172">
        <f>C61/C53</f>
        <v>0.89359129383313185</v>
      </c>
      <c r="D60" s="172">
        <f>D61/D53</f>
        <v>0.90818858560794047</v>
      </c>
      <c r="E60" s="189">
        <f>E61/E53</f>
        <v>0.89503205128205132</v>
      </c>
      <c r="G60" s="171" t="s">
        <v>419</v>
      </c>
      <c r="H60" s="172">
        <f>'JV DATA YTD'!K43</f>
        <v>0</v>
      </c>
      <c r="I60" s="172">
        <f>'JV DATA YTD'!L43</f>
        <v>0</v>
      </c>
      <c r="J60" s="172">
        <f>'JV DATA YTD'!M43</f>
        <v>0</v>
      </c>
      <c r="K60" s="465" t="e">
        <f>K61/K53</f>
        <v>#DIV/0!</v>
      </c>
    </row>
    <row r="61" spans="1:11" ht="15" customHeight="1">
      <c r="A61" s="2" t="s">
        <v>144</v>
      </c>
      <c r="B61" s="129">
        <f>B53-B57</f>
        <v>763</v>
      </c>
      <c r="C61" s="129">
        <f>C53-C57</f>
        <v>739</v>
      </c>
      <c r="D61" s="129">
        <f>D53-D57</f>
        <v>732</v>
      </c>
      <c r="E61" s="195">
        <f>SUM(B61:D61)</f>
        <v>2234</v>
      </c>
      <c r="G61" s="2" t="s">
        <v>144</v>
      </c>
      <c r="H61" s="129"/>
      <c r="I61" s="129"/>
      <c r="J61" s="129"/>
      <c r="K61" s="457">
        <f>SUM(H61:J61)</f>
        <v>0</v>
      </c>
    </row>
    <row r="62" spans="1:11" ht="15" customHeight="1">
      <c r="A62" s="23" t="s">
        <v>145</v>
      </c>
      <c r="B62" s="148">
        <v>92</v>
      </c>
      <c r="C62" s="148">
        <v>98</v>
      </c>
      <c r="D62" s="148">
        <v>99</v>
      </c>
      <c r="E62" s="188">
        <f>((B62*B61)+(C62*C61)+(D62*D61))/SUM(B61:D61)</f>
        <v>96.278424350940014</v>
      </c>
      <c r="G62" s="23" t="s">
        <v>145</v>
      </c>
      <c r="H62" s="148"/>
      <c r="I62" s="148"/>
      <c r="J62" s="148"/>
      <c r="K62" s="457" t="e">
        <f>SUMPRODUCT(H62:J62,H61:J61)/SUM(H61:J61)</f>
        <v>#DIV/0!</v>
      </c>
    </row>
    <row r="63" spans="1:11" ht="15" customHeight="1">
      <c r="A63" s="23" t="s">
        <v>383</v>
      </c>
      <c r="B63" s="129">
        <f>3+1</f>
        <v>4</v>
      </c>
      <c r="C63" s="129">
        <v>0</v>
      </c>
      <c r="D63" s="129">
        <v>4</v>
      </c>
      <c r="E63" s="187">
        <f>SUM(B63:D63)</f>
        <v>8</v>
      </c>
      <c r="G63" s="23" t="s">
        <v>383</v>
      </c>
      <c r="H63" s="129"/>
      <c r="I63" s="129"/>
      <c r="J63" s="129"/>
      <c r="K63" s="456">
        <f>SUM(H63:J63)</f>
        <v>0</v>
      </c>
    </row>
    <row r="64" spans="1:11" ht="15" customHeight="1">
      <c r="A64" s="174" t="s">
        <v>421</v>
      </c>
      <c r="B64" s="173">
        <f>B63/B53</f>
        <v>4.6349942062572421E-3</v>
      </c>
      <c r="C64" s="173">
        <f>C63/C53</f>
        <v>0</v>
      </c>
      <c r="D64" s="173">
        <f>D63/D53</f>
        <v>4.9627791563275434E-3</v>
      </c>
      <c r="E64" s="193">
        <f>E63/E53</f>
        <v>3.205128205128205E-3</v>
      </c>
      <c r="G64" s="174" t="s">
        <v>421</v>
      </c>
      <c r="H64" s="173" t="e">
        <f>H63/H53</f>
        <v>#DIV/0!</v>
      </c>
      <c r="I64" s="173" t="e">
        <f>I63/I53</f>
        <v>#DIV/0!</v>
      </c>
      <c r="J64" s="173" t="e">
        <f>J63/J53</f>
        <v>#DIV/0!</v>
      </c>
      <c r="K64" s="464" t="e">
        <f>K63/K53</f>
        <v>#DIV/0!</v>
      </c>
    </row>
    <row r="65" spans="1:11" ht="15" customHeight="1">
      <c r="A65" s="954" t="s">
        <v>1</v>
      </c>
      <c r="B65" s="147">
        <v>9</v>
      </c>
      <c r="C65" s="129">
        <v>9</v>
      </c>
      <c r="D65" s="129">
        <v>11</v>
      </c>
      <c r="E65" s="187">
        <f>SUM(B65:D65)</f>
        <v>29</v>
      </c>
      <c r="G65" s="954" t="s">
        <v>1</v>
      </c>
      <c r="H65" s="129"/>
      <c r="I65" s="129"/>
      <c r="J65" s="129"/>
      <c r="K65" s="456">
        <f>SUM(H65:J65)</f>
        <v>0</v>
      </c>
    </row>
    <row r="66" spans="1:11" ht="15" customHeight="1">
      <c r="A66" s="174" t="s">
        <v>422</v>
      </c>
      <c r="B66" s="173">
        <f>B65/B53</f>
        <v>1.0428736964078795E-2</v>
      </c>
      <c r="C66" s="173">
        <f>C65/C53</f>
        <v>1.0882708585247884E-2</v>
      </c>
      <c r="D66" s="173">
        <f>D65/D53</f>
        <v>1.3647642679900745E-2</v>
      </c>
      <c r="E66" s="193">
        <f>E65/E53</f>
        <v>1.1618589743589744E-2</v>
      </c>
      <c r="G66" s="174" t="s">
        <v>422</v>
      </c>
      <c r="H66" s="173" t="e">
        <f>H65/H53</f>
        <v>#DIV/0!</v>
      </c>
      <c r="I66" s="173" t="e">
        <f>I65/I53</f>
        <v>#DIV/0!</v>
      </c>
      <c r="J66" s="173" t="e">
        <f>J65/J53</f>
        <v>#DIV/0!</v>
      </c>
      <c r="K66" s="464" t="e">
        <f>K65/K53</f>
        <v>#DIV/0!</v>
      </c>
    </row>
    <row r="67" spans="1:11" ht="15" customHeight="1">
      <c r="A67" s="2784" t="s">
        <v>9</v>
      </c>
      <c r="B67" s="1104"/>
      <c r="C67" s="1104"/>
      <c r="D67" s="1104"/>
      <c r="E67" s="1105"/>
      <c r="G67" s="2784" t="s">
        <v>9</v>
      </c>
      <c r="H67" s="1104"/>
      <c r="I67" s="1104"/>
      <c r="J67" s="1104"/>
      <c r="K67" s="1107"/>
    </row>
    <row r="68" spans="1:11" ht="15" customHeight="1">
      <c r="A68" s="2785"/>
      <c r="B68" s="1108"/>
      <c r="C68" s="1108"/>
      <c r="D68" s="1108"/>
      <c r="E68" s="1106"/>
      <c r="F68" s="186"/>
      <c r="G68" s="2785"/>
      <c r="H68" s="1102"/>
      <c r="I68" s="1102"/>
      <c r="J68" s="1102"/>
      <c r="K68" s="1099"/>
    </row>
    <row r="69" spans="1:11" ht="15" customHeight="1">
      <c r="A69" s="23" t="s">
        <v>57</v>
      </c>
      <c r="B69" s="147">
        <v>469</v>
      </c>
      <c r="C69" s="129">
        <v>502</v>
      </c>
      <c r="D69" s="129">
        <v>571</v>
      </c>
      <c r="E69" s="187">
        <f>SUM(B69:D69)</f>
        <v>1542</v>
      </c>
      <c r="G69" s="23" t="s">
        <v>57</v>
      </c>
      <c r="H69" s="129"/>
      <c r="I69" s="129"/>
      <c r="J69" s="129"/>
      <c r="K69" s="456">
        <f>SUM(H69:J69)</f>
        <v>0</v>
      </c>
    </row>
    <row r="70" spans="1:11" ht="15" customHeight="1">
      <c r="A70" s="23" t="s">
        <v>141</v>
      </c>
      <c r="B70" s="85">
        <v>6</v>
      </c>
      <c r="C70" s="148">
        <v>7</v>
      </c>
      <c r="D70" s="148">
        <v>7</v>
      </c>
      <c r="E70" s="188">
        <f>((B70*B69)+(C70*C69)+(D70*D69))/SUM(B69:D69)</f>
        <v>6.6958495460440988</v>
      </c>
      <c r="G70" s="23" t="s">
        <v>141</v>
      </c>
      <c r="H70" s="148"/>
      <c r="I70" s="148"/>
      <c r="J70" s="148"/>
      <c r="K70" s="457" t="e">
        <f>SUMPRODUCT(H70:J70,H69:J69)/SUM(H69:J69)</f>
        <v>#DIV/0!</v>
      </c>
    </row>
    <row r="71" spans="1:11" ht="15" customHeight="1">
      <c r="A71" s="23" t="s">
        <v>160</v>
      </c>
      <c r="B71" s="147">
        <v>8</v>
      </c>
      <c r="C71" s="129">
        <v>2</v>
      </c>
      <c r="D71" s="129">
        <v>4</v>
      </c>
      <c r="E71" s="187">
        <f>SUM(B71:D71)</f>
        <v>14</v>
      </c>
      <c r="G71" s="23" t="s">
        <v>160</v>
      </c>
      <c r="H71" s="129"/>
      <c r="I71" s="129"/>
      <c r="J71" s="129"/>
      <c r="K71" s="456">
        <f>SUM(H71:J71)</f>
        <v>0</v>
      </c>
    </row>
    <row r="72" spans="1:11" ht="15" customHeight="1">
      <c r="A72" s="171" t="s">
        <v>161</v>
      </c>
      <c r="B72" s="173">
        <f>B71/B69</f>
        <v>1.7057569296375266E-2</v>
      </c>
      <c r="C72" s="173">
        <f>C71/C69</f>
        <v>3.9840637450199202E-3</v>
      </c>
      <c r="D72" s="173">
        <f>D71/D69</f>
        <v>7.0052539404553416E-3</v>
      </c>
      <c r="E72" s="193">
        <f>E71/E69</f>
        <v>9.0791180285343717E-3</v>
      </c>
      <c r="G72" s="171" t="s">
        <v>161</v>
      </c>
      <c r="H72" s="173" t="e">
        <f>H71/H69</f>
        <v>#DIV/0!</v>
      </c>
      <c r="I72" s="173" t="e">
        <f>I71/I69</f>
        <v>#DIV/0!</v>
      </c>
      <c r="J72" s="173" t="e">
        <f>J71/J69</f>
        <v>#DIV/0!</v>
      </c>
      <c r="K72" s="458" t="e">
        <f>K71/K69</f>
        <v>#DIV/0!</v>
      </c>
    </row>
    <row r="73" spans="1:11" ht="15" customHeight="1">
      <c r="A73" s="23" t="s">
        <v>142</v>
      </c>
      <c r="B73" s="147">
        <v>13</v>
      </c>
      <c r="C73" s="129">
        <v>1</v>
      </c>
      <c r="D73" s="129">
        <v>8</v>
      </c>
      <c r="E73" s="187">
        <f>SUM(B73:D73)</f>
        <v>22</v>
      </c>
      <c r="G73" s="23" t="s">
        <v>142</v>
      </c>
      <c r="H73" s="129"/>
      <c r="I73" s="129"/>
      <c r="J73" s="129"/>
      <c r="K73" s="456">
        <f>SUM(H73:J73)</f>
        <v>0</v>
      </c>
    </row>
    <row r="74" spans="1:11" ht="15" customHeight="1">
      <c r="A74" s="171" t="s">
        <v>420</v>
      </c>
      <c r="B74" s="172">
        <f>B73/B69</f>
        <v>2.7718550106609809E-2</v>
      </c>
      <c r="C74" s="172">
        <f>C73/C69</f>
        <v>1.9920318725099601E-3</v>
      </c>
      <c r="D74" s="172">
        <f>D73/D69</f>
        <v>1.4010507880910683E-2</v>
      </c>
      <c r="E74" s="189">
        <f>E73/E69</f>
        <v>1.4267185473411154E-2</v>
      </c>
      <c r="G74" s="171" t="s">
        <v>420</v>
      </c>
      <c r="H74" s="172" t="e">
        <f>H73/H69</f>
        <v>#DIV/0!</v>
      </c>
      <c r="I74" s="172" t="e">
        <f>I73/I69</f>
        <v>#DIV/0!</v>
      </c>
      <c r="J74" s="172" t="e">
        <f>J73/J69</f>
        <v>#DIV/0!</v>
      </c>
      <c r="K74" s="458" t="e">
        <f>K73/K69</f>
        <v>#DIV/0!</v>
      </c>
    </row>
    <row r="75" spans="1:11" ht="15" customHeight="1">
      <c r="A75" s="23" t="s">
        <v>143</v>
      </c>
      <c r="B75" s="85">
        <v>261</v>
      </c>
      <c r="C75" s="148">
        <v>204</v>
      </c>
      <c r="D75" s="148">
        <v>275</v>
      </c>
      <c r="E75" s="188">
        <f>((B75*B73)+(C75*C73)+(D75*D73))/SUM(B73:D73)</f>
        <v>263.5</v>
      </c>
      <c r="G75" s="23" t="s">
        <v>143</v>
      </c>
      <c r="H75" s="148"/>
      <c r="I75" s="148"/>
      <c r="J75" s="148"/>
      <c r="K75" s="460">
        <f>SUM(H75:J75)</f>
        <v>0</v>
      </c>
    </row>
    <row r="76" spans="1:11" ht="15" customHeight="1">
      <c r="A76" s="171" t="s">
        <v>419</v>
      </c>
      <c r="B76" s="172">
        <f>B77/B69</f>
        <v>0.97228144989339016</v>
      </c>
      <c r="C76" s="172">
        <f>C77/C69</f>
        <v>0.99800796812749004</v>
      </c>
      <c r="D76" s="172">
        <f>D77/D69</f>
        <v>0.98598949211908937</v>
      </c>
      <c r="E76" s="196">
        <f>E77/E69</f>
        <v>0.9857328145265889</v>
      </c>
      <c r="G76" s="171" t="s">
        <v>419</v>
      </c>
      <c r="H76" s="172" t="e">
        <f>H77/H69</f>
        <v>#DIV/0!</v>
      </c>
      <c r="I76" s="172" t="e">
        <f>I77/I69</f>
        <v>#DIV/0!</v>
      </c>
      <c r="J76" s="172" t="e">
        <f>J77/J69</f>
        <v>#DIV/0!</v>
      </c>
      <c r="K76" s="465" t="e">
        <f>K77/K69</f>
        <v>#DIV/0!</v>
      </c>
    </row>
    <row r="77" spans="1:11" ht="15" customHeight="1">
      <c r="A77" s="2" t="s">
        <v>144</v>
      </c>
      <c r="B77" s="129">
        <f>B69-B73</f>
        <v>456</v>
      </c>
      <c r="C77" s="129">
        <f>C69-C73</f>
        <v>501</v>
      </c>
      <c r="D77" s="129">
        <f>D69-D73</f>
        <v>563</v>
      </c>
      <c r="E77" s="195">
        <f>SUM(B77:D77)</f>
        <v>1520</v>
      </c>
      <c r="G77" s="2" t="s">
        <v>144</v>
      </c>
      <c r="H77" s="129"/>
      <c r="I77" s="129"/>
      <c r="J77" s="129"/>
      <c r="K77" s="457">
        <f>SUM(H77:J77)</f>
        <v>0</v>
      </c>
    </row>
    <row r="78" spans="1:11" ht="15" customHeight="1">
      <c r="A78" s="23" t="s">
        <v>145</v>
      </c>
      <c r="B78" s="148">
        <v>77</v>
      </c>
      <c r="C78" s="148">
        <v>88</v>
      </c>
      <c r="D78" s="148">
        <v>93</v>
      </c>
      <c r="E78" s="188">
        <f>((B78*B77)+(C78*C77)+(D78*D77))/SUM(B77:D77)</f>
        <v>86.551973684210523</v>
      </c>
      <c r="G78" s="23" t="s">
        <v>145</v>
      </c>
      <c r="H78" s="148"/>
      <c r="I78" s="148"/>
      <c r="J78" s="148"/>
      <c r="K78" s="457" t="e">
        <f>SUMPRODUCT(H78:J78,H77:J77)/SUM(H77:J77)</f>
        <v>#DIV/0!</v>
      </c>
    </row>
    <row r="79" spans="1:11" ht="15" customHeight="1">
      <c r="A79" s="23" t="s">
        <v>383</v>
      </c>
      <c r="B79" s="129">
        <f>0+1</f>
        <v>1</v>
      </c>
      <c r="C79" s="129">
        <v>0</v>
      </c>
      <c r="D79" s="129">
        <v>1</v>
      </c>
      <c r="E79" s="187">
        <f>SUM(B79:D79)</f>
        <v>2</v>
      </c>
      <c r="G79" s="23" t="s">
        <v>383</v>
      </c>
      <c r="H79" s="129"/>
      <c r="I79" s="129"/>
      <c r="J79" s="129"/>
      <c r="K79" s="456">
        <f>SUM(H79:J79)</f>
        <v>0</v>
      </c>
    </row>
    <row r="80" spans="1:11">
      <c r="A80" s="174" t="s">
        <v>421</v>
      </c>
      <c r="B80" s="173">
        <f>B79/B69</f>
        <v>2.1321961620469083E-3</v>
      </c>
      <c r="C80" s="173">
        <f>C79/C69</f>
        <v>0</v>
      </c>
      <c r="D80" s="173">
        <f>D79/D69</f>
        <v>1.7513134851138354E-3</v>
      </c>
      <c r="E80" s="193">
        <f>E79/E69</f>
        <v>1.2970168612191958E-3</v>
      </c>
      <c r="G80" s="174" t="s">
        <v>421</v>
      </c>
      <c r="H80" s="173" t="e">
        <f>H79/H69</f>
        <v>#DIV/0!</v>
      </c>
      <c r="I80" s="173" t="e">
        <f>I79/I69</f>
        <v>#DIV/0!</v>
      </c>
      <c r="J80" s="173" t="e">
        <f>J79/J69</f>
        <v>#DIV/0!</v>
      </c>
      <c r="K80" s="464" t="e">
        <f>K79/K69</f>
        <v>#DIV/0!</v>
      </c>
    </row>
    <row r="81" spans="1:11">
      <c r="A81" s="954" t="s">
        <v>1</v>
      </c>
      <c r="B81" s="147">
        <v>5</v>
      </c>
      <c r="C81" s="129">
        <v>7</v>
      </c>
      <c r="D81" s="129">
        <v>6</v>
      </c>
      <c r="E81" s="187">
        <f>SUM(B81:D81)</f>
        <v>18</v>
      </c>
      <c r="G81" s="954" t="s">
        <v>1</v>
      </c>
      <c r="H81" s="129"/>
      <c r="I81" s="129"/>
      <c r="J81" s="129"/>
      <c r="K81" s="456">
        <f>SUM(H81:J81)</f>
        <v>0</v>
      </c>
    </row>
    <row r="82" spans="1:11">
      <c r="A82" s="174" t="s">
        <v>422</v>
      </c>
      <c r="B82" s="173">
        <f>B81/B69</f>
        <v>1.0660980810234541E-2</v>
      </c>
      <c r="C82" s="173">
        <f>C81/C69</f>
        <v>1.3944223107569721E-2</v>
      </c>
      <c r="D82" s="173">
        <f>D81/D69</f>
        <v>1.0507880910683012E-2</v>
      </c>
      <c r="E82" s="193">
        <f>E81/E69</f>
        <v>1.1673151750972763E-2</v>
      </c>
      <c r="G82" s="174" t="s">
        <v>422</v>
      </c>
      <c r="H82" s="173" t="e">
        <f>H81/H69</f>
        <v>#DIV/0!</v>
      </c>
      <c r="I82" s="173" t="e">
        <f>I81/I69</f>
        <v>#DIV/0!</v>
      </c>
      <c r="J82" s="173" t="e">
        <f>J81/J69</f>
        <v>#DIV/0!</v>
      </c>
      <c r="K82" s="464" t="e">
        <f>K81/K69</f>
        <v>#DIV/0!</v>
      </c>
    </row>
  </sheetData>
  <mergeCells count="26">
    <mergeCell ref="A2:A3"/>
    <mergeCell ref="G2:G3"/>
    <mergeCell ref="M10:S10"/>
    <mergeCell ref="R11:R12"/>
    <mergeCell ref="S11:S12"/>
    <mergeCell ref="S4:S5"/>
    <mergeCell ref="M3:S3"/>
    <mergeCell ref="N4:N5"/>
    <mergeCell ref="O4:O5"/>
    <mergeCell ref="M4:M5"/>
    <mergeCell ref="P4:P5"/>
    <mergeCell ref="M11:M12"/>
    <mergeCell ref="N11:N12"/>
    <mergeCell ref="O11:O12"/>
    <mergeCell ref="P11:P12"/>
    <mergeCell ref="Q11:Q12"/>
    <mergeCell ref="Q4:Q5"/>
    <mergeCell ref="R4:R5"/>
    <mergeCell ref="A51:A52"/>
    <mergeCell ref="G51:G52"/>
    <mergeCell ref="A67:A68"/>
    <mergeCell ref="G67:G68"/>
    <mergeCell ref="A35:A36"/>
    <mergeCell ref="G35:G36"/>
    <mergeCell ref="A18:A19"/>
    <mergeCell ref="G18:G19"/>
  </mergeCells>
  <printOptions horizontalCentered="1" verticalCentered="1"/>
  <pageMargins left="0" right="0" top="0" bottom="0" header="0" footer="0"/>
  <pageSetup scale="8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V81"/>
  <sheetViews>
    <sheetView showGridLines="0" workbookViewId="0">
      <selection activeCell="N26" sqref="N26"/>
    </sheetView>
  </sheetViews>
  <sheetFormatPr defaultColWidth="9.140625" defaultRowHeight="15"/>
  <cols>
    <col min="1" max="1" width="30.7109375" style="23" bestFit="1" customWidth="1"/>
    <col min="2" max="4" width="9.85546875" style="23" bestFit="1" customWidth="1"/>
    <col min="5" max="5" width="9.42578125" style="23" bestFit="1" customWidth="1"/>
    <col min="6" max="6" width="10.28515625" style="23" bestFit="1" customWidth="1"/>
    <col min="7" max="7" width="9.85546875" style="23" bestFit="1" customWidth="1"/>
    <col min="8" max="8" width="9" style="23" bestFit="1" customWidth="1"/>
    <col min="9" max="10" width="10" style="23" bestFit="1" customWidth="1"/>
    <col min="11" max="11" width="9.5703125" style="23" bestFit="1" customWidth="1"/>
    <col min="12" max="13" width="10" style="23" bestFit="1" customWidth="1"/>
    <col min="14" max="14" width="9.140625" style="175" bestFit="1" customWidth="1"/>
    <col min="15" max="15" width="4.7109375" style="23" customWidth="1"/>
    <col min="16" max="16" width="11.5703125" style="23" bestFit="1" customWidth="1"/>
    <col min="17" max="17" width="8.140625" style="23" customWidth="1"/>
    <col min="18" max="18" width="11.7109375" style="23" customWidth="1"/>
    <col min="19" max="19" width="9.5703125" style="23" customWidth="1"/>
    <col min="20" max="21" width="8.85546875" style="23" customWidth="1"/>
    <col min="22" max="22" width="9.140625" style="23" customWidth="1"/>
    <col min="23" max="16384" width="9.140625" style="23"/>
  </cols>
  <sheetData>
    <row r="1" spans="1:22" ht="20.100000000000001" customHeight="1">
      <c r="A1" s="1099"/>
      <c r="B1" s="1100">
        <v>42370</v>
      </c>
      <c r="C1" s="1100">
        <v>42401</v>
      </c>
      <c r="D1" s="1100">
        <v>42430</v>
      </c>
      <c r="E1" s="1100">
        <v>42461</v>
      </c>
      <c r="F1" s="1100">
        <v>42491</v>
      </c>
      <c r="G1" s="1100">
        <v>42522</v>
      </c>
      <c r="H1" s="1100">
        <v>42552</v>
      </c>
      <c r="I1" s="1100">
        <v>42583</v>
      </c>
      <c r="J1" s="1100">
        <v>42614</v>
      </c>
      <c r="K1" s="1100">
        <v>42644</v>
      </c>
      <c r="L1" s="1100">
        <v>42675</v>
      </c>
      <c r="M1" s="1100">
        <v>42705</v>
      </c>
      <c r="N1" s="1111" t="s">
        <v>503</v>
      </c>
    </row>
    <row r="2" spans="1:22">
      <c r="A2" s="2788" t="s">
        <v>28</v>
      </c>
      <c r="B2" s="1102"/>
      <c r="C2" s="1102"/>
      <c r="D2" s="1102"/>
      <c r="E2" s="1102"/>
      <c r="F2" s="1102"/>
      <c r="G2" s="1102"/>
      <c r="H2" s="1102"/>
      <c r="I2" s="1102"/>
      <c r="J2" s="1102"/>
      <c r="K2" s="1102"/>
      <c r="L2" s="1102"/>
      <c r="M2" s="1102"/>
      <c r="N2" s="1110"/>
    </row>
    <row r="3" spans="1:22">
      <c r="A3" s="2789"/>
      <c r="B3" s="1112"/>
      <c r="C3" s="1112"/>
      <c r="D3" s="1112"/>
      <c r="E3" s="1112"/>
      <c r="F3" s="1112"/>
      <c r="G3" s="1112"/>
      <c r="H3" s="1112"/>
      <c r="I3" s="1112"/>
      <c r="J3" s="1112"/>
      <c r="K3" s="1112"/>
      <c r="L3" s="1112"/>
      <c r="M3" s="1112"/>
      <c r="N3" s="1112"/>
      <c r="P3" s="1103" t="s">
        <v>261</v>
      </c>
    </row>
    <row r="4" spans="1:22">
      <c r="A4" s="23" t="s">
        <v>57</v>
      </c>
      <c r="B4" s="147">
        <v>7558</v>
      </c>
      <c r="C4" s="129">
        <v>7752</v>
      </c>
      <c r="D4" s="129">
        <v>8404</v>
      </c>
      <c r="E4" s="147"/>
      <c r="F4" s="147"/>
      <c r="G4" s="147"/>
      <c r="H4" s="147"/>
      <c r="I4" s="147"/>
      <c r="J4" s="147"/>
      <c r="K4" s="147"/>
      <c r="L4" s="129"/>
      <c r="M4" s="129"/>
      <c r="N4" s="175">
        <f>SUM(B4:M4)</f>
        <v>23714</v>
      </c>
      <c r="P4" s="2782" t="s">
        <v>57</v>
      </c>
      <c r="Q4" s="2782" t="s">
        <v>364</v>
      </c>
      <c r="R4" s="2782" t="s">
        <v>160</v>
      </c>
      <c r="S4" s="2782" t="s">
        <v>145</v>
      </c>
      <c r="T4" s="2782" t="s">
        <v>383</v>
      </c>
      <c r="U4" s="2782" t="s">
        <v>1</v>
      </c>
    </row>
    <row r="5" spans="1:22">
      <c r="A5" s="23" t="s">
        <v>428</v>
      </c>
      <c r="B5" s="85">
        <v>16</v>
      </c>
      <c r="C5" s="148">
        <v>16</v>
      </c>
      <c r="D5" s="148">
        <v>11</v>
      </c>
      <c r="E5" s="85"/>
      <c r="F5" s="85"/>
      <c r="G5" s="85"/>
      <c r="H5" s="85"/>
      <c r="I5" s="85"/>
      <c r="J5" s="85"/>
      <c r="K5" s="85"/>
      <c r="L5" s="148"/>
      <c r="M5" s="148"/>
      <c r="N5" s="176">
        <f>SUMPRODUCT(B5:K5,B4:K4)/SUM(B4:K4)</f>
        <v>14.228050940372775</v>
      </c>
      <c r="P5" s="2790"/>
      <c r="Q5" s="2790"/>
      <c r="R5" s="2790"/>
      <c r="S5" s="2790"/>
      <c r="T5" s="2790"/>
      <c r="U5" s="2790"/>
    </row>
    <row r="6" spans="1:22">
      <c r="A6" s="23" t="s">
        <v>160</v>
      </c>
      <c r="B6" s="147">
        <v>143</v>
      </c>
      <c r="C6" s="129">
        <v>171</v>
      </c>
      <c r="D6" s="129">
        <v>142</v>
      </c>
      <c r="E6" s="147"/>
      <c r="F6" s="147"/>
      <c r="G6" s="147"/>
      <c r="H6" s="147"/>
      <c r="I6" s="147"/>
      <c r="J6" s="147"/>
      <c r="K6" s="147"/>
      <c r="L6" s="129"/>
      <c r="M6" s="129"/>
      <c r="N6" s="175">
        <f>SUM(B6:M6)</f>
        <v>456</v>
      </c>
      <c r="P6" s="198">
        <f>SUM(N4,N36,N52,N68)</f>
        <v>50880</v>
      </c>
      <c r="Q6" s="97">
        <f>((N5*N4)+(N37*N36)+(N53*N52)+(N69*N68))/SUM(N68,N52,N36,N4)</f>
        <v>11.658942610062892</v>
      </c>
      <c r="R6" s="243">
        <f>SUM(N6,N38,N54,N70)</f>
        <v>1280</v>
      </c>
      <c r="S6" s="97">
        <f>((N13*N12)+(N45*N44)+(N61*N60)+(N77*N76))/SUM(N76,N60,N44,N12)</f>
        <v>170.38159104429181</v>
      </c>
      <c r="T6" s="243">
        <f>SUM(N14,N46,N62,N78)</f>
        <v>1323</v>
      </c>
      <c r="U6" s="241">
        <f>SUM(N16,N48,N64,N80)</f>
        <v>664</v>
      </c>
    </row>
    <row r="7" spans="1:22">
      <c r="A7" s="171" t="s">
        <v>161</v>
      </c>
      <c r="B7" s="173">
        <f>B6/B4</f>
        <v>1.8920349298756283E-2</v>
      </c>
      <c r="C7" s="173">
        <f>IFERROR(C6/C4,0)</f>
        <v>2.2058823529411766E-2</v>
      </c>
      <c r="D7" s="173">
        <f t="shared" ref="D7:M7" si="0">IFERROR(D6/D4,0)</f>
        <v>1.6896715849595432E-2</v>
      </c>
      <c r="E7" s="173">
        <f t="shared" si="0"/>
        <v>0</v>
      </c>
      <c r="F7" s="173">
        <f t="shared" si="0"/>
        <v>0</v>
      </c>
      <c r="G7" s="173">
        <f t="shared" si="0"/>
        <v>0</v>
      </c>
      <c r="H7" s="173">
        <f t="shared" si="0"/>
        <v>0</v>
      </c>
      <c r="I7" s="173">
        <f t="shared" si="0"/>
        <v>0</v>
      </c>
      <c r="J7" s="173">
        <f t="shared" si="0"/>
        <v>0</v>
      </c>
      <c r="K7" s="173">
        <f t="shared" si="0"/>
        <v>0</v>
      </c>
      <c r="L7" s="173">
        <f t="shared" si="0"/>
        <v>0</v>
      </c>
      <c r="M7" s="173">
        <f t="shared" si="0"/>
        <v>0</v>
      </c>
      <c r="N7" s="177">
        <f>N6/N4</f>
        <v>1.9229147339124567E-2</v>
      </c>
      <c r="P7" s="7"/>
      <c r="Q7" s="242"/>
      <c r="R7" s="98">
        <f>R6/P6</f>
        <v>2.5157232704402517E-2</v>
      </c>
      <c r="S7" s="242"/>
      <c r="T7" s="98">
        <f>T6/P6</f>
        <v>2.6002358490566039E-2</v>
      </c>
      <c r="U7" s="98">
        <f>U6/P6</f>
        <v>1.3050314465408806E-2</v>
      </c>
    </row>
    <row r="8" spans="1:22">
      <c r="A8" s="23" t="s">
        <v>415</v>
      </c>
      <c r="B8" s="147">
        <v>1599</v>
      </c>
      <c r="C8" s="129">
        <v>1326</v>
      </c>
      <c r="D8" s="129">
        <v>1773</v>
      </c>
      <c r="E8" s="147"/>
      <c r="F8" s="147"/>
      <c r="G8" s="147"/>
      <c r="H8" s="147"/>
      <c r="I8" s="147"/>
      <c r="J8" s="147"/>
      <c r="K8" s="147"/>
      <c r="L8" s="129"/>
      <c r="M8" s="129"/>
      <c r="N8" s="175">
        <f>SUM(B8:M8)</f>
        <v>4698</v>
      </c>
      <c r="P8" s="139"/>
      <c r="Q8" s="139"/>
      <c r="R8" s="137"/>
      <c r="S8" s="139"/>
      <c r="T8" s="137"/>
      <c r="U8" s="137"/>
    </row>
    <row r="9" spans="1:22">
      <c r="A9" s="171" t="s">
        <v>416</v>
      </c>
      <c r="B9" s="172">
        <f>B8/B4</f>
        <v>0.21156390579518392</v>
      </c>
      <c r="C9" s="172">
        <f>IFERROR(C8/C4,0)</f>
        <v>0.17105263157894737</v>
      </c>
      <c r="D9" s="172">
        <f t="shared" ref="D9:M9" si="1">IFERROR(D8/D4,0)</f>
        <v>0.2109709662065683</v>
      </c>
      <c r="E9" s="172">
        <f t="shared" si="1"/>
        <v>0</v>
      </c>
      <c r="F9" s="172">
        <f t="shared" si="1"/>
        <v>0</v>
      </c>
      <c r="G9" s="172">
        <f t="shared" si="1"/>
        <v>0</v>
      </c>
      <c r="H9" s="172">
        <f t="shared" si="1"/>
        <v>0</v>
      </c>
      <c r="I9" s="172">
        <f t="shared" si="1"/>
        <v>0</v>
      </c>
      <c r="J9" s="172">
        <f t="shared" si="1"/>
        <v>0</v>
      </c>
      <c r="K9" s="172">
        <f t="shared" si="1"/>
        <v>0</v>
      </c>
      <c r="L9" s="172">
        <f t="shared" si="1"/>
        <v>0</v>
      </c>
      <c r="M9" s="172">
        <f t="shared" si="1"/>
        <v>0</v>
      </c>
      <c r="N9" s="178">
        <f>N8/N4</f>
        <v>0.19811082061229654</v>
      </c>
    </row>
    <row r="10" spans="1:22">
      <c r="A10" s="23" t="s">
        <v>417</v>
      </c>
      <c r="B10" s="85">
        <v>459</v>
      </c>
      <c r="C10" s="148">
        <v>448</v>
      </c>
      <c r="D10" s="148">
        <v>362</v>
      </c>
      <c r="E10" s="147"/>
      <c r="F10" s="147"/>
      <c r="G10" s="147"/>
      <c r="H10" s="147"/>
      <c r="I10" s="147"/>
      <c r="J10" s="85"/>
      <c r="K10" s="85"/>
      <c r="L10" s="148"/>
      <c r="M10" s="148"/>
      <c r="N10" s="176">
        <f>SUM(B10:M10)</f>
        <v>1269</v>
      </c>
      <c r="P10" s="1103" t="s">
        <v>586</v>
      </c>
    </row>
    <row r="11" spans="1:22">
      <c r="A11" s="171" t="s">
        <v>419</v>
      </c>
      <c r="B11" s="172">
        <f>B12/B4</f>
        <v>0.78843609420481608</v>
      </c>
      <c r="C11" s="172">
        <f>IFERROR(C12/C4,0)</f>
        <v>0.82894736842105265</v>
      </c>
      <c r="D11" s="172">
        <f t="shared" ref="D11:M11" si="2">IFERROR(D12/D4,0)</f>
        <v>0.7890290337934317</v>
      </c>
      <c r="E11" s="172">
        <f t="shared" si="2"/>
        <v>0</v>
      </c>
      <c r="F11" s="172">
        <f t="shared" si="2"/>
        <v>0</v>
      </c>
      <c r="G11" s="172">
        <f t="shared" si="2"/>
        <v>0</v>
      </c>
      <c r="H11" s="172">
        <f t="shared" si="2"/>
        <v>0</v>
      </c>
      <c r="I11" s="172">
        <f t="shared" si="2"/>
        <v>0</v>
      </c>
      <c r="J11" s="172">
        <f t="shared" si="2"/>
        <v>0</v>
      </c>
      <c r="K11" s="172">
        <f t="shared" si="2"/>
        <v>0</v>
      </c>
      <c r="L11" s="172">
        <f t="shared" si="2"/>
        <v>0</v>
      </c>
      <c r="M11" s="172">
        <f t="shared" si="2"/>
        <v>0</v>
      </c>
      <c r="N11" s="178">
        <f>N12/N4</f>
        <v>0.80188917938770343</v>
      </c>
      <c r="P11" s="2782" t="s">
        <v>57</v>
      </c>
      <c r="Q11" s="2782" t="s">
        <v>364</v>
      </c>
      <c r="R11" s="2782" t="s">
        <v>160</v>
      </c>
      <c r="S11" s="2782" t="s">
        <v>145</v>
      </c>
      <c r="T11" s="2782" t="s">
        <v>383</v>
      </c>
      <c r="U11" s="2782" t="s">
        <v>1</v>
      </c>
    </row>
    <row r="12" spans="1:22">
      <c r="A12" s="23" t="s">
        <v>144</v>
      </c>
      <c r="B12" s="129">
        <f>B4-B8</f>
        <v>5959</v>
      </c>
      <c r="C12" s="129">
        <f>C4-C8</f>
        <v>6426</v>
      </c>
      <c r="D12" s="129">
        <f>D4-D8</f>
        <v>6631</v>
      </c>
      <c r="E12" s="146"/>
      <c r="F12" s="146"/>
      <c r="G12" s="146"/>
      <c r="H12" s="146"/>
      <c r="I12" s="146"/>
      <c r="J12" s="146"/>
      <c r="K12" s="146"/>
      <c r="L12" s="146"/>
      <c r="M12" s="146"/>
      <c r="N12" s="176">
        <f>SUM(B12:M12)</f>
        <v>19016</v>
      </c>
      <c r="P12" s="2790"/>
      <c r="Q12" s="2790"/>
      <c r="R12" s="2790"/>
      <c r="S12" s="2790"/>
      <c r="T12" s="2790"/>
      <c r="U12" s="2790"/>
    </row>
    <row r="13" spans="1:22">
      <c r="A13" s="23" t="s">
        <v>145</v>
      </c>
      <c r="B13" s="148">
        <v>186</v>
      </c>
      <c r="C13" s="148">
        <v>194</v>
      </c>
      <c r="D13" s="148">
        <v>173</v>
      </c>
      <c r="E13" s="85"/>
      <c r="F13" s="85"/>
      <c r="G13" s="85"/>
      <c r="H13" s="85"/>
      <c r="I13" s="85"/>
      <c r="J13" s="85"/>
      <c r="K13" s="85"/>
      <c r="L13" s="148"/>
      <c r="M13" s="148"/>
      <c r="N13" s="176">
        <f>SUMPRODUCT(B13:M13,B12:M12)/SUM(B12:M12)</f>
        <v>184.17022507362222</v>
      </c>
      <c r="P13" s="198">
        <f>SUM(B4,B36,B52,B68)</f>
        <v>16405</v>
      </c>
      <c r="Q13" s="97">
        <f>((B5*B4)+(B37*B36)+(B53*B52)+(B69*B68))/SUM(B68,B52,B36,B4)</f>
        <v>12.597317890886925</v>
      </c>
      <c r="R13" s="7">
        <f>SUM(B6,B38,B54,B70)</f>
        <v>480</v>
      </c>
      <c r="S13" s="97">
        <f>((B13*B12)+(B45*B44)+(B61*B60)+(B77*B76))/SUM(B76,B60,B44,B12)</f>
        <v>167.50851519041507</v>
      </c>
      <c r="T13" s="7">
        <f>SUM(B14,B46,B62,B78)</f>
        <v>383</v>
      </c>
      <c r="U13" s="7">
        <f>SUM(B16,B48,B64,B80)</f>
        <v>197</v>
      </c>
      <c r="V13" s="2"/>
    </row>
    <row r="14" spans="1:22">
      <c r="A14" s="23" t="s">
        <v>423</v>
      </c>
      <c r="B14" s="129">
        <f>3+284</f>
        <v>287</v>
      </c>
      <c r="C14" s="129">
        <v>305</v>
      </c>
      <c r="D14" s="129">
        <v>146</v>
      </c>
      <c r="E14" s="129"/>
      <c r="F14" s="129"/>
      <c r="G14" s="129"/>
      <c r="H14" s="129"/>
      <c r="I14" s="129"/>
      <c r="J14" s="129"/>
      <c r="K14" s="129"/>
      <c r="L14" s="129"/>
      <c r="M14" s="129"/>
      <c r="N14" s="175">
        <f>SUM(B14:M14)</f>
        <v>738</v>
      </c>
      <c r="P14" s="7"/>
      <c r="Q14" s="7"/>
      <c r="R14" s="98">
        <f>R13/P13</f>
        <v>2.9259372142639441E-2</v>
      </c>
      <c r="S14" s="7"/>
      <c r="T14" s="98">
        <f>T13/P13</f>
        <v>2.3346540688814386E-2</v>
      </c>
      <c r="U14" s="98">
        <f>U13/P13</f>
        <v>1.2008533983541602E-2</v>
      </c>
    </row>
    <row r="15" spans="1:22">
      <c r="A15" s="171" t="s">
        <v>421</v>
      </c>
      <c r="B15" s="173">
        <f>B14/B4</f>
        <v>3.7973008732468908E-2</v>
      </c>
      <c r="C15" s="173">
        <f>IFERROR(C14/C4,0)</f>
        <v>3.9344685242518058E-2</v>
      </c>
      <c r="D15" s="173">
        <f t="shared" ref="D15:M15" si="3">IFERROR(D14/D4,0)</f>
        <v>1.7372679676344597E-2</v>
      </c>
      <c r="E15" s="173">
        <f t="shared" si="3"/>
        <v>0</v>
      </c>
      <c r="F15" s="173">
        <f t="shared" si="3"/>
        <v>0</v>
      </c>
      <c r="G15" s="173">
        <f t="shared" si="3"/>
        <v>0</v>
      </c>
      <c r="H15" s="173">
        <f t="shared" si="3"/>
        <v>0</v>
      </c>
      <c r="I15" s="173">
        <f t="shared" si="3"/>
        <v>0</v>
      </c>
      <c r="J15" s="173">
        <f t="shared" si="3"/>
        <v>0</v>
      </c>
      <c r="K15" s="173">
        <f t="shared" si="3"/>
        <v>0</v>
      </c>
      <c r="L15" s="173">
        <f t="shared" si="3"/>
        <v>0</v>
      </c>
      <c r="M15" s="173">
        <f t="shared" si="3"/>
        <v>0</v>
      </c>
      <c r="N15" s="177">
        <f>N14/N4</f>
        <v>3.1120856877793708E-2</v>
      </c>
      <c r="P15" s="135"/>
      <c r="Q15" s="136"/>
      <c r="R15" s="137"/>
      <c r="S15" s="86"/>
      <c r="T15" s="86"/>
    </row>
    <row r="16" spans="1:22">
      <c r="A16" s="23" t="s">
        <v>1</v>
      </c>
      <c r="B16" s="147">
        <v>54</v>
      </c>
      <c r="C16" s="129">
        <v>47</v>
      </c>
      <c r="D16" s="129">
        <v>55</v>
      </c>
      <c r="E16" s="147"/>
      <c r="F16" s="147"/>
      <c r="G16" s="147"/>
      <c r="H16" s="147"/>
      <c r="I16" s="147"/>
      <c r="J16" s="147"/>
      <c r="K16" s="147"/>
      <c r="L16" s="129"/>
      <c r="M16" s="129"/>
      <c r="N16" s="175">
        <f>SUM(B16:M16)</f>
        <v>156</v>
      </c>
      <c r="Q16" s="2"/>
      <c r="R16" s="2"/>
      <c r="S16" s="2"/>
      <c r="T16" s="2"/>
      <c r="U16" s="2"/>
    </row>
    <row r="17" spans="1:14">
      <c r="A17" s="171" t="s">
        <v>422</v>
      </c>
      <c r="B17" s="173">
        <f>B16/B4</f>
        <v>7.1447472876422337E-3</v>
      </c>
      <c r="C17" s="173">
        <f>IFERROR(C16/C4,0)</f>
        <v>6.0629514963880292E-3</v>
      </c>
      <c r="D17" s="173">
        <f t="shared" ref="D17:M17" si="4">IFERROR(D16/D4,0)</f>
        <v>6.5445026178010471E-3</v>
      </c>
      <c r="E17" s="173">
        <f t="shared" si="4"/>
        <v>0</v>
      </c>
      <c r="F17" s="173">
        <f t="shared" si="4"/>
        <v>0</v>
      </c>
      <c r="G17" s="173">
        <f t="shared" si="4"/>
        <v>0</v>
      </c>
      <c r="H17" s="173">
        <f t="shared" si="4"/>
        <v>0</v>
      </c>
      <c r="I17" s="173">
        <f t="shared" si="4"/>
        <v>0</v>
      </c>
      <c r="J17" s="173">
        <f t="shared" si="4"/>
        <v>0</v>
      </c>
      <c r="K17" s="173">
        <f t="shared" si="4"/>
        <v>0</v>
      </c>
      <c r="L17" s="173">
        <f t="shared" si="4"/>
        <v>0</v>
      </c>
      <c r="M17" s="173">
        <f t="shared" si="4"/>
        <v>0</v>
      </c>
      <c r="N17" s="177">
        <f>N16/N4</f>
        <v>6.5783925107531418E-3</v>
      </c>
    </row>
    <row r="18" spans="1:14">
      <c r="A18" s="2788" t="s">
        <v>611</v>
      </c>
      <c r="B18" s="1102"/>
      <c r="C18" s="1102"/>
      <c r="D18" s="1102"/>
      <c r="E18" s="1102"/>
      <c r="F18" s="1102"/>
      <c r="G18" s="1102"/>
      <c r="H18" s="1102"/>
      <c r="I18" s="1102"/>
      <c r="J18" s="1102"/>
      <c r="K18" s="1102"/>
      <c r="L18" s="1102"/>
      <c r="M18" s="1102"/>
      <c r="N18" s="1110"/>
    </row>
    <row r="19" spans="1:14">
      <c r="A19" s="2789"/>
      <c r="B19" s="1112"/>
      <c r="C19" s="1112"/>
      <c r="D19" s="1112"/>
      <c r="E19" s="1112"/>
      <c r="F19" s="1112"/>
      <c r="G19" s="1112"/>
      <c r="H19" s="1112"/>
      <c r="I19" s="1112"/>
      <c r="J19" s="1112"/>
      <c r="K19" s="1112"/>
      <c r="L19" s="1112"/>
      <c r="M19" s="1112"/>
      <c r="N19" s="1112"/>
    </row>
    <row r="20" spans="1:14">
      <c r="A20" s="23" t="s">
        <v>57</v>
      </c>
      <c r="B20" s="147">
        <v>7558</v>
      </c>
      <c r="C20" s="129">
        <v>2067</v>
      </c>
      <c r="D20" s="129">
        <v>2197</v>
      </c>
      <c r="E20" s="147"/>
      <c r="F20" s="147"/>
      <c r="G20" s="147"/>
      <c r="H20" s="147"/>
      <c r="I20" s="147"/>
      <c r="J20" s="147"/>
      <c r="K20" s="147"/>
      <c r="L20" s="129"/>
      <c r="M20" s="129"/>
      <c r="N20" s="175">
        <f>SUM(B20:M20)</f>
        <v>11822</v>
      </c>
    </row>
    <row r="21" spans="1:14">
      <c r="A21" s="23" t="s">
        <v>428</v>
      </c>
      <c r="B21" s="761"/>
      <c r="C21" s="761"/>
      <c r="D21" s="761"/>
      <c r="E21" s="85"/>
      <c r="F21" s="85"/>
      <c r="G21" s="85"/>
      <c r="H21" s="85"/>
      <c r="I21" s="85"/>
      <c r="J21" s="85"/>
      <c r="K21" s="85"/>
      <c r="L21" s="148"/>
      <c r="M21" s="148"/>
      <c r="N21" s="176">
        <f>SUMPRODUCT(B21:K21,B20:K20)/SUM(B20:K20)</f>
        <v>0</v>
      </c>
    </row>
    <row r="22" spans="1:14">
      <c r="A22" s="23" t="s">
        <v>160</v>
      </c>
      <c r="B22" s="126"/>
      <c r="C22" s="126"/>
      <c r="D22" s="126"/>
      <c r="E22" s="147"/>
      <c r="F22" s="147"/>
      <c r="G22" s="147"/>
      <c r="H22" s="147"/>
      <c r="I22" s="147"/>
      <c r="J22" s="147"/>
      <c r="K22" s="147"/>
      <c r="L22" s="129"/>
      <c r="M22" s="129"/>
      <c r="N22" s="175">
        <f>SUM(B22:M22)</f>
        <v>0</v>
      </c>
    </row>
    <row r="23" spans="1:14">
      <c r="A23" s="171" t="s">
        <v>161</v>
      </c>
      <c r="B23" s="173">
        <f>B22/B20</f>
        <v>0</v>
      </c>
      <c r="C23" s="173">
        <f>IFERROR(C22/C20,0)</f>
        <v>0</v>
      </c>
      <c r="D23" s="173">
        <f t="shared" ref="D23:M23" si="5">IFERROR(D22/D20,0)</f>
        <v>0</v>
      </c>
      <c r="E23" s="173">
        <f t="shared" si="5"/>
        <v>0</v>
      </c>
      <c r="F23" s="173">
        <f t="shared" si="5"/>
        <v>0</v>
      </c>
      <c r="G23" s="173">
        <f t="shared" si="5"/>
        <v>0</v>
      </c>
      <c r="H23" s="173">
        <f t="shared" si="5"/>
        <v>0</v>
      </c>
      <c r="I23" s="173">
        <f t="shared" si="5"/>
        <v>0</v>
      </c>
      <c r="J23" s="173">
        <f t="shared" si="5"/>
        <v>0</v>
      </c>
      <c r="K23" s="173">
        <f t="shared" si="5"/>
        <v>0</v>
      </c>
      <c r="L23" s="173">
        <f t="shared" si="5"/>
        <v>0</v>
      </c>
      <c r="M23" s="173">
        <f t="shared" si="5"/>
        <v>0</v>
      </c>
      <c r="N23" s="177">
        <f>N22/N20</f>
        <v>0</v>
      </c>
    </row>
    <row r="24" spans="1:14">
      <c r="A24" s="23" t="s">
        <v>415</v>
      </c>
      <c r="B24" s="126"/>
      <c r="C24" s="126"/>
      <c r="D24" s="126"/>
      <c r="E24" s="147"/>
      <c r="F24" s="147"/>
      <c r="G24" s="147"/>
      <c r="H24" s="147"/>
      <c r="I24" s="147"/>
      <c r="J24" s="147"/>
      <c r="K24" s="147"/>
      <c r="L24" s="129"/>
      <c r="M24" s="129"/>
      <c r="N24" s="175">
        <f>SUM(B24:M24)</f>
        <v>0</v>
      </c>
    </row>
    <row r="25" spans="1:14">
      <c r="A25" s="171" t="s">
        <v>416</v>
      </c>
      <c r="B25" s="172">
        <f>B24/B20</f>
        <v>0</v>
      </c>
      <c r="C25" s="172">
        <f>IFERROR(C24/C20,0)</f>
        <v>0</v>
      </c>
      <c r="D25" s="172">
        <f t="shared" ref="D25:M25" si="6">IFERROR(D24/D20,0)</f>
        <v>0</v>
      </c>
      <c r="E25" s="172">
        <f t="shared" si="6"/>
        <v>0</v>
      </c>
      <c r="F25" s="172">
        <f t="shared" si="6"/>
        <v>0</v>
      </c>
      <c r="G25" s="172">
        <f t="shared" si="6"/>
        <v>0</v>
      </c>
      <c r="H25" s="172">
        <f t="shared" si="6"/>
        <v>0</v>
      </c>
      <c r="I25" s="172">
        <f t="shared" si="6"/>
        <v>0</v>
      </c>
      <c r="J25" s="172">
        <f t="shared" si="6"/>
        <v>0</v>
      </c>
      <c r="K25" s="172">
        <f t="shared" si="6"/>
        <v>0</v>
      </c>
      <c r="L25" s="172">
        <f t="shared" si="6"/>
        <v>0</v>
      </c>
      <c r="M25" s="172">
        <f t="shared" si="6"/>
        <v>0</v>
      </c>
      <c r="N25" s="178">
        <f>N24/N20</f>
        <v>0</v>
      </c>
    </row>
    <row r="26" spans="1:14">
      <c r="A26" s="23" t="s">
        <v>417</v>
      </c>
      <c r="B26" s="761"/>
      <c r="C26" s="761"/>
      <c r="D26" s="761"/>
      <c r="E26" s="147"/>
      <c r="F26" s="147"/>
      <c r="G26" s="147"/>
      <c r="H26" s="147"/>
      <c r="I26" s="147"/>
      <c r="J26" s="85"/>
      <c r="K26" s="85"/>
      <c r="L26" s="148"/>
      <c r="M26" s="148"/>
      <c r="N26" s="176">
        <f>SUM(B26:M26)</f>
        <v>0</v>
      </c>
    </row>
    <row r="27" spans="1:14">
      <c r="A27" s="171" t="s">
        <v>419</v>
      </c>
      <c r="B27" s="172">
        <f>B28/B20</f>
        <v>1</v>
      </c>
      <c r="C27" s="172">
        <f>IFERROR(C28/C20,0)</f>
        <v>1</v>
      </c>
      <c r="D27" s="172">
        <f t="shared" ref="D27:M27" si="7">IFERROR(D28/D20,0)</f>
        <v>1</v>
      </c>
      <c r="E27" s="172">
        <f t="shared" si="7"/>
        <v>0</v>
      </c>
      <c r="F27" s="172">
        <f t="shared" si="7"/>
        <v>0</v>
      </c>
      <c r="G27" s="172">
        <f t="shared" si="7"/>
        <v>0</v>
      </c>
      <c r="H27" s="172">
        <f t="shared" si="7"/>
        <v>0</v>
      </c>
      <c r="I27" s="172">
        <f t="shared" si="7"/>
        <v>0</v>
      </c>
      <c r="J27" s="172">
        <f t="shared" si="7"/>
        <v>0</v>
      </c>
      <c r="K27" s="172">
        <f t="shared" si="7"/>
        <v>0</v>
      </c>
      <c r="L27" s="172">
        <f t="shared" si="7"/>
        <v>0</v>
      </c>
      <c r="M27" s="172">
        <f t="shared" si="7"/>
        <v>0</v>
      </c>
      <c r="N27" s="178">
        <f>N28/N20</f>
        <v>1</v>
      </c>
    </row>
    <row r="28" spans="1:14">
      <c r="A28" s="23" t="s">
        <v>144</v>
      </c>
      <c r="B28" s="129">
        <f>B20-B24</f>
        <v>7558</v>
      </c>
      <c r="C28" s="129">
        <f>C20-C24</f>
        <v>2067</v>
      </c>
      <c r="D28" s="129">
        <f>D20-D24</f>
        <v>2197</v>
      </c>
      <c r="E28" s="146"/>
      <c r="F28" s="146"/>
      <c r="G28" s="146"/>
      <c r="H28" s="146"/>
      <c r="I28" s="146"/>
      <c r="J28" s="146"/>
      <c r="K28" s="146"/>
      <c r="L28" s="146"/>
      <c r="M28" s="146"/>
      <c r="N28" s="176">
        <f>SUM(B28:M28)</f>
        <v>11822</v>
      </c>
    </row>
    <row r="29" spans="1:14">
      <c r="A29" s="23" t="s">
        <v>145</v>
      </c>
      <c r="B29" s="761"/>
      <c r="C29" s="761"/>
      <c r="D29" s="761"/>
      <c r="E29" s="85"/>
      <c r="F29" s="85"/>
      <c r="G29" s="85"/>
      <c r="H29" s="85"/>
      <c r="I29" s="85"/>
      <c r="J29" s="85"/>
      <c r="K29" s="85"/>
      <c r="L29" s="148"/>
      <c r="M29" s="148"/>
      <c r="N29" s="176">
        <f>SUMPRODUCT(B29:M29,B28:M28)/SUM(B28:M28)</f>
        <v>0</v>
      </c>
    </row>
    <row r="30" spans="1:14">
      <c r="A30" s="23" t="s">
        <v>423</v>
      </c>
      <c r="B30" s="126"/>
      <c r="C30" s="126"/>
      <c r="D30" s="126"/>
      <c r="E30" s="129"/>
      <c r="F30" s="129"/>
      <c r="G30" s="129"/>
      <c r="H30" s="129"/>
      <c r="I30" s="129"/>
      <c r="J30" s="129"/>
      <c r="K30" s="129"/>
      <c r="L30" s="129"/>
      <c r="M30" s="129"/>
      <c r="N30" s="175">
        <f>SUM(B30:M30)</f>
        <v>0</v>
      </c>
    </row>
    <row r="31" spans="1:14">
      <c r="A31" s="171" t="s">
        <v>421</v>
      </c>
      <c r="B31" s="173">
        <f>B30/B20</f>
        <v>0</v>
      </c>
      <c r="C31" s="173">
        <f>IFERROR(C30/C20,0)</f>
        <v>0</v>
      </c>
      <c r="D31" s="173">
        <f t="shared" ref="D31:M31" si="8">IFERROR(D30/D20,0)</f>
        <v>0</v>
      </c>
      <c r="E31" s="173">
        <f t="shared" si="8"/>
        <v>0</v>
      </c>
      <c r="F31" s="173">
        <f t="shared" si="8"/>
        <v>0</v>
      </c>
      <c r="G31" s="173">
        <f t="shared" si="8"/>
        <v>0</v>
      </c>
      <c r="H31" s="173">
        <f t="shared" si="8"/>
        <v>0</v>
      </c>
      <c r="I31" s="173">
        <f t="shared" si="8"/>
        <v>0</v>
      </c>
      <c r="J31" s="173">
        <f t="shared" si="8"/>
        <v>0</v>
      </c>
      <c r="K31" s="173">
        <f t="shared" si="8"/>
        <v>0</v>
      </c>
      <c r="L31" s="173">
        <f t="shared" si="8"/>
        <v>0</v>
      </c>
      <c r="M31" s="173">
        <f t="shared" si="8"/>
        <v>0</v>
      </c>
      <c r="N31" s="177">
        <f>N30/N20</f>
        <v>0</v>
      </c>
    </row>
    <row r="32" spans="1:14">
      <c r="A32" s="23" t="s">
        <v>1</v>
      </c>
      <c r="B32" s="126"/>
      <c r="C32" s="126"/>
      <c r="D32" s="126"/>
      <c r="E32" s="147"/>
      <c r="F32" s="147"/>
      <c r="G32" s="147"/>
      <c r="H32" s="147"/>
      <c r="I32" s="147"/>
      <c r="J32" s="147"/>
      <c r="K32" s="147"/>
      <c r="L32" s="129"/>
      <c r="M32" s="129"/>
      <c r="N32" s="175">
        <f>SUM(B32:M32)</f>
        <v>0</v>
      </c>
    </row>
    <row r="33" spans="1:18">
      <c r="A33" s="171" t="s">
        <v>422</v>
      </c>
      <c r="B33" s="173">
        <f>B32/B20</f>
        <v>0</v>
      </c>
      <c r="C33" s="173">
        <f>IFERROR(C32/C20,0)</f>
        <v>0</v>
      </c>
      <c r="D33" s="173">
        <f t="shared" ref="D33:M33" si="9">IFERROR(D32/D20,0)</f>
        <v>0</v>
      </c>
      <c r="E33" s="173">
        <f t="shared" si="9"/>
        <v>0</v>
      </c>
      <c r="F33" s="173">
        <f t="shared" si="9"/>
        <v>0</v>
      </c>
      <c r="G33" s="173">
        <f t="shared" si="9"/>
        <v>0</v>
      </c>
      <c r="H33" s="173">
        <f t="shared" si="9"/>
        <v>0</v>
      </c>
      <c r="I33" s="173">
        <f t="shared" si="9"/>
        <v>0</v>
      </c>
      <c r="J33" s="173">
        <f t="shared" si="9"/>
        <v>0</v>
      </c>
      <c r="K33" s="173">
        <f t="shared" si="9"/>
        <v>0</v>
      </c>
      <c r="L33" s="173">
        <f t="shared" si="9"/>
        <v>0</v>
      </c>
      <c r="M33" s="173">
        <f t="shared" si="9"/>
        <v>0</v>
      </c>
      <c r="N33" s="177">
        <f>N32/N20</f>
        <v>0</v>
      </c>
    </row>
    <row r="34" spans="1:18">
      <c r="A34" s="2788" t="s">
        <v>146</v>
      </c>
      <c r="B34" s="1104"/>
      <c r="C34" s="1104"/>
      <c r="D34" s="1104"/>
      <c r="E34" s="1104"/>
      <c r="F34" s="1104"/>
      <c r="G34" s="1104"/>
      <c r="H34" s="1104"/>
      <c r="I34" s="1104"/>
      <c r="J34" s="1104"/>
      <c r="K34" s="1104"/>
      <c r="L34" s="1104"/>
      <c r="M34" s="1104"/>
      <c r="N34" s="1109"/>
    </row>
    <row r="35" spans="1:18">
      <c r="A35" s="2789"/>
      <c r="B35" s="1102"/>
      <c r="C35" s="1102"/>
      <c r="D35" s="1102"/>
      <c r="E35" s="1102"/>
      <c r="F35" s="1102"/>
      <c r="G35" s="1102"/>
      <c r="H35" s="1102"/>
      <c r="I35" s="1102"/>
      <c r="J35" s="1102"/>
      <c r="K35" s="1102"/>
      <c r="L35" s="1102"/>
      <c r="M35" s="1102"/>
      <c r="N35" s="1110"/>
    </row>
    <row r="36" spans="1:18">
      <c r="A36" s="23" t="s">
        <v>57</v>
      </c>
      <c r="B36" s="147">
        <v>7515</v>
      </c>
      <c r="C36" s="129">
        <v>7460</v>
      </c>
      <c r="D36" s="129">
        <v>8153</v>
      </c>
      <c r="E36" s="147"/>
      <c r="F36" s="147"/>
      <c r="G36" s="147"/>
      <c r="H36" s="147"/>
      <c r="I36" s="147"/>
      <c r="J36" s="147"/>
      <c r="K36" s="147"/>
      <c r="L36" s="129"/>
      <c r="M36" s="129"/>
      <c r="N36" s="175">
        <f>SUM(B36:M36)</f>
        <v>23128</v>
      </c>
    </row>
    <row r="37" spans="1:18">
      <c r="A37" s="23" t="s">
        <v>428</v>
      </c>
      <c r="B37" s="85">
        <v>10</v>
      </c>
      <c r="C37" s="148">
        <v>9</v>
      </c>
      <c r="D37" s="148">
        <v>10</v>
      </c>
      <c r="E37" s="85"/>
      <c r="F37" s="85"/>
      <c r="G37" s="85"/>
      <c r="H37" s="85"/>
      <c r="I37" s="85"/>
      <c r="J37" s="85"/>
      <c r="K37" s="85"/>
      <c r="L37" s="148"/>
      <c r="M37" s="148"/>
      <c r="N37" s="176">
        <f>SUMPRODUCT(B37:M37,B36:M36)/SUM(B36:M36)</f>
        <v>9.677447250086475</v>
      </c>
    </row>
    <row r="38" spans="1:18">
      <c r="A38" s="23" t="s">
        <v>160</v>
      </c>
      <c r="B38" s="147">
        <v>303</v>
      </c>
      <c r="C38" s="129">
        <v>308</v>
      </c>
      <c r="D38" s="129">
        <v>143</v>
      </c>
      <c r="E38" s="147"/>
      <c r="F38" s="147"/>
      <c r="G38" s="147"/>
      <c r="H38" s="147"/>
      <c r="I38" s="147"/>
      <c r="J38" s="147"/>
      <c r="K38" s="147"/>
      <c r="L38" s="129"/>
      <c r="M38" s="129"/>
      <c r="N38" s="175">
        <f>SUM(B38:M38)</f>
        <v>754</v>
      </c>
    </row>
    <row r="39" spans="1:18">
      <c r="A39" s="171" t="s">
        <v>161</v>
      </c>
      <c r="B39" s="173">
        <f>B38/B36</f>
        <v>4.0319361277445107E-2</v>
      </c>
      <c r="C39" s="173">
        <f>IFERROR(C38/C36,0)</f>
        <v>4.1286863270777477E-2</v>
      </c>
      <c r="D39" s="173">
        <f t="shared" ref="D39:M39" si="10">IFERROR(D38/D36,0)</f>
        <v>1.7539555991659513E-2</v>
      </c>
      <c r="E39" s="173">
        <f t="shared" si="10"/>
        <v>0</v>
      </c>
      <c r="F39" s="173">
        <f t="shared" si="10"/>
        <v>0</v>
      </c>
      <c r="G39" s="173">
        <f t="shared" si="10"/>
        <v>0</v>
      </c>
      <c r="H39" s="173">
        <f t="shared" si="10"/>
        <v>0</v>
      </c>
      <c r="I39" s="173">
        <f t="shared" si="10"/>
        <v>0</v>
      </c>
      <c r="J39" s="173">
        <f t="shared" si="10"/>
        <v>0</v>
      </c>
      <c r="K39" s="173">
        <f t="shared" si="10"/>
        <v>0</v>
      </c>
      <c r="L39" s="173">
        <f t="shared" si="10"/>
        <v>0</v>
      </c>
      <c r="M39" s="173">
        <f t="shared" si="10"/>
        <v>0</v>
      </c>
      <c r="N39" s="177">
        <f>N38/N36</f>
        <v>3.26011760636458E-2</v>
      </c>
      <c r="P39" s="86"/>
      <c r="Q39" s="86"/>
      <c r="R39" s="86"/>
    </row>
    <row r="40" spans="1:18">
      <c r="A40" s="23" t="s">
        <v>427</v>
      </c>
      <c r="B40" s="147">
        <v>3008</v>
      </c>
      <c r="C40" s="129">
        <v>2853</v>
      </c>
      <c r="D40" s="129">
        <v>3055</v>
      </c>
      <c r="E40" s="147"/>
      <c r="F40" s="147"/>
      <c r="G40" s="147"/>
      <c r="H40" s="147"/>
      <c r="I40" s="147"/>
      <c r="J40" s="147"/>
      <c r="K40" s="147"/>
      <c r="L40" s="129"/>
      <c r="M40" s="129"/>
      <c r="N40" s="175">
        <f>SUM(B40:M40)</f>
        <v>8916</v>
      </c>
      <c r="P40" s="85"/>
      <c r="Q40" s="85"/>
      <c r="R40" s="85"/>
    </row>
    <row r="41" spans="1:18">
      <c r="A41" s="171" t="s">
        <v>424</v>
      </c>
      <c r="B41" s="172">
        <f>B40/B36</f>
        <v>0.4002661343978709</v>
      </c>
      <c r="C41" s="173">
        <f>IFERROR(C40/C36,0)</f>
        <v>0.38243967828418229</v>
      </c>
      <c r="D41" s="173">
        <f t="shared" ref="D41:M41" si="11">IFERROR(D40/D36,0)</f>
        <v>0.37470869618545322</v>
      </c>
      <c r="E41" s="173">
        <f t="shared" si="11"/>
        <v>0</v>
      </c>
      <c r="F41" s="173">
        <f t="shared" si="11"/>
        <v>0</v>
      </c>
      <c r="G41" s="173">
        <f t="shared" si="11"/>
        <v>0</v>
      </c>
      <c r="H41" s="173">
        <f t="shared" si="11"/>
        <v>0</v>
      </c>
      <c r="I41" s="173">
        <f t="shared" si="11"/>
        <v>0</v>
      </c>
      <c r="J41" s="173">
        <f t="shared" si="11"/>
        <v>0</v>
      </c>
      <c r="K41" s="173">
        <f t="shared" si="11"/>
        <v>0</v>
      </c>
      <c r="L41" s="173">
        <f t="shared" si="11"/>
        <v>0</v>
      </c>
      <c r="M41" s="173">
        <f t="shared" si="11"/>
        <v>0</v>
      </c>
      <c r="N41" s="178">
        <f>N40/N36</f>
        <v>0.38550674507090971</v>
      </c>
    </row>
    <row r="42" spans="1:18">
      <c r="A42" s="23" t="s">
        <v>426</v>
      </c>
      <c r="B42" s="85">
        <v>352</v>
      </c>
      <c r="C42" s="148">
        <v>392</v>
      </c>
      <c r="D42" s="148">
        <v>367</v>
      </c>
      <c r="E42" s="147"/>
      <c r="F42" s="147"/>
      <c r="G42" s="147"/>
      <c r="H42" s="147"/>
      <c r="I42" s="147"/>
      <c r="J42" s="147"/>
      <c r="K42" s="147"/>
      <c r="L42" s="129"/>
      <c r="M42" s="129"/>
      <c r="N42" s="175">
        <f>SUM(B42:M42)</f>
        <v>1111</v>
      </c>
    </row>
    <row r="43" spans="1:18">
      <c r="A43" s="171" t="s">
        <v>419</v>
      </c>
      <c r="B43" s="172">
        <f>B44/B36</f>
        <v>0.59973386560212905</v>
      </c>
      <c r="C43" s="173">
        <f>IFERROR(C44/C36,0)</f>
        <v>0.61756032171581765</v>
      </c>
      <c r="D43" s="173">
        <f t="shared" ref="D43:M43" si="12">IFERROR(D44/D36,0)</f>
        <v>0.62529130381454678</v>
      </c>
      <c r="E43" s="173">
        <f t="shared" si="12"/>
        <v>0</v>
      </c>
      <c r="F43" s="173">
        <f t="shared" si="12"/>
        <v>0</v>
      </c>
      <c r="G43" s="173">
        <f t="shared" si="12"/>
        <v>0</v>
      </c>
      <c r="H43" s="173">
        <f t="shared" si="12"/>
        <v>0</v>
      </c>
      <c r="I43" s="173">
        <f t="shared" si="12"/>
        <v>0</v>
      </c>
      <c r="J43" s="173">
        <f t="shared" si="12"/>
        <v>0</v>
      </c>
      <c r="K43" s="173">
        <f t="shared" si="12"/>
        <v>0</v>
      </c>
      <c r="L43" s="173">
        <f t="shared" si="12"/>
        <v>0</v>
      </c>
      <c r="M43" s="173">
        <f t="shared" si="12"/>
        <v>0</v>
      </c>
      <c r="N43" s="178">
        <f>N44/N36</f>
        <v>0.61449325492909024</v>
      </c>
    </row>
    <row r="44" spans="1:18">
      <c r="A44" s="23" t="s">
        <v>144</v>
      </c>
      <c r="B44" s="129">
        <f>B36-B40</f>
        <v>4507</v>
      </c>
      <c r="C44" s="129">
        <f>C36-C40</f>
        <v>4607</v>
      </c>
      <c r="D44" s="129">
        <f>D36-D40</f>
        <v>5098</v>
      </c>
      <c r="E44" s="147"/>
      <c r="F44" s="147"/>
      <c r="G44" s="147"/>
      <c r="H44" s="147"/>
      <c r="I44" s="147"/>
      <c r="J44" s="147"/>
      <c r="K44" s="147"/>
      <c r="L44" s="147"/>
      <c r="M44" s="147"/>
      <c r="N44" s="176">
        <f>SUM(B44:M44)</f>
        <v>14212</v>
      </c>
    </row>
    <row r="45" spans="1:18">
      <c r="A45" s="23" t="s">
        <v>145</v>
      </c>
      <c r="B45" s="148">
        <v>165</v>
      </c>
      <c r="C45" s="148">
        <v>175</v>
      </c>
      <c r="D45" s="148">
        <v>177</v>
      </c>
      <c r="E45" s="85"/>
      <c r="F45" s="85"/>
      <c r="G45" s="85"/>
      <c r="H45" s="85"/>
      <c r="I45" s="85"/>
      <c r="J45" s="85"/>
      <c r="K45" s="85"/>
      <c r="L45" s="148"/>
      <c r="M45" s="148"/>
      <c r="N45" s="176">
        <f>SUMPRODUCT(B45:M45,B44:M44)/SUM(B44:M44)</f>
        <v>172.54615817618912</v>
      </c>
    </row>
    <row r="46" spans="1:18">
      <c r="A46" s="23" t="s">
        <v>383</v>
      </c>
      <c r="B46" s="129">
        <f>3+88</f>
        <v>91</v>
      </c>
      <c r="C46" s="129">
        <v>180</v>
      </c>
      <c r="D46" s="129">
        <v>304</v>
      </c>
      <c r="E46" s="147"/>
      <c r="F46" s="147"/>
      <c r="G46" s="147"/>
      <c r="H46" s="147"/>
      <c r="I46" s="147"/>
      <c r="J46" s="147"/>
      <c r="K46" s="147"/>
      <c r="L46" s="129"/>
      <c r="M46" s="129"/>
      <c r="N46" s="175">
        <f>SUM(B46:M46)</f>
        <v>575</v>
      </c>
    </row>
    <row r="47" spans="1:18">
      <c r="A47" s="174" t="s">
        <v>421</v>
      </c>
      <c r="B47" s="173">
        <f>B46/B36</f>
        <v>1.210911510312708E-2</v>
      </c>
      <c r="C47" s="173">
        <f>IFERROR(C46/C36,0)</f>
        <v>2.4128686327077747E-2</v>
      </c>
      <c r="D47" s="173">
        <f t="shared" ref="D47:M47" si="13">IFERROR(D46/D36,0)</f>
        <v>3.7286888261989455E-2</v>
      </c>
      <c r="E47" s="173">
        <f t="shared" si="13"/>
        <v>0</v>
      </c>
      <c r="F47" s="173">
        <f t="shared" si="13"/>
        <v>0</v>
      </c>
      <c r="G47" s="173">
        <f t="shared" si="13"/>
        <v>0</v>
      </c>
      <c r="H47" s="173">
        <f t="shared" si="13"/>
        <v>0</v>
      </c>
      <c r="I47" s="173">
        <f t="shared" si="13"/>
        <v>0</v>
      </c>
      <c r="J47" s="173">
        <f t="shared" si="13"/>
        <v>0</v>
      </c>
      <c r="K47" s="173">
        <f t="shared" si="13"/>
        <v>0</v>
      </c>
      <c r="L47" s="173">
        <f t="shared" si="13"/>
        <v>0</v>
      </c>
      <c r="M47" s="173">
        <f t="shared" si="13"/>
        <v>0</v>
      </c>
      <c r="N47" s="177">
        <f>N46/N36</f>
        <v>2.4861639571082672E-2</v>
      </c>
    </row>
    <row r="48" spans="1:18">
      <c r="A48" s="4" t="s">
        <v>1</v>
      </c>
      <c r="B48" s="147">
        <v>129</v>
      </c>
      <c r="C48" s="129">
        <v>177</v>
      </c>
      <c r="D48" s="129">
        <v>155</v>
      </c>
      <c r="E48" s="147"/>
      <c r="F48" s="147"/>
      <c r="G48" s="147"/>
      <c r="H48" s="147"/>
      <c r="I48" s="147"/>
      <c r="J48" s="147"/>
      <c r="K48" s="147"/>
      <c r="L48" s="129"/>
      <c r="M48" s="129"/>
      <c r="N48" s="175">
        <f>SUM(B48:M48)</f>
        <v>461</v>
      </c>
      <c r="Q48" s="147"/>
    </row>
    <row r="49" spans="1:20">
      <c r="A49" s="174" t="s">
        <v>422</v>
      </c>
      <c r="B49" s="173">
        <f>B48/B36</f>
        <v>1.716566866267465E-2</v>
      </c>
      <c r="C49" s="173">
        <f>IFERROR(C48/C36,0)</f>
        <v>2.3726541554959787E-2</v>
      </c>
      <c r="D49" s="173">
        <f t="shared" ref="D49:M49" si="14">IFERROR(D48/D36,0)</f>
        <v>1.9011406844106463E-2</v>
      </c>
      <c r="E49" s="173">
        <f t="shared" si="14"/>
        <v>0</v>
      </c>
      <c r="F49" s="173">
        <f t="shared" si="14"/>
        <v>0</v>
      </c>
      <c r="G49" s="173">
        <f t="shared" si="14"/>
        <v>0</v>
      </c>
      <c r="H49" s="173">
        <f t="shared" si="14"/>
        <v>0</v>
      </c>
      <c r="I49" s="173">
        <f t="shared" si="14"/>
        <v>0</v>
      </c>
      <c r="J49" s="173">
        <f t="shared" si="14"/>
        <v>0</v>
      </c>
      <c r="K49" s="173">
        <f t="shared" si="14"/>
        <v>0</v>
      </c>
      <c r="L49" s="173">
        <f t="shared" si="14"/>
        <v>0</v>
      </c>
      <c r="M49" s="173">
        <f t="shared" si="14"/>
        <v>0</v>
      </c>
      <c r="N49" s="177">
        <f>N48/N36</f>
        <v>1.9932549290902803E-2</v>
      </c>
    </row>
    <row r="50" spans="1:20">
      <c r="A50" s="2788" t="s">
        <v>41</v>
      </c>
      <c r="B50" s="1104"/>
      <c r="C50" s="1104"/>
      <c r="D50" s="1104"/>
      <c r="E50" s="1104"/>
      <c r="F50" s="1104"/>
      <c r="G50" s="1104"/>
      <c r="H50" s="1104"/>
      <c r="I50" s="1104"/>
      <c r="J50" s="1104"/>
      <c r="K50" s="1104"/>
      <c r="L50" s="1104"/>
      <c r="M50" s="1104"/>
      <c r="N50" s="1109"/>
    </row>
    <row r="51" spans="1:20">
      <c r="A51" s="2789"/>
      <c r="B51" s="1102"/>
      <c r="C51" s="1102"/>
      <c r="D51" s="1102"/>
      <c r="E51" s="1102"/>
      <c r="F51" s="1102"/>
      <c r="G51" s="1102"/>
      <c r="H51" s="1102"/>
      <c r="I51" s="1102"/>
      <c r="J51" s="1102"/>
      <c r="K51" s="1102"/>
      <c r="L51" s="1102"/>
      <c r="M51" s="1102"/>
      <c r="N51" s="1110"/>
    </row>
    <row r="52" spans="1:20">
      <c r="A52" s="23" t="s">
        <v>57</v>
      </c>
      <c r="B52" s="147">
        <v>863</v>
      </c>
      <c r="C52" s="129">
        <v>827</v>
      </c>
      <c r="D52" s="129">
        <v>806</v>
      </c>
      <c r="E52" s="147"/>
      <c r="F52" s="147"/>
      <c r="G52" s="147"/>
      <c r="H52" s="147"/>
      <c r="I52" s="147"/>
      <c r="J52" s="147"/>
      <c r="K52" s="147"/>
      <c r="L52" s="129"/>
      <c r="M52" s="129"/>
      <c r="N52" s="175">
        <f>SUM(B52:M52)</f>
        <v>2496</v>
      </c>
    </row>
    <row r="53" spans="1:20">
      <c r="A53" s="23" t="s">
        <v>428</v>
      </c>
      <c r="B53" s="85">
        <v>9</v>
      </c>
      <c r="C53" s="148">
        <v>9</v>
      </c>
      <c r="D53" s="148">
        <v>8</v>
      </c>
      <c r="E53" s="85"/>
      <c r="F53" s="85"/>
      <c r="G53" s="85"/>
      <c r="H53" s="85"/>
      <c r="I53" s="85"/>
      <c r="J53" s="85"/>
      <c r="K53" s="85"/>
      <c r="L53" s="150"/>
      <c r="M53" s="150"/>
      <c r="N53" s="176">
        <f>SUMPRODUCT(B53:K53,B52:K52)/SUM(B52:K52)</f>
        <v>8.6770833333333339</v>
      </c>
    </row>
    <row r="54" spans="1:20">
      <c r="A54" s="23" t="s">
        <v>160</v>
      </c>
      <c r="B54" s="147">
        <v>26</v>
      </c>
      <c r="C54" s="129">
        <v>20</v>
      </c>
      <c r="D54" s="129">
        <v>10</v>
      </c>
      <c r="E54" s="147"/>
      <c r="F54" s="147"/>
      <c r="G54" s="147"/>
      <c r="H54" s="147"/>
      <c r="I54" s="147"/>
      <c r="J54" s="147"/>
      <c r="K54" s="147"/>
      <c r="L54" s="820"/>
      <c r="M54" s="820"/>
      <c r="N54" s="175">
        <f>SUM(B54:M54)</f>
        <v>56</v>
      </c>
    </row>
    <row r="55" spans="1:20">
      <c r="A55" s="171" t="s">
        <v>161</v>
      </c>
      <c r="B55" s="173">
        <f>B54/B52</f>
        <v>3.0127462340672075E-2</v>
      </c>
      <c r="C55" s="173">
        <f>IFERROR(C54/C52,0)</f>
        <v>2.4183796856106408E-2</v>
      </c>
      <c r="D55" s="173">
        <f t="shared" ref="D55:M55" si="15">IFERROR(D54/D52,0)</f>
        <v>1.2406947890818859E-2</v>
      </c>
      <c r="E55" s="173">
        <f t="shared" si="15"/>
        <v>0</v>
      </c>
      <c r="F55" s="173">
        <f t="shared" si="15"/>
        <v>0</v>
      </c>
      <c r="G55" s="173">
        <f t="shared" si="15"/>
        <v>0</v>
      </c>
      <c r="H55" s="173">
        <f t="shared" si="15"/>
        <v>0</v>
      </c>
      <c r="I55" s="173">
        <f t="shared" si="15"/>
        <v>0</v>
      </c>
      <c r="J55" s="173">
        <f t="shared" si="15"/>
        <v>0</v>
      </c>
      <c r="K55" s="173">
        <f t="shared" si="15"/>
        <v>0</v>
      </c>
      <c r="L55" s="821">
        <f t="shared" si="15"/>
        <v>0</v>
      </c>
      <c r="M55" s="821">
        <f t="shared" si="15"/>
        <v>0</v>
      </c>
      <c r="N55" s="177">
        <f>N54/N52</f>
        <v>2.2435897435897436E-2</v>
      </c>
    </row>
    <row r="56" spans="1:20">
      <c r="A56" s="23" t="s">
        <v>262</v>
      </c>
      <c r="B56" s="147">
        <v>100</v>
      </c>
      <c r="C56" s="129">
        <v>88</v>
      </c>
      <c r="D56" s="129">
        <v>74</v>
      </c>
      <c r="E56" s="147"/>
      <c r="F56" s="147"/>
      <c r="G56" s="147"/>
      <c r="H56" s="147"/>
      <c r="I56" s="147"/>
      <c r="J56" s="147"/>
      <c r="K56" s="147"/>
      <c r="L56" s="72"/>
      <c r="M56" s="72"/>
      <c r="N56" s="175">
        <f>SUM(B56:M56)</f>
        <v>262</v>
      </c>
    </row>
    <row r="57" spans="1:20">
      <c r="A57" s="171" t="s">
        <v>420</v>
      </c>
      <c r="B57" s="173">
        <f>B56/B52</f>
        <v>0.11587485515643106</v>
      </c>
      <c r="C57" s="173">
        <f>IFERROR(C56/C52,0)</f>
        <v>0.10640870616686819</v>
      </c>
      <c r="D57" s="173">
        <f t="shared" ref="D57:M57" si="16">IFERROR(D56/D52,0)</f>
        <v>9.1811414392059559E-2</v>
      </c>
      <c r="E57" s="173">
        <f t="shared" si="16"/>
        <v>0</v>
      </c>
      <c r="F57" s="173">
        <f t="shared" si="16"/>
        <v>0</v>
      </c>
      <c r="G57" s="173">
        <f t="shared" si="16"/>
        <v>0</v>
      </c>
      <c r="H57" s="173">
        <f t="shared" si="16"/>
        <v>0</v>
      </c>
      <c r="I57" s="173">
        <f t="shared" si="16"/>
        <v>0</v>
      </c>
      <c r="J57" s="173">
        <f t="shared" si="16"/>
        <v>0</v>
      </c>
      <c r="K57" s="173">
        <f t="shared" si="16"/>
        <v>0</v>
      </c>
      <c r="L57" s="173">
        <f t="shared" si="16"/>
        <v>0</v>
      </c>
      <c r="M57" s="173">
        <f t="shared" si="16"/>
        <v>0</v>
      </c>
      <c r="N57" s="177">
        <f>N56/N52</f>
        <v>0.10496794871794872</v>
      </c>
    </row>
    <row r="58" spans="1:20">
      <c r="A58" s="23" t="s">
        <v>143</v>
      </c>
      <c r="B58" s="85">
        <v>269</v>
      </c>
      <c r="C58" s="148">
        <v>270</v>
      </c>
      <c r="D58" s="148">
        <v>279</v>
      </c>
      <c r="E58" s="147"/>
      <c r="F58" s="147"/>
      <c r="G58" s="147"/>
      <c r="H58" s="147"/>
      <c r="I58" s="147"/>
      <c r="J58" s="147"/>
      <c r="K58" s="147"/>
      <c r="L58" s="129"/>
      <c r="M58" s="129"/>
      <c r="N58" s="175">
        <f>SUM(B58:M58)</f>
        <v>818</v>
      </c>
    </row>
    <row r="59" spans="1:20">
      <c r="A59" s="171" t="s">
        <v>419</v>
      </c>
      <c r="B59" s="172">
        <f>B60/B52</f>
        <v>0.88412514484356897</v>
      </c>
      <c r="C59" s="173">
        <f>IFERROR(C60/C52,0)</f>
        <v>0.89359129383313185</v>
      </c>
      <c r="D59" s="173">
        <f t="shared" ref="D59:M59" si="17">IFERROR(D60/D52,0)</f>
        <v>0.90818858560794047</v>
      </c>
      <c r="E59" s="173">
        <f t="shared" si="17"/>
        <v>0</v>
      </c>
      <c r="F59" s="173">
        <f t="shared" si="17"/>
        <v>0</v>
      </c>
      <c r="G59" s="173">
        <f t="shared" si="17"/>
        <v>0</v>
      </c>
      <c r="H59" s="173">
        <f t="shared" si="17"/>
        <v>0</v>
      </c>
      <c r="I59" s="173">
        <f t="shared" si="17"/>
        <v>0</v>
      </c>
      <c r="J59" s="173">
        <f t="shared" si="17"/>
        <v>0</v>
      </c>
      <c r="K59" s="173">
        <f t="shared" si="17"/>
        <v>0</v>
      </c>
      <c r="L59" s="173">
        <f t="shared" si="17"/>
        <v>0</v>
      </c>
      <c r="M59" s="173">
        <f t="shared" si="17"/>
        <v>0</v>
      </c>
      <c r="N59" s="177">
        <f>N60/N52</f>
        <v>0.89503205128205132</v>
      </c>
      <c r="P59" s="138"/>
      <c r="Q59" s="138"/>
      <c r="R59" s="138"/>
    </row>
    <row r="60" spans="1:20">
      <c r="A60" s="23" t="s">
        <v>144</v>
      </c>
      <c r="B60" s="129">
        <f>B52-B56</f>
        <v>763</v>
      </c>
      <c r="C60" s="129">
        <f>C52-C56</f>
        <v>739</v>
      </c>
      <c r="D60" s="129">
        <f>D52-D56</f>
        <v>732</v>
      </c>
      <c r="E60" s="147"/>
      <c r="F60" s="147"/>
      <c r="G60" s="147"/>
      <c r="H60" s="147"/>
      <c r="I60" s="147"/>
      <c r="J60" s="147"/>
      <c r="K60" s="147"/>
      <c r="L60" s="147"/>
      <c r="M60" s="147"/>
      <c r="N60" s="176">
        <f>SUM(B60:M60)</f>
        <v>2234</v>
      </c>
      <c r="P60" s="138"/>
      <c r="Q60" s="138"/>
      <c r="R60" s="138"/>
    </row>
    <row r="61" spans="1:20">
      <c r="A61" s="23" t="s">
        <v>145</v>
      </c>
      <c r="B61" s="85">
        <v>92</v>
      </c>
      <c r="C61" s="148">
        <v>98</v>
      </c>
      <c r="D61" s="148">
        <v>99</v>
      </c>
      <c r="E61" s="85"/>
      <c r="F61" s="85"/>
      <c r="G61" s="85"/>
      <c r="H61" s="85"/>
      <c r="I61" s="85"/>
      <c r="J61" s="85"/>
      <c r="K61" s="85"/>
      <c r="L61" s="148"/>
      <c r="M61" s="148"/>
      <c r="N61" s="176">
        <f>SUMPRODUCT(B61:M61,B60:M60)/SUM(B60:M60)</f>
        <v>96.278424350940014</v>
      </c>
      <c r="P61" s="138"/>
      <c r="Q61" s="138"/>
      <c r="R61" s="138"/>
    </row>
    <row r="62" spans="1:20">
      <c r="A62" s="23" t="s">
        <v>383</v>
      </c>
      <c r="B62" s="147">
        <f>3+1</f>
        <v>4</v>
      </c>
      <c r="C62" s="129">
        <v>0</v>
      </c>
      <c r="D62" s="129">
        <v>4</v>
      </c>
      <c r="E62" s="147"/>
      <c r="F62" s="147"/>
      <c r="G62" s="147"/>
      <c r="H62" s="147"/>
      <c r="I62" s="147"/>
      <c r="J62" s="147"/>
      <c r="K62" s="147"/>
      <c r="L62" s="129"/>
      <c r="M62" s="129"/>
      <c r="N62" s="175">
        <f>SUM(B62:K62)</f>
        <v>8</v>
      </c>
      <c r="P62" s="138"/>
      <c r="Q62" s="138"/>
      <c r="R62" s="138"/>
    </row>
    <row r="63" spans="1:20">
      <c r="A63" s="174" t="s">
        <v>421</v>
      </c>
      <c r="B63" s="173">
        <f>B62/B52</f>
        <v>4.6349942062572421E-3</v>
      </c>
      <c r="C63" s="173">
        <f>IFERROR(C62/C52,0)</f>
        <v>0</v>
      </c>
      <c r="D63" s="173">
        <f t="shared" ref="D63:M63" si="18">IFERROR(D62/D52,0)</f>
        <v>4.9627791563275434E-3</v>
      </c>
      <c r="E63" s="173">
        <f t="shared" si="18"/>
        <v>0</v>
      </c>
      <c r="F63" s="173">
        <f t="shared" si="18"/>
        <v>0</v>
      </c>
      <c r="G63" s="173">
        <f t="shared" si="18"/>
        <v>0</v>
      </c>
      <c r="H63" s="173">
        <f t="shared" si="18"/>
        <v>0</v>
      </c>
      <c r="I63" s="173">
        <f t="shared" si="18"/>
        <v>0</v>
      </c>
      <c r="J63" s="173">
        <f t="shared" si="18"/>
        <v>0</v>
      </c>
      <c r="K63" s="173">
        <f t="shared" si="18"/>
        <v>0</v>
      </c>
      <c r="L63" s="173">
        <f t="shared" si="18"/>
        <v>0</v>
      </c>
      <c r="M63" s="173">
        <f t="shared" si="18"/>
        <v>0</v>
      </c>
      <c r="N63" s="177">
        <f>N62/N52</f>
        <v>3.205128205128205E-3</v>
      </c>
      <c r="P63" s="138"/>
      <c r="Q63" s="138"/>
      <c r="R63" s="138"/>
    </row>
    <row r="64" spans="1:20">
      <c r="A64" s="4" t="s">
        <v>1</v>
      </c>
      <c r="B64" s="147">
        <v>9</v>
      </c>
      <c r="C64" s="129">
        <v>9</v>
      </c>
      <c r="D64" s="129">
        <v>11</v>
      </c>
      <c r="E64" s="147"/>
      <c r="F64" s="147"/>
      <c r="G64" s="147"/>
      <c r="H64" s="147"/>
      <c r="I64" s="147"/>
      <c r="J64" s="147"/>
      <c r="K64" s="147"/>
      <c r="L64" s="129"/>
      <c r="M64" s="129"/>
      <c r="N64" s="175">
        <f>SUM(B64:K64)</f>
        <v>29</v>
      </c>
      <c r="Q64" s="147"/>
      <c r="R64" s="138"/>
      <c r="S64" s="138"/>
      <c r="T64" s="138"/>
    </row>
    <row r="65" spans="1:20">
      <c r="A65" s="174" t="s">
        <v>422</v>
      </c>
      <c r="B65" s="173">
        <f>B64/B52</f>
        <v>1.0428736964078795E-2</v>
      </c>
      <c r="C65" s="173">
        <f>IFERROR(C64/C52,0)</f>
        <v>1.0882708585247884E-2</v>
      </c>
      <c r="D65" s="173">
        <f t="shared" ref="D65:M65" si="19">IFERROR(D64/D52,0)</f>
        <v>1.3647642679900745E-2</v>
      </c>
      <c r="E65" s="173">
        <f t="shared" si="19"/>
        <v>0</v>
      </c>
      <c r="F65" s="173">
        <f t="shared" si="19"/>
        <v>0</v>
      </c>
      <c r="G65" s="173">
        <f t="shared" si="19"/>
        <v>0</v>
      </c>
      <c r="H65" s="173">
        <f t="shared" si="19"/>
        <v>0</v>
      </c>
      <c r="I65" s="173">
        <f t="shared" si="19"/>
        <v>0</v>
      </c>
      <c r="J65" s="173">
        <f t="shared" si="19"/>
        <v>0</v>
      </c>
      <c r="K65" s="173">
        <f t="shared" si="19"/>
        <v>0</v>
      </c>
      <c r="L65" s="173">
        <f t="shared" si="19"/>
        <v>0</v>
      </c>
      <c r="M65" s="173">
        <f t="shared" si="19"/>
        <v>0</v>
      </c>
      <c r="N65" s="177">
        <f>N64/N52</f>
        <v>1.1618589743589744E-2</v>
      </c>
      <c r="Q65" s="147"/>
      <c r="R65" s="138"/>
      <c r="S65" s="138"/>
      <c r="T65" s="138"/>
    </row>
    <row r="66" spans="1:20">
      <c r="A66" s="2788" t="s">
        <v>9</v>
      </c>
      <c r="B66" s="1104"/>
      <c r="C66" s="1104"/>
      <c r="D66" s="1104"/>
      <c r="E66" s="1104"/>
      <c r="F66" s="1104"/>
      <c r="G66" s="1104"/>
      <c r="H66" s="1104"/>
      <c r="I66" s="1104"/>
      <c r="J66" s="1104"/>
      <c r="K66" s="1104"/>
      <c r="L66" s="1104"/>
      <c r="M66" s="1104"/>
      <c r="N66" s="1109"/>
      <c r="P66" s="138"/>
      <c r="Q66" s="138"/>
      <c r="R66" s="138"/>
    </row>
    <row r="67" spans="1:20">
      <c r="A67" s="2789"/>
      <c r="B67" s="1102"/>
      <c r="C67" s="1102"/>
      <c r="D67" s="1102"/>
      <c r="E67" s="1102"/>
      <c r="F67" s="1102"/>
      <c r="G67" s="1102"/>
      <c r="H67" s="1102"/>
      <c r="I67" s="1102"/>
      <c r="J67" s="1102"/>
      <c r="K67" s="1102"/>
      <c r="L67" s="1102"/>
      <c r="M67" s="1102"/>
      <c r="N67" s="1110"/>
      <c r="P67" s="138"/>
      <c r="Q67" s="138"/>
      <c r="R67" s="138"/>
    </row>
    <row r="68" spans="1:20">
      <c r="A68" s="23" t="s">
        <v>57</v>
      </c>
      <c r="B68" s="147">
        <v>469</v>
      </c>
      <c r="C68" s="129">
        <v>502</v>
      </c>
      <c r="D68" s="129">
        <v>571</v>
      </c>
      <c r="E68" s="147"/>
      <c r="F68" s="147"/>
      <c r="G68" s="147"/>
      <c r="H68" s="147"/>
      <c r="I68" s="147"/>
      <c r="J68" s="147"/>
      <c r="K68" s="147"/>
      <c r="L68" s="129"/>
      <c r="M68" s="129"/>
      <c r="N68" s="175">
        <f>SUM(B68:M68)</f>
        <v>1542</v>
      </c>
      <c r="P68" s="138"/>
      <c r="Q68" s="138"/>
      <c r="R68" s="138"/>
    </row>
    <row r="69" spans="1:20">
      <c r="A69" s="23" t="s">
        <v>428</v>
      </c>
      <c r="B69" s="85">
        <v>6</v>
      </c>
      <c r="C69" s="148">
        <v>7</v>
      </c>
      <c r="D69" s="148">
        <v>7</v>
      </c>
      <c r="E69" s="85"/>
      <c r="F69" s="85"/>
      <c r="G69" s="85"/>
      <c r="H69" s="85"/>
      <c r="I69" s="85"/>
      <c r="J69" s="85"/>
      <c r="K69" s="85"/>
      <c r="L69" s="148"/>
      <c r="M69" s="148"/>
      <c r="N69" s="176">
        <f>SUMPRODUCT(B69:M69,B68:M68)/SUM(B68:M68)</f>
        <v>6.6958495460440988</v>
      </c>
      <c r="P69" s="138"/>
      <c r="Q69" s="138"/>
      <c r="R69" s="138"/>
    </row>
    <row r="70" spans="1:20">
      <c r="A70" s="23" t="s">
        <v>160</v>
      </c>
      <c r="B70" s="147">
        <v>8</v>
      </c>
      <c r="C70" s="129">
        <v>2</v>
      </c>
      <c r="D70" s="129">
        <v>4</v>
      </c>
      <c r="E70" s="147"/>
      <c r="F70" s="147"/>
      <c r="G70" s="147"/>
      <c r="H70" s="147"/>
      <c r="I70" s="147"/>
      <c r="J70" s="147"/>
      <c r="K70" s="147"/>
      <c r="L70" s="129"/>
      <c r="M70" s="129"/>
      <c r="N70" s="175">
        <f>SUM(B70:M70)</f>
        <v>14</v>
      </c>
      <c r="P70" s="138"/>
      <c r="Q70" s="138"/>
      <c r="R70" s="138"/>
    </row>
    <row r="71" spans="1:20">
      <c r="A71" s="171" t="s">
        <v>161</v>
      </c>
      <c r="B71" s="173">
        <f>B70/B68</f>
        <v>1.7057569296375266E-2</v>
      </c>
      <c r="C71" s="173">
        <f>IFERROR(C70/C68,0)</f>
        <v>3.9840637450199202E-3</v>
      </c>
      <c r="D71" s="173">
        <f t="shared" ref="D71:M71" si="20">IFERROR(D70/D68,0)</f>
        <v>7.0052539404553416E-3</v>
      </c>
      <c r="E71" s="173">
        <f t="shared" si="20"/>
        <v>0</v>
      </c>
      <c r="F71" s="173">
        <f t="shared" si="20"/>
        <v>0</v>
      </c>
      <c r="G71" s="173">
        <f t="shared" si="20"/>
        <v>0</v>
      </c>
      <c r="H71" s="173">
        <f t="shared" si="20"/>
        <v>0</v>
      </c>
      <c r="I71" s="173">
        <f t="shared" si="20"/>
        <v>0</v>
      </c>
      <c r="J71" s="173">
        <f t="shared" si="20"/>
        <v>0</v>
      </c>
      <c r="K71" s="173">
        <f t="shared" si="20"/>
        <v>0</v>
      </c>
      <c r="L71" s="173">
        <f t="shared" si="20"/>
        <v>0</v>
      </c>
      <c r="M71" s="173">
        <f t="shared" si="20"/>
        <v>0</v>
      </c>
      <c r="N71" s="177">
        <f>N70/N68</f>
        <v>9.0791180285343717E-3</v>
      </c>
    </row>
    <row r="72" spans="1:20">
      <c r="A72" s="23" t="s">
        <v>142</v>
      </c>
      <c r="B72" s="147">
        <v>13</v>
      </c>
      <c r="C72" s="129">
        <v>1</v>
      </c>
      <c r="D72" s="129">
        <v>8</v>
      </c>
      <c r="E72" s="147"/>
      <c r="F72" s="147"/>
      <c r="G72" s="147"/>
      <c r="H72" s="147"/>
      <c r="I72" s="147"/>
      <c r="J72" s="147"/>
      <c r="K72" s="147"/>
      <c r="L72" s="129"/>
      <c r="M72" s="129"/>
      <c r="N72" s="175">
        <f>SUM(B72:M72)</f>
        <v>22</v>
      </c>
    </row>
    <row r="73" spans="1:20">
      <c r="A73" s="171" t="s">
        <v>420</v>
      </c>
      <c r="B73" s="172">
        <f>B72/B68</f>
        <v>2.7718550106609809E-2</v>
      </c>
      <c r="C73" s="173">
        <f>IFERROR(C72/C68,0)</f>
        <v>1.9920318725099601E-3</v>
      </c>
      <c r="D73" s="173">
        <f t="shared" ref="D73:M73" si="21">IFERROR(D72/D68,0)</f>
        <v>1.4010507880910683E-2</v>
      </c>
      <c r="E73" s="173">
        <f t="shared" si="21"/>
        <v>0</v>
      </c>
      <c r="F73" s="173">
        <f t="shared" si="21"/>
        <v>0</v>
      </c>
      <c r="G73" s="173">
        <f t="shared" si="21"/>
        <v>0</v>
      </c>
      <c r="H73" s="173">
        <f t="shared" si="21"/>
        <v>0</v>
      </c>
      <c r="I73" s="173">
        <f t="shared" si="21"/>
        <v>0</v>
      </c>
      <c r="J73" s="173">
        <f t="shared" si="21"/>
        <v>0</v>
      </c>
      <c r="K73" s="173">
        <f t="shared" si="21"/>
        <v>0</v>
      </c>
      <c r="L73" s="173">
        <f t="shared" si="21"/>
        <v>0</v>
      </c>
      <c r="M73" s="173">
        <f t="shared" si="21"/>
        <v>0</v>
      </c>
      <c r="N73" s="178">
        <f>N72/N68</f>
        <v>1.4267185473411154E-2</v>
      </c>
    </row>
    <row r="74" spans="1:20">
      <c r="A74" s="23" t="s">
        <v>143</v>
      </c>
      <c r="B74" s="85">
        <v>261</v>
      </c>
      <c r="C74" s="148">
        <v>204</v>
      </c>
      <c r="D74" s="148">
        <v>275</v>
      </c>
      <c r="E74" s="147"/>
      <c r="F74" s="147"/>
      <c r="G74" s="147"/>
      <c r="H74" s="147"/>
      <c r="I74" s="147"/>
      <c r="J74" s="147"/>
      <c r="K74" s="147"/>
      <c r="L74" s="129"/>
      <c r="M74" s="129"/>
      <c r="N74" s="175">
        <f>SUM(B74:M74)</f>
        <v>740</v>
      </c>
    </row>
    <row r="75" spans="1:20">
      <c r="A75" s="171" t="s">
        <v>419</v>
      </c>
      <c r="B75" s="172">
        <f>B76/B68</f>
        <v>0.97228144989339016</v>
      </c>
      <c r="C75" s="173">
        <f>IFERROR(C76/C68,0)</f>
        <v>0.99800796812749004</v>
      </c>
      <c r="D75" s="173">
        <f t="shared" ref="D75:M75" si="22">IFERROR(D76/D68,0)</f>
        <v>0.98598949211908937</v>
      </c>
      <c r="E75" s="173">
        <f t="shared" si="22"/>
        <v>0</v>
      </c>
      <c r="F75" s="173">
        <f t="shared" si="22"/>
        <v>0</v>
      </c>
      <c r="G75" s="173">
        <f t="shared" si="22"/>
        <v>0</v>
      </c>
      <c r="H75" s="173">
        <f t="shared" si="22"/>
        <v>0</v>
      </c>
      <c r="I75" s="173">
        <f t="shared" si="22"/>
        <v>0</v>
      </c>
      <c r="J75" s="173">
        <f t="shared" si="22"/>
        <v>0</v>
      </c>
      <c r="K75" s="173">
        <f t="shared" si="22"/>
        <v>0</v>
      </c>
      <c r="L75" s="173">
        <f t="shared" si="22"/>
        <v>0</v>
      </c>
      <c r="M75" s="173">
        <f t="shared" si="22"/>
        <v>0</v>
      </c>
      <c r="N75" s="178">
        <f>N76/N68</f>
        <v>0.9857328145265889</v>
      </c>
    </row>
    <row r="76" spans="1:20">
      <c r="A76" s="23" t="s">
        <v>144</v>
      </c>
      <c r="B76" s="750">
        <f>B68-B72</f>
        <v>456</v>
      </c>
      <c r="C76" s="750">
        <f>C68-C72</f>
        <v>501</v>
      </c>
      <c r="D76" s="750">
        <f>D68-D72</f>
        <v>563</v>
      </c>
      <c r="E76" s="147"/>
      <c r="F76" s="147"/>
      <c r="G76" s="147"/>
      <c r="H76" s="147"/>
      <c r="I76" s="147"/>
      <c r="J76" s="147"/>
      <c r="K76" s="147"/>
      <c r="L76" s="129"/>
      <c r="M76" s="129"/>
      <c r="N76" s="176">
        <f>SUM(B76:M76)</f>
        <v>1520</v>
      </c>
    </row>
    <row r="77" spans="1:20">
      <c r="A77" s="23" t="s">
        <v>145</v>
      </c>
      <c r="B77" s="85">
        <v>77</v>
      </c>
      <c r="C77" s="148">
        <v>88</v>
      </c>
      <c r="D77" s="148">
        <v>93</v>
      </c>
      <c r="E77" s="85"/>
      <c r="F77" s="85"/>
      <c r="G77" s="85"/>
      <c r="H77" s="85"/>
      <c r="I77" s="85"/>
      <c r="J77" s="85"/>
      <c r="K77" s="85"/>
      <c r="L77" s="148"/>
      <c r="M77" s="148"/>
      <c r="N77" s="176">
        <f>SUMPRODUCT(B77:M77,B76:M76)/SUM(B76:M76)</f>
        <v>86.551973684210523</v>
      </c>
    </row>
    <row r="78" spans="1:20">
      <c r="A78" s="23" t="s">
        <v>383</v>
      </c>
      <c r="B78" s="147">
        <f>0+1</f>
        <v>1</v>
      </c>
      <c r="C78" s="129">
        <v>0</v>
      </c>
      <c r="D78" s="129">
        <v>1</v>
      </c>
      <c r="E78" s="147"/>
      <c r="F78" s="147"/>
      <c r="G78" s="147"/>
      <c r="H78" s="147"/>
      <c r="I78" s="147"/>
      <c r="J78" s="147"/>
      <c r="K78" s="147"/>
      <c r="L78" s="129"/>
      <c r="M78" s="129"/>
      <c r="N78" s="175">
        <f>SUM(B78:M78)</f>
        <v>2</v>
      </c>
    </row>
    <row r="79" spans="1:20">
      <c r="A79" s="174" t="s">
        <v>421</v>
      </c>
      <c r="B79" s="173">
        <f>B78/B68</f>
        <v>2.1321961620469083E-3</v>
      </c>
      <c r="C79" s="173">
        <f>IFERROR(C78/C68,0)</f>
        <v>0</v>
      </c>
      <c r="D79" s="173">
        <f t="shared" ref="D79:M79" si="23">IFERROR(D78/D68,0)</f>
        <v>1.7513134851138354E-3</v>
      </c>
      <c r="E79" s="173">
        <f t="shared" si="23"/>
        <v>0</v>
      </c>
      <c r="F79" s="173">
        <f t="shared" si="23"/>
        <v>0</v>
      </c>
      <c r="G79" s="173">
        <f t="shared" si="23"/>
        <v>0</v>
      </c>
      <c r="H79" s="173">
        <f t="shared" si="23"/>
        <v>0</v>
      </c>
      <c r="I79" s="173">
        <f t="shared" si="23"/>
        <v>0</v>
      </c>
      <c r="J79" s="173">
        <f t="shared" si="23"/>
        <v>0</v>
      </c>
      <c r="K79" s="173">
        <f t="shared" si="23"/>
        <v>0</v>
      </c>
      <c r="L79" s="173">
        <f t="shared" si="23"/>
        <v>0</v>
      </c>
      <c r="M79" s="173">
        <f t="shared" si="23"/>
        <v>0</v>
      </c>
      <c r="N79" s="177">
        <f>N78/N68</f>
        <v>1.2970168612191958E-3</v>
      </c>
    </row>
    <row r="80" spans="1:20">
      <c r="A80" s="4" t="s">
        <v>1</v>
      </c>
      <c r="B80" s="147">
        <v>5</v>
      </c>
      <c r="C80" s="129">
        <v>7</v>
      </c>
      <c r="D80" s="129">
        <v>6</v>
      </c>
      <c r="E80" s="147"/>
      <c r="F80" s="147"/>
      <c r="G80" s="147"/>
      <c r="H80" s="147"/>
      <c r="I80" s="147"/>
      <c r="J80" s="147"/>
      <c r="K80" s="147"/>
      <c r="L80" s="129"/>
      <c r="M80" s="129"/>
      <c r="N80" s="175">
        <f>SUM(B80:M80)</f>
        <v>18</v>
      </c>
    </row>
    <row r="81" spans="1:14">
      <c r="A81" s="174" t="s">
        <v>422</v>
      </c>
      <c r="B81" s="173">
        <f>B80/B68</f>
        <v>1.0660980810234541E-2</v>
      </c>
      <c r="C81" s="173">
        <f>IFERROR(C80/C68,0)</f>
        <v>1.3944223107569721E-2</v>
      </c>
      <c r="D81" s="173">
        <f t="shared" ref="D81:M81" si="24">IFERROR(D80/D68,0)</f>
        <v>1.0507880910683012E-2</v>
      </c>
      <c r="E81" s="173">
        <f t="shared" si="24"/>
        <v>0</v>
      </c>
      <c r="F81" s="173">
        <f t="shared" si="24"/>
        <v>0</v>
      </c>
      <c r="G81" s="173">
        <f t="shared" si="24"/>
        <v>0</v>
      </c>
      <c r="H81" s="173">
        <f t="shared" si="24"/>
        <v>0</v>
      </c>
      <c r="I81" s="173">
        <f t="shared" si="24"/>
        <v>0</v>
      </c>
      <c r="J81" s="173">
        <f t="shared" si="24"/>
        <v>0</v>
      </c>
      <c r="K81" s="173">
        <f t="shared" si="24"/>
        <v>0</v>
      </c>
      <c r="L81" s="173">
        <f t="shared" si="24"/>
        <v>0</v>
      </c>
      <c r="M81" s="173">
        <f t="shared" si="24"/>
        <v>0</v>
      </c>
      <c r="N81" s="177">
        <f>N80/N68</f>
        <v>1.1673151750972763E-2</v>
      </c>
    </row>
  </sheetData>
  <mergeCells count="17">
    <mergeCell ref="U11:U12"/>
    <mergeCell ref="P4:P5"/>
    <mergeCell ref="Q4:Q5"/>
    <mergeCell ref="R4:R5"/>
    <mergeCell ref="S4:S5"/>
    <mergeCell ref="T4:T5"/>
    <mergeCell ref="U4:U5"/>
    <mergeCell ref="P11:P12"/>
    <mergeCell ref="Q11:Q12"/>
    <mergeCell ref="R11:R12"/>
    <mergeCell ref="S11:S12"/>
    <mergeCell ref="T11:T12"/>
    <mergeCell ref="A18:A19"/>
    <mergeCell ref="A34:A35"/>
    <mergeCell ref="A2:A3"/>
    <mergeCell ref="A50:A51"/>
    <mergeCell ref="A66:A67"/>
  </mergeCells>
  <printOptions horizontalCentered="1"/>
  <pageMargins left="0.7" right="0.7" top="0.5" bottom="0" header="0.3" footer="0.3"/>
  <pageSetup paperSize="5" fitToHeight="3" orientation="landscape" r:id="rId1"/>
  <ignoredErrors>
    <ignoredError sqref="N52 N56 N68 N81 N36 N48 N58 N60:N62" formulaRange="1"/>
    <ignoredError sqref="N53:N55 N63:N64 N5:N6 N8:N10 N13:N14 N71:N72 N78:N80 N77 N73:N75 N69:N70 N43:N47 N37:N41 N42 N16" formula="1" formulaRange="1"/>
    <ignoredError sqref="N7 N11:N12 N76 N59 N57 N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499984740745262"/>
  </sheetPr>
  <dimension ref="A1:BD50"/>
  <sheetViews>
    <sheetView showGridLines="0" workbookViewId="0"/>
  </sheetViews>
  <sheetFormatPr defaultColWidth="9.140625" defaultRowHeight="15"/>
  <cols>
    <col min="1" max="1" width="1.28515625" style="23" customWidth="1"/>
    <col min="2" max="2" width="17" style="23" bestFit="1" customWidth="1"/>
    <col min="3" max="3" width="12" style="23" customWidth="1"/>
    <col min="4" max="4" width="11.5703125" style="23" customWidth="1"/>
    <col min="5" max="5" width="9.85546875" style="23" customWidth="1"/>
    <col min="6" max="6" width="10.28515625" style="23" customWidth="1"/>
    <col min="7" max="7" width="10.7109375" style="23" bestFit="1" customWidth="1"/>
    <col min="8" max="8" width="10" style="23" customWidth="1"/>
    <col min="9" max="9" width="10.42578125" style="23" customWidth="1"/>
    <col min="10" max="10" width="10.85546875" style="23" bestFit="1" customWidth="1"/>
    <col min="11" max="11" width="10.28515625" style="23" customWidth="1"/>
    <col min="12" max="12" width="11.85546875" style="23" customWidth="1"/>
    <col min="13" max="13" width="10.28515625" style="23" customWidth="1"/>
    <col min="14" max="14" width="10" style="23" customWidth="1"/>
    <col min="15" max="15" width="9.7109375" style="23" customWidth="1"/>
    <col min="16" max="16" width="10.85546875" style="23" bestFit="1" customWidth="1"/>
    <col min="17" max="17" width="9.5703125" style="23" customWidth="1"/>
    <col min="18" max="18" width="10.28515625" style="23" customWidth="1"/>
    <col min="19" max="19" width="10.85546875" style="23" bestFit="1" customWidth="1"/>
    <col min="20" max="20" width="9.7109375" style="23" customWidth="1"/>
    <col min="21" max="21" width="10" style="23" customWidth="1"/>
    <col min="22" max="22" width="11" style="23" customWidth="1"/>
    <col min="23" max="23" width="10" style="23" customWidth="1"/>
    <col min="24" max="24" width="10.5703125" style="23" customWidth="1"/>
    <col min="25" max="25" width="11" style="23" customWidth="1"/>
    <col min="26" max="26" width="9.85546875" style="23" customWidth="1"/>
    <col min="27" max="27" width="12" style="23" customWidth="1"/>
    <col min="28" max="28" width="10.5703125" style="23" customWidth="1"/>
    <col min="29" max="29" width="9.85546875" style="23" customWidth="1"/>
    <col min="30" max="30" width="10" style="23" customWidth="1"/>
    <col min="31" max="31" width="10.85546875" style="23" bestFit="1" customWidth="1"/>
    <col min="32" max="33" width="10.42578125" style="23" customWidth="1"/>
    <col min="34" max="34" width="10.7109375" style="23" customWidth="1"/>
    <col min="35" max="35" width="10.140625" style="23" customWidth="1"/>
    <col min="36" max="36" width="10.5703125" style="23" customWidth="1"/>
    <col min="37" max="37" width="11.85546875" style="23" customWidth="1"/>
    <col min="38" max="38" width="10.140625" style="23" customWidth="1"/>
    <col min="39" max="39" width="10.85546875" style="23" customWidth="1"/>
    <col min="40" max="40" width="10.85546875" style="23" bestFit="1" customWidth="1"/>
    <col min="41" max="41" width="10.140625" style="23" customWidth="1"/>
    <col min="42" max="42" width="10.28515625" style="23" customWidth="1"/>
    <col min="43" max="43" width="10.7109375" style="23" bestFit="1" customWidth="1"/>
    <col min="44" max="44" width="9.85546875" style="23" customWidth="1"/>
    <col min="45" max="45" width="10.85546875" style="23" customWidth="1"/>
    <col min="46" max="46" width="10.85546875" style="23" bestFit="1" customWidth="1"/>
    <col min="47" max="48" width="10.28515625" style="23" customWidth="1"/>
    <col min="49" max="49" width="12.28515625" style="23" bestFit="1" customWidth="1"/>
    <col min="50" max="50" width="10.28515625" style="23" customWidth="1"/>
    <col min="51" max="51" width="10" style="23" customWidth="1"/>
    <col min="52" max="53" width="9.28515625" style="23" bestFit="1" customWidth="1"/>
    <col min="54" max="54" width="10" style="23" customWidth="1"/>
    <col min="55" max="55" width="10.85546875" style="23" bestFit="1" customWidth="1"/>
    <col min="56" max="56" width="9.28515625" style="23" bestFit="1" customWidth="1"/>
    <col min="57" max="16384" width="9.140625" style="23"/>
  </cols>
  <sheetData>
    <row r="1" spans="1:1" ht="9.75" customHeight="1">
      <c r="A1" s="787"/>
    </row>
    <row r="16" spans="1:1" ht="9.75" customHeight="1"/>
    <row r="17" spans="2:56" ht="30" customHeight="1" thickBot="1">
      <c r="B17" s="1114" t="s">
        <v>313</v>
      </c>
      <c r="C17" s="144"/>
    </row>
    <row r="18" spans="2:56" ht="15.75" thickTop="1">
      <c r="B18" s="2795" t="s">
        <v>276</v>
      </c>
      <c r="C18" s="2799" t="s">
        <v>62</v>
      </c>
      <c r="D18" s="2793"/>
      <c r="E18" s="2793"/>
      <c r="F18" s="2793" t="s">
        <v>275</v>
      </c>
      <c r="G18" s="2793"/>
      <c r="H18" s="2793"/>
      <c r="I18" s="2793" t="s">
        <v>29</v>
      </c>
      <c r="J18" s="2793"/>
      <c r="K18" s="2793"/>
      <c r="L18" s="2793" t="s">
        <v>41</v>
      </c>
      <c r="M18" s="2793"/>
      <c r="N18" s="2793"/>
      <c r="O18" s="2793" t="s">
        <v>9</v>
      </c>
      <c r="P18" s="2793"/>
      <c r="Q18" s="2793"/>
      <c r="R18" s="2793" t="s">
        <v>474</v>
      </c>
      <c r="S18" s="2793"/>
      <c r="T18" s="2793"/>
      <c r="U18" s="2793" t="s">
        <v>476</v>
      </c>
      <c r="V18" s="2793"/>
      <c r="W18" s="2793"/>
      <c r="X18" s="2793" t="s">
        <v>477</v>
      </c>
      <c r="Y18" s="2793"/>
      <c r="Z18" s="2793"/>
      <c r="AA18" s="2793" t="s">
        <v>478</v>
      </c>
      <c r="AB18" s="2793"/>
      <c r="AC18" s="2793"/>
      <c r="AD18" s="2793" t="s">
        <v>479</v>
      </c>
      <c r="AE18" s="2793"/>
      <c r="AF18" s="2793"/>
      <c r="AG18" s="2793" t="s">
        <v>480</v>
      </c>
      <c r="AH18" s="2793"/>
      <c r="AI18" s="2793"/>
      <c r="AJ18" s="2793" t="s">
        <v>490</v>
      </c>
      <c r="AK18" s="2793"/>
      <c r="AL18" s="2793"/>
      <c r="AM18" s="2793" t="s">
        <v>487</v>
      </c>
      <c r="AN18" s="2793"/>
      <c r="AO18" s="2793"/>
      <c r="AP18" s="2793" t="s">
        <v>488</v>
      </c>
      <c r="AQ18" s="2793"/>
      <c r="AR18" s="2793"/>
      <c r="AS18" s="2793" t="s">
        <v>473</v>
      </c>
      <c r="AT18" s="2793"/>
      <c r="AU18" s="2793"/>
      <c r="AV18" s="2793" t="s">
        <v>468</v>
      </c>
      <c r="AW18" s="2793"/>
      <c r="AX18" s="2793"/>
      <c r="AY18" s="2793" t="s">
        <v>491</v>
      </c>
      <c r="AZ18" s="2793"/>
      <c r="BA18" s="2793"/>
      <c r="BB18" s="2793" t="s">
        <v>470</v>
      </c>
      <c r="BC18" s="2793"/>
      <c r="BD18" s="2794"/>
    </row>
    <row r="19" spans="2:56" s="397" customFormat="1" ht="30" customHeight="1">
      <c r="B19" s="2798"/>
      <c r="C19" s="1731" t="s">
        <v>311</v>
      </c>
      <c r="D19" s="1732" t="s">
        <v>155</v>
      </c>
      <c r="E19" s="1732" t="s">
        <v>312</v>
      </c>
      <c r="F19" s="1732" t="s">
        <v>311</v>
      </c>
      <c r="G19" s="1732" t="s">
        <v>155</v>
      </c>
      <c r="H19" s="1734" t="s">
        <v>312</v>
      </c>
      <c r="I19" s="1732" t="s">
        <v>311</v>
      </c>
      <c r="J19" s="1732" t="s">
        <v>155</v>
      </c>
      <c r="K19" s="1732" t="s">
        <v>312</v>
      </c>
      <c r="L19" s="1732" t="s">
        <v>311</v>
      </c>
      <c r="M19" s="1732" t="s">
        <v>155</v>
      </c>
      <c r="N19" s="1733" t="s">
        <v>312</v>
      </c>
      <c r="O19" s="1732" t="s">
        <v>311</v>
      </c>
      <c r="P19" s="1732" t="s">
        <v>155</v>
      </c>
      <c r="Q19" s="1732" t="s">
        <v>312</v>
      </c>
      <c r="R19" s="1732" t="s">
        <v>311</v>
      </c>
      <c r="S19" s="1732" t="s">
        <v>155</v>
      </c>
      <c r="T19" s="1732" t="s">
        <v>312</v>
      </c>
      <c r="U19" s="1732" t="s">
        <v>311</v>
      </c>
      <c r="V19" s="1732" t="s">
        <v>155</v>
      </c>
      <c r="W19" s="1732" t="s">
        <v>312</v>
      </c>
      <c r="X19" s="1732" t="s">
        <v>311</v>
      </c>
      <c r="Y19" s="1732" t="s">
        <v>155</v>
      </c>
      <c r="Z19" s="1732" t="s">
        <v>312</v>
      </c>
      <c r="AA19" s="1733" t="s">
        <v>311</v>
      </c>
      <c r="AB19" s="1733" t="s">
        <v>155</v>
      </c>
      <c r="AC19" s="1733" t="s">
        <v>312</v>
      </c>
      <c r="AD19" s="1732" t="s">
        <v>311</v>
      </c>
      <c r="AE19" s="1732" t="s">
        <v>155</v>
      </c>
      <c r="AF19" s="1732" t="s">
        <v>312</v>
      </c>
      <c r="AG19" s="1733" t="s">
        <v>311</v>
      </c>
      <c r="AH19" s="1733" t="s">
        <v>155</v>
      </c>
      <c r="AI19" s="1733" t="s">
        <v>312</v>
      </c>
      <c r="AJ19" s="1732" t="s">
        <v>311</v>
      </c>
      <c r="AK19" s="1732" t="s">
        <v>155</v>
      </c>
      <c r="AL19" s="1732" t="s">
        <v>312</v>
      </c>
      <c r="AM19" s="1732" t="s">
        <v>311</v>
      </c>
      <c r="AN19" s="1732" t="s">
        <v>155</v>
      </c>
      <c r="AO19" s="1732" t="s">
        <v>312</v>
      </c>
      <c r="AP19" s="1732" t="s">
        <v>311</v>
      </c>
      <c r="AQ19" s="1732" t="s">
        <v>155</v>
      </c>
      <c r="AR19" s="1732" t="s">
        <v>312</v>
      </c>
      <c r="AS19" s="1732" t="s">
        <v>311</v>
      </c>
      <c r="AT19" s="1732" t="s">
        <v>155</v>
      </c>
      <c r="AU19" s="1732" t="s">
        <v>312</v>
      </c>
      <c r="AV19" s="1734" t="s">
        <v>311</v>
      </c>
      <c r="AW19" s="1734" t="s">
        <v>155</v>
      </c>
      <c r="AX19" s="1734" t="s">
        <v>312</v>
      </c>
      <c r="AY19" s="1734" t="s">
        <v>311</v>
      </c>
      <c r="AZ19" s="1734" t="s">
        <v>155</v>
      </c>
      <c r="BA19" s="1734" t="s">
        <v>312</v>
      </c>
      <c r="BB19" s="1734" t="s">
        <v>311</v>
      </c>
      <c r="BC19" s="1734" t="s">
        <v>155</v>
      </c>
      <c r="BD19" s="1735" t="s">
        <v>312</v>
      </c>
    </row>
    <row r="20" spans="2:56">
      <c r="B20" s="1736">
        <v>42370</v>
      </c>
      <c r="C20" s="1737">
        <f>COMPOSITE!B$199</f>
        <v>2542</v>
      </c>
      <c r="D20" s="1738">
        <f>COMPOSITE!C$199</f>
        <v>69</v>
      </c>
      <c r="E20" s="1739">
        <f>COMPOSITE!D$199</f>
        <v>482</v>
      </c>
      <c r="F20" s="1740">
        <f>COMPOSITE!$B$176</f>
        <v>0</v>
      </c>
      <c r="G20" s="1738">
        <f>COMPOSITE!$C$176</f>
        <v>0</v>
      </c>
      <c r="H20" s="1904"/>
      <c r="I20" s="1740">
        <f>COMPOSITE!$B$177</f>
        <v>0</v>
      </c>
      <c r="J20" s="1738">
        <f>COMPOSITE!$C$177</f>
        <v>0</v>
      </c>
      <c r="K20" s="1742">
        <f>COMPOSITE!$D$177</f>
        <v>0</v>
      </c>
      <c r="L20" s="1740">
        <f>COMPOSITE!$B$178</f>
        <v>60</v>
      </c>
      <c r="M20" s="1738">
        <f>COMPOSITE!C$178</f>
        <v>24</v>
      </c>
      <c r="N20" s="1743"/>
      <c r="O20" s="1741">
        <f>COMPOSITE!B$179</f>
        <v>0</v>
      </c>
      <c r="P20" s="1738">
        <f>COMPOSITE!C$179</f>
        <v>24</v>
      </c>
      <c r="Q20" s="1742">
        <f>COMPOSITE!D$179</f>
        <v>0</v>
      </c>
      <c r="R20" s="1740">
        <f>COMPOSITE!B$180</f>
        <v>1.5</v>
      </c>
      <c r="S20" s="1738">
        <f>COMPOSITE!C$180</f>
        <v>0</v>
      </c>
      <c r="T20" s="1739">
        <f>COMPOSITE!D$180</f>
        <v>0</v>
      </c>
      <c r="U20" s="1741">
        <f>COMPOSITE!B$181</f>
        <v>452</v>
      </c>
      <c r="V20" s="1738">
        <f>COMPOSITE!C$181</f>
        <v>0</v>
      </c>
      <c r="W20" s="1742">
        <f>COMPOSITE!D$181</f>
        <v>0</v>
      </c>
      <c r="X20" s="1740">
        <f>COMPOSITE!B$182</f>
        <v>165</v>
      </c>
      <c r="Y20" s="1738">
        <f>COMPOSITE!C$182</f>
        <v>0</v>
      </c>
      <c r="Z20" s="1739">
        <f>COMPOSITE!D$182</f>
        <v>0</v>
      </c>
      <c r="AA20" s="1741">
        <f>COMPOSITE!B183</f>
        <v>0</v>
      </c>
      <c r="AB20" s="1744">
        <f>COMPOSITE!C183</f>
        <v>0</v>
      </c>
      <c r="AC20" s="1745">
        <f>COMPOSITE!D183</f>
        <v>132</v>
      </c>
      <c r="AD20" s="1740">
        <f>COMPOSITE!B$184</f>
        <v>608.5</v>
      </c>
      <c r="AE20" s="1738">
        <f>COMPOSITE!C$184</f>
        <v>0</v>
      </c>
      <c r="AF20" s="1739">
        <f>COMPOSITE!D$184</f>
        <v>0</v>
      </c>
      <c r="AG20" s="1746">
        <f>COMPOSITE!B185</f>
        <v>0</v>
      </c>
      <c r="AH20" s="1747">
        <f>COMPOSITE!C185</f>
        <v>0</v>
      </c>
      <c r="AI20" s="1748">
        <f>COMPOSITE!D185</f>
        <v>0</v>
      </c>
      <c r="AJ20" s="1740">
        <f>COMPOSITE!B$186</f>
        <v>0</v>
      </c>
      <c r="AK20" s="1738">
        <f>COMPOSITE!C$186</f>
        <v>21</v>
      </c>
      <c r="AL20" s="1739">
        <f>COMPOSITE!D$186</f>
        <v>0</v>
      </c>
      <c r="AM20" s="1741">
        <f>COMPOSITE!B$188</f>
        <v>24</v>
      </c>
      <c r="AN20" s="1738">
        <f>COMPOSITE!C$188</f>
        <v>0</v>
      </c>
      <c r="AO20" s="1742">
        <f>COMPOSITE!D$188</f>
        <v>0</v>
      </c>
      <c r="AP20" s="1740">
        <f>COMPOSITE!B$187</f>
        <v>297</v>
      </c>
      <c r="AQ20" s="1738">
        <f>COMPOSITE!C$187</f>
        <v>0</v>
      </c>
      <c r="AR20" s="1739">
        <f>COMPOSITE!D$187</f>
        <v>0</v>
      </c>
      <c r="AS20" s="1741">
        <f>COMPOSITE!B$189</f>
        <v>324</v>
      </c>
      <c r="AT20" s="1738">
        <f>COMPOSITE!C$189</f>
        <v>0</v>
      </c>
      <c r="AU20" s="1742">
        <f>COMPOSITE!D$189</f>
        <v>0</v>
      </c>
      <c r="AV20" s="1740">
        <f>COMPOSITE!B190</f>
        <v>174</v>
      </c>
      <c r="AW20" s="1738">
        <f>COMPOSITE!C190</f>
        <v>0</v>
      </c>
      <c r="AX20" s="1739">
        <f>COMPOSITE!D190</f>
        <v>0</v>
      </c>
      <c r="AY20" s="1740">
        <f>COMPOSITE!B191</f>
        <v>0</v>
      </c>
      <c r="AZ20" s="1738">
        <f>COMPOSITE!C191</f>
        <v>0</v>
      </c>
      <c r="BA20" s="1739">
        <f>COMPOSITE!D191</f>
        <v>26</v>
      </c>
      <c r="BB20" s="1741">
        <f>COMPOSITE!B192</f>
        <v>436</v>
      </c>
      <c r="BC20" s="1738">
        <f>COMPOSITE!C192</f>
        <v>0</v>
      </c>
      <c r="BD20" s="1749">
        <f>COMPOSITE!D192</f>
        <v>300</v>
      </c>
    </row>
    <row r="21" spans="2:56">
      <c r="B21" s="1750">
        <v>42401</v>
      </c>
      <c r="C21" s="1751">
        <f>COMPOSITE!E$199</f>
        <v>2253</v>
      </c>
      <c r="D21" s="1752">
        <f>COMPOSITE!F$199</f>
        <v>111</v>
      </c>
      <c r="E21" s="1753">
        <f>COMPOSITE!G$199</f>
        <v>594</v>
      </c>
      <c r="F21" s="1754">
        <f>COMPOSITE!$E$176</f>
        <v>0</v>
      </c>
      <c r="G21" s="1752">
        <f>COMPOSITE!$F$176</f>
        <v>0</v>
      </c>
      <c r="H21" s="1904"/>
      <c r="I21" s="1755">
        <f>COMPOSITE!$E$177</f>
        <v>0</v>
      </c>
      <c r="J21" s="1752">
        <f>COMPOSITE!$F$177</f>
        <v>0</v>
      </c>
      <c r="K21" s="1756">
        <f>COMPOSITE!$G$177</f>
        <v>0</v>
      </c>
      <c r="L21" s="1754">
        <f>COMPOSITE!$E$178</f>
        <v>24</v>
      </c>
      <c r="M21" s="1752">
        <f>COMPOSITE!F$178</f>
        <v>48</v>
      </c>
      <c r="N21" s="1743"/>
      <c r="O21" s="1755">
        <f>COMPOSITE!E$179</f>
        <v>0</v>
      </c>
      <c r="P21" s="1752">
        <f>COMPOSITE!F$179</f>
        <v>24</v>
      </c>
      <c r="Q21" s="1756">
        <f>COMPOSITE!G$179</f>
        <v>0</v>
      </c>
      <c r="R21" s="1754">
        <f>COMPOSITE!E$180</f>
        <v>0</v>
      </c>
      <c r="S21" s="1752">
        <f>COMPOSITE!F$180</f>
        <v>0</v>
      </c>
      <c r="T21" s="1753">
        <f>COMPOSITE!G$180</f>
        <v>0</v>
      </c>
      <c r="U21" s="1755">
        <f>COMPOSITE!E$181</f>
        <v>173</v>
      </c>
      <c r="V21" s="1752">
        <f>COMPOSITE!F$181</f>
        <v>10</v>
      </c>
      <c r="W21" s="1756">
        <f>COMPOSITE!G$181</f>
        <v>91</v>
      </c>
      <c r="X21" s="1754">
        <f>COMPOSITE!E$182</f>
        <v>180</v>
      </c>
      <c r="Y21" s="1752">
        <f>COMPOSITE!F$182</f>
        <v>0</v>
      </c>
      <c r="Z21" s="1753">
        <f>COMPOSITE!G$182</f>
        <v>0</v>
      </c>
      <c r="AA21" s="1755">
        <f>COMPOSITE!E183</f>
        <v>187</v>
      </c>
      <c r="AB21" s="1752">
        <f>COMPOSITE!F183</f>
        <v>0</v>
      </c>
      <c r="AC21" s="1756">
        <f>COMPOSITE!G183</f>
        <v>359</v>
      </c>
      <c r="AD21" s="1754">
        <f>COMPOSITE!E$184</f>
        <v>698</v>
      </c>
      <c r="AE21" s="1752">
        <f>COMPOSITE!F$184</f>
        <v>0</v>
      </c>
      <c r="AF21" s="1753">
        <f>COMPOSITE!G$184</f>
        <v>13</v>
      </c>
      <c r="AG21" s="1757">
        <f>COMPOSITE!E185</f>
        <v>0</v>
      </c>
      <c r="AH21" s="1758">
        <f>COMPOSITE!F185</f>
        <v>0</v>
      </c>
      <c r="AI21" s="1759">
        <f>COMPOSITE!G185</f>
        <v>0</v>
      </c>
      <c r="AJ21" s="1754">
        <f>COMPOSITE!E$186</f>
        <v>0</v>
      </c>
      <c r="AK21" s="1752">
        <f>COMPOSITE!F$186</f>
        <v>17</v>
      </c>
      <c r="AL21" s="1753">
        <f>COMPOSITE!G$186</f>
        <v>0</v>
      </c>
      <c r="AM21" s="1755">
        <f>COMPOSITE!E$188</f>
        <v>67</v>
      </c>
      <c r="AN21" s="1752">
        <f>COMPOSITE!F$188</f>
        <v>12</v>
      </c>
      <c r="AO21" s="1756">
        <f>COMPOSITE!G$188</f>
        <v>0</v>
      </c>
      <c r="AP21" s="1754">
        <f>COMPOSITE!E$187</f>
        <v>236</v>
      </c>
      <c r="AQ21" s="1752">
        <f>COMPOSITE!F$187</f>
        <v>0</v>
      </c>
      <c r="AR21" s="1753">
        <f>COMPOSITE!G$187</f>
        <v>13</v>
      </c>
      <c r="AS21" s="1755">
        <f>COMPOSITE!E$189</f>
        <v>36</v>
      </c>
      <c r="AT21" s="1752">
        <f>COMPOSITE!F$189</f>
        <v>0</v>
      </c>
      <c r="AU21" s="1756">
        <f>COMPOSITE!G$189</f>
        <v>0</v>
      </c>
      <c r="AV21" s="1754">
        <f>COMPOSITE!E190</f>
        <v>186</v>
      </c>
      <c r="AW21" s="1752">
        <f>COMPOSITE!F190</f>
        <v>0</v>
      </c>
      <c r="AX21" s="1753">
        <f>COMPOSITE!G190</f>
        <v>0</v>
      </c>
      <c r="AY21" s="1754">
        <f>COMPOSITE!E191</f>
        <v>72</v>
      </c>
      <c r="AZ21" s="1752">
        <f>COMPOSITE!F191</f>
        <v>0</v>
      </c>
      <c r="BA21" s="1753">
        <f>COMPOSITE!G191</f>
        <v>24</v>
      </c>
      <c r="BB21" s="1755">
        <f>COMPOSITE!E192</f>
        <v>370</v>
      </c>
      <c r="BC21" s="1752">
        <f>COMPOSITE!F192</f>
        <v>0</v>
      </c>
      <c r="BD21" s="1760">
        <f>COMPOSITE!G192</f>
        <v>94</v>
      </c>
    </row>
    <row r="22" spans="2:56">
      <c r="B22" s="1750">
        <v>42430</v>
      </c>
      <c r="C22" s="1751">
        <f>COMPOSITE!H$199</f>
        <v>2443</v>
      </c>
      <c r="D22" s="1752">
        <f>COMPOSITE!I$199</f>
        <v>34</v>
      </c>
      <c r="E22" s="1753">
        <f>COMPOSITE!J$199</f>
        <v>438</v>
      </c>
      <c r="F22" s="1754">
        <f>COMPOSITE!$H$176</f>
        <v>0</v>
      </c>
      <c r="G22" s="1752">
        <f>COMPOSITE!$I$176</f>
        <v>0</v>
      </c>
      <c r="H22" s="1904"/>
      <c r="I22" s="1755">
        <f>COMPOSITE!$H$177</f>
        <v>0</v>
      </c>
      <c r="J22" s="1752">
        <f>COMPOSITE!$I$177</f>
        <v>0</v>
      </c>
      <c r="K22" s="1756">
        <f>COMPOSITE!$J$177</f>
        <v>0</v>
      </c>
      <c r="L22" s="1754">
        <f>COMPOSITE!$H$178</f>
        <v>48</v>
      </c>
      <c r="M22" s="1752">
        <f>COMPOSITE!I$178</f>
        <v>24</v>
      </c>
      <c r="N22" s="1743"/>
      <c r="O22" s="1755">
        <f>COMPOSITE!H$179</f>
        <v>12</v>
      </c>
      <c r="P22" s="1752">
        <f>COMPOSITE!I$179</f>
        <v>0</v>
      </c>
      <c r="Q22" s="1756">
        <f>COMPOSITE!J$179</f>
        <v>0</v>
      </c>
      <c r="R22" s="1754">
        <f>COMPOSITE!H$180</f>
        <v>130</v>
      </c>
      <c r="S22" s="1752">
        <f>COMPOSITE!I$180</f>
        <v>0</v>
      </c>
      <c r="T22" s="1753">
        <f>COMPOSITE!J$180</f>
        <v>0</v>
      </c>
      <c r="U22" s="1755">
        <f>COMPOSITE!H$181</f>
        <v>197</v>
      </c>
      <c r="V22" s="1752">
        <f>COMPOSITE!I$181</f>
        <v>10</v>
      </c>
      <c r="W22" s="1756">
        <f>COMPOSITE!J$181</f>
        <v>101</v>
      </c>
      <c r="X22" s="1754">
        <f>COMPOSITE!H$182</f>
        <v>240</v>
      </c>
      <c r="Y22" s="1752">
        <f>COMPOSITE!I$182</f>
        <v>0</v>
      </c>
      <c r="Z22" s="1753">
        <f>COMPOSITE!J$182</f>
        <v>0</v>
      </c>
      <c r="AA22" s="1755">
        <f>COMPOSITE!H183</f>
        <v>217.5</v>
      </c>
      <c r="AB22" s="1752">
        <f>COMPOSITE!I183</f>
        <v>0</v>
      </c>
      <c r="AC22" s="1756">
        <f>COMPOSITE!J183</f>
        <v>195</v>
      </c>
      <c r="AD22" s="1754">
        <f>COMPOSITE!H$184</f>
        <v>752.5</v>
      </c>
      <c r="AE22" s="1752">
        <f>COMPOSITE!I$184</f>
        <v>0</v>
      </c>
      <c r="AF22" s="1753">
        <f>COMPOSITE!J$184</f>
        <v>0</v>
      </c>
      <c r="AG22" s="1757">
        <f>COMPOSITE!H185</f>
        <v>0</v>
      </c>
      <c r="AH22" s="1758">
        <f>COMPOSITE!I185</f>
        <v>0</v>
      </c>
      <c r="AI22" s="1759">
        <f>COMPOSITE!J185</f>
        <v>0</v>
      </c>
      <c r="AJ22" s="1754">
        <f>COMPOSITE!H$186</f>
        <v>0</v>
      </c>
      <c r="AK22" s="1752">
        <f>COMPOSITE!I$186</f>
        <v>0</v>
      </c>
      <c r="AL22" s="1753">
        <f>COMPOSITE!J$186</f>
        <v>0</v>
      </c>
      <c r="AM22" s="1755">
        <f>COMPOSITE!H$188</f>
        <v>54</v>
      </c>
      <c r="AN22" s="1752">
        <f>COMPOSITE!I$188</f>
        <v>0</v>
      </c>
      <c r="AO22" s="1756">
        <f>COMPOSITE!J$188</f>
        <v>0</v>
      </c>
      <c r="AP22" s="1754">
        <f>COMPOSITE!H$187</f>
        <v>250</v>
      </c>
      <c r="AQ22" s="1752">
        <f>COMPOSITE!I$187</f>
        <v>0</v>
      </c>
      <c r="AR22" s="1753">
        <f>COMPOSITE!J$187</f>
        <v>0</v>
      </c>
      <c r="AS22" s="1755">
        <f>COMPOSITE!H$189</f>
        <v>36</v>
      </c>
      <c r="AT22" s="1752">
        <f>COMPOSITE!I$189</f>
        <v>0</v>
      </c>
      <c r="AU22" s="1756">
        <f>COMPOSITE!J$189</f>
        <v>0</v>
      </c>
      <c r="AV22" s="1754">
        <f>COMPOSITE!H191</f>
        <v>48</v>
      </c>
      <c r="AW22" s="1752">
        <f>COMPOSITE!I190</f>
        <v>0</v>
      </c>
      <c r="AX22" s="1753">
        <f>COMPOSITE!J190</f>
        <v>0</v>
      </c>
      <c r="AY22" s="1754">
        <f>COMPOSITE!H191</f>
        <v>48</v>
      </c>
      <c r="AZ22" s="1752">
        <f>COMPOSITE!I191</f>
        <v>0</v>
      </c>
      <c r="BA22" s="1753">
        <f>COMPOSITE!J191</f>
        <v>0</v>
      </c>
      <c r="BB22" s="1755">
        <f>COMPOSITE!H192</f>
        <v>257</v>
      </c>
      <c r="BC22" s="1752">
        <f>COMPOSITE!I192</f>
        <v>0</v>
      </c>
      <c r="BD22" s="1760">
        <f>COMPOSITE!J192</f>
        <v>142</v>
      </c>
    </row>
    <row r="23" spans="2:56">
      <c r="B23" s="1750">
        <v>42461</v>
      </c>
      <c r="C23" s="1751">
        <f>COMPOSITE!K$199</f>
        <v>2728</v>
      </c>
      <c r="D23" s="1752">
        <f>COMPOSITE!L$199</f>
        <v>240</v>
      </c>
      <c r="E23" s="1753">
        <f>COMPOSITE!J$199</f>
        <v>438</v>
      </c>
      <c r="F23" s="1754"/>
      <c r="G23" s="1752"/>
      <c r="H23" s="1904"/>
      <c r="I23" s="1755"/>
      <c r="J23" s="1752"/>
      <c r="K23" s="1756"/>
      <c r="L23" s="1754"/>
      <c r="M23" s="1752"/>
      <c r="N23" s="1743"/>
      <c r="O23" s="1755"/>
      <c r="P23" s="1752"/>
      <c r="Q23" s="1756"/>
      <c r="R23" s="1754"/>
      <c r="S23" s="1752"/>
      <c r="T23" s="1753"/>
      <c r="U23" s="1755"/>
      <c r="V23" s="1752"/>
      <c r="W23" s="1756"/>
      <c r="X23" s="1754"/>
      <c r="Y23" s="1752"/>
      <c r="Z23" s="1753"/>
      <c r="AA23" s="1755"/>
      <c r="AB23" s="1752"/>
      <c r="AC23" s="1756"/>
      <c r="AD23" s="1754"/>
      <c r="AE23" s="1752"/>
      <c r="AF23" s="1753"/>
      <c r="AG23" s="1757"/>
      <c r="AH23" s="1758"/>
      <c r="AI23" s="1759"/>
      <c r="AJ23" s="1754"/>
      <c r="AK23" s="1752"/>
      <c r="AL23" s="1753"/>
      <c r="AM23" s="1755"/>
      <c r="AN23" s="1752"/>
      <c r="AO23" s="1756"/>
      <c r="AP23" s="1754"/>
      <c r="AQ23" s="1752"/>
      <c r="AR23" s="1753"/>
      <c r="AS23" s="1755"/>
      <c r="AT23" s="1752"/>
      <c r="AU23" s="1756"/>
      <c r="AV23" s="1754"/>
      <c r="AW23" s="1752"/>
      <c r="AX23" s="1753"/>
      <c r="AY23" s="1754"/>
      <c r="AZ23" s="1752"/>
      <c r="BA23" s="1753"/>
      <c r="BB23" s="1755"/>
      <c r="BC23" s="1752"/>
      <c r="BD23" s="1760"/>
    </row>
    <row r="24" spans="2:56">
      <c r="B24" s="1750">
        <v>42491</v>
      </c>
      <c r="C24" s="1751"/>
      <c r="D24" s="1752"/>
      <c r="E24" s="1756"/>
      <c r="F24" s="1754"/>
      <c r="G24" s="1752"/>
      <c r="H24" s="1904"/>
      <c r="I24" s="1755"/>
      <c r="J24" s="1752"/>
      <c r="K24" s="1756"/>
      <c r="L24" s="1754"/>
      <c r="M24" s="1752"/>
      <c r="N24" s="1743"/>
      <c r="O24" s="1755"/>
      <c r="P24" s="1752"/>
      <c r="Q24" s="1756"/>
      <c r="R24" s="1754"/>
      <c r="S24" s="1752"/>
      <c r="T24" s="1753"/>
      <c r="U24" s="1755"/>
      <c r="V24" s="1752"/>
      <c r="W24" s="1756"/>
      <c r="X24" s="1754"/>
      <c r="Y24" s="1752"/>
      <c r="Z24" s="1753"/>
      <c r="AA24" s="1755"/>
      <c r="AB24" s="1752"/>
      <c r="AC24" s="1756"/>
      <c r="AD24" s="1754"/>
      <c r="AE24" s="1752"/>
      <c r="AF24" s="1753"/>
      <c r="AG24" s="1757"/>
      <c r="AH24" s="1758"/>
      <c r="AI24" s="1759"/>
      <c r="AJ24" s="1754"/>
      <c r="AK24" s="1752"/>
      <c r="AL24" s="1753"/>
      <c r="AM24" s="1755"/>
      <c r="AN24" s="1752"/>
      <c r="AO24" s="1756"/>
      <c r="AP24" s="1754"/>
      <c r="AQ24" s="1752"/>
      <c r="AR24" s="1753"/>
      <c r="AS24" s="1755"/>
      <c r="AT24" s="1752"/>
      <c r="AU24" s="1756"/>
      <c r="AV24" s="1754"/>
      <c r="AW24" s="1752"/>
      <c r="AX24" s="1753"/>
      <c r="AY24" s="1754"/>
      <c r="AZ24" s="1752"/>
      <c r="BA24" s="1753"/>
      <c r="BB24" s="1755"/>
      <c r="BC24" s="1752"/>
      <c r="BD24" s="1760"/>
    </row>
    <row r="25" spans="2:56">
      <c r="B25" s="1750">
        <v>42522</v>
      </c>
      <c r="C25" s="1751"/>
      <c r="D25" s="1752"/>
      <c r="E25" s="1756"/>
      <c r="F25" s="1754"/>
      <c r="G25" s="1752"/>
      <c r="H25" s="1904"/>
      <c r="I25" s="1755"/>
      <c r="J25" s="1752"/>
      <c r="K25" s="1756"/>
      <c r="L25" s="1754"/>
      <c r="M25" s="1752"/>
      <c r="N25" s="1743"/>
      <c r="O25" s="1755"/>
      <c r="P25" s="1752"/>
      <c r="Q25" s="1756"/>
      <c r="R25" s="1754"/>
      <c r="S25" s="1752"/>
      <c r="T25" s="1753"/>
      <c r="U25" s="1755"/>
      <c r="V25" s="1752"/>
      <c r="W25" s="1756"/>
      <c r="X25" s="1754"/>
      <c r="Y25" s="1752"/>
      <c r="Z25" s="1753"/>
      <c r="AA25" s="1755"/>
      <c r="AB25" s="1752"/>
      <c r="AC25" s="1756"/>
      <c r="AD25" s="1754"/>
      <c r="AE25" s="1752"/>
      <c r="AF25" s="1753"/>
      <c r="AG25" s="1757"/>
      <c r="AH25" s="1758"/>
      <c r="AI25" s="1759"/>
      <c r="AJ25" s="1754"/>
      <c r="AK25" s="1752"/>
      <c r="AL25" s="1753"/>
      <c r="AM25" s="1755"/>
      <c r="AN25" s="1752"/>
      <c r="AO25" s="1756"/>
      <c r="AP25" s="1754"/>
      <c r="AQ25" s="1752"/>
      <c r="AR25" s="1753"/>
      <c r="AS25" s="1755"/>
      <c r="AT25" s="1752"/>
      <c r="AU25" s="1756"/>
      <c r="AV25" s="1754"/>
      <c r="AW25" s="1752"/>
      <c r="AX25" s="1753"/>
      <c r="AY25" s="1754"/>
      <c r="AZ25" s="1752"/>
      <c r="BA25" s="1753"/>
      <c r="BB25" s="1755"/>
      <c r="BC25" s="1752"/>
      <c r="BD25" s="1760"/>
    </row>
    <row r="26" spans="2:56">
      <c r="B26" s="1750">
        <v>42552</v>
      </c>
      <c r="C26" s="1751"/>
      <c r="D26" s="1752"/>
      <c r="E26" s="1756"/>
      <c r="F26" s="1754"/>
      <c r="G26" s="1752"/>
      <c r="H26" s="1904"/>
      <c r="I26" s="1755"/>
      <c r="J26" s="1752"/>
      <c r="K26" s="1756"/>
      <c r="L26" s="1754"/>
      <c r="M26" s="1752"/>
      <c r="N26" s="1743"/>
      <c r="O26" s="1755"/>
      <c r="P26" s="1752"/>
      <c r="Q26" s="1756"/>
      <c r="R26" s="1754"/>
      <c r="S26" s="1752"/>
      <c r="T26" s="1753"/>
      <c r="U26" s="1755"/>
      <c r="V26" s="1752"/>
      <c r="W26" s="1756"/>
      <c r="X26" s="1754"/>
      <c r="Y26" s="1752"/>
      <c r="Z26" s="1753"/>
      <c r="AA26" s="1755"/>
      <c r="AB26" s="1752"/>
      <c r="AC26" s="1756"/>
      <c r="AD26" s="1754"/>
      <c r="AE26" s="1752"/>
      <c r="AF26" s="1753"/>
      <c r="AG26" s="1757"/>
      <c r="AH26" s="1758"/>
      <c r="AI26" s="1759"/>
      <c r="AJ26" s="1754"/>
      <c r="AK26" s="1752"/>
      <c r="AL26" s="1753"/>
      <c r="AM26" s="1755"/>
      <c r="AN26" s="1752"/>
      <c r="AO26" s="1756"/>
      <c r="AP26" s="1754"/>
      <c r="AQ26" s="1752"/>
      <c r="AR26" s="1753"/>
      <c r="AS26" s="1755"/>
      <c r="AT26" s="1752"/>
      <c r="AU26" s="1756"/>
      <c r="AV26" s="1754"/>
      <c r="AW26" s="1752"/>
      <c r="AX26" s="1753"/>
      <c r="AY26" s="1754"/>
      <c r="AZ26" s="1752"/>
      <c r="BA26" s="1753"/>
      <c r="BB26" s="1755"/>
      <c r="BC26" s="1752"/>
      <c r="BD26" s="1760"/>
    </row>
    <row r="27" spans="2:56">
      <c r="B27" s="1750">
        <v>42583</v>
      </c>
      <c r="C27" s="1751"/>
      <c r="D27" s="1752"/>
      <c r="E27" s="1756"/>
      <c r="F27" s="1754"/>
      <c r="G27" s="1752"/>
      <c r="H27" s="1904"/>
      <c r="I27" s="1755"/>
      <c r="J27" s="1752"/>
      <c r="K27" s="1756"/>
      <c r="L27" s="1754"/>
      <c r="M27" s="1752"/>
      <c r="N27" s="1743"/>
      <c r="O27" s="1755"/>
      <c r="P27" s="1752"/>
      <c r="Q27" s="1756"/>
      <c r="R27" s="1754"/>
      <c r="S27" s="1752"/>
      <c r="T27" s="1753"/>
      <c r="U27" s="1755"/>
      <c r="V27" s="1752"/>
      <c r="W27" s="1756"/>
      <c r="X27" s="1754"/>
      <c r="Y27" s="1752"/>
      <c r="Z27" s="1753"/>
      <c r="AA27" s="1755"/>
      <c r="AB27" s="1752"/>
      <c r="AC27" s="1756"/>
      <c r="AD27" s="1754"/>
      <c r="AE27" s="1752"/>
      <c r="AF27" s="1753"/>
      <c r="AG27" s="1757"/>
      <c r="AH27" s="1758"/>
      <c r="AI27" s="1759"/>
      <c r="AJ27" s="1754"/>
      <c r="AK27" s="1752"/>
      <c r="AL27" s="1753"/>
      <c r="AM27" s="1755"/>
      <c r="AN27" s="1752"/>
      <c r="AO27" s="1756"/>
      <c r="AP27" s="1754"/>
      <c r="AQ27" s="1752"/>
      <c r="AR27" s="1753"/>
      <c r="AS27" s="1755"/>
      <c r="AT27" s="1752"/>
      <c r="AU27" s="1756"/>
      <c r="AV27" s="1754"/>
      <c r="AW27" s="1752"/>
      <c r="AX27" s="1753"/>
      <c r="AY27" s="1754"/>
      <c r="AZ27" s="1752"/>
      <c r="BA27" s="1753"/>
      <c r="BB27" s="1755"/>
      <c r="BC27" s="1752"/>
      <c r="BD27" s="1760"/>
    </row>
    <row r="28" spans="2:56">
      <c r="B28" s="1750">
        <v>42614</v>
      </c>
      <c r="C28" s="1751"/>
      <c r="D28" s="1752"/>
      <c r="E28" s="1756"/>
      <c r="F28" s="1754"/>
      <c r="G28" s="1752"/>
      <c r="H28" s="1904"/>
      <c r="I28" s="1755"/>
      <c r="J28" s="1752"/>
      <c r="K28" s="1756"/>
      <c r="L28" s="1754"/>
      <c r="M28" s="1752"/>
      <c r="N28" s="1743"/>
      <c r="O28" s="1755"/>
      <c r="P28" s="1752"/>
      <c r="Q28" s="1756"/>
      <c r="R28" s="1754"/>
      <c r="S28" s="1752"/>
      <c r="T28" s="1753"/>
      <c r="U28" s="1755"/>
      <c r="V28" s="1752"/>
      <c r="W28" s="1756"/>
      <c r="X28" s="1754"/>
      <c r="Y28" s="1752"/>
      <c r="Z28" s="1753"/>
      <c r="AA28" s="1755"/>
      <c r="AB28" s="1752"/>
      <c r="AC28" s="1756"/>
      <c r="AD28" s="1754"/>
      <c r="AE28" s="1752"/>
      <c r="AF28" s="1753"/>
      <c r="AG28" s="1757"/>
      <c r="AH28" s="1758"/>
      <c r="AI28" s="1759"/>
      <c r="AJ28" s="1754"/>
      <c r="AK28" s="1752"/>
      <c r="AL28" s="1753"/>
      <c r="AM28" s="1755"/>
      <c r="AN28" s="1752"/>
      <c r="AO28" s="1756"/>
      <c r="AP28" s="1754"/>
      <c r="AQ28" s="1752"/>
      <c r="AR28" s="1753"/>
      <c r="AS28" s="1755"/>
      <c r="AT28" s="1752"/>
      <c r="AU28" s="1756"/>
      <c r="AV28" s="1754"/>
      <c r="AW28" s="1752"/>
      <c r="AX28" s="1753"/>
      <c r="AY28" s="1754"/>
      <c r="AZ28" s="1752"/>
      <c r="BA28" s="1753"/>
      <c r="BB28" s="1755"/>
      <c r="BC28" s="1752"/>
      <c r="BD28" s="1760"/>
    </row>
    <row r="29" spans="2:56">
      <c r="B29" s="1750">
        <v>42644</v>
      </c>
      <c r="C29" s="1751"/>
      <c r="D29" s="1752"/>
      <c r="E29" s="1756"/>
      <c r="F29" s="1754"/>
      <c r="G29" s="1752"/>
      <c r="H29" s="1904"/>
      <c r="I29" s="1755"/>
      <c r="J29" s="1752"/>
      <c r="K29" s="1756"/>
      <c r="L29" s="1754"/>
      <c r="M29" s="1752"/>
      <c r="N29" s="1743"/>
      <c r="O29" s="1755"/>
      <c r="P29" s="1752"/>
      <c r="Q29" s="1756"/>
      <c r="R29" s="1754"/>
      <c r="S29" s="1752"/>
      <c r="T29" s="1753"/>
      <c r="U29" s="1755"/>
      <c r="V29" s="1752"/>
      <c r="W29" s="1756"/>
      <c r="X29" s="1754"/>
      <c r="Y29" s="1752"/>
      <c r="Z29" s="1753"/>
      <c r="AA29" s="1755"/>
      <c r="AB29" s="1752"/>
      <c r="AC29" s="1756"/>
      <c r="AD29" s="1754"/>
      <c r="AE29" s="1752"/>
      <c r="AF29" s="1753"/>
      <c r="AG29" s="1757"/>
      <c r="AH29" s="1758"/>
      <c r="AI29" s="1759"/>
      <c r="AJ29" s="1754"/>
      <c r="AK29" s="1752"/>
      <c r="AL29" s="1753"/>
      <c r="AM29" s="1755"/>
      <c r="AN29" s="1752"/>
      <c r="AO29" s="1756"/>
      <c r="AP29" s="1754"/>
      <c r="AQ29" s="1752"/>
      <c r="AR29" s="1753"/>
      <c r="AS29" s="1755"/>
      <c r="AT29" s="1752"/>
      <c r="AU29" s="1756"/>
      <c r="AV29" s="1754"/>
      <c r="AW29" s="1752"/>
      <c r="AX29" s="1753"/>
      <c r="AY29" s="1754"/>
      <c r="AZ29" s="1752"/>
      <c r="BA29" s="1753"/>
      <c r="BB29" s="1755"/>
      <c r="BC29" s="1752"/>
      <c r="BD29" s="1760"/>
    </row>
    <row r="30" spans="2:56">
      <c r="B30" s="1750">
        <v>42675</v>
      </c>
      <c r="C30" s="1751"/>
      <c r="D30" s="1752"/>
      <c r="E30" s="1756"/>
      <c r="F30" s="1754"/>
      <c r="G30" s="1752"/>
      <c r="H30" s="1904"/>
      <c r="I30" s="1755"/>
      <c r="J30" s="1752"/>
      <c r="K30" s="1756"/>
      <c r="L30" s="1754"/>
      <c r="M30" s="1752"/>
      <c r="N30" s="1743"/>
      <c r="O30" s="1755"/>
      <c r="P30" s="1752"/>
      <c r="Q30" s="1756"/>
      <c r="R30" s="1754"/>
      <c r="S30" s="1752"/>
      <c r="T30" s="1753"/>
      <c r="U30" s="1755"/>
      <c r="V30" s="1752"/>
      <c r="W30" s="1756"/>
      <c r="X30" s="1754"/>
      <c r="Y30" s="1752"/>
      <c r="Z30" s="1753"/>
      <c r="AA30" s="1755"/>
      <c r="AB30" s="1752"/>
      <c r="AC30" s="1756"/>
      <c r="AD30" s="1754"/>
      <c r="AE30" s="1752"/>
      <c r="AF30" s="1753"/>
      <c r="AG30" s="1757"/>
      <c r="AH30" s="1758"/>
      <c r="AI30" s="1759"/>
      <c r="AJ30" s="1754"/>
      <c r="AK30" s="1752"/>
      <c r="AL30" s="1753"/>
      <c r="AM30" s="1755"/>
      <c r="AN30" s="1752"/>
      <c r="AO30" s="1756"/>
      <c r="AP30" s="1754"/>
      <c r="AQ30" s="1752"/>
      <c r="AR30" s="1753"/>
      <c r="AS30" s="1755"/>
      <c r="AT30" s="1752"/>
      <c r="AU30" s="1756"/>
      <c r="AV30" s="1754"/>
      <c r="AW30" s="1752"/>
      <c r="AX30" s="1753"/>
      <c r="AY30" s="1754"/>
      <c r="AZ30" s="1752"/>
      <c r="BA30" s="1753"/>
      <c r="BB30" s="1755"/>
      <c r="BC30" s="1752"/>
      <c r="BD30" s="1760"/>
    </row>
    <row r="31" spans="2:56">
      <c r="B31" s="1761">
        <v>42705</v>
      </c>
      <c r="C31" s="1762"/>
      <c r="D31" s="1763"/>
      <c r="E31" s="1764"/>
      <c r="F31" s="1765"/>
      <c r="G31" s="1763"/>
      <c r="H31" s="1904"/>
      <c r="I31" s="1767"/>
      <c r="J31" s="1763"/>
      <c r="K31" s="1764"/>
      <c r="L31" s="1765"/>
      <c r="M31" s="1763"/>
      <c r="N31" s="1743"/>
      <c r="O31" s="1767"/>
      <c r="P31" s="1763"/>
      <c r="Q31" s="1764"/>
      <c r="R31" s="1765"/>
      <c r="S31" s="1763"/>
      <c r="T31" s="1766"/>
      <c r="U31" s="1767"/>
      <c r="V31" s="1763"/>
      <c r="W31" s="1764"/>
      <c r="X31" s="1765"/>
      <c r="Y31" s="1763"/>
      <c r="Z31" s="1766"/>
      <c r="AA31" s="1767"/>
      <c r="AB31" s="1763"/>
      <c r="AC31" s="1764"/>
      <c r="AD31" s="1765"/>
      <c r="AE31" s="1763"/>
      <c r="AF31" s="1766"/>
      <c r="AG31" s="1768"/>
      <c r="AH31" s="1769"/>
      <c r="AI31" s="1770"/>
      <c r="AJ31" s="1765"/>
      <c r="AK31" s="1763"/>
      <c r="AL31" s="1766"/>
      <c r="AM31" s="1767"/>
      <c r="AN31" s="1763"/>
      <c r="AO31" s="1764"/>
      <c r="AP31" s="1765"/>
      <c r="AQ31" s="1763"/>
      <c r="AR31" s="1766"/>
      <c r="AS31" s="1767"/>
      <c r="AT31" s="1763"/>
      <c r="AU31" s="1764"/>
      <c r="AV31" s="1765"/>
      <c r="AW31" s="1763"/>
      <c r="AX31" s="1766"/>
      <c r="AY31" s="1765"/>
      <c r="AZ31" s="1763"/>
      <c r="BA31" s="1766"/>
      <c r="BB31" s="1767"/>
      <c r="BC31" s="1763"/>
      <c r="BD31" s="1771"/>
    </row>
    <row r="32" spans="2:56" ht="15.75" thickBot="1">
      <c r="B32" s="1772" t="s">
        <v>277</v>
      </c>
      <c r="C32" s="1773">
        <f>SUM(C20:C31)</f>
        <v>9966</v>
      </c>
      <c r="D32" s="1774">
        <f t="shared" ref="D32:AU32" si="0">SUM(D20:D31)</f>
        <v>454</v>
      </c>
      <c r="E32" s="1774">
        <f t="shared" si="0"/>
        <v>1952</v>
      </c>
      <c r="F32" s="1774">
        <f t="shared" si="0"/>
        <v>0</v>
      </c>
      <c r="G32" s="1774">
        <f t="shared" si="0"/>
        <v>0</v>
      </c>
      <c r="H32" s="1931">
        <f t="shared" si="0"/>
        <v>0</v>
      </c>
      <c r="I32" s="1774">
        <f t="shared" si="0"/>
        <v>0</v>
      </c>
      <c r="J32" s="1774">
        <f t="shared" si="0"/>
        <v>0</v>
      </c>
      <c r="K32" s="1774">
        <f t="shared" si="0"/>
        <v>0</v>
      </c>
      <c r="L32" s="1774">
        <f t="shared" si="0"/>
        <v>132</v>
      </c>
      <c r="M32" s="1774">
        <f t="shared" si="0"/>
        <v>96</v>
      </c>
      <c r="N32" s="1931">
        <f t="shared" si="0"/>
        <v>0</v>
      </c>
      <c r="O32" s="1774">
        <f t="shared" si="0"/>
        <v>12</v>
      </c>
      <c r="P32" s="1774">
        <f t="shared" si="0"/>
        <v>48</v>
      </c>
      <c r="Q32" s="1774">
        <f t="shared" si="0"/>
        <v>0</v>
      </c>
      <c r="R32" s="1774">
        <f t="shared" si="0"/>
        <v>131.5</v>
      </c>
      <c r="S32" s="1774">
        <f t="shared" si="0"/>
        <v>0</v>
      </c>
      <c r="T32" s="1774">
        <f t="shared" si="0"/>
        <v>0</v>
      </c>
      <c r="U32" s="1774">
        <f t="shared" si="0"/>
        <v>822</v>
      </c>
      <c r="V32" s="1774">
        <f t="shared" si="0"/>
        <v>20</v>
      </c>
      <c r="W32" s="1774">
        <f t="shared" si="0"/>
        <v>192</v>
      </c>
      <c r="X32" s="1774">
        <f t="shared" si="0"/>
        <v>585</v>
      </c>
      <c r="Y32" s="1774">
        <f t="shared" si="0"/>
        <v>0</v>
      </c>
      <c r="Z32" s="1774">
        <f t="shared" si="0"/>
        <v>0</v>
      </c>
      <c r="AA32" s="1774">
        <f>SUM(AA20:AA31)</f>
        <v>404.5</v>
      </c>
      <c r="AB32" s="1774">
        <f>SUM(AB20:AB31)</f>
        <v>0</v>
      </c>
      <c r="AC32" s="1774">
        <f>SUM(AC20:AC31)</f>
        <v>686</v>
      </c>
      <c r="AD32" s="1774">
        <f t="shared" si="0"/>
        <v>2059</v>
      </c>
      <c r="AE32" s="1774">
        <f t="shared" si="0"/>
        <v>0</v>
      </c>
      <c r="AF32" s="1774">
        <f t="shared" si="0"/>
        <v>13</v>
      </c>
      <c r="AG32" s="1774">
        <f t="shared" si="0"/>
        <v>0</v>
      </c>
      <c r="AH32" s="1774">
        <f t="shared" si="0"/>
        <v>0</v>
      </c>
      <c r="AI32" s="1774">
        <f t="shared" si="0"/>
        <v>0</v>
      </c>
      <c r="AJ32" s="1774">
        <f t="shared" si="0"/>
        <v>0</v>
      </c>
      <c r="AK32" s="1774">
        <f t="shared" si="0"/>
        <v>38</v>
      </c>
      <c r="AL32" s="1774">
        <f t="shared" si="0"/>
        <v>0</v>
      </c>
      <c r="AM32" s="1774">
        <f t="shared" si="0"/>
        <v>145</v>
      </c>
      <c r="AN32" s="1774">
        <f t="shared" si="0"/>
        <v>12</v>
      </c>
      <c r="AO32" s="1774">
        <f t="shared" si="0"/>
        <v>0</v>
      </c>
      <c r="AP32" s="1774">
        <f t="shared" si="0"/>
        <v>783</v>
      </c>
      <c r="AQ32" s="1774">
        <f>SUM(AQ20:AQ31)</f>
        <v>0</v>
      </c>
      <c r="AR32" s="1774">
        <f t="shared" si="0"/>
        <v>13</v>
      </c>
      <c r="AS32" s="1774">
        <f t="shared" si="0"/>
        <v>396</v>
      </c>
      <c r="AT32" s="1774">
        <f t="shared" si="0"/>
        <v>0</v>
      </c>
      <c r="AU32" s="1774">
        <f t="shared" si="0"/>
        <v>0</v>
      </c>
      <c r="AV32" s="1774">
        <f>SUM(AV20:AV31)</f>
        <v>408</v>
      </c>
      <c r="AW32" s="1774">
        <f>SUM(AW20:AW31)</f>
        <v>0</v>
      </c>
      <c r="AX32" s="1774">
        <f>SUM(AX20:AX31)</f>
        <v>0</v>
      </c>
      <c r="AY32" s="1774">
        <f t="shared" ref="AY32:BD32" si="1">SUM(AY20:AY31)</f>
        <v>120</v>
      </c>
      <c r="AZ32" s="1774">
        <f t="shared" si="1"/>
        <v>0</v>
      </c>
      <c r="BA32" s="1774">
        <f t="shared" si="1"/>
        <v>50</v>
      </c>
      <c r="BB32" s="1774">
        <f t="shared" si="1"/>
        <v>1063</v>
      </c>
      <c r="BC32" s="1774">
        <f t="shared" si="1"/>
        <v>0</v>
      </c>
      <c r="BD32" s="1775">
        <f t="shared" si="1"/>
        <v>536</v>
      </c>
    </row>
    <row r="33" spans="2:56" ht="15.75" thickTop="1"/>
    <row r="34" spans="2:56" ht="30" customHeight="1" thickBot="1">
      <c r="B34" s="1113" t="s">
        <v>315</v>
      </c>
      <c r="C34" s="144"/>
    </row>
    <row r="35" spans="2:56" ht="15.75" thickTop="1">
      <c r="B35" s="2795" t="s">
        <v>276</v>
      </c>
      <c r="C35" s="2797" t="s">
        <v>62</v>
      </c>
      <c r="D35" s="2791"/>
      <c r="E35" s="2791"/>
      <c r="F35" s="2791" t="s">
        <v>275</v>
      </c>
      <c r="G35" s="2791"/>
      <c r="H35" s="2791"/>
      <c r="I35" s="2791" t="s">
        <v>29</v>
      </c>
      <c r="J35" s="2791"/>
      <c r="K35" s="2791"/>
      <c r="L35" s="2791" t="s">
        <v>41</v>
      </c>
      <c r="M35" s="2791"/>
      <c r="N35" s="2791"/>
      <c r="O35" s="2791" t="s">
        <v>9</v>
      </c>
      <c r="P35" s="2791"/>
      <c r="Q35" s="2791"/>
      <c r="R35" s="2791" t="s">
        <v>474</v>
      </c>
      <c r="S35" s="2791"/>
      <c r="T35" s="2791"/>
      <c r="U35" s="2791" t="s">
        <v>476</v>
      </c>
      <c r="V35" s="2791"/>
      <c r="W35" s="2791"/>
      <c r="X35" s="2791" t="s">
        <v>477</v>
      </c>
      <c r="Y35" s="2791"/>
      <c r="Z35" s="2791"/>
      <c r="AA35" s="2791" t="s">
        <v>478</v>
      </c>
      <c r="AB35" s="2791"/>
      <c r="AC35" s="2791"/>
      <c r="AD35" s="2791" t="s">
        <v>479</v>
      </c>
      <c r="AE35" s="2791"/>
      <c r="AF35" s="2791"/>
      <c r="AG35" s="2791" t="s">
        <v>480</v>
      </c>
      <c r="AH35" s="2791"/>
      <c r="AI35" s="2791"/>
      <c r="AJ35" s="2791" t="s">
        <v>490</v>
      </c>
      <c r="AK35" s="2791"/>
      <c r="AL35" s="2791"/>
      <c r="AM35" s="2791" t="s">
        <v>492</v>
      </c>
      <c r="AN35" s="2791"/>
      <c r="AO35" s="2791"/>
      <c r="AP35" s="2791" t="s">
        <v>488</v>
      </c>
      <c r="AQ35" s="2791"/>
      <c r="AR35" s="2791"/>
      <c r="AS35" s="2791" t="s">
        <v>473</v>
      </c>
      <c r="AT35" s="2791"/>
      <c r="AU35" s="2791"/>
      <c r="AV35" s="2791" t="s">
        <v>468</v>
      </c>
      <c r="AW35" s="2791"/>
      <c r="AX35" s="2791"/>
      <c r="AY35" s="2791" t="s">
        <v>491</v>
      </c>
      <c r="AZ35" s="2791"/>
      <c r="BA35" s="2791"/>
      <c r="BB35" s="2791" t="s">
        <v>470</v>
      </c>
      <c r="BC35" s="2791"/>
      <c r="BD35" s="2792"/>
    </row>
    <row r="36" spans="2:56" s="397" customFormat="1" ht="30" customHeight="1">
      <c r="B36" s="2796"/>
      <c r="C36" s="1776" t="s">
        <v>311</v>
      </c>
      <c r="D36" s="1777" t="s">
        <v>155</v>
      </c>
      <c r="E36" s="1777" t="s">
        <v>312</v>
      </c>
      <c r="F36" s="1777" t="s">
        <v>311</v>
      </c>
      <c r="G36" s="1777" t="s">
        <v>155</v>
      </c>
      <c r="H36" s="1777" t="s">
        <v>312</v>
      </c>
      <c r="I36" s="1777" t="s">
        <v>311</v>
      </c>
      <c r="J36" s="1777" t="s">
        <v>155</v>
      </c>
      <c r="K36" s="1777" t="s">
        <v>312</v>
      </c>
      <c r="L36" s="1777" t="s">
        <v>311</v>
      </c>
      <c r="M36" s="1777" t="s">
        <v>155</v>
      </c>
      <c r="N36" s="1777" t="s">
        <v>312</v>
      </c>
      <c r="O36" s="1777" t="s">
        <v>311</v>
      </c>
      <c r="P36" s="1777" t="s">
        <v>155</v>
      </c>
      <c r="Q36" s="1777" t="s">
        <v>312</v>
      </c>
      <c r="R36" s="1777" t="s">
        <v>311</v>
      </c>
      <c r="S36" s="1777" t="s">
        <v>155</v>
      </c>
      <c r="T36" s="1777" t="s">
        <v>312</v>
      </c>
      <c r="U36" s="1777" t="s">
        <v>311</v>
      </c>
      <c r="V36" s="1777" t="s">
        <v>155</v>
      </c>
      <c r="W36" s="1777" t="s">
        <v>312</v>
      </c>
      <c r="X36" s="1777" t="s">
        <v>311</v>
      </c>
      <c r="Y36" s="1777" t="s">
        <v>155</v>
      </c>
      <c r="Z36" s="1777" t="s">
        <v>312</v>
      </c>
      <c r="AA36" s="1778" t="s">
        <v>311</v>
      </c>
      <c r="AB36" s="1778" t="s">
        <v>155</v>
      </c>
      <c r="AC36" s="1778" t="s">
        <v>312</v>
      </c>
      <c r="AD36" s="1777" t="s">
        <v>311</v>
      </c>
      <c r="AE36" s="1777" t="s">
        <v>155</v>
      </c>
      <c r="AF36" s="1777" t="s">
        <v>312</v>
      </c>
      <c r="AG36" s="1778" t="s">
        <v>311</v>
      </c>
      <c r="AH36" s="1778" t="s">
        <v>155</v>
      </c>
      <c r="AI36" s="1778" t="s">
        <v>312</v>
      </c>
      <c r="AJ36" s="1777" t="s">
        <v>311</v>
      </c>
      <c r="AK36" s="1777" t="s">
        <v>155</v>
      </c>
      <c r="AL36" s="1777" t="s">
        <v>312</v>
      </c>
      <c r="AM36" s="1777" t="s">
        <v>311</v>
      </c>
      <c r="AN36" s="1777" t="s">
        <v>155</v>
      </c>
      <c r="AO36" s="1777" t="s">
        <v>312</v>
      </c>
      <c r="AP36" s="1777" t="s">
        <v>311</v>
      </c>
      <c r="AQ36" s="1777" t="s">
        <v>155</v>
      </c>
      <c r="AR36" s="1777" t="s">
        <v>312</v>
      </c>
      <c r="AS36" s="1777" t="s">
        <v>311</v>
      </c>
      <c r="AT36" s="1777" t="s">
        <v>155</v>
      </c>
      <c r="AU36" s="1777" t="s">
        <v>312</v>
      </c>
      <c r="AV36" s="1778" t="s">
        <v>311</v>
      </c>
      <c r="AW36" s="1778" t="s">
        <v>155</v>
      </c>
      <c r="AX36" s="1779" t="s">
        <v>312</v>
      </c>
      <c r="AY36" s="1780" t="s">
        <v>311</v>
      </c>
      <c r="AZ36" s="1778" t="s">
        <v>155</v>
      </c>
      <c r="BA36" s="1781" t="s">
        <v>312</v>
      </c>
      <c r="BB36" s="1782" t="s">
        <v>311</v>
      </c>
      <c r="BC36" s="1778" t="s">
        <v>155</v>
      </c>
      <c r="BD36" s="1783" t="s">
        <v>312</v>
      </c>
    </row>
    <row r="37" spans="2:56">
      <c r="B37" s="1784">
        <v>42370</v>
      </c>
      <c r="C37" s="1785">
        <f>COMPOSITE!B$226</f>
        <v>479749.4</v>
      </c>
      <c r="D37" s="1786">
        <f>COMPOSITE!C$226</f>
        <v>42081</v>
      </c>
      <c r="E37" s="1787">
        <f>COMPOSITE!D$226</f>
        <v>0</v>
      </c>
      <c r="F37" s="1788">
        <f>COMPOSITE!$B$204</f>
        <v>0</v>
      </c>
      <c r="G37" s="1786">
        <f>COMPOSITE!$C$204</f>
        <v>240</v>
      </c>
      <c r="H37" s="1789">
        <f>COMPOSITE!$D$204</f>
        <v>0</v>
      </c>
      <c r="I37" s="1790">
        <f>COMPOSITE!$B$205</f>
        <v>0</v>
      </c>
      <c r="J37" s="1786">
        <f>COMPOSITE!$C$205</f>
        <v>0</v>
      </c>
      <c r="K37" s="1787">
        <f>COMPOSITE!$D$205</f>
        <v>0</v>
      </c>
      <c r="L37" s="1788">
        <f>COMPOSITE!B$206</f>
        <v>10500</v>
      </c>
      <c r="M37" s="1786">
        <f>COMPOSITE!C$206</f>
        <v>8600</v>
      </c>
      <c r="N37" s="1789">
        <f>COMPOSITE!$D$206</f>
        <v>0</v>
      </c>
      <c r="O37" s="1788">
        <f>COMPOSITE!B$207</f>
        <v>0</v>
      </c>
      <c r="P37" s="1786">
        <f>COMPOSITE!C$207</f>
        <v>4011</v>
      </c>
      <c r="Q37" s="1805">
        <f>COMPOSITE!$D$207</f>
        <v>0</v>
      </c>
      <c r="R37" s="1788">
        <f>COMPOSITE!B$208</f>
        <v>300</v>
      </c>
      <c r="S37" s="1786">
        <f>COMPOSITE!C$208</f>
        <v>0</v>
      </c>
      <c r="T37" s="1805">
        <f>COMPOSITE!$D$208</f>
        <v>0</v>
      </c>
      <c r="U37" s="1790">
        <f>COMPOSITE!B$209</f>
        <v>38000</v>
      </c>
      <c r="V37" s="1786">
        <f>COMPOSITE!C$209</f>
        <v>1130</v>
      </c>
      <c r="W37" s="1792">
        <f>COMPOSITE!$D$209</f>
        <v>0</v>
      </c>
      <c r="X37" s="1788">
        <f>COMPOSITE!B$210</f>
        <v>30420</v>
      </c>
      <c r="Y37" s="1786">
        <f>COMPOSITE!C$210</f>
        <v>0</v>
      </c>
      <c r="Z37" s="1791">
        <f>COMPOSITE!$D$209</f>
        <v>0</v>
      </c>
      <c r="AA37" s="1797">
        <f>COMPOSITE!B211</f>
        <v>42000</v>
      </c>
      <c r="AB37" s="1794">
        <f>COMPOSITE!C211</f>
        <v>7000</v>
      </c>
      <c r="AC37" s="1795">
        <f>COMPOSITE!D211</f>
        <v>0</v>
      </c>
      <c r="AD37" s="1788">
        <f>COMPOSITE!B$212</f>
        <v>126658</v>
      </c>
      <c r="AE37" s="1786">
        <f>COMPOSITE!C$212</f>
        <v>4112</v>
      </c>
      <c r="AF37" s="1798">
        <f>COMPOSITE!D212</f>
        <v>0</v>
      </c>
      <c r="AG37" s="1905">
        <f>COMPOSITE!B213</f>
        <v>0</v>
      </c>
      <c r="AH37" s="1796">
        <f>COMPOSITE!C213</f>
        <v>0</v>
      </c>
      <c r="AI37" s="1795">
        <f>COMPOSITE!D213</f>
        <v>0</v>
      </c>
      <c r="AJ37" s="1788">
        <f>COMPOSITE!B$214</f>
        <v>0</v>
      </c>
      <c r="AK37" s="1786">
        <f>COMPOSITE!C$214</f>
        <v>1300</v>
      </c>
      <c r="AL37" s="1791">
        <f>COMPOSITE!D214</f>
        <v>0</v>
      </c>
      <c r="AM37" s="1790">
        <f>COMPOSITE!B$216</f>
        <v>6000</v>
      </c>
      <c r="AN37" s="1786">
        <f>COMPOSITE!C$216</f>
        <v>3988</v>
      </c>
      <c r="AO37" s="1791">
        <f>COMPOSITE!D216</f>
        <v>0</v>
      </c>
      <c r="AP37" s="1788">
        <f>COMPOSITE!B$215</f>
        <v>57915</v>
      </c>
      <c r="AQ37" s="1786">
        <f>COMPOSITE!C$215</f>
        <v>0</v>
      </c>
      <c r="AR37" s="1807">
        <f>COMPOSITE!D215</f>
        <v>0</v>
      </c>
      <c r="AS37" s="1790">
        <f>COMPOSITE!B$217</f>
        <v>32400</v>
      </c>
      <c r="AT37" s="1786">
        <f>COMPOSITE!C$217</f>
        <v>1700</v>
      </c>
      <c r="AU37" s="1807" t="str">
        <f>COMPOSITE!D217</f>
        <v xml:space="preserve">  </v>
      </c>
      <c r="AV37" s="1797">
        <f>COMPOSITE!B218</f>
        <v>37410</v>
      </c>
      <c r="AW37" s="1794">
        <f>COMPOSITE!C218</f>
        <v>8500</v>
      </c>
      <c r="AX37" s="1798">
        <f>COMPOSITE!D218</f>
        <v>0</v>
      </c>
      <c r="AY37" s="1793">
        <f>COMPOSITE!B219</f>
        <v>0</v>
      </c>
      <c r="AZ37" s="1794">
        <f>COMPOSITE!C219</f>
        <v>500</v>
      </c>
      <c r="BA37" s="1795">
        <f>COMPOSITE!D219</f>
        <v>0</v>
      </c>
      <c r="BB37" s="1797">
        <f>COMPOSITE!B220</f>
        <v>98146.4</v>
      </c>
      <c r="BC37" s="1794">
        <f>COMPOSITE!C220</f>
        <v>1000</v>
      </c>
      <c r="BD37" s="1799">
        <f>COMPOSITE!D220</f>
        <v>0</v>
      </c>
    </row>
    <row r="38" spans="2:56">
      <c r="B38" s="1800">
        <v>42401</v>
      </c>
      <c r="C38" s="1801">
        <f>COMPOSITE!E$226</f>
        <v>108007.2</v>
      </c>
      <c r="D38" s="1802">
        <f>COMPOSITE!F$226</f>
        <v>40083</v>
      </c>
      <c r="E38" s="1803">
        <f>COMPOSITE!G$226</f>
        <v>0</v>
      </c>
      <c r="F38" s="1804">
        <f>COMPOSITE!$E$204</f>
        <v>0</v>
      </c>
      <c r="G38" s="1802">
        <f>COMPOSITE!$F$204</f>
        <v>0</v>
      </c>
      <c r="H38" s="1805">
        <f>COMPOSITE!$G$204</f>
        <v>0</v>
      </c>
      <c r="I38" s="1806">
        <f>COMPOSITE!$E$205</f>
        <v>0</v>
      </c>
      <c r="J38" s="1802">
        <f>COMPOSITE!$F$205</f>
        <v>1500</v>
      </c>
      <c r="K38" s="1803">
        <f>COMPOSITE!$G$205</f>
        <v>0</v>
      </c>
      <c r="L38" s="1804">
        <f>COMPOSITE!E$206</f>
        <v>1800</v>
      </c>
      <c r="M38" s="1802">
        <f>COMPOSITE!F$206</f>
        <v>8000</v>
      </c>
      <c r="N38" s="1805">
        <f>COMPOSITE!$G$206</f>
        <v>0</v>
      </c>
      <c r="O38" s="1804">
        <f>COMPOSITE!E$207</f>
        <v>0</v>
      </c>
      <c r="P38" s="1802">
        <f>COMPOSITE!F$207</f>
        <v>0</v>
      </c>
      <c r="Q38" s="1805">
        <f>COMPOSITE!$G$207</f>
        <v>0</v>
      </c>
      <c r="R38" s="1804">
        <f>COMPOSITE!E$208</f>
        <v>0</v>
      </c>
      <c r="S38" s="1802">
        <f>COMPOSITE!F$208</f>
        <v>1680</v>
      </c>
      <c r="T38" s="1805">
        <f>COMPOSITE!$G$208</f>
        <v>0</v>
      </c>
      <c r="U38" s="1806">
        <f>COMPOSITE!E$209</f>
        <v>4325</v>
      </c>
      <c r="V38" s="1802">
        <f>COMPOSITE!F$209</f>
        <v>2500</v>
      </c>
      <c r="W38" s="1808">
        <f>COMPOSITE!$G$209</f>
        <v>0</v>
      </c>
      <c r="X38" s="1804">
        <f>COMPOSITE!E$210</f>
        <v>9900</v>
      </c>
      <c r="Y38" s="1802">
        <f>COMPOSITE!F$210</f>
        <v>2000</v>
      </c>
      <c r="Z38" s="1807">
        <f>COMPOSITE!$G$209</f>
        <v>0</v>
      </c>
      <c r="AA38" s="1804">
        <f>COMPOSITE!E211</f>
        <v>14025</v>
      </c>
      <c r="AB38" s="1802">
        <f>COMPOSITE!F211</f>
        <v>2000</v>
      </c>
      <c r="AC38" s="1808">
        <f>COMPOSITE!G211</f>
        <v>0</v>
      </c>
      <c r="AD38" s="1804">
        <f>COMPOSITE!E$212</f>
        <v>29316</v>
      </c>
      <c r="AE38" s="1802">
        <f>COMPOSITE!F$212</f>
        <v>3500</v>
      </c>
      <c r="AF38" s="1807">
        <f>COMPOSITE!G212</f>
        <v>0</v>
      </c>
      <c r="AG38" s="1906">
        <f>COMPOSITE!E213</f>
        <v>5400</v>
      </c>
      <c r="AH38" s="1810">
        <f>COMPOSITE!F213</f>
        <v>0</v>
      </c>
      <c r="AI38" s="1808">
        <f>COMPOSITE!G213</f>
        <v>0</v>
      </c>
      <c r="AJ38" s="1804">
        <f>COMPOSITE!E$214</f>
        <v>0</v>
      </c>
      <c r="AK38" s="1802">
        <f>COMPOSITE!F$214</f>
        <v>700</v>
      </c>
      <c r="AL38" s="1807">
        <f>COMPOSITE!G214</f>
        <v>0</v>
      </c>
      <c r="AM38" s="1806">
        <f>COMPOSITE!E$216</f>
        <v>6030</v>
      </c>
      <c r="AN38" s="1802">
        <f>COMPOSITE!F$216</f>
        <v>5443</v>
      </c>
      <c r="AO38" s="1807">
        <f>COMPOSITE!J216</f>
        <v>0</v>
      </c>
      <c r="AP38" s="1804">
        <f>COMPOSITE!E$215</f>
        <v>12980</v>
      </c>
      <c r="AQ38" s="1802">
        <f>COMPOSITE!F$215</f>
        <v>0</v>
      </c>
      <c r="AR38" s="1807">
        <f>COMPOSITE!G215</f>
        <v>0</v>
      </c>
      <c r="AS38" s="1806">
        <f>COMPOSITE!E$217</f>
        <v>3600</v>
      </c>
      <c r="AT38" s="1802">
        <f>COMPOSITE!F$217</f>
        <v>1260</v>
      </c>
      <c r="AU38" s="1807" t="str">
        <f>COMPOSITE!G217</f>
        <v xml:space="preserve">                                                         </v>
      </c>
      <c r="AV38" s="1804">
        <f>COMPOSITE!E218</f>
        <v>6510</v>
      </c>
      <c r="AW38" s="1802">
        <f>COMPOSITE!F218</f>
        <v>9000</v>
      </c>
      <c r="AX38" s="1807">
        <f>COMPOSITE!G218</f>
        <v>0</v>
      </c>
      <c r="AY38" s="1806">
        <f>COMPOSITE!E219</f>
        <v>0</v>
      </c>
      <c r="AZ38" s="1802">
        <f>COMPOSITE!F219</f>
        <v>0</v>
      </c>
      <c r="BA38" s="1808">
        <f>COMPOSITE!G219</f>
        <v>0</v>
      </c>
      <c r="BB38" s="1804">
        <f>COMPOSITE!E220</f>
        <v>12950</v>
      </c>
      <c r="BC38" s="1802">
        <f>COMPOSITE!F220</f>
        <v>2500</v>
      </c>
      <c r="BD38" s="1811">
        <f>COMPOSITE!G220</f>
        <v>0</v>
      </c>
    </row>
    <row r="39" spans="2:56">
      <c r="B39" s="1800">
        <v>42430</v>
      </c>
      <c r="C39" s="1801">
        <f>COMPOSITE!H$226</f>
        <v>119379.3</v>
      </c>
      <c r="D39" s="1802">
        <f>COMPOSITE!I$226</f>
        <v>39240</v>
      </c>
      <c r="E39" s="1803">
        <f>COMPOSITE!J$226</f>
        <v>0</v>
      </c>
      <c r="F39" s="1804">
        <f>COMPOSITE!$H$204</f>
        <v>0</v>
      </c>
      <c r="G39" s="1802">
        <f>COMPOSITE!$I$204</f>
        <v>0</v>
      </c>
      <c r="H39" s="1805">
        <f>COMPOSITE!$J$204</f>
        <v>0</v>
      </c>
      <c r="I39" s="1806">
        <f>COMPOSITE!$H$205</f>
        <v>0</v>
      </c>
      <c r="J39" s="1802">
        <f>COMPOSITE!$I$205</f>
        <v>6000</v>
      </c>
      <c r="K39" s="1803">
        <f>COMPOSITE!$J$205</f>
        <v>0</v>
      </c>
      <c r="L39" s="1804">
        <f>COMPOSITE!H$206</f>
        <v>3600</v>
      </c>
      <c r="M39" s="1802">
        <f>COMPOSITE!I$206</f>
        <v>4000</v>
      </c>
      <c r="N39" s="1805">
        <f>COMPOSITE!$J$206</f>
        <v>0</v>
      </c>
      <c r="O39" s="1804">
        <f>COMPOSITE!H$207</f>
        <v>900</v>
      </c>
      <c r="P39" s="1802">
        <f>COMPOSITE!I$207</f>
        <v>0</v>
      </c>
      <c r="Q39" s="1805">
        <f>COMPOSITE!$J$207</f>
        <v>0</v>
      </c>
      <c r="R39" s="1804">
        <f>COMPOSITE!H$208</f>
        <v>6500</v>
      </c>
      <c r="S39" s="1802">
        <f>COMPOSITE!I$208</f>
        <v>0</v>
      </c>
      <c r="T39" s="1805">
        <f>COMPOSITE!$J$208</f>
        <v>0</v>
      </c>
      <c r="U39" s="1806">
        <f>COMPOSITE!H$209</f>
        <v>4925</v>
      </c>
      <c r="V39" s="1802">
        <f>COMPOSITE!I$209</f>
        <v>500</v>
      </c>
      <c r="W39" s="1808">
        <f>COMPOSITE!$J$209</f>
        <v>0</v>
      </c>
      <c r="X39" s="1804">
        <f>COMPOSITE!E$210</f>
        <v>9900</v>
      </c>
      <c r="Y39" s="1802">
        <f>COMPOSITE!FI210</f>
        <v>0</v>
      </c>
      <c r="Z39" s="1807">
        <f>COMPOSITE!$J$208</f>
        <v>0</v>
      </c>
      <c r="AA39" s="1804">
        <f>COMPOSITE!H211</f>
        <v>16312.5</v>
      </c>
      <c r="AB39" s="1802">
        <f>COMPOSITE!I211</f>
        <v>3000</v>
      </c>
      <c r="AC39" s="1808">
        <f>COMPOSITE!J213</f>
        <v>0</v>
      </c>
      <c r="AD39" s="1804">
        <f>COMPOSITE!H$212</f>
        <v>31605</v>
      </c>
      <c r="AE39" s="1802">
        <f>COMPOSITE!I$212</f>
        <v>8000</v>
      </c>
      <c r="AF39" s="1807">
        <f>COMPOSITE!J212</f>
        <v>0</v>
      </c>
      <c r="AG39" s="1906">
        <f>COMPOSITE!H213</f>
        <v>0</v>
      </c>
      <c r="AH39" s="1810">
        <f>COMPOSITE!I213</f>
        <v>0</v>
      </c>
      <c r="AI39" s="1808">
        <f>COMPOSITE!J213</f>
        <v>0</v>
      </c>
      <c r="AJ39" s="1804">
        <f>COMPOSITE!H$214</f>
        <v>0</v>
      </c>
      <c r="AK39" s="1802">
        <f>COMPOSITE!I$214</f>
        <v>0</v>
      </c>
      <c r="AL39" s="1807">
        <f>COMPOSITE!J214</f>
        <v>0</v>
      </c>
      <c r="AM39" s="1806">
        <f>COMPOSITE!H$216</f>
        <v>4860</v>
      </c>
      <c r="AN39" s="1802">
        <f>COMPOSITE!I$216</f>
        <v>0</v>
      </c>
      <c r="AO39" s="1807">
        <f>COMPOSITE!J216</f>
        <v>0</v>
      </c>
      <c r="AP39" s="1804">
        <f>COMPOSITE!H$215</f>
        <v>13750</v>
      </c>
      <c r="AQ39" s="1802">
        <f>COMPOSITE!I$215</f>
        <v>1000</v>
      </c>
      <c r="AR39" s="1807">
        <f>COMPOSITE!J215</f>
        <v>0</v>
      </c>
      <c r="AS39" s="1806">
        <f>COMPOSITE!H$217</f>
        <v>3600</v>
      </c>
      <c r="AT39" s="1802">
        <f>COMPOSITE!I$217</f>
        <v>240</v>
      </c>
      <c r="AU39" s="1807">
        <f>COMPOSITE!J217</f>
        <v>0</v>
      </c>
      <c r="AV39" s="1804">
        <f>COMPOSITE!H218</f>
        <v>5775</v>
      </c>
      <c r="AW39" s="1802">
        <f>COMPOSITE!I218</f>
        <v>7000</v>
      </c>
      <c r="AX39" s="1807">
        <f>COMPOSITE!J218</f>
        <v>0</v>
      </c>
      <c r="AY39" s="1806">
        <f>COMPOSITE!H219</f>
        <v>3600</v>
      </c>
      <c r="AZ39" s="1802">
        <f>COMPOSITE!I219</f>
        <v>500</v>
      </c>
      <c r="BA39" s="1808">
        <f>COMPOSITE!J219</f>
        <v>0</v>
      </c>
      <c r="BB39" s="1804">
        <f>COMPOSITE!H220</f>
        <v>8995</v>
      </c>
      <c r="BC39" s="1802">
        <f>COMPOSITE!I220</f>
        <v>0</v>
      </c>
      <c r="BD39" s="1811">
        <f>COMPOSITE!J220</f>
        <v>0</v>
      </c>
    </row>
    <row r="40" spans="2:56">
      <c r="B40" s="1800">
        <v>42461</v>
      </c>
      <c r="C40" s="1801"/>
      <c r="D40" s="1802"/>
      <c r="E40" s="1803"/>
      <c r="F40" s="1804"/>
      <c r="G40" s="1802"/>
      <c r="H40" s="1805"/>
      <c r="I40" s="1806"/>
      <c r="J40" s="1802"/>
      <c r="K40" s="1808"/>
      <c r="L40" s="1804"/>
      <c r="M40" s="1802"/>
      <c r="N40" s="1807"/>
      <c r="O40" s="1806"/>
      <c r="P40" s="1802"/>
      <c r="Q40" s="1808"/>
      <c r="R40" s="1804"/>
      <c r="S40" s="1802"/>
      <c r="T40" s="1807"/>
      <c r="U40" s="1806"/>
      <c r="V40" s="1802"/>
      <c r="W40" s="1808"/>
      <c r="X40" s="1804"/>
      <c r="Y40" s="1802"/>
      <c r="Z40" s="1807"/>
      <c r="AA40" s="1806"/>
      <c r="AB40" s="1802"/>
      <c r="AC40" s="1808"/>
      <c r="AD40" s="1804"/>
      <c r="AE40" s="1802"/>
      <c r="AF40" s="1807"/>
      <c r="AG40" s="1809"/>
      <c r="AH40" s="1810"/>
      <c r="AI40" s="1808"/>
      <c r="AJ40" s="1804"/>
      <c r="AK40" s="1802"/>
      <c r="AL40" s="1807"/>
      <c r="AM40" s="1806"/>
      <c r="AN40" s="1802"/>
      <c r="AO40" s="1808"/>
      <c r="AP40" s="1804"/>
      <c r="AQ40" s="1802"/>
      <c r="AR40" s="1807"/>
      <c r="AS40" s="1806"/>
      <c r="AT40" s="1802"/>
      <c r="AU40" s="1808"/>
      <c r="AV40" s="1804"/>
      <c r="AW40" s="1802"/>
      <c r="AX40" s="1807"/>
      <c r="AY40" s="1806"/>
      <c r="AZ40" s="1802"/>
      <c r="BA40" s="1808"/>
      <c r="BB40" s="1804"/>
      <c r="BC40" s="1802"/>
      <c r="BD40" s="1811"/>
    </row>
    <row r="41" spans="2:56">
      <c r="B41" s="1800">
        <v>42491</v>
      </c>
      <c r="C41" s="1801"/>
      <c r="D41" s="1802"/>
      <c r="E41" s="1803"/>
      <c r="F41" s="1804"/>
      <c r="G41" s="1802"/>
      <c r="H41" s="1805"/>
      <c r="I41" s="1806"/>
      <c r="J41" s="1802"/>
      <c r="K41" s="1808"/>
      <c r="L41" s="1804"/>
      <c r="M41" s="1802"/>
      <c r="N41" s="1807"/>
      <c r="O41" s="1806"/>
      <c r="P41" s="1802"/>
      <c r="Q41" s="1808"/>
      <c r="R41" s="1804"/>
      <c r="S41" s="1802"/>
      <c r="T41" s="1807"/>
      <c r="U41" s="1806"/>
      <c r="V41" s="1802"/>
      <c r="W41" s="1808"/>
      <c r="X41" s="1804"/>
      <c r="Y41" s="1802"/>
      <c r="Z41" s="1807"/>
      <c r="AA41" s="1806"/>
      <c r="AB41" s="1802"/>
      <c r="AC41" s="1808"/>
      <c r="AD41" s="1804"/>
      <c r="AE41" s="1802"/>
      <c r="AF41" s="1807"/>
      <c r="AG41" s="1809"/>
      <c r="AH41" s="1810"/>
      <c r="AI41" s="1808"/>
      <c r="AJ41" s="1804"/>
      <c r="AK41" s="1802"/>
      <c r="AL41" s="1807"/>
      <c r="AM41" s="1806"/>
      <c r="AN41" s="1802"/>
      <c r="AO41" s="1808"/>
      <c r="AP41" s="1804"/>
      <c r="AQ41" s="1802"/>
      <c r="AR41" s="1807"/>
      <c r="AS41" s="1806"/>
      <c r="AT41" s="1802"/>
      <c r="AU41" s="1808"/>
      <c r="AV41" s="1804"/>
      <c r="AW41" s="1802"/>
      <c r="AX41" s="1807"/>
      <c r="AY41" s="1806"/>
      <c r="AZ41" s="1802"/>
      <c r="BA41" s="1808"/>
      <c r="BB41" s="1804"/>
      <c r="BC41" s="1802"/>
      <c r="BD41" s="1811"/>
    </row>
    <row r="42" spans="2:56">
      <c r="B42" s="1800">
        <v>42522</v>
      </c>
      <c r="C42" s="1801"/>
      <c r="D42" s="1802"/>
      <c r="E42" s="1803"/>
      <c r="F42" s="1804"/>
      <c r="G42" s="1802"/>
      <c r="H42" s="1805"/>
      <c r="I42" s="1806"/>
      <c r="J42" s="1802"/>
      <c r="K42" s="1808"/>
      <c r="L42" s="1804"/>
      <c r="M42" s="1802"/>
      <c r="N42" s="1807"/>
      <c r="O42" s="1806"/>
      <c r="P42" s="1802"/>
      <c r="Q42" s="1808"/>
      <c r="R42" s="1804"/>
      <c r="S42" s="1802"/>
      <c r="T42" s="1807"/>
      <c r="U42" s="1806"/>
      <c r="V42" s="1802"/>
      <c r="W42" s="1808"/>
      <c r="X42" s="1804"/>
      <c r="Y42" s="1802"/>
      <c r="Z42" s="1807"/>
      <c r="AA42" s="1806"/>
      <c r="AB42" s="1802"/>
      <c r="AC42" s="1808"/>
      <c r="AD42" s="1804"/>
      <c r="AE42" s="1802"/>
      <c r="AF42" s="1807"/>
      <c r="AG42" s="1806"/>
      <c r="AH42" s="1802"/>
      <c r="AI42" s="1808"/>
      <c r="AJ42" s="1804"/>
      <c r="AK42" s="1802"/>
      <c r="AL42" s="1807"/>
      <c r="AM42" s="1806"/>
      <c r="AN42" s="1802"/>
      <c r="AO42" s="1808"/>
      <c r="AP42" s="1804"/>
      <c r="AQ42" s="1802"/>
      <c r="AR42" s="1807"/>
      <c r="AS42" s="1806"/>
      <c r="AT42" s="1802"/>
      <c r="AU42" s="1808"/>
      <c r="AV42" s="1804"/>
      <c r="AW42" s="1802"/>
      <c r="AX42" s="1807"/>
      <c r="AY42" s="1806"/>
      <c r="AZ42" s="1802"/>
      <c r="BA42" s="1808"/>
      <c r="BB42" s="1804"/>
      <c r="BC42" s="1802"/>
      <c r="BD42" s="1811"/>
    </row>
    <row r="43" spans="2:56">
      <c r="B43" s="1800">
        <v>42552</v>
      </c>
      <c r="C43" s="1801"/>
      <c r="D43" s="1802"/>
      <c r="E43" s="1803"/>
      <c r="F43" s="1804"/>
      <c r="G43" s="1802"/>
      <c r="H43" s="1805"/>
      <c r="I43" s="1806"/>
      <c r="J43" s="1802"/>
      <c r="K43" s="1808"/>
      <c r="L43" s="1804"/>
      <c r="M43" s="1802"/>
      <c r="N43" s="1807"/>
      <c r="O43" s="1806"/>
      <c r="P43" s="1802"/>
      <c r="Q43" s="1808"/>
      <c r="R43" s="1804"/>
      <c r="S43" s="1802"/>
      <c r="T43" s="1807"/>
      <c r="U43" s="1806"/>
      <c r="V43" s="1802"/>
      <c r="W43" s="1808"/>
      <c r="X43" s="1804"/>
      <c r="Y43" s="1802"/>
      <c r="Z43" s="1807"/>
      <c r="AA43" s="1806"/>
      <c r="AB43" s="1802"/>
      <c r="AC43" s="1808"/>
      <c r="AD43" s="1804"/>
      <c r="AE43" s="1802"/>
      <c r="AF43" s="1807"/>
      <c r="AG43" s="1806"/>
      <c r="AH43" s="1802"/>
      <c r="AI43" s="1808"/>
      <c r="AJ43" s="1804"/>
      <c r="AK43" s="1802"/>
      <c r="AL43" s="1807"/>
      <c r="AM43" s="1806"/>
      <c r="AN43" s="1802"/>
      <c r="AO43" s="1808"/>
      <c r="AP43" s="1804"/>
      <c r="AQ43" s="1802"/>
      <c r="AR43" s="1807"/>
      <c r="AS43" s="1806"/>
      <c r="AT43" s="1802"/>
      <c r="AU43" s="1808"/>
      <c r="AV43" s="1804"/>
      <c r="AW43" s="1802"/>
      <c r="AX43" s="1807"/>
      <c r="AY43" s="1806"/>
      <c r="AZ43" s="1802"/>
      <c r="BA43" s="1808"/>
      <c r="BB43" s="1804"/>
      <c r="BC43" s="1802"/>
      <c r="BD43" s="1811"/>
    </row>
    <row r="44" spans="2:56">
      <c r="B44" s="1800">
        <v>42583</v>
      </c>
      <c r="C44" s="1801"/>
      <c r="D44" s="1802"/>
      <c r="E44" s="1803"/>
      <c r="F44" s="1804"/>
      <c r="G44" s="1802"/>
      <c r="H44" s="1805"/>
      <c r="I44" s="1806"/>
      <c r="J44" s="1802"/>
      <c r="K44" s="1808"/>
      <c r="L44" s="1804"/>
      <c r="M44" s="1802"/>
      <c r="N44" s="1807"/>
      <c r="O44" s="1806"/>
      <c r="P44" s="1802"/>
      <c r="Q44" s="1808"/>
      <c r="R44" s="1804"/>
      <c r="S44" s="1802"/>
      <c r="T44" s="1807"/>
      <c r="U44" s="1806"/>
      <c r="V44" s="1802"/>
      <c r="W44" s="1808"/>
      <c r="X44" s="1804"/>
      <c r="Y44" s="1802"/>
      <c r="Z44" s="1807"/>
      <c r="AA44" s="1806"/>
      <c r="AB44" s="1802"/>
      <c r="AC44" s="1808"/>
      <c r="AD44" s="1804"/>
      <c r="AE44" s="1802"/>
      <c r="AF44" s="1807"/>
      <c r="AG44" s="1806"/>
      <c r="AH44" s="1802"/>
      <c r="AI44" s="1808"/>
      <c r="AJ44" s="1804"/>
      <c r="AK44" s="1802"/>
      <c r="AL44" s="1807"/>
      <c r="AM44" s="1806"/>
      <c r="AN44" s="1802"/>
      <c r="AO44" s="1808"/>
      <c r="AP44" s="1804"/>
      <c r="AQ44" s="1802"/>
      <c r="AR44" s="1807"/>
      <c r="AS44" s="1806"/>
      <c r="AT44" s="1802"/>
      <c r="AU44" s="1808"/>
      <c r="AV44" s="1804"/>
      <c r="AW44" s="1802"/>
      <c r="AX44" s="1807"/>
      <c r="AY44" s="1806"/>
      <c r="AZ44" s="1802"/>
      <c r="BA44" s="1808"/>
      <c r="BB44" s="1804"/>
      <c r="BC44" s="1802"/>
      <c r="BD44" s="1811"/>
    </row>
    <row r="45" spans="2:56">
      <c r="B45" s="1800">
        <v>42614</v>
      </c>
      <c r="C45" s="1801"/>
      <c r="D45" s="1802"/>
      <c r="E45" s="1803"/>
      <c r="F45" s="1804"/>
      <c r="G45" s="1802"/>
      <c r="H45" s="1805"/>
      <c r="I45" s="1806"/>
      <c r="J45" s="1802"/>
      <c r="K45" s="1808"/>
      <c r="L45" s="1804"/>
      <c r="M45" s="1802"/>
      <c r="N45" s="1807"/>
      <c r="O45" s="1806"/>
      <c r="P45" s="1802"/>
      <c r="Q45" s="1808"/>
      <c r="R45" s="1804"/>
      <c r="S45" s="1802"/>
      <c r="T45" s="1807"/>
      <c r="U45" s="1806"/>
      <c r="V45" s="1802"/>
      <c r="W45" s="1808"/>
      <c r="X45" s="1804"/>
      <c r="Y45" s="1802"/>
      <c r="Z45" s="1807"/>
      <c r="AA45" s="1806"/>
      <c r="AB45" s="1802"/>
      <c r="AC45" s="1808"/>
      <c r="AD45" s="1804"/>
      <c r="AE45" s="1802"/>
      <c r="AF45" s="1807"/>
      <c r="AG45" s="1806"/>
      <c r="AH45" s="1802"/>
      <c r="AI45" s="1808"/>
      <c r="AJ45" s="1804"/>
      <c r="AK45" s="1802"/>
      <c r="AL45" s="1807"/>
      <c r="AM45" s="1806"/>
      <c r="AN45" s="1802"/>
      <c r="AO45" s="1808"/>
      <c r="AP45" s="1804"/>
      <c r="AQ45" s="1802"/>
      <c r="AR45" s="1807"/>
      <c r="AS45" s="1806"/>
      <c r="AT45" s="1802"/>
      <c r="AU45" s="1808"/>
      <c r="AV45" s="1804"/>
      <c r="AW45" s="1802"/>
      <c r="AX45" s="1807"/>
      <c r="AY45" s="1806"/>
      <c r="AZ45" s="1802"/>
      <c r="BA45" s="1808"/>
      <c r="BB45" s="1804"/>
      <c r="BC45" s="1802"/>
      <c r="BD45" s="1811"/>
    </row>
    <row r="46" spans="2:56">
      <c r="B46" s="1800">
        <v>42644</v>
      </c>
      <c r="C46" s="1801"/>
      <c r="D46" s="1802"/>
      <c r="E46" s="1803"/>
      <c r="F46" s="1804"/>
      <c r="G46" s="1802"/>
      <c r="H46" s="1805"/>
      <c r="I46" s="1806"/>
      <c r="J46" s="1802"/>
      <c r="K46" s="1808"/>
      <c r="L46" s="1804"/>
      <c r="M46" s="1802"/>
      <c r="N46" s="1807"/>
      <c r="O46" s="1806"/>
      <c r="P46" s="1802"/>
      <c r="Q46" s="1808"/>
      <c r="R46" s="1804"/>
      <c r="S46" s="1802"/>
      <c r="T46" s="1807"/>
      <c r="U46" s="1806"/>
      <c r="V46" s="1802"/>
      <c r="W46" s="1808"/>
      <c r="X46" s="1804"/>
      <c r="Y46" s="1802"/>
      <c r="Z46" s="1807"/>
      <c r="AA46" s="1806"/>
      <c r="AB46" s="1802"/>
      <c r="AC46" s="1808"/>
      <c r="AD46" s="1804"/>
      <c r="AE46" s="1802"/>
      <c r="AF46" s="1807"/>
      <c r="AG46" s="1806"/>
      <c r="AH46" s="1802"/>
      <c r="AI46" s="1808"/>
      <c r="AJ46" s="1804"/>
      <c r="AK46" s="1802"/>
      <c r="AL46" s="1807"/>
      <c r="AM46" s="1806"/>
      <c r="AN46" s="1802"/>
      <c r="AO46" s="1808"/>
      <c r="AP46" s="1804"/>
      <c r="AQ46" s="1802"/>
      <c r="AR46" s="1807"/>
      <c r="AS46" s="1806"/>
      <c r="AT46" s="1802"/>
      <c r="AU46" s="1808"/>
      <c r="AV46" s="1804"/>
      <c r="AW46" s="1802"/>
      <c r="AX46" s="1807"/>
      <c r="AY46" s="1806"/>
      <c r="AZ46" s="1802"/>
      <c r="BA46" s="1808"/>
      <c r="BB46" s="1804"/>
      <c r="BC46" s="1802"/>
      <c r="BD46" s="1811"/>
    </row>
    <row r="47" spans="2:56">
      <c r="B47" s="1800">
        <v>42675</v>
      </c>
      <c r="C47" s="1801"/>
      <c r="D47" s="1802"/>
      <c r="E47" s="1803"/>
      <c r="F47" s="1804"/>
      <c r="G47" s="1802"/>
      <c r="H47" s="1805"/>
      <c r="I47" s="1806"/>
      <c r="J47" s="1802"/>
      <c r="K47" s="1808"/>
      <c r="L47" s="1804"/>
      <c r="M47" s="1802"/>
      <c r="N47" s="1807"/>
      <c r="O47" s="1806"/>
      <c r="P47" s="1802"/>
      <c r="Q47" s="1808"/>
      <c r="R47" s="1804"/>
      <c r="S47" s="1802"/>
      <c r="T47" s="1807"/>
      <c r="U47" s="1806"/>
      <c r="V47" s="1802"/>
      <c r="W47" s="1808"/>
      <c r="X47" s="1804"/>
      <c r="Y47" s="1802"/>
      <c r="Z47" s="1807"/>
      <c r="AA47" s="1806"/>
      <c r="AB47" s="1802"/>
      <c r="AC47" s="1808"/>
      <c r="AD47" s="1804"/>
      <c r="AE47" s="1802"/>
      <c r="AF47" s="1807"/>
      <c r="AG47" s="1806"/>
      <c r="AH47" s="1802"/>
      <c r="AI47" s="1808"/>
      <c r="AJ47" s="1804"/>
      <c r="AK47" s="1802"/>
      <c r="AL47" s="1807"/>
      <c r="AM47" s="1806"/>
      <c r="AN47" s="1802"/>
      <c r="AO47" s="1807"/>
      <c r="AP47" s="1804"/>
      <c r="AQ47" s="1802"/>
      <c r="AR47" s="1807"/>
      <c r="AS47" s="1806"/>
      <c r="AT47" s="1802"/>
      <c r="AU47" s="1808"/>
      <c r="AV47" s="1804"/>
      <c r="AW47" s="1802"/>
      <c r="AX47" s="1807"/>
      <c r="AY47" s="1806"/>
      <c r="AZ47" s="1802"/>
      <c r="BA47" s="1808"/>
      <c r="BB47" s="1804"/>
      <c r="BC47" s="1802"/>
      <c r="BD47" s="1811"/>
    </row>
    <row r="48" spans="2:56">
      <c r="B48" s="1812">
        <v>42705</v>
      </c>
      <c r="C48" s="1813"/>
      <c r="D48" s="1814"/>
      <c r="E48" s="1815"/>
      <c r="F48" s="1816"/>
      <c r="G48" s="1814"/>
      <c r="H48" s="1817"/>
      <c r="I48" s="1818"/>
      <c r="J48" s="1814"/>
      <c r="K48" s="1819"/>
      <c r="L48" s="1816"/>
      <c r="M48" s="1814"/>
      <c r="N48" s="1820"/>
      <c r="O48" s="1818"/>
      <c r="P48" s="1814"/>
      <c r="Q48" s="1819"/>
      <c r="R48" s="1816"/>
      <c r="S48" s="1814"/>
      <c r="T48" s="1820"/>
      <c r="U48" s="1818"/>
      <c r="V48" s="1814"/>
      <c r="W48" s="1819"/>
      <c r="X48" s="1816"/>
      <c r="Y48" s="1814"/>
      <c r="Z48" s="1820"/>
      <c r="AA48" s="1818"/>
      <c r="AB48" s="1814"/>
      <c r="AC48" s="1819"/>
      <c r="AD48" s="1816"/>
      <c r="AE48" s="1814"/>
      <c r="AF48" s="1820"/>
      <c r="AG48" s="1818"/>
      <c r="AH48" s="1814"/>
      <c r="AI48" s="1819"/>
      <c r="AJ48" s="1816"/>
      <c r="AK48" s="1814"/>
      <c r="AL48" s="1820"/>
      <c r="AM48" s="1818"/>
      <c r="AN48" s="1814"/>
      <c r="AO48" s="1820"/>
      <c r="AP48" s="1816"/>
      <c r="AQ48" s="1814"/>
      <c r="AR48" s="1820"/>
      <c r="AS48" s="1818"/>
      <c r="AT48" s="1814"/>
      <c r="AU48" s="1819"/>
      <c r="AV48" s="1816"/>
      <c r="AW48" s="1814"/>
      <c r="AX48" s="1820"/>
      <c r="AY48" s="1818"/>
      <c r="AZ48" s="1814"/>
      <c r="BA48" s="1819"/>
      <c r="BB48" s="1816"/>
      <c r="BC48" s="1814"/>
      <c r="BD48" s="1821"/>
    </row>
    <row r="49" spans="2:56" ht="15.75" thickBot="1">
      <c r="B49" s="1772" t="s">
        <v>277</v>
      </c>
      <c r="C49" s="1822">
        <f>SUM(C37:C48)</f>
        <v>707135.9</v>
      </c>
      <c r="D49" s="1823">
        <f>SUM(D37:D48)</f>
        <v>121404</v>
      </c>
      <c r="E49" s="1824"/>
      <c r="F49" s="1825">
        <f>SUM(F37:F48)</f>
        <v>0</v>
      </c>
      <c r="G49" s="1823">
        <f>SUM(G37:G48)</f>
        <v>240</v>
      </c>
      <c r="H49" s="1824"/>
      <c r="I49" s="1825">
        <f>SUM(I37:I48)</f>
        <v>0</v>
      </c>
      <c r="J49" s="1823">
        <f>SUM(J37:J48)</f>
        <v>7500</v>
      </c>
      <c r="K49" s="1824"/>
      <c r="L49" s="1825">
        <f>SUM(L37:L48)</f>
        <v>15900</v>
      </c>
      <c r="M49" s="1823">
        <f>SUM(M37:M48)</f>
        <v>20600</v>
      </c>
      <c r="N49" s="1824"/>
      <c r="O49" s="1825">
        <f>SUM(O37:O48)</f>
        <v>900</v>
      </c>
      <c r="P49" s="1823">
        <f>SUM(P37:P48)</f>
        <v>4011</v>
      </c>
      <c r="Q49" s="1824"/>
      <c r="R49" s="1825">
        <f>SUM(R37:R48)</f>
        <v>6800</v>
      </c>
      <c r="S49" s="1823">
        <f>SUM(S37:S48)</f>
        <v>1680</v>
      </c>
      <c r="T49" s="1824"/>
      <c r="U49" s="1825">
        <f>SUM(U37:U48)</f>
        <v>47250</v>
      </c>
      <c r="V49" s="1823">
        <f>SUM(V37:V48)</f>
        <v>4130</v>
      </c>
      <c r="W49" s="1824"/>
      <c r="X49" s="1825">
        <f>SUM(X37:X48)</f>
        <v>50220</v>
      </c>
      <c r="Y49" s="1823">
        <f>SUM(Y37:Y48)</f>
        <v>2000</v>
      </c>
      <c r="Z49" s="1824">
        <f>SUM(Z37:Z48)</f>
        <v>0</v>
      </c>
      <c r="AA49" s="1825">
        <f>SUM(AA37:AA48)</f>
        <v>72337.5</v>
      </c>
      <c r="AB49" s="1823">
        <f>SUM(AB37:AB48)</f>
        <v>12000</v>
      </c>
      <c r="AC49" s="1826"/>
      <c r="AD49" s="1827">
        <f>SUM(AD37:AD48)</f>
        <v>187579</v>
      </c>
      <c r="AE49" s="1823">
        <f>SUM(AE37:AE48)</f>
        <v>15612</v>
      </c>
      <c r="AF49" s="1824"/>
      <c r="AG49" s="1828">
        <f>SUM(AG37:AG48)</f>
        <v>5400</v>
      </c>
      <c r="AH49" s="1823">
        <f>SUM(AH37:AH48)</f>
        <v>0</v>
      </c>
      <c r="AI49" s="1828"/>
      <c r="AJ49" s="1825">
        <f>SUM(AJ37:AJ48)</f>
        <v>0</v>
      </c>
      <c r="AK49" s="1823">
        <f>SUM(AK37:AK48)</f>
        <v>2000</v>
      </c>
      <c r="AL49" s="1824"/>
      <c r="AM49" s="1825">
        <f>SUM(AM37:AM48)</f>
        <v>16890</v>
      </c>
      <c r="AN49" s="1823">
        <f>SUM(AN37:AN48)</f>
        <v>9431</v>
      </c>
      <c r="AO49" s="1824"/>
      <c r="AP49" s="1825">
        <f>SUM(AP37:AP48)</f>
        <v>84645</v>
      </c>
      <c r="AQ49" s="1823">
        <f>SUM(AQ37:AQ48)</f>
        <v>1000</v>
      </c>
      <c r="AR49" s="1826"/>
      <c r="AS49" s="1825">
        <f>SUM(AS37:AS48)</f>
        <v>39600</v>
      </c>
      <c r="AT49" s="1826">
        <f>SUM(AT37:AT48)</f>
        <v>3200</v>
      </c>
      <c r="AU49" s="1829"/>
      <c r="AV49" s="1830">
        <f>SUM(AV37:AV48)</f>
        <v>49695</v>
      </c>
      <c r="AW49" s="1823">
        <f>SUM(AW37:AW48)</f>
        <v>24500</v>
      </c>
      <c r="AX49" s="1824"/>
      <c r="AY49" s="1825">
        <f>SUM(AY37:AY48)</f>
        <v>3600</v>
      </c>
      <c r="AZ49" s="1823">
        <f>SUM(AZ37:AZ48)</f>
        <v>1000</v>
      </c>
      <c r="BA49" s="1824"/>
      <c r="BB49" s="1825">
        <f>SUM(BB37:BB48)</f>
        <v>120091.4</v>
      </c>
      <c r="BC49" s="1823">
        <f>SUM(BC37:BC48)</f>
        <v>3500</v>
      </c>
      <c r="BD49" s="1831"/>
    </row>
    <row r="50" spans="2:56" ht="15.75" thickTop="1"/>
  </sheetData>
  <mergeCells count="38">
    <mergeCell ref="AG18:AI18"/>
    <mergeCell ref="B18:B19"/>
    <mergeCell ref="C18:E18"/>
    <mergeCell ref="F18:H18"/>
    <mergeCell ref="I18:K18"/>
    <mergeCell ref="L18:N18"/>
    <mergeCell ref="O18:Q18"/>
    <mergeCell ref="R18:T18"/>
    <mergeCell ref="U18:W18"/>
    <mergeCell ref="X18:Z18"/>
    <mergeCell ref="AA18:AC18"/>
    <mergeCell ref="AD18:AF18"/>
    <mergeCell ref="BB18:BD18"/>
    <mergeCell ref="B35:B36"/>
    <mergeCell ref="C35:E35"/>
    <mergeCell ref="F35:H35"/>
    <mergeCell ref="I35:K35"/>
    <mergeCell ref="L35:N35"/>
    <mergeCell ref="O35:Q35"/>
    <mergeCell ref="R35:T35"/>
    <mergeCell ref="U35:W35"/>
    <mergeCell ref="X35:Z35"/>
    <mergeCell ref="AJ18:AL18"/>
    <mergeCell ref="AM18:AO18"/>
    <mergeCell ref="AP18:AR18"/>
    <mergeCell ref="AS18:AU18"/>
    <mergeCell ref="AV18:AX18"/>
    <mergeCell ref="AY18:BA18"/>
    <mergeCell ref="AS35:AU35"/>
    <mergeCell ref="AV35:AX35"/>
    <mergeCell ref="AY35:BA35"/>
    <mergeCell ref="BB35:BD35"/>
    <mergeCell ref="AA35:AC35"/>
    <mergeCell ref="AD35:AF35"/>
    <mergeCell ref="AG35:AI35"/>
    <mergeCell ref="AJ35:AL35"/>
    <mergeCell ref="AM35:AO35"/>
    <mergeCell ref="AP35:AR35"/>
  </mergeCells>
  <conditionalFormatting sqref="AF49 AO49 W49 AR49 AU49 Q49 N49 H49 T49 AL49 K49 AI49">
    <cfRule type="colorScale" priority="5">
      <colorScale>
        <cfvo type="min"/>
        <cfvo type="max"/>
        <color rgb="FFFCFCFF"/>
        <color rgb="FFF8696B"/>
      </colorScale>
    </cfRule>
  </conditionalFormatting>
  <conditionalFormatting sqref="AC49">
    <cfRule type="colorScale" priority="4">
      <colorScale>
        <cfvo type="min"/>
        <cfvo type="max"/>
        <color rgb="FFFCFCFF"/>
        <color rgb="FFF8696B"/>
      </colorScale>
    </cfRule>
  </conditionalFormatting>
  <conditionalFormatting sqref="AX49">
    <cfRule type="colorScale" priority="3">
      <colorScale>
        <cfvo type="min"/>
        <cfvo type="max"/>
        <color rgb="FFFCFCFF"/>
        <color rgb="FFF8696B"/>
      </colorScale>
    </cfRule>
  </conditionalFormatting>
  <conditionalFormatting sqref="BA49">
    <cfRule type="colorScale" priority="2">
      <colorScale>
        <cfvo type="min"/>
        <cfvo type="max"/>
        <color rgb="FFFCFCFF"/>
        <color rgb="FFF8696B"/>
      </colorScale>
    </cfRule>
  </conditionalFormatting>
  <conditionalFormatting sqref="BD49">
    <cfRule type="colorScale" priority="1">
      <colorScale>
        <cfvo type="min"/>
        <cfvo type="max"/>
        <color rgb="FFFCFCFF"/>
        <color rgb="FFF8696B"/>
      </colorScale>
    </cfRule>
  </conditionalFormatting>
  <printOptions horizontalCentered="1"/>
  <pageMargins left="0" right="0" top="0.5" bottom="0" header="0" footer="0"/>
  <pageSetup paperSize="5" scale="58" fitToWidth="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3" tint="-0.499984740745262"/>
    <pageSetUpPr fitToPage="1"/>
  </sheetPr>
  <dimension ref="A1:AT69"/>
  <sheetViews>
    <sheetView showGridLines="0" workbookViewId="0"/>
  </sheetViews>
  <sheetFormatPr defaultColWidth="9.140625" defaultRowHeight="15"/>
  <cols>
    <col min="1" max="1" width="1.28515625" style="23" customWidth="1"/>
    <col min="2" max="2" width="11.140625" style="23" customWidth="1"/>
    <col min="3" max="3" width="7.7109375" style="23" customWidth="1"/>
    <col min="4" max="4" width="9.28515625" style="23" customWidth="1"/>
    <col min="5" max="40" width="7.7109375" style="23" customWidth="1"/>
    <col min="41" max="41" width="8.85546875" style="23" customWidth="1"/>
    <col min="42" max="42" width="8.140625" style="23" customWidth="1"/>
    <col min="43" max="43" width="9.140625" style="23"/>
    <col min="44" max="44" width="8.140625" style="23" customWidth="1"/>
    <col min="45" max="45" width="8.7109375" style="23" customWidth="1"/>
    <col min="46" max="46" width="7.42578125" style="23" customWidth="1"/>
    <col min="47" max="48" width="10.28515625" style="23" customWidth="1"/>
    <col min="49" max="49" width="9.140625" style="23"/>
    <col min="50" max="50" width="10.28515625" style="23" customWidth="1"/>
    <col min="51" max="16384" width="9.140625" style="23"/>
  </cols>
  <sheetData>
    <row r="1" ht="5.25" customHeight="1"/>
    <row r="18" spans="1:46" ht="7.5" customHeight="1"/>
    <row r="19" spans="1:46" ht="33" customHeight="1" thickBot="1">
      <c r="B19" s="2806" t="s">
        <v>560</v>
      </c>
      <c r="C19" s="2807"/>
    </row>
    <row r="20" spans="1:46" ht="15.75" thickTop="1">
      <c r="B20" s="2808" t="s">
        <v>276</v>
      </c>
      <c r="C20" s="2817" t="s">
        <v>62</v>
      </c>
      <c r="D20" s="2801"/>
      <c r="E20" s="2801"/>
      <c r="F20" s="2801"/>
      <c r="G20" s="2800" t="s">
        <v>275</v>
      </c>
      <c r="H20" s="2801"/>
      <c r="I20" s="2800" t="s">
        <v>29</v>
      </c>
      <c r="J20" s="2801"/>
      <c r="K20" s="2800" t="s">
        <v>41</v>
      </c>
      <c r="L20" s="2801"/>
      <c r="M20" s="2800" t="s">
        <v>9</v>
      </c>
      <c r="N20" s="2801"/>
      <c r="O20" s="2800" t="s">
        <v>474</v>
      </c>
      <c r="P20" s="2801"/>
      <c r="Q20" s="2800" t="s">
        <v>476</v>
      </c>
      <c r="R20" s="2801"/>
      <c r="S20" s="2800" t="s">
        <v>477</v>
      </c>
      <c r="T20" s="2801"/>
      <c r="U20" s="2800" t="s">
        <v>478</v>
      </c>
      <c r="V20" s="2801"/>
      <c r="W20" s="2800" t="s">
        <v>479</v>
      </c>
      <c r="X20" s="2801"/>
      <c r="Y20" s="2800" t="s">
        <v>480</v>
      </c>
      <c r="Z20" s="2801"/>
      <c r="AA20" s="2800" t="s">
        <v>481</v>
      </c>
      <c r="AB20" s="2801"/>
      <c r="AC20" s="2800" t="s">
        <v>487</v>
      </c>
      <c r="AD20" s="2801"/>
      <c r="AE20" s="2800" t="s">
        <v>488</v>
      </c>
      <c r="AF20" s="2801"/>
      <c r="AG20" s="2800" t="s">
        <v>473</v>
      </c>
      <c r="AH20" s="2801"/>
      <c r="AI20" s="2800" t="s">
        <v>468</v>
      </c>
      <c r="AJ20" s="2801"/>
      <c r="AK20" s="2800" t="s">
        <v>469</v>
      </c>
      <c r="AL20" s="2801"/>
      <c r="AM20" s="2800" t="s">
        <v>470</v>
      </c>
      <c r="AN20" s="2801"/>
      <c r="AO20" s="2800" t="s">
        <v>472</v>
      </c>
      <c r="AP20" s="2801"/>
      <c r="AQ20" s="2800" t="s">
        <v>486</v>
      </c>
      <c r="AR20" s="2801"/>
      <c r="AS20" s="2802" t="s">
        <v>489</v>
      </c>
      <c r="AT20" s="2803"/>
    </row>
    <row r="21" spans="1:46" s="4" customFormat="1" ht="30" customHeight="1">
      <c r="A21" s="203"/>
      <c r="B21" s="2809"/>
      <c r="C21" s="1832" t="s">
        <v>321</v>
      </c>
      <c r="D21" s="1833" t="s">
        <v>322</v>
      </c>
      <c r="E21" s="1833" t="s">
        <v>625</v>
      </c>
      <c r="F21" s="1833" t="s">
        <v>626</v>
      </c>
      <c r="G21" s="1833" t="s">
        <v>321</v>
      </c>
      <c r="H21" s="1833" t="s">
        <v>322</v>
      </c>
      <c r="I21" s="1833" t="s">
        <v>321</v>
      </c>
      <c r="J21" s="1833" t="s">
        <v>322</v>
      </c>
      <c r="K21" s="1833" t="s">
        <v>321</v>
      </c>
      <c r="L21" s="1833" t="s">
        <v>322</v>
      </c>
      <c r="M21" s="1833" t="s">
        <v>321</v>
      </c>
      <c r="N21" s="1833" t="s">
        <v>322</v>
      </c>
      <c r="O21" s="1833" t="s">
        <v>321</v>
      </c>
      <c r="P21" s="1833" t="s">
        <v>322</v>
      </c>
      <c r="Q21" s="1833" t="s">
        <v>321</v>
      </c>
      <c r="R21" s="1833" t="s">
        <v>322</v>
      </c>
      <c r="S21" s="1833" t="s">
        <v>321</v>
      </c>
      <c r="T21" s="1833" t="s">
        <v>322</v>
      </c>
      <c r="U21" s="1833" t="s">
        <v>321</v>
      </c>
      <c r="V21" s="1833" t="s">
        <v>322</v>
      </c>
      <c r="W21" s="1833" t="s">
        <v>321</v>
      </c>
      <c r="X21" s="1833" t="s">
        <v>322</v>
      </c>
      <c r="Y21" s="1833" t="s">
        <v>321</v>
      </c>
      <c r="Z21" s="1833" t="s">
        <v>322</v>
      </c>
      <c r="AA21" s="1833" t="s">
        <v>321</v>
      </c>
      <c r="AB21" s="1833" t="s">
        <v>322</v>
      </c>
      <c r="AC21" s="1833" t="s">
        <v>323</v>
      </c>
      <c r="AD21" s="1833" t="s">
        <v>324</v>
      </c>
      <c r="AE21" s="1833" t="s">
        <v>321</v>
      </c>
      <c r="AF21" s="1833" t="s">
        <v>322</v>
      </c>
      <c r="AG21" s="1833" t="s">
        <v>321</v>
      </c>
      <c r="AH21" s="1833" t="s">
        <v>322</v>
      </c>
      <c r="AI21" s="1833" t="s">
        <v>321</v>
      </c>
      <c r="AJ21" s="1833" t="s">
        <v>322</v>
      </c>
      <c r="AK21" s="1833" t="s">
        <v>321</v>
      </c>
      <c r="AL21" s="1833" t="s">
        <v>322</v>
      </c>
      <c r="AM21" s="1833" t="s">
        <v>321</v>
      </c>
      <c r="AN21" s="1833" t="s">
        <v>322</v>
      </c>
      <c r="AO21" s="1833" t="s">
        <v>321</v>
      </c>
      <c r="AP21" s="1833" t="s">
        <v>322</v>
      </c>
      <c r="AQ21" s="1833" t="s">
        <v>321</v>
      </c>
      <c r="AR21" s="1833" t="s">
        <v>322</v>
      </c>
      <c r="AS21" s="1834" t="s">
        <v>321</v>
      </c>
      <c r="AT21" s="1835" t="s">
        <v>322</v>
      </c>
    </row>
    <row r="22" spans="1:46">
      <c r="B22" s="1416">
        <v>42370</v>
      </c>
      <c r="C22" s="1836">
        <f>COMPOSITE!B$297-COMPOSITE!B$287</f>
        <v>946.85670765027317</v>
      </c>
      <c r="D22" s="2447">
        <f>(COMPOSITE!D$297-COMPOSITE!D$287)/31</f>
        <v>950.54838709677415</v>
      </c>
      <c r="E22" s="1836">
        <f>COMPOSITE!B$287</f>
        <v>24</v>
      </c>
      <c r="F22" s="2447">
        <f>COMPOSITE!D$287/31</f>
        <v>24</v>
      </c>
      <c r="G22" s="1836">
        <f>COMPOSITE!B$273</f>
        <v>120</v>
      </c>
      <c r="H22" s="2447">
        <f>COMPOSITE!D$273/31</f>
        <v>120</v>
      </c>
      <c r="I22" s="1836">
        <f>COMPOSITE!B$274</f>
        <v>85.814207650273218</v>
      </c>
      <c r="J22" s="2447">
        <f>COMPOSITE!D$274/31</f>
        <v>86.193548387096769</v>
      </c>
      <c r="K22" s="1836">
        <f>COMPOSITE!B$275</f>
        <v>24</v>
      </c>
      <c r="L22" s="2447">
        <f>COMPOSITE!D$275/31</f>
        <v>24</v>
      </c>
      <c r="M22" s="1836">
        <f>COMPOSITE!B$276</f>
        <v>24</v>
      </c>
      <c r="N22" s="2447">
        <f>COMPOSITE!D$276/31</f>
        <v>24.032258064516128</v>
      </c>
      <c r="O22" s="1836">
        <f>COMPOSITE!B$277</f>
        <v>37</v>
      </c>
      <c r="P22" s="2447">
        <f>COMPOSITE!D$277/31</f>
        <v>37.032258064516128</v>
      </c>
      <c r="Q22" s="1836">
        <f>COMPOSITE!B$279</f>
        <v>82.57</v>
      </c>
      <c r="R22" s="2447">
        <f>COMPOSITE!D$279/31</f>
        <v>80.41935483870968</v>
      </c>
      <c r="S22" s="1836">
        <f>COMPOSITE!B$281</f>
        <v>24</v>
      </c>
      <c r="T22" s="2447">
        <f>COMPOSITE!D$281/31</f>
        <v>24.258064516129032</v>
      </c>
      <c r="U22" s="1837">
        <f>COMPOSITE!B282</f>
        <v>24</v>
      </c>
      <c r="V22" s="2450">
        <f>COMPOSITE!D282/31</f>
        <v>24</v>
      </c>
      <c r="W22" s="1836">
        <f>COMPOSITE!B$283</f>
        <v>42</v>
      </c>
      <c r="X22" s="2447">
        <f>COMPOSITE!D$283/31</f>
        <v>42.806451612903224</v>
      </c>
      <c r="Y22" s="1837">
        <f>COMPOSITE!B284</f>
        <v>32</v>
      </c>
      <c r="Z22" s="2450">
        <f>COMPOSITE!D284/31</f>
        <v>31.983870967741936</v>
      </c>
      <c r="AA22" s="1836">
        <f>COMPOSITE!B$285</f>
        <v>24</v>
      </c>
      <c r="AB22" s="2447">
        <f>COMPOSITE!D$285/31</f>
        <v>24</v>
      </c>
      <c r="AC22" s="1836">
        <f>COMPOSITE!B$287</f>
        <v>24</v>
      </c>
      <c r="AD22" s="2447">
        <f>COMPOSITE!D$287/31</f>
        <v>24</v>
      </c>
      <c r="AE22" s="1836">
        <f>COMPOSITE!B$286</f>
        <v>24</v>
      </c>
      <c r="AF22" s="2447">
        <f>COMPOSITE!D$286/31</f>
        <v>26.096774193548388</v>
      </c>
      <c r="AG22" s="1836">
        <f>COMPOSITE!B$288</f>
        <v>24</v>
      </c>
      <c r="AH22" s="2447">
        <f>COMPOSITE!D$288/31</f>
        <v>24</v>
      </c>
      <c r="AI22" s="1836">
        <f>COMPOSITE!B289</f>
        <v>36</v>
      </c>
      <c r="AJ22" s="2447">
        <f>COMPOSITE!D289/31</f>
        <v>36</v>
      </c>
      <c r="AK22" s="1836">
        <f>COMPOSITE!B290</f>
        <v>24</v>
      </c>
      <c r="AL22" s="2447">
        <f>COMPOSITE!D290/31</f>
        <v>24</v>
      </c>
      <c r="AM22" s="1836">
        <f>COMPOSITE!B291</f>
        <v>63.8125</v>
      </c>
      <c r="AN22" s="2447">
        <f>COMPOSITE!D291/31</f>
        <v>63.032258064516128</v>
      </c>
      <c r="AO22" s="1836">
        <f>COMPOSITE!B293</f>
        <v>24</v>
      </c>
      <c r="AP22" s="2447">
        <f>COMPOSITE!D293/31</f>
        <v>24</v>
      </c>
      <c r="AQ22" s="1836">
        <f>COMPOSITE!B294</f>
        <v>110</v>
      </c>
      <c r="AR22" s="2447">
        <f>COMPOSITE!D294/31</f>
        <v>110</v>
      </c>
      <c r="AS22" s="1836">
        <f>COMPOSITE!B295</f>
        <v>68</v>
      </c>
      <c r="AT22" s="2452">
        <f>COMPOSITE!D295/31</f>
        <v>68</v>
      </c>
    </row>
    <row r="23" spans="1:46">
      <c r="B23" s="1417">
        <v>42401</v>
      </c>
      <c r="C23" s="1838">
        <f>COMPOSITE!E$297-COMPOSITE!E$287</f>
        <v>947.62670765027315</v>
      </c>
      <c r="D23" s="2448">
        <f>(COMPOSITE!G$297-COMPOSITE!G$287)/29</f>
        <v>956.72413793103453</v>
      </c>
      <c r="E23" s="1838">
        <f>COMPOSITE!E$287</f>
        <v>22</v>
      </c>
      <c r="F23" s="2448">
        <f>COMPOSITE!G$287/29</f>
        <v>22.905172413793103</v>
      </c>
      <c r="G23" s="1838">
        <f>COMPOSITE!E$273</f>
        <v>120</v>
      </c>
      <c r="H23" s="2448">
        <f>COMPOSITE!G$273/29</f>
        <v>120</v>
      </c>
      <c r="I23" s="1838">
        <f>COMPOSITE!E$274</f>
        <v>85.814207650273218</v>
      </c>
      <c r="J23" s="2448">
        <f>COMPOSITE!G$274/29</f>
        <v>86.482758620689651</v>
      </c>
      <c r="K23" s="1838">
        <f>COMPOSITE!E$275</f>
        <v>24</v>
      </c>
      <c r="L23" s="2448">
        <f>COMPOSITE!G$275/29</f>
        <v>24</v>
      </c>
      <c r="M23" s="1838">
        <f>COMPOSITE!E$276</f>
        <v>24</v>
      </c>
      <c r="N23" s="2448">
        <f>COMPOSITE!G$276/29</f>
        <v>24</v>
      </c>
      <c r="O23" s="1838">
        <f>COMPOSITE!E$277</f>
        <v>37</v>
      </c>
      <c r="P23" s="2448">
        <f>COMPOSITE!G$277/29</f>
        <v>37</v>
      </c>
      <c r="Q23" s="1838">
        <f>COMPOSITE!E$279</f>
        <v>83</v>
      </c>
      <c r="R23" s="2448">
        <f>COMPOSITE!G$279/29</f>
        <v>81.551724137931032</v>
      </c>
      <c r="S23" s="1838">
        <f>COMPOSITE!E$281</f>
        <v>24</v>
      </c>
      <c r="T23" s="2448">
        <f>COMPOSITE!G$281/29</f>
        <v>24.241379310344829</v>
      </c>
      <c r="U23" s="1839">
        <f>COMPOSITE!E282</f>
        <v>24</v>
      </c>
      <c r="V23" s="2451">
        <f>COMPOSITE!G282/29</f>
        <v>24</v>
      </c>
      <c r="W23" s="1838">
        <f>COMPOSITE!E$283</f>
        <v>42</v>
      </c>
      <c r="X23" s="2448">
        <f>COMPOSITE!G$283/29</f>
        <v>46.275862068965516</v>
      </c>
      <c r="Y23" s="1839">
        <f>COMPOSITE!E284</f>
        <v>32</v>
      </c>
      <c r="Z23" s="2451">
        <f>COMPOSITE!G284/29</f>
        <v>32.206896551724135</v>
      </c>
      <c r="AA23" s="1838">
        <f>COMPOSITE!E$285</f>
        <v>24</v>
      </c>
      <c r="AB23" s="2448">
        <f>COMPOSITE!G$285/29</f>
        <v>24</v>
      </c>
      <c r="AC23" s="1838">
        <f>COMPOSITE!E$287</f>
        <v>22</v>
      </c>
      <c r="AD23" s="2448">
        <f>COMPOSITE!G$287/29</f>
        <v>22.905172413793103</v>
      </c>
      <c r="AE23" s="1838">
        <f>COMPOSITE!E$286</f>
        <v>24</v>
      </c>
      <c r="AF23" s="2448">
        <f>COMPOSITE!G$286/29</f>
        <v>25.655172413793103</v>
      </c>
      <c r="AG23" s="1838">
        <f>COMPOSITE!E$288</f>
        <v>24</v>
      </c>
      <c r="AH23" s="2448">
        <f>COMPOSITE!G$288/29</f>
        <v>24</v>
      </c>
      <c r="AI23" s="1838">
        <f>COMPOSITE!E289</f>
        <v>36</v>
      </c>
      <c r="AJ23" s="2448">
        <f>COMPOSITE!G289/29</f>
        <v>36</v>
      </c>
      <c r="AK23" s="1838">
        <f>COMPOSITE!E290</f>
        <v>24</v>
      </c>
      <c r="AL23" s="2448">
        <f>COMPOSITE!G290/29</f>
        <v>24</v>
      </c>
      <c r="AM23" s="1838">
        <f>COMPOSITE!E291</f>
        <v>63.8125</v>
      </c>
      <c r="AN23" s="2448">
        <f>COMPOSITE!G291/29</f>
        <v>64.724137931034477</v>
      </c>
      <c r="AO23" s="1838">
        <f>COMPOSITE!E293</f>
        <v>24</v>
      </c>
      <c r="AP23" s="2448">
        <f>COMPOSITE!G293/29</f>
        <v>24.086206896551722</v>
      </c>
      <c r="AQ23" s="1838">
        <f>COMPOSITE!E294</f>
        <v>110</v>
      </c>
      <c r="AR23" s="2448">
        <f>COMPOSITE!G294/29</f>
        <v>110</v>
      </c>
      <c r="AS23" s="1838">
        <f>COMPOSITE!E295</f>
        <v>68</v>
      </c>
      <c r="AT23" s="2453">
        <f>COMPOSITE!G295/29</f>
        <v>68</v>
      </c>
    </row>
    <row r="24" spans="1:46">
      <c r="B24" s="1417">
        <v>42430</v>
      </c>
      <c r="C24" s="1838">
        <f>COMPOSITE!H$297-COMPOSITE!H$287</f>
        <v>953.62670765027315</v>
      </c>
      <c r="D24" s="2448">
        <f>(COMPOSITE!J$297-COMPOSITE!J$287)/31</f>
        <v>958.55387096774189</v>
      </c>
      <c r="E24" s="1838">
        <f>COMPOSITE!H$287</f>
        <v>22</v>
      </c>
      <c r="F24" s="2448">
        <f>COMPOSITE!J$287/31</f>
        <v>22.258064516129032</v>
      </c>
      <c r="G24" s="1838">
        <f>COMPOSITE!H$273</f>
        <v>120</v>
      </c>
      <c r="H24" s="2448">
        <f>COMPOSITE!J$273/31</f>
        <v>118.03225806451613</v>
      </c>
      <c r="I24" s="1838">
        <f>COMPOSITE!H$274</f>
        <v>85.814207650273218</v>
      </c>
      <c r="J24" s="2448">
        <f>COMPOSITE!J$274/31</f>
        <v>86.451612903225808</v>
      </c>
      <c r="K24" s="1838">
        <f>COMPOSITE!H$275</f>
        <v>24</v>
      </c>
      <c r="L24" s="2448">
        <f>COMPOSITE!J$275/31</f>
        <v>24</v>
      </c>
      <c r="M24" s="1838">
        <f>COMPOSITE!H$276</f>
        <v>24</v>
      </c>
      <c r="N24" s="2448">
        <f>COMPOSITE!J$276/31</f>
        <v>23.967741935483872</v>
      </c>
      <c r="O24" s="1838">
        <f>COMPOSITE!H$277</f>
        <v>37</v>
      </c>
      <c r="P24" s="2448">
        <f>COMPOSITE!J$277/31</f>
        <v>38.967741935483872</v>
      </c>
      <c r="Q24" s="1838">
        <f>COMPOSITE!H$279</f>
        <v>83</v>
      </c>
      <c r="R24" s="2448">
        <f>COMPOSITE!J$279/31</f>
        <v>82.596774193548384</v>
      </c>
      <c r="S24" s="1838">
        <f>COMPOSITE!H$281</f>
        <v>24</v>
      </c>
      <c r="T24" s="2448">
        <f>COMPOSITE!J$281/31</f>
        <v>24.5</v>
      </c>
      <c r="U24" s="1839">
        <f>COMPOSITE!H282</f>
        <v>24</v>
      </c>
      <c r="V24" s="2451">
        <f>COMPOSITE!J282/31</f>
        <v>24</v>
      </c>
      <c r="W24" s="1838">
        <f>COMPOSITE!H$283</f>
        <v>48</v>
      </c>
      <c r="X24" s="2448">
        <f>COMPOSITE!J$283/31</f>
        <v>48.247419354838712</v>
      </c>
      <c r="Y24" s="1839">
        <f>COMPOSITE!H284</f>
        <v>32</v>
      </c>
      <c r="Z24" s="2451">
        <f>COMPOSITE!J284/31</f>
        <v>32.096774193548384</v>
      </c>
      <c r="AA24" s="1838">
        <f>COMPOSITE!H$285</f>
        <v>24</v>
      </c>
      <c r="AB24" s="2448">
        <f>COMPOSITE!J$285/31</f>
        <v>24</v>
      </c>
      <c r="AC24" s="1838">
        <f>COMPOSITE!H$287</f>
        <v>22</v>
      </c>
      <c r="AD24" s="2448">
        <f>COMPOSITE!J$287/31</f>
        <v>22.258064516129032</v>
      </c>
      <c r="AE24" s="1838">
        <f>COMPOSITE!H$286</f>
        <v>24</v>
      </c>
      <c r="AF24" s="2448">
        <f>COMPOSITE!J$286/31</f>
        <v>25</v>
      </c>
      <c r="AG24" s="1838">
        <f>COMPOSITE!H$288</f>
        <v>24</v>
      </c>
      <c r="AH24" s="2448">
        <f>COMPOSITE!J$288/31</f>
        <v>24.06451612903226</v>
      </c>
      <c r="AI24" s="1838">
        <f>COMPOSITE!H289</f>
        <v>36</v>
      </c>
      <c r="AJ24" s="2448">
        <f>COMPOSITE!J289/31</f>
        <v>36.29032258064516</v>
      </c>
      <c r="AK24" s="1838">
        <f>COMPOSITE!H290</f>
        <v>24</v>
      </c>
      <c r="AL24" s="2448">
        <f>COMPOSITE!J290/31</f>
        <v>24</v>
      </c>
      <c r="AM24" s="1838">
        <f>COMPOSITE!H291</f>
        <v>63.8125</v>
      </c>
      <c r="AN24" s="2448">
        <f>COMPOSITE!J291/31</f>
        <v>64.096774193548384</v>
      </c>
      <c r="AO24" s="1838">
        <f>COMPOSITE!H293</f>
        <v>24</v>
      </c>
      <c r="AP24" s="2448">
        <f>COMPOSITE!J293/31</f>
        <v>24</v>
      </c>
      <c r="AQ24" s="1838">
        <f>COMPOSITE!H294</f>
        <v>110</v>
      </c>
      <c r="AR24" s="2448">
        <f>COMPOSITE!J294/31</f>
        <v>111.43548387096774</v>
      </c>
      <c r="AS24" s="1838">
        <f>COMPOSITE!H295</f>
        <v>68</v>
      </c>
      <c r="AT24" s="2453">
        <f>COMPOSITE!J295/31</f>
        <v>67.935483870967744</v>
      </c>
    </row>
    <row r="25" spans="1:46">
      <c r="B25" s="1418">
        <v>42461</v>
      </c>
      <c r="C25" s="1838">
        <f>COMPOSITE!K$297-COMPOSITE!K$287</f>
        <v>953.62670765027315</v>
      </c>
      <c r="D25" s="2448">
        <f>(COMPOSITE!M$297-COMPOSITE!M$287)/30</f>
        <v>949.37766666666676</v>
      </c>
      <c r="E25" s="1838">
        <f>COMPOSITE!K$287</f>
        <v>22</v>
      </c>
      <c r="F25" s="2448">
        <f>COMPOSITE!M$287/30</f>
        <v>22</v>
      </c>
      <c r="G25" s="1838">
        <f>COMPOSITE!K$273</f>
        <v>120</v>
      </c>
      <c r="H25" s="2448">
        <f>COMPOSITE!M$273/30</f>
        <v>117.26666666666667</v>
      </c>
      <c r="I25" s="1838">
        <f>COMPOSITE!H$274</f>
        <v>85.814207650273218</v>
      </c>
      <c r="J25" s="2448">
        <f>COMPOSITE!M$274/31</f>
        <v>81.8816129032258</v>
      </c>
      <c r="K25" s="1838">
        <f>COMPOSITE!H$275</f>
        <v>24</v>
      </c>
      <c r="L25" s="2448">
        <f>COMPOSITE!M$275/30</f>
        <v>23.883333333333333</v>
      </c>
      <c r="M25" s="1838">
        <f>COMPOSITE!H$276</f>
        <v>24</v>
      </c>
      <c r="N25" s="2448">
        <f>COMPOSITE!M$276/30</f>
        <v>23.891666666666666</v>
      </c>
      <c r="O25" s="1838">
        <f>COMPOSITE!H$277</f>
        <v>37</v>
      </c>
      <c r="P25" s="2448">
        <f>COMPOSITE!M$277/30</f>
        <v>37.6</v>
      </c>
      <c r="Q25" s="1838">
        <f>COMPOSITE!H$279</f>
        <v>83</v>
      </c>
      <c r="R25" s="2448">
        <f>COMPOSITE!M$279/30</f>
        <v>81.733333333333334</v>
      </c>
      <c r="S25" s="1838">
        <f>COMPOSITE!H$281</f>
        <v>24</v>
      </c>
      <c r="T25" s="2448">
        <f>COMPOSITE!M$281/30</f>
        <v>23.75</v>
      </c>
      <c r="U25" s="1839">
        <f>COMPOSITE!H283</f>
        <v>48</v>
      </c>
      <c r="V25" s="2451">
        <f>COMPOSITE!M282/30</f>
        <v>24</v>
      </c>
      <c r="W25" s="1838">
        <f>COMPOSITE!H$283</f>
        <v>48</v>
      </c>
      <c r="X25" s="2448">
        <f>COMPOSITE!M$283/30</f>
        <v>48</v>
      </c>
      <c r="Y25" s="1839">
        <f>COMPOSITE!H285</f>
        <v>24</v>
      </c>
      <c r="Z25" s="2451">
        <f>COMPOSITE!J284/30</f>
        <v>33.166666666666664</v>
      </c>
      <c r="AA25" s="1838">
        <f>COMPOSITE!H$285</f>
        <v>24</v>
      </c>
      <c r="AB25" s="2448">
        <f>COMPOSITE!M$285/30</f>
        <v>24</v>
      </c>
      <c r="AC25" s="1838">
        <f>COMPOSITE!H$287</f>
        <v>22</v>
      </c>
      <c r="AD25" s="2448">
        <f>COMPOSITE!M$287/30</f>
        <v>22</v>
      </c>
      <c r="AE25" s="1838">
        <f>COMPOSITE!H$286</f>
        <v>24</v>
      </c>
      <c r="AF25" s="2448">
        <f>COMPOSITE!M$286/30</f>
        <v>24</v>
      </c>
      <c r="AG25" s="1838">
        <f>COMPOSITE!H$288</f>
        <v>24</v>
      </c>
      <c r="AH25" s="2448">
        <f>COMPOSITE!M$288/30</f>
        <v>24</v>
      </c>
      <c r="AI25" s="1838">
        <f>COMPOSITE!H290</f>
        <v>24</v>
      </c>
      <c r="AJ25" s="2448">
        <f>COMPOSITE!M289/30</f>
        <v>36</v>
      </c>
      <c r="AK25" s="1838">
        <f>COMPOSITE!H291</f>
        <v>63.8125</v>
      </c>
      <c r="AL25" s="2448">
        <f>COMPOSITE!M290/30</f>
        <v>24</v>
      </c>
      <c r="AM25" s="1838">
        <f>COMPOSITE!H292</f>
        <v>21</v>
      </c>
      <c r="AN25" s="2448">
        <f>COMPOSITE!M291/30</f>
        <v>63.8</v>
      </c>
      <c r="AO25" s="1838">
        <f>COMPOSITE!H294</f>
        <v>110</v>
      </c>
      <c r="AP25" s="2448">
        <f>COMPOSITE!M293/30</f>
        <v>24</v>
      </c>
      <c r="AQ25" s="1838">
        <f>COMPOSITE!H295</f>
        <v>68</v>
      </c>
      <c r="AR25" s="2448">
        <f>COMPOSITE!M294/30</f>
        <v>110.425</v>
      </c>
      <c r="AS25" s="1838">
        <f>COMPOSITE!H296</f>
        <v>0</v>
      </c>
      <c r="AT25" s="2453">
        <f>COMPOSITE!M295/30</f>
        <v>68.099999999999994</v>
      </c>
    </row>
    <row r="26" spans="1:46">
      <c r="B26" s="1418">
        <v>42491</v>
      </c>
      <c r="C26" s="1838"/>
      <c r="D26" s="2448"/>
      <c r="E26" s="1838"/>
      <c r="F26" s="2448"/>
      <c r="G26" s="1838"/>
      <c r="H26" s="2448"/>
      <c r="I26" s="1838"/>
      <c r="J26" s="2448"/>
      <c r="K26" s="1838"/>
      <c r="L26" s="2448"/>
      <c r="M26" s="1838"/>
      <c r="N26" s="2448"/>
      <c r="O26" s="1838"/>
      <c r="P26" s="2448"/>
      <c r="Q26" s="1838"/>
      <c r="R26" s="2448"/>
      <c r="S26" s="1838"/>
      <c r="T26" s="2448"/>
      <c r="U26" s="1839"/>
      <c r="V26" s="2451"/>
      <c r="W26" s="1838"/>
      <c r="X26" s="2448"/>
      <c r="Y26" s="1839"/>
      <c r="Z26" s="2451"/>
      <c r="AA26" s="1838"/>
      <c r="AB26" s="2448"/>
      <c r="AC26" s="1838"/>
      <c r="AD26" s="2448"/>
      <c r="AE26" s="1838"/>
      <c r="AF26" s="2448"/>
      <c r="AG26" s="1838"/>
      <c r="AH26" s="2448"/>
      <c r="AI26" s="1838"/>
      <c r="AJ26" s="2448"/>
      <c r="AK26" s="1838"/>
      <c r="AL26" s="2448"/>
      <c r="AM26" s="1838"/>
      <c r="AN26" s="2448"/>
      <c r="AO26" s="1838"/>
      <c r="AP26" s="2448"/>
      <c r="AQ26" s="1838"/>
      <c r="AR26" s="2448"/>
      <c r="AS26" s="1838"/>
      <c r="AT26" s="2453"/>
    </row>
    <row r="27" spans="1:46">
      <c r="B27" s="1418">
        <v>42522</v>
      </c>
      <c r="C27" s="1838"/>
      <c r="D27" s="2448"/>
      <c r="E27" s="1838"/>
      <c r="F27" s="2448"/>
      <c r="G27" s="1838"/>
      <c r="H27" s="2448"/>
      <c r="I27" s="1838"/>
      <c r="J27" s="2448"/>
      <c r="K27" s="1838"/>
      <c r="L27" s="2448"/>
      <c r="M27" s="1838"/>
      <c r="N27" s="2448"/>
      <c r="O27" s="1838"/>
      <c r="P27" s="2448"/>
      <c r="Q27" s="1838"/>
      <c r="R27" s="2448"/>
      <c r="S27" s="1838"/>
      <c r="T27" s="2448"/>
      <c r="U27" s="1839"/>
      <c r="V27" s="2451"/>
      <c r="W27" s="1838"/>
      <c r="X27" s="2448"/>
      <c r="Y27" s="1838"/>
      <c r="Z27" s="2448"/>
      <c r="AA27" s="1838"/>
      <c r="AB27" s="2448"/>
      <c r="AC27" s="1838"/>
      <c r="AD27" s="2448"/>
      <c r="AE27" s="1838"/>
      <c r="AF27" s="2448"/>
      <c r="AG27" s="1838"/>
      <c r="AH27" s="2448"/>
      <c r="AI27" s="1838"/>
      <c r="AJ27" s="2448"/>
      <c r="AK27" s="1838"/>
      <c r="AL27" s="2448"/>
      <c r="AM27" s="1838"/>
      <c r="AN27" s="2448"/>
      <c r="AO27" s="1838"/>
      <c r="AP27" s="2448"/>
      <c r="AQ27" s="1838"/>
      <c r="AR27" s="2448"/>
      <c r="AS27" s="1838"/>
      <c r="AT27" s="2453"/>
    </row>
    <row r="28" spans="1:46">
      <c r="B28" s="1418">
        <v>42552</v>
      </c>
      <c r="C28" s="1838"/>
      <c r="D28" s="2448"/>
      <c r="E28" s="1838"/>
      <c r="F28" s="2448"/>
      <c r="G28" s="1838"/>
      <c r="H28" s="2448"/>
      <c r="I28" s="1838"/>
      <c r="J28" s="2448"/>
      <c r="K28" s="1838"/>
      <c r="L28" s="2448"/>
      <c r="M28" s="1838"/>
      <c r="N28" s="2448"/>
      <c r="O28" s="1838"/>
      <c r="P28" s="2448"/>
      <c r="Q28" s="1838"/>
      <c r="R28" s="2448"/>
      <c r="S28" s="1838"/>
      <c r="T28" s="2448"/>
      <c r="U28" s="1839"/>
      <c r="V28" s="2451"/>
      <c r="W28" s="1838"/>
      <c r="X28" s="2448"/>
      <c r="Y28" s="1838"/>
      <c r="Z28" s="2448"/>
      <c r="AA28" s="1838"/>
      <c r="AB28" s="2448"/>
      <c r="AC28" s="1838"/>
      <c r="AD28" s="2448"/>
      <c r="AE28" s="1838"/>
      <c r="AF28" s="2448"/>
      <c r="AG28" s="1838"/>
      <c r="AH28" s="2448"/>
      <c r="AI28" s="1838"/>
      <c r="AJ28" s="2448"/>
      <c r="AK28" s="1838"/>
      <c r="AL28" s="2448"/>
      <c r="AM28" s="1838"/>
      <c r="AN28" s="2448"/>
      <c r="AO28" s="1838"/>
      <c r="AP28" s="2448"/>
      <c r="AQ28" s="1838"/>
      <c r="AR28" s="2448"/>
      <c r="AS28" s="1838"/>
      <c r="AT28" s="2453"/>
    </row>
    <row r="29" spans="1:46">
      <c r="B29" s="1418">
        <v>42583</v>
      </c>
      <c r="C29" s="1838"/>
      <c r="D29" s="2448"/>
      <c r="E29" s="1838"/>
      <c r="F29" s="2448"/>
      <c r="G29" s="1838"/>
      <c r="H29" s="2448"/>
      <c r="I29" s="1838"/>
      <c r="J29" s="2448"/>
      <c r="K29" s="1838"/>
      <c r="L29" s="2448"/>
      <c r="M29" s="1838"/>
      <c r="N29" s="2448"/>
      <c r="O29" s="1838"/>
      <c r="P29" s="2448"/>
      <c r="Q29" s="1838"/>
      <c r="R29" s="2448"/>
      <c r="S29" s="1838"/>
      <c r="T29" s="2448"/>
      <c r="U29" s="1839"/>
      <c r="V29" s="2451"/>
      <c r="W29" s="1838"/>
      <c r="X29" s="2448"/>
      <c r="Y29" s="1838"/>
      <c r="Z29" s="2448"/>
      <c r="AA29" s="1838"/>
      <c r="AB29" s="2448"/>
      <c r="AC29" s="1838"/>
      <c r="AD29" s="2448"/>
      <c r="AE29" s="1838"/>
      <c r="AF29" s="2448"/>
      <c r="AG29" s="1838"/>
      <c r="AH29" s="2448"/>
      <c r="AI29" s="1838"/>
      <c r="AJ29" s="2448"/>
      <c r="AK29" s="1838"/>
      <c r="AL29" s="2448"/>
      <c r="AM29" s="1838"/>
      <c r="AN29" s="2448"/>
      <c r="AO29" s="1838"/>
      <c r="AP29" s="2448"/>
      <c r="AQ29" s="1838"/>
      <c r="AR29" s="2448"/>
      <c r="AS29" s="1838"/>
      <c r="AT29" s="2453"/>
    </row>
    <row r="30" spans="1:46">
      <c r="B30" s="1418">
        <v>42614</v>
      </c>
      <c r="C30" s="1838"/>
      <c r="D30" s="2448"/>
      <c r="E30" s="1838"/>
      <c r="F30" s="2448"/>
      <c r="G30" s="1838"/>
      <c r="H30" s="2448"/>
      <c r="I30" s="1838"/>
      <c r="J30" s="2448"/>
      <c r="K30" s="1838"/>
      <c r="L30" s="2448"/>
      <c r="M30" s="1838"/>
      <c r="N30" s="2448"/>
      <c r="O30" s="1838"/>
      <c r="P30" s="2448"/>
      <c r="Q30" s="1838"/>
      <c r="R30" s="2448"/>
      <c r="S30" s="1838"/>
      <c r="T30" s="2448"/>
      <c r="U30" s="1839"/>
      <c r="V30" s="2451"/>
      <c r="W30" s="1838"/>
      <c r="X30" s="2448"/>
      <c r="Y30" s="1838"/>
      <c r="Z30" s="2448"/>
      <c r="AA30" s="1838"/>
      <c r="AB30" s="2448"/>
      <c r="AC30" s="1838"/>
      <c r="AD30" s="2448"/>
      <c r="AE30" s="1838"/>
      <c r="AF30" s="2448"/>
      <c r="AG30" s="1838"/>
      <c r="AH30" s="2448"/>
      <c r="AI30" s="1838"/>
      <c r="AJ30" s="2448"/>
      <c r="AK30" s="1838"/>
      <c r="AL30" s="2448"/>
      <c r="AM30" s="1838"/>
      <c r="AN30" s="2448"/>
      <c r="AO30" s="1838"/>
      <c r="AP30" s="2448"/>
      <c r="AQ30" s="1838"/>
      <c r="AR30" s="2448"/>
      <c r="AS30" s="1838"/>
      <c r="AT30" s="2453"/>
    </row>
    <row r="31" spans="1:46">
      <c r="B31" s="1418">
        <v>42644</v>
      </c>
      <c r="C31" s="1838"/>
      <c r="D31" s="2448"/>
      <c r="E31" s="1838"/>
      <c r="F31" s="2448"/>
      <c r="G31" s="1838"/>
      <c r="H31" s="2448"/>
      <c r="I31" s="1838"/>
      <c r="J31" s="2448"/>
      <c r="K31" s="1838"/>
      <c r="L31" s="2448"/>
      <c r="M31" s="1838"/>
      <c r="N31" s="2448"/>
      <c r="O31" s="1838"/>
      <c r="P31" s="2448"/>
      <c r="Q31" s="1838"/>
      <c r="R31" s="2448"/>
      <c r="S31" s="1838"/>
      <c r="T31" s="2448"/>
      <c r="U31" s="1838"/>
      <c r="V31" s="2448"/>
      <c r="W31" s="1838"/>
      <c r="X31" s="2448"/>
      <c r="Y31" s="1838"/>
      <c r="Z31" s="2448"/>
      <c r="AA31" s="1838"/>
      <c r="AB31" s="2448"/>
      <c r="AC31" s="1838"/>
      <c r="AD31" s="2448"/>
      <c r="AE31" s="1838"/>
      <c r="AF31" s="2448"/>
      <c r="AG31" s="1838"/>
      <c r="AH31" s="2448"/>
      <c r="AI31" s="1838"/>
      <c r="AJ31" s="2448"/>
      <c r="AK31" s="1838"/>
      <c r="AL31" s="2448"/>
      <c r="AM31" s="1838"/>
      <c r="AN31" s="2448"/>
      <c r="AO31" s="1838"/>
      <c r="AP31" s="2448"/>
      <c r="AQ31" s="1838"/>
      <c r="AR31" s="2448"/>
      <c r="AS31" s="1838"/>
      <c r="AT31" s="2453"/>
    </row>
    <row r="32" spans="1:46">
      <c r="B32" s="1418">
        <v>42675</v>
      </c>
      <c r="C32" s="1838"/>
      <c r="D32" s="2448"/>
      <c r="E32" s="1838"/>
      <c r="F32" s="2448"/>
      <c r="G32" s="1838"/>
      <c r="H32" s="2448"/>
      <c r="I32" s="1838"/>
      <c r="J32" s="2448"/>
      <c r="K32" s="1838"/>
      <c r="L32" s="2448"/>
      <c r="M32" s="1838"/>
      <c r="N32" s="2448"/>
      <c r="O32" s="1838"/>
      <c r="P32" s="2448"/>
      <c r="Q32" s="1838"/>
      <c r="R32" s="2448"/>
      <c r="S32" s="1838"/>
      <c r="T32" s="2448"/>
      <c r="U32" s="1838"/>
      <c r="V32" s="2448"/>
      <c r="W32" s="1838"/>
      <c r="X32" s="2448"/>
      <c r="Y32" s="1838"/>
      <c r="Z32" s="2448"/>
      <c r="AA32" s="1838"/>
      <c r="AB32" s="2448"/>
      <c r="AC32" s="1838"/>
      <c r="AD32" s="2448"/>
      <c r="AE32" s="1838"/>
      <c r="AF32" s="2448"/>
      <c r="AG32" s="1838"/>
      <c r="AH32" s="2448"/>
      <c r="AI32" s="1838"/>
      <c r="AJ32" s="2448"/>
      <c r="AK32" s="1838"/>
      <c r="AL32" s="2448"/>
      <c r="AM32" s="1838"/>
      <c r="AN32" s="2448"/>
      <c r="AO32" s="1838"/>
      <c r="AP32" s="2448"/>
      <c r="AQ32" s="1838"/>
      <c r="AR32" s="2448"/>
      <c r="AS32" s="1838"/>
      <c r="AT32" s="2453"/>
    </row>
    <row r="33" spans="1:46">
      <c r="B33" s="1419">
        <v>42705</v>
      </c>
      <c r="C33" s="1840"/>
      <c r="D33" s="2449"/>
      <c r="E33" s="1840"/>
      <c r="F33" s="2449"/>
      <c r="G33" s="1840"/>
      <c r="H33" s="2449"/>
      <c r="I33" s="1840"/>
      <c r="J33" s="2449"/>
      <c r="K33" s="1840"/>
      <c r="L33" s="2449"/>
      <c r="M33" s="1840"/>
      <c r="N33" s="2449"/>
      <c r="O33" s="1840"/>
      <c r="P33" s="2449"/>
      <c r="Q33" s="1840"/>
      <c r="R33" s="2449"/>
      <c r="S33" s="1840"/>
      <c r="T33" s="2449"/>
      <c r="U33" s="1840"/>
      <c r="V33" s="2449"/>
      <c r="W33" s="1840"/>
      <c r="X33" s="2449"/>
      <c r="Y33" s="1840"/>
      <c r="Z33" s="2449"/>
      <c r="AA33" s="1840"/>
      <c r="AB33" s="2449"/>
      <c r="AC33" s="1840"/>
      <c r="AD33" s="2449"/>
      <c r="AE33" s="1840"/>
      <c r="AF33" s="2449"/>
      <c r="AG33" s="1840"/>
      <c r="AH33" s="2449"/>
      <c r="AI33" s="1840"/>
      <c r="AJ33" s="2449"/>
      <c r="AK33" s="1840"/>
      <c r="AL33" s="2449"/>
      <c r="AM33" s="1840"/>
      <c r="AN33" s="2449"/>
      <c r="AO33" s="1840"/>
      <c r="AP33" s="2449"/>
      <c r="AQ33" s="1840"/>
      <c r="AR33" s="2449"/>
      <c r="AS33" s="1840"/>
      <c r="AT33" s="2454"/>
    </row>
    <row r="34" spans="1:46" ht="15.75" thickBot="1">
      <c r="B34" s="1841" t="s">
        <v>277</v>
      </c>
      <c r="C34" s="1842">
        <f>SUM(C22:C33)</f>
        <v>3801.7368306010926</v>
      </c>
      <c r="D34" s="1843">
        <f>SUM(D22:D33)</f>
        <v>3815.204062662217</v>
      </c>
      <c r="E34" s="1844">
        <f>SUM(E22:E33)</f>
        <v>90</v>
      </c>
      <c r="F34" s="1845">
        <f>SUM(F22:F33)</f>
        <v>91.163236929922135</v>
      </c>
      <c r="G34" s="1842">
        <f t="shared" ref="G34:AN34" si="0">SUM(G22:G33)</f>
        <v>480</v>
      </c>
      <c r="H34" s="1846">
        <f t="shared" si="0"/>
        <v>475.29892473118275</v>
      </c>
      <c r="I34" s="1847">
        <f t="shared" si="0"/>
        <v>343.25683060109287</v>
      </c>
      <c r="J34" s="1846">
        <f t="shared" si="0"/>
        <v>341.00953281423801</v>
      </c>
      <c r="K34" s="1847">
        <f t="shared" si="0"/>
        <v>96</v>
      </c>
      <c r="L34" s="1846">
        <f t="shared" si="0"/>
        <v>95.883333333333326</v>
      </c>
      <c r="M34" s="1847">
        <f t="shared" si="0"/>
        <v>96</v>
      </c>
      <c r="N34" s="1846">
        <f t="shared" si="0"/>
        <v>95.891666666666666</v>
      </c>
      <c r="O34" s="1847">
        <f t="shared" si="0"/>
        <v>148</v>
      </c>
      <c r="P34" s="1846">
        <f t="shared" si="0"/>
        <v>150.6</v>
      </c>
      <c r="Q34" s="1847">
        <f t="shared" si="0"/>
        <v>331.57</v>
      </c>
      <c r="R34" s="1846">
        <f t="shared" si="0"/>
        <v>326.30118650352244</v>
      </c>
      <c r="S34" s="1847">
        <f t="shared" si="0"/>
        <v>96</v>
      </c>
      <c r="T34" s="1846">
        <f t="shared" si="0"/>
        <v>96.749443826473865</v>
      </c>
      <c r="U34" s="1847">
        <f>SUM(U22:U33)</f>
        <v>120</v>
      </c>
      <c r="V34" s="1846">
        <f>SUM(V22:V33)</f>
        <v>96</v>
      </c>
      <c r="W34" s="1847">
        <f t="shared" si="0"/>
        <v>180</v>
      </c>
      <c r="X34" s="1846">
        <f t="shared" si="0"/>
        <v>185.32973303670747</v>
      </c>
      <c r="Y34" s="1848">
        <f t="shared" si="0"/>
        <v>120</v>
      </c>
      <c r="Z34" s="1846">
        <f t="shared" si="0"/>
        <v>129.45420837968112</v>
      </c>
      <c r="AA34" s="1847">
        <f t="shared" si="0"/>
        <v>96</v>
      </c>
      <c r="AB34" s="1846">
        <f t="shared" si="0"/>
        <v>96</v>
      </c>
      <c r="AC34" s="1847">
        <f t="shared" si="0"/>
        <v>90</v>
      </c>
      <c r="AD34" s="1843">
        <f t="shared" si="0"/>
        <v>91.163236929922135</v>
      </c>
      <c r="AE34" s="1847">
        <f t="shared" si="0"/>
        <v>96</v>
      </c>
      <c r="AF34" s="1846">
        <f t="shared" si="0"/>
        <v>100.75194660734149</v>
      </c>
      <c r="AG34" s="1847">
        <f t="shared" si="0"/>
        <v>96</v>
      </c>
      <c r="AH34" s="1846">
        <f t="shared" si="0"/>
        <v>96.064516129032256</v>
      </c>
      <c r="AI34" s="1847">
        <f t="shared" si="0"/>
        <v>132</v>
      </c>
      <c r="AJ34" s="1846">
        <f t="shared" si="0"/>
        <v>144.29032258064515</v>
      </c>
      <c r="AK34" s="1847">
        <f t="shared" si="0"/>
        <v>135.8125</v>
      </c>
      <c r="AL34" s="1846">
        <f t="shared" si="0"/>
        <v>96</v>
      </c>
      <c r="AM34" s="1847">
        <f t="shared" si="0"/>
        <v>212.4375</v>
      </c>
      <c r="AN34" s="1846">
        <f t="shared" si="0"/>
        <v>255.653170189099</v>
      </c>
      <c r="AO34" s="1847">
        <f t="shared" ref="AO34:AT34" si="1">SUM(AO22:AO33)</f>
        <v>182</v>
      </c>
      <c r="AP34" s="1846">
        <f t="shared" si="1"/>
        <v>96.086206896551715</v>
      </c>
      <c r="AQ34" s="1847">
        <f t="shared" si="1"/>
        <v>398</v>
      </c>
      <c r="AR34" s="1846">
        <f t="shared" si="1"/>
        <v>441.86048387096776</v>
      </c>
      <c r="AS34" s="1847">
        <f t="shared" si="1"/>
        <v>204</v>
      </c>
      <c r="AT34" s="1849">
        <f t="shared" si="1"/>
        <v>272.03548387096771</v>
      </c>
    </row>
    <row r="35" spans="1:46" ht="9.75" customHeight="1" thickTop="1">
      <c r="B35" s="205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  <c r="AE35" s="206"/>
      <c r="AF35" s="206"/>
      <c r="AG35" s="206"/>
      <c r="AH35" s="206"/>
      <c r="AI35" s="206"/>
      <c r="AJ35" s="206"/>
      <c r="AK35" s="206"/>
      <c r="AL35" s="206"/>
      <c r="AM35" s="206"/>
      <c r="AN35" s="206"/>
    </row>
    <row r="36" spans="1:46" ht="33" customHeight="1" thickBot="1">
      <c r="B36" s="2815" t="s">
        <v>561</v>
      </c>
      <c r="C36" s="2816"/>
    </row>
    <row r="37" spans="1:46" ht="15.75" thickTop="1">
      <c r="B37" s="2810" t="s">
        <v>276</v>
      </c>
      <c r="C37" s="2800" t="s">
        <v>62</v>
      </c>
      <c r="D37" s="2800"/>
      <c r="E37" s="2800" t="s">
        <v>29</v>
      </c>
      <c r="F37" s="2800"/>
      <c r="G37" s="2800" t="s">
        <v>474</v>
      </c>
      <c r="H37" s="2800"/>
      <c r="I37" s="2800" t="s">
        <v>476</v>
      </c>
      <c r="J37" s="2800"/>
      <c r="K37" s="2800" t="s">
        <v>517</v>
      </c>
      <c r="L37" s="2800"/>
      <c r="M37" s="2800" t="s">
        <v>479</v>
      </c>
      <c r="N37" s="2800"/>
      <c r="O37" s="2800" t="s">
        <v>490</v>
      </c>
      <c r="P37" s="2800"/>
      <c r="Q37" s="2800" t="s">
        <v>488</v>
      </c>
      <c r="R37" s="2800"/>
      <c r="S37" s="2800" t="s">
        <v>487</v>
      </c>
      <c r="T37" s="2800"/>
      <c r="U37" s="2817" t="s">
        <v>468</v>
      </c>
      <c r="V37" s="2818"/>
      <c r="W37" s="2804" t="s">
        <v>470</v>
      </c>
      <c r="X37" s="2805"/>
      <c r="Y37" s="2817" t="s">
        <v>472</v>
      </c>
      <c r="Z37" s="2818"/>
      <c r="AA37" s="2800" t="s">
        <v>486</v>
      </c>
      <c r="AB37" s="2800"/>
      <c r="AC37" s="2817" t="s">
        <v>562</v>
      </c>
      <c r="AD37" s="2819"/>
    </row>
    <row r="38" spans="1:46" s="4" customFormat="1" ht="30" customHeight="1">
      <c r="A38" s="203"/>
      <c r="B38" s="2811"/>
      <c r="C38" s="1833" t="s">
        <v>148</v>
      </c>
      <c r="D38" s="1833" t="s">
        <v>149</v>
      </c>
      <c r="E38" s="1833" t="s">
        <v>148</v>
      </c>
      <c r="F38" s="1833" t="s">
        <v>149</v>
      </c>
      <c r="G38" s="1833" t="s">
        <v>148</v>
      </c>
      <c r="H38" s="1833" t="s">
        <v>149</v>
      </c>
      <c r="I38" s="1833" t="s">
        <v>148</v>
      </c>
      <c r="J38" s="1833" t="s">
        <v>149</v>
      </c>
      <c r="K38" s="1833" t="s">
        <v>148</v>
      </c>
      <c r="L38" s="1833" t="s">
        <v>149</v>
      </c>
      <c r="M38" s="1833" t="s">
        <v>148</v>
      </c>
      <c r="N38" s="1833" t="s">
        <v>149</v>
      </c>
      <c r="O38" s="1833" t="s">
        <v>148</v>
      </c>
      <c r="P38" s="1833" t="s">
        <v>149</v>
      </c>
      <c r="Q38" s="1833" t="s">
        <v>148</v>
      </c>
      <c r="R38" s="1833" t="s">
        <v>149</v>
      </c>
      <c r="S38" s="1833" t="s">
        <v>148</v>
      </c>
      <c r="T38" s="1833" t="s">
        <v>149</v>
      </c>
      <c r="U38" s="1832" t="s">
        <v>148</v>
      </c>
      <c r="V38" s="1850" t="s">
        <v>149</v>
      </c>
      <c r="W38" s="1851" t="s">
        <v>148</v>
      </c>
      <c r="X38" s="1852" t="s">
        <v>149</v>
      </c>
      <c r="Y38" s="1832" t="s">
        <v>148</v>
      </c>
      <c r="Z38" s="1850" t="s">
        <v>149</v>
      </c>
      <c r="AA38" s="1833" t="s">
        <v>148</v>
      </c>
      <c r="AB38" s="1833" t="s">
        <v>149</v>
      </c>
      <c r="AC38" s="1832" t="s">
        <v>148</v>
      </c>
      <c r="AD38" s="1853" t="s">
        <v>149</v>
      </c>
    </row>
    <row r="39" spans="1:46">
      <c r="B39" s="1854">
        <v>42370</v>
      </c>
      <c r="C39" s="1855">
        <f>COMPOSITE!B$321</f>
        <v>438.92480874316936</v>
      </c>
      <c r="D39" s="2455">
        <f>COMPOSITE!D$321/31</f>
        <v>430.72580645161293</v>
      </c>
      <c r="E39" s="1855">
        <f>COMPOSITE!B$302</f>
        <v>58.819672131147541</v>
      </c>
      <c r="F39" s="2455">
        <f>COMPOSITE!D$302/31</f>
        <v>53.741935483870968</v>
      </c>
      <c r="G39" s="1855">
        <f>COMPOSITE!B$303</f>
        <v>24</v>
      </c>
      <c r="H39" s="2455">
        <f>COMPOSITE!D$303/31</f>
        <v>24</v>
      </c>
      <c r="I39" s="1855">
        <f>COMPOSITE!B$305</f>
        <v>35.803278688524593</v>
      </c>
      <c r="J39" s="2455">
        <f>COMPOSITE!D$305/31</f>
        <v>40.814516129032256</v>
      </c>
      <c r="K39" s="1855">
        <f>COMPOSITE!B306</f>
        <v>14.28</v>
      </c>
      <c r="L39" s="2455">
        <f>COMPOSITE!D306/31</f>
        <v>8.0241935483870961</v>
      </c>
      <c r="M39" s="1855">
        <f>COMPOSITE!B$309</f>
        <v>36</v>
      </c>
      <c r="N39" s="2455">
        <f>COMPOSITE!D$309/31</f>
        <v>36</v>
      </c>
      <c r="O39" s="1855">
        <f>COMPOSITE!B308</f>
        <v>20</v>
      </c>
      <c r="P39" s="2455">
        <f>COMPOSITE!D308/31</f>
        <v>19.14516129032258</v>
      </c>
      <c r="Q39" s="1855">
        <f>COMPOSITE!B$310</f>
        <v>20</v>
      </c>
      <c r="R39" s="2455">
        <f>COMPOSITE!D310/31</f>
        <v>20.129032258064516</v>
      </c>
      <c r="S39" s="1855">
        <f>COMPOSITE!B$311</f>
        <v>10</v>
      </c>
      <c r="T39" s="2455">
        <f>COMPOSITE!D$311/31</f>
        <v>6.774193548387097</v>
      </c>
      <c r="U39" s="1855">
        <f>COMPOSITE!B313</f>
        <v>20</v>
      </c>
      <c r="V39" s="2455">
        <f>COMPOSITE!D313/31</f>
        <v>20</v>
      </c>
      <c r="W39" s="1855">
        <f>COMPOSITE!B315</f>
        <v>50</v>
      </c>
      <c r="X39" s="2455">
        <f>COMPOSITE!D315/31</f>
        <v>52.096774193548384</v>
      </c>
      <c r="Y39" s="1855">
        <f>COMPOSITE!B317</f>
        <v>12.010928961748634</v>
      </c>
      <c r="Z39" s="2455">
        <f>COMPOSITE!D317/31</f>
        <v>12</v>
      </c>
      <c r="AA39" s="1855">
        <f>COMPOSITE!B318</f>
        <v>76</v>
      </c>
      <c r="AB39" s="2455">
        <f>COMPOSITE!D318/31</f>
        <v>76</v>
      </c>
      <c r="AC39" s="1855">
        <f>COMPOSITE!B319</f>
        <v>50</v>
      </c>
      <c r="AD39" s="2456">
        <f>COMPOSITE!D319/31</f>
        <v>50</v>
      </c>
    </row>
    <row r="40" spans="1:46">
      <c r="B40" s="1418">
        <v>42401</v>
      </c>
      <c r="C40" s="1855">
        <f>COMPOSITE!E$321</f>
        <v>438.64480874316939</v>
      </c>
      <c r="D40" s="2455">
        <f>COMPOSITE!G$321/29</f>
        <v>449.32989447899001</v>
      </c>
      <c r="E40" s="1855">
        <f>COMPOSITE!E$302</f>
        <v>58.819672131147541</v>
      </c>
      <c r="F40" s="2455">
        <f>COMPOSITE!G$302/29</f>
        <v>56.456896551724135</v>
      </c>
      <c r="G40" s="1855">
        <f>COMPOSITE!E$303</f>
        <v>24</v>
      </c>
      <c r="H40" s="2455">
        <f>COMPOSITE!G$303/29</f>
        <v>25.172413793103448</v>
      </c>
      <c r="I40" s="1855">
        <f>COMPOSITE!E$305</f>
        <v>35.803278688524593</v>
      </c>
      <c r="J40" s="2455">
        <f>COMPOSITE!G$305/29</f>
        <v>39.939655172413794</v>
      </c>
      <c r="K40" s="1855">
        <f>COMPOSITE!E306</f>
        <v>14</v>
      </c>
      <c r="L40" s="2455">
        <f>COMPOSITE!G306/29</f>
        <v>18.913793103448278</v>
      </c>
      <c r="M40" s="1855">
        <f>COMPOSITE!E$309</f>
        <v>36</v>
      </c>
      <c r="N40" s="2455">
        <f>COMPOSITE!G$309/29</f>
        <v>35.094827586206897</v>
      </c>
      <c r="O40" s="1855">
        <f>COMPOSITE!E308</f>
        <v>20</v>
      </c>
      <c r="P40" s="2455">
        <f>COMPOSITE!G308/29</f>
        <v>18.78448275862069</v>
      </c>
      <c r="Q40" s="1855">
        <f>COMPOSITE!E$310</f>
        <v>20</v>
      </c>
      <c r="R40" s="2455">
        <f>COMPOSITE!G310/29</f>
        <v>20.25</v>
      </c>
      <c r="S40" s="1855">
        <f>COMPOSITE!E$311</f>
        <v>10</v>
      </c>
      <c r="T40" s="2455">
        <f>COMPOSITE!G$311/29</f>
        <v>7.2413793103448274</v>
      </c>
      <c r="U40" s="1855">
        <f>COMPOSITE!E313</f>
        <v>20</v>
      </c>
      <c r="V40" s="2455">
        <f>COMPOSITE!G313/29</f>
        <v>20.137931034482758</v>
      </c>
      <c r="W40" s="1855">
        <f>COMPOSITE!E315</f>
        <v>50</v>
      </c>
      <c r="X40" s="2455">
        <f>COMPOSITE!G315/29</f>
        <v>56.482758620689658</v>
      </c>
      <c r="Y40" s="1855">
        <f>COMPOSITE!E317</f>
        <v>12.010928961748634</v>
      </c>
      <c r="Z40" s="2455">
        <f>COMPOSITE!G317/29</f>
        <v>12.844827586206897</v>
      </c>
      <c r="AA40" s="1855">
        <f>COMPOSITE!E318</f>
        <v>76</v>
      </c>
      <c r="AB40" s="2455">
        <f>COMPOSITE!G318/29</f>
        <v>76</v>
      </c>
      <c r="AC40" s="1855">
        <f>COMPOSITE!E319</f>
        <v>50</v>
      </c>
      <c r="AD40" s="2456">
        <f>COMPOSITE!G319/29</f>
        <v>50</v>
      </c>
    </row>
    <row r="41" spans="1:46">
      <c r="B41" s="1418">
        <v>42430</v>
      </c>
      <c r="C41" s="1855">
        <f>COMPOSITE!H$321</f>
        <v>431.90295081967213</v>
      </c>
      <c r="D41" s="2455">
        <f>COMPOSITE!J$321/31</f>
        <v>429.64516129032256</v>
      </c>
      <c r="E41" s="1855">
        <f>COMPOSITE!H$302</f>
        <v>58.819672131147541</v>
      </c>
      <c r="F41" s="2455">
        <f>COMPOSITE!J$302/31</f>
        <v>58.806451612903224</v>
      </c>
      <c r="G41" s="1855">
        <f>COMPOSITE!H$303</f>
        <v>24</v>
      </c>
      <c r="H41" s="2455">
        <f>COMPOSITE!J$303/29</f>
        <v>26.068965517241381</v>
      </c>
      <c r="I41" s="1855">
        <f>COMPOSITE!H$305</f>
        <v>35.803278688524593</v>
      </c>
      <c r="J41" s="2455">
        <f>COMPOSITE!J$305/31</f>
        <v>36.193548387096776</v>
      </c>
      <c r="K41" s="1855">
        <f>COMPOSITE!H306</f>
        <v>14.28</v>
      </c>
      <c r="L41" s="2455">
        <f>COMPOSITE!J307/31</f>
        <v>0</v>
      </c>
      <c r="M41" s="1855">
        <f>COMPOSITE!H$309</f>
        <v>36</v>
      </c>
      <c r="N41" s="2455">
        <f>COMPOSITE!J$309/31</f>
        <v>36</v>
      </c>
      <c r="O41" s="1855">
        <f>COMPOSITE!H308</f>
        <v>20</v>
      </c>
      <c r="P41" s="2455">
        <f>COMPOSITE!J309/31</f>
        <v>36</v>
      </c>
      <c r="Q41" s="1855">
        <f>COMPOSITE!H$310</f>
        <v>20</v>
      </c>
      <c r="R41" s="2455">
        <f>COMPOSITE!J310/31</f>
        <v>20</v>
      </c>
      <c r="S41" s="1855">
        <f>COMPOSITE!H$311</f>
        <v>10</v>
      </c>
      <c r="T41" s="2455">
        <f>COMPOSITE!J$311/31</f>
        <v>7.419354838709677</v>
      </c>
      <c r="U41" s="1855">
        <f>COMPOSITE!H313</f>
        <v>20</v>
      </c>
      <c r="V41" s="2455">
        <f>COMPOSITE!J313/31</f>
        <v>20</v>
      </c>
      <c r="W41" s="1855">
        <f>COMPOSITE!H315</f>
        <v>50</v>
      </c>
      <c r="X41" s="2455">
        <f>COMPOSITE!J315/31</f>
        <v>50</v>
      </c>
      <c r="Y41" s="1855">
        <f>COMPOSITE!H317</f>
        <v>17</v>
      </c>
      <c r="Z41" s="2455">
        <f>COMPOSITE!J317/31</f>
        <v>13.935483870967742</v>
      </c>
      <c r="AA41" s="1855">
        <f>COMPOSITE!H318</f>
        <v>76</v>
      </c>
      <c r="AB41" s="2455">
        <f>COMPOSITE!J318/31</f>
        <v>74.451612903225808</v>
      </c>
      <c r="AC41" s="1855">
        <f>COMPOSITE!H319</f>
        <v>50</v>
      </c>
      <c r="AD41" s="2456">
        <f>COMPOSITE!J319/31</f>
        <v>50</v>
      </c>
    </row>
    <row r="42" spans="1:46">
      <c r="B42" s="1418">
        <v>42461</v>
      </c>
      <c r="C42" s="1855">
        <f>COMPOSITE!K$321</f>
        <v>431.81967213114751</v>
      </c>
      <c r="D42" s="2455">
        <f>COMPOSITE!M$321/31</f>
        <v>420.45967741935482</v>
      </c>
      <c r="E42" s="1855">
        <f>COMPOSITE!K$302</f>
        <v>58.819672131147541</v>
      </c>
      <c r="F42" s="2455">
        <f>COMPOSITE!M$302/30</f>
        <v>58.8</v>
      </c>
      <c r="G42" s="1855">
        <f>COMPOSITE!K$303</f>
        <v>24</v>
      </c>
      <c r="H42" s="2455">
        <f>COMPOSITE!M$303/30</f>
        <v>24.458333333333332</v>
      </c>
      <c r="I42" s="1855">
        <f>COMPOSITE!K$305</f>
        <v>36</v>
      </c>
      <c r="J42" s="2455">
        <f>COMPOSITE!M$305/30</f>
        <v>37.666666666666664</v>
      </c>
      <c r="K42" s="1855">
        <f>COMPOSITE!K306</f>
        <v>14</v>
      </c>
      <c r="L42" s="2455">
        <f>COMPOSITE!M308/30</f>
        <v>20</v>
      </c>
      <c r="M42" s="1855">
        <f>COMPOSITE!K$309</f>
        <v>36</v>
      </c>
      <c r="N42" s="2455">
        <f>COMPOSITE!M$309/30</f>
        <v>36.491666666666667</v>
      </c>
      <c r="O42" s="1855">
        <f>COMPOSITE!K308</f>
        <v>20</v>
      </c>
      <c r="P42" s="2455">
        <f>COMPOSITE!M310/30</f>
        <v>21.208333333333332</v>
      </c>
      <c r="Q42" s="1855">
        <f>COMPOSITE!K$310</f>
        <v>20</v>
      </c>
      <c r="R42" s="2455">
        <f>COMPOSITE!M310/30</f>
        <v>21.208333333333332</v>
      </c>
      <c r="S42" s="1855">
        <f>COMPOSITE!K$311</f>
        <v>10</v>
      </c>
      <c r="T42" s="2455">
        <f>COMPOSITE!M$311/30</f>
        <v>7</v>
      </c>
      <c r="U42" s="1855">
        <f>COMPOSITE!K313</f>
        <v>20</v>
      </c>
      <c r="V42" s="2455">
        <f>COMPOSITE!M313/30</f>
        <v>20.666666666666668</v>
      </c>
      <c r="W42" s="1855">
        <f>COMPOSITE!K315</f>
        <v>50</v>
      </c>
      <c r="X42" s="2455">
        <f>COMPOSITE!M317/30</f>
        <v>17.466666666666665</v>
      </c>
      <c r="Y42" s="1855">
        <f>COMPOSITE!K317</f>
        <v>17</v>
      </c>
      <c r="Z42" s="2455">
        <f>COMPOSITE!M317/31</f>
        <v>16.903225806451612</v>
      </c>
      <c r="AA42" s="1855">
        <f>COMPOSITE!K318</f>
        <v>76</v>
      </c>
      <c r="AB42" s="2455">
        <f>COMPOSITE!M318/31</f>
        <v>73.290322580645167</v>
      </c>
      <c r="AC42" s="1855">
        <f>COMPOSITE!K319</f>
        <v>50</v>
      </c>
      <c r="AD42" s="2456">
        <f>COMPOSITE!M319/31</f>
        <v>48.20967741935484</v>
      </c>
    </row>
    <row r="43" spans="1:46">
      <c r="B43" s="1418">
        <v>42491</v>
      </c>
      <c r="C43" s="1838"/>
      <c r="D43" s="2448"/>
      <c r="E43" s="1838"/>
      <c r="F43" s="2448"/>
      <c r="G43" s="1838"/>
      <c r="H43" s="2448"/>
      <c r="I43" s="1838"/>
      <c r="J43" s="2448"/>
      <c r="K43" s="1838"/>
      <c r="L43" s="2448"/>
      <c r="M43" s="1838"/>
      <c r="N43" s="2448"/>
      <c r="O43" s="1838"/>
      <c r="P43" s="2448"/>
      <c r="Q43" s="1838"/>
      <c r="R43" s="2448"/>
      <c r="S43" s="1838"/>
      <c r="T43" s="2448"/>
      <c r="U43" s="1838"/>
      <c r="V43" s="2448"/>
      <c r="W43" s="1838"/>
      <c r="X43" s="2448"/>
      <c r="Y43" s="1838"/>
      <c r="Z43" s="2448"/>
      <c r="AA43" s="1838"/>
      <c r="AB43" s="2448"/>
      <c r="AC43" s="1838"/>
      <c r="AD43" s="2453"/>
    </row>
    <row r="44" spans="1:46">
      <c r="B44" s="1418">
        <v>42522</v>
      </c>
      <c r="C44" s="1838"/>
      <c r="D44" s="2448"/>
      <c r="E44" s="1838"/>
      <c r="F44" s="2448"/>
      <c r="G44" s="1838"/>
      <c r="H44" s="2448"/>
      <c r="I44" s="1838"/>
      <c r="J44" s="2448"/>
      <c r="K44" s="1838"/>
      <c r="L44" s="2448"/>
      <c r="M44" s="1838"/>
      <c r="N44" s="2448"/>
      <c r="O44" s="1838"/>
      <c r="P44" s="2448"/>
      <c r="Q44" s="1838"/>
      <c r="R44" s="2448"/>
      <c r="S44" s="1838"/>
      <c r="T44" s="2448"/>
      <c r="U44" s="1838"/>
      <c r="V44" s="2448"/>
      <c r="W44" s="1838"/>
      <c r="X44" s="2448"/>
      <c r="Y44" s="1838"/>
      <c r="Z44" s="2448"/>
      <c r="AA44" s="1838"/>
      <c r="AB44" s="2448"/>
      <c r="AC44" s="1838"/>
      <c r="AD44" s="2453"/>
    </row>
    <row r="45" spans="1:46">
      <c r="B45" s="1418">
        <v>42552</v>
      </c>
      <c r="C45" s="1838"/>
      <c r="D45" s="2448"/>
      <c r="E45" s="1838"/>
      <c r="F45" s="2448"/>
      <c r="G45" s="1838"/>
      <c r="H45" s="2448"/>
      <c r="I45" s="1838"/>
      <c r="J45" s="2448"/>
      <c r="K45" s="1838"/>
      <c r="L45" s="2448"/>
      <c r="M45" s="1838"/>
      <c r="N45" s="2448"/>
      <c r="O45" s="1838"/>
      <c r="P45" s="2448"/>
      <c r="Q45" s="1838"/>
      <c r="R45" s="2448"/>
      <c r="S45" s="1838"/>
      <c r="T45" s="2448"/>
      <c r="U45" s="1838"/>
      <c r="V45" s="2448"/>
      <c r="W45" s="1838"/>
      <c r="X45" s="2448"/>
      <c r="Y45" s="1838"/>
      <c r="Z45" s="2448"/>
      <c r="AA45" s="1838"/>
      <c r="AB45" s="2448"/>
      <c r="AC45" s="1838"/>
      <c r="AD45" s="2453"/>
    </row>
    <row r="46" spans="1:46">
      <c r="B46" s="1418">
        <v>42583</v>
      </c>
      <c r="C46" s="1838"/>
      <c r="D46" s="2448"/>
      <c r="E46" s="1838"/>
      <c r="F46" s="2448"/>
      <c r="G46" s="1838"/>
      <c r="H46" s="2448"/>
      <c r="I46" s="1838"/>
      <c r="J46" s="2448"/>
      <c r="K46" s="1838"/>
      <c r="L46" s="2448"/>
      <c r="M46" s="1838"/>
      <c r="N46" s="2448"/>
      <c r="O46" s="1838"/>
      <c r="P46" s="2448"/>
      <c r="Q46" s="1838"/>
      <c r="R46" s="2448"/>
      <c r="S46" s="1838"/>
      <c r="T46" s="2448"/>
      <c r="U46" s="1838"/>
      <c r="V46" s="2448"/>
      <c r="W46" s="1838"/>
      <c r="X46" s="2448"/>
      <c r="Y46" s="1838"/>
      <c r="Z46" s="2448"/>
      <c r="AA46" s="1838"/>
      <c r="AB46" s="2448"/>
      <c r="AC46" s="1838"/>
      <c r="AD46" s="2453"/>
    </row>
    <row r="47" spans="1:46">
      <c r="B47" s="1418">
        <v>42614</v>
      </c>
      <c r="C47" s="1838"/>
      <c r="D47" s="2448"/>
      <c r="E47" s="1838"/>
      <c r="F47" s="2448"/>
      <c r="G47" s="1838"/>
      <c r="H47" s="2448"/>
      <c r="I47" s="1838"/>
      <c r="J47" s="2448"/>
      <c r="K47" s="1838"/>
      <c r="L47" s="2448"/>
      <c r="M47" s="1838"/>
      <c r="N47" s="2448"/>
      <c r="O47" s="1838"/>
      <c r="P47" s="2448"/>
      <c r="Q47" s="1838"/>
      <c r="R47" s="2448"/>
      <c r="S47" s="1838"/>
      <c r="T47" s="2448"/>
      <c r="U47" s="1838"/>
      <c r="V47" s="2448"/>
      <c r="W47" s="1838"/>
      <c r="X47" s="2448"/>
      <c r="Y47" s="1838"/>
      <c r="Z47" s="2448"/>
      <c r="AA47" s="1838"/>
      <c r="AB47" s="2448"/>
      <c r="AC47" s="1838"/>
      <c r="AD47" s="2453"/>
    </row>
    <row r="48" spans="1:46">
      <c r="B48" s="1418">
        <v>42644</v>
      </c>
      <c r="C48" s="1838"/>
      <c r="D48" s="2448"/>
      <c r="E48" s="1838"/>
      <c r="F48" s="2448"/>
      <c r="G48" s="1838"/>
      <c r="H48" s="2448"/>
      <c r="I48" s="1838"/>
      <c r="J48" s="2448"/>
      <c r="K48" s="1838"/>
      <c r="L48" s="2448"/>
      <c r="M48" s="1838"/>
      <c r="N48" s="2448"/>
      <c r="O48" s="1838"/>
      <c r="P48" s="2448"/>
      <c r="Q48" s="1838"/>
      <c r="R48" s="2448"/>
      <c r="S48" s="1838"/>
      <c r="T48" s="2448"/>
      <c r="U48" s="1838"/>
      <c r="V48" s="2448"/>
      <c r="W48" s="1838"/>
      <c r="X48" s="2448"/>
      <c r="Y48" s="1838"/>
      <c r="Z48" s="2448"/>
      <c r="AA48" s="1838"/>
      <c r="AB48" s="2448"/>
      <c r="AC48" s="1838"/>
      <c r="AD48" s="2453"/>
    </row>
    <row r="49" spans="1:30">
      <c r="B49" s="1418">
        <v>42675</v>
      </c>
      <c r="C49" s="1838"/>
      <c r="D49" s="2448"/>
      <c r="E49" s="1838"/>
      <c r="F49" s="2448"/>
      <c r="G49" s="1838"/>
      <c r="H49" s="2448"/>
      <c r="I49" s="1838"/>
      <c r="J49" s="2448"/>
      <c r="K49" s="1838"/>
      <c r="L49" s="2448"/>
      <c r="M49" s="1838"/>
      <c r="N49" s="2448"/>
      <c r="O49" s="1838"/>
      <c r="P49" s="2448"/>
      <c r="Q49" s="1838"/>
      <c r="R49" s="2448"/>
      <c r="S49" s="1838"/>
      <c r="T49" s="2448"/>
      <c r="U49" s="1838"/>
      <c r="V49" s="2448"/>
      <c r="W49" s="1838"/>
      <c r="X49" s="2448"/>
      <c r="Y49" s="1838"/>
      <c r="Z49" s="2448"/>
      <c r="AA49" s="1838"/>
      <c r="AB49" s="2448"/>
      <c r="AC49" s="1838"/>
      <c r="AD49" s="2453"/>
    </row>
    <row r="50" spans="1:30">
      <c r="B50" s="1419">
        <v>42705</v>
      </c>
      <c r="C50" s="1840"/>
      <c r="D50" s="2449"/>
      <c r="E50" s="1840"/>
      <c r="F50" s="2449"/>
      <c r="G50" s="1840"/>
      <c r="H50" s="2449"/>
      <c r="I50" s="1840"/>
      <c r="J50" s="2449"/>
      <c r="K50" s="1840"/>
      <c r="L50" s="2449"/>
      <c r="M50" s="1840"/>
      <c r="N50" s="2449"/>
      <c r="O50" s="1840"/>
      <c r="P50" s="2449"/>
      <c r="Q50" s="1840"/>
      <c r="R50" s="2449"/>
      <c r="S50" s="1840"/>
      <c r="T50" s="2449"/>
      <c r="U50" s="1840"/>
      <c r="V50" s="2449"/>
      <c r="W50" s="1840"/>
      <c r="X50" s="2449"/>
      <c r="Y50" s="1840"/>
      <c r="Z50" s="2449"/>
      <c r="AA50" s="1840"/>
      <c r="AB50" s="2449"/>
      <c r="AC50" s="1840"/>
      <c r="AD50" s="2454"/>
    </row>
    <row r="51" spans="1:30" ht="15.75" thickBot="1">
      <c r="B51" s="1856" t="s">
        <v>277</v>
      </c>
      <c r="C51" s="1857">
        <f t="shared" ref="C51:T51" si="2">SUM(C39:C50)</f>
        <v>1741.2922404371584</v>
      </c>
      <c r="D51" s="1858">
        <f t="shared" si="2"/>
        <v>1730.1605396402804</v>
      </c>
      <c r="E51" s="1859">
        <f t="shared" si="2"/>
        <v>235.27868852459017</v>
      </c>
      <c r="F51" s="1860">
        <f t="shared" si="2"/>
        <v>227.80528364849835</v>
      </c>
      <c r="G51" s="1859">
        <f t="shared" si="2"/>
        <v>96</v>
      </c>
      <c r="H51" s="1860">
        <f t="shared" si="2"/>
        <v>99.699712643678154</v>
      </c>
      <c r="I51" s="1859">
        <f t="shared" si="2"/>
        <v>143.40983606557378</v>
      </c>
      <c r="J51" s="1860">
        <f t="shared" si="2"/>
        <v>154.61438635520949</v>
      </c>
      <c r="K51" s="1859">
        <f t="shared" si="2"/>
        <v>56.56</v>
      </c>
      <c r="L51" s="1859">
        <f t="shared" si="2"/>
        <v>46.937986651835374</v>
      </c>
      <c r="M51" s="1859">
        <f t="shared" si="2"/>
        <v>144</v>
      </c>
      <c r="N51" s="1858">
        <f t="shared" si="2"/>
        <v>143.58649425287356</v>
      </c>
      <c r="O51" s="1859">
        <f t="shared" si="2"/>
        <v>80</v>
      </c>
      <c r="P51" s="1860">
        <f t="shared" si="2"/>
        <v>95.137977382276603</v>
      </c>
      <c r="Q51" s="1859">
        <f t="shared" si="2"/>
        <v>80</v>
      </c>
      <c r="R51" s="1860">
        <f t="shared" si="2"/>
        <v>81.587365591397841</v>
      </c>
      <c r="S51" s="1859">
        <f t="shared" si="2"/>
        <v>40</v>
      </c>
      <c r="T51" s="1861">
        <f t="shared" si="2"/>
        <v>28.434927697441601</v>
      </c>
      <c r="U51" s="1859">
        <f t="shared" ref="U51:AD51" si="3">SUM(U39:U50)</f>
        <v>80</v>
      </c>
      <c r="V51" s="1861">
        <f t="shared" si="3"/>
        <v>80.804597701149433</v>
      </c>
      <c r="W51" s="1859">
        <f t="shared" si="3"/>
        <v>200</v>
      </c>
      <c r="X51" s="1861">
        <f t="shared" si="3"/>
        <v>176.0461994809047</v>
      </c>
      <c r="Y51" s="1859">
        <f t="shared" si="3"/>
        <v>58.021857923497265</v>
      </c>
      <c r="Z51" s="1861">
        <f t="shared" si="3"/>
        <v>55.683537263626249</v>
      </c>
      <c r="AA51" s="1859">
        <f t="shared" si="3"/>
        <v>304</v>
      </c>
      <c r="AB51" s="1861">
        <f t="shared" si="3"/>
        <v>299.74193548387098</v>
      </c>
      <c r="AC51" s="1859">
        <f t="shared" si="3"/>
        <v>200</v>
      </c>
      <c r="AD51" s="1862">
        <f t="shared" si="3"/>
        <v>198.20967741935485</v>
      </c>
    </row>
    <row r="52" spans="1:30" ht="8.25" customHeight="1" thickTop="1"/>
    <row r="53" spans="1:30" ht="33" customHeight="1" thickBot="1">
      <c r="B53" s="2813" t="s">
        <v>325</v>
      </c>
      <c r="C53" s="2814"/>
    </row>
    <row r="54" spans="1:30" ht="15.75" thickTop="1">
      <c r="B54" s="2810" t="s">
        <v>276</v>
      </c>
      <c r="C54" s="2800" t="s">
        <v>62</v>
      </c>
      <c r="D54" s="2801"/>
      <c r="E54" s="2800" t="s">
        <v>275</v>
      </c>
      <c r="F54" s="2801"/>
      <c r="G54" s="2800" t="s">
        <v>474</v>
      </c>
      <c r="H54" s="2801"/>
      <c r="I54" s="2800" t="s">
        <v>476</v>
      </c>
      <c r="J54" s="2801"/>
      <c r="K54" s="2800" t="s">
        <v>477</v>
      </c>
      <c r="L54" s="2801"/>
      <c r="M54" s="2800" t="s">
        <v>490</v>
      </c>
      <c r="N54" s="2801"/>
      <c r="O54" s="2800" t="s">
        <v>470</v>
      </c>
      <c r="P54" s="2801"/>
      <c r="Q54" s="2800" t="s">
        <v>471</v>
      </c>
      <c r="R54" s="2801"/>
      <c r="S54" s="2800" t="s">
        <v>472</v>
      </c>
      <c r="T54" s="2801"/>
      <c r="U54" s="2800" t="s">
        <v>479</v>
      </c>
      <c r="V54" s="2801"/>
      <c r="W54" s="2802" t="s">
        <v>488</v>
      </c>
      <c r="X54" s="2803"/>
    </row>
    <row r="55" spans="1:30" s="4" customFormat="1" ht="30" customHeight="1">
      <c r="A55" s="203"/>
      <c r="B55" s="2812"/>
      <c r="C55" s="1833" t="s">
        <v>148</v>
      </c>
      <c r="D55" s="1833" t="s">
        <v>149</v>
      </c>
      <c r="E55" s="1833" t="s">
        <v>148</v>
      </c>
      <c r="F55" s="1833" t="s">
        <v>149</v>
      </c>
      <c r="G55" s="1833" t="s">
        <v>148</v>
      </c>
      <c r="H55" s="1833" t="s">
        <v>149</v>
      </c>
      <c r="I55" s="1833" t="s">
        <v>148</v>
      </c>
      <c r="J55" s="1833" t="s">
        <v>149</v>
      </c>
      <c r="K55" s="1833" t="s">
        <v>148</v>
      </c>
      <c r="L55" s="1833" t="s">
        <v>149</v>
      </c>
      <c r="M55" s="1833" t="s">
        <v>148</v>
      </c>
      <c r="N55" s="1833" t="s">
        <v>149</v>
      </c>
      <c r="O55" s="1833" t="s">
        <v>148</v>
      </c>
      <c r="P55" s="1833" t="s">
        <v>149</v>
      </c>
      <c r="Q55" s="1833" t="s">
        <v>148</v>
      </c>
      <c r="R55" s="1833" t="s">
        <v>149</v>
      </c>
      <c r="S55" s="1833" t="s">
        <v>148</v>
      </c>
      <c r="T55" s="1833" t="s">
        <v>149</v>
      </c>
      <c r="U55" s="1833" t="s">
        <v>148</v>
      </c>
      <c r="V55" s="1833" t="s">
        <v>149</v>
      </c>
      <c r="W55" s="1834" t="s">
        <v>148</v>
      </c>
      <c r="X55" s="1835" t="s">
        <v>149</v>
      </c>
    </row>
    <row r="56" spans="1:30">
      <c r="B56" s="1854">
        <v>42370</v>
      </c>
      <c r="C56" s="1863">
        <f>COMPOSITE!B$340</f>
        <v>452</v>
      </c>
      <c r="D56" s="2457">
        <f>COMPOSITE!C$340</f>
        <v>476.58032258064509</v>
      </c>
      <c r="E56" s="1863">
        <f>COMPOSITE!B$325</f>
        <v>100</v>
      </c>
      <c r="F56" s="2457">
        <f>COMPOSITE!C$325</f>
        <v>101.49193548387096</v>
      </c>
      <c r="G56" s="1863">
        <f>COMPOSITE!B326</f>
        <v>10</v>
      </c>
      <c r="H56" s="2457">
        <f>COMPOSITE!C326</f>
        <v>12.26</v>
      </c>
      <c r="I56" s="1863">
        <f>COMPOSITE!B$327</f>
        <v>73</v>
      </c>
      <c r="J56" s="2457">
        <f>COMPOSITE!C$327</f>
        <v>90.668387096774183</v>
      </c>
      <c r="K56" s="1863">
        <f>COMPOSITE!B$328</f>
        <v>8</v>
      </c>
      <c r="L56" s="2457">
        <f>COMPOSITE!C$328</f>
        <v>8.3800000000000008</v>
      </c>
      <c r="M56" s="1863">
        <f>COMPOSITE!B$329</f>
        <v>24</v>
      </c>
      <c r="N56" s="2457">
        <f>COMPOSITE!C$329</f>
        <v>24.36</v>
      </c>
      <c r="O56" s="1863">
        <f>COMPOSITE!B332</f>
        <v>65</v>
      </c>
      <c r="P56" s="2457">
        <f>COMPOSITE!C332</f>
        <v>69</v>
      </c>
      <c r="Q56" s="1863">
        <f>COMPOSITE!B333</f>
        <v>18</v>
      </c>
      <c r="R56" s="2457">
        <f>COMPOSITE!C333</f>
        <v>13.34</v>
      </c>
      <c r="S56" s="1863">
        <f>COMPOSITE!B334</f>
        <v>12</v>
      </c>
      <c r="T56" s="2457">
        <f>COMPOSITE!C334</f>
        <v>11.58</v>
      </c>
      <c r="U56" s="1863">
        <f>COMPOSITE!B337</f>
        <v>24</v>
      </c>
      <c r="V56" s="2457">
        <f>COMPOSITE!C337</f>
        <v>25.69</v>
      </c>
      <c r="W56" s="1863">
        <f>COMPOSITE!B338</f>
        <v>16</v>
      </c>
      <c r="X56" s="2460">
        <f>COMPOSITE!C338</f>
        <v>17.809999999999999</v>
      </c>
    </row>
    <row r="57" spans="1:30">
      <c r="B57" s="1418">
        <v>42401</v>
      </c>
      <c r="C57" s="1863">
        <f>COMPOSITE!D$340</f>
        <v>451.90451612903223</v>
      </c>
      <c r="D57" s="2457">
        <f>COMPOSITE!E$340</f>
        <v>461.53275862068966</v>
      </c>
      <c r="E57" s="1863">
        <f>COMPOSITE!D$325</f>
        <v>100</v>
      </c>
      <c r="F57" s="2457">
        <f>COMPOSITE!E$325</f>
        <v>102</v>
      </c>
      <c r="G57" s="1863">
        <f>COMPOSITE!D326</f>
        <v>10</v>
      </c>
      <c r="H57" s="2457">
        <f>COMPOSITE!E326</f>
        <v>12</v>
      </c>
      <c r="I57" s="1863">
        <f>COMPOSITE!D$327</f>
        <v>73</v>
      </c>
      <c r="J57" s="2457">
        <f>COMPOSITE!E$327</f>
        <v>73</v>
      </c>
      <c r="K57" s="1863">
        <f>COMPOSITE!D$328</f>
        <v>8</v>
      </c>
      <c r="L57" s="2457">
        <f>COMPOSITE!E$328</f>
        <v>8.5</v>
      </c>
      <c r="M57" s="1863">
        <f>COMPOSITE!D$329</f>
        <v>24</v>
      </c>
      <c r="N57" s="2457">
        <f>COMPOSITE!E$329</f>
        <v>24.18</v>
      </c>
      <c r="O57" s="1863">
        <f>COMPOSITE!D332</f>
        <v>65</v>
      </c>
      <c r="P57" s="2457">
        <f>COMPOSITE!E332</f>
        <v>67</v>
      </c>
      <c r="Q57" s="1863">
        <f>COMPOSITE!D333</f>
        <v>18</v>
      </c>
      <c r="R57" s="2457">
        <f>COMPOSITE!E333</f>
        <v>19</v>
      </c>
      <c r="S57" s="1863">
        <f>COMPOSITE!D334</f>
        <v>11.904516129032258</v>
      </c>
      <c r="T57" s="2457">
        <f>COMPOSITE!E334</f>
        <v>10.852758620689656</v>
      </c>
      <c r="U57" s="1863">
        <f>COMPOSITE!D337</f>
        <v>24</v>
      </c>
      <c r="V57" s="2457">
        <f>COMPOSITE!E337</f>
        <v>26</v>
      </c>
      <c r="W57" s="1863">
        <f>COMPOSITE!D338</f>
        <v>16</v>
      </c>
      <c r="X57" s="2460">
        <f>COMPOSITE!E338</f>
        <v>17</v>
      </c>
    </row>
    <row r="58" spans="1:30">
      <c r="B58" s="1418">
        <v>42430</v>
      </c>
      <c r="C58" s="1863">
        <f>COMPOSITE!F$340</f>
        <v>452</v>
      </c>
      <c r="D58" s="2457">
        <f>COMPOSITE!G$340</f>
        <v>492.43193548387097</v>
      </c>
      <c r="E58" s="1863">
        <f>COMPOSITE!F$325</f>
        <v>100</v>
      </c>
      <c r="F58" s="2457">
        <f>COMPOSITE!G$325</f>
        <v>102</v>
      </c>
      <c r="G58" s="1863">
        <f>COMPOSITE!F326</f>
        <v>10</v>
      </c>
      <c r="H58" s="2457">
        <f>COMPOSITE!G326</f>
        <v>12.290322580645162</v>
      </c>
      <c r="I58" s="1863">
        <f>COMPOSITE!F$327</f>
        <v>73</v>
      </c>
      <c r="J58" s="2457">
        <f>COMPOSITE!G$327</f>
        <v>93.563225806451612</v>
      </c>
      <c r="K58" s="1863">
        <f>COMPOSITE!F$328</f>
        <v>8</v>
      </c>
      <c r="L58" s="2457">
        <f>COMPOSITE!G$328</f>
        <v>8.5</v>
      </c>
      <c r="M58" s="1863">
        <f>COMPOSITE!F$329</f>
        <v>24</v>
      </c>
      <c r="N58" s="2457">
        <f>COMPOSITE!G$329</f>
        <v>25.567419354838712</v>
      </c>
      <c r="O58" s="1863">
        <f>COMPOSITE!F332</f>
        <v>65</v>
      </c>
      <c r="P58" s="2457">
        <f>COMPOSITE!G332</f>
        <v>68.994838709677424</v>
      </c>
      <c r="Q58" s="1863">
        <f>COMPOSITE!F333</f>
        <v>18</v>
      </c>
      <c r="R58" s="2457">
        <f>COMPOSITE!G333</f>
        <v>18.600967741935484</v>
      </c>
      <c r="S58" s="1863">
        <f>COMPOSITE!F334</f>
        <v>12</v>
      </c>
      <c r="T58" s="2457">
        <f>COMPOSITE!E334</f>
        <v>10.852758620689656</v>
      </c>
      <c r="U58" s="1863">
        <f>COMPOSITE!F337</f>
        <v>24</v>
      </c>
      <c r="V58" s="2457">
        <f>COMPOSITE!G337</f>
        <v>31.870322580645162</v>
      </c>
      <c r="W58" s="1863">
        <f>COMPOSITE!F338</f>
        <v>16</v>
      </c>
      <c r="X58" s="2460">
        <f>COMPOSITE!G338</f>
        <v>17.140322580645162</v>
      </c>
    </row>
    <row r="59" spans="1:30">
      <c r="B59" s="1418">
        <v>42461</v>
      </c>
      <c r="C59" s="1863">
        <f>COMPOSITE!H$340</f>
        <v>452</v>
      </c>
      <c r="D59" s="2457">
        <f>COMPOSITE!I$340</f>
        <v>451.81966666666671</v>
      </c>
      <c r="E59" s="1863">
        <f>COMPOSITE!H$325</f>
        <v>100</v>
      </c>
      <c r="F59" s="2457">
        <f>COMPOSITE!I$325</f>
        <v>99</v>
      </c>
      <c r="G59" s="1863">
        <f>COMPOSITE!H326</f>
        <v>10</v>
      </c>
      <c r="H59" s="2457">
        <f>COMPOSITE!I326</f>
        <v>8.3833333333333329</v>
      </c>
      <c r="I59" s="1863">
        <f>COMPOSITE!H$327</f>
        <v>73</v>
      </c>
      <c r="J59" s="2457">
        <f>COMPOSITE!I$327</f>
        <v>96.328666666666678</v>
      </c>
      <c r="K59" s="1863">
        <f>COMPOSITE!H$328</f>
        <v>8</v>
      </c>
      <c r="L59" s="2457">
        <f>COMPOSITE!I$328</f>
        <v>8.6999999999999993</v>
      </c>
      <c r="M59" s="1863">
        <f>COMPOSITE!H$329</f>
        <v>24</v>
      </c>
      <c r="N59" s="2457">
        <f>COMPOSITE!I$329</f>
        <v>27.551333333333332</v>
      </c>
      <c r="O59" s="1863">
        <f>COMPOSITE!H332</f>
        <v>65</v>
      </c>
      <c r="P59" s="2457">
        <f>COMPOSITE!I332</f>
        <v>53</v>
      </c>
      <c r="Q59" s="1863">
        <f>COMPOSITE!H333</f>
        <v>18</v>
      </c>
      <c r="R59" s="2457">
        <f>COMPOSITE!I333</f>
        <v>12.485333333333333</v>
      </c>
      <c r="S59" s="1863">
        <f>COMPOSITE!H334</f>
        <v>12</v>
      </c>
      <c r="T59" s="2457">
        <f>COMPOSITE!E334</f>
        <v>10.852758620689656</v>
      </c>
      <c r="U59" s="1863">
        <f>COMPOSITE!H337</f>
        <v>24</v>
      </c>
      <c r="V59" s="2457">
        <f>COMPOSITE!I337</f>
        <v>24.995333333333335</v>
      </c>
      <c r="W59" s="1863">
        <f>COMPOSITE!H338</f>
        <v>16</v>
      </c>
      <c r="X59" s="2460">
        <f>COMPOSITE!I338</f>
        <v>11.652333333333333</v>
      </c>
    </row>
    <row r="60" spans="1:30">
      <c r="B60" s="1418">
        <v>42491</v>
      </c>
      <c r="C60" s="1864"/>
      <c r="D60" s="2458"/>
      <c r="E60" s="1864"/>
      <c r="F60" s="2458"/>
      <c r="G60" s="1864"/>
      <c r="H60" s="2458"/>
      <c r="I60" s="1864"/>
      <c r="J60" s="2458"/>
      <c r="K60" s="1864"/>
      <c r="L60" s="2458"/>
      <c r="M60" s="1864"/>
      <c r="N60" s="2458"/>
      <c r="O60" s="1864"/>
      <c r="P60" s="2458"/>
      <c r="Q60" s="1864"/>
      <c r="R60" s="2458"/>
      <c r="S60" s="1864"/>
      <c r="T60" s="2458"/>
      <c r="U60" s="1864"/>
      <c r="V60" s="2458"/>
      <c r="W60" s="1864"/>
      <c r="X60" s="2461"/>
    </row>
    <row r="61" spans="1:30">
      <c r="B61" s="1418">
        <v>42522</v>
      </c>
      <c r="C61" s="1864"/>
      <c r="D61" s="2458"/>
      <c r="E61" s="1864"/>
      <c r="F61" s="2458"/>
      <c r="G61" s="1864"/>
      <c r="H61" s="2458"/>
      <c r="I61" s="1864"/>
      <c r="J61" s="2458"/>
      <c r="K61" s="1864"/>
      <c r="L61" s="2458"/>
      <c r="M61" s="1864"/>
      <c r="N61" s="2458"/>
      <c r="O61" s="1864"/>
      <c r="P61" s="2458"/>
      <c r="Q61" s="1864"/>
      <c r="R61" s="2458"/>
      <c r="S61" s="1864"/>
      <c r="T61" s="2458"/>
      <c r="U61" s="1864"/>
      <c r="V61" s="2458"/>
      <c r="W61" s="1864"/>
      <c r="X61" s="2461"/>
    </row>
    <row r="62" spans="1:30">
      <c r="B62" s="1418">
        <v>42552</v>
      </c>
      <c r="C62" s="1864"/>
      <c r="D62" s="2458"/>
      <c r="E62" s="1864"/>
      <c r="F62" s="2458"/>
      <c r="G62" s="1864"/>
      <c r="H62" s="2458"/>
      <c r="I62" s="1864"/>
      <c r="J62" s="2458"/>
      <c r="K62" s="1864"/>
      <c r="L62" s="2458"/>
      <c r="M62" s="1864"/>
      <c r="N62" s="2458"/>
      <c r="O62" s="1864"/>
      <c r="P62" s="2458"/>
      <c r="Q62" s="1864"/>
      <c r="R62" s="2458"/>
      <c r="S62" s="1864"/>
      <c r="T62" s="2458"/>
      <c r="U62" s="1864"/>
      <c r="V62" s="2458"/>
      <c r="W62" s="1864"/>
      <c r="X62" s="2461"/>
    </row>
    <row r="63" spans="1:30">
      <c r="B63" s="1418">
        <v>42583</v>
      </c>
      <c r="C63" s="1864"/>
      <c r="D63" s="2458"/>
      <c r="E63" s="1864"/>
      <c r="F63" s="2458"/>
      <c r="G63" s="1864"/>
      <c r="H63" s="2458"/>
      <c r="I63" s="1864"/>
      <c r="J63" s="2458"/>
      <c r="K63" s="1864"/>
      <c r="L63" s="2458"/>
      <c r="M63" s="1864"/>
      <c r="N63" s="2458"/>
      <c r="O63" s="1864"/>
      <c r="P63" s="2458"/>
      <c r="Q63" s="1864"/>
      <c r="R63" s="2458"/>
      <c r="S63" s="1864"/>
      <c r="T63" s="2458"/>
      <c r="U63" s="1864"/>
      <c r="V63" s="2458"/>
      <c r="W63" s="1864"/>
      <c r="X63" s="2461"/>
    </row>
    <row r="64" spans="1:30">
      <c r="B64" s="1418">
        <v>42614</v>
      </c>
      <c r="C64" s="1864"/>
      <c r="D64" s="2458"/>
      <c r="E64" s="1864"/>
      <c r="F64" s="2458"/>
      <c r="G64" s="1864"/>
      <c r="H64" s="2458"/>
      <c r="I64" s="1864"/>
      <c r="J64" s="2458"/>
      <c r="K64" s="1864"/>
      <c r="L64" s="2458"/>
      <c r="M64" s="1864"/>
      <c r="N64" s="2458"/>
      <c r="O64" s="1864"/>
      <c r="P64" s="2458"/>
      <c r="Q64" s="1864"/>
      <c r="R64" s="2458"/>
      <c r="S64" s="1864"/>
      <c r="T64" s="2458"/>
      <c r="U64" s="1864"/>
      <c r="V64" s="2458"/>
      <c r="W64" s="1864"/>
      <c r="X64" s="2461"/>
    </row>
    <row r="65" spans="2:24">
      <c r="B65" s="1418">
        <v>42644</v>
      </c>
      <c r="C65" s="1864"/>
      <c r="D65" s="2458"/>
      <c r="E65" s="1864"/>
      <c r="F65" s="2458"/>
      <c r="G65" s="1864"/>
      <c r="H65" s="2458"/>
      <c r="I65" s="1864"/>
      <c r="J65" s="2458"/>
      <c r="K65" s="1864"/>
      <c r="L65" s="2458"/>
      <c r="M65" s="1864"/>
      <c r="N65" s="2458"/>
      <c r="O65" s="1864"/>
      <c r="P65" s="2458"/>
      <c r="Q65" s="1864"/>
      <c r="R65" s="2458"/>
      <c r="S65" s="1864"/>
      <c r="T65" s="2458"/>
      <c r="U65" s="1864"/>
      <c r="V65" s="2458"/>
      <c r="W65" s="1864"/>
      <c r="X65" s="2461"/>
    </row>
    <row r="66" spans="2:24">
      <c r="B66" s="1418">
        <v>42675</v>
      </c>
      <c r="C66" s="1864"/>
      <c r="D66" s="2458"/>
      <c r="E66" s="1864"/>
      <c r="F66" s="2458"/>
      <c r="G66" s="1864"/>
      <c r="H66" s="2458"/>
      <c r="I66" s="1864"/>
      <c r="J66" s="2458"/>
      <c r="K66" s="1864"/>
      <c r="L66" s="2458"/>
      <c r="M66" s="1864"/>
      <c r="N66" s="2458"/>
      <c r="O66" s="1864"/>
      <c r="P66" s="2458"/>
      <c r="Q66" s="1864"/>
      <c r="R66" s="2458"/>
      <c r="S66" s="1864"/>
      <c r="T66" s="2458"/>
      <c r="U66" s="1864"/>
      <c r="V66" s="2458"/>
      <c r="W66" s="1864"/>
      <c r="X66" s="2461"/>
    </row>
    <row r="67" spans="2:24">
      <c r="B67" s="1419">
        <v>42705</v>
      </c>
      <c r="C67" s="1865"/>
      <c r="D67" s="2459"/>
      <c r="E67" s="1865"/>
      <c r="F67" s="2459"/>
      <c r="G67" s="1865"/>
      <c r="H67" s="2459"/>
      <c r="I67" s="1865"/>
      <c r="J67" s="2459"/>
      <c r="K67" s="1865"/>
      <c r="L67" s="2459"/>
      <c r="M67" s="1865"/>
      <c r="N67" s="2459"/>
      <c r="O67" s="1865"/>
      <c r="P67" s="2459"/>
      <c r="Q67" s="1865"/>
      <c r="R67" s="2459"/>
      <c r="S67" s="1865"/>
      <c r="T67" s="2459"/>
      <c r="U67" s="1865"/>
      <c r="V67" s="2459"/>
      <c r="W67" s="1865"/>
      <c r="X67" s="2462"/>
    </row>
    <row r="68" spans="2:24" ht="15.75" thickBot="1">
      <c r="B68" s="1856" t="s">
        <v>277</v>
      </c>
      <c r="C68" s="1866">
        <f t="shared" ref="C68:P68" si="4">SUM(C56:C67)</f>
        <v>1807.9045161290323</v>
      </c>
      <c r="D68" s="1867">
        <f t="shared" si="4"/>
        <v>1882.3646833518726</v>
      </c>
      <c r="E68" s="1866">
        <f t="shared" si="4"/>
        <v>400</v>
      </c>
      <c r="F68" s="1867">
        <f t="shared" si="4"/>
        <v>404.49193548387098</v>
      </c>
      <c r="G68" s="1866">
        <f t="shared" si="4"/>
        <v>40</v>
      </c>
      <c r="H68" s="1867">
        <f t="shared" si="4"/>
        <v>44.933655913978491</v>
      </c>
      <c r="I68" s="1866">
        <f t="shared" si="4"/>
        <v>292</v>
      </c>
      <c r="J68" s="1867">
        <f t="shared" si="4"/>
        <v>353.56027956989249</v>
      </c>
      <c r="K68" s="1866">
        <f t="shared" si="4"/>
        <v>32</v>
      </c>
      <c r="L68" s="1867">
        <f t="shared" si="4"/>
        <v>34.08</v>
      </c>
      <c r="M68" s="1866">
        <f t="shared" si="4"/>
        <v>96</v>
      </c>
      <c r="N68" s="1868">
        <f t="shared" si="4"/>
        <v>101.65875268817204</v>
      </c>
      <c r="O68" s="1866">
        <f t="shared" si="4"/>
        <v>260</v>
      </c>
      <c r="P68" s="1868">
        <f t="shared" si="4"/>
        <v>257.99483870967742</v>
      </c>
      <c r="Q68" s="1866">
        <f t="shared" ref="Q68:V68" si="5">SUM(S56:S67)</f>
        <v>47.90451612903226</v>
      </c>
      <c r="R68" s="1868">
        <f t="shared" si="5"/>
        <v>44.138275862068966</v>
      </c>
      <c r="S68" s="1866">
        <f t="shared" si="5"/>
        <v>96</v>
      </c>
      <c r="T68" s="1868">
        <f t="shared" si="5"/>
        <v>108.5556559139785</v>
      </c>
      <c r="U68" s="1866">
        <f t="shared" si="5"/>
        <v>64</v>
      </c>
      <c r="V68" s="1868">
        <f t="shared" si="5"/>
        <v>63.602655913978495</v>
      </c>
      <c r="W68" s="1866">
        <f>SUM(W56:W67)</f>
        <v>64</v>
      </c>
      <c r="X68" s="1869">
        <f>SUM(X56:X67)</f>
        <v>63.602655913978495</v>
      </c>
    </row>
    <row r="69" spans="2:24" ht="15.75" thickTop="1"/>
  </sheetData>
  <mergeCells count="52">
    <mergeCell ref="Y37:Z37"/>
    <mergeCell ref="AA37:AB37"/>
    <mergeCell ref="AC37:AD37"/>
    <mergeCell ref="Q54:R54"/>
    <mergeCell ref="W54:X54"/>
    <mergeCell ref="U37:V37"/>
    <mergeCell ref="B19:C19"/>
    <mergeCell ref="O54:P54"/>
    <mergeCell ref="S54:T54"/>
    <mergeCell ref="U54:V54"/>
    <mergeCell ref="B20:B21"/>
    <mergeCell ref="B37:B38"/>
    <mergeCell ref="B54:B55"/>
    <mergeCell ref="B53:C53"/>
    <mergeCell ref="B36:C36"/>
    <mergeCell ref="C37:D37"/>
    <mergeCell ref="G37:H37"/>
    <mergeCell ref="M37:N37"/>
    <mergeCell ref="C20:F20"/>
    <mergeCell ref="G20:H20"/>
    <mergeCell ref="I20:J20"/>
    <mergeCell ref="K20:L20"/>
    <mergeCell ref="C54:D54"/>
    <mergeCell ref="E54:F54"/>
    <mergeCell ref="G54:H54"/>
    <mergeCell ref="I54:J54"/>
    <mergeCell ref="K54:L54"/>
    <mergeCell ref="E37:F37"/>
    <mergeCell ref="I37:J37"/>
    <mergeCell ref="M54:N54"/>
    <mergeCell ref="Q37:R37"/>
    <mergeCell ref="O20:P20"/>
    <mergeCell ref="M20:N20"/>
    <mergeCell ref="O37:P37"/>
    <mergeCell ref="K37:L37"/>
    <mergeCell ref="Q20:R20"/>
    <mergeCell ref="AO20:AP20"/>
    <mergeCell ref="AQ20:AR20"/>
    <mergeCell ref="AS20:AT20"/>
    <mergeCell ref="AA20:AB20"/>
    <mergeCell ref="S37:T37"/>
    <mergeCell ref="S20:T20"/>
    <mergeCell ref="U20:V20"/>
    <mergeCell ref="W20:X20"/>
    <mergeCell ref="Y20:Z20"/>
    <mergeCell ref="AM20:AN20"/>
    <mergeCell ref="AC20:AD20"/>
    <mergeCell ref="AE20:AF20"/>
    <mergeCell ref="AG20:AH20"/>
    <mergeCell ref="AI20:AJ20"/>
    <mergeCell ref="AK20:AL20"/>
    <mergeCell ref="W37:X37"/>
  </mergeCells>
  <conditionalFormatting sqref="H26:H33">
    <cfRule type="cellIs" dxfId="215" priority="79" operator="greaterThan">
      <formula>120.5</formula>
    </cfRule>
  </conditionalFormatting>
  <conditionalFormatting sqref="J26">
    <cfRule type="cellIs" dxfId="214" priority="78" operator="greaterThan">
      <formula>87.5</formula>
    </cfRule>
  </conditionalFormatting>
  <conditionalFormatting sqref="L26:L33">
    <cfRule type="cellIs" dxfId="213" priority="77" operator="greaterThan">
      <formula>24.5</formula>
    </cfRule>
  </conditionalFormatting>
  <conditionalFormatting sqref="N26:N33">
    <cfRule type="cellIs" dxfId="212" priority="76" operator="greaterThan">
      <formula>24.5</formula>
    </cfRule>
  </conditionalFormatting>
  <conditionalFormatting sqref="P26">
    <cfRule type="cellIs" dxfId="211" priority="75" operator="greaterThan">
      <formula>39.5</formula>
    </cfRule>
  </conditionalFormatting>
  <conditionalFormatting sqref="R26:R27">
    <cfRule type="cellIs" dxfId="210" priority="74" operator="greaterThan">
      <formula>71.5</formula>
    </cfRule>
  </conditionalFormatting>
  <conditionalFormatting sqref="T26:T33">
    <cfRule type="cellIs" dxfId="209" priority="73" operator="greaterThan">
      <formula>24.5</formula>
    </cfRule>
  </conditionalFormatting>
  <conditionalFormatting sqref="X26:X33">
    <cfRule type="cellIs" dxfId="208" priority="72" operator="greaterThan">
      <formula>42.5</formula>
    </cfRule>
  </conditionalFormatting>
  <conditionalFormatting sqref="AB26:AB33">
    <cfRule type="cellIs" dxfId="207" priority="69" operator="greaterThan">
      <formula>24.5</formula>
    </cfRule>
  </conditionalFormatting>
  <conditionalFormatting sqref="AD26:AD33">
    <cfRule type="cellIs" dxfId="206" priority="68" operator="greaterThan">
      <formula>22.5</formula>
    </cfRule>
  </conditionalFormatting>
  <conditionalFormatting sqref="AF26:AF33">
    <cfRule type="cellIs" dxfId="205" priority="67" operator="greaterThan">
      <formula>24.5</formula>
    </cfRule>
  </conditionalFormatting>
  <conditionalFormatting sqref="AH26:AH33">
    <cfRule type="cellIs" dxfId="204" priority="65" operator="greaterThan">
      <formula>24.5</formula>
    </cfRule>
  </conditionalFormatting>
  <conditionalFormatting sqref="Z27:Z33">
    <cfRule type="cellIs" dxfId="203" priority="64" operator="greaterThan">
      <formula>32.5</formula>
    </cfRule>
  </conditionalFormatting>
  <conditionalFormatting sqref="F43:F50">
    <cfRule type="cellIs" dxfId="202" priority="62" operator="greaterThan">
      <formula>58.5</formula>
    </cfRule>
  </conditionalFormatting>
  <conditionalFormatting sqref="H43:H50">
    <cfRule type="cellIs" dxfId="201" priority="61" operator="greaterThan">
      <formula>24.5</formula>
    </cfRule>
  </conditionalFormatting>
  <conditionalFormatting sqref="J43:L50">
    <cfRule type="cellIs" dxfId="200" priority="60" operator="greaterThan">
      <formula>30.5</formula>
    </cfRule>
  </conditionalFormatting>
  <conditionalFormatting sqref="N43:N50">
    <cfRule type="cellIs" dxfId="199" priority="59" operator="greaterThan">
      <formula>44.5</formula>
    </cfRule>
  </conditionalFormatting>
  <conditionalFormatting sqref="P43:P50">
    <cfRule type="cellIs" dxfId="198" priority="57" operator="greaterThan">
      <formula>20.5</formula>
    </cfRule>
  </conditionalFormatting>
  <conditionalFormatting sqref="R43:R50">
    <cfRule type="cellIs" dxfId="197" priority="55" operator="greaterThan">
      <formula>0.5</formula>
    </cfRule>
  </conditionalFormatting>
  <conditionalFormatting sqref="T43:T50">
    <cfRule type="cellIs" dxfId="196" priority="54" operator="greaterThan">
      <formula>16.5</formula>
    </cfRule>
  </conditionalFormatting>
  <conditionalFormatting sqref="F60:F67">
    <cfRule type="cellIs" dxfId="195" priority="53" operator="greaterThan">
      <formula>100.5</formula>
    </cfRule>
  </conditionalFormatting>
  <conditionalFormatting sqref="J60:J67">
    <cfRule type="cellIs" dxfId="194" priority="52" operator="greaterThan">
      <formula>73.5</formula>
    </cfRule>
  </conditionalFormatting>
  <conditionalFormatting sqref="L60:L67">
    <cfRule type="cellIs" dxfId="193" priority="51" operator="greaterThan">
      <formula>8.5</formula>
    </cfRule>
  </conditionalFormatting>
  <conditionalFormatting sqref="N60:N67">
    <cfRule type="cellIs" dxfId="192" priority="50" operator="greaterThan">
      <formula>24.5</formula>
    </cfRule>
  </conditionalFormatting>
  <conditionalFormatting sqref="R28:R33">
    <cfRule type="cellIs" dxfId="191" priority="49" operator="greaterThan">
      <formula>90.5</formula>
    </cfRule>
  </conditionalFormatting>
  <conditionalFormatting sqref="P27:P33">
    <cfRule type="cellIs" dxfId="190" priority="48" operator="greaterThan">
      <formula>39.3</formula>
    </cfRule>
  </conditionalFormatting>
  <conditionalFormatting sqref="J27:J33">
    <cfRule type="cellIs" dxfId="189" priority="47" operator="greaterThan">
      <formula>81.5</formula>
    </cfRule>
  </conditionalFormatting>
  <conditionalFormatting sqref="J45:L50">
    <cfRule type="cellIs" dxfId="188" priority="46" operator="greaterThan">
      <formula>12.5</formula>
    </cfRule>
  </conditionalFormatting>
  <conditionalFormatting sqref="T45:T50">
    <cfRule type="cellIs" dxfId="187" priority="45" operator="greaterThan">
      <formula>15.5</formula>
    </cfRule>
  </conditionalFormatting>
  <conditionalFormatting sqref="H60:H63">
    <cfRule type="cellIs" dxfId="186" priority="44" operator="greaterThan">
      <formula>73.5</formula>
    </cfRule>
  </conditionalFormatting>
  <conditionalFormatting sqref="G64:H67">
    <cfRule type="cellIs" dxfId="185" priority="43" operator="greaterThan">
      <formula>100.5</formula>
    </cfRule>
  </conditionalFormatting>
  <conditionalFormatting sqref="V26:V33">
    <cfRule type="cellIs" dxfId="184" priority="42" operator="greaterThan">
      <formula>42.5</formula>
    </cfRule>
  </conditionalFormatting>
  <conditionalFormatting sqref="AJ26:AJ31">
    <cfRule type="cellIs" dxfId="183" priority="41" operator="greaterThan">
      <formula>24.5</formula>
    </cfRule>
  </conditionalFormatting>
  <conditionalFormatting sqref="AL26:AL31">
    <cfRule type="cellIs" dxfId="182" priority="40" operator="greaterThan">
      <formula>24.5</formula>
    </cfRule>
  </conditionalFormatting>
  <conditionalFormatting sqref="AN26:AN31">
    <cfRule type="cellIs" dxfId="181" priority="39" operator="greaterThan">
      <formula>24.5</formula>
    </cfRule>
  </conditionalFormatting>
  <conditionalFormatting sqref="AJ32:AJ33">
    <cfRule type="cellIs" dxfId="180" priority="38" operator="greaterThan">
      <formula>24.5</formula>
    </cfRule>
  </conditionalFormatting>
  <conditionalFormatting sqref="AL32:AL33">
    <cfRule type="cellIs" dxfId="179" priority="37" operator="greaterThan">
      <formula>24.5</formula>
    </cfRule>
  </conditionalFormatting>
  <conditionalFormatting sqref="AN32:AN33">
    <cfRule type="cellIs" dxfId="178" priority="36" operator="greaterThan">
      <formula>24.5</formula>
    </cfRule>
  </conditionalFormatting>
  <conditionalFormatting sqref="P60:P66">
    <cfRule type="cellIs" dxfId="177" priority="35" operator="greaterThan">
      <formula>24.5</formula>
    </cfRule>
  </conditionalFormatting>
  <conditionalFormatting sqref="P67">
    <cfRule type="cellIs" dxfId="176" priority="34" operator="greaterThan">
      <formula>24.5</formula>
    </cfRule>
  </conditionalFormatting>
  <conditionalFormatting sqref="T60:T66">
    <cfRule type="cellIs" dxfId="175" priority="33" operator="greaterThan">
      <formula>24.5</formula>
    </cfRule>
  </conditionalFormatting>
  <conditionalFormatting sqref="T67">
    <cfRule type="cellIs" dxfId="174" priority="31" operator="greaterThan">
      <formula>24.5</formula>
    </cfRule>
  </conditionalFormatting>
  <conditionalFormatting sqref="V60:V66">
    <cfRule type="cellIs" dxfId="173" priority="30" operator="greaterThan">
      <formula>24.5</formula>
    </cfRule>
  </conditionalFormatting>
  <conditionalFormatting sqref="V67">
    <cfRule type="cellIs" dxfId="172" priority="28" operator="greaterThan">
      <formula>24.5</formula>
    </cfRule>
  </conditionalFormatting>
  <conditionalFormatting sqref="X56 X60:X66">
    <cfRule type="cellIs" dxfId="171" priority="24" operator="greaterThan">
      <formula>24.5</formula>
    </cfRule>
  </conditionalFormatting>
  <conditionalFormatting sqref="X67">
    <cfRule type="cellIs" dxfId="170" priority="22" operator="greaterThan">
      <formula>24.5</formula>
    </cfRule>
  </conditionalFormatting>
  <conditionalFormatting sqref="AP26:AP31">
    <cfRule type="cellIs" dxfId="169" priority="21" operator="greaterThan">
      <formula>24.5</formula>
    </cfRule>
  </conditionalFormatting>
  <conditionalFormatting sqref="AP32:AP33">
    <cfRule type="cellIs" dxfId="168" priority="20" operator="greaterThan">
      <formula>24.5</formula>
    </cfRule>
  </conditionalFormatting>
  <conditionalFormatting sqref="AR26:AR31">
    <cfRule type="cellIs" dxfId="167" priority="19" operator="greaterThan">
      <formula>24.5</formula>
    </cfRule>
  </conditionalFormatting>
  <conditionalFormatting sqref="AR32:AR33">
    <cfRule type="cellIs" dxfId="166" priority="18" operator="greaterThan">
      <formula>24.5</formula>
    </cfRule>
  </conditionalFormatting>
  <conditionalFormatting sqref="AT26:AT31">
    <cfRule type="cellIs" dxfId="165" priority="17" operator="greaterThan">
      <formula>24.5</formula>
    </cfRule>
  </conditionalFormatting>
  <conditionalFormatting sqref="AT32:AT33">
    <cfRule type="cellIs" dxfId="164" priority="16" operator="greaterThan">
      <formula>24.5</formula>
    </cfRule>
  </conditionalFormatting>
  <conditionalFormatting sqref="V43:V50">
    <cfRule type="cellIs" dxfId="163" priority="15" operator="greaterThan">
      <formula>16.5</formula>
    </cfRule>
  </conditionalFormatting>
  <conditionalFormatting sqref="V45:V50">
    <cfRule type="cellIs" dxfId="162" priority="14" operator="greaterThan">
      <formula>15.5</formula>
    </cfRule>
  </conditionalFormatting>
  <conditionalFormatting sqref="X43:X50">
    <cfRule type="cellIs" dxfId="161" priority="13" operator="greaterThan">
      <formula>16.5</formula>
    </cfRule>
  </conditionalFormatting>
  <conditionalFormatting sqref="X45:X50">
    <cfRule type="cellIs" dxfId="160" priority="12" operator="greaterThan">
      <formula>15.5</formula>
    </cfRule>
  </conditionalFormatting>
  <conditionalFormatting sqref="Z43:Z50">
    <cfRule type="cellIs" dxfId="159" priority="11" operator="greaterThan">
      <formula>16.5</formula>
    </cfRule>
  </conditionalFormatting>
  <conditionalFormatting sqref="Z45:Z50">
    <cfRule type="cellIs" dxfId="158" priority="10" operator="greaterThan">
      <formula>15.5</formula>
    </cfRule>
  </conditionalFormatting>
  <conditionalFormatting sqref="AB43:AB50">
    <cfRule type="cellIs" dxfId="157" priority="9" operator="greaterThan">
      <formula>16.5</formula>
    </cfRule>
  </conditionalFormatting>
  <conditionalFormatting sqref="AB45:AB50">
    <cfRule type="cellIs" dxfId="156" priority="8" operator="greaterThan">
      <formula>15.5</formula>
    </cfRule>
  </conditionalFormatting>
  <conditionalFormatting sqref="AD43:AD50">
    <cfRule type="cellIs" dxfId="155" priority="7" operator="greaterThan">
      <formula>16.5</formula>
    </cfRule>
  </conditionalFormatting>
  <conditionalFormatting sqref="AD45:AD50">
    <cfRule type="cellIs" dxfId="154" priority="6" operator="greaterThan">
      <formula>15.5</formula>
    </cfRule>
  </conditionalFormatting>
  <conditionalFormatting sqref="R60:R66">
    <cfRule type="cellIs" dxfId="153" priority="5" operator="greaterThan">
      <formula>24.5</formula>
    </cfRule>
  </conditionalFormatting>
  <conditionalFormatting sqref="R67">
    <cfRule type="cellIs" dxfId="152" priority="4" operator="greaterThan">
      <formula>24.5</formula>
    </cfRule>
  </conditionalFormatting>
  <conditionalFormatting sqref="X57">
    <cfRule type="cellIs" dxfId="151" priority="3" operator="greaterThan">
      <formula>24.5</formula>
    </cfRule>
  </conditionalFormatting>
  <conditionalFormatting sqref="X58">
    <cfRule type="cellIs" dxfId="150" priority="2" operator="greaterThan">
      <formula>24.5</formula>
    </cfRule>
  </conditionalFormatting>
  <conditionalFormatting sqref="X59">
    <cfRule type="cellIs" dxfId="149" priority="1" operator="greaterThan">
      <formula>24.5</formula>
    </cfRule>
  </conditionalFormatting>
  <printOptions horizontalCentered="1" verticalCentered="1"/>
  <pageMargins left="0" right="0" top="0" bottom="0" header="0" footer="0"/>
  <pageSetup paperSize="5" scale="47" fitToHeight="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3" tint="-0.499984740745262"/>
    <pageSetUpPr fitToPage="1"/>
  </sheetPr>
  <dimension ref="A1:BE109"/>
  <sheetViews>
    <sheetView workbookViewId="0"/>
  </sheetViews>
  <sheetFormatPr defaultColWidth="9.140625" defaultRowHeight="15"/>
  <cols>
    <col min="1" max="1" width="14.7109375" style="23" bestFit="1" customWidth="1"/>
    <col min="2" max="2" width="12.85546875" style="23" bestFit="1" customWidth="1"/>
    <col min="3" max="3" width="12.140625" style="23" bestFit="1" customWidth="1"/>
    <col min="4" max="4" width="8.5703125" style="23" bestFit="1" customWidth="1"/>
    <col min="5" max="5" width="12.28515625" style="23" bestFit="1" customWidth="1"/>
    <col min="6" max="6" width="12.85546875" style="23" bestFit="1" customWidth="1"/>
    <col min="7" max="7" width="12.140625" style="23" bestFit="1" customWidth="1"/>
    <col min="8" max="8" width="7.7109375" style="23" bestFit="1" customWidth="1"/>
    <col min="9" max="9" width="12.28515625" style="23" bestFit="1" customWidth="1"/>
    <col min="10" max="10" width="12.85546875" style="23" bestFit="1" customWidth="1"/>
    <col min="11" max="11" width="12.140625" style="23" bestFit="1" customWidth="1"/>
    <col min="12" max="12" width="7.140625" style="23" bestFit="1" customWidth="1"/>
    <col min="13" max="13" width="12.28515625" style="23" bestFit="1" customWidth="1"/>
    <col min="14" max="14" width="12.85546875" style="23" bestFit="1" customWidth="1"/>
    <col min="15" max="15" width="12.140625" style="23" bestFit="1" customWidth="1"/>
    <col min="16" max="16" width="7.7109375" style="23" bestFit="1" customWidth="1"/>
    <col min="17" max="17" width="12.28515625" style="23" bestFit="1" customWidth="1"/>
    <col min="18" max="18" width="12.85546875" style="23" bestFit="1" customWidth="1"/>
    <col min="19" max="19" width="12.140625" style="23" bestFit="1" customWidth="1"/>
    <col min="20" max="20" width="7.7109375" style="23" bestFit="1" customWidth="1"/>
    <col min="21" max="21" width="12.28515625" style="23" bestFit="1" customWidth="1"/>
    <col min="22" max="22" width="12.85546875" style="23" bestFit="1" customWidth="1"/>
    <col min="23" max="23" width="12.140625" style="23" bestFit="1" customWidth="1"/>
    <col min="24" max="24" width="7.7109375" style="23" bestFit="1" customWidth="1"/>
    <col min="25" max="25" width="12.28515625" style="23" bestFit="1" customWidth="1"/>
    <col min="26" max="26" width="12.85546875" style="23" bestFit="1" customWidth="1"/>
    <col min="27" max="27" width="12.140625" style="23" bestFit="1" customWidth="1"/>
    <col min="28" max="28" width="7.140625" style="23" bestFit="1" customWidth="1"/>
    <col min="29" max="29" width="12.28515625" style="23" bestFit="1" customWidth="1"/>
    <col min="30" max="30" width="12.85546875" style="23" bestFit="1" customWidth="1"/>
    <col min="31" max="31" width="12.140625" style="23" bestFit="1" customWidth="1"/>
    <col min="32" max="32" width="7.140625" style="23" bestFit="1" customWidth="1"/>
    <col min="33" max="33" width="12.28515625" style="23" bestFit="1" customWidth="1"/>
    <col min="34" max="34" width="12.85546875" style="23" bestFit="1" customWidth="1"/>
    <col min="35" max="35" width="12.140625" style="23" bestFit="1" customWidth="1"/>
    <col min="36" max="36" width="7.7109375" style="23" bestFit="1" customWidth="1"/>
    <col min="37" max="37" width="12.28515625" style="23" bestFit="1" customWidth="1"/>
    <col min="38" max="38" width="12.85546875" style="23" bestFit="1" customWidth="1"/>
    <col min="39" max="39" width="12.140625" style="23" bestFit="1" customWidth="1"/>
    <col min="40" max="40" width="7.140625" style="23" bestFit="1" customWidth="1"/>
    <col min="41" max="41" width="12.28515625" style="23" bestFit="1" customWidth="1"/>
    <col min="42" max="42" width="12.85546875" style="23" hidden="1" customWidth="1"/>
    <col min="43" max="43" width="12.140625" style="23" hidden="1" customWidth="1"/>
    <col min="44" max="44" width="7.140625" style="23" hidden="1" customWidth="1"/>
    <col min="45" max="45" width="12.28515625" style="23" hidden="1" customWidth="1"/>
    <col min="46" max="46" width="12.85546875" style="23" bestFit="1" customWidth="1"/>
    <col min="47" max="47" width="12.140625" style="23" bestFit="1" customWidth="1"/>
    <col min="48" max="48" width="7.7109375" style="23" bestFit="1" customWidth="1"/>
    <col min="49" max="49" width="12.28515625" style="23" customWidth="1"/>
    <col min="50" max="50" width="12.85546875" style="23" hidden="1" customWidth="1"/>
    <col min="51" max="51" width="12.140625" style="23" hidden="1" customWidth="1"/>
    <col min="52" max="52" width="7.140625" style="23" hidden="1" customWidth="1"/>
    <col min="53" max="53" width="12.28515625" style="23" hidden="1" customWidth="1"/>
    <col min="54" max="54" width="12.85546875" style="23" bestFit="1" customWidth="1"/>
    <col min="55" max="55" width="12.140625" style="23" bestFit="1" customWidth="1"/>
    <col min="56" max="56" width="7.140625" style="23" bestFit="1" customWidth="1"/>
    <col min="57" max="57" width="12.28515625" style="23" bestFit="1" customWidth="1"/>
    <col min="58" max="16384" width="9.140625" style="23"/>
  </cols>
  <sheetData>
    <row r="1" spans="1:57" s="1424" customFormat="1" ht="20.100000000000001" customHeight="1" thickBot="1">
      <c r="A1" s="1426" t="s">
        <v>313</v>
      </c>
      <c r="B1" s="1425"/>
      <c r="C1" s="1427"/>
      <c r="D1" s="1427"/>
      <c r="E1" s="1427"/>
      <c r="F1" s="1427"/>
      <c r="G1" s="1427"/>
      <c r="H1" s="1427"/>
      <c r="I1" s="1427"/>
      <c r="J1" s="1427"/>
      <c r="K1" s="1427"/>
      <c r="L1" s="1427"/>
      <c r="M1" s="1427"/>
      <c r="N1" s="1427"/>
      <c r="O1" s="1427"/>
      <c r="P1" s="1427"/>
      <c r="Q1" s="1427"/>
      <c r="R1" s="1427"/>
      <c r="S1" s="1427"/>
      <c r="T1" s="1427"/>
      <c r="U1" s="1427"/>
      <c r="V1" s="1427"/>
      <c r="W1" s="1427"/>
      <c r="X1" s="1427"/>
      <c r="Y1" s="1427"/>
      <c r="Z1" s="1427"/>
      <c r="AA1" s="1427"/>
      <c r="AB1" s="1427"/>
      <c r="AC1" s="1427"/>
      <c r="AD1" s="1427"/>
      <c r="AE1" s="1427"/>
      <c r="AF1" s="1427"/>
      <c r="AG1" s="1427"/>
      <c r="AH1" s="1427"/>
      <c r="AI1" s="1427"/>
      <c r="AJ1" s="1427"/>
      <c r="AK1" s="1427"/>
      <c r="AL1" s="1427"/>
      <c r="AM1" s="1427"/>
      <c r="AN1" s="1427"/>
      <c r="AO1" s="1427"/>
      <c r="AP1" s="1427"/>
      <c r="AQ1" s="1427"/>
      <c r="AR1" s="1427"/>
      <c r="AS1" s="1427"/>
      <c r="AT1" s="1427"/>
      <c r="AU1" s="1427"/>
      <c r="AV1" s="1427"/>
      <c r="AW1" s="1427"/>
      <c r="AX1" s="1427"/>
      <c r="AY1" s="1427"/>
      <c r="AZ1" s="1427"/>
      <c r="BA1" s="1427"/>
      <c r="BB1" s="1427"/>
      <c r="BC1" s="1427"/>
      <c r="BD1" s="1427"/>
      <c r="BE1" s="1427"/>
    </row>
    <row r="2" spans="1:57" ht="20.100000000000001" customHeight="1" thickTop="1">
      <c r="A2" s="2822" t="s">
        <v>276</v>
      </c>
      <c r="B2" s="2825" t="s">
        <v>62</v>
      </c>
      <c r="C2" s="2820"/>
      <c r="D2" s="2820"/>
      <c r="E2" s="2826"/>
      <c r="F2" s="2825" t="s">
        <v>29</v>
      </c>
      <c r="G2" s="2820"/>
      <c r="H2" s="2820"/>
      <c r="I2" s="2826"/>
      <c r="J2" s="2820" t="s">
        <v>474</v>
      </c>
      <c r="K2" s="2820"/>
      <c r="L2" s="2820"/>
      <c r="M2" s="2820"/>
      <c r="N2" s="2825" t="s">
        <v>476</v>
      </c>
      <c r="O2" s="2820"/>
      <c r="P2" s="2820"/>
      <c r="Q2" s="2826"/>
      <c r="R2" s="2825" t="s">
        <v>517</v>
      </c>
      <c r="S2" s="2820"/>
      <c r="T2" s="2820"/>
      <c r="U2" s="2826"/>
      <c r="V2" s="2820" t="s">
        <v>479</v>
      </c>
      <c r="W2" s="2820"/>
      <c r="X2" s="2820"/>
      <c r="Y2" s="2820"/>
      <c r="Z2" s="2825" t="s">
        <v>490</v>
      </c>
      <c r="AA2" s="2820"/>
      <c r="AB2" s="2820"/>
      <c r="AC2" s="2826"/>
      <c r="AD2" s="2820" t="s">
        <v>487</v>
      </c>
      <c r="AE2" s="2820"/>
      <c r="AF2" s="2820"/>
      <c r="AG2" s="2820"/>
      <c r="AH2" s="2825" t="s">
        <v>488</v>
      </c>
      <c r="AI2" s="2820"/>
      <c r="AJ2" s="2820"/>
      <c r="AK2" s="2826"/>
      <c r="AL2" s="2820" t="s">
        <v>493</v>
      </c>
      <c r="AM2" s="2820"/>
      <c r="AN2" s="2820"/>
      <c r="AO2" s="2820"/>
      <c r="AP2" s="2825" t="s">
        <v>491</v>
      </c>
      <c r="AQ2" s="2820"/>
      <c r="AR2" s="2820"/>
      <c r="AS2" s="2826"/>
      <c r="AT2" s="2825" t="s">
        <v>470</v>
      </c>
      <c r="AU2" s="2820"/>
      <c r="AV2" s="2820"/>
      <c r="AW2" s="2826"/>
      <c r="AX2" s="2825" t="s">
        <v>471</v>
      </c>
      <c r="AY2" s="2820"/>
      <c r="AZ2" s="2820"/>
      <c r="BA2" s="2826"/>
      <c r="BB2" s="2820" t="s">
        <v>472</v>
      </c>
      <c r="BC2" s="2820"/>
      <c r="BD2" s="2820"/>
      <c r="BE2" s="2821"/>
    </row>
    <row r="3" spans="1:57" s="4" customFormat="1" ht="30" customHeight="1">
      <c r="A3" s="2823"/>
      <c r="B3" s="1428" t="s">
        <v>311</v>
      </c>
      <c r="C3" s="1429" t="s">
        <v>155</v>
      </c>
      <c r="D3" s="1430" t="s">
        <v>163</v>
      </c>
      <c r="E3" s="1431" t="s">
        <v>156</v>
      </c>
      <c r="F3" s="1428" t="s">
        <v>311</v>
      </c>
      <c r="G3" s="1429" t="s">
        <v>155</v>
      </c>
      <c r="H3" s="1430" t="s">
        <v>163</v>
      </c>
      <c r="I3" s="1431" t="s">
        <v>156</v>
      </c>
      <c r="J3" s="1432" t="s">
        <v>311</v>
      </c>
      <c r="K3" s="1429" t="s">
        <v>155</v>
      </c>
      <c r="L3" s="1430" t="s">
        <v>163</v>
      </c>
      <c r="M3" s="1430" t="s">
        <v>156</v>
      </c>
      <c r="N3" s="1428" t="s">
        <v>311</v>
      </c>
      <c r="O3" s="1429" t="s">
        <v>155</v>
      </c>
      <c r="P3" s="1430" t="s">
        <v>163</v>
      </c>
      <c r="Q3" s="1431" t="s">
        <v>156</v>
      </c>
      <c r="R3" s="1428" t="s">
        <v>311</v>
      </c>
      <c r="S3" s="1429" t="s">
        <v>155</v>
      </c>
      <c r="T3" s="1430" t="s">
        <v>163</v>
      </c>
      <c r="U3" s="1431" t="s">
        <v>156</v>
      </c>
      <c r="V3" s="1432" t="s">
        <v>311</v>
      </c>
      <c r="W3" s="1429" t="s">
        <v>155</v>
      </c>
      <c r="X3" s="1430" t="s">
        <v>163</v>
      </c>
      <c r="Y3" s="1430" t="s">
        <v>156</v>
      </c>
      <c r="Z3" s="1428" t="s">
        <v>311</v>
      </c>
      <c r="AA3" s="1429" t="s">
        <v>155</v>
      </c>
      <c r="AB3" s="1430" t="s">
        <v>163</v>
      </c>
      <c r="AC3" s="1431" t="s">
        <v>156</v>
      </c>
      <c r="AD3" s="1433" t="s">
        <v>311</v>
      </c>
      <c r="AE3" s="1434" t="s">
        <v>155</v>
      </c>
      <c r="AF3" s="1435" t="s">
        <v>163</v>
      </c>
      <c r="AG3" s="1435" t="s">
        <v>156</v>
      </c>
      <c r="AH3" s="1428" t="s">
        <v>311</v>
      </c>
      <c r="AI3" s="1429" t="s">
        <v>155</v>
      </c>
      <c r="AJ3" s="1430" t="s">
        <v>163</v>
      </c>
      <c r="AK3" s="1431" t="s">
        <v>156</v>
      </c>
      <c r="AL3" s="1433" t="s">
        <v>311</v>
      </c>
      <c r="AM3" s="1434" t="s">
        <v>155</v>
      </c>
      <c r="AN3" s="1435" t="s">
        <v>163</v>
      </c>
      <c r="AO3" s="1435" t="s">
        <v>156</v>
      </c>
      <c r="AP3" s="1436" t="s">
        <v>311</v>
      </c>
      <c r="AQ3" s="1434" t="s">
        <v>155</v>
      </c>
      <c r="AR3" s="1435" t="s">
        <v>163</v>
      </c>
      <c r="AS3" s="1437" t="s">
        <v>156</v>
      </c>
      <c r="AT3" s="1436" t="s">
        <v>311</v>
      </c>
      <c r="AU3" s="1434" t="s">
        <v>155</v>
      </c>
      <c r="AV3" s="1435" t="s">
        <v>163</v>
      </c>
      <c r="AW3" s="1437" t="s">
        <v>156</v>
      </c>
      <c r="AX3" s="1436" t="s">
        <v>311</v>
      </c>
      <c r="AY3" s="1434" t="s">
        <v>155</v>
      </c>
      <c r="AZ3" s="1435" t="s">
        <v>163</v>
      </c>
      <c r="BA3" s="1437" t="s">
        <v>156</v>
      </c>
      <c r="BB3" s="1433" t="s">
        <v>311</v>
      </c>
      <c r="BC3" s="1434" t="s">
        <v>155</v>
      </c>
      <c r="BD3" s="1435" t="s">
        <v>163</v>
      </c>
      <c r="BE3" s="1438" t="s">
        <v>156</v>
      </c>
    </row>
    <row r="4" spans="1:57" ht="20.100000000000001" customHeight="1">
      <c r="A4" s="1421">
        <v>42370</v>
      </c>
      <c r="B4" s="1036">
        <f>COMPOSITE!B$247</f>
        <v>0</v>
      </c>
      <c r="C4" s="902">
        <f>COMPOSITE!C$247</f>
        <v>93.75</v>
      </c>
      <c r="D4" s="902">
        <f>COMPOSITE!D$247</f>
        <v>725.25</v>
      </c>
      <c r="E4" s="1028">
        <f>COMPOSITE!E$247</f>
        <v>92</v>
      </c>
      <c r="F4" s="1037">
        <f>COMPOSITE!B$230</f>
        <v>0</v>
      </c>
      <c r="G4" s="902">
        <f>COMPOSITE!C$230</f>
        <v>0</v>
      </c>
      <c r="H4" s="902">
        <f>COMPOSITE!D$230</f>
        <v>280.75</v>
      </c>
      <c r="I4" s="1038">
        <f>COMPOSITE!E$230</f>
        <v>0</v>
      </c>
      <c r="J4" s="1031">
        <f>COMPOSITE!B$231</f>
        <v>0</v>
      </c>
      <c r="K4" s="902">
        <f>COMPOSITE!C$231</f>
        <v>0</v>
      </c>
      <c r="L4" s="902">
        <f>COMPOSITE!D$231</f>
        <v>0</v>
      </c>
      <c r="M4" s="1028">
        <f>COMPOSITE!E$231</f>
        <v>0</v>
      </c>
      <c r="N4" s="1037">
        <f>COMPOSITE!B$232</f>
        <v>0</v>
      </c>
      <c r="O4" s="902">
        <f>COMPOSITE!C$232</f>
        <v>12</v>
      </c>
      <c r="P4" s="902">
        <f>COMPOSITE!D$232</f>
        <v>64.5</v>
      </c>
      <c r="Q4" s="1038">
        <f>COMPOSITE!E$232</f>
        <v>0</v>
      </c>
      <c r="R4" s="1031">
        <f>COMPOSITE!B233</f>
        <v>0</v>
      </c>
      <c r="S4" s="902">
        <f>COMPOSITE!C233</f>
        <v>0</v>
      </c>
      <c r="T4" s="902">
        <f>COMPOSITE!D233</f>
        <v>38.75</v>
      </c>
      <c r="U4" s="1028">
        <f>COMPOSITE!E233</f>
        <v>0</v>
      </c>
      <c r="V4" s="1037">
        <f>COMPOSITE!B$234</f>
        <v>0</v>
      </c>
      <c r="W4" s="902">
        <f>COMPOSITE!C$234</f>
        <v>14.25</v>
      </c>
      <c r="X4" s="902">
        <f>COMPOSITE!D$234</f>
        <v>80.75</v>
      </c>
      <c r="Y4" s="1038">
        <f>COMPOSITE!E$234</f>
        <v>92</v>
      </c>
      <c r="Z4" s="1031">
        <f>COMPOSITE!B$236</f>
        <v>0</v>
      </c>
      <c r="AA4" s="902">
        <f>COMPOSITE!C$236</f>
        <v>67.5</v>
      </c>
      <c r="AB4" s="902">
        <f>COMPOSITE!D$236</f>
        <v>9</v>
      </c>
      <c r="AC4" s="1028">
        <f>COMPOSITE!E$236</f>
        <v>0</v>
      </c>
      <c r="AD4" s="1045">
        <f>COMPOSITE!B238</f>
        <v>0</v>
      </c>
      <c r="AE4" s="903">
        <f>COMPOSITE!C238</f>
        <v>0</v>
      </c>
      <c r="AF4" s="903">
        <f>COMPOSITE!D238</f>
        <v>0</v>
      </c>
      <c r="AG4" s="1046">
        <f>COMPOSITE!E238</f>
        <v>0</v>
      </c>
      <c r="AH4" s="1031">
        <f>COMPOSITE!B$237</f>
        <v>0</v>
      </c>
      <c r="AI4" s="902">
        <f>COMPOSITE!C$237</f>
        <v>0</v>
      </c>
      <c r="AJ4" s="902">
        <f>COMPOSITE!D$237</f>
        <v>37.25</v>
      </c>
      <c r="AK4" s="1028">
        <f>COMPOSITE!E$237</f>
        <v>0</v>
      </c>
      <c r="AL4" s="1045">
        <f>COMPOSITE!B239</f>
        <v>0</v>
      </c>
      <c r="AM4" s="903">
        <f>COMPOSITE!C239</f>
        <v>0</v>
      </c>
      <c r="AN4" s="903">
        <f>COMPOSITE!D239</f>
        <v>70.25</v>
      </c>
      <c r="AO4" s="1046">
        <f>COMPOSITE!E239</f>
        <v>0</v>
      </c>
      <c r="AP4" s="1097"/>
      <c r="AQ4" s="1091"/>
      <c r="AR4" s="1091"/>
      <c r="AS4" s="1092"/>
      <c r="AT4" s="911">
        <f>COMPOSITE!B241</f>
        <v>0</v>
      </c>
      <c r="AU4" s="903">
        <f>COMPOSITE!C241</f>
        <v>0</v>
      </c>
      <c r="AV4" s="903">
        <f>COMPOSITE!D241</f>
        <v>116</v>
      </c>
      <c r="AW4" s="904">
        <f>COMPOSITE!E241</f>
        <v>0</v>
      </c>
      <c r="AX4" s="1095"/>
      <c r="AY4" s="1091"/>
      <c r="AZ4" s="1091"/>
      <c r="BA4" s="1092"/>
      <c r="BB4" s="911">
        <f>COMPOSITE!B243</f>
        <v>0</v>
      </c>
      <c r="BC4" s="903">
        <f>COMPOSITE!C243</f>
        <v>0</v>
      </c>
      <c r="BD4" s="903">
        <f>COMPOSITE!D243</f>
        <v>28</v>
      </c>
      <c r="BE4" s="904">
        <f>COMPOSITE!E243</f>
        <v>0</v>
      </c>
    </row>
    <row r="5" spans="1:57" ht="20.100000000000001" customHeight="1">
      <c r="A5" s="1422">
        <v>42401</v>
      </c>
      <c r="B5" s="912">
        <f>COMPOSITE!F$247</f>
        <v>0</v>
      </c>
      <c r="C5" s="905">
        <f>COMPOSITE!G$247</f>
        <v>43</v>
      </c>
      <c r="D5" s="905">
        <f>COMPOSITE!H$247</f>
        <v>793.75</v>
      </c>
      <c r="E5" s="1029">
        <f>COMPOSITE!I$247</f>
        <v>256</v>
      </c>
      <c r="F5" s="1039">
        <f>COMPOSITE!F$230</f>
        <v>0</v>
      </c>
      <c r="G5" s="905">
        <f>COMPOSITE!G$230</f>
        <v>0</v>
      </c>
      <c r="H5" s="905">
        <f>COMPOSITE!H$230</f>
        <v>255</v>
      </c>
      <c r="I5" s="1040">
        <f>COMPOSITE!I$230</f>
        <v>0</v>
      </c>
      <c r="J5" s="1032">
        <f>COMPOSITE!F$231</f>
        <v>0</v>
      </c>
      <c r="K5" s="905">
        <f>COMPOSITE!G$231</f>
        <v>0</v>
      </c>
      <c r="L5" s="905">
        <f>COMPOSITE!H$231</f>
        <v>6</v>
      </c>
      <c r="M5" s="1029">
        <f>COMPOSITE!I$231</f>
        <v>0</v>
      </c>
      <c r="N5" s="1039">
        <f>COMPOSITE!F$232</f>
        <v>0</v>
      </c>
      <c r="O5" s="905">
        <f>COMPOSITE!G$232</f>
        <v>12</v>
      </c>
      <c r="P5" s="905">
        <f>COMPOSITE!H$232</f>
        <v>84.5</v>
      </c>
      <c r="Q5" s="1040">
        <f>COMPOSITE!I$232</f>
        <v>0</v>
      </c>
      <c r="R5" s="1032">
        <f>COMPOSITE!F233</f>
        <v>0</v>
      </c>
      <c r="S5" s="905">
        <f>COMPOSITE!G233</f>
        <v>0</v>
      </c>
      <c r="T5" s="905">
        <f>COMPOSITE!H233</f>
        <v>47.75</v>
      </c>
      <c r="U5" s="1029">
        <f>COMPOSITE!I233</f>
        <v>0</v>
      </c>
      <c r="V5" s="1039">
        <f>COMPOSITE!F$234</f>
        <v>0</v>
      </c>
      <c r="W5" s="905">
        <f>COMPOSITE!G$234</f>
        <v>0</v>
      </c>
      <c r="X5" s="905">
        <f>COMPOSITE!H$234</f>
        <v>81.5</v>
      </c>
      <c r="Y5" s="1040">
        <f>COMPOSITE!I$234</f>
        <v>256</v>
      </c>
      <c r="Z5" s="1032">
        <f>COMPOSITE!F$236</f>
        <v>0</v>
      </c>
      <c r="AA5" s="905">
        <f>COMPOSITE!G$236</f>
        <v>31</v>
      </c>
      <c r="AB5" s="905">
        <f>COMPOSITE!H$236</f>
        <v>15</v>
      </c>
      <c r="AC5" s="1029">
        <f>COMPOSITE!I$236</f>
        <v>0</v>
      </c>
      <c r="AD5" s="1039">
        <f>COMPOSITE!F238</f>
        <v>0</v>
      </c>
      <c r="AE5" s="905">
        <f>COMPOSITE!G238</f>
        <v>0</v>
      </c>
      <c r="AF5" s="905">
        <f>COMPOSITE!H238</f>
        <v>0</v>
      </c>
      <c r="AG5" s="1040">
        <f>COMPOSITE!I238</f>
        <v>0</v>
      </c>
      <c r="AH5" s="1032">
        <f>COMPOSITE!F$237</f>
        <v>0</v>
      </c>
      <c r="AI5" s="905">
        <f>COMPOSITE!G$237</f>
        <v>0</v>
      </c>
      <c r="AJ5" s="905">
        <f>COMPOSITE!H$237</f>
        <v>80</v>
      </c>
      <c r="AK5" s="1029">
        <f>COMPOSITE!I$237</f>
        <v>0</v>
      </c>
      <c r="AL5" s="1045">
        <f>COMPOSITE!F239</f>
        <v>0</v>
      </c>
      <c r="AM5" s="903">
        <f>COMPOSITE!G239</f>
        <v>0</v>
      </c>
      <c r="AN5" s="903">
        <f>COMPOSITE!H239</f>
        <v>20</v>
      </c>
      <c r="AO5" s="1046">
        <f>COMPOSITE!I239</f>
        <v>0</v>
      </c>
      <c r="AP5" s="1098"/>
      <c r="AQ5" s="1093"/>
      <c r="AR5" s="1093"/>
      <c r="AS5" s="1094"/>
      <c r="AT5" s="911">
        <f>COMPOSITE!F241</f>
        <v>0</v>
      </c>
      <c r="AU5" s="903">
        <f>COMPOSITE!G241</f>
        <v>0</v>
      </c>
      <c r="AV5" s="903">
        <f>COMPOSITE!H241</f>
        <v>138</v>
      </c>
      <c r="AW5" s="904">
        <f>COMPOSITE!I241</f>
        <v>0</v>
      </c>
      <c r="AX5" s="1096"/>
      <c r="AY5" s="1093"/>
      <c r="AZ5" s="1093"/>
      <c r="BA5" s="1094"/>
      <c r="BB5" s="911">
        <f>COMPOSITE!F243</f>
        <v>0</v>
      </c>
      <c r="BC5" s="903">
        <f>COMPOSITE!G243</f>
        <v>0</v>
      </c>
      <c r="BD5" s="903">
        <f>COMPOSITE!H243</f>
        <v>58</v>
      </c>
      <c r="BE5" s="904">
        <f>COMPOSITE!I243</f>
        <v>0</v>
      </c>
    </row>
    <row r="6" spans="1:57" ht="20.100000000000001" customHeight="1">
      <c r="A6" s="1422">
        <v>42430</v>
      </c>
      <c r="B6" s="912">
        <f>COMPOSITE!J$247</f>
        <v>0</v>
      </c>
      <c r="C6" s="905">
        <f>COMPOSITE!K$247</f>
        <v>1022</v>
      </c>
      <c r="D6" s="905">
        <f>COMPOSITE!L$247</f>
        <v>614</v>
      </c>
      <c r="E6" s="1029">
        <f>COMPOSITE!M$247</f>
        <v>233</v>
      </c>
      <c r="F6" s="1039">
        <f>COMPOSITE!J$230</f>
        <v>0</v>
      </c>
      <c r="G6" s="905">
        <f>COMPOSITE!K$230</f>
        <v>0</v>
      </c>
      <c r="H6" s="905">
        <f>COMPOSITE!L$230</f>
        <v>167</v>
      </c>
      <c r="I6" s="1040">
        <f>COMPOSITE!M$230</f>
        <v>0</v>
      </c>
      <c r="J6" s="1032">
        <f>COMPOSITE!J$231</f>
        <v>0</v>
      </c>
      <c r="K6" s="905">
        <f>COMPOSITE!K$231</f>
        <v>0</v>
      </c>
      <c r="L6" s="905">
        <f>COMPOSITE!L$231</f>
        <v>20</v>
      </c>
      <c r="M6" s="1029">
        <f>COMPOSITE!M$231</f>
        <v>0</v>
      </c>
      <c r="N6" s="1039">
        <f>COMPOSITE!J$232</f>
        <v>0</v>
      </c>
      <c r="O6" s="905">
        <f>COMPOSITE!K$232</f>
        <v>22</v>
      </c>
      <c r="P6" s="905">
        <f>COMPOSITE!L$232</f>
        <v>77.75</v>
      </c>
      <c r="Q6" s="1040">
        <f>COMPOSITE!M$232</f>
        <v>0</v>
      </c>
      <c r="R6" s="1032">
        <f>COMPOSITE!J233</f>
        <v>0</v>
      </c>
      <c r="S6" s="905">
        <f>COMPOSITE!K233</f>
        <v>0</v>
      </c>
      <c r="T6" s="905">
        <f>COMPOSITE!L233</f>
        <v>67</v>
      </c>
      <c r="U6" s="1029">
        <f>COMPOSITE!M233</f>
        <v>0</v>
      </c>
      <c r="V6" s="1039">
        <f>COMPOSITE!J$234</f>
        <v>0</v>
      </c>
      <c r="W6" s="905">
        <f>COMPOSITE!K$234</f>
        <v>0</v>
      </c>
      <c r="X6" s="905">
        <f>COMPOSITE!L$234</f>
        <v>137.5</v>
      </c>
      <c r="Y6" s="1040">
        <f>COMPOSITE!M$234</f>
        <v>233</v>
      </c>
      <c r="Z6" s="1032">
        <f>COMPOSITE!J$236</f>
        <v>0</v>
      </c>
      <c r="AA6" s="905">
        <f>COMPOSITE!K$236</f>
        <v>0</v>
      </c>
      <c r="AB6" s="905">
        <f>COMPOSITE!L$236</f>
        <v>7.5</v>
      </c>
      <c r="AC6" s="1029">
        <f>COMPOSITE!M$236</f>
        <v>0</v>
      </c>
      <c r="AD6" s="1039">
        <f>COMPOSITE!J238</f>
        <v>0</v>
      </c>
      <c r="AE6" s="905">
        <f>COMPOSITE!K238</f>
        <v>0</v>
      </c>
      <c r="AF6" s="905">
        <f>COMPOSITE!L238</f>
        <v>0</v>
      </c>
      <c r="AG6" s="1040">
        <f>COMPOSITE!M238</f>
        <v>0</v>
      </c>
      <c r="AH6" s="1032">
        <f>COMPOSITE!J$237</f>
        <v>0</v>
      </c>
      <c r="AI6" s="905">
        <f>COMPOSITE!K$237</f>
        <v>0</v>
      </c>
      <c r="AJ6" s="905">
        <f>COMPOSITE!L$237</f>
        <v>40.25</v>
      </c>
      <c r="AK6" s="1029">
        <f>COMPOSITE!M$237</f>
        <v>0</v>
      </c>
      <c r="AL6" s="1045">
        <f>COMPOSITE!J239</f>
        <v>0</v>
      </c>
      <c r="AM6" s="903">
        <f>COMPOSITE!K239</f>
        <v>0</v>
      </c>
      <c r="AN6" s="903">
        <f>COMPOSITE!L239</f>
        <v>11</v>
      </c>
      <c r="AO6" s="1046">
        <f>COMPOSITE!M239</f>
        <v>0</v>
      </c>
      <c r="AP6" s="1098"/>
      <c r="AQ6" s="1093"/>
      <c r="AR6" s="1093"/>
      <c r="AS6" s="1094"/>
      <c r="AT6" s="911">
        <f>COMPOSITE!J241</f>
        <v>0</v>
      </c>
      <c r="AU6" s="903">
        <f>COMPOSITE!K241</f>
        <v>600</v>
      </c>
      <c r="AV6" s="903">
        <f>COMPOSITE!L241</f>
        <v>61</v>
      </c>
      <c r="AW6" s="904">
        <f>COMPOSITE!M241</f>
        <v>0</v>
      </c>
      <c r="AX6" s="1096"/>
      <c r="AY6" s="1093"/>
      <c r="AZ6" s="1093"/>
      <c r="BA6" s="1094"/>
      <c r="BB6" s="911">
        <f>COMPOSITE!J243</f>
        <v>0</v>
      </c>
      <c r="BC6" s="903">
        <f>COMPOSITE!K243</f>
        <v>400</v>
      </c>
      <c r="BD6" s="903">
        <f>COMPOSITE!L243</f>
        <v>2.75</v>
      </c>
      <c r="BE6" s="904">
        <f>COMPOSITE!M243</f>
        <v>0</v>
      </c>
    </row>
    <row r="7" spans="1:57" ht="20.100000000000001" customHeight="1">
      <c r="A7" s="1422">
        <v>42461</v>
      </c>
      <c r="B7" s="1032"/>
      <c r="C7" s="905"/>
      <c r="D7" s="905"/>
      <c r="E7" s="1029"/>
      <c r="F7" s="1039"/>
      <c r="G7" s="905"/>
      <c r="H7" s="905"/>
      <c r="I7" s="1040"/>
      <c r="J7" s="1032"/>
      <c r="K7" s="905"/>
      <c r="L7" s="905"/>
      <c r="M7" s="1029"/>
      <c r="N7" s="1039"/>
      <c r="O7" s="905"/>
      <c r="P7" s="905"/>
      <c r="Q7" s="1040"/>
      <c r="R7" s="1032"/>
      <c r="S7" s="905"/>
      <c r="T7" s="905"/>
      <c r="U7" s="1029"/>
      <c r="V7" s="1039"/>
      <c r="W7" s="905"/>
      <c r="X7" s="905"/>
      <c r="Y7" s="1040"/>
      <c r="Z7" s="1032"/>
      <c r="AA7" s="905"/>
      <c r="AB7" s="905"/>
      <c r="AC7" s="1029"/>
      <c r="AD7" s="1039"/>
      <c r="AE7" s="905"/>
      <c r="AF7" s="905"/>
      <c r="AG7" s="1040"/>
      <c r="AH7" s="1032"/>
      <c r="AI7" s="905"/>
      <c r="AJ7" s="905"/>
      <c r="AK7" s="1029"/>
      <c r="AL7" s="1039"/>
      <c r="AM7" s="905"/>
      <c r="AN7" s="905"/>
      <c r="AO7" s="1040"/>
      <c r="AP7" s="1085"/>
      <c r="AQ7" s="1085"/>
      <c r="AR7" s="1085"/>
      <c r="AS7" s="1086"/>
      <c r="AT7" s="912"/>
      <c r="AU7" s="905"/>
      <c r="AV7" s="905"/>
      <c r="AW7" s="906"/>
      <c r="AX7" s="1089"/>
      <c r="AY7" s="1085"/>
      <c r="AZ7" s="1085"/>
      <c r="BA7" s="1086"/>
      <c r="BB7" s="912"/>
      <c r="BC7" s="905"/>
      <c r="BD7" s="905"/>
      <c r="BE7" s="906"/>
    </row>
    <row r="8" spans="1:57" ht="20.100000000000001" customHeight="1">
      <c r="A8" s="1422">
        <v>42491</v>
      </c>
      <c r="B8" s="1032"/>
      <c r="C8" s="905"/>
      <c r="D8" s="905"/>
      <c r="E8" s="1029"/>
      <c r="F8" s="1039"/>
      <c r="G8" s="905"/>
      <c r="H8" s="905"/>
      <c r="I8" s="1040"/>
      <c r="J8" s="1032"/>
      <c r="K8" s="905"/>
      <c r="L8" s="905"/>
      <c r="M8" s="1029"/>
      <c r="N8" s="1039"/>
      <c r="O8" s="905"/>
      <c r="P8" s="905"/>
      <c r="Q8" s="1040"/>
      <c r="R8" s="1032"/>
      <c r="S8" s="905"/>
      <c r="T8" s="905"/>
      <c r="U8" s="1029"/>
      <c r="V8" s="1039"/>
      <c r="W8" s="905"/>
      <c r="X8" s="905"/>
      <c r="Y8" s="1040"/>
      <c r="Z8" s="1032"/>
      <c r="AA8" s="905"/>
      <c r="AB8" s="905"/>
      <c r="AC8" s="1029"/>
      <c r="AD8" s="1039"/>
      <c r="AE8" s="905"/>
      <c r="AF8" s="905"/>
      <c r="AG8" s="1040"/>
      <c r="AH8" s="1032"/>
      <c r="AI8" s="905"/>
      <c r="AJ8" s="905"/>
      <c r="AK8" s="1029"/>
      <c r="AL8" s="1039"/>
      <c r="AM8" s="905"/>
      <c r="AN8" s="905"/>
      <c r="AO8" s="1040"/>
      <c r="AP8" s="1085"/>
      <c r="AQ8" s="1085"/>
      <c r="AR8" s="1085"/>
      <c r="AS8" s="1086"/>
      <c r="AT8" s="912"/>
      <c r="AU8" s="905"/>
      <c r="AV8" s="905"/>
      <c r="AW8" s="906"/>
      <c r="AX8" s="1089"/>
      <c r="AY8" s="1085"/>
      <c r="AZ8" s="1085"/>
      <c r="BA8" s="1086"/>
      <c r="BB8" s="912"/>
      <c r="BC8" s="905"/>
      <c r="BD8" s="905"/>
      <c r="BE8" s="906"/>
    </row>
    <row r="9" spans="1:57" ht="20.100000000000001" customHeight="1">
      <c r="A9" s="1422">
        <v>42522</v>
      </c>
      <c r="B9" s="1032"/>
      <c r="C9" s="905"/>
      <c r="D9" s="905"/>
      <c r="E9" s="1029"/>
      <c r="F9" s="1039"/>
      <c r="G9" s="905"/>
      <c r="H9" s="905"/>
      <c r="I9" s="1040"/>
      <c r="J9" s="1032"/>
      <c r="K9" s="905"/>
      <c r="L9" s="905"/>
      <c r="M9" s="1029"/>
      <c r="N9" s="1039"/>
      <c r="O9" s="905"/>
      <c r="P9" s="905"/>
      <c r="Q9" s="1040"/>
      <c r="R9" s="1032"/>
      <c r="S9" s="905"/>
      <c r="T9" s="905"/>
      <c r="U9" s="1029"/>
      <c r="V9" s="1039"/>
      <c r="W9" s="905"/>
      <c r="X9" s="905"/>
      <c r="Y9" s="1040"/>
      <c r="Z9" s="1032"/>
      <c r="AA9" s="905"/>
      <c r="AB9" s="905"/>
      <c r="AC9" s="1029"/>
      <c r="AD9" s="1039"/>
      <c r="AE9" s="905"/>
      <c r="AF9" s="905"/>
      <c r="AG9" s="1040"/>
      <c r="AH9" s="1032"/>
      <c r="AI9" s="905"/>
      <c r="AJ9" s="905"/>
      <c r="AK9" s="1029"/>
      <c r="AL9" s="1039"/>
      <c r="AM9" s="905"/>
      <c r="AN9" s="905"/>
      <c r="AO9" s="1040"/>
      <c r="AP9" s="1085"/>
      <c r="AQ9" s="1085"/>
      <c r="AR9" s="1085"/>
      <c r="AS9" s="1086"/>
      <c r="AT9" s="912"/>
      <c r="AU9" s="905"/>
      <c r="AV9" s="905"/>
      <c r="AW9" s="906"/>
      <c r="AX9" s="1089"/>
      <c r="AY9" s="1085"/>
      <c r="AZ9" s="1085"/>
      <c r="BA9" s="1086"/>
      <c r="BB9" s="912"/>
      <c r="BC9" s="905"/>
      <c r="BD9" s="905"/>
      <c r="BE9" s="906"/>
    </row>
    <row r="10" spans="1:57" ht="20.100000000000001" customHeight="1">
      <c r="A10" s="1422">
        <v>42552</v>
      </c>
      <c r="B10" s="1032"/>
      <c r="C10" s="905"/>
      <c r="D10" s="905"/>
      <c r="E10" s="1029"/>
      <c r="F10" s="1039"/>
      <c r="G10" s="905"/>
      <c r="H10" s="905"/>
      <c r="I10" s="1040"/>
      <c r="J10" s="1032"/>
      <c r="K10" s="905"/>
      <c r="L10" s="905"/>
      <c r="M10" s="1029"/>
      <c r="N10" s="1039"/>
      <c r="O10" s="905"/>
      <c r="P10" s="905"/>
      <c r="Q10" s="1040"/>
      <c r="R10" s="1032"/>
      <c r="S10" s="905"/>
      <c r="T10" s="905"/>
      <c r="U10" s="1029"/>
      <c r="V10" s="1039"/>
      <c r="W10" s="905"/>
      <c r="X10" s="905"/>
      <c r="Y10" s="1040"/>
      <c r="Z10" s="1032"/>
      <c r="AA10" s="905"/>
      <c r="AB10" s="905"/>
      <c r="AC10" s="1029"/>
      <c r="AD10" s="1039"/>
      <c r="AE10" s="905"/>
      <c r="AF10" s="905"/>
      <c r="AG10" s="1040"/>
      <c r="AH10" s="1032"/>
      <c r="AI10" s="905"/>
      <c r="AJ10" s="905"/>
      <c r="AK10" s="1029"/>
      <c r="AL10" s="1039"/>
      <c r="AM10" s="905"/>
      <c r="AN10" s="905"/>
      <c r="AO10" s="1040"/>
      <c r="AP10" s="1085"/>
      <c r="AQ10" s="1085"/>
      <c r="AR10" s="1085"/>
      <c r="AS10" s="1086"/>
      <c r="AT10" s="912"/>
      <c r="AU10" s="905"/>
      <c r="AV10" s="905"/>
      <c r="AW10" s="906"/>
      <c r="AX10" s="1089"/>
      <c r="AY10" s="1085"/>
      <c r="AZ10" s="1085"/>
      <c r="BA10" s="1086"/>
      <c r="BB10" s="912"/>
      <c r="BC10" s="905"/>
      <c r="BD10" s="905"/>
      <c r="BE10" s="906"/>
    </row>
    <row r="11" spans="1:57" ht="20.100000000000001" customHeight="1">
      <c r="A11" s="1422">
        <v>42583</v>
      </c>
      <c r="B11" s="1032"/>
      <c r="C11" s="905"/>
      <c r="D11" s="905"/>
      <c r="E11" s="1029"/>
      <c r="F11" s="1039"/>
      <c r="G11" s="905"/>
      <c r="H11" s="905"/>
      <c r="I11" s="1040"/>
      <c r="J11" s="1032"/>
      <c r="K11" s="905"/>
      <c r="L11" s="905"/>
      <c r="M11" s="1029"/>
      <c r="N11" s="1039"/>
      <c r="O11" s="905"/>
      <c r="P11" s="905"/>
      <c r="Q11" s="1040"/>
      <c r="R11" s="1032"/>
      <c r="S11" s="905"/>
      <c r="T11" s="905"/>
      <c r="U11" s="1029"/>
      <c r="V11" s="1039"/>
      <c r="W11" s="905"/>
      <c r="X11" s="905"/>
      <c r="Y11" s="1040"/>
      <c r="Z11" s="1032"/>
      <c r="AA11" s="905"/>
      <c r="AB11" s="905"/>
      <c r="AC11" s="1029"/>
      <c r="AD11" s="1039"/>
      <c r="AE11" s="905"/>
      <c r="AF11" s="905"/>
      <c r="AG11" s="1040"/>
      <c r="AH11" s="1032"/>
      <c r="AI11" s="905"/>
      <c r="AJ11" s="905"/>
      <c r="AK11" s="1029"/>
      <c r="AL11" s="1039"/>
      <c r="AM11" s="905"/>
      <c r="AN11" s="905"/>
      <c r="AO11" s="1040"/>
      <c r="AP11" s="1085"/>
      <c r="AQ11" s="1085"/>
      <c r="AR11" s="1085"/>
      <c r="AS11" s="1086"/>
      <c r="AT11" s="912"/>
      <c r="AU11" s="905"/>
      <c r="AV11" s="905"/>
      <c r="AW11" s="906"/>
      <c r="AX11" s="1089"/>
      <c r="AY11" s="1085"/>
      <c r="AZ11" s="1085"/>
      <c r="BA11" s="1086"/>
      <c r="BB11" s="912"/>
      <c r="BC11" s="905"/>
      <c r="BD11" s="905"/>
      <c r="BE11" s="906"/>
    </row>
    <row r="12" spans="1:57" ht="20.100000000000001" customHeight="1">
      <c r="A12" s="1422">
        <v>42614</v>
      </c>
      <c r="B12" s="1032"/>
      <c r="C12" s="905"/>
      <c r="D12" s="905"/>
      <c r="E12" s="1029"/>
      <c r="F12" s="1039"/>
      <c r="G12" s="905"/>
      <c r="H12" s="905"/>
      <c r="I12" s="1040"/>
      <c r="J12" s="1032"/>
      <c r="K12" s="905"/>
      <c r="L12" s="905"/>
      <c r="M12" s="1029"/>
      <c r="N12" s="1039"/>
      <c r="O12" s="905"/>
      <c r="P12" s="905"/>
      <c r="Q12" s="1040"/>
      <c r="R12" s="1032"/>
      <c r="S12" s="905"/>
      <c r="T12" s="905"/>
      <c r="U12" s="1029"/>
      <c r="V12" s="1039"/>
      <c r="W12" s="905"/>
      <c r="X12" s="905"/>
      <c r="Y12" s="1040"/>
      <c r="Z12" s="1032"/>
      <c r="AA12" s="905"/>
      <c r="AB12" s="905"/>
      <c r="AC12" s="1029"/>
      <c r="AD12" s="1039"/>
      <c r="AE12" s="905"/>
      <c r="AF12" s="905"/>
      <c r="AG12" s="1040"/>
      <c r="AH12" s="1032"/>
      <c r="AI12" s="905"/>
      <c r="AJ12" s="905"/>
      <c r="AK12" s="1029"/>
      <c r="AL12" s="1039"/>
      <c r="AM12" s="905"/>
      <c r="AN12" s="905"/>
      <c r="AO12" s="1040"/>
      <c r="AP12" s="1085"/>
      <c r="AQ12" s="1085"/>
      <c r="AR12" s="1085"/>
      <c r="AS12" s="1086"/>
      <c r="AT12" s="912"/>
      <c r="AU12" s="905"/>
      <c r="AV12" s="905"/>
      <c r="AW12" s="906"/>
      <c r="AX12" s="1089"/>
      <c r="AY12" s="1085"/>
      <c r="AZ12" s="1085"/>
      <c r="BA12" s="1086"/>
      <c r="BB12" s="912"/>
      <c r="BC12" s="905"/>
      <c r="BD12" s="905"/>
      <c r="BE12" s="906"/>
    </row>
    <row r="13" spans="1:57" ht="20.100000000000001" customHeight="1">
      <c r="A13" s="1422">
        <v>42644</v>
      </c>
      <c r="B13" s="1032"/>
      <c r="C13" s="905"/>
      <c r="D13" s="905"/>
      <c r="E13" s="1029"/>
      <c r="F13" s="1039"/>
      <c r="G13" s="905"/>
      <c r="H13" s="905"/>
      <c r="I13" s="1040"/>
      <c r="J13" s="1032"/>
      <c r="K13" s="905"/>
      <c r="L13" s="905"/>
      <c r="M13" s="1029"/>
      <c r="N13" s="1039"/>
      <c r="O13" s="905"/>
      <c r="P13" s="905"/>
      <c r="Q13" s="1040"/>
      <c r="R13" s="1032"/>
      <c r="S13" s="905"/>
      <c r="T13" s="905"/>
      <c r="U13" s="1029"/>
      <c r="V13" s="1039"/>
      <c r="W13" s="905"/>
      <c r="X13" s="905"/>
      <c r="Y13" s="1040"/>
      <c r="Z13" s="1032"/>
      <c r="AA13" s="905"/>
      <c r="AB13" s="905"/>
      <c r="AC13" s="1029"/>
      <c r="AD13" s="1039"/>
      <c r="AE13" s="905"/>
      <c r="AF13" s="905"/>
      <c r="AG13" s="1040"/>
      <c r="AH13" s="1032"/>
      <c r="AI13" s="905"/>
      <c r="AJ13" s="905"/>
      <c r="AK13" s="1029"/>
      <c r="AL13" s="1039"/>
      <c r="AM13" s="905"/>
      <c r="AN13" s="905"/>
      <c r="AO13" s="1040"/>
      <c r="AP13" s="1085"/>
      <c r="AQ13" s="1085"/>
      <c r="AR13" s="1085"/>
      <c r="AS13" s="1086"/>
      <c r="AT13" s="912"/>
      <c r="AU13" s="905"/>
      <c r="AV13" s="905"/>
      <c r="AW13" s="906"/>
      <c r="AX13" s="1089"/>
      <c r="AY13" s="1085"/>
      <c r="AZ13" s="1085"/>
      <c r="BA13" s="1086"/>
      <c r="BB13" s="912"/>
      <c r="BC13" s="905"/>
      <c r="BD13" s="905"/>
      <c r="BE13" s="906"/>
    </row>
    <row r="14" spans="1:57" ht="20.100000000000001" customHeight="1">
      <c r="A14" s="1422">
        <v>42675</v>
      </c>
      <c r="B14" s="1032"/>
      <c r="C14" s="905"/>
      <c r="D14" s="905"/>
      <c r="E14" s="1029"/>
      <c r="F14" s="1039"/>
      <c r="G14" s="905"/>
      <c r="H14" s="905"/>
      <c r="I14" s="1040"/>
      <c r="J14" s="1032"/>
      <c r="K14" s="905"/>
      <c r="L14" s="905"/>
      <c r="M14" s="1029"/>
      <c r="N14" s="1039"/>
      <c r="O14" s="905"/>
      <c r="P14" s="905"/>
      <c r="Q14" s="1040"/>
      <c r="R14" s="1032"/>
      <c r="S14" s="905"/>
      <c r="T14" s="905"/>
      <c r="U14" s="1029"/>
      <c r="V14" s="1039"/>
      <c r="W14" s="905"/>
      <c r="X14" s="905"/>
      <c r="Y14" s="1040"/>
      <c r="Z14" s="1032"/>
      <c r="AA14" s="905"/>
      <c r="AB14" s="905"/>
      <c r="AC14" s="1029"/>
      <c r="AD14" s="1039"/>
      <c r="AE14" s="905"/>
      <c r="AF14" s="905"/>
      <c r="AG14" s="1040"/>
      <c r="AH14" s="1032"/>
      <c r="AI14" s="905"/>
      <c r="AJ14" s="905"/>
      <c r="AK14" s="1029"/>
      <c r="AL14" s="1039"/>
      <c r="AM14" s="905"/>
      <c r="AN14" s="905"/>
      <c r="AO14" s="1040"/>
      <c r="AP14" s="1085"/>
      <c r="AQ14" s="1085"/>
      <c r="AR14" s="1085"/>
      <c r="AS14" s="1086"/>
      <c r="AT14" s="912"/>
      <c r="AU14" s="905"/>
      <c r="AV14" s="905"/>
      <c r="AW14" s="906"/>
      <c r="AX14" s="1089"/>
      <c r="AY14" s="1085"/>
      <c r="AZ14" s="1085"/>
      <c r="BA14" s="1086"/>
      <c r="BB14" s="912"/>
      <c r="BC14" s="905"/>
      <c r="BD14" s="905"/>
      <c r="BE14" s="906"/>
    </row>
    <row r="15" spans="1:57" ht="20.100000000000001" customHeight="1">
      <c r="A15" s="1423">
        <v>42705</v>
      </c>
      <c r="B15" s="1033"/>
      <c r="C15" s="907"/>
      <c r="D15" s="907"/>
      <c r="E15" s="1030"/>
      <c r="F15" s="1041"/>
      <c r="G15" s="907"/>
      <c r="H15" s="907"/>
      <c r="I15" s="1042"/>
      <c r="J15" s="1033"/>
      <c r="K15" s="907"/>
      <c r="L15" s="907"/>
      <c r="M15" s="1030"/>
      <c r="N15" s="1043"/>
      <c r="O15" s="908"/>
      <c r="P15" s="908"/>
      <c r="Q15" s="1044"/>
      <c r="R15" s="1035"/>
      <c r="S15" s="908"/>
      <c r="T15" s="908"/>
      <c r="U15" s="1034"/>
      <c r="V15" s="1041"/>
      <c r="W15" s="907"/>
      <c r="X15" s="907"/>
      <c r="Y15" s="1042"/>
      <c r="Z15" s="1033"/>
      <c r="AA15" s="907"/>
      <c r="AB15" s="907"/>
      <c r="AC15" s="1030"/>
      <c r="AD15" s="1047"/>
      <c r="AE15" s="909"/>
      <c r="AF15" s="909"/>
      <c r="AG15" s="1048"/>
      <c r="AH15" s="1033"/>
      <c r="AI15" s="907"/>
      <c r="AJ15" s="907"/>
      <c r="AK15" s="1030"/>
      <c r="AL15" s="1041"/>
      <c r="AM15" s="907"/>
      <c r="AN15" s="907"/>
      <c r="AO15" s="1042"/>
      <c r="AP15" s="1087"/>
      <c r="AQ15" s="1087"/>
      <c r="AR15" s="1087"/>
      <c r="AS15" s="1088"/>
      <c r="AT15" s="913"/>
      <c r="AU15" s="907"/>
      <c r="AV15" s="907"/>
      <c r="AW15" s="910"/>
      <c r="AX15" s="1090"/>
      <c r="AY15" s="1087"/>
      <c r="AZ15" s="1087"/>
      <c r="BA15" s="1088"/>
      <c r="BB15" s="913"/>
      <c r="BC15" s="907"/>
      <c r="BD15" s="907"/>
      <c r="BE15" s="910"/>
    </row>
    <row r="16" spans="1:57" ht="20.100000000000001" customHeight="1" thickBot="1">
      <c r="A16" s="1439" t="s">
        <v>277</v>
      </c>
      <c r="B16" s="1440">
        <f>SUM(B4:B15)</f>
        <v>0</v>
      </c>
      <c r="C16" s="1441">
        <f t="shared" ref="C16:AV16" si="0">SUM(C4:C15)</f>
        <v>1158.75</v>
      </c>
      <c r="D16" s="1442">
        <f t="shared" si="0"/>
        <v>2133</v>
      </c>
      <c r="E16" s="1443">
        <f>SUM(E4:E15)</f>
        <v>581</v>
      </c>
      <c r="F16" s="1440">
        <f t="shared" si="0"/>
        <v>0</v>
      </c>
      <c r="G16" s="1441">
        <f t="shared" si="0"/>
        <v>0</v>
      </c>
      <c r="H16" s="1442">
        <f t="shared" si="0"/>
        <v>702.75</v>
      </c>
      <c r="I16" s="1443">
        <f>SUM(I4:I15)</f>
        <v>0</v>
      </c>
      <c r="J16" s="1440">
        <f t="shared" si="0"/>
        <v>0</v>
      </c>
      <c r="K16" s="1441">
        <f t="shared" si="0"/>
        <v>0</v>
      </c>
      <c r="L16" s="1442">
        <f t="shared" si="0"/>
        <v>26</v>
      </c>
      <c r="M16" s="1443">
        <f>SUM(M4:M15)</f>
        <v>0</v>
      </c>
      <c r="N16" s="1444">
        <f t="shared" si="0"/>
        <v>0</v>
      </c>
      <c r="O16" s="1445">
        <f t="shared" si="0"/>
        <v>46</v>
      </c>
      <c r="P16" s="1446">
        <f t="shared" si="0"/>
        <v>226.75</v>
      </c>
      <c r="Q16" s="1447">
        <f>SUM(Q4:Q15)</f>
        <v>0</v>
      </c>
      <c r="R16" s="1444">
        <f>SUM(R4:R15)</f>
        <v>0</v>
      </c>
      <c r="S16" s="1445">
        <f>SUM(S4:S15)</f>
        <v>0</v>
      </c>
      <c r="T16" s="1446">
        <f>SUM(T4:T15)</f>
        <v>153.5</v>
      </c>
      <c r="U16" s="1447">
        <f>SUM(U4:U15)</f>
        <v>0</v>
      </c>
      <c r="V16" s="1448">
        <f t="shared" si="0"/>
        <v>0</v>
      </c>
      <c r="W16" s="1441">
        <f t="shared" si="0"/>
        <v>14.25</v>
      </c>
      <c r="X16" s="1442">
        <f t="shared" si="0"/>
        <v>299.75</v>
      </c>
      <c r="Y16" s="1442">
        <f>SUM(Y4:Y15)</f>
        <v>581</v>
      </c>
      <c r="Z16" s="1440">
        <f t="shared" si="0"/>
        <v>0</v>
      </c>
      <c r="AA16" s="1441">
        <f t="shared" si="0"/>
        <v>98.5</v>
      </c>
      <c r="AB16" s="1442">
        <f t="shared" si="0"/>
        <v>31.5</v>
      </c>
      <c r="AC16" s="1443">
        <f>SUM(AC4:AC15)</f>
        <v>0</v>
      </c>
      <c r="AD16" s="1444">
        <f t="shared" si="0"/>
        <v>0</v>
      </c>
      <c r="AE16" s="1445">
        <f t="shared" si="0"/>
        <v>0</v>
      </c>
      <c r="AF16" s="1446">
        <f t="shared" si="0"/>
        <v>0</v>
      </c>
      <c r="AG16" s="1446">
        <f>SUM(AG4:AG15)</f>
        <v>0</v>
      </c>
      <c r="AH16" s="1440">
        <f t="shared" si="0"/>
        <v>0</v>
      </c>
      <c r="AI16" s="1441">
        <f t="shared" si="0"/>
        <v>0</v>
      </c>
      <c r="AJ16" s="1442">
        <f t="shared" si="0"/>
        <v>157.5</v>
      </c>
      <c r="AK16" s="1443">
        <f>SUM(AK4:AK15)</f>
        <v>0</v>
      </c>
      <c r="AL16" s="1440">
        <f t="shared" si="0"/>
        <v>0</v>
      </c>
      <c r="AM16" s="1441">
        <f t="shared" si="0"/>
        <v>0</v>
      </c>
      <c r="AN16" s="1442">
        <f t="shared" si="0"/>
        <v>101.25</v>
      </c>
      <c r="AO16" s="1443">
        <f>SUM(AO4:AO15)</f>
        <v>0</v>
      </c>
      <c r="AP16" s="1440">
        <f t="shared" si="0"/>
        <v>0</v>
      </c>
      <c r="AQ16" s="1441">
        <f t="shared" si="0"/>
        <v>0</v>
      </c>
      <c r="AR16" s="1442">
        <f t="shared" si="0"/>
        <v>0</v>
      </c>
      <c r="AS16" s="1443">
        <f>SUM(AS4:AS15)</f>
        <v>0</v>
      </c>
      <c r="AT16" s="1440">
        <f t="shared" si="0"/>
        <v>0</v>
      </c>
      <c r="AU16" s="1441">
        <f t="shared" si="0"/>
        <v>600</v>
      </c>
      <c r="AV16" s="1442">
        <f t="shared" si="0"/>
        <v>315</v>
      </c>
      <c r="AW16" s="1443">
        <f t="shared" ref="AW16:BE16" si="1">SUM(AW4:AW15)</f>
        <v>0</v>
      </c>
      <c r="AX16" s="1440">
        <f t="shared" si="1"/>
        <v>0</v>
      </c>
      <c r="AY16" s="1441">
        <f t="shared" si="1"/>
        <v>0</v>
      </c>
      <c r="AZ16" s="1442">
        <f t="shared" si="1"/>
        <v>0</v>
      </c>
      <c r="BA16" s="1443">
        <f t="shared" si="1"/>
        <v>0</v>
      </c>
      <c r="BB16" s="1440">
        <f t="shared" si="1"/>
        <v>0</v>
      </c>
      <c r="BC16" s="1441">
        <f t="shared" si="1"/>
        <v>400</v>
      </c>
      <c r="BD16" s="1442">
        <f t="shared" si="1"/>
        <v>88.75</v>
      </c>
      <c r="BE16" s="1443">
        <f t="shared" si="1"/>
        <v>0</v>
      </c>
    </row>
    <row r="17" spans="1:57" ht="20.100000000000001" customHeight="1" thickTop="1"/>
    <row r="18" spans="1:57" ht="20.100000000000001" customHeight="1" thickBot="1">
      <c r="A18" s="1449" t="s">
        <v>315</v>
      </c>
      <c r="B18" s="1420"/>
      <c r="C18" s="433"/>
      <c r="D18" s="433"/>
      <c r="E18" s="433"/>
      <c r="F18" s="433"/>
      <c r="G18" s="433"/>
      <c r="H18" s="433"/>
      <c r="I18" s="433"/>
      <c r="J18" s="433"/>
      <c r="K18" s="433"/>
      <c r="L18" s="433"/>
      <c r="M18" s="433"/>
      <c r="N18" s="433"/>
      <c r="O18" s="433"/>
      <c r="P18" s="433"/>
      <c r="Q18" s="433"/>
      <c r="R18" s="433"/>
      <c r="S18" s="433"/>
      <c r="T18" s="433"/>
      <c r="U18" s="433"/>
      <c r="V18" s="433"/>
      <c r="W18" s="433"/>
      <c r="X18" s="433"/>
      <c r="Y18" s="433"/>
      <c r="Z18" s="433"/>
      <c r="AA18" s="433"/>
      <c r="AB18" s="433"/>
      <c r="AC18" s="433"/>
      <c r="AD18" s="433"/>
      <c r="AE18" s="433"/>
      <c r="AF18" s="433"/>
      <c r="AG18" s="433"/>
      <c r="AH18" s="433"/>
      <c r="AI18" s="433"/>
      <c r="AJ18" s="433"/>
      <c r="AK18" s="433"/>
      <c r="AL18" s="433"/>
      <c r="AM18" s="433"/>
      <c r="AN18" s="433"/>
      <c r="AO18" s="433"/>
      <c r="AP18" s="433"/>
      <c r="AQ18" s="433"/>
      <c r="AR18" s="433"/>
      <c r="AS18" s="433"/>
      <c r="AT18" s="433"/>
      <c r="AU18" s="433"/>
      <c r="AV18" s="433"/>
      <c r="AW18" s="433"/>
      <c r="AX18" s="433"/>
      <c r="AY18" s="433"/>
      <c r="AZ18" s="433"/>
      <c r="BA18" s="433"/>
      <c r="BB18" s="433"/>
      <c r="BC18" s="433"/>
      <c r="BD18" s="433"/>
      <c r="BE18" s="433"/>
    </row>
    <row r="19" spans="1:57" ht="20.100000000000001" customHeight="1" thickTop="1">
      <c r="A19" s="2822" t="s">
        <v>276</v>
      </c>
      <c r="B19" s="2825" t="s">
        <v>62</v>
      </c>
      <c r="C19" s="2820"/>
      <c r="D19" s="2820"/>
      <c r="E19" s="2826"/>
      <c r="F19" s="2820" t="s">
        <v>29</v>
      </c>
      <c r="G19" s="2820"/>
      <c r="H19" s="2820"/>
      <c r="I19" s="2820"/>
      <c r="J19" s="2825" t="s">
        <v>474</v>
      </c>
      <c r="K19" s="2820"/>
      <c r="L19" s="2820"/>
      <c r="M19" s="2826"/>
      <c r="N19" s="2820" t="s">
        <v>476</v>
      </c>
      <c r="O19" s="2820"/>
      <c r="P19" s="2820"/>
      <c r="Q19" s="2820"/>
      <c r="R19" s="2825" t="s">
        <v>517</v>
      </c>
      <c r="S19" s="2820"/>
      <c r="T19" s="2820"/>
      <c r="U19" s="2826"/>
      <c r="V19" s="2825" t="s">
        <v>479</v>
      </c>
      <c r="W19" s="2820"/>
      <c r="X19" s="2820"/>
      <c r="Y19" s="2826"/>
      <c r="Z19" s="2820" t="s">
        <v>490</v>
      </c>
      <c r="AA19" s="2820"/>
      <c r="AB19" s="2820"/>
      <c r="AC19" s="2820"/>
      <c r="AD19" s="2825" t="s">
        <v>487</v>
      </c>
      <c r="AE19" s="2820"/>
      <c r="AF19" s="2820"/>
      <c r="AG19" s="2826"/>
      <c r="AH19" s="2820" t="s">
        <v>488</v>
      </c>
      <c r="AI19" s="2820"/>
      <c r="AJ19" s="2820"/>
      <c r="AK19" s="2820"/>
      <c r="AL19" s="2825" t="s">
        <v>468</v>
      </c>
      <c r="AM19" s="2820"/>
      <c r="AN19" s="2820"/>
      <c r="AO19" s="2826"/>
      <c r="AP19" s="2820" t="s">
        <v>491</v>
      </c>
      <c r="AQ19" s="2820"/>
      <c r="AR19" s="2820"/>
      <c r="AS19" s="2820"/>
      <c r="AT19" s="2825" t="s">
        <v>470</v>
      </c>
      <c r="AU19" s="2820"/>
      <c r="AV19" s="2820"/>
      <c r="AW19" s="2826"/>
      <c r="AX19" s="2825" t="s">
        <v>471</v>
      </c>
      <c r="AY19" s="2820"/>
      <c r="AZ19" s="2820"/>
      <c r="BA19" s="2826"/>
      <c r="BB19" s="2820" t="s">
        <v>472</v>
      </c>
      <c r="BC19" s="2820"/>
      <c r="BD19" s="2820"/>
      <c r="BE19" s="2821"/>
    </row>
    <row r="20" spans="1:57" s="4" customFormat="1" ht="30" customHeight="1">
      <c r="A20" s="2824"/>
      <c r="B20" s="1428" t="s">
        <v>311</v>
      </c>
      <c r="C20" s="1429" t="s">
        <v>155</v>
      </c>
      <c r="D20" s="1430" t="s">
        <v>163</v>
      </c>
      <c r="E20" s="1431" t="s">
        <v>164</v>
      </c>
      <c r="F20" s="1432" t="s">
        <v>311</v>
      </c>
      <c r="G20" s="1429" t="s">
        <v>155</v>
      </c>
      <c r="H20" s="1430" t="s">
        <v>163</v>
      </c>
      <c r="I20" s="1430" t="s">
        <v>164</v>
      </c>
      <c r="J20" s="1428" t="s">
        <v>311</v>
      </c>
      <c r="K20" s="1429" t="s">
        <v>155</v>
      </c>
      <c r="L20" s="1430" t="s">
        <v>163</v>
      </c>
      <c r="M20" s="1431" t="s">
        <v>164</v>
      </c>
      <c r="N20" s="1432" t="s">
        <v>311</v>
      </c>
      <c r="O20" s="1429" t="s">
        <v>155</v>
      </c>
      <c r="P20" s="1430" t="s">
        <v>163</v>
      </c>
      <c r="Q20" s="1430" t="s">
        <v>164</v>
      </c>
      <c r="R20" s="1428" t="s">
        <v>311</v>
      </c>
      <c r="S20" s="1429" t="s">
        <v>155</v>
      </c>
      <c r="T20" s="1430" t="s">
        <v>163</v>
      </c>
      <c r="U20" s="1431" t="s">
        <v>164</v>
      </c>
      <c r="V20" s="1428" t="s">
        <v>311</v>
      </c>
      <c r="W20" s="1429" t="s">
        <v>155</v>
      </c>
      <c r="X20" s="1430" t="s">
        <v>163</v>
      </c>
      <c r="Y20" s="1431" t="s">
        <v>164</v>
      </c>
      <c r="Z20" s="1432" t="s">
        <v>311</v>
      </c>
      <c r="AA20" s="1429" t="s">
        <v>155</v>
      </c>
      <c r="AB20" s="1430" t="s">
        <v>163</v>
      </c>
      <c r="AC20" s="1430" t="s">
        <v>164</v>
      </c>
      <c r="AD20" s="1428" t="s">
        <v>311</v>
      </c>
      <c r="AE20" s="1429" t="s">
        <v>155</v>
      </c>
      <c r="AF20" s="1430" t="s">
        <v>163</v>
      </c>
      <c r="AG20" s="1431" t="s">
        <v>164</v>
      </c>
      <c r="AH20" s="1432" t="s">
        <v>311</v>
      </c>
      <c r="AI20" s="1429" t="s">
        <v>155</v>
      </c>
      <c r="AJ20" s="1430" t="s">
        <v>163</v>
      </c>
      <c r="AK20" s="1430" t="s">
        <v>164</v>
      </c>
      <c r="AL20" s="1436" t="s">
        <v>311</v>
      </c>
      <c r="AM20" s="1434" t="s">
        <v>155</v>
      </c>
      <c r="AN20" s="1435" t="s">
        <v>163</v>
      </c>
      <c r="AO20" s="1437" t="s">
        <v>164</v>
      </c>
      <c r="AP20" s="1433" t="s">
        <v>311</v>
      </c>
      <c r="AQ20" s="1434" t="s">
        <v>155</v>
      </c>
      <c r="AR20" s="1435" t="s">
        <v>163</v>
      </c>
      <c r="AS20" s="1435" t="s">
        <v>164</v>
      </c>
      <c r="AT20" s="1436" t="s">
        <v>311</v>
      </c>
      <c r="AU20" s="1434" t="s">
        <v>155</v>
      </c>
      <c r="AV20" s="1435" t="s">
        <v>163</v>
      </c>
      <c r="AW20" s="1437" t="s">
        <v>164</v>
      </c>
      <c r="AX20" s="1436" t="s">
        <v>311</v>
      </c>
      <c r="AY20" s="1434" t="s">
        <v>155</v>
      </c>
      <c r="AZ20" s="1435" t="s">
        <v>163</v>
      </c>
      <c r="BA20" s="1437" t="s">
        <v>164</v>
      </c>
      <c r="BB20" s="1433" t="s">
        <v>311</v>
      </c>
      <c r="BC20" s="1434" t="s">
        <v>155</v>
      </c>
      <c r="BD20" s="1435" t="s">
        <v>163</v>
      </c>
      <c r="BE20" s="1438" t="s">
        <v>164</v>
      </c>
    </row>
    <row r="21" spans="1:57" ht="20.100000000000001" customHeight="1">
      <c r="A21" s="1421">
        <v>42370</v>
      </c>
      <c r="B21" s="1450">
        <f>COMPOSITE!B$269</f>
        <v>0</v>
      </c>
      <c r="C21" s="1451">
        <f>COMPOSITE!C$269</f>
        <v>3940</v>
      </c>
      <c r="D21" s="1451">
        <f>COMPOSITE!D$269</f>
        <v>57119.519999999997</v>
      </c>
      <c r="E21" s="1452">
        <f>COMPOSITE!E$269</f>
        <v>30707.489999999998</v>
      </c>
      <c r="F21" s="1453">
        <f>COMPOSITE!B$252</f>
        <v>0</v>
      </c>
      <c r="G21" s="1451">
        <f>COMPOSITE!C$252</f>
        <v>0</v>
      </c>
      <c r="H21" s="1451">
        <f>COMPOSITE!D$252</f>
        <v>20820.419999999998</v>
      </c>
      <c r="I21" s="1454">
        <f>COMPOSITE!E$252</f>
        <v>10410.209999999999</v>
      </c>
      <c r="J21" s="1455">
        <f>COMPOSITE!B$253</f>
        <v>0</v>
      </c>
      <c r="K21" s="1451">
        <f>COMPOSITE!C$253</f>
        <v>0</v>
      </c>
      <c r="L21" s="1451">
        <f>COMPOSITE!D$253</f>
        <v>75</v>
      </c>
      <c r="M21" s="1452">
        <f>COMPOSITE!E$253</f>
        <v>75</v>
      </c>
      <c r="N21" s="1453">
        <f>COMPOSITE!B$254</f>
        <v>0</v>
      </c>
      <c r="O21" s="1451">
        <f>COMPOSITE!C$254</f>
        <v>500</v>
      </c>
      <c r="P21" s="1451">
        <f>COMPOSITE!D$254</f>
        <v>5603.2</v>
      </c>
      <c r="Q21" s="1454">
        <f>COMPOSITE!E$254</f>
        <v>3085.52</v>
      </c>
      <c r="R21" s="1455">
        <f>COMPOSITE!B255</f>
        <v>0</v>
      </c>
      <c r="S21" s="1451">
        <f>COMPOSITE!C255</f>
        <v>0</v>
      </c>
      <c r="T21" s="1451">
        <f>COMPOSITE!D255</f>
        <v>2939.71</v>
      </c>
      <c r="U21" s="1452">
        <f>COMPOSITE!E255</f>
        <v>1781.16</v>
      </c>
      <c r="V21" s="1453">
        <f>COMPOSITE!B$256</f>
        <v>0</v>
      </c>
      <c r="W21" s="1451">
        <f>COMPOSITE!C$256</f>
        <v>500</v>
      </c>
      <c r="X21" s="1451">
        <f>COMPOSITE!D$256</f>
        <v>8149.88</v>
      </c>
      <c r="Y21" s="1454">
        <f>COMPOSITE!E$256</f>
        <v>4074.94</v>
      </c>
      <c r="Z21" s="1455">
        <f>COMPOSITE!B$257</f>
        <v>0</v>
      </c>
      <c r="AA21" s="1451">
        <f>COMPOSITE!C$257</f>
        <v>2440</v>
      </c>
      <c r="AB21" s="1451">
        <f>COMPOSITE!D$257</f>
        <v>585</v>
      </c>
      <c r="AC21" s="1452">
        <f>COMPOSITE!E$257</f>
        <v>427.5</v>
      </c>
      <c r="AD21" s="1453">
        <f>COMPOSITE!B$259</f>
        <v>0</v>
      </c>
      <c r="AE21" s="1451">
        <f>COMPOSITE!C$259</f>
        <v>0</v>
      </c>
      <c r="AF21" s="1451">
        <f>COMPOSITE!D$259</f>
        <v>0</v>
      </c>
      <c r="AG21" s="1454">
        <f>COMPOSITE!E$259</f>
        <v>0</v>
      </c>
      <c r="AH21" s="1455">
        <f>COMPOSITE!B$258</f>
        <v>0</v>
      </c>
      <c r="AI21" s="1451">
        <f>COMPOSITE!C$258</f>
        <v>0</v>
      </c>
      <c r="AJ21" s="1451">
        <f>COMPOSITE!D$258</f>
        <v>2877.56</v>
      </c>
      <c r="AK21" s="1452">
        <f>COMPOSITE!E$258</f>
        <v>1438.78</v>
      </c>
      <c r="AL21" s="1456">
        <f>COMPOSITE!B260</f>
        <v>0</v>
      </c>
      <c r="AM21" s="1457">
        <f>COMPOSITE!C260</f>
        <v>0</v>
      </c>
      <c r="AN21" s="1457">
        <f>COMPOSITE!D260</f>
        <v>5268.75</v>
      </c>
      <c r="AO21" s="1458">
        <f>COMPOSITE!E260</f>
        <v>2634.38</v>
      </c>
      <c r="AP21" s="1459"/>
      <c r="AQ21" s="1460"/>
      <c r="AR21" s="1460"/>
      <c r="AS21" s="1461"/>
      <c r="AT21" s="1462">
        <f>COMPOSITE!B262</f>
        <v>0</v>
      </c>
      <c r="AU21" s="1457">
        <f>COMPOSITE!C262</f>
        <v>500</v>
      </c>
      <c r="AV21" s="1457">
        <f>COMPOSITE!D262</f>
        <v>8700</v>
      </c>
      <c r="AW21" s="1463">
        <f>COMPOSITE!E262</f>
        <v>5220</v>
      </c>
      <c r="AX21" s="1464"/>
      <c r="AY21" s="1460"/>
      <c r="AZ21" s="1460"/>
      <c r="BA21" s="1461"/>
      <c r="BB21" s="1465">
        <f>COMPOSITE!B264</f>
        <v>0</v>
      </c>
      <c r="BC21" s="1466">
        <f>COMPOSITE!C264</f>
        <v>0</v>
      </c>
      <c r="BD21" s="1466">
        <f>COMPOSITE!D264</f>
        <v>2100</v>
      </c>
      <c r="BE21" s="1467">
        <f>COMPOSITE!E264</f>
        <v>1560</v>
      </c>
    </row>
    <row r="22" spans="1:57" ht="20.100000000000001" customHeight="1">
      <c r="A22" s="1422">
        <v>42401</v>
      </c>
      <c r="B22" s="1468">
        <f>COMPOSITE!F$269</f>
        <v>0</v>
      </c>
      <c r="C22" s="1469">
        <f>COMPOSITE!G$269</f>
        <v>3012.5</v>
      </c>
      <c r="D22" s="1469">
        <f>COMPOSITE!H$269</f>
        <v>96061.27</v>
      </c>
      <c r="E22" s="1470">
        <f>COMPOSITE!I$269</f>
        <v>34013.300000000003</v>
      </c>
      <c r="F22" s="1471">
        <f>COMPOSITE!F$252</f>
        <v>0</v>
      </c>
      <c r="G22" s="1469">
        <f>COMPOSITE!G$252</f>
        <v>0</v>
      </c>
      <c r="H22" s="1469">
        <f>COMPOSITE!H$252</f>
        <v>28366.2</v>
      </c>
      <c r="I22" s="1472">
        <f>COMPOSITE!I$252</f>
        <v>9455.4</v>
      </c>
      <c r="J22" s="1473">
        <f>COMPOSITE!F$253</f>
        <v>0</v>
      </c>
      <c r="K22" s="1469">
        <f>COMPOSITE!G$253</f>
        <v>0</v>
      </c>
      <c r="L22" s="1469">
        <f>COMPOSITE!H$253</f>
        <v>675</v>
      </c>
      <c r="M22" s="1470">
        <f>COMPOSITE!I$253</f>
        <v>225</v>
      </c>
      <c r="N22" s="1471">
        <f>COMPOSITE!F$254</f>
        <v>0</v>
      </c>
      <c r="O22" s="1469">
        <f>COMPOSITE!G$254</f>
        <v>0</v>
      </c>
      <c r="P22" s="1469">
        <f>COMPOSITE!H$254</f>
        <v>10853.79</v>
      </c>
      <c r="Q22" s="1472">
        <f>COMPOSITE!I$254</f>
        <v>3867.3</v>
      </c>
      <c r="R22" s="1473">
        <f>COMPOSITE!F255</f>
        <v>0</v>
      </c>
      <c r="S22" s="1469">
        <f>COMPOSITE!G255</f>
        <v>0</v>
      </c>
      <c r="T22" s="1469">
        <f>COMPOSITE!H255</f>
        <v>5262.47</v>
      </c>
      <c r="U22" s="1470">
        <f>COMPOSITE!I255</f>
        <v>1817.79</v>
      </c>
      <c r="V22" s="1471">
        <f>COMPOSITE!F$256</f>
        <v>0</v>
      </c>
      <c r="W22" s="1469">
        <f>COMPOSITE!G$256</f>
        <v>250</v>
      </c>
      <c r="X22" s="1469">
        <f>COMPOSITE!H$256</f>
        <v>11461.22</v>
      </c>
      <c r="Y22" s="1472">
        <f>COMPOSITE!I$256</f>
        <v>3832.78</v>
      </c>
      <c r="Z22" s="1473">
        <f>COMPOSITE!F$257</f>
        <v>0</v>
      </c>
      <c r="AA22" s="1469">
        <f>COMPOSITE!G$257</f>
        <v>1762.5</v>
      </c>
      <c r="AB22" s="1469">
        <f>COMPOSITE!H$257</f>
        <v>1687.5</v>
      </c>
      <c r="AC22" s="1470">
        <f>COMPOSITE!I$257</f>
        <v>712.5</v>
      </c>
      <c r="AD22" s="1471">
        <f>COMPOSITE!F$259</f>
        <v>0</v>
      </c>
      <c r="AE22" s="1469">
        <f>COMPOSITE!G$259</f>
        <v>0</v>
      </c>
      <c r="AF22" s="1469">
        <f>COMPOSITE!H$259</f>
        <v>0</v>
      </c>
      <c r="AG22" s="1472">
        <f>COMPOSITE!I$259</f>
        <v>0</v>
      </c>
      <c r="AH22" s="1473">
        <f>COMPOSITE!F$258</f>
        <v>0</v>
      </c>
      <c r="AI22" s="1469">
        <f>COMPOSITE!G$258</f>
        <v>0</v>
      </c>
      <c r="AJ22" s="1469">
        <f>COMPOSITE!H$258</f>
        <v>10110.09</v>
      </c>
      <c r="AK22" s="1470">
        <f>COMPOSITE!I$258</f>
        <v>3370.03</v>
      </c>
      <c r="AL22" s="1471">
        <f>COMPOSITE!F260</f>
        <v>0</v>
      </c>
      <c r="AM22" s="1469">
        <f>COMPOSITE!G260</f>
        <v>500</v>
      </c>
      <c r="AN22" s="1469">
        <f>COMPOSITE!H260</f>
        <v>2250</v>
      </c>
      <c r="AO22" s="1472">
        <f>COMPOSITE!I260</f>
        <v>750</v>
      </c>
      <c r="AP22" s="1474"/>
      <c r="AQ22" s="1475"/>
      <c r="AR22" s="1475"/>
      <c r="AS22" s="1476"/>
      <c r="AT22" s="1462">
        <f>COMPOSITE!F262</f>
        <v>0</v>
      </c>
      <c r="AU22" s="1457">
        <f>COMPOSITE!G262</f>
        <v>500</v>
      </c>
      <c r="AV22" s="1457">
        <f>COMPOSITE!H262</f>
        <v>16560</v>
      </c>
      <c r="AW22" s="1463">
        <f>COMPOSITE!I262</f>
        <v>6210</v>
      </c>
      <c r="AX22" s="1477"/>
      <c r="AY22" s="1475"/>
      <c r="AZ22" s="1475"/>
      <c r="BA22" s="1476"/>
      <c r="BB22" s="1465">
        <f>COMPOSITE!F264</f>
        <v>0</v>
      </c>
      <c r="BC22" s="1466">
        <f>COMPOSITE!G264</f>
        <v>0</v>
      </c>
      <c r="BD22" s="1466">
        <f>COMPOSITE!H264</f>
        <v>7470</v>
      </c>
      <c r="BE22" s="1467">
        <f>COMPOSITE!I264</f>
        <v>3120</v>
      </c>
    </row>
    <row r="23" spans="1:57" ht="20.100000000000001" customHeight="1">
      <c r="A23" s="1422">
        <v>42430</v>
      </c>
      <c r="B23" s="1468">
        <f>COMPOSITE!J$269</f>
        <v>0</v>
      </c>
      <c r="C23" s="1469">
        <f>COMPOSITE!K$269</f>
        <v>2000</v>
      </c>
      <c r="D23" s="1469">
        <f>COMPOSITE!L$269</f>
        <v>70274.890000000014</v>
      </c>
      <c r="E23" s="1470">
        <f>COMPOSITE!M$269</f>
        <v>23814.760000000002</v>
      </c>
      <c r="F23" s="1471">
        <f>COMPOSITE!J$252</f>
        <v>0</v>
      </c>
      <c r="G23" s="1469">
        <f>COMPOSITE!K$252</f>
        <v>0</v>
      </c>
      <c r="H23" s="1469">
        <f>COMPOSITE!L$252</f>
        <v>18577.080000000002</v>
      </c>
      <c r="I23" s="1472">
        <f>COMPOSITE!M$252</f>
        <v>6192.36</v>
      </c>
      <c r="J23" s="1473">
        <f>COMPOSITE!J$253</f>
        <v>0</v>
      </c>
      <c r="K23" s="1469">
        <f>COMPOSITE!K$253</f>
        <v>0</v>
      </c>
      <c r="L23" s="1469">
        <f>COMPOSITE!L$253</f>
        <v>2250</v>
      </c>
      <c r="M23" s="1470">
        <f>COMPOSITE!M$253</f>
        <v>750</v>
      </c>
      <c r="N23" s="1471">
        <f>COMPOSITE!J$254</f>
        <v>0</v>
      </c>
      <c r="O23" s="1469">
        <f>COMPOSITE!K$254</f>
        <v>1250</v>
      </c>
      <c r="P23" s="1469">
        <f>COMPOSITE!L$254</f>
        <v>8821.61</v>
      </c>
      <c r="Q23" s="1472">
        <f>COMPOSITE!M$254</f>
        <v>3130.86</v>
      </c>
      <c r="R23" s="1473">
        <f>COMPOSITE!J255</f>
        <v>0</v>
      </c>
      <c r="S23" s="1469">
        <f>COMPOSITE!K255</f>
        <v>0</v>
      </c>
      <c r="T23" s="1469">
        <f>COMPOSITE!L255</f>
        <v>7305.37</v>
      </c>
      <c r="U23" s="1470">
        <f>COMPOSITE!M255</f>
        <v>2473.33</v>
      </c>
      <c r="V23" s="1471">
        <f>COMPOSITE!J$256</f>
        <v>0</v>
      </c>
      <c r="W23" s="1469">
        <f>COMPOSITE!K$256</f>
        <v>0</v>
      </c>
      <c r="X23" s="1469">
        <f>COMPOSITE!L$256</f>
        <v>16338.38</v>
      </c>
      <c r="Y23" s="1472">
        <f>COMPOSITE!M$256</f>
        <v>5446.13</v>
      </c>
      <c r="Z23" s="1473">
        <f>COMPOSITE!J$257</f>
        <v>0</v>
      </c>
      <c r="AA23" s="1469">
        <f>COMPOSITE!K$257</f>
        <v>0</v>
      </c>
      <c r="AB23" s="1469">
        <f>COMPOSITE!L$257</f>
        <v>843.75</v>
      </c>
      <c r="AC23" s="1470">
        <f>COMPOSITE!M$257</f>
        <v>356.25</v>
      </c>
      <c r="AD23" s="1471">
        <f>COMPOSITE!J$259</f>
        <v>0</v>
      </c>
      <c r="AE23" s="1469">
        <f>COMPOSITE!K$259</f>
        <v>0</v>
      </c>
      <c r="AF23" s="1469">
        <f>COMPOSITE!L$259</f>
        <v>0</v>
      </c>
      <c r="AG23" s="1472">
        <f>COMPOSITE!M$259</f>
        <v>0</v>
      </c>
      <c r="AH23" s="1473">
        <f>COMPOSITE!J$258</f>
        <v>0</v>
      </c>
      <c r="AI23" s="1469">
        <f>COMPOSITE!K$258</f>
        <v>0</v>
      </c>
      <c r="AJ23" s="1469">
        <f>COMPOSITE!L$258</f>
        <v>5040.5600000000004</v>
      </c>
      <c r="AK23" s="1470">
        <f>COMPOSITE!M$258</f>
        <v>1680.19</v>
      </c>
      <c r="AL23" s="1471">
        <f>COMPOSITE!J260</f>
        <v>0</v>
      </c>
      <c r="AM23" s="1469">
        <f>COMPOSITE!K260</f>
        <v>250</v>
      </c>
      <c r="AN23" s="1469">
        <f>COMPOSITE!L260</f>
        <v>1237.5</v>
      </c>
      <c r="AO23" s="1472">
        <f>COMPOSITE!M260</f>
        <v>412.5</v>
      </c>
      <c r="AP23" s="1474"/>
      <c r="AQ23" s="1475"/>
      <c r="AR23" s="1475"/>
      <c r="AS23" s="1476"/>
      <c r="AT23" s="1462">
        <f>COMPOSITE!J262</f>
        <v>0</v>
      </c>
      <c r="AU23" s="1457">
        <f>COMPOSITE!K262</f>
        <v>500</v>
      </c>
      <c r="AV23" s="1457">
        <f>COMPOSITE!L262</f>
        <v>5971.88</v>
      </c>
      <c r="AW23" s="1463">
        <f>COMPOSITE!M262</f>
        <v>2034.38</v>
      </c>
      <c r="AX23" s="1477"/>
      <c r="AY23" s="1475"/>
      <c r="AZ23" s="1475"/>
      <c r="BA23" s="1476"/>
      <c r="BB23" s="1465">
        <f>COMPOSITE!J264</f>
        <v>0</v>
      </c>
      <c r="BC23" s="1466">
        <f>COMPOSITE!K264</f>
        <v>0</v>
      </c>
      <c r="BD23" s="1466">
        <f>COMPOSITE!L264</f>
        <v>309.38</v>
      </c>
      <c r="BE23" s="1467">
        <f>COMPOSITE!M264</f>
        <v>103.13</v>
      </c>
    </row>
    <row r="24" spans="1:57" ht="20.100000000000001" customHeight="1">
      <c r="A24" s="1422">
        <v>42461</v>
      </c>
      <c r="B24" s="1473"/>
      <c r="C24" s="1469"/>
      <c r="D24" s="1469"/>
      <c r="E24" s="1470"/>
      <c r="F24" s="1471"/>
      <c r="G24" s="1469"/>
      <c r="H24" s="1469"/>
      <c r="I24" s="1472"/>
      <c r="J24" s="1473"/>
      <c r="K24" s="1469"/>
      <c r="L24" s="1469"/>
      <c r="M24" s="1470"/>
      <c r="N24" s="1471"/>
      <c r="O24" s="1469"/>
      <c r="P24" s="1469"/>
      <c r="Q24" s="1472"/>
      <c r="R24" s="1473"/>
      <c r="S24" s="1469"/>
      <c r="T24" s="1469"/>
      <c r="U24" s="1470"/>
      <c r="V24" s="1471"/>
      <c r="W24" s="1469"/>
      <c r="X24" s="1469"/>
      <c r="Y24" s="1472"/>
      <c r="Z24" s="1473"/>
      <c r="AA24" s="1469"/>
      <c r="AB24" s="1469"/>
      <c r="AC24" s="1470"/>
      <c r="AD24" s="1471"/>
      <c r="AE24" s="1469"/>
      <c r="AF24" s="1469"/>
      <c r="AG24" s="1472"/>
      <c r="AH24" s="1473"/>
      <c r="AI24" s="1469"/>
      <c r="AJ24" s="1469"/>
      <c r="AK24" s="1470"/>
      <c r="AL24" s="1471"/>
      <c r="AM24" s="1469"/>
      <c r="AN24" s="1469"/>
      <c r="AO24" s="1472"/>
      <c r="AP24" s="1478"/>
      <c r="AQ24" s="1478"/>
      <c r="AR24" s="1478"/>
      <c r="AS24" s="1479"/>
      <c r="AT24" s="1468"/>
      <c r="AU24" s="1469"/>
      <c r="AV24" s="1469"/>
      <c r="AW24" s="1480"/>
      <c r="AX24" s="1481"/>
      <c r="AY24" s="1478"/>
      <c r="AZ24" s="1478"/>
      <c r="BA24" s="1479"/>
      <c r="BB24" s="1482"/>
      <c r="BC24" s="1483"/>
      <c r="BD24" s="1483"/>
      <c r="BE24" s="1484"/>
    </row>
    <row r="25" spans="1:57" ht="20.100000000000001" customHeight="1">
      <c r="A25" s="1422">
        <v>42491</v>
      </c>
      <c r="B25" s="1473"/>
      <c r="C25" s="1469"/>
      <c r="D25" s="1469"/>
      <c r="E25" s="1470"/>
      <c r="F25" s="1471"/>
      <c r="G25" s="1469"/>
      <c r="H25" s="1469"/>
      <c r="I25" s="1472"/>
      <c r="J25" s="1473"/>
      <c r="K25" s="1469"/>
      <c r="L25" s="1469"/>
      <c r="M25" s="1470"/>
      <c r="N25" s="1471"/>
      <c r="O25" s="1469"/>
      <c r="P25" s="1469"/>
      <c r="Q25" s="1472"/>
      <c r="R25" s="1473"/>
      <c r="S25" s="1469"/>
      <c r="T25" s="1469"/>
      <c r="U25" s="1470"/>
      <c r="V25" s="1471"/>
      <c r="W25" s="1469"/>
      <c r="X25" s="1469"/>
      <c r="Y25" s="1472"/>
      <c r="Z25" s="1473"/>
      <c r="AA25" s="1469"/>
      <c r="AB25" s="1469"/>
      <c r="AC25" s="1470"/>
      <c r="AD25" s="1471"/>
      <c r="AE25" s="1469"/>
      <c r="AF25" s="1469"/>
      <c r="AG25" s="1472"/>
      <c r="AH25" s="1473"/>
      <c r="AI25" s="1469"/>
      <c r="AJ25" s="1469"/>
      <c r="AK25" s="1470"/>
      <c r="AL25" s="1471"/>
      <c r="AM25" s="1469"/>
      <c r="AN25" s="1469"/>
      <c r="AO25" s="1472"/>
      <c r="AP25" s="1478"/>
      <c r="AQ25" s="1478"/>
      <c r="AR25" s="1478"/>
      <c r="AS25" s="1479"/>
      <c r="AT25" s="1468"/>
      <c r="AU25" s="1469"/>
      <c r="AV25" s="1469"/>
      <c r="AW25" s="1480"/>
      <c r="AX25" s="1481"/>
      <c r="AY25" s="1478"/>
      <c r="AZ25" s="1478"/>
      <c r="BA25" s="1479"/>
      <c r="BB25" s="1482"/>
      <c r="BC25" s="1483"/>
      <c r="BD25" s="1483"/>
      <c r="BE25" s="1484"/>
    </row>
    <row r="26" spans="1:57" ht="20.100000000000001" customHeight="1">
      <c r="A26" s="1422">
        <v>42522</v>
      </c>
      <c r="B26" s="1473"/>
      <c r="C26" s="1469"/>
      <c r="D26" s="1469"/>
      <c r="E26" s="1470"/>
      <c r="F26" s="1471"/>
      <c r="G26" s="1469"/>
      <c r="H26" s="1469"/>
      <c r="I26" s="1472"/>
      <c r="J26" s="1473"/>
      <c r="K26" s="1469"/>
      <c r="L26" s="1469"/>
      <c r="M26" s="1470"/>
      <c r="N26" s="1471"/>
      <c r="O26" s="1469"/>
      <c r="P26" s="1469"/>
      <c r="Q26" s="1472"/>
      <c r="R26" s="1473"/>
      <c r="S26" s="1469"/>
      <c r="T26" s="1469"/>
      <c r="U26" s="1470"/>
      <c r="V26" s="1471"/>
      <c r="W26" s="1469"/>
      <c r="X26" s="1469"/>
      <c r="Y26" s="1472"/>
      <c r="Z26" s="1473"/>
      <c r="AA26" s="1469"/>
      <c r="AB26" s="1469"/>
      <c r="AC26" s="1470"/>
      <c r="AD26" s="1471"/>
      <c r="AE26" s="1469"/>
      <c r="AF26" s="1469"/>
      <c r="AG26" s="1472"/>
      <c r="AH26" s="1473"/>
      <c r="AI26" s="1469"/>
      <c r="AJ26" s="1469"/>
      <c r="AK26" s="1470"/>
      <c r="AL26" s="1471"/>
      <c r="AM26" s="1469"/>
      <c r="AN26" s="1469"/>
      <c r="AO26" s="1472"/>
      <c r="AP26" s="1478"/>
      <c r="AQ26" s="1478"/>
      <c r="AR26" s="1478"/>
      <c r="AS26" s="1479"/>
      <c r="AT26" s="1468"/>
      <c r="AU26" s="1469"/>
      <c r="AV26" s="1469"/>
      <c r="AW26" s="1480"/>
      <c r="AX26" s="1481"/>
      <c r="AY26" s="1478"/>
      <c r="AZ26" s="1478"/>
      <c r="BA26" s="1479"/>
      <c r="BB26" s="1482"/>
      <c r="BC26" s="1483"/>
      <c r="BD26" s="1483"/>
      <c r="BE26" s="1484"/>
    </row>
    <row r="27" spans="1:57" ht="20.100000000000001" customHeight="1">
      <c r="A27" s="1422">
        <v>42552</v>
      </c>
      <c r="B27" s="1473"/>
      <c r="C27" s="1469"/>
      <c r="D27" s="1469"/>
      <c r="E27" s="1470"/>
      <c r="F27" s="1471"/>
      <c r="G27" s="1469"/>
      <c r="H27" s="1469"/>
      <c r="I27" s="1472"/>
      <c r="J27" s="1473"/>
      <c r="K27" s="1469"/>
      <c r="L27" s="1469"/>
      <c r="M27" s="1470"/>
      <c r="N27" s="1471"/>
      <c r="O27" s="1469"/>
      <c r="P27" s="1469"/>
      <c r="Q27" s="1472"/>
      <c r="R27" s="1473"/>
      <c r="S27" s="1469"/>
      <c r="T27" s="1469"/>
      <c r="U27" s="1470"/>
      <c r="V27" s="1471"/>
      <c r="W27" s="1469"/>
      <c r="X27" s="1469"/>
      <c r="Y27" s="1472"/>
      <c r="Z27" s="1473"/>
      <c r="AA27" s="1469"/>
      <c r="AB27" s="1469"/>
      <c r="AC27" s="1470"/>
      <c r="AD27" s="1471"/>
      <c r="AE27" s="1469"/>
      <c r="AF27" s="1469"/>
      <c r="AG27" s="1472"/>
      <c r="AH27" s="1473"/>
      <c r="AI27" s="1469"/>
      <c r="AJ27" s="1469"/>
      <c r="AK27" s="1470"/>
      <c r="AL27" s="1471"/>
      <c r="AM27" s="1469"/>
      <c r="AN27" s="1469"/>
      <c r="AO27" s="1472"/>
      <c r="AP27" s="1478"/>
      <c r="AQ27" s="1478"/>
      <c r="AR27" s="1478"/>
      <c r="AS27" s="1479"/>
      <c r="AT27" s="1468"/>
      <c r="AU27" s="1469"/>
      <c r="AV27" s="1469"/>
      <c r="AW27" s="1480"/>
      <c r="AX27" s="1481"/>
      <c r="AY27" s="1478"/>
      <c r="AZ27" s="1478"/>
      <c r="BA27" s="1479"/>
      <c r="BB27" s="1482"/>
      <c r="BC27" s="1483"/>
      <c r="BD27" s="1483"/>
      <c r="BE27" s="1484"/>
    </row>
    <row r="28" spans="1:57" ht="20.100000000000001" customHeight="1">
      <c r="A28" s="1422">
        <v>42583</v>
      </c>
      <c r="B28" s="1473"/>
      <c r="C28" s="1469"/>
      <c r="D28" s="1469"/>
      <c r="E28" s="1470"/>
      <c r="F28" s="1471"/>
      <c r="G28" s="1469"/>
      <c r="H28" s="1469"/>
      <c r="I28" s="1472"/>
      <c r="J28" s="1473"/>
      <c r="K28" s="1469"/>
      <c r="L28" s="1469"/>
      <c r="M28" s="1470"/>
      <c r="N28" s="1471"/>
      <c r="O28" s="1469"/>
      <c r="P28" s="1469"/>
      <c r="Q28" s="1472"/>
      <c r="R28" s="1473"/>
      <c r="S28" s="1469"/>
      <c r="T28" s="1469"/>
      <c r="U28" s="1470"/>
      <c r="V28" s="1471"/>
      <c r="W28" s="1469"/>
      <c r="X28" s="1469"/>
      <c r="Y28" s="1472"/>
      <c r="Z28" s="1473"/>
      <c r="AA28" s="1469"/>
      <c r="AB28" s="1469"/>
      <c r="AC28" s="1470"/>
      <c r="AD28" s="1471"/>
      <c r="AE28" s="1469"/>
      <c r="AF28" s="1469"/>
      <c r="AG28" s="1472"/>
      <c r="AH28" s="1473"/>
      <c r="AI28" s="1469"/>
      <c r="AJ28" s="1469"/>
      <c r="AK28" s="1470"/>
      <c r="AL28" s="1471"/>
      <c r="AM28" s="1469"/>
      <c r="AN28" s="1469"/>
      <c r="AO28" s="1472"/>
      <c r="AP28" s="1478"/>
      <c r="AQ28" s="1478"/>
      <c r="AR28" s="1478"/>
      <c r="AS28" s="1479"/>
      <c r="AT28" s="1468"/>
      <c r="AU28" s="1469"/>
      <c r="AV28" s="1469"/>
      <c r="AW28" s="1480"/>
      <c r="AX28" s="1481"/>
      <c r="AY28" s="1478"/>
      <c r="AZ28" s="1478"/>
      <c r="BA28" s="1479"/>
      <c r="BB28" s="1482"/>
      <c r="BC28" s="1483"/>
      <c r="BD28" s="1483"/>
      <c r="BE28" s="1484"/>
    </row>
    <row r="29" spans="1:57" ht="20.100000000000001" customHeight="1">
      <c r="A29" s="1422">
        <v>42614</v>
      </c>
      <c r="B29" s="1473"/>
      <c r="C29" s="1469"/>
      <c r="D29" s="1469"/>
      <c r="E29" s="1470"/>
      <c r="F29" s="1471"/>
      <c r="G29" s="1469"/>
      <c r="H29" s="1469"/>
      <c r="I29" s="1472"/>
      <c r="J29" s="1473"/>
      <c r="K29" s="1469"/>
      <c r="L29" s="1469"/>
      <c r="M29" s="1470"/>
      <c r="N29" s="1471"/>
      <c r="O29" s="1469"/>
      <c r="P29" s="1469"/>
      <c r="Q29" s="1472"/>
      <c r="R29" s="1473"/>
      <c r="S29" s="1469"/>
      <c r="T29" s="1469"/>
      <c r="U29" s="1470"/>
      <c r="V29" s="1471"/>
      <c r="W29" s="1469"/>
      <c r="X29" s="1469"/>
      <c r="Y29" s="1472"/>
      <c r="Z29" s="1473"/>
      <c r="AA29" s="1469"/>
      <c r="AB29" s="1469"/>
      <c r="AC29" s="1470"/>
      <c r="AD29" s="1471"/>
      <c r="AE29" s="1469"/>
      <c r="AF29" s="1469"/>
      <c r="AG29" s="1472"/>
      <c r="AH29" s="1473"/>
      <c r="AI29" s="1469"/>
      <c r="AJ29" s="1469"/>
      <c r="AK29" s="1470"/>
      <c r="AL29" s="1471"/>
      <c r="AM29" s="1469"/>
      <c r="AN29" s="1469"/>
      <c r="AO29" s="1472"/>
      <c r="AP29" s="1478"/>
      <c r="AQ29" s="1478"/>
      <c r="AR29" s="1478"/>
      <c r="AS29" s="1479"/>
      <c r="AT29" s="1468"/>
      <c r="AU29" s="1469"/>
      <c r="AV29" s="1469"/>
      <c r="AW29" s="1480"/>
      <c r="AX29" s="1481"/>
      <c r="AY29" s="1478"/>
      <c r="AZ29" s="1478"/>
      <c r="BA29" s="1479"/>
      <c r="BB29" s="1482"/>
      <c r="BC29" s="1483"/>
      <c r="BD29" s="1483"/>
      <c r="BE29" s="1484"/>
    </row>
    <row r="30" spans="1:57" ht="20.100000000000001" customHeight="1">
      <c r="A30" s="1422">
        <v>42644</v>
      </c>
      <c r="B30" s="1473"/>
      <c r="C30" s="1469"/>
      <c r="D30" s="1469"/>
      <c r="E30" s="1470"/>
      <c r="F30" s="1471"/>
      <c r="G30" s="1469"/>
      <c r="H30" s="1469"/>
      <c r="I30" s="1472"/>
      <c r="J30" s="1473"/>
      <c r="K30" s="1469"/>
      <c r="L30" s="1469"/>
      <c r="M30" s="1470"/>
      <c r="N30" s="1471"/>
      <c r="O30" s="1469"/>
      <c r="P30" s="1469"/>
      <c r="Q30" s="1472"/>
      <c r="R30" s="1473"/>
      <c r="S30" s="1469"/>
      <c r="T30" s="1469"/>
      <c r="U30" s="1470"/>
      <c r="V30" s="1471"/>
      <c r="W30" s="1469"/>
      <c r="X30" s="1469"/>
      <c r="Y30" s="1472"/>
      <c r="Z30" s="1473"/>
      <c r="AA30" s="1469"/>
      <c r="AB30" s="1469"/>
      <c r="AC30" s="1470"/>
      <c r="AD30" s="1471"/>
      <c r="AE30" s="1469"/>
      <c r="AF30" s="1469"/>
      <c r="AG30" s="1472"/>
      <c r="AH30" s="1473"/>
      <c r="AI30" s="1469"/>
      <c r="AJ30" s="1469"/>
      <c r="AK30" s="1470"/>
      <c r="AL30" s="1471"/>
      <c r="AM30" s="1469"/>
      <c r="AN30" s="1469"/>
      <c r="AO30" s="1472"/>
      <c r="AP30" s="1478"/>
      <c r="AQ30" s="1478"/>
      <c r="AR30" s="1478"/>
      <c r="AS30" s="1479"/>
      <c r="AT30" s="1468"/>
      <c r="AU30" s="1469"/>
      <c r="AV30" s="1469"/>
      <c r="AW30" s="1480"/>
      <c r="AX30" s="1481"/>
      <c r="AY30" s="1478"/>
      <c r="AZ30" s="1478"/>
      <c r="BA30" s="1479"/>
      <c r="BB30" s="1482"/>
      <c r="BC30" s="1483"/>
      <c r="BD30" s="1483"/>
      <c r="BE30" s="1484"/>
    </row>
    <row r="31" spans="1:57" ht="20.100000000000001" customHeight="1">
      <c r="A31" s="1422">
        <v>42675</v>
      </c>
      <c r="B31" s="1473"/>
      <c r="C31" s="1469"/>
      <c r="D31" s="1469"/>
      <c r="E31" s="1470"/>
      <c r="F31" s="1471"/>
      <c r="G31" s="1469"/>
      <c r="H31" s="1469"/>
      <c r="I31" s="1472"/>
      <c r="J31" s="1473"/>
      <c r="K31" s="1469"/>
      <c r="L31" s="1469"/>
      <c r="M31" s="1470"/>
      <c r="N31" s="1471"/>
      <c r="O31" s="1469"/>
      <c r="P31" s="1469"/>
      <c r="Q31" s="1472"/>
      <c r="R31" s="1473"/>
      <c r="S31" s="1469"/>
      <c r="T31" s="1469"/>
      <c r="U31" s="1470"/>
      <c r="V31" s="1471"/>
      <c r="W31" s="1469"/>
      <c r="X31" s="1469"/>
      <c r="Y31" s="1472"/>
      <c r="Z31" s="1473"/>
      <c r="AA31" s="1469"/>
      <c r="AB31" s="1469"/>
      <c r="AC31" s="1470"/>
      <c r="AD31" s="1471"/>
      <c r="AE31" s="1469"/>
      <c r="AF31" s="1469"/>
      <c r="AG31" s="1472"/>
      <c r="AH31" s="1473"/>
      <c r="AI31" s="1469"/>
      <c r="AJ31" s="1469"/>
      <c r="AK31" s="1470"/>
      <c r="AL31" s="1485"/>
      <c r="AM31" s="1486"/>
      <c r="AN31" s="1486"/>
      <c r="AO31" s="1487"/>
      <c r="AP31" s="1488"/>
      <c r="AQ31" s="1488"/>
      <c r="AR31" s="1488"/>
      <c r="AS31" s="1489"/>
      <c r="AT31" s="1490"/>
      <c r="AU31" s="1486"/>
      <c r="AV31" s="1486"/>
      <c r="AW31" s="1491"/>
      <c r="AX31" s="1492"/>
      <c r="AY31" s="1488"/>
      <c r="AZ31" s="1488"/>
      <c r="BA31" s="1489"/>
      <c r="BB31" s="1482"/>
      <c r="BC31" s="1483"/>
      <c r="BD31" s="1483"/>
      <c r="BE31" s="1484"/>
    </row>
    <row r="32" spans="1:57" ht="20.100000000000001" customHeight="1">
      <c r="A32" s="1423">
        <v>42705</v>
      </c>
      <c r="B32" s="1493"/>
      <c r="C32" s="1494"/>
      <c r="D32" s="1494"/>
      <c r="E32" s="1495"/>
      <c r="F32" s="1496"/>
      <c r="G32" s="1494"/>
      <c r="H32" s="1494"/>
      <c r="I32" s="1497"/>
      <c r="J32" s="1493"/>
      <c r="K32" s="1494"/>
      <c r="L32" s="1494"/>
      <c r="M32" s="1495"/>
      <c r="N32" s="1496"/>
      <c r="O32" s="1494"/>
      <c r="P32" s="1494"/>
      <c r="Q32" s="1497"/>
      <c r="R32" s="1493"/>
      <c r="S32" s="1494"/>
      <c r="T32" s="1494"/>
      <c r="U32" s="1495"/>
      <c r="V32" s="1496"/>
      <c r="W32" s="1494"/>
      <c r="X32" s="1494"/>
      <c r="Y32" s="1497"/>
      <c r="Z32" s="1493"/>
      <c r="AA32" s="1494"/>
      <c r="AB32" s="1494"/>
      <c r="AC32" s="1495"/>
      <c r="AD32" s="1496"/>
      <c r="AE32" s="1494"/>
      <c r="AF32" s="1494"/>
      <c r="AG32" s="1497"/>
      <c r="AH32" s="1493"/>
      <c r="AI32" s="1494"/>
      <c r="AJ32" s="1494"/>
      <c r="AK32" s="1495"/>
      <c r="AL32" s="1498"/>
      <c r="AM32" s="1499"/>
      <c r="AN32" s="1499"/>
      <c r="AO32" s="1500"/>
      <c r="AP32" s="1501"/>
      <c r="AQ32" s="1501"/>
      <c r="AR32" s="1501"/>
      <c r="AS32" s="1502"/>
      <c r="AT32" s="1503"/>
      <c r="AU32" s="1499"/>
      <c r="AV32" s="1499"/>
      <c r="AW32" s="1504"/>
      <c r="AX32" s="1505"/>
      <c r="AY32" s="1501"/>
      <c r="AZ32" s="1501"/>
      <c r="BA32" s="1502"/>
      <c r="BB32" s="1506"/>
      <c r="BC32" s="1507"/>
      <c r="BD32" s="1507"/>
      <c r="BE32" s="1508"/>
    </row>
    <row r="33" spans="1:57" ht="20.100000000000001" customHeight="1" thickBot="1">
      <c r="A33" s="1509" t="s">
        <v>277</v>
      </c>
      <c r="B33" s="1510">
        <f>SUM(B21:B32)</f>
        <v>0</v>
      </c>
      <c r="C33" s="1511">
        <f t="shared" ref="C33:M33" si="2">SUM(C21:C32)</f>
        <v>8952.5</v>
      </c>
      <c r="D33" s="1512">
        <f t="shared" si="2"/>
        <v>223455.68000000002</v>
      </c>
      <c r="E33" s="1513">
        <f t="shared" si="2"/>
        <v>88535.55</v>
      </c>
      <c r="F33" s="1514">
        <f t="shared" si="2"/>
        <v>0</v>
      </c>
      <c r="G33" s="1515">
        <f t="shared" si="2"/>
        <v>0</v>
      </c>
      <c r="H33" s="1516">
        <f t="shared" si="2"/>
        <v>67763.7</v>
      </c>
      <c r="I33" s="1517">
        <f t="shared" si="2"/>
        <v>26057.97</v>
      </c>
      <c r="J33" s="1510">
        <f t="shared" si="2"/>
        <v>0</v>
      </c>
      <c r="K33" s="1511">
        <f t="shared" si="2"/>
        <v>0</v>
      </c>
      <c r="L33" s="1512">
        <f t="shared" si="2"/>
        <v>3000</v>
      </c>
      <c r="M33" s="1513">
        <f t="shared" si="2"/>
        <v>1050</v>
      </c>
      <c r="N33" s="1510">
        <f t="shared" ref="N33:AJ33" si="3">SUM(N21:N32)</f>
        <v>0</v>
      </c>
      <c r="O33" s="1511">
        <f t="shared" si="3"/>
        <v>1750</v>
      </c>
      <c r="P33" s="1512">
        <f t="shared" si="3"/>
        <v>25278.600000000002</v>
      </c>
      <c r="Q33" s="1513">
        <f t="shared" si="3"/>
        <v>10083.68</v>
      </c>
      <c r="R33" s="1510">
        <f>SUM(R21:R32)</f>
        <v>0</v>
      </c>
      <c r="S33" s="1511">
        <f>SUM(S21:S32)</f>
        <v>0</v>
      </c>
      <c r="T33" s="1512">
        <f>SUM(T21:T32)</f>
        <v>15507.55</v>
      </c>
      <c r="U33" s="1513">
        <f>SUM(U21:U32)</f>
        <v>6072.28</v>
      </c>
      <c r="V33" s="1510">
        <f t="shared" si="3"/>
        <v>0</v>
      </c>
      <c r="W33" s="1511">
        <f t="shared" si="3"/>
        <v>750</v>
      </c>
      <c r="X33" s="1512">
        <f t="shared" si="3"/>
        <v>35949.479999999996</v>
      </c>
      <c r="Y33" s="1513">
        <f t="shared" si="3"/>
        <v>13353.85</v>
      </c>
      <c r="Z33" s="1510">
        <f t="shared" si="3"/>
        <v>0</v>
      </c>
      <c r="AA33" s="1511">
        <f t="shared" si="3"/>
        <v>4202.5</v>
      </c>
      <c r="AB33" s="1512">
        <f t="shared" si="3"/>
        <v>3116.25</v>
      </c>
      <c r="AC33" s="1513">
        <f t="shared" si="3"/>
        <v>1496.25</v>
      </c>
      <c r="AD33" s="1510">
        <f t="shared" si="3"/>
        <v>0</v>
      </c>
      <c r="AE33" s="1511">
        <f t="shared" si="3"/>
        <v>0</v>
      </c>
      <c r="AF33" s="1512">
        <f t="shared" si="3"/>
        <v>0</v>
      </c>
      <c r="AG33" s="1513">
        <f t="shared" si="3"/>
        <v>0</v>
      </c>
      <c r="AH33" s="1510">
        <f t="shared" si="3"/>
        <v>0</v>
      </c>
      <c r="AI33" s="1511">
        <f t="shared" si="3"/>
        <v>0</v>
      </c>
      <c r="AJ33" s="1512">
        <f t="shared" si="3"/>
        <v>18028.21</v>
      </c>
      <c r="AK33" s="1513">
        <f t="shared" ref="AK33:BD33" si="4">SUM(AK21:AK32)</f>
        <v>6489</v>
      </c>
      <c r="AL33" s="1518">
        <f t="shared" si="4"/>
        <v>0</v>
      </c>
      <c r="AM33" s="1511">
        <f t="shared" si="4"/>
        <v>750</v>
      </c>
      <c r="AN33" s="1512">
        <f t="shared" si="4"/>
        <v>8756.25</v>
      </c>
      <c r="AO33" s="1512">
        <f t="shared" si="4"/>
        <v>3796.88</v>
      </c>
      <c r="AP33" s="1510">
        <f t="shared" si="4"/>
        <v>0</v>
      </c>
      <c r="AQ33" s="1511">
        <f t="shared" si="4"/>
        <v>0</v>
      </c>
      <c r="AR33" s="1512">
        <f t="shared" si="4"/>
        <v>0</v>
      </c>
      <c r="AS33" s="1513">
        <f t="shared" si="4"/>
        <v>0</v>
      </c>
      <c r="AT33" s="1510">
        <f t="shared" si="4"/>
        <v>0</v>
      </c>
      <c r="AU33" s="1511">
        <f t="shared" si="4"/>
        <v>1500</v>
      </c>
      <c r="AV33" s="1512">
        <f t="shared" si="4"/>
        <v>31231.88</v>
      </c>
      <c r="AW33" s="1513">
        <f t="shared" si="4"/>
        <v>13464.380000000001</v>
      </c>
      <c r="AX33" s="1510">
        <f>SUM(AX21:AX32)</f>
        <v>0</v>
      </c>
      <c r="AY33" s="1511">
        <f>SUM(AY21:AY32)</f>
        <v>0</v>
      </c>
      <c r="AZ33" s="1512">
        <f>SUM(AZ21:AZ32)</f>
        <v>0</v>
      </c>
      <c r="BA33" s="1513">
        <f>SUM(BA21:BA32)</f>
        <v>0</v>
      </c>
      <c r="BB33" s="1519">
        <f t="shared" si="4"/>
        <v>0</v>
      </c>
      <c r="BC33" s="1520">
        <f t="shared" si="4"/>
        <v>0</v>
      </c>
      <c r="BD33" s="1521">
        <f t="shared" si="4"/>
        <v>9879.3799999999992</v>
      </c>
      <c r="BE33" s="1522">
        <f>SUM(BE21:BE32)</f>
        <v>4783.13</v>
      </c>
    </row>
    <row r="34" spans="1:57" ht="20.100000000000001" customHeight="1" thickTop="1">
      <c r="A34" s="842"/>
      <c r="B34" s="843"/>
      <c r="C34" s="843"/>
      <c r="D34" s="843"/>
      <c r="E34" s="843"/>
      <c r="F34" s="843"/>
      <c r="G34" s="843"/>
      <c r="H34" s="843"/>
      <c r="I34" s="843"/>
      <c r="J34" s="843"/>
      <c r="K34" s="843"/>
      <c r="L34" s="843"/>
      <c r="M34" s="843"/>
      <c r="N34" s="843"/>
      <c r="O34" s="843"/>
      <c r="P34" s="843"/>
      <c r="Q34" s="843"/>
      <c r="R34" s="843"/>
      <c r="S34" s="843"/>
      <c r="T34" s="843"/>
      <c r="U34" s="843"/>
      <c r="V34" s="843"/>
      <c r="W34" s="843"/>
      <c r="X34" s="843"/>
      <c r="Y34" s="843"/>
      <c r="Z34" s="843"/>
      <c r="AA34" s="843"/>
      <c r="AB34" s="843"/>
      <c r="AC34" s="843"/>
      <c r="AD34" s="843"/>
      <c r="AE34" s="843"/>
      <c r="AF34" s="843"/>
      <c r="AG34" s="843"/>
      <c r="AH34" s="843"/>
      <c r="AI34" s="843"/>
      <c r="AJ34" s="843"/>
      <c r="AK34" s="843"/>
      <c r="AL34" s="843"/>
      <c r="AM34" s="843"/>
      <c r="AN34" s="843"/>
      <c r="AO34" s="843"/>
      <c r="AP34" s="843"/>
      <c r="AQ34" s="843"/>
      <c r="AR34" s="843"/>
      <c r="AS34" s="843"/>
      <c r="AT34" s="843"/>
      <c r="AU34" s="843"/>
      <c r="AV34" s="843"/>
      <c r="AW34" s="843"/>
      <c r="AX34" s="844"/>
      <c r="AY34" s="844"/>
      <c r="AZ34" s="844"/>
      <c r="BA34" s="844"/>
      <c r="BB34" s="844"/>
      <c r="BC34" s="844"/>
      <c r="BD34" s="844"/>
      <c r="BE34" s="844"/>
    </row>
    <row r="35" spans="1:57" ht="20.100000000000001" customHeight="1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5"/>
      <c r="BC35" s="135"/>
      <c r="BD35" s="135"/>
      <c r="BE35" s="135"/>
    </row>
    <row r="36" spans="1:57" ht="20.100000000000001" customHeight="1"/>
    <row r="37" spans="1:57" ht="20.100000000000001" customHeight="1"/>
    <row r="38" spans="1:57" ht="20.100000000000001" customHeight="1"/>
    <row r="39" spans="1:57" ht="20.100000000000001" customHeight="1"/>
    <row r="40" spans="1:57" ht="20.100000000000001" customHeight="1"/>
    <row r="41" spans="1:57" ht="20.100000000000001" customHeight="1"/>
    <row r="42" spans="1:57" ht="20.100000000000001" customHeight="1"/>
    <row r="43" spans="1:57" ht="20.100000000000001" customHeight="1"/>
    <row r="44" spans="1:57" ht="20.100000000000001" customHeight="1"/>
    <row r="45" spans="1:57" ht="20.100000000000001" customHeight="1"/>
    <row r="46" spans="1:57" ht="20.100000000000001" customHeight="1"/>
    <row r="47" spans="1:57" ht="20.100000000000001" customHeight="1"/>
    <row r="48" spans="1:57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</sheetData>
  <mergeCells count="30">
    <mergeCell ref="AX2:BA2"/>
    <mergeCell ref="AX19:BA19"/>
    <mergeCell ref="J2:M2"/>
    <mergeCell ref="B19:E19"/>
    <mergeCell ref="AT2:AW2"/>
    <mergeCell ref="AT19:AW19"/>
    <mergeCell ref="F19:I19"/>
    <mergeCell ref="J19:M19"/>
    <mergeCell ref="AL2:AO2"/>
    <mergeCell ref="AL19:AO19"/>
    <mergeCell ref="AP2:AS2"/>
    <mergeCell ref="AP19:AS19"/>
    <mergeCell ref="R2:U2"/>
    <mergeCell ref="R19:U19"/>
    <mergeCell ref="BB2:BE2"/>
    <mergeCell ref="BB19:BE19"/>
    <mergeCell ref="A2:A3"/>
    <mergeCell ref="A19:A20"/>
    <mergeCell ref="AH2:AK2"/>
    <mergeCell ref="AH19:AK19"/>
    <mergeCell ref="Z2:AC2"/>
    <mergeCell ref="Z19:AC19"/>
    <mergeCell ref="AD2:AG2"/>
    <mergeCell ref="AD19:AG19"/>
    <mergeCell ref="N19:Q19"/>
    <mergeCell ref="V19:Y19"/>
    <mergeCell ref="N2:Q2"/>
    <mergeCell ref="V2:Y2"/>
    <mergeCell ref="B2:E2"/>
    <mergeCell ref="F2:I2"/>
  </mergeCells>
  <conditionalFormatting sqref="F34:AG34">
    <cfRule type="colorScale" priority="90">
      <colorScale>
        <cfvo type="min"/>
        <cfvo type="max"/>
        <color rgb="FFFCFCFF"/>
        <color rgb="FFF8696B"/>
      </colorScale>
    </cfRule>
  </conditionalFormatting>
  <conditionalFormatting sqref="AH34:AK34">
    <cfRule type="colorScale" priority="5">
      <colorScale>
        <cfvo type="min"/>
        <cfvo type="max"/>
        <color rgb="FFFCFCFF"/>
        <color rgb="FFF8696B"/>
      </colorScale>
    </cfRule>
  </conditionalFormatting>
  <conditionalFormatting sqref="AL34:AO34">
    <cfRule type="colorScale" priority="4">
      <colorScale>
        <cfvo type="min"/>
        <cfvo type="max"/>
        <color rgb="FFFCFCFF"/>
        <color rgb="FFF8696B"/>
      </colorScale>
    </cfRule>
  </conditionalFormatting>
  <conditionalFormatting sqref="AP34:AW34">
    <cfRule type="colorScale" priority="3">
      <colorScale>
        <cfvo type="min"/>
        <cfvo type="max"/>
        <color rgb="FFFCFCFF"/>
        <color rgb="FFF8696B"/>
      </colorScale>
    </cfRule>
  </conditionalFormatting>
  <printOptions verticalCentered="1"/>
  <pageMargins left="0" right="0" top="0" bottom="0" header="0" footer="0"/>
  <pageSetup paperSize="5" scale="54" fitToWidth="2" orientation="landscape" horizontalDpi="1200" verticalDpi="1200" r:id="rId1"/>
  <colBreaks count="1" manualBreakCount="1">
    <brk id="29" max="54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3" tint="-0.499984740745262"/>
    <pageSetUpPr fitToPage="1"/>
  </sheetPr>
  <dimension ref="A1:Y104"/>
  <sheetViews>
    <sheetView workbookViewId="0"/>
  </sheetViews>
  <sheetFormatPr defaultColWidth="9.140625" defaultRowHeight="15"/>
  <cols>
    <col min="1" max="1" width="0.85546875" style="23" customWidth="1"/>
    <col min="2" max="6" width="12.7109375" style="23" customWidth="1"/>
    <col min="7" max="7" width="13.5703125" style="23" customWidth="1"/>
    <col min="8" max="10" width="12.7109375" style="23" customWidth="1"/>
    <col min="11" max="11" width="17.28515625" style="23" customWidth="1"/>
    <col min="12" max="12" width="16.7109375" style="23" customWidth="1"/>
    <col min="13" max="16" width="12.7109375" style="23" customWidth="1"/>
    <col min="17" max="17" width="14.85546875" style="23" customWidth="1"/>
    <col min="18" max="18" width="14.7109375" style="23" customWidth="1"/>
    <col min="19" max="25" width="12.7109375" style="23" customWidth="1"/>
    <col min="26" max="16384" width="9.140625" style="23"/>
  </cols>
  <sheetData>
    <row r="1" spans="1:18" ht="6" customHeight="1" thickBot="1">
      <c r="A1" s="787"/>
    </row>
    <row r="2" spans="1:18" ht="24.95" customHeight="1" thickTop="1">
      <c r="K2" s="1224"/>
      <c r="L2" s="1225" t="s">
        <v>283</v>
      </c>
      <c r="N2" s="186"/>
      <c r="O2" s="186"/>
      <c r="P2" s="186"/>
      <c r="Q2" s="186"/>
    </row>
    <row r="3" spans="1:18" ht="24.95" customHeight="1">
      <c r="K3" s="1226" t="s">
        <v>6</v>
      </c>
      <c r="L3" s="1227"/>
      <c r="N3" s="186"/>
      <c r="O3" s="186"/>
      <c r="P3" s="186"/>
      <c r="Q3" s="186"/>
    </row>
    <row r="4" spans="1:18" ht="24.95" customHeight="1">
      <c r="K4" s="1226" t="s">
        <v>29</v>
      </c>
      <c r="L4" s="1227"/>
      <c r="N4" s="186"/>
      <c r="O4" s="186"/>
      <c r="P4" s="186"/>
      <c r="Q4" s="186"/>
    </row>
    <row r="5" spans="1:18" ht="24.95" customHeight="1">
      <c r="K5" s="1226" t="s">
        <v>41</v>
      </c>
      <c r="L5" s="1227"/>
      <c r="N5" s="186"/>
      <c r="O5" s="186"/>
      <c r="P5" s="186"/>
      <c r="Q5" s="186"/>
    </row>
    <row r="6" spans="1:18" ht="24.95" customHeight="1">
      <c r="K6" s="1226" t="s">
        <v>9</v>
      </c>
      <c r="L6" s="1227"/>
      <c r="N6" s="186"/>
      <c r="O6" s="186"/>
      <c r="P6" s="186"/>
      <c r="Q6" s="186"/>
    </row>
    <row r="7" spans="1:18" ht="24.95" customHeight="1">
      <c r="K7" s="1226" t="s">
        <v>84</v>
      </c>
      <c r="L7" s="1228"/>
      <c r="N7" s="186"/>
      <c r="O7" s="186"/>
      <c r="P7" s="186"/>
      <c r="Q7" s="186"/>
      <c r="R7" s="430"/>
    </row>
    <row r="8" spans="1:18" ht="24.95" customHeight="1">
      <c r="K8" s="1226" t="s">
        <v>28</v>
      </c>
      <c r="L8" s="1227"/>
      <c r="N8" s="186"/>
      <c r="O8" s="186"/>
      <c r="P8" s="186"/>
      <c r="Q8" s="186"/>
    </row>
    <row r="9" spans="1:18" ht="24.95" customHeight="1">
      <c r="K9" s="1226" t="s">
        <v>219</v>
      </c>
      <c r="L9" s="1227"/>
      <c r="N9" s="186"/>
      <c r="O9" s="186"/>
      <c r="P9" s="186"/>
      <c r="Q9" s="186"/>
    </row>
    <row r="10" spans="1:18" ht="24.95" customHeight="1">
      <c r="K10" s="1226" t="s">
        <v>372</v>
      </c>
      <c r="L10" s="1227"/>
      <c r="N10" s="186"/>
      <c r="O10" s="186"/>
      <c r="P10" s="186"/>
      <c r="Q10" s="186"/>
    </row>
    <row r="11" spans="1:18" ht="24.95" customHeight="1">
      <c r="K11" s="1226" t="s">
        <v>30</v>
      </c>
      <c r="L11" s="1227"/>
      <c r="N11" s="186"/>
      <c r="O11" s="186"/>
      <c r="P11" s="186"/>
      <c r="Q11" s="186"/>
    </row>
    <row r="12" spans="1:18" ht="24.95" customHeight="1">
      <c r="K12" s="1229" t="s">
        <v>314</v>
      </c>
      <c r="L12" s="1227"/>
      <c r="N12" s="186"/>
      <c r="O12" s="186"/>
      <c r="P12" s="186"/>
      <c r="Q12" s="186"/>
    </row>
    <row r="13" spans="1:18" ht="24.95" customHeight="1">
      <c r="K13" s="1226" t="s">
        <v>85</v>
      </c>
      <c r="L13" s="1227"/>
      <c r="N13" s="186"/>
      <c r="O13" s="186"/>
      <c r="P13" s="186"/>
      <c r="Q13" s="186"/>
    </row>
    <row r="14" spans="1:18" ht="24.95" customHeight="1">
      <c r="K14" s="1226" t="s">
        <v>252</v>
      </c>
      <c r="L14" s="1227"/>
      <c r="N14" s="186"/>
      <c r="O14" s="186"/>
      <c r="P14" s="186"/>
      <c r="Q14" s="186"/>
    </row>
    <row r="15" spans="1:18" ht="24.95" customHeight="1">
      <c r="K15" s="1226" t="s">
        <v>301</v>
      </c>
      <c r="L15" s="1227"/>
      <c r="N15" s="186"/>
      <c r="O15" s="186"/>
      <c r="P15" s="186"/>
      <c r="Q15" s="186"/>
    </row>
    <row r="16" spans="1:18" ht="24.95" customHeight="1">
      <c r="K16" s="1226" t="s">
        <v>81</v>
      </c>
      <c r="L16" s="1227"/>
      <c r="N16" s="186"/>
      <c r="O16" s="186"/>
      <c r="P16" s="186"/>
      <c r="Q16" s="186"/>
    </row>
    <row r="17" spans="2:25" ht="24.95" customHeight="1">
      <c r="K17" s="1230" t="s">
        <v>446</v>
      </c>
      <c r="L17" s="1231"/>
      <c r="N17" s="186"/>
      <c r="O17" s="186"/>
      <c r="P17" s="186"/>
      <c r="Q17" s="186"/>
    </row>
    <row r="18" spans="2:25" ht="24.95" customHeight="1" thickBot="1">
      <c r="K18" s="1232" t="s">
        <v>278</v>
      </c>
      <c r="L18" s="1233"/>
      <c r="N18" s="186"/>
      <c r="O18" s="186"/>
      <c r="P18" s="186"/>
      <c r="Q18" s="186"/>
    </row>
    <row r="19" spans="2:25" ht="24.95" customHeight="1" thickTop="1">
      <c r="C19" s="144"/>
    </row>
    <row r="20" spans="2:25" ht="24.95" customHeight="1" thickBot="1">
      <c r="C20" s="144"/>
    </row>
    <row r="21" spans="2:25" ht="32.25" customHeight="1" thickTop="1">
      <c r="B21" s="1219" t="s">
        <v>276</v>
      </c>
      <c r="C21" s="1220" t="s">
        <v>291</v>
      </c>
      <c r="D21" s="1221" t="s">
        <v>275</v>
      </c>
      <c r="E21" s="1221" t="s">
        <v>29</v>
      </c>
      <c r="F21" s="1221" t="s">
        <v>41</v>
      </c>
      <c r="G21" s="1221" t="s">
        <v>9</v>
      </c>
      <c r="H21" s="1221" t="s">
        <v>474</v>
      </c>
      <c r="I21" s="1221" t="s">
        <v>475</v>
      </c>
      <c r="J21" s="1221" t="s">
        <v>476</v>
      </c>
      <c r="K21" s="1221" t="s">
        <v>477</v>
      </c>
      <c r="L21" s="1222" t="s">
        <v>478</v>
      </c>
      <c r="M21" s="1221" t="s">
        <v>479</v>
      </c>
      <c r="N21" s="1222" t="s">
        <v>480</v>
      </c>
      <c r="O21" s="1221" t="s">
        <v>490</v>
      </c>
      <c r="P21" s="1221" t="s">
        <v>487</v>
      </c>
      <c r="Q21" s="1221" t="s">
        <v>488</v>
      </c>
      <c r="R21" s="1221" t="s">
        <v>473</v>
      </c>
      <c r="S21" s="1222" t="s">
        <v>468</v>
      </c>
      <c r="T21" s="1222" t="s">
        <v>491</v>
      </c>
      <c r="U21" s="1222" t="s">
        <v>470</v>
      </c>
      <c r="V21" s="1222" t="s">
        <v>471</v>
      </c>
      <c r="W21" s="1222" t="s">
        <v>472</v>
      </c>
      <c r="X21" s="1222" t="s">
        <v>486</v>
      </c>
      <c r="Y21" s="1223" t="s">
        <v>489</v>
      </c>
    </row>
    <row r="22" spans="2:25" ht="24.95" customHeight="1">
      <c r="B22" s="1234">
        <v>42370</v>
      </c>
      <c r="C22" s="1907">
        <f>COMPOSITE!$D$367</f>
        <v>57.641668336047843</v>
      </c>
      <c r="D22" s="1907">
        <f>COMPOSITE!$D$344</f>
        <v>-4.480000000000004</v>
      </c>
      <c r="E22" s="1907">
        <f>COMPOSITE!$D$345</f>
        <v>39.300000000000011</v>
      </c>
      <c r="F22" s="1907">
        <f>COMPOSITE!$D$346</f>
        <v>66.81</v>
      </c>
      <c r="G22" s="1907">
        <f>COMPOSITE!$D$347</f>
        <v>9.0299999999999727</v>
      </c>
      <c r="H22" s="1907">
        <f>COMPOSITE!$D$348</f>
        <v>37.480000000000004</v>
      </c>
      <c r="I22" s="1907">
        <f>COMPOSITE!D349</f>
        <v>-197.87</v>
      </c>
      <c r="J22" s="1907">
        <f>COMPOSITE!$D$350</f>
        <v>16.849999999999994</v>
      </c>
      <c r="K22" s="1907">
        <f>COMPOSITE!$D$351</f>
        <v>52.265384615384619</v>
      </c>
      <c r="L22" s="1907">
        <f>COMPOSITE!$D$352</f>
        <v>71.129999999999967</v>
      </c>
      <c r="M22" s="1907">
        <f>COMPOSITE!$D$353</f>
        <v>63.418811188811191</v>
      </c>
      <c r="N22" s="1907">
        <f>COMPOSITE!$D$354</f>
        <v>22.360000000000014</v>
      </c>
      <c r="O22" s="1907">
        <f>COMPOSITE!$D$355</f>
        <v>71.969999999999985</v>
      </c>
      <c r="P22" s="1907">
        <f>COMPOSITE!$D$356</f>
        <v>22.792127894156565</v>
      </c>
      <c r="Q22" s="1907">
        <f>COMPOSITE!$D$357</f>
        <v>75.72999999999999</v>
      </c>
      <c r="R22" s="1907">
        <f>COMPOSITE!$D$358</f>
        <v>31.799999999999983</v>
      </c>
      <c r="S22" s="1907">
        <f>COMPOSITE!$D$359</f>
        <v>35.720000000000013</v>
      </c>
      <c r="T22" s="1907">
        <f>COMPOSITE!$D$360</f>
        <v>-68.759999999999991</v>
      </c>
      <c r="U22" s="1907">
        <f>COMPOSITE!$D$361</f>
        <v>-2.4731919103357143</v>
      </c>
      <c r="V22" s="1907">
        <f>COMPOSITE!$D$362</f>
        <v>-6.5595241267541837</v>
      </c>
      <c r="W22" s="1907">
        <f>COMPOSITE!$D$363</f>
        <v>-105.15168664481095</v>
      </c>
      <c r="X22" s="1907">
        <f>COMPOSITE!$D$364</f>
        <v>26.133366628249462</v>
      </c>
      <c r="Y22" s="1907">
        <f>COMPOSITE!$D$365</f>
        <v>143.33402427637719</v>
      </c>
    </row>
    <row r="23" spans="2:25" ht="24.95" customHeight="1">
      <c r="B23" s="1234">
        <v>42401</v>
      </c>
      <c r="C23" s="1907">
        <f>COMPOSITE!$G$367</f>
        <v>-12.187074616549154</v>
      </c>
      <c r="D23" s="1907">
        <f>COMPOSITE!$G$344</f>
        <v>0.70000000000001705</v>
      </c>
      <c r="E23" s="1907">
        <f>COMPOSITE!$G$345</f>
        <v>2.8199999999999932</v>
      </c>
      <c r="F23" s="1907">
        <f>COMPOSITE!$G$346</f>
        <v>-22.439999999999998</v>
      </c>
      <c r="G23" s="1907">
        <f>COMPOSITE!$G$347</f>
        <v>-77.930000000000007</v>
      </c>
      <c r="H23" s="1907">
        <f>COMPOSITE!$G$348</f>
        <v>34.06</v>
      </c>
      <c r="I23" s="1907">
        <f>COMPOSITE!G349</f>
        <v>-79.460000000000008</v>
      </c>
      <c r="J23" s="1907">
        <f>COMPOSITE!$G$350</f>
        <v>-21.810000000000002</v>
      </c>
      <c r="K23" s="1907">
        <f>COMPOSITE!$G$351</f>
        <v>0.50704014939310582</v>
      </c>
      <c r="L23" s="1907">
        <f>COMPOSITE!$G$352</f>
        <v>-13.730000000000018</v>
      </c>
      <c r="M23" s="1907">
        <f>COMPOSITE!$G$353</f>
        <v>32.7005740181269</v>
      </c>
      <c r="N23" s="1907">
        <f>COMPOSITE!$G$354</f>
        <v>-3.1700000000000017</v>
      </c>
      <c r="O23" s="1907">
        <f>COMPOSITE!$G$355</f>
        <v>-2.7000000000000028</v>
      </c>
      <c r="P23" s="1907">
        <f>COMPOSITE!$G$356</f>
        <v>5.1368702290076413</v>
      </c>
      <c r="Q23" s="1907">
        <f>COMPOSITE!$G$357</f>
        <v>-58.779999999999987</v>
      </c>
      <c r="R23" s="1907">
        <f>COMPOSITE!$G$358</f>
        <v>-25.620000000000005</v>
      </c>
      <c r="S23" s="1907">
        <f>COMPOSITE!$G$359</f>
        <v>3.0100000000000051</v>
      </c>
      <c r="T23" s="1907">
        <f>COMPOSITE!$G$360</f>
        <v>34.44</v>
      </c>
      <c r="U23" s="1907">
        <f>COMPOSITE!$G$361</f>
        <v>-65.318749996203891</v>
      </c>
      <c r="V23" s="1907">
        <f>COMPOSITE!$G$362</f>
        <v>-41.940540617146681</v>
      </c>
      <c r="W23" s="1907">
        <f>COMPOSITE!$G$363</f>
        <v>-95.949272506714948</v>
      </c>
      <c r="X23" s="1907">
        <f>COMPOSITE!$G$364</f>
        <v>39.579999999999984</v>
      </c>
      <c r="Y23" s="1907">
        <f>COMPOSITE!$G$365</f>
        <v>-49.733088803088805</v>
      </c>
    </row>
    <row r="24" spans="2:25" ht="24.95" customHeight="1">
      <c r="B24" s="1234">
        <v>42430</v>
      </c>
      <c r="C24" s="1908">
        <f>COMPOSITE!$J$367</f>
        <v>-11.83204288992556</v>
      </c>
      <c r="D24" s="1908">
        <f>COMPOSITE!$J$344</f>
        <v>-3.960000000000008</v>
      </c>
      <c r="E24" s="1908">
        <f>COMPOSITE!$J$345</f>
        <v>6.9699999999999989</v>
      </c>
      <c r="F24" s="1908">
        <f>COMPOSITE!$J$346</f>
        <v>-43.539999999999992</v>
      </c>
      <c r="G24" s="1908">
        <f>COMPOSITE!$J$347</f>
        <v>-88.360000000000014</v>
      </c>
      <c r="H24" s="1908">
        <f>COMPOSITE!$J$348</f>
        <v>24.83</v>
      </c>
      <c r="I24" s="1908">
        <f>COMPOSITE!J350</f>
        <v>31.910000000000011</v>
      </c>
      <c r="J24" s="1908">
        <f>COMPOSITE!$J$350</f>
        <v>31.910000000000011</v>
      </c>
      <c r="K24" s="1908">
        <f>COMPOSITE!$J$351</f>
        <v>206.84853852967228</v>
      </c>
      <c r="L24" s="1908">
        <f>COMPOSITE!$J$352</f>
        <v>2.1131437190260556</v>
      </c>
      <c r="M24" s="1908">
        <f>COMPOSITE!$J$353</f>
        <v>-22.179999999999993</v>
      </c>
      <c r="N24" s="1908">
        <f>COMPOSITE!$J$354</f>
        <v>28.590000000000003</v>
      </c>
      <c r="O24" s="1908">
        <f>COMPOSITE!$J$355</f>
        <v>-9.6000000000000085</v>
      </c>
      <c r="P24" s="1908">
        <f>COMPOSITE!$J$356</f>
        <v>0.30925753264799027</v>
      </c>
      <c r="Q24" s="1908">
        <f>COMPOSITE!$J$357</f>
        <v>12.469999999999999</v>
      </c>
      <c r="R24" s="1908">
        <f>COMPOSITE!$J$358</f>
        <v>10.5</v>
      </c>
      <c r="S24" s="1908">
        <f>COMPOSITE!$J$359</f>
        <v>-1.8699999999999903</v>
      </c>
      <c r="T24" s="1908">
        <f>COMPOSITE!$J$360</f>
        <v>-66.36999999999999</v>
      </c>
      <c r="U24" s="1908">
        <f>COMPOSITE!$J$361</f>
        <v>-92.927389182800383</v>
      </c>
      <c r="V24" s="1908">
        <f>COMPOSITE!$J$362</f>
        <v>-38.974961218726378</v>
      </c>
      <c r="W24" s="1908">
        <f>COMPOSITE!$J$363</f>
        <v>-93.086564400952113</v>
      </c>
      <c r="X24" s="1908">
        <f>COMPOSITE!$J$364</f>
        <v>-20.420000000000002</v>
      </c>
      <c r="Y24" s="1908">
        <f>COMPOSITE!$J$365</f>
        <v>35.618751371498007</v>
      </c>
    </row>
    <row r="25" spans="2:25" ht="24.95" customHeight="1">
      <c r="B25" s="1234">
        <v>42461</v>
      </c>
      <c r="C25" s="1235"/>
      <c r="D25" s="1235"/>
      <c r="E25" s="1235"/>
      <c r="F25" s="1235"/>
      <c r="G25" s="1235"/>
      <c r="H25" s="1235"/>
      <c r="I25" s="1235"/>
      <c r="J25" s="1235"/>
      <c r="K25" s="1235"/>
      <c r="L25" s="1235"/>
      <c r="M25" s="1235"/>
      <c r="N25" s="1235"/>
      <c r="O25" s="1235"/>
      <c r="P25" s="1235"/>
      <c r="Q25" s="1235"/>
      <c r="R25" s="1235"/>
      <c r="S25" s="1235"/>
      <c r="T25" s="1235"/>
      <c r="U25" s="1235"/>
      <c r="V25" s="1235"/>
      <c r="W25" s="1235"/>
      <c r="X25" s="1235"/>
      <c r="Y25" s="1235"/>
    </row>
    <row r="26" spans="2:25" ht="24.95" customHeight="1">
      <c r="B26" s="1234">
        <v>42491</v>
      </c>
      <c r="C26" s="1235"/>
      <c r="D26" s="1235"/>
      <c r="E26" s="1235"/>
      <c r="F26" s="1235"/>
      <c r="G26" s="1235"/>
      <c r="H26" s="1235"/>
      <c r="I26" s="1235"/>
      <c r="J26" s="1235"/>
      <c r="K26" s="1235"/>
      <c r="L26" s="1235"/>
      <c r="M26" s="1235"/>
      <c r="N26" s="1235"/>
      <c r="O26" s="1235"/>
      <c r="P26" s="1235"/>
      <c r="Q26" s="1235"/>
      <c r="R26" s="1235"/>
      <c r="S26" s="1235"/>
      <c r="T26" s="1235"/>
      <c r="U26" s="1235"/>
      <c r="V26" s="1235"/>
      <c r="W26" s="1235"/>
      <c r="X26" s="1235"/>
      <c r="Y26" s="1235"/>
    </row>
    <row r="27" spans="2:25" ht="24.95" customHeight="1">
      <c r="B27" s="1234">
        <v>42522</v>
      </c>
      <c r="C27" s="1235"/>
      <c r="D27" s="1235"/>
      <c r="E27" s="1235"/>
      <c r="F27" s="1235"/>
      <c r="G27" s="1235"/>
      <c r="H27" s="1235"/>
      <c r="I27" s="1235"/>
      <c r="J27" s="1235"/>
      <c r="K27" s="1235"/>
      <c r="L27" s="1235"/>
      <c r="M27" s="1235"/>
      <c r="N27" s="1235"/>
      <c r="O27" s="1235"/>
      <c r="P27" s="1235"/>
      <c r="Q27" s="1235"/>
      <c r="R27" s="1235"/>
      <c r="S27" s="1235"/>
      <c r="T27" s="1235"/>
      <c r="U27" s="1235"/>
      <c r="V27" s="1235"/>
      <c r="W27" s="1235"/>
      <c r="X27" s="1235"/>
      <c r="Y27" s="1235"/>
    </row>
    <row r="28" spans="2:25" ht="24.95" customHeight="1">
      <c r="B28" s="1234">
        <v>42552</v>
      </c>
      <c r="C28" s="1235"/>
      <c r="D28" s="1235"/>
      <c r="E28" s="1235"/>
      <c r="F28" s="1235"/>
      <c r="G28" s="1235"/>
      <c r="H28" s="1235"/>
      <c r="I28" s="1235"/>
      <c r="J28" s="1235"/>
      <c r="K28" s="1235"/>
      <c r="L28" s="1235"/>
      <c r="M28" s="1235"/>
      <c r="N28" s="1235"/>
      <c r="O28" s="1235"/>
      <c r="P28" s="1235"/>
      <c r="Q28" s="1235"/>
      <c r="R28" s="1235"/>
      <c r="S28" s="1235"/>
      <c r="T28" s="1235"/>
      <c r="U28" s="1235"/>
      <c r="V28" s="1235"/>
      <c r="W28" s="1235"/>
      <c r="X28" s="1235"/>
      <c r="Y28" s="1235"/>
    </row>
    <row r="29" spans="2:25" ht="24.95" customHeight="1">
      <c r="B29" s="1234">
        <v>42583</v>
      </c>
      <c r="C29" s="1235"/>
      <c r="D29" s="1235"/>
      <c r="E29" s="1235"/>
      <c r="F29" s="1235"/>
      <c r="G29" s="1235"/>
      <c r="H29" s="1235"/>
      <c r="I29" s="1235"/>
      <c r="J29" s="1235"/>
      <c r="K29" s="1235"/>
      <c r="L29" s="1235"/>
      <c r="M29" s="1235"/>
      <c r="N29" s="1235"/>
      <c r="O29" s="1235"/>
      <c r="P29" s="1235"/>
      <c r="Q29" s="1235"/>
      <c r="R29" s="1235"/>
      <c r="S29" s="1235"/>
      <c r="T29" s="1235"/>
      <c r="U29" s="1235"/>
      <c r="V29" s="1235"/>
      <c r="W29" s="1235"/>
      <c r="X29" s="1235"/>
      <c r="Y29" s="1235"/>
    </row>
    <row r="30" spans="2:25" ht="24.95" customHeight="1">
      <c r="B30" s="1234">
        <v>42614</v>
      </c>
      <c r="C30" s="1235"/>
      <c r="D30" s="1235"/>
      <c r="E30" s="1235"/>
      <c r="F30" s="1235"/>
      <c r="G30" s="1235"/>
      <c r="H30" s="1235"/>
      <c r="I30" s="1235"/>
      <c r="J30" s="1235"/>
      <c r="K30" s="1235"/>
      <c r="L30" s="1235"/>
      <c r="M30" s="1235"/>
      <c r="N30" s="1235"/>
      <c r="O30" s="1235"/>
      <c r="P30" s="1235"/>
      <c r="Q30" s="1235"/>
      <c r="R30" s="1235"/>
      <c r="S30" s="1235"/>
      <c r="T30" s="1235"/>
      <c r="U30" s="1235"/>
      <c r="V30" s="1235"/>
      <c r="W30" s="1235"/>
      <c r="X30" s="1235"/>
      <c r="Y30" s="1235"/>
    </row>
    <row r="31" spans="2:25" ht="24.95" customHeight="1">
      <c r="B31" s="1234">
        <v>42644</v>
      </c>
      <c r="C31" s="1235"/>
      <c r="D31" s="1235"/>
      <c r="E31" s="1235"/>
      <c r="F31" s="1235"/>
      <c r="G31" s="1235"/>
      <c r="H31" s="1235"/>
      <c r="I31" s="1235"/>
      <c r="J31" s="1235"/>
      <c r="K31" s="1235"/>
      <c r="L31" s="1235"/>
      <c r="M31" s="1235"/>
      <c r="N31" s="1235"/>
      <c r="O31" s="1235"/>
      <c r="P31" s="1235"/>
      <c r="Q31" s="1235"/>
      <c r="R31" s="1235"/>
      <c r="S31" s="1235"/>
      <c r="T31" s="1235"/>
      <c r="U31" s="1235"/>
      <c r="V31" s="1235"/>
      <c r="W31" s="1235"/>
      <c r="X31" s="1235"/>
      <c r="Y31" s="1235"/>
    </row>
    <row r="32" spans="2:25" ht="24.95" customHeight="1">
      <c r="B32" s="1234">
        <v>42675</v>
      </c>
      <c r="C32" s="1235"/>
      <c r="D32" s="1235"/>
      <c r="E32" s="1235"/>
      <c r="F32" s="1235"/>
      <c r="G32" s="1235"/>
      <c r="H32" s="1235"/>
      <c r="I32" s="1235"/>
      <c r="J32" s="1235"/>
      <c r="K32" s="1235"/>
      <c r="L32" s="1235"/>
      <c r="M32" s="1235"/>
      <c r="N32" s="1235"/>
      <c r="O32" s="1235"/>
      <c r="P32" s="1235"/>
      <c r="Q32" s="1235"/>
      <c r="R32" s="1235"/>
      <c r="S32" s="1235"/>
      <c r="T32" s="1235"/>
      <c r="U32" s="1235"/>
      <c r="V32" s="1235"/>
      <c r="W32" s="1235"/>
      <c r="X32" s="1235"/>
      <c r="Y32" s="1235"/>
    </row>
    <row r="33" spans="2:25" ht="24.95" customHeight="1">
      <c r="B33" s="1234">
        <v>42705</v>
      </c>
      <c r="C33" s="1235"/>
      <c r="D33" s="1235"/>
      <c r="E33" s="1235"/>
      <c r="F33" s="1235"/>
      <c r="G33" s="1235"/>
      <c r="H33" s="1235"/>
      <c r="I33" s="1235"/>
      <c r="J33" s="1235"/>
      <c r="K33" s="1235"/>
      <c r="L33" s="1235"/>
      <c r="M33" s="1235"/>
      <c r="N33" s="1235"/>
      <c r="O33" s="1235"/>
      <c r="P33" s="1235"/>
      <c r="Q33" s="1235"/>
      <c r="R33" s="1235"/>
      <c r="S33" s="1235"/>
      <c r="T33" s="1235"/>
      <c r="U33" s="1235"/>
      <c r="V33" s="1235"/>
      <c r="W33" s="1235"/>
      <c r="X33" s="1235"/>
      <c r="Y33" s="1235"/>
    </row>
    <row r="34" spans="2:25" ht="24.95" customHeight="1" thickBot="1">
      <c r="B34" s="1236" t="s">
        <v>277</v>
      </c>
      <c r="C34" s="1237">
        <f>SUM(C22:C33)</f>
        <v>33.622550829573129</v>
      </c>
      <c r="D34" s="1237">
        <f>SUM(D22:D33)</f>
        <v>-7.7399999999999949</v>
      </c>
      <c r="E34" s="1237">
        <f t="shared" ref="E34:R34" si="0">SUM(E22:E33)</f>
        <v>49.09</v>
      </c>
      <c r="F34" s="1237">
        <f t="shared" si="0"/>
        <v>0.83000000000001251</v>
      </c>
      <c r="G34" s="1237">
        <f t="shared" si="0"/>
        <v>-157.26000000000005</v>
      </c>
      <c r="H34" s="1237">
        <f t="shared" si="0"/>
        <v>96.37</v>
      </c>
      <c r="I34" s="1237">
        <f>SUM(I22:I33)</f>
        <v>-245.42000000000002</v>
      </c>
      <c r="J34" s="1237">
        <f t="shared" si="0"/>
        <v>26.950000000000003</v>
      </c>
      <c r="K34" s="1237">
        <f t="shared" si="0"/>
        <v>259.62096329445001</v>
      </c>
      <c r="L34" s="1237">
        <f t="shared" si="0"/>
        <v>59.513143719026004</v>
      </c>
      <c r="M34" s="1237">
        <f t="shared" si="0"/>
        <v>73.939385206938098</v>
      </c>
      <c r="N34" s="1237">
        <f t="shared" si="0"/>
        <v>47.780000000000015</v>
      </c>
      <c r="O34" s="1237">
        <f t="shared" si="0"/>
        <v>59.669999999999973</v>
      </c>
      <c r="P34" s="1237">
        <f t="shared" si="0"/>
        <v>28.238255655812196</v>
      </c>
      <c r="Q34" s="1237">
        <f t="shared" si="0"/>
        <v>29.42</v>
      </c>
      <c r="R34" s="1237">
        <f t="shared" si="0"/>
        <v>16.679999999999978</v>
      </c>
      <c r="S34" s="1237">
        <f t="shared" ref="S34:Y34" si="1">SUM(S22:S33)</f>
        <v>36.860000000000028</v>
      </c>
      <c r="T34" s="1237">
        <f t="shared" si="1"/>
        <v>-100.68999999999998</v>
      </c>
      <c r="U34" s="1237">
        <f t="shared" si="1"/>
        <v>-160.71933108933999</v>
      </c>
      <c r="V34" s="1237">
        <f>SUM(V22:V33)</f>
        <v>-87.475025962627242</v>
      </c>
      <c r="W34" s="1237">
        <f t="shared" si="1"/>
        <v>-294.18752355247801</v>
      </c>
      <c r="X34" s="1237">
        <f t="shared" si="1"/>
        <v>45.293366628249444</v>
      </c>
      <c r="Y34" s="1238">
        <f t="shared" si="1"/>
        <v>129.21968684478639</v>
      </c>
    </row>
    <row r="35" spans="2:25" ht="24.95" customHeight="1" thickTop="1">
      <c r="C35" s="144"/>
    </row>
    <row r="36" spans="2:25" ht="24.95" customHeight="1"/>
    <row r="37" spans="2:25" ht="24.95" customHeight="1"/>
    <row r="38" spans="2:25" ht="24.95" customHeight="1"/>
    <row r="39" spans="2:25" ht="24.95" customHeight="1"/>
    <row r="40" spans="2:25" ht="24.95" customHeight="1"/>
    <row r="41" spans="2:25" ht="24.95" customHeight="1"/>
    <row r="42" spans="2:25" ht="24.95" customHeight="1"/>
    <row r="43" spans="2:25" ht="24.95" customHeight="1"/>
    <row r="44" spans="2:25" ht="24.95" customHeight="1"/>
    <row r="45" spans="2:25" ht="24.95" customHeight="1"/>
    <row r="46" spans="2:25" ht="24.95" customHeight="1"/>
    <row r="47" spans="2:25" ht="24.95" customHeight="1"/>
    <row r="48" spans="2:25" ht="24.95" customHeight="1"/>
    <row r="49" ht="24.95" customHeight="1"/>
    <row r="50" ht="24.95" customHeight="1"/>
    <row r="51" ht="24.95" customHeight="1"/>
    <row r="52" ht="24.95" customHeight="1"/>
    <row r="53" ht="24.95" customHeight="1"/>
    <row r="54" ht="24.95" customHeight="1"/>
    <row r="55" ht="24.95" customHeight="1"/>
    <row r="56" ht="24.95" customHeight="1"/>
    <row r="57" ht="24.95" customHeight="1"/>
    <row r="58" ht="24.95" customHeight="1"/>
    <row r="59" ht="24.95" customHeight="1"/>
    <row r="60" ht="24.95" customHeight="1"/>
    <row r="61" ht="24.95" customHeight="1"/>
    <row r="62" ht="24.95" customHeight="1"/>
    <row r="63" ht="24.95" customHeight="1"/>
    <row r="64" ht="24.95" customHeight="1"/>
    <row r="65" ht="24.95" customHeight="1"/>
    <row r="66" ht="24.95" customHeight="1"/>
    <row r="67" ht="24.95" customHeight="1"/>
    <row r="68" ht="24.95" customHeight="1"/>
    <row r="69" ht="24.95" customHeight="1"/>
    <row r="70" ht="24.95" customHeight="1"/>
    <row r="71" ht="24.95" customHeight="1"/>
    <row r="72" ht="24.95" customHeight="1"/>
    <row r="73" ht="24.95" customHeight="1"/>
    <row r="74" ht="24.95" customHeight="1"/>
    <row r="75" ht="24.95" customHeight="1"/>
    <row r="76" ht="24.95" customHeight="1"/>
    <row r="77" ht="24.95" customHeight="1"/>
    <row r="78" ht="24.95" customHeight="1"/>
    <row r="79" ht="24.95" customHeight="1"/>
    <row r="80" ht="24.95" customHeight="1"/>
    <row r="81" ht="24.95" customHeight="1"/>
    <row r="82" ht="24.95" customHeight="1"/>
    <row r="83" ht="24.95" customHeight="1"/>
    <row r="84" ht="24.95" customHeight="1"/>
    <row r="85" ht="24.95" customHeight="1"/>
    <row r="86" ht="24.95" customHeight="1"/>
    <row r="87" ht="24.95" customHeight="1"/>
    <row r="88" ht="24.95" customHeight="1"/>
    <row r="89" ht="24.95" customHeight="1"/>
    <row r="90" ht="24.95" customHeight="1"/>
    <row r="91" ht="24.95" customHeight="1"/>
    <row r="92" ht="24.95" customHeight="1"/>
    <row r="93" ht="24.95" customHeight="1"/>
    <row r="94" ht="24.95" customHeight="1"/>
    <row r="95" ht="24.95" customHeight="1"/>
    <row r="96" ht="24.95" customHeight="1"/>
    <row r="97" ht="24.95" customHeight="1"/>
    <row r="98" ht="24.95" customHeight="1"/>
    <row r="99" ht="24.95" customHeight="1"/>
    <row r="100" ht="24.95" customHeight="1"/>
    <row r="101" ht="24.95" customHeight="1"/>
    <row r="102" ht="24.95" customHeight="1"/>
    <row r="103" ht="24.95" customHeight="1"/>
    <row r="104" ht="24.95" customHeight="1"/>
  </sheetData>
  <conditionalFormatting sqref="C25:H33 J25:U33 W25:Y33">
    <cfRule type="cellIs" dxfId="148" priority="10" operator="greaterThan">
      <formula>0</formula>
    </cfRule>
  </conditionalFormatting>
  <conditionalFormatting sqref="D25:D33">
    <cfRule type="cellIs" dxfId="147" priority="8" operator="greaterThan">
      <formula>0</formula>
    </cfRule>
  </conditionalFormatting>
  <conditionalFormatting sqref="E25:E33">
    <cfRule type="cellIs" dxfId="146" priority="7" operator="greaterThan">
      <formula>0</formula>
    </cfRule>
  </conditionalFormatting>
  <conditionalFormatting sqref="I25:I33">
    <cfRule type="cellIs" dxfId="145" priority="2" operator="greaterThan">
      <formula>0</formula>
    </cfRule>
  </conditionalFormatting>
  <conditionalFormatting sqref="V25:V33">
    <cfRule type="cellIs" dxfId="144" priority="1" operator="greaterThan">
      <formula>0</formula>
    </cfRule>
  </conditionalFormatting>
  <printOptions horizontalCentered="1" verticalCentered="1"/>
  <pageMargins left="0" right="0" top="0" bottom="0" header="0" footer="0"/>
  <pageSetup paperSize="5" scale="54" fitToHeight="0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stacked" displayEmptyCellsAs="gap" negative="1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'LABOR COST VARIANCE'!L22:L33</xm:f>
              <xm:sqref>L10</xm:sqref>
            </x14:sparkline>
          </x14:sparklines>
        </x14:sparklineGroup>
        <x14:sparklineGroup manualMax="0" manualMin="0" type="stacked" displayEmptyCellsAs="gap" negative="1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'LABOR COST VARIANCE'!E22:E33</xm:f>
              <xm:sqref>L4</xm:sqref>
            </x14:sparkline>
          </x14:sparklines>
        </x14:sparklineGroup>
        <x14:sparklineGroup manualMax="0" manualMin="0" type="stacked" displayEmptyCellsAs="gap" negative="1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'LABOR COST VARIANCE'!D22:D33</xm:f>
              <xm:sqref>L3</xm:sqref>
            </x14:sparkline>
          </x14:sparklines>
        </x14:sparklineGroup>
        <x14:sparklineGroup manualMax="0" manualMin="0" type="stacked" displayEmptyCellsAs="gap" negative="1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'LABOR COST VARIANCE'!F22:F33</xm:f>
              <xm:sqref>L5</xm:sqref>
            </x14:sparkline>
          </x14:sparklines>
        </x14:sparklineGroup>
        <x14:sparklineGroup manualMax="0" manualMin="0" type="stacked" displayEmptyCellsAs="gap" negative="1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'LABOR COST VARIANCE'!G22:G33</xm:f>
              <xm:sqref>L6</xm:sqref>
            </x14:sparkline>
          </x14:sparklines>
        </x14:sparklineGroup>
        <x14:sparklineGroup manualMax="0" manualMin="0" type="stacked" displayEmptyCellsAs="gap" negative="1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'LABOR COST VARIANCE'!H22:H33</xm:f>
              <xm:sqref>L7</xm:sqref>
            </x14:sparkline>
          </x14:sparklines>
        </x14:sparklineGroup>
        <x14:sparklineGroup manualMax="0" manualMin="0" type="stacked" displayEmptyCellsAs="gap" negative="1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'LABOR COST VARIANCE'!J22:J33</xm:f>
              <xm:sqref>L8</xm:sqref>
            </x14:sparkline>
          </x14:sparklines>
        </x14:sparklineGroup>
        <x14:sparklineGroup manualMax="0" manualMin="0" type="stacked" displayEmptyCellsAs="gap" negative="1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'LABOR COST VARIANCE'!K22:K33</xm:f>
              <xm:sqref>L9</xm:sqref>
            </x14:sparkline>
          </x14:sparklines>
        </x14:sparklineGroup>
        <x14:sparklineGroup manualMax="0" manualMin="0" type="stacked" displayEmptyCellsAs="gap" negative="1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'LABOR COST VARIANCE'!M22:M33</xm:f>
              <xm:sqref>L11</xm:sqref>
            </x14:sparkline>
          </x14:sparklines>
        </x14:sparklineGroup>
        <x14:sparklineGroup manualMax="0" manualMin="0" type="stacked" displayEmptyCellsAs="gap" negative="1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'LABOR COST VARIANCE'!O22:O33</xm:f>
              <xm:sqref>L13</xm:sqref>
            </x14:sparkline>
          </x14:sparklines>
        </x14:sparklineGroup>
        <x14:sparklineGroup manualMax="0" manualMin="0" type="stacked" displayEmptyCellsAs="gap" negative="1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'LABOR COST VARIANCE'!P22:P33</xm:f>
              <xm:sqref>L14</xm:sqref>
            </x14:sparkline>
          </x14:sparklines>
        </x14:sparklineGroup>
        <x14:sparklineGroup manualMax="0" manualMin="0" type="stacked" displayEmptyCellsAs="gap" negative="1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'LABOR COST VARIANCE'!Q22:Q33</xm:f>
              <xm:sqref>L15</xm:sqref>
            </x14:sparkline>
          </x14:sparklines>
        </x14:sparklineGroup>
        <x14:sparklineGroup manualMax="0" manualMin="0" type="stacked" displayEmptyCellsAs="gap" negative="1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'LABOR COST VARIANCE'!R22:R33</xm:f>
              <xm:sqref>L16</xm:sqref>
            </x14:sparkline>
            <x14:sparkline>
              <xm:f>'LABOR COST VARIANCE'!X22:X33</xm:f>
              <xm:sqref>L17</xm:sqref>
            </x14:sparkline>
          </x14:sparklines>
        </x14:sparklineGroup>
        <x14:sparklineGroup manualMax="0" manualMin="0" type="stacked" displayEmptyCellsAs="gap" negative="1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'LABOR COST VARIANCE'!C22:C32</xm:f>
              <xm:sqref>L18</xm:sqref>
            </x14:sparkline>
          </x14:sparklines>
        </x14:sparklineGroup>
        <x14:sparklineGroup manualMax="0" manualMin="0" type="stacked" displayEmptyCellsAs="gap" negative="1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'LABOR COST VARIANCE'!N22:N33</xm:f>
              <xm:sqref>L12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3" tint="-0.499984740745262"/>
  </sheetPr>
  <dimension ref="A1:A157"/>
  <sheetViews>
    <sheetView workbookViewId="0"/>
  </sheetViews>
  <sheetFormatPr defaultRowHeight="15"/>
  <cols>
    <col min="1" max="19" width="9.7109375" customWidth="1"/>
  </cols>
  <sheetData>
    <row r="1" ht="20.100000000000001" customHeight="1"/>
    <row r="2" ht="20.100000000000001" customHeight="1"/>
    <row r="3" ht="20.100000000000001" customHeight="1"/>
    <row r="4" ht="20.100000000000001" customHeight="1"/>
    <row r="5" ht="20.100000000000001" customHeight="1"/>
    <row r="6" ht="20.100000000000001" customHeight="1"/>
    <row r="7" ht="20.100000000000001" customHeight="1"/>
    <row r="8" ht="20.100000000000001" customHeight="1"/>
    <row r="9" ht="20.100000000000001" customHeight="1"/>
    <row r="10" ht="20.100000000000001" customHeight="1"/>
    <row r="11" ht="20.100000000000001" customHeight="1"/>
    <row r="12" ht="20.100000000000001" customHeight="1"/>
    <row r="13" ht="20.100000000000001" customHeight="1"/>
    <row r="14" ht="20.100000000000001" customHeight="1"/>
    <row r="15" ht="20.100000000000001" customHeight="1"/>
    <row r="1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</sheetData>
  <printOptions horizontalCentered="1" verticalCentered="1"/>
  <pageMargins left="0" right="0" top="0" bottom="0" header="0" footer="0.05"/>
  <pageSetup scale="89" fitToHeight="0" orientation="landscape" r:id="rId1"/>
  <headerFooter>
    <oddFooter>&amp;L&amp;"Arial Narrow,Bold"&amp;12&amp;K03-024Data Source: Clinical Quality&amp;C&amp;"Arial Narrow,Bold"&amp;12&amp;K03-024Purpose:&amp;"Arial Narrow,Regular" Monitors the Cost of Labor Per Visit Month to Month&amp;R&amp;"Arial Narrow,Bold"&amp;12&amp;K03-024&amp;D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3" tint="-0.499984740745262"/>
  </sheetPr>
  <dimension ref="A1:A38"/>
  <sheetViews>
    <sheetView showGridLines="0" topLeftCell="A6" workbookViewId="0">
      <selection activeCell="N26" sqref="N26"/>
    </sheetView>
  </sheetViews>
  <sheetFormatPr defaultColWidth="9.140625" defaultRowHeight="15"/>
  <cols>
    <col min="1" max="1" width="3.42578125" style="23" customWidth="1"/>
    <col min="2" max="2" width="18.28515625" style="23" customWidth="1"/>
    <col min="3" max="3" width="12.28515625" style="23" bestFit="1" customWidth="1"/>
    <col min="4" max="13" width="8.7109375" style="23" customWidth="1"/>
    <col min="14" max="15" width="9.140625" style="23"/>
    <col min="16" max="16" width="11.5703125" style="23" customWidth="1"/>
    <col min="17" max="17" width="9.140625" style="23"/>
    <col min="18" max="18" width="5.140625" style="23" customWidth="1"/>
    <col min="19" max="16384" width="9.140625" style="23"/>
  </cols>
  <sheetData>
    <row r="1" ht="20.100000000000001" customHeight="1"/>
    <row r="2" ht="20.100000000000001" customHeight="1"/>
    <row r="3" ht="20.100000000000001" customHeight="1"/>
    <row r="4" ht="20.100000000000001" customHeight="1"/>
    <row r="5" ht="20.100000000000001" customHeight="1"/>
    <row r="6" ht="20.100000000000001" customHeight="1"/>
    <row r="7" ht="20.100000000000001" customHeight="1"/>
    <row r="8" ht="20.100000000000001" customHeight="1"/>
    <row r="9" ht="20.100000000000001" customHeight="1"/>
    <row r="10" ht="20.100000000000001" customHeight="1"/>
    <row r="11" ht="20.100000000000001" customHeight="1"/>
    <row r="12" ht="20.100000000000001" customHeight="1"/>
    <row r="13" ht="20.100000000000001" customHeight="1"/>
    <row r="14" ht="20.100000000000001" customHeight="1"/>
    <row r="15" ht="20.100000000000001" customHeight="1"/>
    <row r="1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spans="1:1" ht="20.100000000000001" customHeight="1"/>
    <row r="34" spans="1:1" ht="20.100000000000001" customHeight="1"/>
    <row r="35" spans="1:1" ht="20.100000000000001" customHeight="1">
      <c r="A35" s="13"/>
    </row>
    <row r="36" spans="1:1" ht="20.100000000000001" customHeight="1"/>
    <row r="37" spans="1:1" ht="20.100000000000001" customHeight="1"/>
    <row r="38" spans="1:1" ht="20.100000000000001" customHeight="1"/>
  </sheetData>
  <printOptions horizontalCentered="1"/>
  <pageMargins left="0" right="0" top="0.25" bottom="0" header="0" footer="0"/>
  <pageSetup scale="90" fitToHeight="0" orientation="landscape" r:id="rId1"/>
  <headerFooter>
    <oddFooter>&amp;R&amp;D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3" tint="-0.499984740745262"/>
    <pageSetUpPr fitToPage="1"/>
  </sheetPr>
  <dimension ref="A1:T41"/>
  <sheetViews>
    <sheetView showGridLines="0" topLeftCell="A10" workbookViewId="0">
      <selection activeCell="N26" sqref="N26"/>
    </sheetView>
  </sheetViews>
  <sheetFormatPr defaultRowHeight="16.5"/>
  <cols>
    <col min="1" max="1" width="53" style="11" customWidth="1"/>
    <col min="2" max="2" width="9.7109375" style="12" customWidth="1"/>
    <col min="3" max="5" width="14.28515625" style="12" bestFit="1" customWidth="1"/>
    <col min="6" max="6" width="14.28515625" style="11" bestFit="1" customWidth="1"/>
    <col min="7" max="8" width="17.5703125" style="11" bestFit="1" customWidth="1"/>
    <col min="9" max="10" width="15.5703125" style="11" bestFit="1" customWidth="1"/>
    <col min="11" max="11" width="15.7109375" customWidth="1"/>
    <col min="12" max="13" width="12.140625" bestFit="1" customWidth="1"/>
    <col min="14" max="14" width="11.5703125" customWidth="1"/>
    <col min="15" max="15" width="11.7109375" customWidth="1"/>
    <col min="16" max="19" width="11.140625" bestFit="1" customWidth="1"/>
    <col min="20" max="20" width="11.7109375" customWidth="1"/>
    <col min="26" max="26" width="11" bestFit="1" customWidth="1"/>
    <col min="27" max="27" width="12.140625" customWidth="1"/>
    <col min="28" max="28" width="11" bestFit="1" customWidth="1"/>
    <col min="29" max="30" width="12" bestFit="1" customWidth="1"/>
    <col min="31" max="31" width="11.5703125" customWidth="1"/>
    <col min="32" max="32" width="11.7109375" customWidth="1"/>
    <col min="33" max="36" width="11" bestFit="1" customWidth="1"/>
    <col min="37" max="37" width="11.7109375" customWidth="1"/>
  </cols>
  <sheetData>
    <row r="1" spans="1:20" s="23" customFormat="1">
      <c r="A1" s="11"/>
      <c r="B1" s="12"/>
      <c r="C1" s="12"/>
      <c r="D1" s="12"/>
      <c r="E1" s="12"/>
      <c r="F1" s="11"/>
      <c r="G1" s="11"/>
      <c r="H1" s="11"/>
      <c r="I1" s="11"/>
      <c r="J1" s="11"/>
    </row>
    <row r="2" spans="1:20" s="23" customFormat="1">
      <c r="A2" s="11"/>
      <c r="B2" s="12"/>
      <c r="C2" s="12"/>
      <c r="D2" s="12"/>
      <c r="E2" s="12"/>
      <c r="F2" s="11"/>
      <c r="G2" s="11"/>
      <c r="H2" s="11"/>
      <c r="I2" s="11"/>
      <c r="J2" s="11"/>
    </row>
    <row r="3" spans="1:20" s="23" customFormat="1">
      <c r="A3" s="11"/>
      <c r="B3" s="12"/>
      <c r="C3" s="12"/>
      <c r="D3" s="12"/>
      <c r="E3" s="12"/>
      <c r="F3" s="11"/>
      <c r="G3" s="11"/>
      <c r="H3" s="11"/>
      <c r="I3" s="11"/>
      <c r="J3" s="11"/>
    </row>
    <row r="4" spans="1:20" s="23" customFormat="1">
      <c r="A4" s="11"/>
      <c r="B4" s="12"/>
      <c r="C4" s="12"/>
      <c r="D4" s="12"/>
      <c r="E4" s="12"/>
      <c r="F4" s="11"/>
      <c r="G4" s="11"/>
      <c r="H4" s="11"/>
      <c r="I4" s="11"/>
      <c r="J4" s="11"/>
    </row>
    <row r="5" spans="1:20" s="23" customFormat="1">
      <c r="A5" s="11"/>
      <c r="B5" s="12"/>
      <c r="C5" s="12"/>
      <c r="D5" s="12"/>
      <c r="E5" s="12"/>
      <c r="F5" s="11"/>
      <c r="G5" s="11"/>
      <c r="H5" s="11"/>
      <c r="I5" s="11"/>
      <c r="J5" s="11"/>
    </row>
    <row r="6" spans="1:20" s="23" customFormat="1" ht="17.25" thickBot="1">
      <c r="A6" s="11"/>
      <c r="B6" s="12"/>
      <c r="C6" s="12"/>
      <c r="D6" s="12"/>
      <c r="E6" s="12"/>
      <c r="F6" s="11"/>
      <c r="G6" s="11"/>
      <c r="H6" s="11"/>
      <c r="I6" s="11"/>
      <c r="J6" s="11"/>
    </row>
    <row r="7" spans="1:20" ht="20.100000000000001" customHeight="1" thickTop="1">
      <c r="A7" s="1239" t="s">
        <v>375</v>
      </c>
      <c r="B7" s="1240">
        <v>41548</v>
      </c>
      <c r="C7" s="1240">
        <v>42186</v>
      </c>
      <c r="D7" s="1240">
        <v>42217</v>
      </c>
      <c r="E7" s="1240">
        <v>42248</v>
      </c>
      <c r="F7" s="1240">
        <v>42278</v>
      </c>
      <c r="G7" s="1240">
        <v>42309</v>
      </c>
      <c r="H7" s="1240">
        <v>42339</v>
      </c>
      <c r="I7" s="1240">
        <v>42370</v>
      </c>
      <c r="J7" s="1240">
        <v>42401</v>
      </c>
      <c r="K7" s="1240">
        <v>42430</v>
      </c>
      <c r="L7" s="1240">
        <v>42461</v>
      </c>
      <c r="M7" s="1240">
        <v>42491</v>
      </c>
      <c r="N7" s="1240">
        <v>42522</v>
      </c>
      <c r="O7" s="1240">
        <v>42552</v>
      </c>
      <c r="P7" s="1240">
        <v>42583</v>
      </c>
      <c r="Q7" s="1240">
        <v>42614</v>
      </c>
      <c r="R7" s="1240">
        <v>42644</v>
      </c>
      <c r="S7" s="1240">
        <v>42675</v>
      </c>
      <c r="T7" s="1240">
        <v>42705</v>
      </c>
    </row>
    <row r="8" spans="1:20" ht="20.100000000000001" customHeight="1">
      <c r="A8" s="1241" t="s">
        <v>23</v>
      </c>
      <c r="B8" s="1242">
        <v>113</v>
      </c>
      <c r="C8" s="1242">
        <v>122</v>
      </c>
      <c r="D8" s="1242">
        <v>117</v>
      </c>
      <c r="E8" s="1242">
        <v>93</v>
      </c>
      <c r="F8" s="1242">
        <v>86</v>
      </c>
      <c r="G8" s="1242">
        <v>56</v>
      </c>
      <c r="H8" s="1242">
        <v>64</v>
      </c>
      <c r="I8" s="1891">
        <f>COMPOSITE!C470</f>
        <v>535</v>
      </c>
      <c r="J8" s="1891">
        <f>COMPOSITE!E470</f>
        <v>497</v>
      </c>
      <c r="K8" s="1891">
        <f>COMPOSITE!G470</f>
        <v>508</v>
      </c>
      <c r="L8" s="1891">
        <f>COMPOSITE!I470</f>
        <v>472</v>
      </c>
      <c r="M8" s="1891">
        <f>COMPOSITE!K470</f>
        <v>556</v>
      </c>
      <c r="N8" s="1891">
        <f>COMPOSITE!M470</f>
        <v>536</v>
      </c>
      <c r="O8" s="1891">
        <f>COMPOSITE!O470</f>
        <v>579</v>
      </c>
      <c r="P8" s="1891">
        <f>COMPOSITE!Q470</f>
        <v>540</v>
      </c>
      <c r="Q8" s="1891">
        <f>COMPOSITE!S470</f>
        <v>554</v>
      </c>
      <c r="R8" s="1891">
        <f>COMPOSITE!U470</f>
        <v>533</v>
      </c>
      <c r="S8" s="1891">
        <f>COMPOSITE!W470</f>
        <v>480</v>
      </c>
      <c r="T8" s="1891">
        <f>COMPOSITE!Y470</f>
        <v>445</v>
      </c>
    </row>
    <row r="9" spans="1:20" ht="20.100000000000001" customHeight="1">
      <c r="A9" s="1241" t="s">
        <v>70</v>
      </c>
      <c r="B9" s="1242">
        <v>0</v>
      </c>
      <c r="C9" s="1242">
        <v>0</v>
      </c>
      <c r="D9" s="1242">
        <v>0</v>
      </c>
      <c r="E9" s="1242">
        <v>0</v>
      </c>
      <c r="F9" s="1242">
        <v>0</v>
      </c>
      <c r="G9" s="1242">
        <v>1</v>
      </c>
      <c r="H9" s="1242">
        <v>1</v>
      </c>
      <c r="I9" s="1891">
        <f>COMPOSITE!B10</f>
        <v>0</v>
      </c>
      <c r="J9" s="1891">
        <f>COMPOSITE!C10</f>
        <v>0</v>
      </c>
      <c r="K9" s="1891">
        <f>COMPOSITE!D10</f>
        <v>1</v>
      </c>
      <c r="L9" s="1891">
        <f>COMPOSITE!E10</f>
        <v>1</v>
      </c>
      <c r="M9" s="1891">
        <f>COMPOSITE!F10</f>
        <v>1</v>
      </c>
      <c r="N9" s="1891">
        <f>COMPOSITE!G10</f>
        <v>0</v>
      </c>
      <c r="O9" s="1891">
        <f>COMPOSITE!H10</f>
        <v>0</v>
      </c>
      <c r="P9" s="1891">
        <f>COMPOSITE!I10</f>
        <v>0</v>
      </c>
      <c r="Q9" s="1891">
        <f>COMPOSITE!J10</f>
        <v>0</v>
      </c>
      <c r="R9" s="1891">
        <f>COMPOSITE!K10</f>
        <v>0</v>
      </c>
      <c r="S9" s="1891">
        <f>COMPOSITE!L10</f>
        <v>0</v>
      </c>
      <c r="T9" s="1891">
        <f>COMPOSITE!M10</f>
        <v>0</v>
      </c>
    </row>
    <row r="10" spans="1:20" ht="20.100000000000001" customHeight="1">
      <c r="A10" s="1241" t="s">
        <v>7</v>
      </c>
      <c r="B10" s="1242">
        <v>43027</v>
      </c>
      <c r="C10" s="1245">
        <v>39120</v>
      </c>
      <c r="D10" s="1245">
        <v>39554</v>
      </c>
      <c r="E10" s="1245">
        <v>39807</v>
      </c>
      <c r="F10" s="1245">
        <v>40247</v>
      </c>
      <c r="G10" s="1245">
        <v>39355</v>
      </c>
      <c r="H10" s="1245">
        <v>42349</v>
      </c>
      <c r="I10" s="1892">
        <f>COMPOSITE!B69</f>
        <v>70019</v>
      </c>
      <c r="J10" s="1892">
        <f>COMPOSITE!C69</f>
        <v>70334</v>
      </c>
      <c r="K10" s="1892">
        <f>COMPOSITE!D69</f>
        <v>76071</v>
      </c>
      <c r="L10" s="1892">
        <f>COMPOSITE!E69</f>
        <v>69769</v>
      </c>
      <c r="M10" s="1892">
        <f>COMPOSITE!F69</f>
        <v>62391</v>
      </c>
      <c r="N10" s="1892">
        <f>COMPOSITE!G69</f>
        <v>58565</v>
      </c>
      <c r="O10" s="1892">
        <f>COMPOSITE!H69</f>
        <v>60599</v>
      </c>
      <c r="P10" s="1892">
        <f>COMPOSITE!I69</f>
        <v>60242</v>
      </c>
      <c r="Q10" s="1892">
        <f>COMPOSITE!J69</f>
        <v>60085</v>
      </c>
      <c r="R10" s="1892">
        <f>COMPOSITE!K69</f>
        <v>59882</v>
      </c>
      <c r="S10" s="1892">
        <f>COMPOSITE!L69</f>
        <v>59026</v>
      </c>
      <c r="T10" s="1892">
        <f>COMPOSITE!M69</f>
        <v>62363</v>
      </c>
    </row>
    <row r="11" spans="1:20" ht="20.100000000000001" customHeight="1">
      <c r="A11" s="1241" t="s">
        <v>36</v>
      </c>
      <c r="B11" s="1246">
        <v>0.99868687103446674</v>
      </c>
      <c r="C11" s="1247">
        <v>0.99844069529652346</v>
      </c>
      <c r="D11" s="1247">
        <v>0.99852100925317289</v>
      </c>
      <c r="E11" s="1247">
        <v>0.99883186374255784</v>
      </c>
      <c r="F11" s="1247">
        <v>0.99893159738614057</v>
      </c>
      <c r="G11" s="1247">
        <v>0.9765612547787621</v>
      </c>
      <c r="H11" s="1247">
        <v>0.97651710140198655</v>
      </c>
      <c r="I11" s="1249">
        <f>COMPOSITE!B14</f>
        <v>0.99617960839200781</v>
      </c>
      <c r="J11" s="1249">
        <f>COMPOSITE!C14</f>
        <v>0.99646685813404612</v>
      </c>
      <c r="K11" s="1249">
        <f>COMPOSITE!D14</f>
        <v>0.98930807287619071</v>
      </c>
      <c r="L11" s="1249">
        <f>COMPOSITE!E14</f>
        <v>0.98828407554453501</v>
      </c>
      <c r="M11" s="1249">
        <f>COMPOSITE!F14</f>
        <v>0.98661565770704107</v>
      </c>
      <c r="N11" s="1249">
        <f>COMPOSITE!G14</f>
        <v>0.99542388798770598</v>
      </c>
      <c r="O11" s="1249">
        <f>COMPOSITE!H14</f>
        <v>0.99522269344378622</v>
      </c>
      <c r="P11" s="1249">
        <f>COMPOSITE!I14</f>
        <v>0.99551807708907414</v>
      </c>
      <c r="Q11" s="1249">
        <f>COMPOSITE!J14</f>
        <v>0.99538986435882504</v>
      </c>
      <c r="R11" s="1249">
        <f>COMPOSITE!K14</f>
        <v>0.99554958084232326</v>
      </c>
      <c r="S11" s="1249">
        <f>COMPOSITE!L14</f>
        <v>0.99593399518856096</v>
      </c>
      <c r="T11" s="1249">
        <f>COMPOSITE!M14</f>
        <v>0.99643217933710693</v>
      </c>
    </row>
    <row r="12" spans="1:20" ht="20.100000000000001" customHeight="1">
      <c r="A12" s="1241" t="s">
        <v>37</v>
      </c>
      <c r="B12" s="1248">
        <v>0.98229166666666667</v>
      </c>
      <c r="C12" s="1247">
        <v>0.9936993699369937</v>
      </c>
      <c r="D12" s="1247">
        <v>0.99277326106594399</v>
      </c>
      <c r="E12" s="1247">
        <v>0.9923518164435946</v>
      </c>
      <c r="F12" s="1247">
        <v>0.98700092850510679</v>
      </c>
      <c r="G12" s="1247">
        <v>0.98322147651006708</v>
      </c>
      <c r="H12" s="1247">
        <v>0.98899587345254469</v>
      </c>
      <c r="I12" s="1249">
        <f>COMPOSITE!B29</f>
        <v>0.97670535460902241</v>
      </c>
      <c r="J12" s="1249">
        <f>COMPOSITE!C29</f>
        <v>0.97783549783549795</v>
      </c>
      <c r="K12" s="1249">
        <f>COMPOSITE!D29</f>
        <v>0.99145244727417425</v>
      </c>
      <c r="L12" s="1249">
        <f>COMPOSITE!E29</f>
        <v>0.99851411589895989</v>
      </c>
      <c r="M12" s="1249">
        <f>COMPOSITE!F29</f>
        <v>0.99486294685124799</v>
      </c>
      <c r="N12" s="1249">
        <f>COMPOSITE!G29</f>
        <v>0.9932846445847795</v>
      </c>
      <c r="O12" s="1249">
        <f>COMPOSITE!H29</f>
        <v>0.94986283714067377</v>
      </c>
      <c r="P12" s="1249">
        <f>COMPOSITE!I29</f>
        <v>0.99224484531538915</v>
      </c>
      <c r="Q12" s="1249">
        <f>COMPOSITE!J29</f>
        <v>0.99061371742302073</v>
      </c>
      <c r="R12" s="1249">
        <f>COMPOSITE!K29</f>
        <v>0.9919568642852914</v>
      </c>
      <c r="S12" s="1249">
        <f>COMPOSITE!L29</f>
        <v>0.99297014987855658</v>
      </c>
      <c r="T12" s="1249"/>
    </row>
    <row r="13" spans="1:20" ht="45">
      <c r="A13" s="1250" t="s">
        <v>66</v>
      </c>
      <c r="B13" s="1247">
        <v>0.99048926885056665</v>
      </c>
      <c r="C13" s="1247">
        <v>0.99607003261675864</v>
      </c>
      <c r="D13" s="1247">
        <v>0.99564713515955838</v>
      </c>
      <c r="E13" s="1247">
        <v>0.99559184009307622</v>
      </c>
      <c r="F13" s="1247">
        <v>0.99296626294562373</v>
      </c>
      <c r="G13" s="1247">
        <v>0.97989136564441459</v>
      </c>
      <c r="H13" s="1247">
        <v>0.98275648742726562</v>
      </c>
      <c r="I13" s="1249">
        <f t="shared" ref="I13:R13" si="0">(I11+I12)/2</f>
        <v>0.98644248150051506</v>
      </c>
      <c r="J13" s="1249">
        <f t="shared" si="0"/>
        <v>0.98715117798477203</v>
      </c>
      <c r="K13" s="1249">
        <f t="shared" si="0"/>
        <v>0.99038026007518254</v>
      </c>
      <c r="L13" s="1249">
        <f t="shared" si="0"/>
        <v>0.99339909572174745</v>
      </c>
      <c r="M13" s="1249">
        <f t="shared" si="0"/>
        <v>0.99073930227914453</v>
      </c>
      <c r="N13" s="1249">
        <f t="shared" si="0"/>
        <v>0.99435426628624279</v>
      </c>
      <c r="O13" s="1249">
        <f t="shared" si="0"/>
        <v>0.97254276529223005</v>
      </c>
      <c r="P13" s="1249">
        <f t="shared" si="0"/>
        <v>0.99388146120223164</v>
      </c>
      <c r="Q13" s="1249">
        <f t="shared" si="0"/>
        <v>0.99300179089092289</v>
      </c>
      <c r="R13" s="1249">
        <f t="shared" si="0"/>
        <v>0.99375322256380727</v>
      </c>
      <c r="S13" s="1249">
        <f>(S11+S12)/2</f>
        <v>0.99445207253355883</v>
      </c>
      <c r="T13" s="1249"/>
    </row>
    <row r="14" spans="1:20" ht="20.100000000000001" customHeight="1">
      <c r="A14" s="2444" t="s">
        <v>38</v>
      </c>
      <c r="B14" s="1252">
        <v>0.95</v>
      </c>
      <c r="C14" s="1252">
        <v>0.95</v>
      </c>
      <c r="D14" s="1252">
        <v>0.95</v>
      </c>
      <c r="E14" s="1252">
        <v>0.95</v>
      </c>
      <c r="F14" s="1252">
        <v>0.95</v>
      </c>
      <c r="G14" s="1252">
        <v>0.95</v>
      </c>
      <c r="H14" s="1252">
        <v>0.95</v>
      </c>
      <c r="I14" s="1893">
        <v>0.95</v>
      </c>
      <c r="J14" s="1893">
        <v>0.95</v>
      </c>
      <c r="K14" s="1252">
        <v>0.95</v>
      </c>
      <c r="L14" s="1252">
        <v>0.95</v>
      </c>
      <c r="M14" s="1252">
        <v>0.95</v>
      </c>
      <c r="N14" s="1252">
        <v>0.95</v>
      </c>
      <c r="O14" s="1252">
        <v>0.95</v>
      </c>
      <c r="P14" s="1252">
        <v>0.95</v>
      </c>
      <c r="Q14" s="1252">
        <v>0.95</v>
      </c>
      <c r="R14" s="1252">
        <v>0.95</v>
      </c>
      <c r="S14" s="1252">
        <v>0.95</v>
      </c>
      <c r="T14" s="1253">
        <v>0.95</v>
      </c>
    </row>
    <row r="15" spans="1:20" ht="20.100000000000001" customHeight="1" thickBot="1">
      <c r="A15" s="1254"/>
      <c r="B15" s="1255"/>
      <c r="C15" s="1255"/>
      <c r="D15" s="1255"/>
      <c r="E15" s="1255"/>
      <c r="F15" s="1255"/>
      <c r="G15" s="1255"/>
      <c r="H15" s="1255"/>
      <c r="I15" s="1255"/>
      <c r="J15" s="1255"/>
      <c r="K15" s="1255"/>
      <c r="L15" s="1255"/>
      <c r="M15" s="1255"/>
      <c r="N15" s="1255"/>
      <c r="O15" s="1255"/>
      <c r="P15" s="1255"/>
      <c r="Q15" s="1255"/>
      <c r="R15" s="1255"/>
      <c r="S15" s="1255"/>
      <c r="T15" s="1256"/>
    </row>
    <row r="16" spans="1:20" ht="20.100000000000001" customHeight="1" thickTop="1" thickBot="1">
      <c r="A16" s="1257"/>
      <c r="B16" s="1258"/>
      <c r="C16" s="1258"/>
      <c r="D16" s="1258"/>
      <c r="E16" s="1258"/>
      <c r="F16" s="1258"/>
      <c r="G16" s="1258"/>
      <c r="H16" s="1258"/>
      <c r="I16" s="1258"/>
      <c r="J16" s="1258"/>
      <c r="K16" s="1258"/>
      <c r="L16" s="1258"/>
      <c r="M16" s="1258"/>
      <c r="N16" s="1258"/>
      <c r="O16" s="1258"/>
      <c r="P16" s="1258"/>
      <c r="Q16" s="1258"/>
      <c r="R16" s="1258"/>
      <c r="S16" s="1258"/>
      <c r="T16" s="1258"/>
    </row>
    <row r="17" spans="1:20" ht="20.100000000000001" customHeight="1" thickTop="1">
      <c r="A17" s="1920" t="s">
        <v>140</v>
      </c>
      <c r="B17" s="1240">
        <v>41548</v>
      </c>
      <c r="C17" s="1240">
        <v>42186</v>
      </c>
      <c r="D17" s="1240">
        <v>42217</v>
      </c>
      <c r="E17" s="1240">
        <v>42248</v>
      </c>
      <c r="F17" s="1240">
        <v>42278</v>
      </c>
      <c r="G17" s="1240">
        <v>42309</v>
      </c>
      <c r="H17" s="1240">
        <v>42339</v>
      </c>
      <c r="I17" s="1259">
        <v>42370</v>
      </c>
      <c r="J17" s="1259">
        <v>42401</v>
      </c>
      <c r="K17" s="1259">
        <v>42430</v>
      </c>
      <c r="L17" s="1259">
        <v>42461</v>
      </c>
      <c r="M17" s="1259">
        <v>42491</v>
      </c>
      <c r="N17" s="1259">
        <v>42522</v>
      </c>
      <c r="O17" s="1259">
        <v>42552</v>
      </c>
      <c r="P17" s="1259">
        <v>42583</v>
      </c>
      <c r="Q17" s="1259">
        <v>42614</v>
      </c>
      <c r="R17" s="1259">
        <v>42644</v>
      </c>
      <c r="S17" s="1259">
        <v>42675</v>
      </c>
      <c r="T17" s="1259">
        <v>42705</v>
      </c>
    </row>
    <row r="18" spans="1:20" ht="28.5" customHeight="1">
      <c r="A18" s="1921" t="s">
        <v>867</v>
      </c>
      <c r="B18" s="1260">
        <v>28.31717214534272</v>
      </c>
      <c r="C18" s="1260">
        <v>36</v>
      </c>
      <c r="D18" s="1260">
        <v>29</v>
      </c>
      <c r="E18" s="1260">
        <v>28</v>
      </c>
      <c r="F18" s="1260">
        <v>27</v>
      </c>
      <c r="G18" s="1260">
        <v>28</v>
      </c>
      <c r="H18" s="1260">
        <v>39</v>
      </c>
      <c r="I18" s="1876">
        <f>EFFICIENCY!C19</f>
        <v>27.030028165210179</v>
      </c>
      <c r="J18" s="1890">
        <f>EFFICIENCY!C20</f>
        <v>28.897045379393514</v>
      </c>
      <c r="K18" s="1890">
        <f>EFFICIENCY!C21</f>
        <v>34.247114810911235</v>
      </c>
      <c r="L18" s="1890">
        <f>EFFICIENCY!C22</f>
        <v>29.523170404372436</v>
      </c>
      <c r="M18" s="1890">
        <f>EFFICIENCY!C23</f>
        <v>27.620734700247763</v>
      </c>
      <c r="N18" s="1890">
        <f>EFFICIENCY!C24</f>
        <v>30.775070271164022</v>
      </c>
      <c r="O18" s="1890">
        <f>EFFICIENCY!C25</f>
        <v>21.54180234759561</v>
      </c>
      <c r="P18" s="1890">
        <f>EFFICIENCY!C26</f>
        <v>24.887207535703432</v>
      </c>
      <c r="Q18" s="1890">
        <f>EFFICIENCY!C27</f>
        <v>27.796772736438797</v>
      </c>
      <c r="R18" s="1890">
        <f>EFFICIENCY!C28</f>
        <v>26.360567286862512</v>
      </c>
      <c r="S18" s="1890">
        <f>EFFICIENCY!C29</f>
        <v>11.946666666666667</v>
      </c>
      <c r="T18" s="1890">
        <f>EFFICIENCY!C30</f>
        <v>11.854000000000003</v>
      </c>
    </row>
    <row r="19" spans="1:20" s="23" customFormat="1" ht="20.100000000000001" customHeight="1">
      <c r="A19" s="1241" t="s">
        <v>220</v>
      </c>
      <c r="B19" s="1260">
        <v>23</v>
      </c>
      <c r="C19" s="1260">
        <v>19</v>
      </c>
      <c r="D19" s="1260">
        <v>18</v>
      </c>
      <c r="E19" s="1260">
        <v>20</v>
      </c>
      <c r="F19" s="1260">
        <v>21</v>
      </c>
      <c r="G19" s="1260">
        <v>21</v>
      </c>
      <c r="H19" s="1260">
        <v>31</v>
      </c>
      <c r="I19" s="1876">
        <f>EFFICIENCY!D19</f>
        <v>12.595023842727969</v>
      </c>
      <c r="J19" s="1890">
        <f>EFFICIENCY!D20</f>
        <v>14.813263053565796</v>
      </c>
      <c r="K19" s="1890">
        <f>EFFICIENCY!D21</f>
        <v>14.031227162690612</v>
      </c>
      <c r="L19" s="1890">
        <f>EFFICIENCY!D22</f>
        <v>12.678473371980241</v>
      </c>
      <c r="M19" s="1890">
        <f>EFFICIENCY!D23</f>
        <v>10.911562968686088</v>
      </c>
      <c r="N19" s="1890">
        <f>EFFICIENCY!D24</f>
        <v>10.355743920403777</v>
      </c>
      <c r="O19" s="1890">
        <f>EFFICIENCY!D25</f>
        <v>10.836217233686558</v>
      </c>
      <c r="P19" s="1890">
        <f>EFFICIENCY!D26</f>
        <v>9.454026096156106</v>
      </c>
      <c r="Q19" s="1890">
        <f>EFFICIENCY!D27</f>
        <v>9.8441333114738754</v>
      </c>
      <c r="R19" s="1890">
        <f>EFFICIENCY!D28</f>
        <v>9.2787826620130183</v>
      </c>
      <c r="S19" s="1890">
        <f>EFFICIENCY!D29</f>
        <v>11.946666666666667</v>
      </c>
      <c r="T19" s="1261">
        <f>EFFICIENCY!D30</f>
        <v>11.854000000000003</v>
      </c>
    </row>
    <row r="20" spans="1:20" ht="30">
      <c r="A20" s="1251" t="s">
        <v>68</v>
      </c>
      <c r="B20" s="1242">
        <v>30</v>
      </c>
      <c r="C20" s="1242">
        <v>30</v>
      </c>
      <c r="D20" s="1242">
        <v>30</v>
      </c>
      <c r="E20" s="1242">
        <v>30</v>
      </c>
      <c r="F20" s="1242">
        <v>30</v>
      </c>
      <c r="G20" s="1242">
        <v>30</v>
      </c>
      <c r="H20" s="1242">
        <v>30</v>
      </c>
      <c r="I20" s="1243">
        <v>30</v>
      </c>
      <c r="J20" s="1891">
        <v>30</v>
      </c>
      <c r="K20" s="1891">
        <v>30</v>
      </c>
      <c r="L20" s="1891">
        <v>30</v>
      </c>
      <c r="M20" s="1242">
        <v>30</v>
      </c>
      <c r="N20" s="1242">
        <v>30</v>
      </c>
      <c r="O20" s="1242">
        <v>30</v>
      </c>
      <c r="P20" s="1242">
        <v>30</v>
      </c>
      <c r="Q20" s="1242">
        <v>30</v>
      </c>
      <c r="R20" s="1242">
        <v>30</v>
      </c>
      <c r="S20" s="1242">
        <v>30</v>
      </c>
      <c r="T20" s="1244">
        <v>30</v>
      </c>
    </row>
    <row r="21" spans="1:20" ht="20.100000000000001" customHeight="1" thickBot="1">
      <c r="A21" s="1262"/>
      <c r="B21" s="1255"/>
      <c r="C21" s="1255"/>
      <c r="D21" s="1255"/>
      <c r="E21" s="1255"/>
      <c r="F21" s="1255"/>
      <c r="G21" s="1255"/>
      <c r="H21" s="1255"/>
      <c r="I21" s="1255"/>
      <c r="J21" s="1255"/>
      <c r="K21" s="1255"/>
      <c r="L21" s="1255"/>
      <c r="M21" s="1255"/>
      <c r="N21" s="1255"/>
      <c r="O21" s="1255"/>
      <c r="P21" s="1255"/>
      <c r="Q21" s="1255"/>
      <c r="R21" s="1255"/>
      <c r="S21" s="1255"/>
      <c r="T21" s="1256"/>
    </row>
    <row r="22" spans="1:20" ht="20.100000000000001" customHeight="1" thickTop="1" thickBot="1">
      <c r="A22" s="1257"/>
      <c r="B22" s="1258"/>
      <c r="C22" s="1258"/>
      <c r="D22" s="1258"/>
      <c r="E22" s="1258"/>
      <c r="F22" s="1258"/>
      <c r="G22" s="1258"/>
      <c r="H22" s="1258"/>
      <c r="I22" s="1258"/>
      <c r="J22" s="1258"/>
      <c r="K22" s="1258"/>
      <c r="L22" s="1258"/>
      <c r="M22" s="1258"/>
      <c r="N22" s="1258"/>
      <c r="O22" s="1258"/>
      <c r="P22" s="1258"/>
      <c r="Q22" s="1258"/>
      <c r="R22" s="1258"/>
      <c r="S22" s="1258"/>
      <c r="T22" s="1258"/>
    </row>
    <row r="23" spans="1:20" ht="20.100000000000001" customHeight="1" thickTop="1">
      <c r="A23" s="1920" t="s">
        <v>69</v>
      </c>
      <c r="B23" s="1240">
        <v>41548</v>
      </c>
      <c r="C23" s="1240">
        <v>42186</v>
      </c>
      <c r="D23" s="1240">
        <v>42217</v>
      </c>
      <c r="E23" s="1240">
        <v>42248</v>
      </c>
      <c r="F23" s="1240">
        <v>42278</v>
      </c>
      <c r="G23" s="1240">
        <v>42309</v>
      </c>
      <c r="H23" s="1240">
        <v>42339</v>
      </c>
      <c r="I23" s="1240">
        <v>42370</v>
      </c>
      <c r="J23" s="1240">
        <v>42401</v>
      </c>
      <c r="K23" s="1240">
        <v>42430</v>
      </c>
      <c r="L23" s="1240">
        <v>42461</v>
      </c>
      <c r="M23" s="1240">
        <v>42491</v>
      </c>
      <c r="N23" s="1240">
        <v>42522</v>
      </c>
      <c r="O23" s="1240">
        <v>42552</v>
      </c>
      <c r="P23" s="1240">
        <v>42583</v>
      </c>
      <c r="Q23" s="1240">
        <v>42614</v>
      </c>
      <c r="R23" s="1240">
        <v>42644</v>
      </c>
      <c r="S23" s="1240">
        <v>42675</v>
      </c>
      <c r="T23" s="1240">
        <v>42705</v>
      </c>
    </row>
    <row r="24" spans="1:20" ht="30">
      <c r="A24" s="1241" t="s">
        <v>174</v>
      </c>
      <c r="B24" s="1263">
        <v>2.1837791199309748</v>
      </c>
      <c r="C24" s="1263">
        <v>2.2565938404843382</v>
      </c>
      <c r="D24" s="1263">
        <v>2.309324634783676</v>
      </c>
      <c r="E24" s="1263">
        <v>2.3698763473809437</v>
      </c>
      <c r="F24" s="1263">
        <v>2.2844537887535115</v>
      </c>
      <c r="G24" s="1263">
        <v>2.2774724626957328</v>
      </c>
      <c r="H24" s="1263">
        <v>2.3532215216627024</v>
      </c>
      <c r="I24" s="1877">
        <f>COMPOSITE!B37</f>
        <v>2.4535280713106511</v>
      </c>
      <c r="J24" s="1265">
        <f>COMPOSITE!C37</f>
        <v>2.6307195590035586</v>
      </c>
      <c r="K24" s="1265">
        <f>COMPOSITE!D37</f>
        <v>2.6669153375206252</v>
      </c>
      <c r="L24" s="1265">
        <f>COMPOSITE!E37</f>
        <v>2.5634975250426058</v>
      </c>
      <c r="M24" s="1265">
        <f>COMPOSITE!F37</f>
        <v>2.508735201502168</v>
      </c>
      <c r="N24" s="1265">
        <f>COMPOSITE!G37</f>
        <v>2.4730433129831977</v>
      </c>
      <c r="O24" s="1265">
        <f>COMPOSITE!H37</f>
        <v>2.4498893808689788</v>
      </c>
      <c r="P24" s="1265">
        <f>COMPOSITE!I37</f>
        <v>2.3565025715411454</v>
      </c>
      <c r="Q24" s="1265">
        <f>COMPOSITE!J37</f>
        <v>2.4554369014526305</v>
      </c>
      <c r="R24" s="1265">
        <f>COMPOSITE!K37</f>
        <v>2.3262813590165505</v>
      </c>
      <c r="S24" s="1265">
        <f>COMPOSITE!L37</f>
        <v>2.2899899331860323</v>
      </c>
      <c r="T24" s="1264">
        <f>COMPOSITE!M37</f>
        <v>2.4360324798070732</v>
      </c>
    </row>
    <row r="25" spans="1:20" ht="30">
      <c r="A25" s="1241" t="s">
        <v>175</v>
      </c>
      <c r="B25" s="1263">
        <v>0.93649517684887462</v>
      </c>
      <c r="C25" s="1263">
        <v>1.150274320888532</v>
      </c>
      <c r="D25" s="1263">
        <v>1.159909005754048</v>
      </c>
      <c r="E25" s="1263">
        <v>1.1776762221298989</v>
      </c>
      <c r="F25" s="1263">
        <v>1.1822554783538215</v>
      </c>
      <c r="G25" s="1263">
        <v>1.2305150096392179</v>
      </c>
      <c r="H25" s="1263">
        <v>1.3229727037258419</v>
      </c>
      <c r="I25" s="1877">
        <f>COMPOSITE!B38</f>
        <v>1.2082868307727876</v>
      </c>
      <c r="J25" s="1265">
        <f>COMPOSITE!C38</f>
        <v>1.3393924019193628</v>
      </c>
      <c r="K25" s="1265">
        <f>COMPOSITE!D38</f>
        <v>1.28044758391309</v>
      </c>
      <c r="L25" s="1265">
        <f>COMPOSITE!E38</f>
        <v>1.2513025387102992</v>
      </c>
      <c r="M25" s="1265">
        <f>COMPOSITE!F38</f>
        <v>1.1786645569380483</v>
      </c>
      <c r="N25" s="1265">
        <f>COMPOSITE!G38</f>
        <v>1.1495636204430943</v>
      </c>
      <c r="O25" s="1265">
        <f>COMPOSITE!H38</f>
        <v>1.0822638364855908</v>
      </c>
      <c r="P25" s="1265">
        <f>COMPOSITE!I38</f>
        <v>1.125834511760069</v>
      </c>
      <c r="Q25" s="1265">
        <f>COMPOSITE!J38</f>
        <v>1.1256468523139915</v>
      </c>
      <c r="R25" s="1265">
        <f>COMPOSITE!K38</f>
        <v>1.1130986052670695</v>
      </c>
      <c r="S25" s="1265">
        <f>COMPOSITE!L38</f>
        <v>1.1920218731188086</v>
      </c>
      <c r="T25" s="1264">
        <f>COMPOSITE!M38</f>
        <v>1.1795074884792627</v>
      </c>
    </row>
    <row r="26" spans="1:20" ht="64.5" customHeight="1">
      <c r="A26" s="1266" t="s">
        <v>868</v>
      </c>
      <c r="B26" s="1263">
        <v>1.8562411105756234</v>
      </c>
      <c r="C26" s="1263">
        <v>1.8657118719073098</v>
      </c>
      <c r="D26" s="1263">
        <v>1.8934818881532913</v>
      </c>
      <c r="E26" s="1263">
        <v>1.9525699857586118</v>
      </c>
      <c r="F26" s="1263">
        <v>1.8893730699799642</v>
      </c>
      <c r="G26" s="1263">
        <v>1.9024682005003342</v>
      </c>
      <c r="H26" s="1263">
        <v>2.0066179496502201</v>
      </c>
      <c r="I26" s="1878">
        <f>COMPOSITE!B39</f>
        <v>1.8954812154065317</v>
      </c>
      <c r="J26" s="1265">
        <f>COMPOSITE!C39</f>
        <v>2.0055749314603193</v>
      </c>
      <c r="K26" s="1265">
        <f>COMPOSITE!D39</f>
        <v>2.0406857624623314</v>
      </c>
      <c r="L26" s="1265">
        <f>COMPOSITE!E39</f>
        <v>1.9389658151836666</v>
      </c>
      <c r="M26" s="1265">
        <f>COMPOSITE!F39</f>
        <v>1.9133240422385662</v>
      </c>
      <c r="N26" s="1265">
        <f>COMPOSITE!G39</f>
        <v>1.8662754846518852</v>
      </c>
      <c r="O26" s="1265">
        <f>COMPOSITE!H39</f>
        <v>1.8446512280718272</v>
      </c>
      <c r="P26" s="1265">
        <f>COMPOSITE!I39</f>
        <v>1.7907578355254672</v>
      </c>
      <c r="Q26" s="1265">
        <f>COMPOSITE!J39</f>
        <v>1.8521746184657093</v>
      </c>
      <c r="R26" s="1265">
        <f>COMPOSITE!K39</f>
        <v>1.790633691920031</v>
      </c>
      <c r="S26" s="1265">
        <f>COMPOSITE!L39</f>
        <v>1.7638412441629505</v>
      </c>
      <c r="T26" s="1264">
        <f>COMPOSITE!M39</f>
        <v>1.8826757341505362</v>
      </c>
    </row>
    <row r="27" spans="1:20" ht="33" customHeight="1">
      <c r="A27" s="2444" t="s">
        <v>176</v>
      </c>
      <c r="B27" s="1263">
        <v>2</v>
      </c>
      <c r="C27" s="1263">
        <v>2</v>
      </c>
      <c r="D27" s="1263">
        <v>2</v>
      </c>
      <c r="E27" s="1263">
        <v>2</v>
      </c>
      <c r="F27" s="1263">
        <v>2</v>
      </c>
      <c r="G27" s="1263">
        <v>2</v>
      </c>
      <c r="H27" s="1263">
        <v>2</v>
      </c>
      <c r="I27" s="1877">
        <v>2</v>
      </c>
      <c r="J27" s="1265">
        <v>2</v>
      </c>
      <c r="K27" s="1265">
        <v>2</v>
      </c>
      <c r="L27" s="1265">
        <v>2</v>
      </c>
      <c r="M27" s="1263">
        <v>2</v>
      </c>
      <c r="N27" s="1263">
        <v>2</v>
      </c>
      <c r="O27" s="1263">
        <v>2</v>
      </c>
      <c r="P27" s="1263">
        <v>2</v>
      </c>
      <c r="Q27" s="1263">
        <v>2</v>
      </c>
      <c r="R27" s="1263">
        <v>2</v>
      </c>
      <c r="S27" s="1263">
        <v>2</v>
      </c>
      <c r="T27" s="1267">
        <v>2</v>
      </c>
    </row>
    <row r="28" spans="1:20" ht="20.100000000000001" customHeight="1" thickBot="1">
      <c r="A28" s="1268"/>
      <c r="B28" s="1269"/>
      <c r="C28" s="1269"/>
      <c r="D28" s="1269"/>
      <c r="E28" s="1269"/>
      <c r="F28" s="1269"/>
      <c r="G28" s="1269"/>
      <c r="H28" s="1269"/>
      <c r="I28" s="1269"/>
      <c r="J28" s="1269"/>
      <c r="K28" s="1269"/>
      <c r="L28" s="1269"/>
      <c r="M28" s="1269"/>
      <c r="N28" s="1269"/>
      <c r="O28" s="1269"/>
      <c r="P28" s="1269"/>
      <c r="Q28" s="1269"/>
      <c r="R28" s="1269"/>
      <c r="S28" s="1269"/>
      <c r="T28" s="1270"/>
    </row>
    <row r="29" spans="1:20" ht="20.100000000000001" customHeight="1" thickTop="1" thickBot="1">
      <c r="A29" s="1257"/>
      <c r="B29" s="1258"/>
      <c r="C29" s="1258"/>
      <c r="D29" s="1258"/>
      <c r="E29" s="1258"/>
      <c r="F29" s="1258"/>
      <c r="G29" s="1258"/>
      <c r="H29" s="1258"/>
      <c r="I29" s="1258"/>
      <c r="J29" s="1258"/>
      <c r="K29" s="1258"/>
      <c r="L29" s="1258"/>
      <c r="M29" s="1258"/>
      <c r="N29" s="1258"/>
      <c r="O29" s="1258"/>
      <c r="P29" s="1258"/>
      <c r="Q29" s="1258"/>
      <c r="R29" s="1258"/>
      <c r="S29" s="1258"/>
      <c r="T29" s="1258"/>
    </row>
    <row r="30" spans="1:20" s="23" customFormat="1" ht="20.100000000000001" customHeight="1" thickTop="1">
      <c r="A30" s="1920" t="s">
        <v>165</v>
      </c>
      <c r="B30" s="1271"/>
      <c r="C30" s="1240">
        <v>42186</v>
      </c>
      <c r="D30" s="1240">
        <v>42217</v>
      </c>
      <c r="E30" s="1240">
        <v>42248</v>
      </c>
      <c r="F30" s="1240">
        <v>42278</v>
      </c>
      <c r="G30" s="1240">
        <v>42309</v>
      </c>
      <c r="H30" s="1240">
        <v>42339</v>
      </c>
      <c r="I30" s="1240">
        <v>42370</v>
      </c>
      <c r="J30" s="1240">
        <v>42401</v>
      </c>
      <c r="K30" s="1240">
        <v>42430</v>
      </c>
      <c r="L30" s="1240">
        <v>42461</v>
      </c>
      <c r="M30" s="1240">
        <v>42491</v>
      </c>
      <c r="N30" s="1240">
        <v>42522</v>
      </c>
      <c r="O30" s="1240">
        <v>42552</v>
      </c>
      <c r="P30" s="1240">
        <v>42583</v>
      </c>
      <c r="Q30" s="1240">
        <v>42614</v>
      </c>
      <c r="R30" s="1240">
        <v>42644</v>
      </c>
      <c r="S30" s="1240">
        <v>42675</v>
      </c>
      <c r="T30" s="1240">
        <v>42705</v>
      </c>
    </row>
    <row r="31" spans="1:20" s="23" customFormat="1" ht="20.100000000000001" customHeight="1">
      <c r="A31" s="1272" t="s">
        <v>148</v>
      </c>
      <c r="B31" s="1245"/>
      <c r="C31" s="1273">
        <v>112.49804082376527</v>
      </c>
      <c r="D31" s="1273">
        <v>109.96205128205128</v>
      </c>
      <c r="E31" s="1273">
        <v>109.8802829512894</v>
      </c>
      <c r="F31" s="1273">
        <v>118.66903494894291</v>
      </c>
      <c r="G31" s="1273">
        <v>120.05016642891108</v>
      </c>
      <c r="H31" s="1273">
        <v>117.59322373696872</v>
      </c>
      <c r="I31" s="1276">
        <f>COMPOSITE!C367</f>
        <v>109.20528450402765</v>
      </c>
      <c r="J31" s="1888">
        <f>COMPOSITE!F367</f>
        <v>130.10862369544793</v>
      </c>
      <c r="K31" s="1279">
        <f>COMPOSITE!I367</f>
        <v>130.3032408883777</v>
      </c>
      <c r="L31" s="1275"/>
      <c r="M31" s="1275"/>
      <c r="N31" s="1275"/>
      <c r="O31" s="1273"/>
      <c r="P31" s="1273"/>
      <c r="Q31" s="1273"/>
      <c r="R31" s="1273"/>
      <c r="S31" s="1276"/>
      <c r="T31" s="1277"/>
    </row>
    <row r="32" spans="1:20" s="23" customFormat="1" ht="20.100000000000001" customHeight="1">
      <c r="A32" s="1272" t="s">
        <v>149</v>
      </c>
      <c r="B32" s="1245"/>
      <c r="C32" s="1273">
        <v>119.74021877384889</v>
      </c>
      <c r="D32" s="1273">
        <v>123.89096388518354</v>
      </c>
      <c r="E32" s="1273">
        <v>123.80100605124885</v>
      </c>
      <c r="F32" s="1273">
        <v>126.99421371908539</v>
      </c>
      <c r="G32" s="1273">
        <v>127.59606129685918</v>
      </c>
      <c r="H32" s="1273">
        <v>169.74761403172778</v>
      </c>
      <c r="I32" s="1276">
        <f>COMPOSITE!B367</f>
        <v>166.84695284007549</v>
      </c>
      <c r="J32" s="1888">
        <f>COMPOSITE!E367</f>
        <v>117.92154907889878</v>
      </c>
      <c r="K32" s="1279">
        <f>COMPOSITE!H367</f>
        <v>118.47119799845214</v>
      </c>
      <c r="L32" s="1275"/>
      <c r="M32" s="1275"/>
      <c r="N32" s="1275"/>
      <c r="O32" s="1273"/>
      <c r="P32" s="1273"/>
      <c r="Q32" s="1273"/>
      <c r="R32" s="1273"/>
      <c r="S32" s="1276"/>
      <c r="T32" s="1277"/>
    </row>
    <row r="33" spans="1:20" s="23" customFormat="1" ht="20.100000000000001" customHeight="1">
      <c r="A33" s="1272" t="s">
        <v>79</v>
      </c>
      <c r="B33" s="1245"/>
      <c r="C33" s="1273">
        <v>7.2421779500836294</v>
      </c>
      <c r="D33" s="1273">
        <v>13.928912603132261</v>
      </c>
      <c r="E33" s="1273">
        <v>13.920723099959446</v>
      </c>
      <c r="F33" s="1273">
        <v>8.325178770142486</v>
      </c>
      <c r="G33" s="1273">
        <v>7.5458948679480926</v>
      </c>
      <c r="H33" s="1273">
        <v>52.154390294759054</v>
      </c>
      <c r="I33" s="1276">
        <f>COMPOSITE!D367</f>
        <v>57.641668336047843</v>
      </c>
      <c r="J33" s="1888">
        <f>COMPOSITE!G367</f>
        <v>-12.187074616549154</v>
      </c>
      <c r="K33" s="1282">
        <f>COMPOSITE!H367</f>
        <v>118.47119799845214</v>
      </c>
      <c r="L33" s="1278"/>
      <c r="M33" s="1278"/>
      <c r="N33" s="1278"/>
      <c r="O33" s="1273"/>
      <c r="P33" s="1273"/>
      <c r="Q33" s="1273"/>
      <c r="R33" s="1273"/>
      <c r="S33" s="1276"/>
      <c r="T33" s="1277"/>
    </row>
    <row r="34" spans="1:20" s="23" customFormat="1" ht="20.100000000000001" customHeight="1">
      <c r="A34" s="2445" t="s">
        <v>221</v>
      </c>
      <c r="B34" s="1245"/>
      <c r="C34" s="1273">
        <v>6.3776274166878641</v>
      </c>
      <c r="D34" s="1273">
        <v>7.3517496665184536</v>
      </c>
      <c r="E34" s="1273">
        <v>7.0612352765395832</v>
      </c>
      <c r="F34" s="1273">
        <v>9.3229209441592786</v>
      </c>
      <c r="G34" s="1273">
        <v>9.7513202095997968</v>
      </c>
      <c r="H34" s="1273">
        <v>10.875494709374701</v>
      </c>
      <c r="I34" s="1276">
        <f>SUM(I35:I38)/I39</f>
        <v>14.247882833787466</v>
      </c>
      <c r="J34" s="1888">
        <f>SUM(J35:J38)/J39</f>
        <v>4.6730074140801996</v>
      </c>
      <c r="K34" s="1279">
        <f>SUM(K35:K38)/K39</f>
        <v>4.5950540292670814</v>
      </c>
      <c r="L34" s="1274"/>
      <c r="M34" s="1274"/>
      <c r="N34" s="1274"/>
      <c r="O34" s="1274"/>
      <c r="P34" s="1274"/>
      <c r="Q34" s="1274"/>
      <c r="R34" s="1274"/>
      <c r="S34" s="1280"/>
      <c r="T34" s="1281"/>
    </row>
    <row r="35" spans="1:20" s="23" customFormat="1" ht="20.100000000000001" customHeight="1">
      <c r="A35" s="2446" t="s">
        <v>223</v>
      </c>
      <c r="B35" s="1242"/>
      <c r="C35" s="1274">
        <v>30000</v>
      </c>
      <c r="D35" s="1274">
        <v>58545</v>
      </c>
      <c r="E35" s="1274">
        <v>71352</v>
      </c>
      <c r="F35" s="1274">
        <v>58623</v>
      </c>
      <c r="G35" s="1274">
        <v>56565</v>
      </c>
      <c r="H35" s="1274">
        <v>69899</v>
      </c>
      <c r="I35" s="1280">
        <f>'TOTAL LABOR COST'!M16</f>
        <v>96876.57</v>
      </c>
      <c r="J35" s="1888">
        <f>'TOTAL LABOR COST'!M44</f>
        <v>79438.78</v>
      </c>
      <c r="K35" s="1282">
        <f>'TOTAL LABOR COST'!M72</f>
        <v>107352.47</v>
      </c>
      <c r="L35" s="1274"/>
      <c r="M35" s="1274"/>
      <c r="N35" s="1274"/>
      <c r="O35" s="1274"/>
      <c r="P35" s="1274"/>
      <c r="Q35" s="1280"/>
      <c r="R35" s="1274"/>
      <c r="S35" s="1280"/>
      <c r="T35" s="1281"/>
    </row>
    <row r="36" spans="1:20" s="23" customFormat="1" ht="20.100000000000001" customHeight="1">
      <c r="A36" s="2446" t="s">
        <v>222</v>
      </c>
      <c r="B36" s="1242"/>
      <c r="C36" s="1274">
        <v>77010</v>
      </c>
      <c r="D36" s="1274">
        <v>77757.5</v>
      </c>
      <c r="E36" s="1273">
        <v>80585</v>
      </c>
      <c r="F36" s="1274">
        <v>87797.5</v>
      </c>
      <c r="G36" s="1274">
        <v>76140</v>
      </c>
      <c r="H36" s="1274">
        <v>80735</v>
      </c>
      <c r="I36" s="1280">
        <f>SUM(COMPOSITE!B226,COMPOSITE!B269)</f>
        <v>479749.4</v>
      </c>
      <c r="J36" s="1888">
        <f>SUM(COMPOSITE!E226,COMPOSITE!F269)</f>
        <v>108007.2</v>
      </c>
      <c r="K36" s="1282">
        <f>SUM(COMPOSITE!H226,COMPOSITE!J269)</f>
        <v>119379.3</v>
      </c>
      <c r="L36" s="1274"/>
      <c r="M36" s="1274"/>
      <c r="N36" s="1283"/>
      <c r="O36" s="1273"/>
      <c r="P36" s="1273"/>
      <c r="Q36" s="1276"/>
      <c r="R36" s="1273"/>
      <c r="S36" s="1276"/>
      <c r="T36" s="1277"/>
    </row>
    <row r="37" spans="1:20" s="23" customFormat="1" ht="20.100000000000001" customHeight="1">
      <c r="A37" s="2446" t="s">
        <v>224</v>
      </c>
      <c r="B37" s="1242"/>
      <c r="C37" s="1274">
        <v>57020</v>
      </c>
      <c r="D37" s="1274">
        <v>98810</v>
      </c>
      <c r="E37" s="1274">
        <v>69120</v>
      </c>
      <c r="F37" s="1274">
        <v>65920</v>
      </c>
      <c r="G37" s="1274">
        <v>106880</v>
      </c>
      <c r="H37" s="1274">
        <v>131171</v>
      </c>
      <c r="I37" s="1280">
        <f>SUM(COMPOSITE!C226,COMPOSITE!C269)</f>
        <v>46021</v>
      </c>
      <c r="J37" s="1888">
        <f>SUM(COMPOSITE!F226,COMPOSITE!G269)</f>
        <v>43095.5</v>
      </c>
      <c r="K37" s="1282">
        <f>SUM(COMPOSITE!I226,COMPOSITE!K269)</f>
        <v>41240</v>
      </c>
      <c r="L37" s="1274"/>
      <c r="M37" s="1274"/>
      <c r="N37" s="1275"/>
      <c r="O37" s="1273"/>
      <c r="P37" s="1273"/>
      <c r="Q37" s="1273"/>
      <c r="R37" s="1273"/>
      <c r="S37" s="1276"/>
      <c r="T37" s="1277"/>
    </row>
    <row r="38" spans="1:20" s="23" customFormat="1" ht="20.100000000000001" customHeight="1">
      <c r="A38" s="2446" t="s">
        <v>157</v>
      </c>
      <c r="B38" s="1242"/>
      <c r="C38" s="1274">
        <v>86674.533749999959</v>
      </c>
      <c r="D38" s="1274">
        <v>62501.03</v>
      </c>
      <c r="E38" s="1274">
        <v>62501.025000000009</v>
      </c>
      <c r="F38" s="1274">
        <v>87344.793749999997</v>
      </c>
      <c r="G38" s="1274">
        <v>68400.697500000009</v>
      </c>
      <c r="H38" s="1274">
        <v>58913.373749999999</v>
      </c>
      <c r="I38" s="1280">
        <f>COMPOSITE!D269</f>
        <v>57119.519999999997</v>
      </c>
      <c r="J38" s="1888">
        <f>COMPOSITE!H269</f>
        <v>96061.27</v>
      </c>
      <c r="K38" s="1282">
        <f>COMPOSITE!L269</f>
        <v>70274.890000000014</v>
      </c>
      <c r="L38" s="1274"/>
      <c r="M38" s="1274"/>
      <c r="N38" s="1274"/>
      <c r="O38" s="1280"/>
      <c r="P38" s="1280"/>
      <c r="Q38" s="1280"/>
      <c r="R38" s="1280"/>
      <c r="S38" s="1280"/>
      <c r="T38" s="1281"/>
    </row>
    <row r="39" spans="1:20" s="23" customFormat="1" ht="15">
      <c r="A39" s="2446" t="s">
        <v>225</v>
      </c>
      <c r="B39" s="1242"/>
      <c r="C39" s="1284">
        <v>39310</v>
      </c>
      <c r="D39" s="1284">
        <v>40482</v>
      </c>
      <c r="E39" s="1284">
        <v>40157</v>
      </c>
      <c r="F39" s="1284">
        <v>32145</v>
      </c>
      <c r="G39" s="1284">
        <v>31584</v>
      </c>
      <c r="H39" s="1284">
        <v>31329</v>
      </c>
      <c r="I39" s="1879">
        <f>'TOTAL LABOR COST'!F16</f>
        <v>47710</v>
      </c>
      <c r="J39" s="1889">
        <f>'TOTAL LABOR COST'!F44</f>
        <v>69891.34</v>
      </c>
      <c r="K39" s="1285">
        <f>'TOTAL LABOR COST'!F72</f>
        <v>73611.03</v>
      </c>
      <c r="L39" s="1284"/>
      <c r="M39" s="1284"/>
      <c r="N39" s="1284"/>
      <c r="O39" s="1284"/>
      <c r="P39" s="1284"/>
      <c r="Q39" s="1284"/>
      <c r="R39" s="1284"/>
      <c r="S39" s="1284"/>
      <c r="T39" s="1286"/>
    </row>
    <row r="40" spans="1:20" s="23" customFormat="1" ht="20.100000000000001" customHeight="1" thickBot="1">
      <c r="A40" s="1268"/>
      <c r="B40" s="1255"/>
      <c r="C40" s="1269"/>
      <c r="D40" s="1269"/>
      <c r="E40" s="1269"/>
      <c r="F40" s="1269"/>
      <c r="G40" s="1269"/>
      <c r="H40" s="1269"/>
      <c r="I40" s="1269"/>
      <c r="J40" s="1269"/>
      <c r="K40" s="1269"/>
      <c r="L40" s="1269"/>
      <c r="M40" s="1269"/>
      <c r="N40" s="1269"/>
      <c r="O40" s="1269"/>
      <c r="P40" s="1269"/>
      <c r="Q40" s="1269"/>
      <c r="R40" s="1269"/>
      <c r="S40" s="1269"/>
      <c r="T40" s="1270"/>
    </row>
    <row r="41" spans="1:20" ht="17.25" thickTop="1"/>
  </sheetData>
  <sheetProtection formatCells="0" formatColumns="0" formatRows="0" insertColumns="0" insertRows="0" insertHyperlinks="0" deleteColumns="0" deleteRows="0" sort="0" autoFilter="0" pivotTables="0"/>
  <printOptions horizontalCentered="1"/>
  <pageMargins left="0" right="0" top="0" bottom="0" header="0.3" footer="0.3"/>
  <pageSetup paperSize="5" scale="57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3" tint="-0.499984740745262"/>
    <pageSetUpPr fitToPage="1"/>
  </sheetPr>
  <dimension ref="A1:P83"/>
  <sheetViews>
    <sheetView showGridLines="0" workbookViewId="0"/>
  </sheetViews>
  <sheetFormatPr defaultRowHeight="15"/>
  <cols>
    <col min="1" max="1" width="11" style="23" bestFit="1" customWidth="1"/>
    <col min="2" max="2" width="26.28515625" bestFit="1" customWidth="1"/>
    <col min="3" max="4" width="15.85546875" bestFit="1" customWidth="1"/>
    <col min="5" max="5" width="15.140625" bestFit="1" customWidth="1"/>
    <col min="6" max="7" width="11.140625" bestFit="1" customWidth="1"/>
    <col min="8" max="8" width="2.28515625" customWidth="1"/>
    <col min="9" max="10" width="8.28515625" bestFit="1" customWidth="1"/>
    <col min="11" max="11" width="8.42578125" bestFit="1" customWidth="1"/>
    <col min="12" max="12" width="15.140625" bestFit="1" customWidth="1"/>
    <col min="13" max="13" width="13.85546875" style="147" customWidth="1"/>
    <col min="14" max="14" width="14.85546875" bestFit="1" customWidth="1"/>
    <col min="16" max="16" width="12.140625" bestFit="1" customWidth="1"/>
  </cols>
  <sheetData>
    <row r="1" spans="1:14" s="23" customFormat="1">
      <c r="A1" s="1970" t="s">
        <v>238</v>
      </c>
      <c r="B1" s="1971" t="s">
        <v>235</v>
      </c>
      <c r="C1" s="1972"/>
      <c r="D1" s="1972"/>
      <c r="E1" s="1972"/>
      <c r="F1" s="1972"/>
      <c r="G1" s="1972"/>
      <c r="H1" s="1972"/>
      <c r="I1" s="1973"/>
      <c r="J1" s="1973"/>
      <c r="K1" s="1973"/>
      <c r="L1" s="1973"/>
      <c r="M1" s="1974"/>
      <c r="N1" s="1973"/>
    </row>
    <row r="2" spans="1:14" s="23" customFormat="1">
      <c r="A2" s="1972"/>
      <c r="B2" s="1971" t="s">
        <v>236</v>
      </c>
      <c r="C2" s="1972"/>
      <c r="D2" s="1972"/>
      <c r="E2" s="1972"/>
      <c r="F2" s="1972"/>
      <c r="G2" s="1972"/>
      <c r="H2" s="1972"/>
      <c r="I2" s="1973"/>
      <c r="J2" s="1973"/>
      <c r="K2" s="1973"/>
      <c r="L2" s="1973"/>
      <c r="M2" s="1974"/>
      <c r="N2" s="1973"/>
    </row>
    <row r="3" spans="1:14" s="23" customFormat="1">
      <c r="A3" s="1972"/>
      <c r="B3" s="1971" t="s">
        <v>380</v>
      </c>
      <c r="C3" s="1975"/>
      <c r="D3" s="1975"/>
      <c r="E3" s="1975"/>
      <c r="F3" s="1975"/>
      <c r="G3" s="1975"/>
      <c r="H3" s="1975"/>
      <c r="I3" s="1973"/>
      <c r="J3" s="1973"/>
      <c r="K3" s="1973"/>
      <c r="L3" s="1973"/>
      <c r="M3" s="1974"/>
      <c r="N3" s="1973"/>
    </row>
    <row r="4" spans="1:14" s="23" customFormat="1">
      <c r="A4" s="1972"/>
      <c r="B4" s="1971" t="s">
        <v>237</v>
      </c>
      <c r="C4" s="1972"/>
      <c r="D4" s="1972"/>
      <c r="E4" s="1972"/>
      <c r="F4" s="1972"/>
      <c r="G4" s="1972"/>
      <c r="H4" s="1972"/>
      <c r="I4" s="1973"/>
      <c r="J4" s="1973"/>
      <c r="K4" s="1973"/>
      <c r="L4" s="1973"/>
      <c r="M4" s="1974"/>
      <c r="N4" s="1973"/>
    </row>
    <row r="5" spans="1:14" s="23" customFormat="1" ht="16.5">
      <c r="A5" s="1976"/>
      <c r="B5" s="1976"/>
      <c r="C5" s="1976"/>
      <c r="D5" s="1976"/>
      <c r="E5" s="1976"/>
      <c r="F5" s="1976"/>
      <c r="G5" s="1976"/>
      <c r="H5" s="1976"/>
      <c r="I5" s="1976"/>
      <c r="J5" s="1976"/>
      <c r="K5" s="1976"/>
      <c r="L5" s="1976"/>
      <c r="M5" s="2829" t="s">
        <v>553</v>
      </c>
      <c r="N5" s="2830"/>
    </row>
    <row r="6" spans="1:14" ht="16.5">
      <c r="A6" s="1977"/>
      <c r="B6" s="2827">
        <v>42370</v>
      </c>
      <c r="C6" s="2832" t="s">
        <v>240</v>
      </c>
      <c r="D6" s="2832"/>
      <c r="E6" s="1978"/>
      <c r="F6" s="2832" t="s">
        <v>225</v>
      </c>
      <c r="G6" s="2832"/>
      <c r="H6" s="1978"/>
      <c r="I6" s="2832" t="s">
        <v>239</v>
      </c>
      <c r="J6" s="2832"/>
      <c r="K6" s="2832"/>
      <c r="L6" s="1978"/>
      <c r="M6" s="2831"/>
      <c r="N6" s="2830"/>
    </row>
    <row r="7" spans="1:14" ht="16.5">
      <c r="A7" s="1977"/>
      <c r="B7" s="2828"/>
      <c r="C7" s="1979" t="s">
        <v>149</v>
      </c>
      <c r="D7" s="1979" t="s">
        <v>148</v>
      </c>
      <c r="E7" s="1980"/>
      <c r="F7" s="1981" t="s">
        <v>149</v>
      </c>
      <c r="G7" s="1981" t="s">
        <v>552</v>
      </c>
      <c r="H7" s="1980"/>
      <c r="I7" s="1979" t="s">
        <v>149</v>
      </c>
      <c r="J7" s="1979" t="s">
        <v>148</v>
      </c>
      <c r="K7" s="1979" t="s">
        <v>79</v>
      </c>
      <c r="L7" s="1980"/>
      <c r="M7" s="1979" t="s">
        <v>149</v>
      </c>
      <c r="N7" s="1979" t="s">
        <v>148</v>
      </c>
    </row>
    <row r="8" spans="1:14">
      <c r="A8" s="1983" t="s">
        <v>34</v>
      </c>
      <c r="B8" s="771" t="s">
        <v>549</v>
      </c>
      <c r="C8" s="768">
        <v>4104486.4700000007</v>
      </c>
      <c r="D8" s="768">
        <v>3753692.3420500662</v>
      </c>
      <c r="E8" s="1983" t="s">
        <v>34</v>
      </c>
      <c r="F8" s="772">
        <v>34215</v>
      </c>
      <c r="G8" s="772">
        <v>41393.657895529803</v>
      </c>
      <c r="H8" s="128"/>
      <c r="I8" s="2017">
        <f>C26/F16</f>
        <v>166.84695284007549</v>
      </c>
      <c r="J8" s="2017">
        <f>D26/G16</f>
        <v>109.20528450402765</v>
      </c>
      <c r="K8" s="2017">
        <f>I8-J8</f>
        <v>57.641668336047843</v>
      </c>
      <c r="L8" s="1982" t="s">
        <v>34</v>
      </c>
      <c r="M8" s="1327">
        <v>47308.160000000003</v>
      </c>
      <c r="N8" s="1327">
        <v>60531.616666657297</v>
      </c>
    </row>
    <row r="9" spans="1:14">
      <c r="B9" s="771" t="s">
        <v>548</v>
      </c>
      <c r="C9" s="768">
        <v>508968.10999999993</v>
      </c>
      <c r="D9" s="768">
        <v>566282.90442572208</v>
      </c>
      <c r="E9" s="769" t="s">
        <v>28</v>
      </c>
      <c r="F9" s="2015">
        <v>4500</v>
      </c>
      <c r="G9" s="2015">
        <v>6248</v>
      </c>
      <c r="H9" s="128"/>
      <c r="I9" s="128"/>
      <c r="J9" s="128"/>
      <c r="K9" s="128"/>
      <c r="L9" s="769" t="s">
        <v>28</v>
      </c>
      <c r="M9" s="1327">
        <v>13223.44</v>
      </c>
      <c r="N9" s="1327">
        <v>14208.333333340001</v>
      </c>
    </row>
    <row r="10" spans="1:14">
      <c r="B10" s="771" t="s">
        <v>547</v>
      </c>
      <c r="C10" s="768">
        <v>133855.35999999999</v>
      </c>
      <c r="D10" s="768">
        <v>126905.90163934001</v>
      </c>
      <c r="E10" s="769" t="s">
        <v>146</v>
      </c>
      <c r="F10" s="772">
        <v>5314</v>
      </c>
      <c r="G10" s="772">
        <v>7827</v>
      </c>
      <c r="H10" s="128"/>
      <c r="I10" s="128"/>
      <c r="J10" s="128"/>
      <c r="K10" s="128"/>
      <c r="L10" s="769" t="s">
        <v>146</v>
      </c>
      <c r="M10" s="1327">
        <v>2418.6499999999996</v>
      </c>
      <c r="N10" s="1327">
        <v>5416.6666666669998</v>
      </c>
    </row>
    <row r="11" spans="1:14">
      <c r="B11" s="771" t="s">
        <v>550</v>
      </c>
      <c r="C11" s="768">
        <v>89691.86</v>
      </c>
      <c r="D11" s="768">
        <v>379469.23331390001</v>
      </c>
      <c r="E11" s="769" t="s">
        <v>9</v>
      </c>
      <c r="F11" s="772">
        <v>421</v>
      </c>
      <c r="G11" s="772">
        <v>474</v>
      </c>
      <c r="H11" s="128"/>
      <c r="I11" s="128"/>
      <c r="J11" s="128"/>
      <c r="K11" s="128"/>
      <c r="L11" s="769" t="s">
        <v>9</v>
      </c>
      <c r="M11" s="2003">
        <v>0</v>
      </c>
      <c r="N11" s="2003">
        <v>162.5</v>
      </c>
    </row>
    <row r="12" spans="1:14">
      <c r="B12" s="771" t="s">
        <v>551</v>
      </c>
      <c r="C12" s="768">
        <v>288725</v>
      </c>
      <c r="D12" s="768">
        <v>345462.814671</v>
      </c>
      <c r="E12" s="769" t="s">
        <v>41</v>
      </c>
      <c r="F12" s="772">
        <v>671</v>
      </c>
      <c r="G12" s="772">
        <v>943</v>
      </c>
      <c r="H12" s="128"/>
      <c r="I12" s="128"/>
      <c r="J12" s="128"/>
      <c r="K12" s="128"/>
      <c r="L12" s="769" t="s">
        <v>41</v>
      </c>
      <c r="M12" s="776">
        <v>51.32</v>
      </c>
      <c r="N12" s="2004">
        <v>2041.6666666663</v>
      </c>
    </row>
    <row r="13" spans="1:14">
      <c r="B13" s="769" t="s">
        <v>28</v>
      </c>
      <c r="C13" s="768">
        <v>525687.58000000007</v>
      </c>
      <c r="D13" s="768">
        <v>619448.88221395994</v>
      </c>
      <c r="E13" s="769" t="s">
        <v>377</v>
      </c>
      <c r="F13" s="1968">
        <v>1286</v>
      </c>
      <c r="G13" s="1968">
        <f>COMPOSITE!B166</f>
        <v>4990</v>
      </c>
      <c r="H13" s="128"/>
      <c r="I13" s="128"/>
      <c r="J13" s="128"/>
      <c r="K13" s="128"/>
      <c r="L13" s="769" t="s">
        <v>377</v>
      </c>
      <c r="M13" s="2005">
        <v>28324</v>
      </c>
      <c r="N13" s="2006">
        <v>0</v>
      </c>
    </row>
    <row r="14" spans="1:14">
      <c r="B14" s="769"/>
      <c r="C14" s="768">
        <v>103256.8</v>
      </c>
      <c r="D14" s="768">
        <v>96979.090710350007</v>
      </c>
      <c r="E14" s="769" t="s">
        <v>634</v>
      </c>
      <c r="F14" s="1968">
        <v>509</v>
      </c>
      <c r="G14" s="1968">
        <f>COMPOSITE!B167</f>
        <v>1622</v>
      </c>
      <c r="H14" s="147"/>
      <c r="I14" s="147"/>
      <c r="J14" s="147"/>
      <c r="K14" s="147"/>
      <c r="L14" s="769" t="s">
        <v>634</v>
      </c>
      <c r="M14" s="2005">
        <v>4213</v>
      </c>
      <c r="N14" s="2006">
        <v>0</v>
      </c>
    </row>
    <row r="15" spans="1:14">
      <c r="B15" s="769"/>
      <c r="C15" s="768">
        <v>66339.789999999994</v>
      </c>
      <c r="D15" s="768">
        <v>65700</v>
      </c>
      <c r="E15" s="769" t="s">
        <v>432</v>
      </c>
      <c r="F15" s="1966">
        <v>794</v>
      </c>
      <c r="G15" s="1966">
        <f>COMPOSITE!B168</f>
        <v>1990</v>
      </c>
      <c r="H15" s="128"/>
      <c r="I15" s="128"/>
      <c r="J15" s="128"/>
      <c r="K15" s="128"/>
      <c r="L15" s="769" t="s">
        <v>432</v>
      </c>
      <c r="M15" s="2007">
        <v>1338</v>
      </c>
      <c r="N15" s="2008">
        <v>0</v>
      </c>
    </row>
    <row r="16" spans="1:14" s="23" customFormat="1">
      <c r="B16" s="769"/>
      <c r="C16" s="768">
        <v>0</v>
      </c>
      <c r="D16" s="767">
        <v>78000</v>
      </c>
      <c r="E16" s="128"/>
      <c r="F16" s="805">
        <f>SUM(F8:F15)</f>
        <v>47710</v>
      </c>
      <c r="G16" s="805">
        <f>SUM(G8:G15)</f>
        <v>65487.657895529803</v>
      </c>
      <c r="H16" s="128"/>
      <c r="I16" s="128"/>
      <c r="J16" s="128"/>
      <c r="K16" s="128"/>
      <c r="L16" s="128"/>
      <c r="M16" s="2002">
        <f>SUM(M8:M15)</f>
        <v>96876.57</v>
      </c>
      <c r="N16" s="2002">
        <f>SUM(N8:N15)</f>
        <v>82360.783333330604</v>
      </c>
    </row>
    <row r="17" spans="1:14" s="23" customFormat="1">
      <c r="B17" s="769" t="s">
        <v>146</v>
      </c>
      <c r="C17" s="768">
        <v>635034.84000000008</v>
      </c>
      <c r="D17" s="768">
        <v>703586.90995419992</v>
      </c>
      <c r="E17" s="147"/>
      <c r="H17" s="147"/>
      <c r="I17" s="147"/>
      <c r="J17" s="147"/>
      <c r="K17" s="147"/>
      <c r="L17" s="147"/>
      <c r="M17" s="147"/>
    </row>
    <row r="18" spans="1:14">
      <c r="B18" s="769"/>
      <c r="C18" s="768">
        <v>150207.70000000001</v>
      </c>
      <c r="D18" s="768">
        <v>112192.30950818</v>
      </c>
      <c r="E18" s="147"/>
      <c r="F18" s="23"/>
      <c r="G18" s="23"/>
      <c r="H18" s="147"/>
      <c r="I18" s="147"/>
      <c r="J18" s="147"/>
      <c r="K18" s="147"/>
      <c r="L18" s="147"/>
      <c r="N18" s="23"/>
    </row>
    <row r="19" spans="1:14">
      <c r="B19" s="769"/>
      <c r="C19" s="768">
        <v>0</v>
      </c>
      <c r="D19" s="768">
        <v>750</v>
      </c>
      <c r="E19" s="23"/>
      <c r="F19" s="23"/>
      <c r="G19" s="23"/>
      <c r="H19" s="23"/>
      <c r="I19" s="23"/>
      <c r="J19" s="23"/>
      <c r="K19" s="23"/>
      <c r="L19" s="23"/>
    </row>
    <row r="20" spans="1:14">
      <c r="B20" s="769"/>
      <c r="C20" s="768">
        <v>0</v>
      </c>
      <c r="D20" s="768">
        <v>32500</v>
      </c>
      <c r="E20" s="23"/>
      <c r="F20" s="23"/>
      <c r="G20" s="23"/>
      <c r="H20" s="23"/>
      <c r="I20" s="23"/>
      <c r="J20" s="23"/>
      <c r="K20" s="23"/>
      <c r="L20" s="23"/>
    </row>
    <row r="21" spans="1:14">
      <c r="B21" s="769" t="s">
        <v>9</v>
      </c>
      <c r="C21" s="770">
        <v>131880</v>
      </c>
      <c r="D21" s="770">
        <v>144201.25683059701</v>
      </c>
      <c r="F21" s="23"/>
      <c r="G21" s="23"/>
    </row>
    <row r="22" spans="1:14">
      <c r="B22" s="769" t="s">
        <v>41</v>
      </c>
      <c r="C22" s="772">
        <v>156498.61000000002</v>
      </c>
      <c r="D22" s="772">
        <v>126426.666666449</v>
      </c>
      <c r="F22" s="23"/>
      <c r="G22" s="23"/>
    </row>
    <row r="23" spans="1:14">
      <c r="B23" s="769" t="s">
        <v>377</v>
      </c>
      <c r="C23" s="1968">
        <v>950328</v>
      </c>
      <c r="D23" s="803">
        <v>0</v>
      </c>
    </row>
    <row r="24" spans="1:14">
      <c r="B24" s="769" t="s">
        <v>634</v>
      </c>
      <c r="C24" s="1968">
        <v>69789</v>
      </c>
      <c r="D24" s="803">
        <v>0</v>
      </c>
    </row>
    <row r="25" spans="1:14">
      <c r="B25" s="769" t="s">
        <v>432</v>
      </c>
      <c r="C25" s="1966">
        <v>45519</v>
      </c>
      <c r="D25" s="804">
        <v>0</v>
      </c>
    </row>
    <row r="26" spans="1:14" s="23" customFormat="1">
      <c r="B26" s="127"/>
      <c r="C26" s="2000">
        <f>SUM(C8:C25)</f>
        <v>7960268.120000002</v>
      </c>
      <c r="D26" s="2000">
        <f>SUM(D8:D25)</f>
        <v>7151598.3119837642</v>
      </c>
      <c r="E26"/>
      <c r="F26"/>
      <c r="G26"/>
      <c r="H26"/>
      <c r="I26"/>
      <c r="J26"/>
      <c r="K26"/>
      <c r="L26"/>
      <c r="M26" s="147"/>
      <c r="N26"/>
    </row>
    <row r="27" spans="1:14">
      <c r="B27" s="127"/>
      <c r="C27" s="1985"/>
      <c r="D27" s="1985"/>
      <c r="E27" s="23"/>
      <c r="F27" s="23"/>
      <c r="G27" s="23"/>
      <c r="H27" s="23"/>
      <c r="I27" s="23"/>
      <c r="J27" s="23"/>
      <c r="K27" s="23"/>
      <c r="L27" s="23"/>
      <c r="N27" s="23"/>
    </row>
    <row r="28" spans="1:14">
      <c r="B28" s="23"/>
      <c r="C28" s="23"/>
      <c r="D28" s="23"/>
    </row>
    <row r="29" spans="1:14">
      <c r="A29" s="1970" t="s">
        <v>238</v>
      </c>
      <c r="B29" s="1971" t="s">
        <v>235</v>
      </c>
      <c r="C29" s="1972"/>
      <c r="D29" s="1972"/>
      <c r="E29" s="1972"/>
      <c r="F29" s="1972"/>
      <c r="G29" s="1972"/>
      <c r="H29" s="1972"/>
      <c r="I29" s="1973"/>
      <c r="J29" s="1973"/>
      <c r="K29" s="1973"/>
      <c r="L29" s="1973"/>
      <c r="M29" s="1974"/>
      <c r="N29" s="1973"/>
    </row>
    <row r="30" spans="1:14">
      <c r="A30" s="1972"/>
      <c r="B30" s="1971" t="s">
        <v>236</v>
      </c>
      <c r="C30" s="1972"/>
      <c r="D30" s="1972"/>
      <c r="E30" s="1972"/>
      <c r="F30" s="1972"/>
      <c r="G30" s="1972"/>
      <c r="H30" s="1972"/>
      <c r="I30" s="1973"/>
      <c r="J30" s="1973"/>
      <c r="K30" s="1973"/>
      <c r="L30" s="1973"/>
      <c r="M30" s="1974"/>
      <c r="N30" s="1973"/>
    </row>
    <row r="31" spans="1:14">
      <c r="A31" s="1972"/>
      <c r="B31" s="1971" t="s">
        <v>380</v>
      </c>
      <c r="C31" s="1975"/>
      <c r="D31" s="1975"/>
      <c r="E31" s="1975"/>
      <c r="F31" s="1975"/>
      <c r="G31" s="1975"/>
      <c r="H31" s="1975"/>
      <c r="I31" s="1973"/>
      <c r="J31" s="1973"/>
      <c r="K31" s="1973"/>
      <c r="L31" s="1973"/>
      <c r="M31" s="1974"/>
      <c r="N31" s="1973"/>
    </row>
    <row r="32" spans="1:14">
      <c r="A32" s="1972"/>
      <c r="B32" s="1971" t="s">
        <v>237</v>
      </c>
      <c r="C32" s="1972"/>
      <c r="D32" s="1972"/>
      <c r="E32" s="1972"/>
      <c r="F32" s="1972"/>
      <c r="G32" s="1972"/>
      <c r="H32" s="1972"/>
      <c r="I32" s="1973"/>
      <c r="J32" s="1973"/>
      <c r="K32" s="1973"/>
      <c r="L32" s="1973"/>
      <c r="M32" s="1974"/>
      <c r="N32" s="1973"/>
    </row>
    <row r="33" spans="1:14" ht="16.5">
      <c r="A33" s="1976"/>
      <c r="B33" s="1976"/>
      <c r="C33" s="1976"/>
      <c r="D33" s="1976"/>
      <c r="E33" s="1976"/>
      <c r="F33" s="1976"/>
      <c r="G33" s="1976"/>
      <c r="H33" s="1976"/>
      <c r="I33" s="1976"/>
      <c r="J33" s="1976"/>
      <c r="K33" s="1976"/>
      <c r="L33" s="1976"/>
      <c r="M33" s="2829" t="s">
        <v>553</v>
      </c>
      <c r="N33" s="2830"/>
    </row>
    <row r="34" spans="1:14" ht="16.5">
      <c r="A34" s="1977"/>
      <c r="B34" s="2827">
        <v>42401</v>
      </c>
      <c r="C34" s="2832" t="s">
        <v>240</v>
      </c>
      <c r="D34" s="2832"/>
      <c r="E34" s="1978"/>
      <c r="F34" s="2832" t="s">
        <v>225</v>
      </c>
      <c r="G34" s="2832"/>
      <c r="H34" s="1978"/>
      <c r="I34" s="2832" t="s">
        <v>239</v>
      </c>
      <c r="J34" s="2832"/>
      <c r="K34" s="2832"/>
      <c r="L34" s="1978"/>
      <c r="M34" s="2831"/>
      <c r="N34" s="2830"/>
    </row>
    <row r="35" spans="1:14" ht="16.5">
      <c r="A35" s="1977"/>
      <c r="B35" s="2828"/>
      <c r="C35" s="1979" t="s">
        <v>149</v>
      </c>
      <c r="D35" s="1979" t="s">
        <v>148</v>
      </c>
      <c r="E35" s="1980"/>
      <c r="F35" s="1981" t="s">
        <v>149</v>
      </c>
      <c r="G35" s="1981" t="s">
        <v>552</v>
      </c>
      <c r="H35" s="1980"/>
      <c r="I35" s="1979" t="s">
        <v>149</v>
      </c>
      <c r="J35" s="1979" t="s">
        <v>148</v>
      </c>
      <c r="K35" s="1979" t="s">
        <v>79</v>
      </c>
      <c r="L35" s="1980"/>
      <c r="M35" s="1979" t="s">
        <v>149</v>
      </c>
      <c r="N35" s="1979" t="s">
        <v>148</v>
      </c>
    </row>
    <row r="36" spans="1:14">
      <c r="A36" s="774" t="s">
        <v>34</v>
      </c>
      <c r="B36" s="771" t="s">
        <v>549</v>
      </c>
      <c r="C36" s="1327">
        <v>3934152.89</v>
      </c>
      <c r="D36" s="1327">
        <v>3490111.4600000004</v>
      </c>
      <c r="E36" s="774" t="s">
        <v>34</v>
      </c>
      <c r="F36" s="1325">
        <v>39413.339999999997</v>
      </c>
      <c r="G36" s="1325">
        <v>36899.599999999999</v>
      </c>
      <c r="H36" s="147"/>
      <c r="I36" s="2016">
        <f>C55/F44</f>
        <v>117.92154907889878</v>
      </c>
      <c r="J36" s="2016">
        <f>D55/G44</f>
        <v>130.10862369544793</v>
      </c>
      <c r="K36" s="2016">
        <f>I36-J36</f>
        <v>-12.187074616549154</v>
      </c>
      <c r="L36" s="775" t="s">
        <v>34</v>
      </c>
      <c r="M36" s="767">
        <v>38103.67</v>
      </c>
      <c r="N36" s="767">
        <v>57128.93</v>
      </c>
    </row>
    <row r="37" spans="1:14">
      <c r="B37" s="771" t="s">
        <v>548</v>
      </c>
      <c r="C37" s="1327">
        <v>469550.42000000004</v>
      </c>
      <c r="D37" s="1327">
        <v>520807.18000000005</v>
      </c>
      <c r="E37" s="769" t="s">
        <v>28</v>
      </c>
      <c r="F37" s="776">
        <v>6436</v>
      </c>
      <c r="G37" s="776">
        <v>5676</v>
      </c>
      <c r="H37" s="147"/>
      <c r="I37" s="147"/>
      <c r="J37" s="147"/>
      <c r="K37" s="147"/>
      <c r="L37" s="769" t="s">
        <v>28</v>
      </c>
      <c r="M37" s="767">
        <v>9701.3100000000013</v>
      </c>
      <c r="N37" s="767">
        <v>14208.32</v>
      </c>
    </row>
    <row r="38" spans="1:14">
      <c r="B38" s="771" t="s">
        <v>547</v>
      </c>
      <c r="C38" s="1327">
        <v>81085.540000000008</v>
      </c>
      <c r="D38" s="1327">
        <v>116792.45999999999</v>
      </c>
      <c r="E38" s="769" t="s">
        <v>146</v>
      </c>
      <c r="F38" s="773">
        <v>7050</v>
      </c>
      <c r="G38" s="773">
        <v>7230</v>
      </c>
      <c r="H38" s="147"/>
      <c r="I38" s="147"/>
      <c r="J38" s="147"/>
      <c r="K38" s="147"/>
      <c r="L38" s="769" t="s">
        <v>146</v>
      </c>
      <c r="M38" s="2009">
        <v>105.8</v>
      </c>
      <c r="N38" s="2009">
        <v>5416.66</v>
      </c>
    </row>
    <row r="39" spans="1:14">
      <c r="B39" s="771" t="s">
        <v>550</v>
      </c>
      <c r="C39" s="1327">
        <v>72214.509999999995</v>
      </c>
      <c r="D39" s="1327">
        <v>351587.72000000003</v>
      </c>
      <c r="E39" s="769" t="s">
        <v>9</v>
      </c>
      <c r="F39" s="773">
        <v>547</v>
      </c>
      <c r="G39" s="773">
        <v>449</v>
      </c>
      <c r="H39" s="147"/>
      <c r="I39" s="147"/>
      <c r="J39" s="147"/>
      <c r="K39" s="147"/>
      <c r="L39" s="769" t="s">
        <v>9</v>
      </c>
      <c r="M39" s="767">
        <v>0</v>
      </c>
      <c r="N39" s="767">
        <v>162.5</v>
      </c>
    </row>
    <row r="40" spans="1:14">
      <c r="B40" s="771" t="s">
        <v>551</v>
      </c>
      <c r="C40" s="1327">
        <v>313389.59999999998</v>
      </c>
      <c r="D40" s="1327">
        <v>323174.88</v>
      </c>
      <c r="E40" s="769" t="s">
        <v>41</v>
      </c>
      <c r="F40" s="773">
        <v>885</v>
      </c>
      <c r="G40" s="773">
        <v>891</v>
      </c>
      <c r="H40" s="147"/>
      <c r="I40" s="147"/>
      <c r="J40" s="147"/>
      <c r="K40" s="147"/>
      <c r="L40" s="769" t="s">
        <v>41</v>
      </c>
      <c r="M40" s="2010">
        <v>0</v>
      </c>
      <c r="N40" s="2011">
        <v>2041.66</v>
      </c>
    </row>
    <row r="41" spans="1:14">
      <c r="B41" s="769" t="s">
        <v>28</v>
      </c>
      <c r="C41" s="1327">
        <v>588210.75</v>
      </c>
      <c r="D41" s="1327">
        <v>556659.90999999992</v>
      </c>
      <c r="E41" s="769" t="s">
        <v>377</v>
      </c>
      <c r="F41" s="1969">
        <v>9974</v>
      </c>
      <c r="G41" s="1969">
        <v>4622</v>
      </c>
      <c r="H41" s="147"/>
      <c r="I41" s="147"/>
      <c r="J41" s="147"/>
      <c r="K41" s="147"/>
      <c r="L41" s="769" t="s">
        <v>377</v>
      </c>
      <c r="M41" s="2012">
        <v>22951</v>
      </c>
      <c r="N41" s="2009">
        <v>34183</v>
      </c>
    </row>
    <row r="42" spans="1:14">
      <c r="B42" s="769"/>
      <c r="C42" s="1327">
        <v>103915.15</v>
      </c>
      <c r="D42" s="1327">
        <v>91233.11</v>
      </c>
      <c r="E42" s="769" t="s">
        <v>634</v>
      </c>
      <c r="F42" s="1969">
        <v>1721</v>
      </c>
      <c r="G42" s="1969">
        <f>COMPOSITE!C167</f>
        <v>1517</v>
      </c>
      <c r="H42" s="147"/>
      <c r="I42" s="147"/>
      <c r="J42" s="147"/>
      <c r="K42" s="147"/>
      <c r="L42" s="769" t="s">
        <v>634</v>
      </c>
      <c r="M42" s="2012">
        <v>5210</v>
      </c>
      <c r="N42" s="2013"/>
    </row>
    <row r="43" spans="1:14">
      <c r="B43" s="769"/>
      <c r="C43" s="1327">
        <v>65083.7</v>
      </c>
      <c r="D43" s="1327">
        <v>65700</v>
      </c>
      <c r="E43" s="769" t="s">
        <v>432</v>
      </c>
      <c r="F43" s="1967">
        <v>3865</v>
      </c>
      <c r="G43" s="1967">
        <v>1682</v>
      </c>
      <c r="H43" s="147"/>
      <c r="I43" s="147"/>
      <c r="J43" s="147"/>
      <c r="K43" s="147"/>
      <c r="L43" s="769" t="s">
        <v>432</v>
      </c>
      <c r="M43" s="2014">
        <v>3367</v>
      </c>
      <c r="N43" s="2014">
        <v>6691</v>
      </c>
    </row>
    <row r="44" spans="1:14">
      <c r="B44" s="769"/>
      <c r="C44" s="1327">
        <v>0</v>
      </c>
      <c r="D44" s="1995">
        <v>78000</v>
      </c>
      <c r="E44" s="147"/>
      <c r="F44" s="822">
        <f>SUM(F36:F43)</f>
        <v>69891.34</v>
      </c>
      <c r="G44" s="822">
        <f>SUM(G36:G43)</f>
        <v>58966.6</v>
      </c>
      <c r="H44" s="147"/>
      <c r="I44" s="147"/>
      <c r="J44" s="147"/>
      <c r="K44" s="147"/>
      <c r="L44" s="147"/>
      <c r="M44" s="1984">
        <f>SUM(M36:M43)</f>
        <v>79438.78</v>
      </c>
      <c r="N44" s="2001">
        <f>SUM(N36:N43)</f>
        <v>119832.07</v>
      </c>
    </row>
    <row r="45" spans="1:14">
      <c r="B45" s="769" t="s">
        <v>146</v>
      </c>
      <c r="C45" s="1327">
        <v>652679.40999999992</v>
      </c>
      <c r="D45" s="1327">
        <v>661885.55000000005</v>
      </c>
      <c r="E45" s="147"/>
      <c r="F45" s="23"/>
      <c r="G45" s="23"/>
      <c r="H45" s="147"/>
      <c r="I45" s="147"/>
      <c r="J45" s="147"/>
      <c r="K45" s="147"/>
      <c r="L45" s="147"/>
      <c r="N45" s="23"/>
    </row>
    <row r="46" spans="1:14">
      <c r="B46" s="769"/>
      <c r="C46" s="1327">
        <v>148837.15</v>
      </c>
      <c r="D46" s="1327">
        <v>106462.68000000001</v>
      </c>
      <c r="E46" s="147"/>
      <c r="F46" s="23"/>
      <c r="G46" s="23"/>
      <c r="H46" s="147"/>
      <c r="I46" s="147"/>
      <c r="J46" s="147"/>
      <c r="K46" s="147"/>
      <c r="L46" s="147"/>
      <c r="N46" s="23"/>
    </row>
    <row r="47" spans="1:14">
      <c r="B47" s="769"/>
      <c r="C47" s="1327">
        <v>0</v>
      </c>
      <c r="D47" s="1327">
        <v>750</v>
      </c>
      <c r="E47" s="23"/>
      <c r="F47" s="779"/>
      <c r="G47" s="23"/>
      <c r="H47" s="23"/>
      <c r="I47" s="23"/>
      <c r="J47" s="23"/>
      <c r="K47" s="23"/>
      <c r="L47" s="23"/>
      <c r="N47" s="23"/>
    </row>
    <row r="48" spans="1:14">
      <c r="B48" s="769"/>
      <c r="C48" s="1327">
        <v>0</v>
      </c>
      <c r="D48" s="1327">
        <v>32500</v>
      </c>
      <c r="E48" s="23"/>
      <c r="F48" s="23"/>
      <c r="G48" s="23"/>
      <c r="H48" s="23"/>
      <c r="I48" s="23"/>
      <c r="J48" s="23"/>
      <c r="K48" s="23"/>
      <c r="L48" s="23"/>
      <c r="N48" s="23"/>
    </row>
    <row r="49" spans="1:16">
      <c r="B49" s="769" t="s">
        <v>9</v>
      </c>
      <c r="C49" s="1325">
        <v>121818</v>
      </c>
      <c r="D49" s="1325">
        <v>134982.88</v>
      </c>
      <c r="E49" s="23"/>
      <c r="F49" s="23"/>
      <c r="G49" s="23"/>
      <c r="H49" s="23"/>
      <c r="I49" s="23"/>
      <c r="J49" s="23"/>
      <c r="K49" s="23"/>
      <c r="L49" s="23"/>
      <c r="N49" s="23"/>
    </row>
    <row r="50" spans="1:16">
      <c r="B50" s="769" t="s">
        <v>41</v>
      </c>
      <c r="C50" s="773">
        <v>131795.01</v>
      </c>
      <c r="D50" s="773">
        <v>118773.31</v>
      </c>
      <c r="E50" s="23"/>
      <c r="F50" s="23"/>
      <c r="G50" s="23"/>
      <c r="H50" s="23"/>
      <c r="I50" s="23"/>
      <c r="J50" s="23"/>
      <c r="K50" s="23"/>
      <c r="L50" s="23"/>
      <c r="N50" s="23"/>
    </row>
    <row r="51" spans="1:16">
      <c r="B51" s="769"/>
      <c r="C51" s="773">
        <v>157.94999999999999</v>
      </c>
      <c r="D51" s="773">
        <v>34071.03</v>
      </c>
      <c r="E51" s="23"/>
      <c r="F51" s="23"/>
      <c r="G51" s="23"/>
      <c r="H51" s="23"/>
      <c r="I51" s="23"/>
      <c r="J51" s="23"/>
      <c r="K51" s="23"/>
      <c r="L51" s="23"/>
      <c r="N51" s="23"/>
    </row>
    <row r="52" spans="1:16">
      <c r="B52" s="769" t="s">
        <v>377</v>
      </c>
      <c r="C52" s="1969">
        <v>1196286</v>
      </c>
      <c r="D52" s="1969">
        <v>736110</v>
      </c>
      <c r="E52" s="23"/>
      <c r="F52" s="23"/>
      <c r="G52" s="23"/>
      <c r="H52" s="23"/>
      <c r="I52" s="23"/>
      <c r="J52" s="23"/>
      <c r="K52" s="23"/>
      <c r="L52" s="23"/>
      <c r="N52" s="23"/>
    </row>
    <row r="53" spans="1:16">
      <c r="B53" s="769" t="s">
        <v>634</v>
      </c>
      <c r="C53" s="1969">
        <v>175579</v>
      </c>
      <c r="D53" s="806"/>
      <c r="E53" s="23"/>
      <c r="F53" s="23"/>
      <c r="G53" s="23"/>
      <c r="H53" s="23"/>
      <c r="I53" s="23"/>
      <c r="J53" s="23"/>
      <c r="K53" s="23"/>
      <c r="L53" s="23"/>
      <c r="N53" s="23"/>
    </row>
    <row r="54" spans="1:16">
      <c r="B54" s="769" t="s">
        <v>432</v>
      </c>
      <c r="C54" s="1967">
        <v>186940</v>
      </c>
      <c r="D54" s="1967">
        <v>252461</v>
      </c>
      <c r="E54" s="23"/>
      <c r="F54" s="23"/>
      <c r="G54" s="23"/>
      <c r="H54" s="23"/>
      <c r="I54" s="23"/>
      <c r="J54" s="23"/>
      <c r="K54" s="23"/>
      <c r="L54" s="23"/>
      <c r="N54" s="23"/>
    </row>
    <row r="55" spans="1:16">
      <c r="B55" s="127"/>
      <c r="C55" s="1984">
        <f>SUM(C36:C54)</f>
        <v>8241695.080000001</v>
      </c>
      <c r="D55" s="1984">
        <f>SUM(D36:D54)</f>
        <v>7672063.1699999999</v>
      </c>
      <c r="P55" s="454"/>
    </row>
    <row r="56" spans="1:16">
      <c r="P56" s="454"/>
    </row>
    <row r="57" spans="1:16">
      <c r="A57" s="1970" t="s">
        <v>238</v>
      </c>
      <c r="B57" s="1971" t="s">
        <v>235</v>
      </c>
      <c r="C57" s="1972"/>
      <c r="D57" s="1972"/>
      <c r="E57" s="1972"/>
      <c r="F57" s="1972"/>
      <c r="G57" s="1972"/>
      <c r="H57" s="1972"/>
      <c r="I57" s="1973"/>
      <c r="J57" s="1973"/>
      <c r="K57" s="1973"/>
      <c r="L57" s="1973"/>
      <c r="M57" s="1974"/>
      <c r="N57" s="1973"/>
      <c r="P57" s="454"/>
    </row>
    <row r="58" spans="1:16">
      <c r="A58" s="1972"/>
      <c r="B58" s="1971" t="s">
        <v>236</v>
      </c>
      <c r="C58" s="1972"/>
      <c r="D58" s="1972"/>
      <c r="E58" s="1972"/>
      <c r="F58" s="1972"/>
      <c r="G58" s="1972"/>
      <c r="H58" s="1972"/>
      <c r="I58" s="1973"/>
      <c r="J58" s="1973"/>
      <c r="K58" s="1973"/>
      <c r="L58" s="1973"/>
      <c r="M58" s="1974"/>
      <c r="N58" s="1973"/>
    </row>
    <row r="59" spans="1:16">
      <c r="A59" s="1972"/>
      <c r="B59" s="1971" t="s">
        <v>380</v>
      </c>
      <c r="C59" s="1975"/>
      <c r="D59" s="1975"/>
      <c r="E59" s="1975"/>
      <c r="F59" s="1975"/>
      <c r="G59" s="1975"/>
      <c r="H59" s="1975"/>
      <c r="I59" s="1973"/>
      <c r="J59" s="1973"/>
      <c r="K59" s="1973"/>
      <c r="L59" s="1973"/>
      <c r="M59" s="1974"/>
      <c r="N59" s="1973"/>
    </row>
    <row r="60" spans="1:16">
      <c r="A60" s="1972"/>
      <c r="B60" s="1971" t="s">
        <v>237</v>
      </c>
      <c r="C60" s="1972"/>
      <c r="D60" s="1972"/>
      <c r="E60" s="1972"/>
      <c r="F60" s="1972"/>
      <c r="G60" s="1972"/>
      <c r="H60" s="1972"/>
      <c r="I60" s="1973"/>
      <c r="J60" s="1973"/>
      <c r="K60" s="1973"/>
      <c r="L60" s="1973"/>
      <c r="M60" s="1974"/>
      <c r="N60" s="1973"/>
    </row>
    <row r="61" spans="1:16" ht="16.5">
      <c r="A61" s="1976"/>
      <c r="B61" s="1976"/>
      <c r="C61" s="1976"/>
      <c r="D61" s="1976"/>
      <c r="E61" s="1976"/>
      <c r="F61" s="1976"/>
      <c r="G61" s="1976"/>
      <c r="H61" s="1976"/>
      <c r="I61" s="1976"/>
      <c r="J61" s="1976"/>
      <c r="K61" s="1976"/>
      <c r="L61" s="1976"/>
      <c r="M61" s="2829" t="s">
        <v>553</v>
      </c>
      <c r="N61" s="2830"/>
    </row>
    <row r="62" spans="1:16" ht="16.5">
      <c r="A62" s="1977"/>
      <c r="B62" s="2827">
        <v>42430</v>
      </c>
      <c r="C62" s="2832" t="s">
        <v>240</v>
      </c>
      <c r="D62" s="2832"/>
      <c r="E62" s="1978"/>
      <c r="F62" s="2832" t="s">
        <v>225</v>
      </c>
      <c r="G62" s="2832"/>
      <c r="H62" s="1978"/>
      <c r="I62" s="2832" t="s">
        <v>239</v>
      </c>
      <c r="J62" s="2832"/>
      <c r="K62" s="2832"/>
      <c r="L62" s="1978"/>
      <c r="M62" s="2831"/>
      <c r="N62" s="2830"/>
    </row>
    <row r="63" spans="1:16" ht="16.5">
      <c r="A63" s="1977"/>
      <c r="B63" s="2828"/>
      <c r="C63" s="1979" t="s">
        <v>149</v>
      </c>
      <c r="D63" s="1979" t="s">
        <v>148</v>
      </c>
      <c r="E63" s="1980"/>
      <c r="F63" s="1981" t="s">
        <v>149</v>
      </c>
      <c r="G63" s="1981" t="s">
        <v>552</v>
      </c>
      <c r="H63" s="1980"/>
      <c r="I63" s="1979" t="s">
        <v>149</v>
      </c>
      <c r="J63" s="1979" t="s">
        <v>148</v>
      </c>
      <c r="K63" s="1979" t="s">
        <v>79</v>
      </c>
      <c r="L63" s="1980"/>
      <c r="M63" s="1979" t="s">
        <v>149</v>
      </c>
      <c r="N63" s="1979" t="s">
        <v>148</v>
      </c>
    </row>
    <row r="64" spans="1:16">
      <c r="A64" s="774" t="s">
        <v>34</v>
      </c>
      <c r="B64" s="771" t="s">
        <v>549</v>
      </c>
      <c r="C64" s="1990">
        <v>4234969.33</v>
      </c>
      <c r="D64" s="1987">
        <v>3604446.44</v>
      </c>
      <c r="E64" s="774" t="s">
        <v>34</v>
      </c>
      <c r="F64" s="1325">
        <v>43272.03</v>
      </c>
      <c r="G64" s="1325">
        <v>40700.270000000004</v>
      </c>
      <c r="H64" s="147"/>
      <c r="I64" s="2016">
        <f>C83/F72</f>
        <v>118.47119799845214</v>
      </c>
      <c r="J64" s="2016">
        <f>D83/G72</f>
        <v>130.3032408883777</v>
      </c>
      <c r="K64" s="2016">
        <f>I64-J64</f>
        <v>-11.83204288992556</v>
      </c>
      <c r="L64" s="775" t="s">
        <v>34</v>
      </c>
      <c r="M64" s="1994">
        <v>79319.58</v>
      </c>
      <c r="N64" s="1994">
        <v>53483.28</v>
      </c>
    </row>
    <row r="65" spans="2:14">
      <c r="B65" s="771" t="s">
        <v>548</v>
      </c>
      <c r="C65" s="1990">
        <v>564180.39999999991</v>
      </c>
      <c r="D65" s="1987">
        <v>554770.89999999991</v>
      </c>
      <c r="E65" s="769" t="s">
        <v>28</v>
      </c>
      <c r="F65" s="1326">
        <v>4917</v>
      </c>
      <c r="G65" s="1326">
        <v>6617</v>
      </c>
      <c r="H65" s="147"/>
      <c r="I65" s="147"/>
      <c r="J65" s="147"/>
      <c r="K65" s="147"/>
      <c r="L65" s="769" t="s">
        <v>28</v>
      </c>
      <c r="M65" s="1995">
        <v>50.27</v>
      </c>
      <c r="N65" s="1995">
        <v>14208.32</v>
      </c>
    </row>
    <row r="66" spans="2:14">
      <c r="B66" s="771" t="s">
        <v>547</v>
      </c>
      <c r="C66" s="1991">
        <v>125121.06</v>
      </c>
      <c r="D66" s="1988">
        <v>121569.83</v>
      </c>
      <c r="E66" s="769" t="s">
        <v>146</v>
      </c>
      <c r="F66" s="1325">
        <v>7697</v>
      </c>
      <c r="G66" s="1325">
        <v>7900</v>
      </c>
      <c r="H66" s="147"/>
      <c r="I66" s="147"/>
      <c r="J66" s="147"/>
      <c r="K66" s="147"/>
      <c r="L66" s="769" t="s">
        <v>146</v>
      </c>
      <c r="M66" s="1996">
        <v>0</v>
      </c>
      <c r="N66" s="1996">
        <v>5416.66</v>
      </c>
    </row>
    <row r="67" spans="2:14">
      <c r="B67" s="771" t="s">
        <v>550</v>
      </c>
      <c r="C67" s="1991">
        <v>121079.17000000001</v>
      </c>
      <c r="D67" s="1988">
        <v>362229.22</v>
      </c>
      <c r="E67" s="769" t="s">
        <v>9</v>
      </c>
      <c r="F67" s="1325">
        <v>625</v>
      </c>
      <c r="G67" s="1325">
        <v>478</v>
      </c>
      <c r="H67" s="147"/>
      <c r="I67" s="147"/>
      <c r="J67" s="147"/>
      <c r="K67" s="147"/>
      <c r="L67" s="769" t="s">
        <v>9</v>
      </c>
      <c r="M67" s="1995">
        <v>0</v>
      </c>
      <c r="N67" s="1995">
        <v>162.5</v>
      </c>
    </row>
    <row r="68" spans="2:14">
      <c r="B68" s="771" t="s">
        <v>551</v>
      </c>
      <c r="C68" s="1991">
        <v>288000.90000000002</v>
      </c>
      <c r="D68" s="1988">
        <v>345462.8</v>
      </c>
      <c r="E68" s="769" t="s">
        <v>41</v>
      </c>
      <c r="F68" s="1325">
        <v>926</v>
      </c>
      <c r="G68" s="1325">
        <v>821</v>
      </c>
      <c r="H68" s="147"/>
      <c r="I68" s="147"/>
      <c r="J68" s="147"/>
      <c r="K68" s="147"/>
      <c r="L68" s="769" t="s">
        <v>41</v>
      </c>
      <c r="M68" s="1326">
        <v>322.62</v>
      </c>
      <c r="N68" s="1997">
        <v>2041.66</v>
      </c>
    </row>
    <row r="69" spans="2:14">
      <c r="B69" s="769" t="s">
        <v>28</v>
      </c>
      <c r="C69" s="1992">
        <v>576156.26000000013</v>
      </c>
      <c r="D69" s="1993">
        <v>595037.19999999984</v>
      </c>
      <c r="E69" s="769" t="s">
        <v>377</v>
      </c>
      <c r="F69" s="1969">
        <v>9598</v>
      </c>
      <c r="G69" s="1969">
        <v>4940</v>
      </c>
      <c r="H69" s="147"/>
      <c r="I69" s="147"/>
      <c r="J69" s="147"/>
      <c r="K69" s="147"/>
      <c r="L69" s="769" t="s">
        <v>377</v>
      </c>
      <c r="M69" s="1998">
        <v>20278</v>
      </c>
      <c r="N69" s="1996">
        <v>34183</v>
      </c>
    </row>
    <row r="70" spans="2:14">
      <c r="B70" s="769"/>
      <c r="C70" s="1327">
        <v>102382.90000000001</v>
      </c>
      <c r="D70" s="768">
        <v>96979.07</v>
      </c>
      <c r="E70" s="769" t="s">
        <v>634</v>
      </c>
      <c r="F70" s="1969">
        <v>2263</v>
      </c>
      <c r="G70" s="1969">
        <v>1622</v>
      </c>
      <c r="H70" s="147"/>
      <c r="I70" s="147"/>
      <c r="J70" s="147"/>
      <c r="K70" s="147"/>
      <c r="L70" s="769" t="s">
        <v>634</v>
      </c>
      <c r="M70" s="1998">
        <v>4720</v>
      </c>
      <c r="N70" s="1996">
        <v>9385</v>
      </c>
    </row>
    <row r="71" spans="2:14">
      <c r="B71" s="769"/>
      <c r="C71" s="1327">
        <v>61067.199999999997</v>
      </c>
      <c r="D71" s="768">
        <v>65700</v>
      </c>
      <c r="E71" s="769" t="s">
        <v>432</v>
      </c>
      <c r="F71" s="1967">
        <v>4313</v>
      </c>
      <c r="G71" s="1967">
        <v>1990</v>
      </c>
      <c r="H71" s="147"/>
      <c r="I71" s="147"/>
      <c r="J71" s="147"/>
      <c r="K71" s="147"/>
      <c r="L71" s="769" t="s">
        <v>432</v>
      </c>
      <c r="M71" s="1999">
        <v>2662</v>
      </c>
      <c r="N71" s="1999">
        <v>6691</v>
      </c>
    </row>
    <row r="72" spans="2:14">
      <c r="B72" s="769"/>
      <c r="C72" s="1327">
        <v>38306</v>
      </c>
      <c r="D72" s="768">
        <v>78000</v>
      </c>
      <c r="E72" s="147"/>
      <c r="F72" s="822">
        <f>SUM(F64:F71)</f>
        <v>73611.03</v>
      </c>
      <c r="G72" s="822">
        <f>SUM(G64:G71)</f>
        <v>65068.270000000004</v>
      </c>
      <c r="H72" s="147"/>
      <c r="I72" s="147"/>
      <c r="J72" s="147"/>
      <c r="K72" s="147"/>
      <c r="L72" s="147"/>
      <c r="M72" s="1986">
        <f>SUM(M64:M71)</f>
        <v>107352.47</v>
      </c>
      <c r="N72" s="1986">
        <f>SUM(N64:N71)</f>
        <v>125571.42000000001</v>
      </c>
    </row>
    <row r="73" spans="2:14">
      <c r="B73" s="769" t="s">
        <v>146</v>
      </c>
      <c r="C73" s="1327">
        <v>722170.73</v>
      </c>
      <c r="D73" s="768">
        <v>714936.41999999993</v>
      </c>
      <c r="E73" s="147"/>
      <c r="F73" s="23"/>
      <c r="G73" s="23"/>
      <c r="H73" s="147"/>
      <c r="I73" s="147"/>
      <c r="J73" s="147"/>
      <c r="K73" s="147"/>
      <c r="L73" s="147"/>
      <c r="N73" s="23"/>
    </row>
    <row r="74" spans="2:14">
      <c r="B74" s="769"/>
      <c r="C74" s="1328">
        <v>171795.93</v>
      </c>
      <c r="D74" s="1989">
        <v>123950.91</v>
      </c>
      <c r="E74" s="147"/>
      <c r="F74" s="23"/>
      <c r="G74" s="23"/>
      <c r="H74" s="147"/>
      <c r="I74" s="147"/>
      <c r="J74" s="147"/>
      <c r="K74" s="147"/>
      <c r="L74" s="147"/>
      <c r="N74" s="23"/>
    </row>
    <row r="75" spans="2:14">
      <c r="B75" s="769"/>
      <c r="C75" s="1328">
        <v>9431.25</v>
      </c>
      <c r="D75" s="1989">
        <v>750</v>
      </c>
      <c r="E75" s="23"/>
      <c r="F75" s="779"/>
      <c r="G75" s="23"/>
      <c r="H75" s="23"/>
      <c r="I75" s="23"/>
      <c r="J75" s="23"/>
      <c r="K75" s="23"/>
      <c r="L75" s="23"/>
      <c r="N75" s="23"/>
    </row>
    <row r="76" spans="2:14">
      <c r="B76" s="769"/>
      <c r="C76" s="1328">
        <v>0</v>
      </c>
      <c r="D76" s="1989">
        <v>32500</v>
      </c>
      <c r="E76" s="23"/>
      <c r="F76" s="23"/>
      <c r="G76" s="23"/>
      <c r="H76" s="23"/>
      <c r="I76" s="23"/>
      <c r="J76" s="23"/>
      <c r="K76" s="23"/>
      <c r="L76" s="23"/>
      <c r="N76" s="23"/>
    </row>
    <row r="77" spans="2:14">
      <c r="B77" s="769" t="s">
        <v>9</v>
      </c>
      <c r="C77" s="773">
        <v>133327.4</v>
      </c>
      <c r="D77" s="772">
        <v>144201.25</v>
      </c>
      <c r="E77" s="23"/>
      <c r="F77" s="23"/>
      <c r="G77" s="23"/>
      <c r="H77" s="23"/>
      <c r="I77" s="23"/>
      <c r="J77" s="23"/>
      <c r="K77" s="23"/>
      <c r="L77" s="23"/>
      <c r="N77" s="23"/>
    </row>
    <row r="78" spans="2:14">
      <c r="B78" s="769" t="s">
        <v>41</v>
      </c>
      <c r="C78" s="773">
        <v>143355.38</v>
      </c>
      <c r="D78" s="772">
        <v>126426.66</v>
      </c>
      <c r="E78" s="23"/>
      <c r="F78" s="23"/>
      <c r="G78" s="23"/>
      <c r="H78" s="23"/>
      <c r="I78" s="23"/>
      <c r="J78" s="23"/>
      <c r="K78" s="23"/>
      <c r="L78" s="23"/>
      <c r="N78" s="23"/>
    </row>
    <row r="79" spans="2:14">
      <c r="B79" s="769"/>
      <c r="C79" s="773">
        <v>0</v>
      </c>
      <c r="D79" s="772">
        <v>36420.76</v>
      </c>
      <c r="E79" s="23"/>
      <c r="F79" s="23"/>
      <c r="G79" s="23"/>
      <c r="H79" s="23"/>
      <c r="I79" s="23"/>
      <c r="J79" s="23"/>
      <c r="K79" s="23"/>
      <c r="L79" s="23"/>
      <c r="N79" s="23"/>
    </row>
    <row r="80" spans="2:14">
      <c r="B80" s="769" t="s">
        <v>377</v>
      </c>
      <c r="C80" s="1969">
        <v>889326</v>
      </c>
      <c r="D80" s="1968">
        <v>916789</v>
      </c>
      <c r="E80" s="23"/>
      <c r="F80" s="23"/>
      <c r="G80" s="23"/>
      <c r="H80" s="23"/>
      <c r="I80" s="23"/>
      <c r="J80" s="23"/>
      <c r="K80" s="23"/>
      <c r="L80" s="23"/>
      <c r="N80" s="23"/>
    </row>
    <row r="81" spans="2:14">
      <c r="B81" s="769" t="s">
        <v>634</v>
      </c>
      <c r="C81" s="1969">
        <v>237980</v>
      </c>
      <c r="D81" s="1968">
        <v>233789</v>
      </c>
      <c r="E81" s="23"/>
      <c r="F81" s="23"/>
      <c r="G81" s="23"/>
      <c r="H81" s="23"/>
      <c r="I81" s="23"/>
      <c r="J81" s="23"/>
      <c r="K81" s="23"/>
      <c r="L81" s="23"/>
      <c r="N81" s="23"/>
    </row>
    <row r="82" spans="2:14">
      <c r="B82" s="769" t="s">
        <v>432</v>
      </c>
      <c r="C82" s="1967">
        <v>302137</v>
      </c>
      <c r="D82" s="1966">
        <v>324647</v>
      </c>
      <c r="E82" s="23"/>
      <c r="F82" s="23"/>
      <c r="G82" s="23"/>
      <c r="H82" s="23"/>
      <c r="I82" s="23"/>
      <c r="J82" s="23"/>
      <c r="K82" s="23"/>
      <c r="L82" s="23"/>
      <c r="N82" s="23"/>
    </row>
    <row r="83" spans="2:14">
      <c r="B83" s="127"/>
      <c r="C83" s="1984">
        <f>SUM(C64:C82)</f>
        <v>8720786.9100000001</v>
      </c>
      <c r="D83" s="1984">
        <f>SUM(D64:D82)</f>
        <v>8478606.4600000009</v>
      </c>
      <c r="E83" s="23"/>
      <c r="F83" s="23"/>
      <c r="G83" s="23"/>
      <c r="H83" s="23"/>
      <c r="I83" s="23"/>
      <c r="J83" s="23"/>
      <c r="K83" s="23"/>
      <c r="L83" s="23"/>
      <c r="N83" s="23"/>
    </row>
  </sheetData>
  <mergeCells count="15">
    <mergeCell ref="M61:N62"/>
    <mergeCell ref="B62:B63"/>
    <mergeCell ref="C62:D62"/>
    <mergeCell ref="F62:G62"/>
    <mergeCell ref="I62:K62"/>
    <mergeCell ref="B6:B7"/>
    <mergeCell ref="M5:N6"/>
    <mergeCell ref="M33:N34"/>
    <mergeCell ref="C34:D34"/>
    <mergeCell ref="F34:G34"/>
    <mergeCell ref="I34:K34"/>
    <mergeCell ref="C6:D6"/>
    <mergeCell ref="F6:G6"/>
    <mergeCell ref="I6:K6"/>
    <mergeCell ref="B34:B35"/>
  </mergeCells>
  <printOptions horizontalCentered="1"/>
  <pageMargins left="0" right="0" top="0.5" bottom="0" header="0" footer="0"/>
  <pageSetup scale="88" fitToHeight="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3" tint="-0.499984740745262"/>
    <pageSetUpPr fitToPage="1"/>
  </sheetPr>
  <dimension ref="A1:AW134"/>
  <sheetViews>
    <sheetView showGridLines="0" zoomScale="70" zoomScaleNormal="70" workbookViewId="0"/>
  </sheetViews>
  <sheetFormatPr defaultColWidth="9.140625" defaultRowHeight="15"/>
  <cols>
    <col min="1" max="15" width="19.7109375" style="23" customWidth="1"/>
    <col min="16" max="16" width="23.28515625" style="23" customWidth="1"/>
    <col min="17" max="17" width="27.28515625" style="23" customWidth="1"/>
    <col min="18" max="46" width="19.7109375" style="23" customWidth="1"/>
    <col min="47" max="47" width="21.42578125" style="23" bestFit="1" customWidth="1"/>
    <col min="48" max="49" width="19.7109375" style="23" customWidth="1"/>
    <col min="50" max="16384" width="9.140625" style="23"/>
  </cols>
  <sheetData>
    <row r="1" spans="2:17" ht="35.1" customHeight="1" thickTop="1">
      <c r="P1" s="2841" t="s">
        <v>284</v>
      </c>
      <c r="Q1" s="2842"/>
    </row>
    <row r="2" spans="2:17" ht="35.1" customHeight="1">
      <c r="P2" s="1887" t="s">
        <v>6</v>
      </c>
      <c r="Q2" s="301"/>
    </row>
    <row r="3" spans="2:17" ht="35.1" customHeight="1">
      <c r="P3" s="1887" t="s">
        <v>29</v>
      </c>
      <c r="Q3" s="301"/>
    </row>
    <row r="4" spans="2:17" ht="35.1" customHeight="1">
      <c r="P4" s="1887" t="s">
        <v>41</v>
      </c>
      <c r="Q4" s="301"/>
    </row>
    <row r="5" spans="2:17" ht="35.1" customHeight="1">
      <c r="P5" s="1887" t="s">
        <v>9</v>
      </c>
      <c r="Q5" s="301"/>
    </row>
    <row r="6" spans="2:17" ht="35.1" customHeight="1">
      <c r="P6" s="1887" t="s">
        <v>84</v>
      </c>
      <c r="Q6" s="301"/>
    </row>
    <row r="7" spans="2:17" ht="35.1" customHeight="1">
      <c r="P7" s="1887" t="s">
        <v>28</v>
      </c>
      <c r="Q7" s="301"/>
    </row>
    <row r="8" spans="2:17" ht="35.1" customHeight="1">
      <c r="P8" s="1887" t="s">
        <v>219</v>
      </c>
      <c r="Q8" s="301"/>
    </row>
    <row r="9" spans="2:17" ht="35.1" customHeight="1">
      <c r="P9" s="1887" t="s">
        <v>372</v>
      </c>
      <c r="Q9" s="301"/>
    </row>
    <row r="10" spans="2:17" ht="35.1" customHeight="1">
      <c r="P10" s="1887" t="s">
        <v>30</v>
      </c>
      <c r="Q10" s="301"/>
    </row>
    <row r="11" spans="2:17" ht="35.1" customHeight="1">
      <c r="P11" s="1887" t="s">
        <v>314</v>
      </c>
      <c r="Q11" s="301"/>
    </row>
    <row r="12" spans="2:17" ht="35.1" customHeight="1">
      <c r="P12" s="1887" t="s">
        <v>85</v>
      </c>
      <c r="Q12" s="301"/>
    </row>
    <row r="13" spans="2:17" ht="35.1" customHeight="1">
      <c r="P13" s="1887" t="s">
        <v>251</v>
      </c>
      <c r="Q13" s="301"/>
    </row>
    <row r="14" spans="2:17" ht="35.1" customHeight="1">
      <c r="P14" s="1887" t="s">
        <v>31</v>
      </c>
      <c r="Q14" s="301"/>
    </row>
    <row r="15" spans="2:17" ht="35.1" customHeight="1">
      <c r="P15" s="1887" t="s">
        <v>81</v>
      </c>
      <c r="Q15" s="301"/>
    </row>
    <row r="16" spans="2:17" ht="35.1" customHeight="1" thickBot="1">
      <c r="B16" s="144"/>
      <c r="P16" s="1886" t="s">
        <v>278</v>
      </c>
      <c r="Q16" s="216"/>
    </row>
    <row r="17" spans="1:49" ht="35.1" customHeight="1" thickTop="1" thickBot="1">
      <c r="B17" s="144"/>
    </row>
    <row r="18" spans="1:49" s="201" customFormat="1" ht="35.1" customHeight="1" thickTop="1">
      <c r="A18" s="2843" t="s">
        <v>276</v>
      </c>
      <c r="B18" s="2836" t="s">
        <v>62</v>
      </c>
      <c r="C18" s="2837"/>
      <c r="D18" s="2836" t="s">
        <v>275</v>
      </c>
      <c r="E18" s="2837"/>
      <c r="F18" s="2836" t="s">
        <v>506</v>
      </c>
      <c r="G18" s="2837"/>
      <c r="H18" s="2836" t="s">
        <v>41</v>
      </c>
      <c r="I18" s="2837"/>
      <c r="J18" s="2836" t="s">
        <v>9</v>
      </c>
      <c r="K18" s="2837"/>
      <c r="L18" s="2836" t="s">
        <v>474</v>
      </c>
      <c r="M18" s="2837"/>
      <c r="N18" s="2836" t="s">
        <v>475</v>
      </c>
      <c r="O18" s="2837"/>
      <c r="P18" s="2836" t="s">
        <v>476</v>
      </c>
      <c r="Q18" s="2837"/>
      <c r="R18" s="2836" t="s">
        <v>517</v>
      </c>
      <c r="S18" s="2837"/>
      <c r="T18" s="2836" t="s">
        <v>477</v>
      </c>
      <c r="U18" s="2837"/>
      <c r="V18" s="2836" t="s">
        <v>478</v>
      </c>
      <c r="W18" s="2837"/>
      <c r="X18" s="2836" t="s">
        <v>479</v>
      </c>
      <c r="Y18" s="2837"/>
      <c r="Z18" s="2836" t="s">
        <v>480</v>
      </c>
      <c r="AA18" s="2837"/>
      <c r="AB18" s="2836" t="s">
        <v>481</v>
      </c>
      <c r="AC18" s="2837"/>
      <c r="AD18" s="2836" t="s">
        <v>482</v>
      </c>
      <c r="AE18" s="2837"/>
      <c r="AF18" s="2836" t="s">
        <v>483</v>
      </c>
      <c r="AG18" s="2837"/>
      <c r="AH18" s="2836" t="s">
        <v>473</v>
      </c>
      <c r="AI18" s="2837"/>
      <c r="AJ18" s="2836" t="s">
        <v>468</v>
      </c>
      <c r="AK18" s="2837"/>
      <c r="AL18" s="2835" t="s">
        <v>469</v>
      </c>
      <c r="AM18" s="2835"/>
      <c r="AN18" s="2836" t="s">
        <v>470</v>
      </c>
      <c r="AO18" s="2837"/>
      <c r="AP18" s="2835" t="s">
        <v>471</v>
      </c>
      <c r="AQ18" s="2837"/>
      <c r="AR18" s="2836" t="s">
        <v>472</v>
      </c>
      <c r="AS18" s="2837"/>
      <c r="AT18" s="2836" t="s">
        <v>486</v>
      </c>
      <c r="AU18" s="2837"/>
      <c r="AV18" s="2836" t="s">
        <v>489</v>
      </c>
      <c r="AW18" s="2838"/>
    </row>
    <row r="19" spans="1:49" s="201" customFormat="1" ht="60.75" customHeight="1">
      <c r="A19" s="2844"/>
      <c r="B19" s="1331" t="s">
        <v>516</v>
      </c>
      <c r="C19" s="1332" t="s">
        <v>359</v>
      </c>
      <c r="D19" s="1331" t="s">
        <v>516</v>
      </c>
      <c r="E19" s="1332" t="s">
        <v>359</v>
      </c>
      <c r="F19" s="1331" t="s">
        <v>516</v>
      </c>
      <c r="G19" s="1332" t="s">
        <v>359</v>
      </c>
      <c r="H19" s="1331" t="s">
        <v>516</v>
      </c>
      <c r="I19" s="1332" t="s">
        <v>359</v>
      </c>
      <c r="J19" s="1331" t="s">
        <v>516</v>
      </c>
      <c r="K19" s="1332" t="s">
        <v>359</v>
      </c>
      <c r="L19" s="1331" t="s">
        <v>516</v>
      </c>
      <c r="M19" s="1332" t="s">
        <v>359</v>
      </c>
      <c r="N19" s="1331" t="s">
        <v>516</v>
      </c>
      <c r="O19" s="1333" t="s">
        <v>359</v>
      </c>
      <c r="P19" s="1331" t="s">
        <v>516</v>
      </c>
      <c r="Q19" s="1332" t="s">
        <v>359</v>
      </c>
      <c r="R19" s="1331" t="s">
        <v>516</v>
      </c>
      <c r="S19" s="1332" t="s">
        <v>359</v>
      </c>
      <c r="T19" s="1331" t="s">
        <v>516</v>
      </c>
      <c r="U19" s="1332" t="s">
        <v>359</v>
      </c>
      <c r="V19" s="1331" t="s">
        <v>516</v>
      </c>
      <c r="W19" s="1333" t="s">
        <v>359</v>
      </c>
      <c r="X19" s="1331" t="s">
        <v>516</v>
      </c>
      <c r="Y19" s="1332" t="s">
        <v>359</v>
      </c>
      <c r="Z19" s="1331" t="s">
        <v>516</v>
      </c>
      <c r="AA19" s="1333" t="s">
        <v>359</v>
      </c>
      <c r="AB19" s="1331" t="s">
        <v>516</v>
      </c>
      <c r="AC19" s="1332" t="s">
        <v>359</v>
      </c>
      <c r="AD19" s="1331" t="s">
        <v>516</v>
      </c>
      <c r="AE19" s="1332" t="s">
        <v>359</v>
      </c>
      <c r="AF19" s="1331" t="s">
        <v>516</v>
      </c>
      <c r="AG19" s="1332" t="s">
        <v>359</v>
      </c>
      <c r="AH19" s="1331" t="s">
        <v>516</v>
      </c>
      <c r="AI19" s="1332" t="s">
        <v>359</v>
      </c>
      <c r="AJ19" s="1331" t="s">
        <v>516</v>
      </c>
      <c r="AK19" s="1333" t="s">
        <v>359</v>
      </c>
      <c r="AL19" s="1331" t="s">
        <v>516</v>
      </c>
      <c r="AM19" s="1334" t="s">
        <v>359</v>
      </c>
      <c r="AN19" s="1331" t="s">
        <v>516</v>
      </c>
      <c r="AO19" s="1333" t="s">
        <v>359</v>
      </c>
      <c r="AP19" s="1335" t="s">
        <v>516</v>
      </c>
      <c r="AQ19" s="1333" t="s">
        <v>359</v>
      </c>
      <c r="AR19" s="1331" t="s">
        <v>516</v>
      </c>
      <c r="AS19" s="1333" t="s">
        <v>359</v>
      </c>
      <c r="AT19" s="1331" t="s">
        <v>516</v>
      </c>
      <c r="AU19" s="1333" t="s">
        <v>359</v>
      </c>
      <c r="AV19" s="1331" t="s">
        <v>516</v>
      </c>
      <c r="AW19" s="1336" t="s">
        <v>359</v>
      </c>
    </row>
    <row r="20" spans="1:49" s="201" customFormat="1" ht="35.1" customHeight="1">
      <c r="A20" s="1329">
        <v>42370</v>
      </c>
      <c r="B20" s="1337">
        <f>C36-B36</f>
        <v>2659</v>
      </c>
      <c r="C20" s="1338">
        <f>B20/B36</f>
        <v>3.9474465558194775E-2</v>
      </c>
      <c r="D20" s="1337">
        <f>E36-D36</f>
        <v>210</v>
      </c>
      <c r="E20" s="1338">
        <f>D20/D36</f>
        <v>2.9292788394476216E-2</v>
      </c>
      <c r="F20" s="1337">
        <f>G36-F36</f>
        <v>-455</v>
      </c>
      <c r="G20" s="1338">
        <f>F20/F36</f>
        <v>-5.813210680976108E-2</v>
      </c>
      <c r="H20" s="1337">
        <f>I36-H36</f>
        <v>-90</v>
      </c>
      <c r="I20" s="1338">
        <f>H20/H36</f>
        <v>-9.5440084835630962E-2</v>
      </c>
      <c r="J20" s="1337">
        <f>K36-J36</f>
        <v>-7</v>
      </c>
      <c r="K20" s="1338">
        <f>IFERROR(J20/J36,0)</f>
        <v>-1.4767932489451477E-2</v>
      </c>
      <c r="L20" s="1337">
        <f>M36-L36</f>
        <v>59</v>
      </c>
      <c r="M20" s="1338">
        <f>L20/L36</f>
        <v>1.9581812147361433E-2</v>
      </c>
      <c r="N20" s="1337">
        <f>O36-N36</f>
        <v>72</v>
      </c>
      <c r="O20" s="1338">
        <f>N20/N36</f>
        <v>0.83720930232558144</v>
      </c>
      <c r="P20" s="1337">
        <f>Q36-P36</f>
        <v>-896</v>
      </c>
      <c r="Q20" s="1338">
        <f>IFERROR(P20/P36,0)</f>
        <v>-0.14340588988476313</v>
      </c>
      <c r="R20" s="1337">
        <f>S36-R36</f>
        <v>-252</v>
      </c>
      <c r="S20" s="1338">
        <f>IFERROR(R20/R36,0)</f>
        <v>-0.12637913741223672</v>
      </c>
      <c r="T20" s="1337">
        <f>U36-T36</f>
        <v>6044</v>
      </c>
      <c r="U20" s="1338">
        <f>T20/T36</f>
        <v>5.7561904761904765</v>
      </c>
      <c r="V20" s="1337">
        <f>W36-V36</f>
        <v>-29</v>
      </c>
      <c r="W20" s="1338">
        <f>IFERROR(V20/V36,0)</f>
        <v>-3.1833150384193196E-2</v>
      </c>
      <c r="X20" s="1337">
        <f>Y36-X36</f>
        <v>145</v>
      </c>
      <c r="Y20" s="1338">
        <f>X20/X36</f>
        <v>3.9306044998644617E-2</v>
      </c>
      <c r="Z20" s="1337">
        <f>AA36-Z36</f>
        <v>85</v>
      </c>
      <c r="AA20" s="1338">
        <f>Z20/Z36</f>
        <v>5.8864265927977839E-2</v>
      </c>
      <c r="AB20" s="1337">
        <f>AC36-AB36</f>
        <v>-67</v>
      </c>
      <c r="AC20" s="1338">
        <f>AB20/AB36</f>
        <v>-3.1889576392194197E-2</v>
      </c>
      <c r="AD20" s="1337">
        <f>AE36-AD36</f>
        <v>-8</v>
      </c>
      <c r="AE20" s="1338">
        <f>AD20/AD36</f>
        <v>-3.7105751391465678E-3</v>
      </c>
      <c r="AF20" s="1337">
        <f>AG36-AF36</f>
        <v>144</v>
      </c>
      <c r="AG20" s="1338">
        <f>AF20/AF36</f>
        <v>7.7544426494345717E-2</v>
      </c>
      <c r="AH20" s="1337">
        <f>AI36-AH36</f>
        <v>-10</v>
      </c>
      <c r="AI20" s="1338">
        <f>AH20/AH36</f>
        <v>-9.5877277085330784E-3</v>
      </c>
      <c r="AJ20" s="1337">
        <f>AK36-AJ36</f>
        <v>-18</v>
      </c>
      <c r="AK20" s="1338">
        <f>IFERROR(AJ20/AJ36,0)</f>
        <v>-5.9760956175298804E-3</v>
      </c>
      <c r="AL20" s="1337">
        <f>AM36-AL36</f>
        <v>-95</v>
      </c>
      <c r="AM20" s="1338">
        <f>IFERROR(AL20/AL36,0)</f>
        <v>-0.10662177328843996</v>
      </c>
      <c r="AN20" s="1337">
        <f>AO36-AN36</f>
        <v>93</v>
      </c>
      <c r="AO20" s="1338">
        <f>IFERROR(AN20/AN36,0)</f>
        <v>1.8637274549098196E-2</v>
      </c>
      <c r="AP20" s="1337">
        <f>AQ36-AP36</f>
        <v>-591</v>
      </c>
      <c r="AQ20" s="1338">
        <f>IFERROR(AP20/AP36,0)</f>
        <v>-0.36436498150431568</v>
      </c>
      <c r="AR20" s="1337">
        <f>AS36-AR36</f>
        <v>87</v>
      </c>
      <c r="AS20" s="1338">
        <f>IFERROR(AR20/AR36,0)</f>
        <v>4.3718592964824124E-2</v>
      </c>
      <c r="AT20" s="1337">
        <f>AU36-AT36</f>
        <v>-1019</v>
      </c>
      <c r="AU20" s="1338">
        <f>IFERROR(AT20/AT36,0)</f>
        <v>-0.12790259821764779</v>
      </c>
      <c r="AV20" s="1337">
        <f>AW36-AV36</f>
        <v>-743</v>
      </c>
      <c r="AW20" s="1339">
        <f>IFERROR(AV20/AV36,0)</f>
        <v>-0.15216055703460987</v>
      </c>
    </row>
    <row r="21" spans="1:49" s="201" customFormat="1" ht="35.1" customHeight="1">
      <c r="A21" s="1329">
        <v>42401</v>
      </c>
      <c r="B21" s="1337">
        <f>C37-B37</f>
        <v>9322</v>
      </c>
      <c r="C21" s="1338">
        <f>B21/B37</f>
        <v>0.15278961515767389</v>
      </c>
      <c r="D21" s="1337">
        <f>E37-D37</f>
        <v>335</v>
      </c>
      <c r="E21" s="1338">
        <f>D21/D37</f>
        <v>5.0134690212511226E-2</v>
      </c>
      <c r="F21" s="1337">
        <f>G37-F37</f>
        <v>29</v>
      </c>
      <c r="G21" s="1338">
        <f>F21/F37</f>
        <v>4.0110650069156289E-3</v>
      </c>
      <c r="H21" s="1337">
        <f>I37-H37</f>
        <v>-67</v>
      </c>
      <c r="I21" s="1338">
        <f>H21/H37</f>
        <v>-7.5196408529741868E-2</v>
      </c>
      <c r="J21" s="1337">
        <f>K37-J37</f>
        <v>51</v>
      </c>
      <c r="K21" s="1338">
        <f>IFERROR(J21/J37,0)</f>
        <v>0.11358574610244988</v>
      </c>
      <c r="L21" s="1337">
        <f>M37-L37</f>
        <v>29</v>
      </c>
      <c r="M21" s="1338">
        <f>L21/L37</f>
        <v>1.0272759475735034E-2</v>
      </c>
      <c r="N21" s="1337">
        <f>O37-N37</f>
        <v>85</v>
      </c>
      <c r="O21" s="1338">
        <f>N21/N37</f>
        <v>0.57823129251700678</v>
      </c>
      <c r="P21" s="1337">
        <f>Q37-P37</f>
        <v>-442</v>
      </c>
      <c r="Q21" s="1338">
        <f>IFERROR(P21/P37,0)</f>
        <v>-7.7871740662438335E-2</v>
      </c>
      <c r="R21" s="1337">
        <f>S37-R37</f>
        <v>110</v>
      </c>
      <c r="S21" s="1338">
        <f>IFERROR(R21/R37,0)</f>
        <v>5.8981233243967826E-2</v>
      </c>
      <c r="T21" s="1337">
        <f>U37-T37</f>
        <v>6727</v>
      </c>
      <c r="U21" s="1338">
        <f>T21/T37</f>
        <v>13.95643153526971</v>
      </c>
      <c r="V21" s="1337">
        <f>W37-V37</f>
        <v>2</v>
      </c>
      <c r="W21" s="1338">
        <f>IFERROR(V21/V37,0)</f>
        <v>2.352941176470588E-3</v>
      </c>
      <c r="X21" s="1337">
        <f>Y37-X37</f>
        <v>158</v>
      </c>
      <c r="Y21" s="1338">
        <f>X21/X37</f>
        <v>4.4784580498866217E-2</v>
      </c>
      <c r="Z21" s="1337">
        <f>AA37-Z37</f>
        <v>132</v>
      </c>
      <c r="AA21" s="1338">
        <f>Z21/Z37</f>
        <v>9.7705403404885274E-2</v>
      </c>
      <c r="AB21" s="1337">
        <f>AC37-AB37</f>
        <v>114</v>
      </c>
      <c r="AC21" s="1338">
        <f>AB21/AB37</f>
        <v>5.772151898734177E-2</v>
      </c>
      <c r="AD21" s="1337">
        <f>AE37-AD37</f>
        <v>35</v>
      </c>
      <c r="AE21" s="1338">
        <f>AD21/AD37</f>
        <v>1.71484566389025E-2</v>
      </c>
      <c r="AF21" s="1337">
        <f>AG37-AF37</f>
        <v>319</v>
      </c>
      <c r="AG21" s="1338">
        <f>AF21/AF37</f>
        <v>0.18439306358381502</v>
      </c>
      <c r="AH21" s="1337">
        <f>AI37-AH37</f>
        <v>-37</v>
      </c>
      <c r="AI21" s="1338">
        <f>AH21/AH37</f>
        <v>-3.6561264822134384E-2</v>
      </c>
      <c r="AJ21" s="1337">
        <f>AK37-AJ37</f>
        <v>-27</v>
      </c>
      <c r="AK21" s="1338">
        <f>IFERROR(AJ21/AJ37,0)</f>
        <v>-9.5812633073101491E-3</v>
      </c>
      <c r="AL21" s="1337">
        <f>AM37-AL37</f>
        <v>11</v>
      </c>
      <c r="AM21" s="1338">
        <f>IFERROR(AL21/AL37,0)</f>
        <v>1.3189448441247002E-2</v>
      </c>
      <c r="AN21" s="1337">
        <f>AO37-AN37</f>
        <v>498</v>
      </c>
      <c r="AO21" s="1338">
        <f>IFERROR(AN21/AN37,0)</f>
        <v>0.10774556469061013</v>
      </c>
      <c r="AP21" s="1337">
        <f>AQ37-AP37</f>
        <v>-369</v>
      </c>
      <c r="AQ21" s="1338">
        <f>IFERROR(AP21/AP37,0)</f>
        <v>-0.24324324324324326</v>
      </c>
      <c r="AR21" s="1337">
        <f>AS37-AR37</f>
        <v>542</v>
      </c>
      <c r="AS21" s="1338">
        <f>IFERROR(AR21/AR37,0)</f>
        <v>0.29108485499462944</v>
      </c>
      <c r="AT21" s="1337">
        <f>AU37-AT37</f>
        <v>698</v>
      </c>
      <c r="AU21" s="1338">
        <f>IFERROR(AT21/AT37,0)</f>
        <v>0.10593413264531795</v>
      </c>
      <c r="AV21" s="1337">
        <f>AW37-AV37</f>
        <v>389</v>
      </c>
      <c r="AW21" s="1339">
        <f>IFERROR(AV21/AV37,0)</f>
        <v>9.6334819217434378E-2</v>
      </c>
    </row>
    <row r="22" spans="1:49" s="201" customFormat="1" ht="35.1" customHeight="1">
      <c r="A22" s="1329">
        <v>42430</v>
      </c>
      <c r="B22" s="1337">
        <f>C38-B38</f>
        <v>8017</v>
      </c>
      <c r="C22" s="1338">
        <f>B22/B38</f>
        <v>0.1178035089781644</v>
      </c>
      <c r="D22" s="1337">
        <f>E38-D38</f>
        <v>159</v>
      </c>
      <c r="E22" s="1338">
        <f>D22/D38</f>
        <v>2.1231139003872346E-2</v>
      </c>
      <c r="F22" s="1337">
        <f>G38-F38</f>
        <v>-113</v>
      </c>
      <c r="G22" s="1338">
        <f>F22/F38</f>
        <v>-1.430379746835443E-2</v>
      </c>
      <c r="H22" s="1337">
        <f>I38-H38</f>
        <v>-21</v>
      </c>
      <c r="I22" s="1338">
        <f>H22/H38</f>
        <v>-2.5578562728380026E-2</v>
      </c>
      <c r="J22" s="1337">
        <f>K38-J38</f>
        <v>91</v>
      </c>
      <c r="K22" s="1338">
        <f>IFERROR(J22/J38,0)</f>
        <v>0.1903765690376569</v>
      </c>
      <c r="L22" s="1337">
        <f>M38-L38</f>
        <v>218</v>
      </c>
      <c r="M22" s="1338">
        <f>L22/L38</f>
        <v>7.2763684913217622E-2</v>
      </c>
      <c r="N22" s="1337">
        <f>O38-N38</f>
        <v>55</v>
      </c>
      <c r="O22" s="1338">
        <f>N22/N38</f>
        <v>0.2570093457943925</v>
      </c>
      <c r="P22" s="1337">
        <f>Q38-P38</f>
        <v>-619</v>
      </c>
      <c r="Q22" s="1338">
        <f>IFERROR(P22/P38,0)</f>
        <v>-9.3546924588181951E-2</v>
      </c>
      <c r="R22" s="1337">
        <f>S38-R38</f>
        <v>310</v>
      </c>
      <c r="S22" s="1338">
        <f>IFERROR(R22/R38,0)</f>
        <v>0.16693591814754982</v>
      </c>
      <c r="T22" s="1337">
        <f>U38-T38</f>
        <v>7036</v>
      </c>
      <c r="U22" s="1338">
        <f>T22/T38</f>
        <v>6.2320637732506645</v>
      </c>
      <c r="V22" s="1337">
        <f>W38-V38</f>
        <v>69</v>
      </c>
      <c r="W22" s="1338">
        <f>IFERROR(V22/V38,0)</f>
        <v>7.5824175824175818E-2</v>
      </c>
      <c r="X22" s="1337">
        <f>Y38-X38</f>
        <v>252</v>
      </c>
      <c r="Y22" s="1338">
        <f>X22/X38</f>
        <v>6.4831489580653462E-2</v>
      </c>
      <c r="Z22" s="1337">
        <f>AA38-Z38</f>
        <v>100</v>
      </c>
      <c r="AA22" s="1338">
        <f>Z22/Z38</f>
        <v>6.9252077562326875E-2</v>
      </c>
      <c r="AB22" s="1337">
        <f>AC38-AB38</f>
        <v>16</v>
      </c>
      <c r="AC22" s="1338">
        <f>AB22/AB38</f>
        <v>7.0796460176991149E-3</v>
      </c>
      <c r="AD22" s="1337">
        <f>AE38-AD38</f>
        <v>8</v>
      </c>
      <c r="AE22" s="1338">
        <f>AD22/AD38</f>
        <v>3.4632034632034632E-3</v>
      </c>
      <c r="AF22" s="1337">
        <f>AG38-AF38</f>
        <v>229</v>
      </c>
      <c r="AG22" s="1338">
        <f>AF22/AF38</f>
        <v>0.10909957122439257</v>
      </c>
      <c r="AH22" s="1337">
        <f>AI38-AH38</f>
        <v>-163</v>
      </c>
      <c r="AI22" s="1338">
        <f>AH22/AH38</f>
        <v>-0.13931623931623932</v>
      </c>
      <c r="AJ22" s="1337">
        <f>AK38-AJ38</f>
        <v>30</v>
      </c>
      <c r="AK22" s="1338">
        <f>IFERROR(AJ22/AJ38,0)</f>
        <v>9.9601593625498006E-3</v>
      </c>
      <c r="AL22" s="1337">
        <f>AM38-AL38</f>
        <v>4</v>
      </c>
      <c r="AM22" s="1338">
        <f>IFERROR(AL22/AL38,0)</f>
        <v>4.4893378226711564E-3</v>
      </c>
      <c r="AN22" s="1337">
        <f>AO38-AN38</f>
        <v>390</v>
      </c>
      <c r="AO22" s="1338">
        <f>IFERROR(AN22/AN38,0)</f>
        <v>7.8947368421052627E-2</v>
      </c>
      <c r="AP22" s="1337">
        <f>AQ38-AP38</f>
        <v>-575</v>
      </c>
      <c r="AQ22" s="1338">
        <f>IFERROR(AP22/AP38,0)</f>
        <v>-0.35450061652281134</v>
      </c>
      <c r="AR22" s="1337">
        <f>AS38-AR38</f>
        <v>632</v>
      </c>
      <c r="AS22" s="1338">
        <f>IFERROR(AR22/AR38,0)</f>
        <v>0.31758793969849247</v>
      </c>
      <c r="AT22" s="1337">
        <f>AU38-AT38</f>
        <v>-111</v>
      </c>
      <c r="AU22" s="1338">
        <f>IFERROR(AT22/AT38,0)</f>
        <v>-1.489732921755469E-2</v>
      </c>
      <c r="AV22" s="1337">
        <f>AW38-AV38</f>
        <v>20</v>
      </c>
      <c r="AW22" s="1339">
        <f>IFERROR(AV22/AV38,0)</f>
        <v>4.3792423910663453E-3</v>
      </c>
    </row>
    <row r="23" spans="1:49" s="201" customFormat="1" ht="35.1" customHeight="1">
      <c r="A23" s="1329">
        <v>42461</v>
      </c>
      <c r="B23" s="1337">
        <f>C39-B39</f>
        <v>6922</v>
      </c>
      <c r="C23" s="1338">
        <f>B23/B39</f>
        <v>0.11014049994430919</v>
      </c>
      <c r="D23" s="1337">
        <f>E39-D39</f>
        <v>120</v>
      </c>
      <c r="E23" s="1338">
        <f>D23/D39</f>
        <v>1.7241379310344827E-2</v>
      </c>
      <c r="F23" s="1337">
        <f>G39-F39</f>
        <v>-177</v>
      </c>
      <c r="G23" s="1338">
        <f>F23/F39</f>
        <v>-2.3822341857335127E-2</v>
      </c>
      <c r="H23" s="1337">
        <f>I39-H39</f>
        <v>3</v>
      </c>
      <c r="I23" s="1338">
        <f>H23/H39</f>
        <v>4.1322314049586778E-3</v>
      </c>
      <c r="J23" s="1337">
        <f>K39-J39</f>
        <v>16</v>
      </c>
      <c r="K23" s="1338">
        <f>IFERROR(J23/J39,0)</f>
        <v>3.8554216867469883E-2</v>
      </c>
      <c r="L23" s="1337">
        <f>M39-L39</f>
        <v>77</v>
      </c>
      <c r="M23" s="1338">
        <f>L23/L39</f>
        <v>2.9034690799396683E-2</v>
      </c>
      <c r="N23" s="1337">
        <f>O39-N39</f>
        <v>33</v>
      </c>
      <c r="O23" s="1338">
        <f>N23/N39</f>
        <v>0.1736842105263158</v>
      </c>
      <c r="P23" s="1337">
        <f>Q39-P39</f>
        <v>-709</v>
      </c>
      <c r="Q23" s="1338">
        <f>IFERROR(P23/P39,0)</f>
        <v>-0.1148364107547781</v>
      </c>
      <c r="R23" s="1337">
        <f>S39-R39</f>
        <v>1843</v>
      </c>
      <c r="S23" s="1338">
        <f>IFERROR(R23/R39,0)</f>
        <v>0</v>
      </c>
      <c r="T23" s="1337">
        <f>U39-T39</f>
        <v>6198</v>
      </c>
      <c r="U23" s="1338">
        <f>T23/T39</f>
        <v>5.583783783783784</v>
      </c>
      <c r="V23" s="1337">
        <f>W39-V39</f>
        <v>112</v>
      </c>
      <c r="W23" s="1338">
        <f>IFERROR(V23/V39,0)</f>
        <v>0.12712826333711691</v>
      </c>
      <c r="X23" s="1337">
        <f>Y39-X39</f>
        <v>192</v>
      </c>
      <c r="Y23" s="1338">
        <f>X23/X39</f>
        <v>5.2747252747252747E-2</v>
      </c>
      <c r="Z23" s="1337">
        <f>AA39-Z39</f>
        <v>-16</v>
      </c>
      <c r="AA23" s="1338">
        <f>Z23/Z39</f>
        <v>-1.1453113815318539E-2</v>
      </c>
      <c r="AB23" s="1337">
        <f>AC39-AB39</f>
        <v>74</v>
      </c>
      <c r="AC23" s="1338">
        <f>AB23/AB39</f>
        <v>3.5355948399426664E-2</v>
      </c>
      <c r="AD23" s="1337">
        <f>AE39-AD39</f>
        <v>-112</v>
      </c>
      <c r="AE23" s="1338">
        <f>AD23/AD39</f>
        <v>-4.9955396966993755E-2</v>
      </c>
      <c r="AF23" s="1337">
        <f>AG39-AF39</f>
        <v>148</v>
      </c>
      <c r="AG23" s="1338">
        <f>AF23/AF39</f>
        <v>7.411116675012519E-2</v>
      </c>
      <c r="AH23" s="1337">
        <f>AI39-AH39</f>
        <v>-161</v>
      </c>
      <c r="AI23" s="1338">
        <f>AH23/AH39</f>
        <v>-0.14210061782877317</v>
      </c>
      <c r="AJ23" s="1337">
        <f>AK39-AJ39</f>
        <v>167</v>
      </c>
      <c r="AK23" s="1338">
        <f>IFERROR(AJ23/AJ39,0)</f>
        <v>5.7289879931389363E-2</v>
      </c>
      <c r="AL23" s="1337">
        <f>AM39-AL39</f>
        <v>-38</v>
      </c>
      <c r="AM23" s="1338">
        <f>IFERROR(AL23/AL39,0)</f>
        <v>-4.4083526682134569E-2</v>
      </c>
      <c r="AN23" s="1337">
        <f>AO39-AN39</f>
        <v>96</v>
      </c>
      <c r="AO23" s="1338">
        <f>IFERROR(AN23/AN39,0)</f>
        <v>2.0079481280066931E-2</v>
      </c>
      <c r="AP23" s="1337">
        <f>AQ39-AP39</f>
        <v>-524</v>
      </c>
      <c r="AQ23" s="1338">
        <f>IFERROR(AP23/AP39,0)</f>
        <v>-0.33397068196303376</v>
      </c>
      <c r="AR23" s="1337">
        <f>AS39-AR39</f>
        <v>286</v>
      </c>
      <c r="AS23" s="1338">
        <f>IFERROR(AR23/AR39,0)</f>
        <v>0.14849428868120457</v>
      </c>
      <c r="AT23" s="1337">
        <f>AU39-AT39</f>
        <v>-564</v>
      </c>
      <c r="AU23" s="1338">
        <f>IFERROR(AT23/AT39,0)</f>
        <v>-7.7398106216550022E-2</v>
      </c>
      <c r="AV23" s="1337">
        <f>AW39-AV39</f>
        <v>-142</v>
      </c>
      <c r="AW23" s="1339">
        <f>IFERROR(AV23/AV39,0)</f>
        <v>-3.1788672487127828E-2</v>
      </c>
    </row>
    <row r="24" spans="1:49" s="201" customFormat="1" ht="35.1" customHeight="1">
      <c r="A24" s="1329">
        <v>42491</v>
      </c>
      <c r="B24" s="1337"/>
      <c r="C24" s="1338"/>
      <c r="D24" s="1337"/>
      <c r="E24" s="1338"/>
      <c r="F24" s="1337"/>
      <c r="G24" s="1338"/>
      <c r="H24" s="1337"/>
      <c r="I24" s="1338"/>
      <c r="J24" s="1337"/>
      <c r="K24" s="1338"/>
      <c r="L24" s="1337"/>
      <c r="M24" s="1338"/>
      <c r="N24" s="1337"/>
      <c r="O24" s="1338"/>
      <c r="P24" s="1337"/>
      <c r="Q24" s="1338"/>
      <c r="R24" s="1337"/>
      <c r="S24" s="1338"/>
      <c r="T24" s="1337"/>
      <c r="U24" s="1338"/>
      <c r="V24" s="1337"/>
      <c r="W24" s="1338"/>
      <c r="X24" s="1337"/>
      <c r="Y24" s="1338"/>
      <c r="Z24" s="1337"/>
      <c r="AA24" s="1338"/>
      <c r="AB24" s="1337"/>
      <c r="AC24" s="1338"/>
      <c r="AD24" s="1337"/>
      <c r="AE24" s="1338"/>
      <c r="AF24" s="1337"/>
      <c r="AG24" s="1338"/>
      <c r="AH24" s="1337"/>
      <c r="AI24" s="1338"/>
      <c r="AJ24" s="1337"/>
      <c r="AK24" s="1338"/>
      <c r="AL24" s="1337"/>
      <c r="AM24" s="1338"/>
      <c r="AN24" s="1337"/>
      <c r="AO24" s="1338"/>
      <c r="AP24" s="1337"/>
      <c r="AQ24" s="1338"/>
      <c r="AR24" s="1337"/>
      <c r="AS24" s="1338"/>
      <c r="AT24" s="1337"/>
      <c r="AU24" s="1338"/>
      <c r="AV24" s="1337"/>
      <c r="AW24" s="1339"/>
    </row>
    <row r="25" spans="1:49" s="201" customFormat="1" ht="35.1" customHeight="1">
      <c r="A25" s="1329">
        <v>42522</v>
      </c>
      <c r="B25" s="1337"/>
      <c r="C25" s="1338"/>
      <c r="D25" s="1337"/>
      <c r="E25" s="1338"/>
      <c r="F25" s="1337"/>
      <c r="G25" s="1338"/>
      <c r="H25" s="1337"/>
      <c r="I25" s="1338"/>
      <c r="J25" s="1337"/>
      <c r="K25" s="1338"/>
      <c r="L25" s="1337"/>
      <c r="M25" s="1338"/>
      <c r="N25" s="1337"/>
      <c r="O25" s="1338"/>
      <c r="P25" s="1337"/>
      <c r="Q25" s="1338"/>
      <c r="R25" s="1337"/>
      <c r="S25" s="1338"/>
      <c r="T25" s="1337"/>
      <c r="U25" s="1338"/>
      <c r="V25" s="1337"/>
      <c r="W25" s="1338"/>
      <c r="X25" s="1337"/>
      <c r="Y25" s="1338"/>
      <c r="Z25" s="1337"/>
      <c r="AA25" s="1338"/>
      <c r="AB25" s="1337"/>
      <c r="AC25" s="1338"/>
      <c r="AD25" s="1337"/>
      <c r="AE25" s="1338"/>
      <c r="AF25" s="1337"/>
      <c r="AG25" s="1338"/>
      <c r="AH25" s="1337"/>
      <c r="AI25" s="1338"/>
      <c r="AJ25" s="1337"/>
      <c r="AK25" s="1338"/>
      <c r="AL25" s="1337"/>
      <c r="AM25" s="1338"/>
      <c r="AN25" s="1337"/>
      <c r="AO25" s="1338"/>
      <c r="AP25" s="1337"/>
      <c r="AQ25" s="1338"/>
      <c r="AR25" s="1337"/>
      <c r="AS25" s="1338"/>
      <c r="AT25" s="1337"/>
      <c r="AU25" s="1338"/>
      <c r="AV25" s="1337"/>
      <c r="AW25" s="1339"/>
    </row>
    <row r="26" spans="1:49" s="201" customFormat="1" ht="35.1" customHeight="1">
      <c r="A26" s="1329">
        <v>42552</v>
      </c>
      <c r="B26" s="1337"/>
      <c r="C26" s="1338"/>
      <c r="D26" s="1337"/>
      <c r="E26" s="1338"/>
      <c r="F26" s="1337"/>
      <c r="G26" s="1338"/>
      <c r="H26" s="1337"/>
      <c r="I26" s="1338"/>
      <c r="J26" s="1337"/>
      <c r="K26" s="1338"/>
      <c r="L26" s="1337"/>
      <c r="M26" s="1338"/>
      <c r="N26" s="1337"/>
      <c r="O26" s="1338"/>
      <c r="P26" s="1337"/>
      <c r="Q26" s="1338"/>
      <c r="R26" s="1337"/>
      <c r="S26" s="1338"/>
      <c r="T26" s="1337"/>
      <c r="U26" s="1338"/>
      <c r="V26" s="1337"/>
      <c r="W26" s="1338"/>
      <c r="X26" s="1337"/>
      <c r="Y26" s="1338"/>
      <c r="Z26" s="1337"/>
      <c r="AA26" s="1338"/>
      <c r="AB26" s="1337"/>
      <c r="AC26" s="1338"/>
      <c r="AD26" s="1337"/>
      <c r="AE26" s="1338"/>
      <c r="AF26" s="1337"/>
      <c r="AG26" s="1338"/>
      <c r="AH26" s="1337"/>
      <c r="AI26" s="1338"/>
      <c r="AJ26" s="1337"/>
      <c r="AK26" s="1338"/>
      <c r="AL26" s="1337"/>
      <c r="AM26" s="1338"/>
      <c r="AN26" s="1337"/>
      <c r="AO26" s="1338"/>
      <c r="AP26" s="1337"/>
      <c r="AQ26" s="1338"/>
      <c r="AR26" s="1337"/>
      <c r="AS26" s="1338"/>
      <c r="AT26" s="1337"/>
      <c r="AU26" s="1338"/>
      <c r="AV26" s="1337"/>
      <c r="AW26" s="1339"/>
    </row>
    <row r="27" spans="1:49" s="201" customFormat="1" ht="35.1" customHeight="1">
      <c r="A27" s="1329">
        <v>42583</v>
      </c>
      <c r="B27" s="1337"/>
      <c r="C27" s="1338"/>
      <c r="D27" s="1337"/>
      <c r="E27" s="1338"/>
      <c r="F27" s="1337"/>
      <c r="G27" s="1338"/>
      <c r="H27" s="1337"/>
      <c r="I27" s="1338"/>
      <c r="J27" s="1337"/>
      <c r="K27" s="1338"/>
      <c r="L27" s="1337"/>
      <c r="M27" s="1338"/>
      <c r="N27" s="1337"/>
      <c r="O27" s="1338"/>
      <c r="P27" s="1337"/>
      <c r="Q27" s="1338"/>
      <c r="R27" s="1337"/>
      <c r="S27" s="1338"/>
      <c r="T27" s="1337"/>
      <c r="U27" s="1338"/>
      <c r="V27" s="1337"/>
      <c r="W27" s="1338"/>
      <c r="X27" s="1337"/>
      <c r="Y27" s="1338"/>
      <c r="Z27" s="1337"/>
      <c r="AA27" s="1338"/>
      <c r="AB27" s="1337"/>
      <c r="AC27" s="1338"/>
      <c r="AD27" s="1337"/>
      <c r="AE27" s="1338"/>
      <c r="AF27" s="1337"/>
      <c r="AG27" s="1338"/>
      <c r="AH27" s="1337"/>
      <c r="AI27" s="1338"/>
      <c r="AJ27" s="1337"/>
      <c r="AK27" s="1338"/>
      <c r="AL27" s="1337"/>
      <c r="AM27" s="1338"/>
      <c r="AN27" s="1337"/>
      <c r="AO27" s="1338"/>
      <c r="AP27" s="1337"/>
      <c r="AQ27" s="1338"/>
      <c r="AR27" s="1337"/>
      <c r="AS27" s="1338"/>
      <c r="AT27" s="1337"/>
      <c r="AU27" s="1338"/>
      <c r="AV27" s="1337"/>
      <c r="AW27" s="1339"/>
    </row>
    <row r="28" spans="1:49" s="201" customFormat="1" ht="35.1" customHeight="1">
      <c r="A28" s="1329">
        <v>42614</v>
      </c>
      <c r="B28" s="1337"/>
      <c r="C28" s="1338"/>
      <c r="D28" s="1337"/>
      <c r="E28" s="1338"/>
      <c r="F28" s="1337"/>
      <c r="G28" s="1338"/>
      <c r="H28" s="1337"/>
      <c r="I28" s="1338"/>
      <c r="J28" s="1337"/>
      <c r="K28" s="1338"/>
      <c r="L28" s="1337"/>
      <c r="M28" s="1338"/>
      <c r="N28" s="1337"/>
      <c r="O28" s="1338"/>
      <c r="P28" s="1337"/>
      <c r="Q28" s="1338"/>
      <c r="R28" s="1337"/>
      <c r="S28" s="1338"/>
      <c r="T28" s="1337"/>
      <c r="U28" s="1338"/>
      <c r="V28" s="1337"/>
      <c r="W28" s="1338"/>
      <c r="X28" s="1337"/>
      <c r="Y28" s="1338"/>
      <c r="Z28" s="1337"/>
      <c r="AA28" s="1338"/>
      <c r="AB28" s="1337"/>
      <c r="AC28" s="1338"/>
      <c r="AD28" s="1337"/>
      <c r="AE28" s="1338"/>
      <c r="AF28" s="1337"/>
      <c r="AG28" s="1338"/>
      <c r="AH28" s="1337"/>
      <c r="AI28" s="1338"/>
      <c r="AJ28" s="1337"/>
      <c r="AK28" s="1338"/>
      <c r="AL28" s="1337"/>
      <c r="AM28" s="1338"/>
      <c r="AN28" s="1337"/>
      <c r="AO28" s="1338"/>
      <c r="AP28" s="1337"/>
      <c r="AQ28" s="1338"/>
      <c r="AR28" s="1337"/>
      <c r="AS28" s="1338"/>
      <c r="AT28" s="1337"/>
      <c r="AU28" s="1338"/>
      <c r="AV28" s="1337"/>
      <c r="AW28" s="1339"/>
    </row>
    <row r="29" spans="1:49" s="201" customFormat="1" ht="35.1" customHeight="1">
      <c r="A29" s="1329">
        <v>42644</v>
      </c>
      <c r="B29" s="1337"/>
      <c r="C29" s="1338"/>
      <c r="D29" s="1337"/>
      <c r="E29" s="1338"/>
      <c r="F29" s="1337"/>
      <c r="G29" s="1338"/>
      <c r="H29" s="1337"/>
      <c r="I29" s="1338"/>
      <c r="J29" s="1337"/>
      <c r="K29" s="1338"/>
      <c r="L29" s="1337"/>
      <c r="M29" s="1338"/>
      <c r="N29" s="1337"/>
      <c r="O29" s="1338"/>
      <c r="P29" s="1337"/>
      <c r="Q29" s="1338"/>
      <c r="R29" s="1337"/>
      <c r="S29" s="1338"/>
      <c r="T29" s="1337"/>
      <c r="U29" s="1338"/>
      <c r="V29" s="1337"/>
      <c r="W29" s="1338"/>
      <c r="X29" s="1337"/>
      <c r="Y29" s="1338"/>
      <c r="Z29" s="1337"/>
      <c r="AA29" s="1338"/>
      <c r="AB29" s="1337"/>
      <c r="AC29" s="1338"/>
      <c r="AD29" s="1337"/>
      <c r="AE29" s="1338"/>
      <c r="AF29" s="1337"/>
      <c r="AG29" s="1338"/>
      <c r="AH29" s="1337"/>
      <c r="AI29" s="1338"/>
      <c r="AJ29" s="1337"/>
      <c r="AK29" s="1338"/>
      <c r="AL29" s="1337"/>
      <c r="AM29" s="1338"/>
      <c r="AN29" s="1337"/>
      <c r="AO29" s="1338"/>
      <c r="AP29" s="1337"/>
      <c r="AQ29" s="1338"/>
      <c r="AR29" s="1337"/>
      <c r="AS29" s="1338"/>
      <c r="AT29" s="1337"/>
      <c r="AU29" s="1338"/>
      <c r="AV29" s="1337"/>
      <c r="AW29" s="1339"/>
    </row>
    <row r="30" spans="1:49" s="201" customFormat="1" ht="35.1" customHeight="1">
      <c r="A30" s="1329">
        <v>42675</v>
      </c>
      <c r="B30" s="1337"/>
      <c r="C30" s="1338"/>
      <c r="D30" s="1337"/>
      <c r="E30" s="1338"/>
      <c r="F30" s="1337"/>
      <c r="G30" s="1338"/>
      <c r="H30" s="1337"/>
      <c r="I30" s="1338"/>
      <c r="J30" s="1337"/>
      <c r="K30" s="1338"/>
      <c r="L30" s="1337"/>
      <c r="M30" s="1338"/>
      <c r="N30" s="1337"/>
      <c r="O30" s="1338"/>
      <c r="P30" s="1337"/>
      <c r="Q30" s="1338"/>
      <c r="R30" s="1337"/>
      <c r="S30" s="1338"/>
      <c r="T30" s="1337"/>
      <c r="U30" s="1338"/>
      <c r="V30" s="1337"/>
      <c r="W30" s="1338"/>
      <c r="X30" s="1337"/>
      <c r="Y30" s="1338"/>
      <c r="Z30" s="1337"/>
      <c r="AA30" s="1338"/>
      <c r="AB30" s="1337"/>
      <c r="AC30" s="1338"/>
      <c r="AD30" s="1337"/>
      <c r="AE30" s="1338"/>
      <c r="AF30" s="1337"/>
      <c r="AG30" s="1338"/>
      <c r="AH30" s="1337"/>
      <c r="AI30" s="1338"/>
      <c r="AJ30" s="1337"/>
      <c r="AK30" s="1338"/>
      <c r="AL30" s="1337"/>
      <c r="AM30" s="1338"/>
      <c r="AN30" s="1337"/>
      <c r="AO30" s="1338"/>
      <c r="AP30" s="1337"/>
      <c r="AQ30" s="1338"/>
      <c r="AR30" s="1337"/>
      <c r="AS30" s="1338"/>
      <c r="AT30" s="1337"/>
      <c r="AU30" s="1338"/>
      <c r="AV30" s="1337"/>
      <c r="AW30" s="1339"/>
    </row>
    <row r="31" spans="1:49" s="201" customFormat="1" ht="35.1" customHeight="1" thickBot="1">
      <c r="A31" s="1330">
        <v>42705</v>
      </c>
      <c r="B31" s="1352"/>
      <c r="C31" s="1353"/>
      <c r="D31" s="1352"/>
      <c r="E31" s="1353"/>
      <c r="F31" s="1352"/>
      <c r="G31" s="1353"/>
      <c r="H31" s="1352"/>
      <c r="I31" s="1353"/>
      <c r="J31" s="1352"/>
      <c r="K31" s="1353"/>
      <c r="L31" s="1352"/>
      <c r="M31" s="1353"/>
      <c r="N31" s="1352"/>
      <c r="O31" s="1353"/>
      <c r="P31" s="1352"/>
      <c r="Q31" s="1353"/>
      <c r="R31" s="1352"/>
      <c r="S31" s="1353"/>
      <c r="T31" s="1352"/>
      <c r="U31" s="1353"/>
      <c r="V31" s="1352"/>
      <c r="W31" s="1353"/>
      <c r="X31" s="1352"/>
      <c r="Y31" s="1353"/>
      <c r="Z31" s="1352"/>
      <c r="AA31" s="1353"/>
      <c r="AB31" s="1352"/>
      <c r="AC31" s="1353"/>
      <c r="AD31" s="1352"/>
      <c r="AE31" s="1353"/>
      <c r="AF31" s="1352"/>
      <c r="AG31" s="1353"/>
      <c r="AH31" s="1352"/>
      <c r="AI31" s="1353"/>
      <c r="AJ31" s="1352"/>
      <c r="AK31" s="1353"/>
      <c r="AL31" s="1352"/>
      <c r="AM31" s="1353"/>
      <c r="AN31" s="1352"/>
      <c r="AO31" s="1353"/>
      <c r="AP31" s="1352"/>
      <c r="AQ31" s="1353"/>
      <c r="AR31" s="1352"/>
      <c r="AS31" s="1353"/>
      <c r="AT31" s="1352"/>
      <c r="AU31" s="1353"/>
      <c r="AV31" s="1352"/>
      <c r="AW31" s="1354"/>
    </row>
    <row r="32" spans="1:49" s="201" customFormat="1" ht="35.1" customHeight="1" thickTop="1" thickBot="1">
      <c r="A32" s="1355" t="s">
        <v>277</v>
      </c>
      <c r="B32" s="1350">
        <f>SUM(B20:B31)</f>
        <v>26920</v>
      </c>
      <c r="C32" s="1356">
        <f>B32/B48</f>
        <v>0.10382878278879791</v>
      </c>
      <c r="D32" s="1350">
        <f>SUM(D20:D31)</f>
        <v>824</v>
      </c>
      <c r="E32" s="1356">
        <f>D32/D48</f>
        <v>2.911660777385159E-2</v>
      </c>
      <c r="F32" s="1350">
        <f>SUM(F20:F31)</f>
        <v>-716</v>
      </c>
      <c r="G32" s="1357">
        <f>IFERROR(F32/F48,0)</f>
        <v>-2.3562707736861158E-2</v>
      </c>
      <c r="H32" s="1350">
        <f>SUM(H20:H31)</f>
        <v>-175</v>
      </c>
      <c r="I32" s="1357">
        <f>IFERROR(H32/H48,0)</f>
        <v>-5.1759834368530024E-2</v>
      </c>
      <c r="J32" s="1350">
        <f>SUM(J20:J31)</f>
        <v>151</v>
      </c>
      <c r="K32" s="1357">
        <f>IFERROR(J32/J48,0)</f>
        <v>8.3149779735682813E-2</v>
      </c>
      <c r="L32" s="1350">
        <f>SUM(L20:L31)</f>
        <v>383</v>
      </c>
      <c r="M32" s="1356">
        <f>L32/L48</f>
        <v>3.3350748867990249E-2</v>
      </c>
      <c r="N32" s="1350">
        <f>SUM(N20:N31)</f>
        <v>245</v>
      </c>
      <c r="O32" s="1356">
        <f>N32/N48</f>
        <v>0.38461538461538464</v>
      </c>
      <c r="P32" s="1350">
        <f>SUM(P20:P31)</f>
        <v>-2666</v>
      </c>
      <c r="Q32" s="1357">
        <f>IFERROR(P32/P48,0)</f>
        <v>-0.10786971474812866</v>
      </c>
      <c r="R32" s="1350">
        <f>SUM(R20:R31)</f>
        <v>2011</v>
      </c>
      <c r="S32" s="1357">
        <f>IFERROR(R32/R48,0)</f>
        <v>0.35181945416375088</v>
      </c>
      <c r="T32" s="1350">
        <f>SUM(T20:T31)</f>
        <v>26005</v>
      </c>
      <c r="U32" s="1356">
        <f>T32/T48</f>
        <v>6.8960487934234953</v>
      </c>
      <c r="V32" s="1350">
        <f>SUM(V20:V31)</f>
        <v>154</v>
      </c>
      <c r="W32" s="1356">
        <f>V32/V48</f>
        <v>4.3355855855855857E-2</v>
      </c>
      <c r="X32" s="1350">
        <f>SUM(X20:X31)</f>
        <v>747</v>
      </c>
      <c r="Y32" s="1356">
        <f>X32/X48</f>
        <v>5.066467715680955E-2</v>
      </c>
      <c r="Z32" s="1350">
        <f>SUM(Z20:Z31)</f>
        <v>301</v>
      </c>
      <c r="AA32" s="1356">
        <f>IFERROR(Z32/Z48,0)</f>
        <v>5.340667139815472E-2</v>
      </c>
      <c r="AB32" s="1350">
        <f>SUM(AB20:AB31)</f>
        <v>137</v>
      </c>
      <c r="AC32" s="1356">
        <f>AB32/AB48</f>
        <v>1.625341084351643E-2</v>
      </c>
      <c r="AD32" s="1350">
        <f>SUM(AD20:AD31)</f>
        <v>-77</v>
      </c>
      <c r="AE32" s="1356">
        <f>AD32/AD48</f>
        <v>-8.8010058292376271E-3</v>
      </c>
      <c r="AF32" s="1350">
        <f>SUM(AF20:AF31)</f>
        <v>840</v>
      </c>
      <c r="AG32" s="1356">
        <f>AF32/AF48</f>
        <v>0.10933229207340882</v>
      </c>
      <c r="AH32" s="1350">
        <f>SUM(AH20:AH31)</f>
        <v>-371</v>
      </c>
      <c r="AI32" s="1356">
        <f>AH32/AH48</f>
        <v>-8.5130793942175306E-2</v>
      </c>
      <c r="AJ32" s="1350">
        <f>SUM(AJ20:AJ31)</f>
        <v>152</v>
      </c>
      <c r="AK32" s="1356">
        <f>IFERROR(AJ32/AJ48,0)</f>
        <v>1.2928468146636047E-2</v>
      </c>
      <c r="AL32" s="1350"/>
      <c r="AM32" s="1358"/>
      <c r="AN32" s="1350">
        <f>SUM(AN20:AN31)</f>
        <v>1077</v>
      </c>
      <c r="AO32" s="1356">
        <f>AN32/AN48</f>
        <v>5.5707857032017791E-2</v>
      </c>
      <c r="AP32" s="1350">
        <f>SUM(AP20:AP31)</f>
        <v>-2059</v>
      </c>
      <c r="AQ32" s="1356">
        <f>AP32/AP48</f>
        <v>-0.32527646129541865</v>
      </c>
      <c r="AR32" s="1350">
        <f>SUM(AR20:AR31)</f>
        <v>1547</v>
      </c>
      <c r="AS32" s="1356">
        <f>AR32/AR48</f>
        <v>0.19915036045314108</v>
      </c>
      <c r="AT32" s="1350">
        <f>SUM(AT20:AT31)</f>
        <v>-996</v>
      </c>
      <c r="AU32" s="1356">
        <f>AT32/AT48</f>
        <v>-3.4000136546733117E-2</v>
      </c>
      <c r="AV32" s="1350">
        <f>SUM(AV20:AV31)</f>
        <v>-476</v>
      </c>
      <c r="AW32" s="1358">
        <f>AV32/AV48</f>
        <v>-2.6510721247563353E-2</v>
      </c>
    </row>
    <row r="33" spans="1:49" s="201" customFormat="1" ht="35.1" customHeight="1" thickTop="1" thickBot="1">
      <c r="A33" s="1258"/>
      <c r="B33" s="1287"/>
      <c r="C33" s="1287"/>
      <c r="D33" s="1287"/>
      <c r="E33" s="1287"/>
      <c r="F33" s="1287"/>
      <c r="G33" s="1287"/>
      <c r="H33" s="1287"/>
      <c r="I33" s="1287"/>
      <c r="J33" s="1287"/>
      <c r="K33" s="1287"/>
      <c r="L33" s="1287"/>
      <c r="M33" s="1287"/>
      <c r="N33" s="1287"/>
      <c r="O33" s="1287"/>
      <c r="P33" s="1287"/>
      <c r="Q33" s="1287"/>
      <c r="R33" s="1287"/>
      <c r="S33" s="1287"/>
      <c r="T33" s="1287"/>
      <c r="U33" s="1287"/>
      <c r="V33" s="1287"/>
      <c r="W33" s="1287"/>
      <c r="X33" s="1287"/>
      <c r="Y33" s="1287"/>
      <c r="Z33" s="1287"/>
      <c r="AA33" s="1287"/>
      <c r="AB33" s="1287"/>
      <c r="AC33" s="1287"/>
      <c r="AD33" s="1287"/>
      <c r="AE33" s="1287"/>
      <c r="AF33" s="1287"/>
      <c r="AG33" s="1287"/>
      <c r="AH33" s="1287"/>
      <c r="AI33" s="1287"/>
      <c r="AJ33" s="1287"/>
      <c r="AK33" s="1287"/>
      <c r="AL33" s="1287"/>
      <c r="AM33" s="1287"/>
      <c r="AN33" s="1287"/>
      <c r="AO33" s="1287"/>
      <c r="AP33" s="1287"/>
      <c r="AQ33" s="1287"/>
      <c r="AR33" s="1287"/>
      <c r="AS33" s="1287"/>
      <c r="AT33" s="1287"/>
      <c r="AU33" s="1287"/>
      <c r="AV33" s="1287"/>
      <c r="AW33" s="1287"/>
    </row>
    <row r="34" spans="1:49" s="201" customFormat="1" ht="35.1" customHeight="1" thickTop="1">
      <c r="A34" s="2845" t="s">
        <v>276</v>
      </c>
      <c r="B34" s="2833" t="s">
        <v>62</v>
      </c>
      <c r="C34" s="2837"/>
      <c r="D34" s="2833" t="s">
        <v>275</v>
      </c>
      <c r="E34" s="2837"/>
      <c r="F34" s="2833" t="s">
        <v>29</v>
      </c>
      <c r="G34" s="2837"/>
      <c r="H34" s="2833" t="s">
        <v>41</v>
      </c>
      <c r="I34" s="2837"/>
      <c r="J34" s="2833" t="s">
        <v>9</v>
      </c>
      <c r="K34" s="2837"/>
      <c r="L34" s="2833" t="s">
        <v>474</v>
      </c>
      <c r="M34" s="2834"/>
      <c r="N34" s="2833" t="s">
        <v>475</v>
      </c>
      <c r="O34" s="2837"/>
      <c r="P34" s="2833" t="s">
        <v>476</v>
      </c>
      <c r="Q34" s="2834"/>
      <c r="R34" s="2833" t="s">
        <v>517</v>
      </c>
      <c r="S34" s="2834"/>
      <c r="T34" s="2833" t="s">
        <v>477</v>
      </c>
      <c r="U34" s="2834"/>
      <c r="V34" s="2833" t="s">
        <v>478</v>
      </c>
      <c r="W34" s="2834"/>
      <c r="X34" s="2833" t="s">
        <v>479</v>
      </c>
      <c r="Y34" s="2834"/>
      <c r="Z34" s="2833" t="s">
        <v>480</v>
      </c>
      <c r="AA34" s="2834"/>
      <c r="AB34" s="2833" t="s">
        <v>481</v>
      </c>
      <c r="AC34" s="2834"/>
      <c r="AD34" s="2833" t="s">
        <v>482</v>
      </c>
      <c r="AE34" s="2834"/>
      <c r="AF34" s="2833" t="s">
        <v>483</v>
      </c>
      <c r="AG34" s="2834"/>
      <c r="AH34" s="2833" t="s">
        <v>473</v>
      </c>
      <c r="AI34" s="2834"/>
      <c r="AJ34" s="2833" t="s">
        <v>468</v>
      </c>
      <c r="AK34" s="2834"/>
      <c r="AL34" s="2833" t="s">
        <v>469</v>
      </c>
      <c r="AM34" s="2834"/>
      <c r="AN34" s="2840" t="s">
        <v>470</v>
      </c>
      <c r="AO34" s="2834"/>
      <c r="AP34" s="2833" t="s">
        <v>471</v>
      </c>
      <c r="AQ34" s="2834"/>
      <c r="AR34" s="2833" t="s">
        <v>472</v>
      </c>
      <c r="AS34" s="2834"/>
      <c r="AT34" s="2833" t="s">
        <v>486</v>
      </c>
      <c r="AU34" s="2834"/>
      <c r="AV34" s="2833" t="s">
        <v>489</v>
      </c>
      <c r="AW34" s="2839"/>
    </row>
    <row r="35" spans="1:49" s="201" customFormat="1" ht="40.5" customHeight="1">
      <c r="A35" s="2846"/>
      <c r="B35" s="1340" t="s">
        <v>514</v>
      </c>
      <c r="C35" s="1341" t="s">
        <v>515</v>
      </c>
      <c r="D35" s="1340" t="s">
        <v>514</v>
      </c>
      <c r="E35" s="1341" t="s">
        <v>515</v>
      </c>
      <c r="F35" s="1340" t="s">
        <v>514</v>
      </c>
      <c r="G35" s="1341" t="s">
        <v>515</v>
      </c>
      <c r="H35" s="1340" t="s">
        <v>514</v>
      </c>
      <c r="I35" s="1341" t="s">
        <v>515</v>
      </c>
      <c r="J35" s="1340" t="s">
        <v>514</v>
      </c>
      <c r="K35" s="1341" t="s">
        <v>515</v>
      </c>
      <c r="L35" s="1340" t="s">
        <v>514</v>
      </c>
      <c r="M35" s="1341" t="s">
        <v>515</v>
      </c>
      <c r="N35" s="1340" t="s">
        <v>514</v>
      </c>
      <c r="O35" s="1341" t="s">
        <v>515</v>
      </c>
      <c r="P35" s="1340" t="s">
        <v>514</v>
      </c>
      <c r="Q35" s="1341" t="s">
        <v>515</v>
      </c>
      <c r="R35" s="1340" t="s">
        <v>514</v>
      </c>
      <c r="S35" s="1341" t="s">
        <v>515</v>
      </c>
      <c r="T35" s="1340" t="s">
        <v>514</v>
      </c>
      <c r="U35" s="1341" t="s">
        <v>515</v>
      </c>
      <c r="V35" s="1340" t="s">
        <v>514</v>
      </c>
      <c r="W35" s="1341" t="s">
        <v>515</v>
      </c>
      <c r="X35" s="1340" t="s">
        <v>514</v>
      </c>
      <c r="Y35" s="1341" t="s">
        <v>515</v>
      </c>
      <c r="Z35" s="1340" t="s">
        <v>514</v>
      </c>
      <c r="AA35" s="1341" t="s">
        <v>515</v>
      </c>
      <c r="AB35" s="1340" t="s">
        <v>514</v>
      </c>
      <c r="AC35" s="1341" t="s">
        <v>515</v>
      </c>
      <c r="AD35" s="1340" t="s">
        <v>514</v>
      </c>
      <c r="AE35" s="1341" t="s">
        <v>515</v>
      </c>
      <c r="AF35" s="1340" t="s">
        <v>514</v>
      </c>
      <c r="AG35" s="1341" t="s">
        <v>515</v>
      </c>
      <c r="AH35" s="1340" t="s">
        <v>514</v>
      </c>
      <c r="AI35" s="1341" t="s">
        <v>515</v>
      </c>
      <c r="AJ35" s="1340" t="s">
        <v>514</v>
      </c>
      <c r="AK35" s="1341" t="s">
        <v>515</v>
      </c>
      <c r="AL35" s="1340" t="s">
        <v>514</v>
      </c>
      <c r="AM35" s="1341" t="s">
        <v>515</v>
      </c>
      <c r="AN35" s="1340" t="s">
        <v>514</v>
      </c>
      <c r="AO35" s="1341" t="s">
        <v>515</v>
      </c>
      <c r="AP35" s="1340" t="s">
        <v>514</v>
      </c>
      <c r="AQ35" s="1341" t="s">
        <v>515</v>
      </c>
      <c r="AR35" s="1340" t="s">
        <v>514</v>
      </c>
      <c r="AS35" s="1341" t="s">
        <v>515</v>
      </c>
      <c r="AT35" s="1340" t="s">
        <v>514</v>
      </c>
      <c r="AU35" s="1341" t="s">
        <v>515</v>
      </c>
      <c r="AV35" s="1340" t="s">
        <v>514</v>
      </c>
      <c r="AW35" s="1342" t="s">
        <v>515</v>
      </c>
    </row>
    <row r="36" spans="1:49" s="201" customFormat="1" ht="35.1" customHeight="1">
      <c r="A36" s="1329">
        <v>42370</v>
      </c>
      <c r="B36" s="1343">
        <f>COMPOSITE!B$172</f>
        <v>67360</v>
      </c>
      <c r="C36" s="1343">
        <f>COMPOSITE!B$69</f>
        <v>70019</v>
      </c>
      <c r="D36" s="1343">
        <f>COMPOSITE!B$148</f>
        <v>7169</v>
      </c>
      <c r="E36" s="1343">
        <f>COMPOSITE!B$45</f>
        <v>7379</v>
      </c>
      <c r="F36" s="1343">
        <f>COMPOSITE!B$149</f>
        <v>7827</v>
      </c>
      <c r="G36" s="1343">
        <f>COMPOSITE!B$46</f>
        <v>7372</v>
      </c>
      <c r="H36" s="1343">
        <f>COMPOSITE!B$150</f>
        <v>943</v>
      </c>
      <c r="I36" s="1343">
        <f>COMPOSITE!B$47</f>
        <v>853</v>
      </c>
      <c r="J36" s="1343">
        <f>COMPOSITE!B$151</f>
        <v>474</v>
      </c>
      <c r="K36" s="1343">
        <f>COMPOSITE!B$48</f>
        <v>467</v>
      </c>
      <c r="L36" s="1343">
        <f>COMPOSITE!B$152</f>
        <v>3013</v>
      </c>
      <c r="M36" s="1343">
        <f>COMPOSITE!B$49</f>
        <v>3072</v>
      </c>
      <c r="N36" s="1343">
        <f>COMPOSITE!B$153</f>
        <v>86</v>
      </c>
      <c r="O36" s="1344">
        <f>COMPOSITE!B$50</f>
        <v>158</v>
      </c>
      <c r="P36" s="1343">
        <f>COMPOSITE!B$154</f>
        <v>6248</v>
      </c>
      <c r="Q36" s="1343">
        <f>COMPOSITE!B$51</f>
        <v>5352</v>
      </c>
      <c r="R36" s="1343">
        <f>COMPOSITE!B$155</f>
        <v>1994</v>
      </c>
      <c r="S36" s="1343">
        <f>COMPOSITE!B$52</f>
        <v>1742</v>
      </c>
      <c r="T36" s="1343">
        <f>COMPOSITE!B$156</f>
        <v>1050</v>
      </c>
      <c r="U36" s="1343">
        <f>COMPOSITE!B$53</f>
        <v>7094</v>
      </c>
      <c r="V36" s="1343">
        <f>COMPOSITE!B$157</f>
        <v>911</v>
      </c>
      <c r="W36" s="1343">
        <f>COMPOSITE!B$54</f>
        <v>882</v>
      </c>
      <c r="X36" s="1343">
        <f>COMPOSITE!B$158</f>
        <v>3689</v>
      </c>
      <c r="Y36" s="1343">
        <f>COMPOSITE!B$55</f>
        <v>3834</v>
      </c>
      <c r="Z36" s="1343">
        <f>COMPOSITE!B$159</f>
        <v>1444</v>
      </c>
      <c r="AA36" s="1343">
        <f>COMPOSITE!B$56</f>
        <v>1529</v>
      </c>
      <c r="AB36" s="1343">
        <f>COMPOSITE!B$160</f>
        <v>2101</v>
      </c>
      <c r="AC36" s="1343">
        <f>COMPOSITE!B$57</f>
        <v>2034</v>
      </c>
      <c r="AD36" s="1343">
        <f>COMPOSITE!B$161</f>
        <v>2156</v>
      </c>
      <c r="AE36" s="1343">
        <f>COMPOSITE!B$58</f>
        <v>2148</v>
      </c>
      <c r="AF36" s="1343">
        <f>COMPOSITE!B$162</f>
        <v>1857</v>
      </c>
      <c r="AG36" s="1343">
        <f>COMPOSITE!B$59</f>
        <v>2001</v>
      </c>
      <c r="AH36" s="1343">
        <f>COMPOSITE!B$163</f>
        <v>1043</v>
      </c>
      <c r="AI36" s="1343">
        <f>COMPOSITE!B$60</f>
        <v>1033</v>
      </c>
      <c r="AJ36" s="1343">
        <f>COMPOSITE!B$164</f>
        <v>3012</v>
      </c>
      <c r="AK36" s="1343">
        <f>COMPOSITE!B$61</f>
        <v>2994</v>
      </c>
      <c r="AL36" s="1343">
        <f>COMPOSITE!B$165</f>
        <v>891</v>
      </c>
      <c r="AM36" s="1343">
        <f>COMPOSITE!B$62</f>
        <v>796</v>
      </c>
      <c r="AN36" s="1343">
        <f>COMPOSITE!B$166</f>
        <v>4990</v>
      </c>
      <c r="AO36" s="1343">
        <f>COMPOSITE!B$63</f>
        <v>5083</v>
      </c>
      <c r="AP36" s="1343">
        <f>COMPOSITE!B$167</f>
        <v>1622</v>
      </c>
      <c r="AQ36" s="1343">
        <f>COMPOSITE!B$64</f>
        <v>1031</v>
      </c>
      <c r="AR36" s="1343">
        <f>COMPOSITE!B$168</f>
        <v>1990</v>
      </c>
      <c r="AS36" s="1343">
        <f>COMPOSITE!B$65</f>
        <v>2077</v>
      </c>
      <c r="AT36" s="1343">
        <f>COMPOSITE!B$169</f>
        <v>7967</v>
      </c>
      <c r="AU36" s="1343">
        <f>COMPOSITE!B$66</f>
        <v>6948</v>
      </c>
      <c r="AV36" s="1343">
        <f>COMPOSITE!B$170</f>
        <v>4883</v>
      </c>
      <c r="AW36" s="1345">
        <f>COMPOSITE!B$67</f>
        <v>4140</v>
      </c>
    </row>
    <row r="37" spans="1:49" s="201" customFormat="1" ht="35.1" customHeight="1">
      <c r="A37" s="1329">
        <v>42401</v>
      </c>
      <c r="B37" s="1343">
        <f>COMPOSITE!C$172</f>
        <v>61012</v>
      </c>
      <c r="C37" s="1343">
        <f>COMPOSITE!C$69</f>
        <v>70334</v>
      </c>
      <c r="D37" s="1343">
        <f>COMPOSITE!C$148</f>
        <v>6682</v>
      </c>
      <c r="E37" s="1343">
        <f>COMPOSITE!C$45</f>
        <v>7017</v>
      </c>
      <c r="F37" s="1343">
        <f>COMPOSITE!C$149</f>
        <v>7230</v>
      </c>
      <c r="G37" s="1343">
        <f>COMPOSITE!C$46</f>
        <v>7259</v>
      </c>
      <c r="H37" s="1343">
        <f>COMPOSITE!C$150</f>
        <v>891</v>
      </c>
      <c r="I37" s="1343">
        <f>COMPOSITE!C$47</f>
        <v>824</v>
      </c>
      <c r="J37" s="1343">
        <f>COMPOSITE!C$151</f>
        <v>449</v>
      </c>
      <c r="K37" s="1343">
        <f>COMPOSITE!C$48</f>
        <v>500</v>
      </c>
      <c r="L37" s="1343">
        <f>COMPOSITE!C$152</f>
        <v>2823</v>
      </c>
      <c r="M37" s="1343">
        <f>COMPOSITE!C$49</f>
        <v>2852</v>
      </c>
      <c r="N37" s="1343">
        <f>COMPOSITE!C$153</f>
        <v>147</v>
      </c>
      <c r="O37" s="1344">
        <f>COMPOSITE!C$50</f>
        <v>232</v>
      </c>
      <c r="P37" s="1343">
        <f>COMPOSITE!C$154</f>
        <v>5676</v>
      </c>
      <c r="Q37" s="1343">
        <f>COMPOSITE!C$51</f>
        <v>5234</v>
      </c>
      <c r="R37" s="1343">
        <f>COMPOSITE!C$155</f>
        <v>1865</v>
      </c>
      <c r="S37" s="1343">
        <f>COMPOSITE!C$52</f>
        <v>1975</v>
      </c>
      <c r="T37" s="1343">
        <f>COMPOSITE!C$156</f>
        <v>482</v>
      </c>
      <c r="U37" s="1343">
        <f>COMPOSITE!C$53</f>
        <v>7209</v>
      </c>
      <c r="V37" s="1343">
        <f>COMPOSITE!C$157</f>
        <v>850</v>
      </c>
      <c r="W37" s="1343">
        <f>COMPOSITE!C$54</f>
        <v>852</v>
      </c>
      <c r="X37" s="1343">
        <f>COMPOSITE!C$158</f>
        <v>3528</v>
      </c>
      <c r="Y37" s="1343">
        <f>COMPOSITE!C$55</f>
        <v>3686</v>
      </c>
      <c r="Z37" s="1343">
        <f>COMPOSITE!C$159</f>
        <v>1351</v>
      </c>
      <c r="AA37" s="1343">
        <f>COMPOSITE!C$56</f>
        <v>1483</v>
      </c>
      <c r="AB37" s="1343">
        <f>COMPOSITE!C$160</f>
        <v>1975</v>
      </c>
      <c r="AC37" s="1343">
        <f>COMPOSITE!C$57</f>
        <v>2089</v>
      </c>
      <c r="AD37" s="1343">
        <f>COMPOSITE!C$161</f>
        <v>2041</v>
      </c>
      <c r="AE37" s="1343">
        <f>COMPOSITE!C$58</f>
        <v>2076</v>
      </c>
      <c r="AF37" s="1343">
        <f>COMPOSITE!C$162</f>
        <v>1730</v>
      </c>
      <c r="AG37" s="1343">
        <f>COMPOSITE!C$59</f>
        <v>2049</v>
      </c>
      <c r="AH37" s="1343">
        <f>COMPOSITE!C$163</f>
        <v>1012</v>
      </c>
      <c r="AI37" s="1343">
        <f>COMPOSITE!C$60</f>
        <v>975</v>
      </c>
      <c r="AJ37" s="1343">
        <f>COMPOSITE!C$164</f>
        <v>2818</v>
      </c>
      <c r="AK37" s="1343">
        <f>COMPOSITE!C$61</f>
        <v>2791</v>
      </c>
      <c r="AL37" s="1343">
        <f>COMPOSITE!C$165</f>
        <v>834</v>
      </c>
      <c r="AM37" s="1343">
        <f>COMPOSITE!C$62</f>
        <v>845</v>
      </c>
      <c r="AN37" s="1343">
        <f>COMPOSITE!C$166</f>
        <v>4622</v>
      </c>
      <c r="AO37" s="1343">
        <f>COMPOSITE!C$63</f>
        <v>5120</v>
      </c>
      <c r="AP37" s="1343">
        <f>COMPOSITE!C$167</f>
        <v>1517</v>
      </c>
      <c r="AQ37" s="1343">
        <f>COMPOSITE!C$64</f>
        <v>1148</v>
      </c>
      <c r="AR37" s="1343">
        <f>COMPOSITE!C$168</f>
        <v>1862</v>
      </c>
      <c r="AS37" s="1343">
        <f>COMPOSITE!C$65</f>
        <v>2404</v>
      </c>
      <c r="AT37" s="1343">
        <f>COMPOSITE!C$169</f>
        <v>6589</v>
      </c>
      <c r="AU37" s="1343">
        <f>COMPOSITE!C$66</f>
        <v>7287</v>
      </c>
      <c r="AV37" s="1343">
        <f>COMPOSITE!C$170</f>
        <v>4038</v>
      </c>
      <c r="AW37" s="1345">
        <f>COMPOSITE!C$67</f>
        <v>4427</v>
      </c>
    </row>
    <row r="38" spans="1:49" s="201" customFormat="1" ht="35.1" customHeight="1">
      <c r="A38" s="1329">
        <v>42430</v>
      </c>
      <c r="B38" s="1343">
        <f>COMPOSITE!D$172</f>
        <v>68054</v>
      </c>
      <c r="C38" s="1343">
        <f>COMPOSITE!D$69</f>
        <v>76071</v>
      </c>
      <c r="D38" s="1343">
        <f>COMPOSITE!D$148</f>
        <v>7489</v>
      </c>
      <c r="E38" s="1343">
        <f>COMPOSITE!D$45</f>
        <v>7648</v>
      </c>
      <c r="F38" s="1343">
        <f>COMPOSITE!D$149</f>
        <v>7900</v>
      </c>
      <c r="G38" s="1343">
        <f>COMPOSITE!D$46</f>
        <v>7787</v>
      </c>
      <c r="H38" s="1343">
        <f>COMPOSITE!D$150</f>
        <v>821</v>
      </c>
      <c r="I38" s="1343">
        <f>COMPOSITE!D$47</f>
        <v>800</v>
      </c>
      <c r="J38" s="1343">
        <f>COMPOSITE!D$151</f>
        <v>478</v>
      </c>
      <c r="K38" s="1343">
        <f>COMPOSITE!D$48</f>
        <v>569</v>
      </c>
      <c r="L38" s="1343">
        <f>COMPOSITE!D$152</f>
        <v>2996</v>
      </c>
      <c r="M38" s="1343">
        <f>COMPOSITE!D$49</f>
        <v>3214</v>
      </c>
      <c r="N38" s="1343">
        <f>COMPOSITE!D$153</f>
        <v>214</v>
      </c>
      <c r="O38" s="1344">
        <f>COMPOSITE!D$50</f>
        <v>269</v>
      </c>
      <c r="P38" s="1343">
        <f>COMPOSITE!D$154</f>
        <v>6617</v>
      </c>
      <c r="Q38" s="1343">
        <f>COMPOSITE!D$51</f>
        <v>5998</v>
      </c>
      <c r="R38" s="1343">
        <f>COMPOSITE!D$155</f>
        <v>1857</v>
      </c>
      <c r="S38" s="1343">
        <f>COMPOSITE!D$52</f>
        <v>2167</v>
      </c>
      <c r="T38" s="1343">
        <f>COMPOSITE!D$156</f>
        <v>1129</v>
      </c>
      <c r="U38" s="1343">
        <f>COMPOSITE!D$53</f>
        <v>8165</v>
      </c>
      <c r="V38" s="1343">
        <f>COMPOSITE!D$157</f>
        <v>910</v>
      </c>
      <c r="W38" s="1343">
        <f>COMPOSITE!D$54</f>
        <v>979</v>
      </c>
      <c r="X38" s="1343">
        <f>COMPOSITE!D$158</f>
        <v>3887</v>
      </c>
      <c r="Y38" s="1343">
        <f>COMPOSITE!D$55</f>
        <v>4139</v>
      </c>
      <c r="Z38" s="1343">
        <f>COMPOSITE!D$159</f>
        <v>1444</v>
      </c>
      <c r="AA38" s="1343">
        <f>COMPOSITE!D$56</f>
        <v>1544</v>
      </c>
      <c r="AB38" s="1343">
        <f>COMPOSITE!D$160</f>
        <v>2260</v>
      </c>
      <c r="AC38" s="1343">
        <f>COMPOSITE!D$57</f>
        <v>2276</v>
      </c>
      <c r="AD38" s="1343">
        <f>COMPOSITE!D$161</f>
        <v>2310</v>
      </c>
      <c r="AE38" s="1343">
        <f>COMPOSITE!D$58</f>
        <v>2318</v>
      </c>
      <c r="AF38" s="1343">
        <f>COMPOSITE!D$162</f>
        <v>2099</v>
      </c>
      <c r="AG38" s="1343">
        <f>COMPOSITE!D$59</f>
        <v>2328</v>
      </c>
      <c r="AH38" s="1343">
        <f>COMPOSITE!D$163</f>
        <v>1170</v>
      </c>
      <c r="AI38" s="1343">
        <f>COMPOSITE!D$60</f>
        <v>1007</v>
      </c>
      <c r="AJ38" s="1343">
        <f>COMPOSITE!D$164</f>
        <v>3012</v>
      </c>
      <c r="AK38" s="1343">
        <f>COMPOSITE!D$61</f>
        <v>3042</v>
      </c>
      <c r="AL38" s="1343">
        <f>COMPOSITE!D$165</f>
        <v>891</v>
      </c>
      <c r="AM38" s="1343">
        <f>COMPOSITE!D$62</f>
        <v>895</v>
      </c>
      <c r="AN38" s="1343">
        <f>COMPOSITE!D$166</f>
        <v>4940</v>
      </c>
      <c r="AO38" s="1343">
        <f>COMPOSITE!D$63</f>
        <v>5330</v>
      </c>
      <c r="AP38" s="1343">
        <f>COMPOSITE!D$167</f>
        <v>1622</v>
      </c>
      <c r="AQ38" s="1343">
        <f>COMPOSITE!D$64</f>
        <v>1047</v>
      </c>
      <c r="AR38" s="1343">
        <f>COMPOSITE!D$168</f>
        <v>1990</v>
      </c>
      <c r="AS38" s="1343">
        <f>COMPOSITE!D$65</f>
        <v>2622</v>
      </c>
      <c r="AT38" s="1343">
        <f>COMPOSITE!D$169</f>
        <v>7451</v>
      </c>
      <c r="AU38" s="1343">
        <f>COMPOSITE!D$66</f>
        <v>7340</v>
      </c>
      <c r="AV38" s="1343">
        <f>COMPOSITE!D$170</f>
        <v>4567</v>
      </c>
      <c r="AW38" s="1345">
        <f>COMPOSITE!D$67</f>
        <v>4587</v>
      </c>
    </row>
    <row r="39" spans="1:49" s="201" customFormat="1" ht="35.1" customHeight="1">
      <c r="A39" s="1329">
        <v>42461</v>
      </c>
      <c r="B39" s="1343">
        <f>COMPOSITE!E$172</f>
        <v>62847</v>
      </c>
      <c r="C39" s="1343">
        <f>COMPOSITE!E$69</f>
        <v>69769</v>
      </c>
      <c r="D39" s="1343">
        <f>COMPOSITE!E$148</f>
        <v>6960</v>
      </c>
      <c r="E39" s="1343">
        <f>COMPOSITE!E$45</f>
        <v>7080</v>
      </c>
      <c r="F39" s="1343">
        <f>COMPOSITE!E$149</f>
        <v>7430</v>
      </c>
      <c r="G39" s="1343">
        <f>COMPOSITE!E$46</f>
        <v>7253</v>
      </c>
      <c r="H39" s="1343">
        <f>COMPOSITE!E$150</f>
        <v>726</v>
      </c>
      <c r="I39" s="1343">
        <f>COMPOSITE!E$47</f>
        <v>729</v>
      </c>
      <c r="J39" s="1343">
        <f>COMPOSITE!E$151</f>
        <v>415</v>
      </c>
      <c r="K39" s="1343">
        <f>COMPOSITE!E$48</f>
        <v>431</v>
      </c>
      <c r="L39" s="1343">
        <f>COMPOSITE!E$152</f>
        <v>2652</v>
      </c>
      <c r="M39" s="1343">
        <f>COMPOSITE!E$49</f>
        <v>2729</v>
      </c>
      <c r="N39" s="1343">
        <f>COMPOSITE!E$153</f>
        <v>190</v>
      </c>
      <c r="O39" s="1343">
        <f>COMPOSITE!E$50</f>
        <v>223</v>
      </c>
      <c r="P39" s="1343">
        <f>COMPOSITE!E$154</f>
        <v>6174</v>
      </c>
      <c r="Q39" s="1343">
        <f>COMPOSITE!E$51</f>
        <v>5465</v>
      </c>
      <c r="R39" s="1343">
        <f>COMPOSITE!E$155</f>
        <v>0</v>
      </c>
      <c r="S39" s="1343">
        <f>COMPOSITE!E$52</f>
        <v>1843</v>
      </c>
      <c r="T39" s="1343">
        <f>COMPOSITE!E$156</f>
        <v>1110</v>
      </c>
      <c r="U39" s="1343">
        <f>COMPOSITE!E$53</f>
        <v>7308</v>
      </c>
      <c r="V39" s="1343">
        <f>COMPOSITE!E$157</f>
        <v>881</v>
      </c>
      <c r="W39" s="1343">
        <f>COMPOSITE!E$54</f>
        <v>993</v>
      </c>
      <c r="X39" s="1343">
        <f>COMPOSITE!E$158</f>
        <v>3640</v>
      </c>
      <c r="Y39" s="1343">
        <f>COMPOSITE!E$55</f>
        <v>3832</v>
      </c>
      <c r="Z39" s="1343">
        <f>COMPOSITE!E$159</f>
        <v>1397</v>
      </c>
      <c r="AA39" s="1343">
        <f>COMPOSITE!E$56</f>
        <v>1381</v>
      </c>
      <c r="AB39" s="1343">
        <f>COMPOSITE!E$160</f>
        <v>2093</v>
      </c>
      <c r="AC39" s="1343">
        <f>COMPOSITE!E$57</f>
        <v>2167</v>
      </c>
      <c r="AD39" s="1343">
        <f>COMPOSITE!E$161</f>
        <v>2242</v>
      </c>
      <c r="AE39" s="1343">
        <f>COMPOSITE!E$58</f>
        <v>2130</v>
      </c>
      <c r="AF39" s="1343">
        <f>COMPOSITE!E$162</f>
        <v>1997</v>
      </c>
      <c r="AG39" s="1343">
        <f>COMPOSITE!E$59</f>
        <v>2145</v>
      </c>
      <c r="AH39" s="1343">
        <f>COMPOSITE!E$163</f>
        <v>1133</v>
      </c>
      <c r="AI39" s="1343">
        <f>COMPOSITE!E$60</f>
        <v>972</v>
      </c>
      <c r="AJ39" s="1343">
        <f>COMPOSITE!E$164</f>
        <v>2915</v>
      </c>
      <c r="AK39" s="1343">
        <f>COMPOSITE!E$61</f>
        <v>3082</v>
      </c>
      <c r="AL39" s="1343">
        <f>COMPOSITE!E$165</f>
        <v>862</v>
      </c>
      <c r="AM39" s="1343">
        <f>COMPOSITE!E$62</f>
        <v>824</v>
      </c>
      <c r="AN39" s="1343">
        <f>COMPOSITE!E$166</f>
        <v>4781</v>
      </c>
      <c r="AO39" s="1343">
        <f>COMPOSITE!E$63</f>
        <v>4877</v>
      </c>
      <c r="AP39" s="1343">
        <f>COMPOSITE!E$167</f>
        <v>1569</v>
      </c>
      <c r="AQ39" s="1343">
        <f>COMPOSITE!E$64</f>
        <v>1045</v>
      </c>
      <c r="AR39" s="1343">
        <f>COMPOSITE!E$168</f>
        <v>1926</v>
      </c>
      <c r="AS39" s="1343">
        <f>COMPOSITE!E$65</f>
        <v>2212</v>
      </c>
      <c r="AT39" s="1343">
        <f>COMPOSITE!E$169</f>
        <v>7287</v>
      </c>
      <c r="AU39" s="1343">
        <f>COMPOSITE!E$66</f>
        <v>6723</v>
      </c>
      <c r="AV39" s="1343">
        <f>COMPOSITE!E$170</f>
        <v>4467</v>
      </c>
      <c r="AW39" s="1345">
        <f>COMPOSITE!E$67</f>
        <v>4325</v>
      </c>
    </row>
    <row r="40" spans="1:49" s="201" customFormat="1" ht="35.1" customHeight="1">
      <c r="A40" s="1329">
        <v>42491</v>
      </c>
      <c r="B40" s="1343"/>
      <c r="C40" s="1343"/>
      <c r="D40" s="1343"/>
      <c r="E40" s="1343"/>
      <c r="F40" s="1343"/>
      <c r="G40" s="1343"/>
      <c r="H40" s="1343"/>
      <c r="I40" s="1343"/>
      <c r="J40" s="1343"/>
      <c r="K40" s="1343"/>
      <c r="L40" s="1343"/>
      <c r="M40" s="1343"/>
      <c r="N40" s="1343"/>
      <c r="O40" s="1343"/>
      <c r="P40" s="1343"/>
      <c r="Q40" s="1343"/>
      <c r="R40" s="1343"/>
      <c r="S40" s="1343"/>
      <c r="T40" s="1343"/>
      <c r="U40" s="1343"/>
      <c r="V40" s="1343"/>
      <c r="W40" s="1343"/>
      <c r="X40" s="1343"/>
      <c r="Y40" s="1343"/>
      <c r="Z40" s="1343"/>
      <c r="AA40" s="1343"/>
      <c r="AB40" s="1343"/>
      <c r="AC40" s="1343"/>
      <c r="AD40" s="1343"/>
      <c r="AE40" s="1343"/>
      <c r="AF40" s="1343"/>
      <c r="AG40" s="1343"/>
      <c r="AH40" s="1343"/>
      <c r="AI40" s="1343"/>
      <c r="AJ40" s="1343"/>
      <c r="AK40" s="1343"/>
      <c r="AL40" s="1343"/>
      <c r="AM40" s="1343"/>
      <c r="AN40" s="1343"/>
      <c r="AO40" s="1343"/>
      <c r="AP40" s="1343"/>
      <c r="AQ40" s="1343"/>
      <c r="AR40" s="1343"/>
      <c r="AS40" s="1343"/>
      <c r="AT40" s="1343"/>
      <c r="AU40" s="1343"/>
      <c r="AV40" s="1343"/>
      <c r="AW40" s="1345"/>
    </row>
    <row r="41" spans="1:49" s="201" customFormat="1" ht="35.1" customHeight="1">
      <c r="A41" s="1329">
        <v>42522</v>
      </c>
      <c r="B41" s="1343"/>
      <c r="C41" s="1343"/>
      <c r="D41" s="1343"/>
      <c r="E41" s="1343"/>
      <c r="F41" s="1343"/>
      <c r="G41" s="1343"/>
      <c r="H41" s="1343"/>
      <c r="I41" s="1343"/>
      <c r="J41" s="1343"/>
      <c r="K41" s="1343"/>
      <c r="L41" s="1343"/>
      <c r="M41" s="1343"/>
      <c r="N41" s="1343"/>
      <c r="O41" s="1343"/>
      <c r="P41" s="1343"/>
      <c r="Q41" s="1343"/>
      <c r="R41" s="1343"/>
      <c r="S41" s="1343"/>
      <c r="T41" s="1343"/>
      <c r="U41" s="1343"/>
      <c r="V41" s="1343"/>
      <c r="W41" s="1343"/>
      <c r="X41" s="1343"/>
      <c r="Y41" s="1343"/>
      <c r="Z41" s="1343"/>
      <c r="AA41" s="1343"/>
      <c r="AB41" s="1343"/>
      <c r="AC41" s="1343"/>
      <c r="AD41" s="1343"/>
      <c r="AE41" s="1343"/>
      <c r="AF41" s="1343"/>
      <c r="AG41" s="1343"/>
      <c r="AH41" s="1343"/>
      <c r="AI41" s="1343"/>
      <c r="AJ41" s="1343"/>
      <c r="AK41" s="1343"/>
      <c r="AL41" s="1343"/>
      <c r="AM41" s="1343"/>
      <c r="AN41" s="1343"/>
      <c r="AO41" s="1343"/>
      <c r="AP41" s="1343"/>
      <c r="AQ41" s="1343"/>
      <c r="AR41" s="1343"/>
      <c r="AS41" s="1343"/>
      <c r="AT41" s="1343"/>
      <c r="AU41" s="1343"/>
      <c r="AV41" s="1343"/>
      <c r="AW41" s="1345"/>
    </row>
    <row r="42" spans="1:49" s="201" customFormat="1" ht="35.1" customHeight="1">
      <c r="A42" s="1329">
        <v>42552</v>
      </c>
      <c r="B42" s="1343"/>
      <c r="C42" s="1343"/>
      <c r="D42" s="1343"/>
      <c r="E42" s="1343"/>
      <c r="F42" s="1343"/>
      <c r="G42" s="1343"/>
      <c r="H42" s="1343"/>
      <c r="I42" s="1343"/>
      <c r="J42" s="1343"/>
      <c r="K42" s="1343"/>
      <c r="L42" s="1343"/>
      <c r="M42" s="1343"/>
      <c r="N42" s="1343"/>
      <c r="O42" s="1343"/>
      <c r="P42" s="1343"/>
      <c r="Q42" s="1343"/>
      <c r="R42" s="1343"/>
      <c r="S42" s="1343"/>
      <c r="T42" s="1343"/>
      <c r="U42" s="1343"/>
      <c r="V42" s="1343"/>
      <c r="W42" s="1343"/>
      <c r="X42" s="1343"/>
      <c r="Y42" s="1343"/>
      <c r="Z42" s="1343"/>
      <c r="AA42" s="1343"/>
      <c r="AB42" s="1343"/>
      <c r="AC42" s="1343"/>
      <c r="AD42" s="1343"/>
      <c r="AE42" s="1343"/>
      <c r="AF42" s="1343"/>
      <c r="AG42" s="1343"/>
      <c r="AH42" s="1343"/>
      <c r="AI42" s="1343"/>
      <c r="AJ42" s="1343"/>
      <c r="AK42" s="1343"/>
      <c r="AL42" s="1343"/>
      <c r="AM42" s="1343"/>
      <c r="AN42" s="1343"/>
      <c r="AO42" s="1343"/>
      <c r="AP42" s="1343"/>
      <c r="AQ42" s="1343"/>
      <c r="AR42" s="1343"/>
      <c r="AS42" s="1343"/>
      <c r="AT42" s="1343"/>
      <c r="AU42" s="1343"/>
      <c r="AV42" s="1343"/>
      <c r="AW42" s="1345"/>
    </row>
    <row r="43" spans="1:49" s="201" customFormat="1" ht="35.1" customHeight="1">
      <c r="A43" s="1329">
        <v>42583</v>
      </c>
      <c r="B43" s="1343"/>
      <c r="C43" s="1343"/>
      <c r="D43" s="1343"/>
      <c r="E43" s="1343"/>
      <c r="F43" s="1343"/>
      <c r="G43" s="1343"/>
      <c r="H43" s="1343"/>
      <c r="I43" s="1343"/>
      <c r="J43" s="1343"/>
      <c r="K43" s="1343"/>
      <c r="L43" s="1343"/>
      <c r="M43" s="1343"/>
      <c r="N43" s="1343"/>
      <c r="O43" s="1343"/>
      <c r="P43" s="1343"/>
      <c r="Q43" s="1343"/>
      <c r="R43" s="1343"/>
      <c r="S43" s="1343"/>
      <c r="T43" s="1343"/>
      <c r="U43" s="1343"/>
      <c r="V43" s="1343"/>
      <c r="W43" s="1343"/>
      <c r="X43" s="1343"/>
      <c r="Y43" s="1343"/>
      <c r="Z43" s="1343"/>
      <c r="AA43" s="1343"/>
      <c r="AB43" s="1343"/>
      <c r="AC43" s="1343"/>
      <c r="AD43" s="1343"/>
      <c r="AE43" s="1343"/>
      <c r="AF43" s="1343"/>
      <c r="AG43" s="1343"/>
      <c r="AH43" s="1343"/>
      <c r="AI43" s="1343"/>
      <c r="AJ43" s="1343"/>
      <c r="AK43" s="1343"/>
      <c r="AL43" s="1343"/>
      <c r="AM43" s="1343"/>
      <c r="AN43" s="1343"/>
      <c r="AO43" s="1343"/>
      <c r="AP43" s="1343"/>
      <c r="AQ43" s="1343"/>
      <c r="AR43" s="1343"/>
      <c r="AS43" s="1343"/>
      <c r="AT43" s="1343"/>
      <c r="AU43" s="1343"/>
      <c r="AV43" s="1343"/>
      <c r="AW43" s="1345"/>
    </row>
    <row r="44" spans="1:49" s="201" customFormat="1" ht="35.1" customHeight="1">
      <c r="A44" s="1329">
        <v>42614</v>
      </c>
      <c r="B44" s="1343"/>
      <c r="C44" s="1343"/>
      <c r="D44" s="1343"/>
      <c r="E44" s="1343"/>
      <c r="F44" s="1343"/>
      <c r="G44" s="1343"/>
      <c r="H44" s="1343"/>
      <c r="I44" s="1343"/>
      <c r="J44" s="1343"/>
      <c r="K44" s="1343"/>
      <c r="L44" s="1343"/>
      <c r="M44" s="1343"/>
      <c r="N44" s="1343"/>
      <c r="O44" s="1343"/>
      <c r="P44" s="1343"/>
      <c r="Q44" s="1343"/>
      <c r="R44" s="1343"/>
      <c r="S44" s="1343"/>
      <c r="T44" s="1343"/>
      <c r="U44" s="1343"/>
      <c r="V44" s="1343"/>
      <c r="W44" s="1343"/>
      <c r="X44" s="1343"/>
      <c r="Y44" s="1343"/>
      <c r="Z44" s="1343"/>
      <c r="AA44" s="1343"/>
      <c r="AB44" s="1343"/>
      <c r="AC44" s="1343"/>
      <c r="AD44" s="1343"/>
      <c r="AE44" s="1343"/>
      <c r="AF44" s="1343"/>
      <c r="AG44" s="1343"/>
      <c r="AH44" s="1343"/>
      <c r="AI44" s="1343"/>
      <c r="AJ44" s="1343"/>
      <c r="AK44" s="1343"/>
      <c r="AL44" s="1343"/>
      <c r="AM44" s="1343"/>
      <c r="AN44" s="1343"/>
      <c r="AO44" s="1343"/>
      <c r="AP44" s="1343"/>
      <c r="AQ44" s="1343"/>
      <c r="AR44" s="1343"/>
      <c r="AS44" s="1343"/>
      <c r="AT44" s="1343"/>
      <c r="AU44" s="1343"/>
      <c r="AV44" s="1343"/>
      <c r="AW44" s="1345"/>
    </row>
    <row r="45" spans="1:49" s="201" customFormat="1" ht="35.1" customHeight="1">
      <c r="A45" s="1329">
        <v>42644</v>
      </c>
      <c r="B45" s="1343"/>
      <c r="C45" s="1343"/>
      <c r="D45" s="1343"/>
      <c r="E45" s="1343"/>
      <c r="F45" s="1343"/>
      <c r="G45" s="1343"/>
      <c r="H45" s="1343"/>
      <c r="I45" s="1343"/>
      <c r="J45" s="1343"/>
      <c r="K45" s="1343"/>
      <c r="L45" s="1343"/>
      <c r="M45" s="1343"/>
      <c r="N45" s="1343"/>
      <c r="O45" s="1343"/>
      <c r="P45" s="1343"/>
      <c r="Q45" s="1343"/>
      <c r="R45" s="1343"/>
      <c r="S45" s="1343"/>
      <c r="T45" s="1343"/>
      <c r="U45" s="1343"/>
      <c r="V45" s="1343"/>
      <c r="W45" s="1343"/>
      <c r="X45" s="1343"/>
      <c r="Y45" s="1343"/>
      <c r="Z45" s="1343"/>
      <c r="AA45" s="1343"/>
      <c r="AB45" s="1343"/>
      <c r="AC45" s="1343"/>
      <c r="AD45" s="1343"/>
      <c r="AE45" s="1343"/>
      <c r="AF45" s="1343"/>
      <c r="AG45" s="1343"/>
      <c r="AH45" s="1343"/>
      <c r="AI45" s="1343"/>
      <c r="AJ45" s="1343"/>
      <c r="AK45" s="1343"/>
      <c r="AL45" s="1343"/>
      <c r="AM45" s="1343"/>
      <c r="AN45" s="1343"/>
      <c r="AO45" s="1343"/>
      <c r="AP45" s="1343"/>
      <c r="AQ45" s="1343"/>
      <c r="AR45" s="1343"/>
      <c r="AS45" s="1343"/>
      <c r="AT45" s="1343"/>
      <c r="AU45" s="1343"/>
      <c r="AV45" s="1343"/>
      <c r="AW45" s="1345"/>
    </row>
    <row r="46" spans="1:49" s="201" customFormat="1" ht="35.1" customHeight="1">
      <c r="A46" s="1329">
        <v>42675</v>
      </c>
      <c r="B46" s="1343"/>
      <c r="C46" s="1343"/>
      <c r="D46" s="1343"/>
      <c r="E46" s="1343"/>
      <c r="F46" s="1343"/>
      <c r="G46" s="1343"/>
      <c r="H46" s="1343"/>
      <c r="I46" s="1343"/>
      <c r="J46" s="1343"/>
      <c r="K46" s="1343"/>
      <c r="L46" s="1343"/>
      <c r="M46" s="1343"/>
      <c r="N46" s="1343"/>
      <c r="O46" s="1343"/>
      <c r="P46" s="1343"/>
      <c r="Q46" s="1343"/>
      <c r="R46" s="1343"/>
      <c r="S46" s="1343"/>
      <c r="T46" s="1343"/>
      <c r="U46" s="1343"/>
      <c r="V46" s="1343"/>
      <c r="W46" s="1343"/>
      <c r="X46" s="1343"/>
      <c r="Y46" s="1343"/>
      <c r="Z46" s="1343"/>
      <c r="AA46" s="1343"/>
      <c r="AB46" s="1343"/>
      <c r="AC46" s="1343"/>
      <c r="AD46" s="1343"/>
      <c r="AE46" s="1343"/>
      <c r="AF46" s="1343"/>
      <c r="AG46" s="1343"/>
      <c r="AH46" s="1343"/>
      <c r="AI46" s="1343"/>
      <c r="AJ46" s="1343"/>
      <c r="AK46" s="1343"/>
      <c r="AL46" s="1343"/>
      <c r="AM46" s="1343"/>
      <c r="AN46" s="1343"/>
      <c r="AO46" s="1343"/>
      <c r="AP46" s="1343"/>
      <c r="AQ46" s="1343"/>
      <c r="AR46" s="1343"/>
      <c r="AS46" s="1343"/>
      <c r="AT46" s="1343"/>
      <c r="AU46" s="1343"/>
      <c r="AV46" s="1343"/>
      <c r="AW46" s="1345"/>
    </row>
    <row r="47" spans="1:49" s="201" customFormat="1" ht="35.1" customHeight="1" thickBot="1">
      <c r="A47" s="1330">
        <v>42705</v>
      </c>
      <c r="B47" s="1346"/>
      <c r="C47" s="1346"/>
      <c r="D47" s="1346"/>
      <c r="E47" s="1346"/>
      <c r="F47" s="1346"/>
      <c r="G47" s="1346"/>
      <c r="H47" s="1346"/>
      <c r="I47" s="1346"/>
      <c r="J47" s="1346"/>
      <c r="K47" s="1346"/>
      <c r="L47" s="1346"/>
      <c r="M47" s="1346"/>
      <c r="N47" s="1346"/>
      <c r="O47" s="1346"/>
      <c r="P47" s="1346"/>
      <c r="Q47" s="1346"/>
      <c r="R47" s="1346"/>
      <c r="S47" s="1346"/>
      <c r="T47" s="1346"/>
      <c r="U47" s="1346"/>
      <c r="V47" s="1346"/>
      <c r="W47" s="1346"/>
      <c r="X47" s="1346"/>
      <c r="Y47" s="1346"/>
      <c r="Z47" s="1343"/>
      <c r="AA47" s="1343"/>
      <c r="AB47" s="1346"/>
      <c r="AC47" s="1346"/>
      <c r="AD47" s="1346"/>
      <c r="AE47" s="1346"/>
      <c r="AF47" s="1346"/>
      <c r="AG47" s="1346"/>
      <c r="AH47" s="1346"/>
      <c r="AI47" s="1346"/>
      <c r="AJ47" s="1346"/>
      <c r="AK47" s="1346"/>
      <c r="AL47" s="1346"/>
      <c r="AM47" s="1346"/>
      <c r="AN47" s="1346"/>
      <c r="AO47" s="1346"/>
      <c r="AP47" s="1346"/>
      <c r="AQ47" s="1346"/>
      <c r="AR47" s="1346"/>
      <c r="AS47" s="1346"/>
      <c r="AT47" s="1346"/>
      <c r="AU47" s="1346"/>
      <c r="AV47" s="1346"/>
      <c r="AW47" s="1347"/>
    </row>
    <row r="48" spans="1:49" s="201" customFormat="1" ht="35.1" customHeight="1" thickTop="1" thickBot="1">
      <c r="A48" s="1348" t="s">
        <v>277</v>
      </c>
      <c r="B48" s="1349">
        <f>SUM(B36:B47)</f>
        <v>259273</v>
      </c>
      <c r="C48" s="1350">
        <f t="shared" ref="C48:AM48" si="0">SUM(C36:C47)</f>
        <v>286193</v>
      </c>
      <c r="D48" s="1349">
        <f t="shared" si="0"/>
        <v>28300</v>
      </c>
      <c r="E48" s="1350">
        <f t="shared" si="0"/>
        <v>29124</v>
      </c>
      <c r="F48" s="1349">
        <f t="shared" si="0"/>
        <v>30387</v>
      </c>
      <c r="G48" s="1350">
        <f t="shared" si="0"/>
        <v>29671</v>
      </c>
      <c r="H48" s="1349">
        <f t="shared" si="0"/>
        <v>3381</v>
      </c>
      <c r="I48" s="1350">
        <f t="shared" si="0"/>
        <v>3206</v>
      </c>
      <c r="J48" s="1349">
        <f t="shared" si="0"/>
        <v>1816</v>
      </c>
      <c r="K48" s="1350">
        <f t="shared" si="0"/>
        <v>1967</v>
      </c>
      <c r="L48" s="1349">
        <f t="shared" si="0"/>
        <v>11484</v>
      </c>
      <c r="M48" s="1350">
        <f t="shared" si="0"/>
        <v>11867</v>
      </c>
      <c r="N48" s="1349">
        <f t="shared" si="0"/>
        <v>637</v>
      </c>
      <c r="O48" s="1350">
        <f t="shared" si="0"/>
        <v>882</v>
      </c>
      <c r="P48" s="1349">
        <f t="shared" si="0"/>
        <v>24715</v>
      </c>
      <c r="Q48" s="1350">
        <f t="shared" si="0"/>
        <v>22049</v>
      </c>
      <c r="R48" s="1349">
        <f t="shared" si="0"/>
        <v>5716</v>
      </c>
      <c r="S48" s="1349">
        <f t="shared" si="0"/>
        <v>7727</v>
      </c>
      <c r="T48" s="1349">
        <f t="shared" si="0"/>
        <v>3771</v>
      </c>
      <c r="U48" s="1350">
        <f t="shared" si="0"/>
        <v>29776</v>
      </c>
      <c r="V48" s="1349">
        <f>SUM(V36:V47)</f>
        <v>3552</v>
      </c>
      <c r="W48" s="1350">
        <f>SUM(W36:W47)</f>
        <v>3706</v>
      </c>
      <c r="X48" s="1349">
        <f t="shared" si="0"/>
        <v>14744</v>
      </c>
      <c r="Y48" s="1350">
        <f t="shared" si="0"/>
        <v>15491</v>
      </c>
      <c r="Z48" s="1349">
        <f t="shared" si="0"/>
        <v>5636</v>
      </c>
      <c r="AA48" s="1350">
        <f t="shared" si="0"/>
        <v>5937</v>
      </c>
      <c r="AB48" s="1349">
        <f t="shared" si="0"/>
        <v>8429</v>
      </c>
      <c r="AC48" s="1350">
        <f t="shared" si="0"/>
        <v>8566</v>
      </c>
      <c r="AD48" s="1349">
        <f t="shared" si="0"/>
        <v>8749</v>
      </c>
      <c r="AE48" s="1350">
        <f t="shared" si="0"/>
        <v>8672</v>
      </c>
      <c r="AF48" s="1349">
        <f t="shared" si="0"/>
        <v>7683</v>
      </c>
      <c r="AG48" s="1350">
        <f t="shared" si="0"/>
        <v>8523</v>
      </c>
      <c r="AH48" s="1349">
        <f t="shared" si="0"/>
        <v>4358</v>
      </c>
      <c r="AI48" s="1351">
        <f t="shared" si="0"/>
        <v>3987</v>
      </c>
      <c r="AJ48" s="1349">
        <f t="shared" si="0"/>
        <v>11757</v>
      </c>
      <c r="AK48" s="1351">
        <f t="shared" si="0"/>
        <v>11909</v>
      </c>
      <c r="AL48" s="1349">
        <f t="shared" si="0"/>
        <v>3478</v>
      </c>
      <c r="AM48" s="1351">
        <f t="shared" si="0"/>
        <v>3360</v>
      </c>
      <c r="AN48" s="1349">
        <f t="shared" ref="AN48:AW48" si="1">SUM(AN36:AN47)</f>
        <v>19333</v>
      </c>
      <c r="AO48" s="1351">
        <f t="shared" si="1"/>
        <v>20410</v>
      </c>
      <c r="AP48" s="1349">
        <f t="shared" si="1"/>
        <v>6330</v>
      </c>
      <c r="AQ48" s="1351">
        <f t="shared" si="1"/>
        <v>4271</v>
      </c>
      <c r="AR48" s="1349">
        <f t="shared" si="1"/>
        <v>7768</v>
      </c>
      <c r="AS48" s="1351">
        <f t="shared" si="1"/>
        <v>9315</v>
      </c>
      <c r="AT48" s="1349">
        <f t="shared" si="1"/>
        <v>29294</v>
      </c>
      <c r="AU48" s="1351">
        <f t="shared" si="1"/>
        <v>28298</v>
      </c>
      <c r="AV48" s="1349">
        <f t="shared" si="1"/>
        <v>17955</v>
      </c>
      <c r="AW48" s="1351">
        <f t="shared" si="1"/>
        <v>17479</v>
      </c>
    </row>
    <row r="49" spans="1:49" ht="30" customHeight="1" thickTop="1">
      <c r="A49" s="433"/>
      <c r="B49" s="433"/>
      <c r="C49" s="433"/>
      <c r="D49" s="433"/>
      <c r="E49" s="433"/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3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H49" s="433"/>
      <c r="AI49" s="433"/>
      <c r="AJ49" s="433"/>
      <c r="AK49" s="433"/>
      <c r="AL49" s="433"/>
      <c r="AM49" s="433"/>
      <c r="AN49" s="433"/>
      <c r="AO49" s="433"/>
      <c r="AP49" s="433"/>
      <c r="AQ49" s="433"/>
      <c r="AR49" s="433"/>
      <c r="AS49" s="433"/>
      <c r="AT49" s="14"/>
      <c r="AU49" s="14"/>
      <c r="AV49" s="14"/>
      <c r="AW49" s="14"/>
    </row>
    <row r="50" spans="1:49" ht="30" customHeight="1">
      <c r="A50" s="433"/>
      <c r="B50" s="433"/>
      <c r="C50" s="433"/>
      <c r="D50" s="433"/>
      <c r="E50" s="433"/>
      <c r="F50" s="433"/>
      <c r="G50" s="433"/>
      <c r="H50" s="433"/>
      <c r="I50" s="433"/>
      <c r="J50" s="433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  <c r="AB50" s="433"/>
      <c r="AC50" s="433"/>
      <c r="AD50" s="433"/>
      <c r="AE50" s="433"/>
      <c r="AF50" s="433"/>
      <c r="AG50" s="433"/>
      <c r="AH50" s="433"/>
      <c r="AI50" s="433"/>
      <c r="AJ50" s="433"/>
      <c r="AK50" s="433"/>
      <c r="AL50" s="433"/>
      <c r="AM50" s="433"/>
      <c r="AN50" s="433"/>
      <c r="AO50" s="433"/>
      <c r="AP50" s="433"/>
      <c r="AQ50" s="433"/>
      <c r="AR50" s="433"/>
      <c r="AS50" s="433"/>
      <c r="AT50" s="14"/>
      <c r="AU50" s="14"/>
      <c r="AV50" s="14"/>
      <c r="AW50" s="14"/>
    </row>
    <row r="51" spans="1:49" ht="30" customHeight="1">
      <c r="A51" s="433"/>
      <c r="B51" s="433"/>
      <c r="C51" s="433"/>
      <c r="D51" s="433"/>
      <c r="E51" s="433"/>
      <c r="F51" s="433"/>
      <c r="G51" s="433"/>
      <c r="H51" s="433"/>
      <c r="I51" s="433"/>
      <c r="J51" s="433"/>
      <c r="K51" s="433"/>
      <c r="L51" s="433"/>
      <c r="M51" s="433"/>
      <c r="N51" s="433"/>
      <c r="O51" s="433"/>
      <c r="P51" s="433"/>
      <c r="Q51" s="433"/>
      <c r="R51" s="433"/>
      <c r="S51" s="433"/>
      <c r="T51" s="433"/>
      <c r="U51" s="433"/>
      <c r="V51" s="433"/>
      <c r="W51" s="433"/>
      <c r="X51" s="433"/>
      <c r="Y51" s="433"/>
      <c r="Z51" s="433"/>
      <c r="AA51" s="433"/>
      <c r="AB51" s="433"/>
      <c r="AC51" s="433"/>
      <c r="AD51" s="433"/>
      <c r="AE51" s="433"/>
      <c r="AF51" s="433"/>
      <c r="AG51" s="433"/>
      <c r="AH51" s="433"/>
      <c r="AI51" s="433"/>
      <c r="AJ51" s="433"/>
      <c r="AK51" s="433"/>
      <c r="AL51" s="433"/>
      <c r="AM51" s="433"/>
      <c r="AN51" s="433"/>
      <c r="AO51" s="433"/>
      <c r="AP51" s="433"/>
      <c r="AQ51" s="433"/>
      <c r="AR51" s="433"/>
      <c r="AS51" s="433"/>
      <c r="AT51" s="14"/>
      <c r="AU51" s="14"/>
      <c r="AV51" s="14"/>
      <c r="AW51" s="14"/>
    </row>
    <row r="52" spans="1:49" ht="30" customHeight="1">
      <c r="A52" s="433"/>
      <c r="B52" s="433"/>
      <c r="C52" s="433"/>
      <c r="D52" s="433"/>
      <c r="E52" s="433"/>
      <c r="F52" s="433"/>
      <c r="G52" s="433"/>
      <c r="H52" s="433"/>
      <c r="I52" s="433"/>
      <c r="J52" s="433"/>
      <c r="K52" s="433"/>
      <c r="L52" s="433"/>
      <c r="M52" s="433"/>
      <c r="N52" s="433"/>
      <c r="O52" s="433"/>
      <c r="P52" s="433"/>
      <c r="Q52" s="433"/>
      <c r="R52" s="433"/>
      <c r="S52" s="433"/>
      <c r="T52" s="433"/>
      <c r="U52" s="433"/>
      <c r="V52" s="433"/>
      <c r="W52" s="433"/>
      <c r="X52" s="433"/>
      <c r="Y52" s="433"/>
      <c r="Z52" s="433"/>
      <c r="AA52" s="433"/>
      <c r="AB52" s="433"/>
      <c r="AC52" s="433"/>
      <c r="AD52" s="433"/>
      <c r="AE52" s="433"/>
      <c r="AF52" s="433"/>
      <c r="AG52" s="433"/>
      <c r="AH52" s="433"/>
      <c r="AI52" s="433"/>
      <c r="AJ52" s="433"/>
      <c r="AK52" s="433"/>
      <c r="AL52" s="433"/>
      <c r="AM52" s="433"/>
      <c r="AN52" s="433"/>
      <c r="AO52" s="433"/>
      <c r="AP52" s="433"/>
      <c r="AQ52" s="433"/>
      <c r="AR52" s="433"/>
      <c r="AS52" s="433"/>
      <c r="AT52" s="14"/>
      <c r="AU52" s="14"/>
      <c r="AV52" s="14"/>
      <c r="AW52" s="14"/>
    </row>
    <row r="53" spans="1:49" ht="30" customHeight="1">
      <c r="A53" s="433"/>
      <c r="B53" s="433"/>
      <c r="C53" s="433"/>
      <c r="D53" s="433"/>
      <c r="E53" s="433"/>
      <c r="F53" s="433"/>
      <c r="G53" s="433"/>
      <c r="H53" s="433"/>
      <c r="I53" s="433"/>
      <c r="J53" s="433"/>
      <c r="K53" s="433"/>
      <c r="L53" s="433"/>
      <c r="M53" s="433"/>
      <c r="N53" s="433"/>
      <c r="O53" s="433"/>
      <c r="P53" s="433"/>
      <c r="Q53" s="433"/>
      <c r="R53" s="433"/>
      <c r="S53" s="433"/>
      <c r="T53" s="433"/>
      <c r="U53" s="433"/>
      <c r="V53" s="433"/>
      <c r="W53" s="433"/>
      <c r="X53" s="433"/>
      <c r="Y53" s="433"/>
      <c r="Z53" s="433"/>
      <c r="AA53" s="433"/>
      <c r="AB53" s="433"/>
      <c r="AC53" s="433"/>
      <c r="AD53" s="433"/>
      <c r="AE53" s="433"/>
      <c r="AF53" s="433"/>
      <c r="AG53" s="433"/>
      <c r="AH53" s="433"/>
      <c r="AI53" s="433"/>
      <c r="AJ53" s="433"/>
      <c r="AK53" s="433"/>
      <c r="AL53" s="433"/>
      <c r="AM53" s="433"/>
      <c r="AN53" s="433"/>
      <c r="AO53" s="433"/>
      <c r="AP53" s="433"/>
      <c r="AQ53" s="433"/>
      <c r="AR53" s="433"/>
      <c r="AS53" s="433"/>
      <c r="AT53" s="14"/>
      <c r="AU53" s="14"/>
      <c r="AV53" s="14"/>
      <c r="AW53" s="14"/>
    </row>
    <row r="54" spans="1:49" ht="30" customHeight="1">
      <c r="A54" s="433"/>
      <c r="B54" s="433"/>
      <c r="C54" s="433"/>
      <c r="D54" s="433"/>
      <c r="E54" s="433"/>
      <c r="F54" s="433"/>
      <c r="G54" s="433"/>
      <c r="H54" s="433"/>
      <c r="I54" s="433"/>
      <c r="J54" s="433"/>
      <c r="K54" s="433"/>
      <c r="L54" s="433"/>
      <c r="M54" s="433"/>
      <c r="N54" s="433"/>
      <c r="O54" s="433"/>
      <c r="P54" s="433"/>
      <c r="Q54" s="433"/>
      <c r="R54" s="433"/>
      <c r="S54" s="433"/>
      <c r="T54" s="433"/>
      <c r="U54" s="433"/>
      <c r="V54" s="433"/>
      <c r="W54" s="433"/>
      <c r="X54" s="433"/>
      <c r="Y54" s="433"/>
      <c r="Z54" s="433"/>
      <c r="AA54" s="433"/>
      <c r="AB54" s="433"/>
      <c r="AC54" s="433"/>
      <c r="AD54" s="433"/>
      <c r="AE54" s="433"/>
      <c r="AF54" s="433"/>
      <c r="AG54" s="433"/>
      <c r="AH54" s="433"/>
      <c r="AI54" s="433"/>
      <c r="AJ54" s="433"/>
      <c r="AK54" s="433"/>
      <c r="AL54" s="433"/>
      <c r="AM54" s="433"/>
      <c r="AN54" s="433"/>
      <c r="AO54" s="433"/>
      <c r="AP54" s="433"/>
      <c r="AQ54" s="433"/>
      <c r="AR54" s="433"/>
      <c r="AS54" s="433"/>
      <c r="AT54" s="14"/>
      <c r="AU54" s="14"/>
      <c r="AV54" s="14"/>
      <c r="AW54" s="14"/>
    </row>
    <row r="55" spans="1:49" ht="30" customHeight="1">
      <c r="A55" s="433"/>
      <c r="B55" s="433"/>
      <c r="C55" s="433"/>
      <c r="D55" s="433"/>
      <c r="E55" s="433"/>
      <c r="F55" s="433"/>
      <c r="G55" s="433"/>
      <c r="H55" s="433"/>
      <c r="I55" s="433"/>
      <c r="J55" s="433"/>
      <c r="K55" s="433"/>
      <c r="L55" s="433"/>
      <c r="M55" s="433"/>
      <c r="N55" s="433"/>
      <c r="O55" s="433"/>
      <c r="P55" s="433"/>
      <c r="Q55" s="433"/>
      <c r="R55" s="433"/>
      <c r="S55" s="433"/>
      <c r="T55" s="433"/>
      <c r="U55" s="433"/>
      <c r="V55" s="433"/>
      <c r="W55" s="433"/>
      <c r="X55" s="433"/>
      <c r="Y55" s="433"/>
      <c r="Z55" s="433"/>
      <c r="AA55" s="433"/>
      <c r="AB55" s="433"/>
      <c r="AC55" s="433"/>
      <c r="AD55" s="433"/>
      <c r="AE55" s="433"/>
      <c r="AF55" s="433"/>
      <c r="AG55" s="433"/>
      <c r="AH55" s="433"/>
      <c r="AI55" s="433"/>
      <c r="AJ55" s="433"/>
      <c r="AK55" s="433"/>
      <c r="AL55" s="433"/>
      <c r="AM55" s="433"/>
      <c r="AN55" s="433"/>
      <c r="AO55" s="433"/>
      <c r="AP55" s="433"/>
      <c r="AQ55" s="433"/>
      <c r="AR55" s="433"/>
      <c r="AS55" s="433"/>
      <c r="AT55" s="14"/>
      <c r="AU55" s="14"/>
      <c r="AV55" s="14"/>
      <c r="AW55" s="14"/>
    </row>
    <row r="56" spans="1:49" ht="30" customHeight="1">
      <c r="A56" s="433"/>
      <c r="B56" s="433"/>
      <c r="C56" s="433"/>
      <c r="D56" s="433"/>
      <c r="E56" s="433"/>
      <c r="F56" s="433"/>
      <c r="G56" s="433"/>
      <c r="H56" s="433"/>
      <c r="I56" s="433"/>
      <c r="J56" s="433"/>
      <c r="K56" s="433"/>
      <c r="L56" s="433"/>
      <c r="M56" s="433"/>
      <c r="N56" s="433"/>
      <c r="O56" s="433"/>
      <c r="P56" s="433"/>
      <c r="Q56" s="433"/>
      <c r="R56" s="433"/>
      <c r="S56" s="433"/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  <c r="AF56" s="433"/>
      <c r="AG56" s="433"/>
      <c r="AH56" s="433"/>
      <c r="AI56" s="433"/>
      <c r="AJ56" s="433"/>
      <c r="AK56" s="433"/>
      <c r="AL56" s="433"/>
      <c r="AM56" s="433"/>
      <c r="AN56" s="433"/>
      <c r="AO56" s="433"/>
      <c r="AP56" s="433"/>
      <c r="AQ56" s="433"/>
      <c r="AR56" s="433"/>
      <c r="AS56" s="433"/>
      <c r="AT56" s="14"/>
      <c r="AU56" s="14"/>
      <c r="AV56" s="14"/>
      <c r="AW56" s="14"/>
    </row>
    <row r="57" spans="1:49" ht="30" customHeight="1">
      <c r="A57" s="433"/>
      <c r="B57" s="433"/>
      <c r="C57" s="433"/>
      <c r="D57" s="433"/>
      <c r="E57" s="433"/>
      <c r="F57" s="433"/>
      <c r="G57" s="433"/>
      <c r="H57" s="433"/>
      <c r="I57" s="433"/>
      <c r="J57" s="433"/>
      <c r="K57" s="433"/>
      <c r="L57" s="433"/>
      <c r="M57" s="433"/>
      <c r="N57" s="433"/>
      <c r="O57" s="433"/>
      <c r="P57" s="433"/>
      <c r="Q57" s="433"/>
      <c r="R57" s="433"/>
      <c r="S57" s="433"/>
      <c r="T57" s="433"/>
      <c r="U57" s="433"/>
      <c r="V57" s="433"/>
      <c r="W57" s="433"/>
      <c r="X57" s="433"/>
      <c r="Y57" s="433"/>
      <c r="Z57" s="433"/>
      <c r="AA57" s="433"/>
      <c r="AB57" s="433"/>
      <c r="AC57" s="433"/>
      <c r="AD57" s="433"/>
      <c r="AE57" s="433"/>
      <c r="AF57" s="433"/>
      <c r="AG57" s="433"/>
      <c r="AH57" s="433"/>
      <c r="AI57" s="433"/>
      <c r="AJ57" s="433"/>
      <c r="AK57" s="433"/>
      <c r="AL57" s="433"/>
      <c r="AM57" s="433"/>
      <c r="AN57" s="433"/>
      <c r="AO57" s="433"/>
      <c r="AP57" s="433"/>
      <c r="AQ57" s="433"/>
      <c r="AR57" s="433"/>
      <c r="AS57" s="433"/>
      <c r="AT57" s="14"/>
      <c r="AU57" s="14"/>
      <c r="AV57" s="14"/>
      <c r="AW57" s="14"/>
    </row>
    <row r="58" spans="1:49" ht="30" customHeight="1">
      <c r="A58" s="433"/>
      <c r="B58" s="433"/>
      <c r="C58" s="433"/>
      <c r="D58" s="433"/>
      <c r="E58" s="433"/>
      <c r="F58" s="433"/>
      <c r="G58" s="433"/>
      <c r="H58" s="433"/>
      <c r="I58" s="433"/>
      <c r="J58" s="433"/>
      <c r="K58" s="433"/>
      <c r="L58" s="433"/>
      <c r="M58" s="433"/>
      <c r="N58" s="433"/>
      <c r="O58" s="433"/>
      <c r="P58" s="433"/>
      <c r="Q58" s="433"/>
      <c r="R58" s="433"/>
      <c r="S58" s="433"/>
      <c r="T58" s="433"/>
      <c r="U58" s="433"/>
      <c r="V58" s="433"/>
      <c r="W58" s="433"/>
      <c r="X58" s="433"/>
      <c r="Y58" s="433"/>
      <c r="Z58" s="433"/>
      <c r="AA58" s="433"/>
      <c r="AB58" s="433"/>
      <c r="AC58" s="433"/>
      <c r="AD58" s="433"/>
      <c r="AE58" s="433"/>
      <c r="AF58" s="433"/>
      <c r="AG58" s="433"/>
      <c r="AH58" s="433"/>
      <c r="AI58" s="433"/>
      <c r="AJ58" s="433"/>
      <c r="AK58" s="433"/>
      <c r="AL58" s="433"/>
      <c r="AM58" s="433"/>
      <c r="AN58" s="433"/>
      <c r="AO58" s="433"/>
      <c r="AP58" s="433"/>
      <c r="AQ58" s="433"/>
      <c r="AR58" s="433"/>
      <c r="AS58" s="433"/>
      <c r="AT58" s="14"/>
      <c r="AU58" s="14"/>
      <c r="AV58" s="14"/>
      <c r="AW58" s="14"/>
    </row>
    <row r="59" spans="1:49" ht="30" customHeight="1">
      <c r="A59" s="433"/>
      <c r="B59" s="433"/>
      <c r="C59" s="433"/>
      <c r="D59" s="433"/>
      <c r="E59" s="433"/>
      <c r="F59" s="433"/>
      <c r="G59" s="433"/>
      <c r="H59" s="433"/>
      <c r="I59" s="433"/>
      <c r="J59" s="433"/>
      <c r="K59" s="433"/>
      <c r="L59" s="433"/>
      <c r="M59" s="433"/>
      <c r="N59" s="433"/>
      <c r="O59" s="433"/>
      <c r="P59" s="433"/>
      <c r="Q59" s="433"/>
      <c r="R59" s="433"/>
      <c r="S59" s="433"/>
      <c r="T59" s="433"/>
      <c r="U59" s="433"/>
      <c r="V59" s="433"/>
      <c r="W59" s="433"/>
      <c r="X59" s="433"/>
      <c r="Y59" s="433"/>
      <c r="Z59" s="433"/>
      <c r="AA59" s="433"/>
      <c r="AB59" s="433"/>
      <c r="AC59" s="433"/>
      <c r="AD59" s="433"/>
      <c r="AE59" s="433"/>
      <c r="AF59" s="433"/>
      <c r="AG59" s="433"/>
      <c r="AH59" s="433"/>
      <c r="AI59" s="433"/>
      <c r="AJ59" s="433"/>
      <c r="AK59" s="433"/>
      <c r="AL59" s="433"/>
      <c r="AM59" s="433"/>
      <c r="AN59" s="433"/>
      <c r="AO59" s="433"/>
      <c r="AP59" s="433"/>
      <c r="AQ59" s="433"/>
      <c r="AR59" s="433"/>
      <c r="AS59" s="433"/>
      <c r="AT59" s="14"/>
      <c r="AU59" s="14"/>
      <c r="AV59" s="14"/>
      <c r="AW59" s="14"/>
    </row>
    <row r="60" spans="1:49" ht="30" customHeight="1">
      <c r="A60" s="433"/>
      <c r="B60" s="433"/>
      <c r="C60" s="433"/>
      <c r="D60" s="433"/>
      <c r="E60" s="433"/>
      <c r="F60" s="433"/>
      <c r="G60" s="433"/>
      <c r="H60" s="433"/>
      <c r="I60" s="433"/>
      <c r="J60" s="433"/>
      <c r="K60" s="433"/>
      <c r="L60" s="433"/>
      <c r="M60" s="433"/>
      <c r="N60" s="433"/>
      <c r="O60" s="433"/>
      <c r="P60" s="433"/>
      <c r="Q60" s="433"/>
      <c r="R60" s="433"/>
      <c r="S60" s="433"/>
      <c r="T60" s="433"/>
      <c r="U60" s="433"/>
      <c r="V60" s="433"/>
      <c r="W60" s="433"/>
      <c r="X60" s="433"/>
      <c r="Y60" s="433"/>
      <c r="Z60" s="433"/>
      <c r="AA60" s="433"/>
      <c r="AB60" s="433"/>
      <c r="AC60" s="433"/>
      <c r="AD60" s="433"/>
      <c r="AE60" s="433"/>
      <c r="AF60" s="433"/>
      <c r="AG60" s="433"/>
      <c r="AH60" s="433"/>
      <c r="AI60" s="433"/>
      <c r="AJ60" s="433"/>
      <c r="AK60" s="433"/>
      <c r="AL60" s="433"/>
      <c r="AM60" s="433"/>
      <c r="AN60" s="433"/>
      <c r="AO60" s="433"/>
      <c r="AP60" s="433"/>
      <c r="AQ60" s="433"/>
      <c r="AR60" s="433"/>
      <c r="AS60" s="433"/>
      <c r="AT60" s="14"/>
      <c r="AU60" s="14"/>
      <c r="AV60" s="14"/>
      <c r="AW60" s="14"/>
    </row>
    <row r="61" spans="1:49" ht="30" customHeight="1">
      <c r="A61" s="433"/>
      <c r="B61" s="433"/>
      <c r="C61" s="433"/>
      <c r="D61" s="433"/>
      <c r="E61" s="433"/>
      <c r="F61" s="433"/>
      <c r="G61" s="433"/>
      <c r="H61" s="433"/>
      <c r="I61" s="433"/>
      <c r="J61" s="433"/>
      <c r="K61" s="433"/>
      <c r="L61" s="433"/>
      <c r="M61" s="433"/>
      <c r="N61" s="433"/>
      <c r="O61" s="433"/>
      <c r="P61" s="433"/>
      <c r="Q61" s="433"/>
      <c r="R61" s="433"/>
      <c r="S61" s="433"/>
      <c r="T61" s="433"/>
      <c r="U61" s="433"/>
      <c r="V61" s="433"/>
      <c r="W61" s="433"/>
      <c r="X61" s="433"/>
      <c r="Y61" s="433"/>
      <c r="Z61" s="433"/>
      <c r="AA61" s="433"/>
      <c r="AB61" s="433"/>
      <c r="AC61" s="433"/>
      <c r="AD61" s="433"/>
      <c r="AE61" s="433"/>
      <c r="AF61" s="433"/>
      <c r="AG61" s="433"/>
      <c r="AH61" s="433"/>
      <c r="AI61" s="433"/>
      <c r="AJ61" s="433"/>
      <c r="AK61" s="433"/>
      <c r="AL61" s="433"/>
      <c r="AM61" s="433"/>
      <c r="AN61" s="433"/>
      <c r="AO61" s="433"/>
      <c r="AP61" s="433"/>
      <c r="AQ61" s="433"/>
      <c r="AR61" s="433"/>
      <c r="AS61" s="433"/>
      <c r="AT61" s="14"/>
      <c r="AU61" s="14"/>
      <c r="AV61" s="14"/>
      <c r="AW61" s="14"/>
    </row>
    <row r="62" spans="1:49" ht="30" customHeight="1">
      <c r="A62" s="433"/>
      <c r="B62" s="433"/>
      <c r="C62" s="433"/>
      <c r="D62" s="433"/>
      <c r="E62" s="433"/>
      <c r="F62" s="433"/>
      <c r="G62" s="433"/>
      <c r="H62" s="433"/>
      <c r="I62" s="433"/>
      <c r="J62" s="433"/>
      <c r="K62" s="433"/>
      <c r="L62" s="433"/>
      <c r="M62" s="433"/>
      <c r="N62" s="433"/>
      <c r="O62" s="433"/>
      <c r="P62" s="433"/>
      <c r="Q62" s="433"/>
      <c r="R62" s="433"/>
      <c r="S62" s="433"/>
      <c r="T62" s="433"/>
      <c r="U62" s="433"/>
      <c r="V62" s="433"/>
      <c r="W62" s="433"/>
      <c r="X62" s="433"/>
      <c r="Y62" s="433"/>
      <c r="Z62" s="433"/>
      <c r="AA62" s="433"/>
      <c r="AB62" s="433"/>
      <c r="AC62" s="433"/>
      <c r="AD62" s="433"/>
      <c r="AE62" s="433"/>
      <c r="AF62" s="433"/>
      <c r="AG62" s="433"/>
      <c r="AH62" s="433"/>
      <c r="AI62" s="433"/>
      <c r="AJ62" s="433"/>
      <c r="AK62" s="433"/>
      <c r="AL62" s="433"/>
      <c r="AM62" s="433"/>
      <c r="AN62" s="433"/>
      <c r="AO62" s="433"/>
      <c r="AP62" s="433"/>
      <c r="AQ62" s="433"/>
      <c r="AR62" s="433"/>
      <c r="AS62" s="433"/>
      <c r="AT62" s="14"/>
      <c r="AU62" s="14"/>
      <c r="AV62" s="14"/>
      <c r="AW62" s="14"/>
    </row>
    <row r="63" spans="1:49" ht="30" customHeight="1">
      <c r="A63" s="433"/>
      <c r="B63" s="433"/>
      <c r="C63" s="433"/>
      <c r="D63" s="433"/>
      <c r="E63" s="433"/>
      <c r="F63" s="433"/>
      <c r="G63" s="433"/>
      <c r="H63" s="433"/>
      <c r="I63" s="433"/>
      <c r="J63" s="433"/>
      <c r="K63" s="433"/>
      <c r="L63" s="433"/>
      <c r="M63" s="433"/>
      <c r="N63" s="433"/>
      <c r="O63" s="433"/>
      <c r="P63" s="433"/>
      <c r="Q63" s="433"/>
      <c r="R63" s="433"/>
      <c r="S63" s="433"/>
      <c r="T63" s="433"/>
      <c r="U63" s="433"/>
      <c r="V63" s="433"/>
      <c r="W63" s="433"/>
      <c r="X63" s="433"/>
      <c r="Y63" s="433"/>
      <c r="Z63" s="433"/>
      <c r="AA63" s="433"/>
      <c r="AB63" s="433"/>
      <c r="AC63" s="433"/>
      <c r="AD63" s="433"/>
      <c r="AE63" s="433"/>
      <c r="AF63" s="433"/>
      <c r="AG63" s="433"/>
      <c r="AH63" s="433"/>
      <c r="AI63" s="433"/>
      <c r="AJ63" s="433"/>
      <c r="AK63" s="433"/>
      <c r="AL63" s="433"/>
      <c r="AM63" s="433"/>
      <c r="AN63" s="433"/>
      <c r="AO63" s="433"/>
      <c r="AP63" s="433"/>
      <c r="AQ63" s="433"/>
      <c r="AR63" s="433"/>
      <c r="AS63" s="433"/>
      <c r="AT63" s="14"/>
      <c r="AU63" s="14"/>
      <c r="AV63" s="14"/>
      <c r="AW63" s="14"/>
    </row>
    <row r="64" spans="1:49" ht="30" customHeight="1">
      <c r="A64" s="433"/>
      <c r="B64" s="433"/>
      <c r="C64" s="433"/>
      <c r="D64" s="433"/>
      <c r="E64" s="433"/>
      <c r="F64" s="433"/>
      <c r="G64" s="433"/>
      <c r="H64" s="433"/>
      <c r="I64" s="433"/>
      <c r="J64" s="433"/>
      <c r="K64" s="433"/>
      <c r="L64" s="433"/>
      <c r="M64" s="433"/>
      <c r="N64" s="433"/>
      <c r="O64" s="433"/>
      <c r="P64" s="433"/>
      <c r="Q64" s="433"/>
      <c r="R64" s="433"/>
      <c r="S64" s="433"/>
      <c r="T64" s="433"/>
      <c r="U64" s="433"/>
      <c r="V64" s="433"/>
      <c r="W64" s="433"/>
      <c r="X64" s="433"/>
      <c r="Y64" s="433"/>
      <c r="Z64" s="433"/>
      <c r="AA64" s="433"/>
      <c r="AB64" s="433"/>
      <c r="AC64" s="433"/>
      <c r="AD64" s="433"/>
      <c r="AE64" s="433"/>
      <c r="AF64" s="433"/>
      <c r="AG64" s="433"/>
      <c r="AH64" s="433"/>
      <c r="AI64" s="433"/>
      <c r="AJ64" s="433"/>
      <c r="AK64" s="433"/>
      <c r="AL64" s="433"/>
      <c r="AM64" s="433"/>
      <c r="AN64" s="433"/>
      <c r="AO64" s="433"/>
      <c r="AP64" s="433"/>
      <c r="AQ64" s="433"/>
      <c r="AR64" s="433"/>
      <c r="AS64" s="433"/>
      <c r="AT64" s="14"/>
      <c r="AU64" s="14"/>
      <c r="AV64" s="14"/>
      <c r="AW64" s="14"/>
    </row>
    <row r="65" spans="1:49" ht="30" customHeight="1">
      <c r="A65" s="433"/>
      <c r="B65" s="433"/>
      <c r="C65" s="433"/>
      <c r="D65" s="433"/>
      <c r="E65" s="433"/>
      <c r="F65" s="433"/>
      <c r="G65" s="433"/>
      <c r="H65" s="433"/>
      <c r="I65" s="433"/>
      <c r="J65" s="433"/>
      <c r="K65" s="433"/>
      <c r="L65" s="433"/>
      <c r="M65" s="433"/>
      <c r="N65" s="433"/>
      <c r="O65" s="433"/>
      <c r="P65" s="433"/>
      <c r="Q65" s="433"/>
      <c r="R65" s="433"/>
      <c r="S65" s="433"/>
      <c r="T65" s="433"/>
      <c r="U65" s="433"/>
      <c r="V65" s="433"/>
      <c r="W65" s="433"/>
      <c r="X65" s="433"/>
      <c r="Y65" s="433"/>
      <c r="Z65" s="433"/>
      <c r="AA65" s="433"/>
      <c r="AB65" s="433"/>
      <c r="AC65" s="433"/>
      <c r="AD65" s="433"/>
      <c r="AE65" s="433"/>
      <c r="AF65" s="433"/>
      <c r="AG65" s="433"/>
      <c r="AH65" s="433"/>
      <c r="AI65" s="433"/>
      <c r="AJ65" s="433"/>
      <c r="AK65" s="433"/>
      <c r="AL65" s="433"/>
      <c r="AM65" s="433"/>
      <c r="AN65" s="433"/>
      <c r="AO65" s="433"/>
      <c r="AP65" s="433"/>
      <c r="AQ65" s="433"/>
      <c r="AR65" s="433"/>
      <c r="AS65" s="433"/>
      <c r="AT65" s="14"/>
      <c r="AU65" s="14"/>
      <c r="AV65" s="14"/>
      <c r="AW65" s="14"/>
    </row>
    <row r="66" spans="1:49" ht="30" customHeight="1">
      <c r="A66" s="433"/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3"/>
      <c r="Q66" s="433"/>
      <c r="R66" s="433"/>
      <c r="S66" s="433"/>
      <c r="T66" s="433"/>
      <c r="U66" s="433"/>
      <c r="V66" s="433"/>
      <c r="W66" s="433"/>
      <c r="X66" s="433"/>
      <c r="Y66" s="433"/>
      <c r="Z66" s="433"/>
      <c r="AA66" s="433"/>
      <c r="AB66" s="433"/>
      <c r="AC66" s="433"/>
      <c r="AD66" s="433"/>
      <c r="AE66" s="433"/>
      <c r="AF66" s="433"/>
      <c r="AG66" s="433"/>
      <c r="AH66" s="433"/>
      <c r="AI66" s="433"/>
      <c r="AJ66" s="433"/>
      <c r="AK66" s="433"/>
      <c r="AL66" s="433"/>
      <c r="AM66" s="433"/>
      <c r="AN66" s="433"/>
      <c r="AO66" s="433"/>
      <c r="AP66" s="433"/>
      <c r="AQ66" s="433"/>
      <c r="AR66" s="433"/>
      <c r="AS66" s="433"/>
      <c r="AT66" s="14"/>
      <c r="AU66" s="14"/>
      <c r="AV66" s="14"/>
      <c r="AW66" s="14"/>
    </row>
    <row r="67" spans="1:49" ht="30" customHeight="1">
      <c r="A67" s="433"/>
      <c r="B67" s="433"/>
      <c r="C67" s="433"/>
      <c r="D67" s="433"/>
      <c r="E67" s="433"/>
      <c r="F67" s="433"/>
      <c r="G67" s="433"/>
      <c r="H67" s="433"/>
      <c r="I67" s="433"/>
      <c r="J67" s="433"/>
      <c r="K67" s="433"/>
      <c r="L67" s="433"/>
      <c r="M67" s="433"/>
      <c r="N67" s="433"/>
      <c r="O67" s="433"/>
      <c r="P67" s="433"/>
      <c r="Q67" s="433"/>
      <c r="R67" s="433"/>
      <c r="S67" s="433"/>
      <c r="T67" s="433"/>
      <c r="U67" s="433"/>
      <c r="V67" s="433"/>
      <c r="W67" s="433"/>
      <c r="X67" s="433"/>
      <c r="Y67" s="433"/>
      <c r="Z67" s="433"/>
      <c r="AA67" s="433"/>
      <c r="AB67" s="433"/>
      <c r="AC67" s="433"/>
      <c r="AD67" s="433"/>
      <c r="AE67" s="433"/>
      <c r="AF67" s="433"/>
      <c r="AG67" s="433"/>
      <c r="AH67" s="433"/>
      <c r="AI67" s="433"/>
      <c r="AJ67" s="433"/>
      <c r="AK67" s="433"/>
      <c r="AL67" s="433"/>
      <c r="AM67" s="433"/>
      <c r="AN67" s="433"/>
      <c r="AO67" s="433"/>
      <c r="AP67" s="433"/>
      <c r="AQ67" s="433"/>
      <c r="AR67" s="433"/>
      <c r="AS67" s="433"/>
      <c r="AT67" s="14"/>
      <c r="AU67" s="14"/>
      <c r="AV67" s="14"/>
      <c r="AW67" s="14"/>
    </row>
    <row r="68" spans="1:49" ht="30" customHeight="1">
      <c r="A68" s="433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3"/>
      <c r="Q68" s="433"/>
      <c r="R68" s="433"/>
      <c r="S68" s="433"/>
      <c r="T68" s="433"/>
      <c r="U68" s="433"/>
      <c r="V68" s="433"/>
      <c r="W68" s="433"/>
      <c r="X68" s="433"/>
      <c r="Y68" s="433"/>
      <c r="Z68" s="433"/>
      <c r="AA68" s="433"/>
      <c r="AB68" s="433"/>
      <c r="AC68" s="433"/>
      <c r="AD68" s="433"/>
      <c r="AE68" s="433"/>
      <c r="AF68" s="433"/>
      <c r="AG68" s="433"/>
      <c r="AH68" s="433"/>
      <c r="AI68" s="433"/>
      <c r="AJ68" s="433"/>
      <c r="AK68" s="433"/>
      <c r="AL68" s="433"/>
      <c r="AM68" s="433"/>
      <c r="AN68" s="433"/>
      <c r="AO68" s="433"/>
      <c r="AP68" s="433"/>
      <c r="AQ68" s="433"/>
      <c r="AR68" s="433"/>
      <c r="AS68" s="433"/>
      <c r="AT68" s="14"/>
      <c r="AU68" s="14"/>
      <c r="AV68" s="14"/>
      <c r="AW68" s="14"/>
    </row>
    <row r="69" spans="1:49" ht="30" customHeight="1">
      <c r="A69" s="433"/>
      <c r="B69" s="433"/>
      <c r="C69" s="433"/>
      <c r="D69" s="433"/>
      <c r="E69" s="433"/>
      <c r="F69" s="433"/>
      <c r="G69" s="433"/>
      <c r="H69" s="433"/>
      <c r="I69" s="433"/>
      <c r="J69" s="433"/>
      <c r="K69" s="433"/>
      <c r="L69" s="433"/>
      <c r="M69" s="433"/>
      <c r="N69" s="433"/>
      <c r="O69" s="433"/>
      <c r="P69" s="433"/>
      <c r="Q69" s="433"/>
      <c r="R69" s="433"/>
      <c r="S69" s="433"/>
      <c r="T69" s="433"/>
      <c r="U69" s="433"/>
      <c r="V69" s="433"/>
      <c r="W69" s="433"/>
      <c r="X69" s="433"/>
      <c r="Y69" s="433"/>
      <c r="Z69" s="433"/>
      <c r="AA69" s="433"/>
      <c r="AB69" s="433"/>
      <c r="AC69" s="433"/>
      <c r="AD69" s="433"/>
      <c r="AE69" s="433"/>
      <c r="AF69" s="433"/>
      <c r="AG69" s="433"/>
      <c r="AH69" s="433"/>
      <c r="AI69" s="433"/>
      <c r="AJ69" s="433"/>
      <c r="AK69" s="433"/>
      <c r="AL69" s="433"/>
      <c r="AM69" s="433"/>
      <c r="AN69" s="433"/>
      <c r="AO69" s="433"/>
      <c r="AP69" s="433"/>
      <c r="AQ69" s="433"/>
      <c r="AR69" s="433"/>
      <c r="AS69" s="433"/>
      <c r="AT69" s="14"/>
      <c r="AU69" s="14"/>
      <c r="AV69" s="14"/>
      <c r="AW69" s="14"/>
    </row>
    <row r="70" spans="1:49" ht="30" customHeight="1">
      <c r="A70" s="433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3"/>
      <c r="Q70" s="433"/>
      <c r="R70" s="433"/>
      <c r="S70" s="433"/>
      <c r="T70" s="433"/>
      <c r="U70" s="433"/>
      <c r="V70" s="433"/>
      <c r="W70" s="433"/>
      <c r="X70" s="433"/>
      <c r="Y70" s="433"/>
      <c r="Z70" s="433"/>
      <c r="AA70" s="433"/>
      <c r="AB70" s="433"/>
      <c r="AC70" s="433"/>
      <c r="AD70" s="433"/>
      <c r="AE70" s="433"/>
      <c r="AF70" s="433"/>
      <c r="AG70" s="433"/>
      <c r="AH70" s="433"/>
      <c r="AI70" s="433"/>
      <c r="AJ70" s="433"/>
      <c r="AK70" s="433"/>
      <c r="AL70" s="433"/>
      <c r="AM70" s="433"/>
      <c r="AN70" s="433"/>
      <c r="AO70" s="433"/>
      <c r="AP70" s="433"/>
      <c r="AQ70" s="433"/>
      <c r="AR70" s="433"/>
      <c r="AS70" s="433"/>
      <c r="AT70" s="14"/>
      <c r="AU70" s="14"/>
      <c r="AV70" s="14"/>
      <c r="AW70" s="14"/>
    </row>
    <row r="71" spans="1:49" ht="30" customHeight="1">
      <c r="A71" s="433"/>
      <c r="B71" s="433"/>
      <c r="C71" s="433"/>
      <c r="D71" s="433"/>
      <c r="E71" s="433"/>
      <c r="F71" s="433"/>
      <c r="G71" s="433"/>
      <c r="H71" s="433"/>
      <c r="I71" s="433"/>
      <c r="J71" s="433"/>
      <c r="K71" s="433"/>
      <c r="L71" s="433"/>
      <c r="M71" s="433"/>
      <c r="N71" s="433"/>
      <c r="O71" s="433"/>
      <c r="P71" s="433"/>
      <c r="Q71" s="433"/>
      <c r="R71" s="433"/>
      <c r="S71" s="433"/>
      <c r="T71" s="433"/>
      <c r="U71" s="433"/>
      <c r="V71" s="433"/>
      <c r="W71" s="433"/>
      <c r="X71" s="433"/>
      <c r="Y71" s="433"/>
      <c r="Z71" s="433"/>
      <c r="AA71" s="433"/>
      <c r="AB71" s="433"/>
      <c r="AC71" s="433"/>
      <c r="AD71" s="433"/>
      <c r="AE71" s="433"/>
      <c r="AF71" s="433"/>
      <c r="AG71" s="433"/>
      <c r="AH71" s="433"/>
      <c r="AI71" s="433"/>
      <c r="AJ71" s="433"/>
      <c r="AK71" s="433"/>
      <c r="AL71" s="433"/>
      <c r="AM71" s="433"/>
      <c r="AN71" s="433"/>
      <c r="AO71" s="433"/>
      <c r="AP71" s="433"/>
      <c r="AQ71" s="433"/>
      <c r="AR71" s="433"/>
      <c r="AS71" s="433"/>
      <c r="AT71" s="14"/>
      <c r="AU71" s="14"/>
      <c r="AV71" s="14"/>
      <c r="AW71" s="14"/>
    </row>
    <row r="72" spans="1:49" ht="30" customHeight="1">
      <c r="A72" s="433"/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3"/>
      <c r="Q72" s="433"/>
      <c r="R72" s="433"/>
      <c r="S72" s="433"/>
      <c r="T72" s="433"/>
      <c r="U72" s="433"/>
      <c r="V72" s="433"/>
      <c r="W72" s="433"/>
      <c r="X72" s="433"/>
      <c r="Y72" s="433"/>
      <c r="Z72" s="433"/>
      <c r="AA72" s="433"/>
      <c r="AB72" s="433"/>
      <c r="AC72" s="433"/>
      <c r="AD72" s="433"/>
      <c r="AE72" s="433"/>
      <c r="AF72" s="433"/>
      <c r="AG72" s="433"/>
      <c r="AH72" s="433"/>
      <c r="AI72" s="433"/>
      <c r="AJ72" s="433"/>
      <c r="AK72" s="433"/>
      <c r="AL72" s="433"/>
      <c r="AM72" s="433"/>
      <c r="AN72" s="433"/>
      <c r="AO72" s="433"/>
      <c r="AP72" s="433"/>
      <c r="AQ72" s="433"/>
      <c r="AR72" s="433"/>
      <c r="AS72" s="433"/>
      <c r="AT72" s="14"/>
      <c r="AU72" s="14"/>
      <c r="AV72" s="14"/>
      <c r="AW72" s="14"/>
    </row>
    <row r="73" spans="1:49" ht="30" customHeight="1">
      <c r="A73" s="433"/>
      <c r="B73" s="433"/>
      <c r="C73" s="433"/>
      <c r="D73" s="433"/>
      <c r="E73" s="433"/>
      <c r="F73" s="433"/>
      <c r="G73" s="433"/>
      <c r="H73" s="433"/>
      <c r="I73" s="433"/>
      <c r="J73" s="433"/>
      <c r="K73" s="433"/>
      <c r="L73" s="433"/>
      <c r="M73" s="433"/>
      <c r="N73" s="433"/>
      <c r="O73" s="433"/>
      <c r="P73" s="433"/>
      <c r="Q73" s="433"/>
      <c r="R73" s="433"/>
      <c r="S73" s="433"/>
      <c r="T73" s="433"/>
      <c r="U73" s="433"/>
      <c r="V73" s="433"/>
      <c r="W73" s="433"/>
      <c r="X73" s="433"/>
      <c r="Y73" s="433"/>
      <c r="Z73" s="433"/>
      <c r="AA73" s="433"/>
      <c r="AB73" s="433"/>
      <c r="AC73" s="433"/>
      <c r="AD73" s="433"/>
      <c r="AE73" s="433"/>
      <c r="AF73" s="433"/>
      <c r="AG73" s="433"/>
      <c r="AH73" s="433"/>
      <c r="AI73" s="433"/>
      <c r="AJ73" s="433"/>
      <c r="AK73" s="433"/>
      <c r="AL73" s="433"/>
      <c r="AM73" s="433"/>
      <c r="AN73" s="433"/>
      <c r="AO73" s="433"/>
      <c r="AP73" s="433"/>
      <c r="AQ73" s="433"/>
      <c r="AR73" s="433"/>
      <c r="AS73" s="433"/>
      <c r="AT73" s="14"/>
      <c r="AU73" s="14"/>
      <c r="AV73" s="14"/>
      <c r="AW73" s="14"/>
    </row>
    <row r="74" spans="1:49" ht="30" customHeight="1">
      <c r="A74" s="433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3"/>
      <c r="Q74" s="433"/>
      <c r="R74" s="433"/>
      <c r="S74" s="433"/>
      <c r="T74" s="433"/>
      <c r="U74" s="433"/>
      <c r="V74" s="433"/>
      <c r="W74" s="433"/>
      <c r="X74" s="433"/>
      <c r="Y74" s="433"/>
      <c r="Z74" s="433"/>
      <c r="AA74" s="433"/>
      <c r="AB74" s="433"/>
      <c r="AC74" s="433"/>
      <c r="AD74" s="433"/>
      <c r="AE74" s="433"/>
      <c r="AF74" s="433"/>
      <c r="AG74" s="433"/>
      <c r="AH74" s="433"/>
      <c r="AI74" s="433"/>
      <c r="AJ74" s="433"/>
      <c r="AK74" s="433"/>
      <c r="AL74" s="433"/>
      <c r="AM74" s="433"/>
      <c r="AN74" s="433"/>
      <c r="AO74" s="433"/>
      <c r="AP74" s="433"/>
      <c r="AQ74" s="433"/>
      <c r="AR74" s="433"/>
      <c r="AS74" s="433"/>
      <c r="AT74" s="14"/>
      <c r="AU74" s="14"/>
      <c r="AV74" s="14"/>
      <c r="AW74" s="14"/>
    </row>
    <row r="75" spans="1:49" ht="30" customHeight="1">
      <c r="A75" s="433"/>
      <c r="B75" s="433"/>
      <c r="C75" s="433"/>
      <c r="D75" s="433"/>
      <c r="E75" s="433"/>
      <c r="F75" s="433"/>
      <c r="G75" s="433"/>
      <c r="H75" s="433"/>
      <c r="I75" s="433"/>
      <c r="J75" s="433"/>
      <c r="K75" s="433"/>
      <c r="L75" s="433"/>
      <c r="M75" s="433"/>
      <c r="N75" s="433"/>
      <c r="O75" s="433"/>
      <c r="P75" s="433"/>
      <c r="Q75" s="433"/>
      <c r="R75" s="433"/>
      <c r="S75" s="433"/>
      <c r="T75" s="433"/>
      <c r="U75" s="433"/>
      <c r="V75" s="433"/>
      <c r="W75" s="433"/>
      <c r="X75" s="433"/>
      <c r="Y75" s="433"/>
      <c r="Z75" s="433"/>
      <c r="AA75" s="433"/>
      <c r="AB75" s="433"/>
      <c r="AC75" s="433"/>
      <c r="AD75" s="433"/>
      <c r="AE75" s="433"/>
      <c r="AF75" s="433"/>
      <c r="AG75" s="433"/>
      <c r="AH75" s="433"/>
      <c r="AI75" s="433"/>
      <c r="AJ75" s="433"/>
      <c r="AK75" s="433"/>
      <c r="AL75" s="433"/>
      <c r="AM75" s="433"/>
      <c r="AN75" s="433"/>
      <c r="AO75" s="433"/>
      <c r="AP75" s="433"/>
      <c r="AQ75" s="433"/>
      <c r="AR75" s="433"/>
      <c r="AS75" s="433"/>
      <c r="AT75" s="14"/>
      <c r="AU75" s="14"/>
      <c r="AV75" s="14"/>
      <c r="AW75" s="14"/>
    </row>
    <row r="76" spans="1:49" ht="30" customHeight="1">
      <c r="A76" s="433"/>
      <c r="B76" s="433"/>
      <c r="C76" s="433"/>
      <c r="D76" s="433"/>
      <c r="E76" s="433"/>
      <c r="F76" s="433"/>
      <c r="G76" s="433"/>
      <c r="H76" s="433"/>
      <c r="I76" s="433"/>
      <c r="J76" s="433"/>
      <c r="K76" s="433"/>
      <c r="L76" s="433"/>
      <c r="M76" s="433"/>
      <c r="N76" s="433"/>
      <c r="O76" s="433"/>
      <c r="P76" s="433"/>
      <c r="Q76" s="433"/>
      <c r="R76" s="433"/>
      <c r="S76" s="433"/>
      <c r="T76" s="433"/>
      <c r="U76" s="433"/>
      <c r="V76" s="433"/>
      <c r="W76" s="433"/>
      <c r="X76" s="433"/>
      <c r="Y76" s="433"/>
      <c r="Z76" s="433"/>
      <c r="AA76" s="433"/>
      <c r="AB76" s="433"/>
      <c r="AC76" s="433"/>
      <c r="AD76" s="433"/>
      <c r="AE76" s="433"/>
      <c r="AF76" s="433"/>
      <c r="AG76" s="433"/>
      <c r="AH76" s="433"/>
      <c r="AI76" s="433"/>
      <c r="AJ76" s="433"/>
      <c r="AK76" s="433"/>
      <c r="AL76" s="433"/>
      <c r="AM76" s="433"/>
      <c r="AN76" s="433"/>
      <c r="AO76" s="433"/>
      <c r="AP76" s="433"/>
      <c r="AQ76" s="433"/>
      <c r="AR76" s="433"/>
      <c r="AS76" s="433"/>
      <c r="AT76" s="14"/>
      <c r="AU76" s="14"/>
      <c r="AV76" s="14"/>
      <c r="AW76" s="14"/>
    </row>
    <row r="77" spans="1:49" ht="30" customHeight="1">
      <c r="A77" s="433"/>
      <c r="B77" s="433"/>
      <c r="C77" s="433"/>
      <c r="D77" s="433"/>
      <c r="E77" s="433"/>
      <c r="F77" s="433"/>
      <c r="G77" s="433"/>
      <c r="H77" s="433"/>
      <c r="I77" s="433"/>
      <c r="J77" s="433"/>
      <c r="K77" s="433"/>
      <c r="L77" s="433"/>
      <c r="M77" s="433"/>
      <c r="N77" s="433"/>
      <c r="O77" s="433"/>
      <c r="P77" s="433"/>
      <c r="Q77" s="433"/>
      <c r="R77" s="433"/>
      <c r="S77" s="433"/>
      <c r="T77" s="433"/>
      <c r="U77" s="433"/>
      <c r="V77" s="433"/>
      <c r="W77" s="433"/>
      <c r="X77" s="433"/>
      <c r="Y77" s="433"/>
      <c r="Z77" s="433"/>
      <c r="AA77" s="433"/>
      <c r="AB77" s="433"/>
      <c r="AC77" s="433"/>
      <c r="AD77" s="433"/>
      <c r="AE77" s="433"/>
      <c r="AF77" s="433"/>
      <c r="AG77" s="433"/>
      <c r="AH77" s="433"/>
      <c r="AI77" s="433"/>
      <c r="AJ77" s="433"/>
      <c r="AK77" s="433"/>
      <c r="AL77" s="433"/>
      <c r="AM77" s="433"/>
      <c r="AN77" s="433"/>
      <c r="AO77" s="433"/>
      <c r="AP77" s="433"/>
      <c r="AQ77" s="433"/>
      <c r="AR77" s="433"/>
      <c r="AS77" s="433"/>
      <c r="AT77" s="14"/>
      <c r="AU77" s="14"/>
      <c r="AV77" s="14"/>
      <c r="AW77" s="14"/>
    </row>
    <row r="78" spans="1:49" ht="30" customHeight="1">
      <c r="A78" s="433"/>
      <c r="B78" s="433"/>
      <c r="C78" s="433"/>
      <c r="D78" s="433"/>
      <c r="E78" s="433"/>
      <c r="F78" s="433"/>
      <c r="G78" s="433"/>
      <c r="H78" s="433"/>
      <c r="I78" s="433"/>
      <c r="J78" s="433"/>
      <c r="K78" s="433"/>
      <c r="L78" s="433"/>
      <c r="M78" s="433"/>
      <c r="N78" s="433"/>
      <c r="O78" s="433"/>
      <c r="P78" s="433"/>
      <c r="Q78" s="433"/>
      <c r="R78" s="433"/>
      <c r="S78" s="433"/>
      <c r="T78" s="433"/>
      <c r="U78" s="433"/>
      <c r="V78" s="433"/>
      <c r="W78" s="433"/>
      <c r="X78" s="433"/>
      <c r="Y78" s="433"/>
      <c r="Z78" s="433"/>
      <c r="AA78" s="433"/>
      <c r="AB78" s="433"/>
      <c r="AC78" s="433"/>
      <c r="AD78" s="433"/>
      <c r="AE78" s="433"/>
      <c r="AF78" s="433"/>
      <c r="AG78" s="433"/>
      <c r="AH78" s="433"/>
      <c r="AI78" s="433"/>
      <c r="AJ78" s="433"/>
      <c r="AK78" s="433"/>
      <c r="AL78" s="433"/>
      <c r="AM78" s="433"/>
      <c r="AN78" s="433"/>
      <c r="AO78" s="433"/>
      <c r="AP78" s="433"/>
      <c r="AQ78" s="433"/>
      <c r="AR78" s="433"/>
      <c r="AS78" s="433"/>
      <c r="AT78" s="14"/>
      <c r="AU78" s="14"/>
      <c r="AV78" s="14"/>
      <c r="AW78" s="14"/>
    </row>
    <row r="79" spans="1:49" ht="30" customHeight="1">
      <c r="A79" s="433"/>
      <c r="B79" s="433"/>
      <c r="C79" s="433"/>
      <c r="D79" s="433"/>
      <c r="E79" s="433"/>
      <c r="F79" s="433"/>
      <c r="G79" s="433"/>
      <c r="H79" s="433"/>
      <c r="I79" s="433"/>
      <c r="J79" s="433"/>
      <c r="K79" s="433"/>
      <c r="L79" s="433"/>
      <c r="M79" s="433"/>
      <c r="N79" s="433"/>
      <c r="O79" s="433"/>
      <c r="P79" s="433"/>
      <c r="Q79" s="433"/>
      <c r="R79" s="433"/>
      <c r="S79" s="433"/>
      <c r="T79" s="433"/>
      <c r="U79" s="433"/>
      <c r="V79" s="433"/>
      <c r="W79" s="433"/>
      <c r="X79" s="433"/>
      <c r="Y79" s="433"/>
      <c r="Z79" s="433"/>
      <c r="AA79" s="433"/>
      <c r="AB79" s="433"/>
      <c r="AC79" s="433"/>
      <c r="AD79" s="433"/>
      <c r="AE79" s="433"/>
      <c r="AF79" s="433"/>
      <c r="AG79" s="433"/>
      <c r="AH79" s="433"/>
      <c r="AI79" s="433"/>
      <c r="AJ79" s="433"/>
      <c r="AK79" s="433"/>
      <c r="AL79" s="433"/>
      <c r="AM79" s="433"/>
      <c r="AN79" s="433"/>
      <c r="AO79" s="433"/>
      <c r="AP79" s="433"/>
      <c r="AQ79" s="433"/>
      <c r="AR79" s="433"/>
      <c r="AS79" s="433"/>
      <c r="AT79" s="14"/>
      <c r="AU79" s="14"/>
      <c r="AV79" s="14"/>
      <c r="AW79" s="14"/>
    </row>
    <row r="80" spans="1:49" ht="30" customHeight="1">
      <c r="A80" s="433"/>
      <c r="B80" s="433"/>
      <c r="C80" s="433"/>
      <c r="D80" s="433"/>
      <c r="E80" s="433"/>
      <c r="F80" s="433"/>
      <c r="G80" s="433"/>
      <c r="H80" s="433"/>
      <c r="I80" s="433"/>
      <c r="J80" s="433"/>
      <c r="K80" s="433"/>
      <c r="L80" s="433"/>
      <c r="M80" s="433"/>
      <c r="N80" s="433"/>
      <c r="O80" s="433"/>
      <c r="P80" s="433"/>
      <c r="Q80" s="433"/>
      <c r="R80" s="433"/>
      <c r="S80" s="433"/>
      <c r="T80" s="433"/>
      <c r="U80" s="433"/>
      <c r="V80" s="433"/>
      <c r="W80" s="433"/>
      <c r="X80" s="433"/>
      <c r="Y80" s="433"/>
      <c r="Z80" s="433"/>
      <c r="AA80" s="433"/>
      <c r="AB80" s="433"/>
      <c r="AC80" s="433"/>
      <c r="AD80" s="433"/>
      <c r="AE80" s="433"/>
      <c r="AF80" s="433"/>
      <c r="AG80" s="433"/>
      <c r="AH80" s="433"/>
      <c r="AI80" s="433"/>
      <c r="AJ80" s="433"/>
      <c r="AK80" s="433"/>
      <c r="AL80" s="433"/>
      <c r="AM80" s="433"/>
      <c r="AN80" s="433"/>
      <c r="AO80" s="433"/>
      <c r="AP80" s="433"/>
      <c r="AQ80" s="433"/>
      <c r="AR80" s="433"/>
      <c r="AS80" s="433"/>
      <c r="AT80" s="14"/>
      <c r="AU80" s="14"/>
      <c r="AV80" s="14"/>
      <c r="AW80" s="14"/>
    </row>
    <row r="81" spans="1:49" ht="30" customHeight="1">
      <c r="A81" s="433"/>
      <c r="B81" s="433"/>
      <c r="C81" s="433"/>
      <c r="D81" s="433"/>
      <c r="E81" s="433"/>
      <c r="F81" s="433"/>
      <c r="G81" s="433"/>
      <c r="H81" s="433"/>
      <c r="I81" s="433"/>
      <c r="J81" s="433"/>
      <c r="K81" s="433"/>
      <c r="L81" s="433"/>
      <c r="M81" s="433"/>
      <c r="N81" s="433"/>
      <c r="O81" s="433"/>
      <c r="P81" s="433"/>
      <c r="Q81" s="433"/>
      <c r="R81" s="433"/>
      <c r="S81" s="433"/>
      <c r="T81" s="433"/>
      <c r="U81" s="433"/>
      <c r="V81" s="433"/>
      <c r="W81" s="433"/>
      <c r="X81" s="433"/>
      <c r="Y81" s="433"/>
      <c r="Z81" s="433"/>
      <c r="AA81" s="433"/>
      <c r="AB81" s="433"/>
      <c r="AC81" s="433"/>
      <c r="AD81" s="433"/>
      <c r="AE81" s="433"/>
      <c r="AF81" s="433"/>
      <c r="AG81" s="433"/>
      <c r="AH81" s="433"/>
      <c r="AI81" s="433"/>
      <c r="AJ81" s="433"/>
      <c r="AK81" s="433"/>
      <c r="AL81" s="433"/>
      <c r="AM81" s="433"/>
      <c r="AN81" s="433"/>
      <c r="AO81" s="433"/>
      <c r="AP81" s="433"/>
      <c r="AQ81" s="433"/>
      <c r="AR81" s="433"/>
      <c r="AS81" s="433"/>
      <c r="AT81" s="14"/>
      <c r="AU81" s="14"/>
      <c r="AV81" s="14"/>
      <c r="AW81" s="14"/>
    </row>
    <row r="82" spans="1:49" ht="30" customHeight="1">
      <c r="A82" s="433"/>
      <c r="B82" s="433"/>
      <c r="C82" s="433"/>
      <c r="D82" s="433"/>
      <c r="E82" s="433"/>
      <c r="F82" s="433"/>
      <c r="G82" s="433"/>
      <c r="H82" s="433"/>
      <c r="I82" s="433"/>
      <c r="J82" s="433"/>
      <c r="K82" s="433"/>
      <c r="L82" s="433"/>
      <c r="M82" s="433"/>
      <c r="N82" s="433"/>
      <c r="O82" s="433"/>
      <c r="P82" s="433"/>
      <c r="Q82" s="433"/>
      <c r="R82" s="433"/>
      <c r="S82" s="433"/>
      <c r="T82" s="433"/>
      <c r="U82" s="433"/>
      <c r="V82" s="433"/>
      <c r="W82" s="433"/>
      <c r="X82" s="433"/>
      <c r="Y82" s="433"/>
      <c r="Z82" s="433"/>
      <c r="AA82" s="433"/>
      <c r="AB82" s="433"/>
      <c r="AC82" s="433"/>
      <c r="AD82" s="433"/>
      <c r="AE82" s="433"/>
      <c r="AF82" s="433"/>
      <c r="AG82" s="433"/>
      <c r="AH82" s="433"/>
      <c r="AI82" s="433"/>
      <c r="AJ82" s="433"/>
      <c r="AK82" s="433"/>
      <c r="AL82" s="433"/>
      <c r="AM82" s="433"/>
      <c r="AN82" s="433"/>
      <c r="AO82" s="433"/>
      <c r="AP82" s="433"/>
      <c r="AQ82" s="433"/>
      <c r="AR82" s="433"/>
      <c r="AS82" s="433"/>
      <c r="AT82" s="14"/>
      <c r="AU82" s="14"/>
      <c r="AV82" s="14"/>
      <c r="AW82" s="14"/>
    </row>
    <row r="83" spans="1:49" ht="30" customHeight="1">
      <c r="A83" s="433"/>
      <c r="B83" s="433"/>
      <c r="C83" s="433"/>
      <c r="D83" s="433"/>
      <c r="E83" s="433"/>
      <c r="F83" s="433"/>
      <c r="G83" s="433"/>
      <c r="H83" s="433"/>
      <c r="I83" s="433"/>
      <c r="J83" s="433"/>
      <c r="K83" s="433"/>
      <c r="L83" s="433"/>
      <c r="M83" s="433"/>
      <c r="N83" s="433"/>
      <c r="O83" s="433"/>
      <c r="P83" s="433"/>
      <c r="Q83" s="433"/>
      <c r="R83" s="433"/>
      <c r="S83" s="433"/>
      <c r="T83" s="433"/>
      <c r="U83" s="433"/>
      <c r="V83" s="433"/>
      <c r="W83" s="433"/>
      <c r="X83" s="433"/>
      <c r="Y83" s="433"/>
      <c r="Z83" s="433"/>
      <c r="AA83" s="433"/>
      <c r="AB83" s="433"/>
      <c r="AC83" s="433"/>
      <c r="AD83" s="433"/>
      <c r="AE83" s="433"/>
      <c r="AF83" s="433"/>
      <c r="AG83" s="433"/>
      <c r="AH83" s="433"/>
      <c r="AI83" s="433"/>
      <c r="AJ83" s="433"/>
      <c r="AK83" s="433"/>
      <c r="AL83" s="433"/>
      <c r="AM83" s="433"/>
      <c r="AN83" s="433"/>
      <c r="AO83" s="433"/>
      <c r="AP83" s="433"/>
      <c r="AQ83" s="433"/>
      <c r="AR83" s="433"/>
      <c r="AS83" s="433"/>
      <c r="AT83" s="14"/>
      <c r="AU83" s="14"/>
      <c r="AV83" s="14"/>
      <c r="AW83" s="14"/>
    </row>
    <row r="84" spans="1:49" ht="30" customHeight="1">
      <c r="A84" s="433"/>
      <c r="B84" s="433"/>
      <c r="C84" s="433"/>
      <c r="D84" s="433"/>
      <c r="E84" s="433"/>
      <c r="F84" s="433"/>
      <c r="G84" s="433"/>
      <c r="H84" s="433"/>
      <c r="I84" s="433"/>
      <c r="J84" s="433"/>
      <c r="K84" s="433"/>
      <c r="L84" s="433"/>
      <c r="M84" s="433"/>
      <c r="N84" s="433"/>
      <c r="O84" s="433"/>
      <c r="P84" s="433"/>
      <c r="Q84" s="433"/>
      <c r="R84" s="433"/>
      <c r="S84" s="433"/>
      <c r="T84" s="433"/>
      <c r="U84" s="433"/>
      <c r="V84" s="433"/>
      <c r="W84" s="433"/>
      <c r="X84" s="433"/>
      <c r="Y84" s="433"/>
      <c r="Z84" s="433"/>
      <c r="AA84" s="433"/>
      <c r="AB84" s="433"/>
      <c r="AC84" s="433"/>
      <c r="AD84" s="433"/>
      <c r="AE84" s="433"/>
      <c r="AF84" s="433"/>
      <c r="AG84" s="433"/>
      <c r="AH84" s="433"/>
      <c r="AI84" s="433"/>
      <c r="AJ84" s="433"/>
      <c r="AK84" s="433"/>
      <c r="AL84" s="433"/>
      <c r="AM84" s="433"/>
      <c r="AN84" s="433"/>
      <c r="AO84" s="433"/>
      <c r="AP84" s="433"/>
      <c r="AQ84" s="433"/>
      <c r="AR84" s="433"/>
      <c r="AS84" s="433"/>
      <c r="AT84" s="14"/>
      <c r="AU84" s="14"/>
      <c r="AV84" s="14"/>
      <c r="AW84" s="14"/>
    </row>
    <row r="85" spans="1:49" ht="30" customHeight="1">
      <c r="A85" s="433"/>
      <c r="B85" s="433"/>
      <c r="C85" s="433"/>
      <c r="D85" s="433"/>
      <c r="E85" s="433"/>
      <c r="F85" s="433"/>
      <c r="G85" s="433"/>
      <c r="H85" s="433"/>
      <c r="I85" s="433"/>
      <c r="J85" s="433"/>
      <c r="K85" s="433"/>
      <c r="L85" s="433"/>
      <c r="M85" s="433"/>
      <c r="N85" s="433"/>
      <c r="O85" s="433"/>
      <c r="P85" s="433"/>
      <c r="Q85" s="433"/>
      <c r="R85" s="433"/>
      <c r="S85" s="433"/>
      <c r="T85" s="433"/>
      <c r="U85" s="433"/>
      <c r="V85" s="433"/>
      <c r="W85" s="433"/>
      <c r="X85" s="433"/>
      <c r="Y85" s="433"/>
      <c r="Z85" s="433"/>
      <c r="AA85" s="433"/>
      <c r="AB85" s="433"/>
      <c r="AC85" s="433"/>
      <c r="AD85" s="433"/>
      <c r="AE85" s="433"/>
      <c r="AF85" s="433"/>
      <c r="AG85" s="433"/>
      <c r="AH85" s="433"/>
      <c r="AI85" s="433"/>
      <c r="AJ85" s="433"/>
      <c r="AK85" s="433"/>
      <c r="AL85" s="433"/>
      <c r="AM85" s="433"/>
      <c r="AN85" s="433"/>
      <c r="AO85" s="433"/>
      <c r="AP85" s="433"/>
      <c r="AQ85" s="433"/>
      <c r="AR85" s="433"/>
      <c r="AS85" s="433"/>
      <c r="AT85" s="14"/>
      <c r="AU85" s="14"/>
      <c r="AV85" s="14"/>
      <c r="AW85" s="14"/>
    </row>
    <row r="86" spans="1:49" ht="30" customHeight="1">
      <c r="A86" s="433"/>
      <c r="B86" s="433"/>
      <c r="C86" s="433"/>
      <c r="D86" s="433"/>
      <c r="E86" s="433"/>
      <c r="F86" s="433"/>
      <c r="G86" s="433"/>
      <c r="H86" s="433"/>
      <c r="I86" s="433"/>
      <c r="J86" s="433"/>
      <c r="K86" s="433"/>
      <c r="L86" s="433"/>
      <c r="M86" s="433"/>
      <c r="N86" s="433"/>
      <c r="O86" s="433"/>
      <c r="P86" s="433"/>
      <c r="Q86" s="433"/>
      <c r="R86" s="433"/>
      <c r="S86" s="433"/>
      <c r="T86" s="433"/>
      <c r="U86" s="433"/>
      <c r="V86" s="433"/>
      <c r="W86" s="433"/>
      <c r="X86" s="433"/>
      <c r="Y86" s="433"/>
      <c r="Z86" s="433"/>
      <c r="AA86" s="433"/>
      <c r="AB86" s="433"/>
      <c r="AC86" s="433"/>
      <c r="AD86" s="433"/>
      <c r="AE86" s="433"/>
      <c r="AF86" s="433"/>
      <c r="AG86" s="433"/>
      <c r="AH86" s="433"/>
      <c r="AI86" s="433"/>
      <c r="AJ86" s="433"/>
      <c r="AK86" s="433"/>
      <c r="AL86" s="433"/>
      <c r="AM86" s="433"/>
      <c r="AN86" s="433"/>
      <c r="AO86" s="433"/>
      <c r="AP86" s="433"/>
      <c r="AQ86" s="433"/>
      <c r="AR86" s="433"/>
      <c r="AS86" s="433"/>
      <c r="AT86" s="14"/>
      <c r="AU86" s="14"/>
      <c r="AV86" s="14"/>
      <c r="AW86" s="14"/>
    </row>
    <row r="87" spans="1:49" ht="30" customHeight="1">
      <c r="A87" s="433"/>
      <c r="B87" s="433"/>
      <c r="C87" s="433"/>
      <c r="D87" s="433"/>
      <c r="E87" s="433"/>
      <c r="F87" s="433"/>
      <c r="G87" s="433"/>
      <c r="H87" s="433"/>
      <c r="I87" s="433"/>
      <c r="J87" s="433"/>
      <c r="K87" s="433"/>
      <c r="L87" s="433"/>
      <c r="M87" s="433"/>
      <c r="N87" s="433"/>
      <c r="O87" s="433"/>
      <c r="P87" s="433"/>
      <c r="Q87" s="433"/>
      <c r="R87" s="433"/>
      <c r="S87" s="433"/>
      <c r="T87" s="433"/>
      <c r="U87" s="433"/>
      <c r="V87" s="433"/>
      <c r="W87" s="433"/>
      <c r="X87" s="433"/>
      <c r="Y87" s="433"/>
      <c r="Z87" s="433"/>
      <c r="AA87" s="433"/>
      <c r="AB87" s="433"/>
      <c r="AC87" s="433"/>
      <c r="AD87" s="433"/>
      <c r="AE87" s="433"/>
      <c r="AF87" s="433"/>
      <c r="AG87" s="433"/>
      <c r="AH87" s="433"/>
      <c r="AI87" s="433"/>
      <c r="AJ87" s="433"/>
      <c r="AK87" s="433"/>
      <c r="AL87" s="433"/>
      <c r="AM87" s="433"/>
      <c r="AN87" s="433"/>
      <c r="AO87" s="433"/>
      <c r="AP87" s="433"/>
      <c r="AQ87" s="433"/>
      <c r="AR87" s="433"/>
      <c r="AS87" s="433"/>
      <c r="AT87" s="14"/>
      <c r="AU87" s="14"/>
      <c r="AV87" s="14"/>
      <c r="AW87" s="14"/>
    </row>
    <row r="88" spans="1:49" ht="30" customHeight="1">
      <c r="A88" s="433"/>
      <c r="B88" s="433"/>
      <c r="C88" s="433"/>
      <c r="D88" s="433"/>
      <c r="E88" s="433"/>
      <c r="F88" s="433"/>
      <c r="G88" s="433"/>
      <c r="H88" s="433"/>
      <c r="I88" s="433"/>
      <c r="J88" s="433"/>
      <c r="K88" s="433"/>
      <c r="L88" s="433"/>
      <c r="M88" s="433"/>
      <c r="N88" s="433"/>
      <c r="O88" s="433"/>
      <c r="P88" s="433"/>
      <c r="Q88" s="433"/>
      <c r="R88" s="433"/>
      <c r="S88" s="433"/>
      <c r="T88" s="433"/>
      <c r="U88" s="433"/>
      <c r="V88" s="433"/>
      <c r="W88" s="433"/>
      <c r="X88" s="433"/>
      <c r="Y88" s="433"/>
      <c r="Z88" s="433"/>
      <c r="AA88" s="433"/>
      <c r="AB88" s="433"/>
      <c r="AC88" s="433"/>
      <c r="AD88" s="433"/>
      <c r="AE88" s="433"/>
      <c r="AF88" s="433"/>
      <c r="AG88" s="433"/>
      <c r="AH88" s="433"/>
      <c r="AI88" s="433"/>
      <c r="AJ88" s="433"/>
      <c r="AK88" s="433"/>
      <c r="AL88" s="433"/>
      <c r="AM88" s="433"/>
      <c r="AN88" s="433"/>
      <c r="AO88" s="433"/>
      <c r="AP88" s="433"/>
      <c r="AQ88" s="433"/>
      <c r="AR88" s="433"/>
      <c r="AS88" s="433"/>
      <c r="AT88" s="14"/>
      <c r="AU88" s="14"/>
      <c r="AV88" s="14"/>
      <c r="AW88" s="14"/>
    </row>
    <row r="89" spans="1:49" ht="30" customHeight="1">
      <c r="A89" s="433"/>
      <c r="B89" s="433"/>
      <c r="C89" s="433"/>
      <c r="D89" s="433"/>
      <c r="E89" s="433"/>
      <c r="F89" s="433"/>
      <c r="G89" s="433"/>
      <c r="H89" s="433"/>
      <c r="I89" s="433"/>
      <c r="J89" s="433"/>
      <c r="K89" s="433"/>
      <c r="L89" s="433"/>
      <c r="M89" s="433"/>
      <c r="N89" s="433"/>
      <c r="O89" s="433"/>
      <c r="P89" s="433"/>
      <c r="Q89" s="433"/>
      <c r="R89" s="433"/>
      <c r="S89" s="433"/>
      <c r="T89" s="433"/>
      <c r="U89" s="433"/>
      <c r="V89" s="433"/>
      <c r="W89" s="433"/>
      <c r="X89" s="433"/>
      <c r="Y89" s="433"/>
      <c r="Z89" s="433"/>
      <c r="AA89" s="433"/>
      <c r="AB89" s="433"/>
      <c r="AC89" s="433"/>
      <c r="AD89" s="433"/>
      <c r="AE89" s="433"/>
      <c r="AF89" s="433"/>
      <c r="AG89" s="433"/>
      <c r="AH89" s="433"/>
      <c r="AI89" s="433"/>
      <c r="AJ89" s="433"/>
      <c r="AK89" s="433"/>
      <c r="AL89" s="433"/>
      <c r="AM89" s="433"/>
      <c r="AN89" s="433"/>
      <c r="AO89" s="433"/>
      <c r="AP89" s="433"/>
      <c r="AQ89" s="433"/>
      <c r="AR89" s="433"/>
      <c r="AS89" s="433"/>
      <c r="AT89" s="14"/>
      <c r="AU89" s="14"/>
      <c r="AV89" s="14"/>
      <c r="AW89" s="14"/>
    </row>
    <row r="90" spans="1:49" ht="30" customHeight="1">
      <c r="A90" s="433"/>
      <c r="B90" s="433"/>
      <c r="C90" s="433"/>
      <c r="D90" s="433"/>
      <c r="E90" s="433"/>
      <c r="F90" s="433"/>
      <c r="G90" s="433"/>
      <c r="H90" s="433"/>
      <c r="I90" s="433"/>
      <c r="J90" s="433"/>
      <c r="K90" s="433"/>
      <c r="L90" s="433"/>
      <c r="M90" s="433"/>
      <c r="N90" s="433"/>
      <c r="O90" s="433"/>
      <c r="P90" s="433"/>
      <c r="Q90" s="433"/>
      <c r="R90" s="433"/>
      <c r="S90" s="433"/>
      <c r="T90" s="433"/>
      <c r="U90" s="433"/>
      <c r="V90" s="433"/>
      <c r="W90" s="433"/>
      <c r="X90" s="433"/>
      <c r="Y90" s="433"/>
      <c r="Z90" s="433"/>
      <c r="AA90" s="433"/>
      <c r="AB90" s="433"/>
      <c r="AC90" s="433"/>
      <c r="AD90" s="433"/>
      <c r="AE90" s="433"/>
      <c r="AF90" s="433"/>
      <c r="AG90" s="433"/>
      <c r="AH90" s="433"/>
      <c r="AI90" s="433"/>
      <c r="AJ90" s="433"/>
      <c r="AK90" s="433"/>
      <c r="AL90" s="433"/>
      <c r="AM90" s="433"/>
      <c r="AN90" s="433"/>
      <c r="AO90" s="433"/>
      <c r="AP90" s="433"/>
      <c r="AQ90" s="433"/>
      <c r="AR90" s="433"/>
      <c r="AS90" s="433"/>
      <c r="AT90" s="14"/>
      <c r="AU90" s="14"/>
      <c r="AV90" s="14"/>
      <c r="AW90" s="14"/>
    </row>
    <row r="91" spans="1:49" ht="30" customHeight="1">
      <c r="A91" s="433"/>
      <c r="B91" s="433"/>
      <c r="C91" s="433"/>
      <c r="D91" s="433"/>
      <c r="E91" s="433"/>
      <c r="F91" s="433"/>
      <c r="G91" s="433"/>
      <c r="H91" s="433"/>
      <c r="I91" s="433"/>
      <c r="J91" s="433"/>
      <c r="K91" s="433"/>
      <c r="L91" s="433"/>
      <c r="M91" s="433"/>
      <c r="N91" s="433"/>
      <c r="O91" s="433"/>
      <c r="P91" s="433"/>
      <c r="Q91" s="433"/>
      <c r="R91" s="433"/>
      <c r="S91" s="433"/>
      <c r="T91" s="433"/>
      <c r="U91" s="433"/>
      <c r="V91" s="433"/>
      <c r="W91" s="433"/>
      <c r="X91" s="433"/>
      <c r="Y91" s="433"/>
      <c r="Z91" s="433"/>
      <c r="AA91" s="433"/>
      <c r="AB91" s="433"/>
      <c r="AC91" s="433"/>
      <c r="AD91" s="433"/>
      <c r="AE91" s="433"/>
      <c r="AF91" s="433"/>
      <c r="AG91" s="433"/>
      <c r="AH91" s="433"/>
      <c r="AI91" s="433"/>
      <c r="AJ91" s="433"/>
      <c r="AK91" s="433"/>
      <c r="AL91" s="433"/>
      <c r="AM91" s="433"/>
      <c r="AN91" s="433"/>
      <c r="AO91" s="433"/>
      <c r="AP91" s="433"/>
      <c r="AQ91" s="433"/>
      <c r="AR91" s="433"/>
      <c r="AS91" s="433"/>
      <c r="AT91" s="14"/>
      <c r="AU91" s="14"/>
      <c r="AV91" s="14"/>
      <c r="AW91" s="14"/>
    </row>
    <row r="92" spans="1:49" ht="30" customHeight="1">
      <c r="A92" s="433"/>
      <c r="B92" s="433"/>
      <c r="C92" s="433"/>
      <c r="D92" s="433"/>
      <c r="E92" s="433"/>
      <c r="F92" s="433"/>
      <c r="G92" s="433"/>
      <c r="H92" s="433"/>
      <c r="I92" s="433"/>
      <c r="J92" s="433"/>
      <c r="K92" s="433"/>
      <c r="L92" s="433"/>
      <c r="M92" s="433"/>
      <c r="N92" s="433"/>
      <c r="O92" s="433"/>
      <c r="P92" s="433"/>
      <c r="Q92" s="433"/>
      <c r="R92" s="433"/>
      <c r="S92" s="433"/>
      <c r="T92" s="433"/>
      <c r="U92" s="433"/>
      <c r="V92" s="433"/>
      <c r="W92" s="433"/>
      <c r="X92" s="433"/>
      <c r="Y92" s="433"/>
      <c r="Z92" s="433"/>
      <c r="AA92" s="433"/>
      <c r="AB92" s="433"/>
      <c r="AC92" s="433"/>
      <c r="AD92" s="433"/>
      <c r="AE92" s="433"/>
      <c r="AF92" s="433"/>
      <c r="AG92" s="433"/>
      <c r="AH92" s="433"/>
      <c r="AI92" s="433"/>
      <c r="AJ92" s="433"/>
      <c r="AK92" s="433"/>
      <c r="AL92" s="433"/>
      <c r="AM92" s="433"/>
      <c r="AN92" s="433"/>
      <c r="AO92" s="433"/>
      <c r="AP92" s="433"/>
      <c r="AQ92" s="433"/>
      <c r="AR92" s="433"/>
      <c r="AS92" s="433"/>
      <c r="AT92" s="14"/>
      <c r="AU92" s="14"/>
      <c r="AV92" s="14"/>
      <c r="AW92" s="14"/>
    </row>
    <row r="93" spans="1:49" ht="30" customHeight="1">
      <c r="A93" s="433"/>
      <c r="B93" s="433"/>
      <c r="C93" s="433"/>
      <c r="D93" s="433"/>
      <c r="E93" s="433"/>
      <c r="F93" s="433"/>
      <c r="G93" s="433"/>
      <c r="H93" s="433"/>
      <c r="I93" s="433"/>
      <c r="J93" s="433"/>
      <c r="K93" s="433"/>
      <c r="L93" s="433"/>
      <c r="M93" s="433"/>
      <c r="N93" s="433"/>
      <c r="O93" s="433"/>
      <c r="P93" s="433"/>
      <c r="Q93" s="433"/>
      <c r="R93" s="433"/>
      <c r="S93" s="433"/>
      <c r="T93" s="433"/>
      <c r="U93" s="433"/>
      <c r="V93" s="433"/>
      <c r="W93" s="433"/>
      <c r="X93" s="433"/>
      <c r="Y93" s="433"/>
      <c r="Z93" s="433"/>
      <c r="AA93" s="433"/>
      <c r="AB93" s="433"/>
      <c r="AC93" s="433"/>
      <c r="AD93" s="433"/>
      <c r="AE93" s="433"/>
      <c r="AF93" s="433"/>
      <c r="AG93" s="433"/>
      <c r="AH93" s="433"/>
      <c r="AI93" s="433"/>
      <c r="AJ93" s="433"/>
      <c r="AK93" s="433"/>
      <c r="AL93" s="433"/>
      <c r="AM93" s="433"/>
      <c r="AN93" s="433"/>
      <c r="AO93" s="433"/>
      <c r="AP93" s="433"/>
      <c r="AQ93" s="433"/>
      <c r="AR93" s="433"/>
      <c r="AS93" s="433"/>
      <c r="AT93" s="14"/>
      <c r="AU93" s="14"/>
      <c r="AV93" s="14"/>
      <c r="AW93" s="14"/>
    </row>
    <row r="94" spans="1:49" ht="30" customHeight="1">
      <c r="A94" s="433"/>
      <c r="B94" s="433"/>
      <c r="C94" s="433"/>
      <c r="D94" s="433"/>
      <c r="E94" s="433"/>
      <c r="F94" s="433"/>
      <c r="G94" s="433"/>
      <c r="H94" s="433"/>
      <c r="I94" s="433"/>
      <c r="J94" s="433"/>
      <c r="K94" s="433"/>
      <c r="L94" s="433"/>
      <c r="M94" s="433"/>
      <c r="N94" s="433"/>
      <c r="O94" s="433"/>
      <c r="P94" s="433"/>
      <c r="Q94" s="433"/>
      <c r="R94" s="433"/>
      <c r="S94" s="433"/>
      <c r="T94" s="433"/>
      <c r="U94" s="433"/>
      <c r="V94" s="433"/>
      <c r="W94" s="433"/>
      <c r="X94" s="433"/>
      <c r="Y94" s="433"/>
      <c r="Z94" s="433"/>
      <c r="AA94" s="433"/>
      <c r="AB94" s="433"/>
      <c r="AC94" s="433"/>
      <c r="AD94" s="433"/>
      <c r="AE94" s="433"/>
      <c r="AF94" s="433"/>
      <c r="AG94" s="433"/>
      <c r="AH94" s="433"/>
      <c r="AI94" s="433"/>
      <c r="AJ94" s="433"/>
      <c r="AK94" s="433"/>
      <c r="AL94" s="433"/>
      <c r="AM94" s="433"/>
      <c r="AN94" s="433"/>
      <c r="AO94" s="433"/>
      <c r="AP94" s="433"/>
      <c r="AQ94" s="433"/>
      <c r="AR94" s="433"/>
      <c r="AS94" s="433"/>
      <c r="AT94" s="14"/>
      <c r="AU94" s="14"/>
      <c r="AV94" s="14"/>
      <c r="AW94" s="14"/>
    </row>
    <row r="95" spans="1:49" ht="30" customHeight="1">
      <c r="A95" s="433"/>
      <c r="B95" s="433"/>
      <c r="C95" s="433"/>
      <c r="D95" s="433"/>
      <c r="E95" s="433"/>
      <c r="F95" s="433"/>
      <c r="G95" s="433"/>
      <c r="H95" s="433"/>
      <c r="I95" s="433"/>
      <c r="J95" s="433"/>
      <c r="K95" s="433"/>
      <c r="L95" s="433"/>
      <c r="M95" s="433"/>
      <c r="N95" s="433"/>
      <c r="O95" s="433"/>
      <c r="P95" s="433"/>
      <c r="Q95" s="433"/>
      <c r="R95" s="433"/>
      <c r="S95" s="433"/>
      <c r="T95" s="433"/>
      <c r="U95" s="433"/>
      <c r="V95" s="433"/>
      <c r="W95" s="433"/>
      <c r="X95" s="433"/>
      <c r="Y95" s="433"/>
      <c r="Z95" s="433"/>
      <c r="AA95" s="433"/>
      <c r="AB95" s="433"/>
      <c r="AC95" s="433"/>
      <c r="AD95" s="433"/>
      <c r="AE95" s="433"/>
      <c r="AF95" s="433"/>
      <c r="AG95" s="433"/>
      <c r="AH95" s="433"/>
      <c r="AI95" s="433"/>
      <c r="AJ95" s="433"/>
      <c r="AK95" s="433"/>
      <c r="AL95" s="433"/>
      <c r="AM95" s="433"/>
      <c r="AN95" s="433"/>
      <c r="AO95" s="433"/>
      <c r="AP95" s="433"/>
      <c r="AQ95" s="433"/>
      <c r="AR95" s="433"/>
      <c r="AS95" s="433"/>
      <c r="AT95" s="14"/>
      <c r="AU95" s="14"/>
      <c r="AV95" s="14"/>
      <c r="AW95" s="14"/>
    </row>
    <row r="96" spans="1:49" ht="30" customHeight="1">
      <c r="A96" s="433"/>
      <c r="B96" s="433"/>
      <c r="C96" s="433"/>
      <c r="D96" s="433"/>
      <c r="E96" s="433"/>
      <c r="F96" s="433"/>
      <c r="G96" s="433"/>
      <c r="H96" s="433"/>
      <c r="I96" s="433"/>
      <c r="J96" s="433"/>
      <c r="K96" s="433"/>
      <c r="L96" s="433"/>
      <c r="M96" s="433"/>
      <c r="N96" s="433"/>
      <c r="O96" s="433"/>
      <c r="P96" s="433"/>
      <c r="Q96" s="433"/>
      <c r="R96" s="433"/>
      <c r="S96" s="433"/>
      <c r="T96" s="433"/>
      <c r="U96" s="433"/>
      <c r="V96" s="433"/>
      <c r="W96" s="433"/>
      <c r="X96" s="433"/>
      <c r="Y96" s="433"/>
      <c r="Z96" s="433"/>
      <c r="AA96" s="433"/>
      <c r="AB96" s="433"/>
      <c r="AC96" s="433"/>
      <c r="AD96" s="433"/>
      <c r="AE96" s="433"/>
      <c r="AF96" s="433"/>
      <c r="AG96" s="433"/>
      <c r="AH96" s="433"/>
      <c r="AI96" s="433"/>
      <c r="AJ96" s="433"/>
      <c r="AK96" s="433"/>
      <c r="AL96" s="433"/>
      <c r="AM96" s="433"/>
      <c r="AN96" s="433"/>
      <c r="AO96" s="433"/>
      <c r="AP96" s="433"/>
      <c r="AQ96" s="433"/>
      <c r="AR96" s="433"/>
      <c r="AS96" s="433"/>
      <c r="AT96" s="14"/>
      <c r="AU96" s="14"/>
      <c r="AV96" s="14"/>
      <c r="AW96" s="14"/>
    </row>
    <row r="97" spans="1:49" ht="30" customHeight="1">
      <c r="A97" s="433"/>
      <c r="B97" s="433"/>
      <c r="C97" s="433"/>
      <c r="D97" s="433"/>
      <c r="E97" s="433"/>
      <c r="F97" s="433"/>
      <c r="G97" s="433"/>
      <c r="H97" s="433"/>
      <c r="I97" s="433"/>
      <c r="J97" s="433"/>
      <c r="K97" s="433"/>
      <c r="L97" s="433"/>
      <c r="M97" s="433"/>
      <c r="N97" s="433"/>
      <c r="O97" s="433"/>
      <c r="P97" s="433"/>
      <c r="Q97" s="433"/>
      <c r="R97" s="433"/>
      <c r="S97" s="433"/>
      <c r="T97" s="433"/>
      <c r="U97" s="433"/>
      <c r="V97" s="433"/>
      <c r="W97" s="433"/>
      <c r="X97" s="433"/>
      <c r="Y97" s="433"/>
      <c r="Z97" s="433"/>
      <c r="AA97" s="433"/>
      <c r="AB97" s="433"/>
      <c r="AC97" s="433"/>
      <c r="AD97" s="433"/>
      <c r="AE97" s="433"/>
      <c r="AF97" s="433"/>
      <c r="AG97" s="433"/>
      <c r="AH97" s="433"/>
      <c r="AI97" s="433"/>
      <c r="AJ97" s="433"/>
      <c r="AK97" s="433"/>
      <c r="AL97" s="433"/>
      <c r="AM97" s="433"/>
      <c r="AN97" s="433"/>
      <c r="AO97" s="433"/>
      <c r="AP97" s="433"/>
      <c r="AQ97" s="433"/>
      <c r="AR97" s="433"/>
      <c r="AS97" s="433"/>
      <c r="AT97" s="14"/>
      <c r="AU97" s="14"/>
      <c r="AV97" s="14"/>
      <c r="AW97" s="14"/>
    </row>
    <row r="98" spans="1:49" ht="30" customHeight="1">
      <c r="A98" s="433"/>
      <c r="B98" s="433"/>
      <c r="C98" s="433"/>
      <c r="D98" s="433"/>
      <c r="E98" s="433"/>
      <c r="F98" s="433"/>
      <c r="G98" s="433"/>
      <c r="H98" s="433"/>
      <c r="I98" s="433"/>
      <c r="J98" s="433"/>
      <c r="K98" s="433"/>
      <c r="L98" s="433"/>
      <c r="M98" s="433"/>
      <c r="N98" s="433"/>
      <c r="O98" s="433"/>
      <c r="P98" s="433"/>
      <c r="Q98" s="433"/>
      <c r="R98" s="433"/>
      <c r="S98" s="433"/>
      <c r="T98" s="433"/>
      <c r="U98" s="433"/>
      <c r="V98" s="433"/>
      <c r="W98" s="433"/>
      <c r="X98" s="433"/>
      <c r="Y98" s="433"/>
      <c r="Z98" s="433"/>
      <c r="AA98" s="433"/>
      <c r="AB98" s="433"/>
      <c r="AC98" s="433"/>
      <c r="AD98" s="433"/>
      <c r="AE98" s="433"/>
      <c r="AF98" s="433"/>
      <c r="AG98" s="433"/>
      <c r="AH98" s="433"/>
      <c r="AI98" s="433"/>
      <c r="AJ98" s="433"/>
      <c r="AK98" s="433"/>
      <c r="AL98" s="433"/>
      <c r="AM98" s="433"/>
      <c r="AN98" s="433"/>
      <c r="AO98" s="433"/>
      <c r="AP98" s="433"/>
      <c r="AQ98" s="433"/>
      <c r="AR98" s="433"/>
      <c r="AS98" s="433"/>
      <c r="AT98" s="14"/>
      <c r="AU98" s="14"/>
      <c r="AV98" s="14"/>
      <c r="AW98" s="14"/>
    </row>
    <row r="99" spans="1:49" ht="30" customHeight="1">
      <c r="A99" s="433"/>
      <c r="B99" s="433"/>
      <c r="C99" s="433"/>
      <c r="D99" s="433"/>
      <c r="E99" s="433"/>
      <c r="F99" s="433"/>
      <c r="G99" s="433"/>
      <c r="H99" s="433"/>
      <c r="I99" s="433"/>
      <c r="J99" s="433"/>
      <c r="K99" s="433"/>
      <c r="L99" s="433"/>
      <c r="M99" s="433"/>
      <c r="N99" s="433"/>
      <c r="O99" s="433"/>
      <c r="P99" s="433"/>
      <c r="Q99" s="433"/>
      <c r="R99" s="433"/>
      <c r="S99" s="433"/>
      <c r="T99" s="433"/>
      <c r="U99" s="433"/>
      <c r="V99" s="433"/>
      <c r="W99" s="433"/>
      <c r="X99" s="433"/>
      <c r="Y99" s="433"/>
      <c r="Z99" s="433"/>
      <c r="AA99" s="433"/>
      <c r="AB99" s="433"/>
      <c r="AC99" s="433"/>
      <c r="AD99" s="433"/>
      <c r="AE99" s="433"/>
      <c r="AF99" s="433"/>
      <c r="AG99" s="433"/>
      <c r="AH99" s="433"/>
      <c r="AI99" s="433"/>
      <c r="AJ99" s="433"/>
      <c r="AK99" s="433"/>
      <c r="AL99" s="433"/>
      <c r="AM99" s="433"/>
      <c r="AN99" s="433"/>
      <c r="AO99" s="433"/>
      <c r="AP99" s="433"/>
      <c r="AQ99" s="433"/>
      <c r="AR99" s="433"/>
      <c r="AS99" s="433"/>
      <c r="AT99" s="14"/>
      <c r="AU99" s="14"/>
      <c r="AV99" s="14"/>
      <c r="AW99" s="14"/>
    </row>
    <row r="100" spans="1:49" ht="30" customHeight="1">
      <c r="A100" s="433"/>
      <c r="B100" s="433"/>
      <c r="C100" s="433"/>
      <c r="D100" s="433"/>
      <c r="E100" s="433"/>
      <c r="F100" s="433"/>
      <c r="G100" s="433"/>
      <c r="H100" s="433"/>
      <c r="I100" s="433"/>
      <c r="J100" s="433"/>
      <c r="K100" s="433"/>
      <c r="L100" s="433"/>
      <c r="M100" s="433"/>
      <c r="N100" s="433"/>
      <c r="O100" s="433"/>
      <c r="P100" s="433"/>
      <c r="Q100" s="433"/>
      <c r="R100" s="433"/>
      <c r="S100" s="433"/>
      <c r="T100" s="433"/>
      <c r="U100" s="433"/>
      <c r="V100" s="433"/>
      <c r="W100" s="433"/>
      <c r="X100" s="433"/>
      <c r="Y100" s="433"/>
      <c r="Z100" s="433"/>
      <c r="AA100" s="433"/>
      <c r="AB100" s="433"/>
      <c r="AC100" s="433"/>
      <c r="AD100" s="433"/>
      <c r="AE100" s="433"/>
      <c r="AF100" s="433"/>
      <c r="AG100" s="433"/>
      <c r="AH100" s="433"/>
      <c r="AI100" s="433"/>
      <c r="AJ100" s="433"/>
      <c r="AK100" s="433"/>
      <c r="AL100" s="433"/>
      <c r="AM100" s="433"/>
      <c r="AN100" s="433"/>
      <c r="AO100" s="433"/>
      <c r="AP100" s="433"/>
      <c r="AQ100" s="433"/>
      <c r="AR100" s="433"/>
      <c r="AS100" s="433"/>
      <c r="AT100" s="14"/>
      <c r="AU100" s="14"/>
      <c r="AV100" s="14"/>
      <c r="AW100" s="14"/>
    </row>
    <row r="101" spans="1:49" ht="30" customHeight="1">
      <c r="A101" s="433"/>
      <c r="B101" s="433"/>
      <c r="C101" s="433"/>
      <c r="D101" s="433"/>
      <c r="E101" s="433"/>
      <c r="F101" s="433"/>
      <c r="G101" s="433"/>
      <c r="H101" s="433"/>
      <c r="I101" s="433"/>
      <c r="J101" s="433"/>
      <c r="K101" s="433"/>
      <c r="L101" s="433"/>
      <c r="M101" s="433"/>
      <c r="N101" s="433"/>
      <c r="O101" s="433"/>
      <c r="P101" s="433"/>
      <c r="Q101" s="433"/>
      <c r="R101" s="433"/>
      <c r="S101" s="433"/>
      <c r="T101" s="433"/>
      <c r="U101" s="433"/>
      <c r="V101" s="433"/>
      <c r="W101" s="433"/>
      <c r="X101" s="433"/>
      <c r="Y101" s="433"/>
      <c r="Z101" s="433"/>
      <c r="AA101" s="433"/>
      <c r="AB101" s="433"/>
      <c r="AC101" s="433"/>
      <c r="AD101" s="433"/>
      <c r="AE101" s="433"/>
      <c r="AF101" s="433"/>
      <c r="AG101" s="433"/>
      <c r="AH101" s="433"/>
      <c r="AI101" s="433"/>
      <c r="AJ101" s="433"/>
      <c r="AK101" s="433"/>
      <c r="AL101" s="433"/>
      <c r="AM101" s="433"/>
      <c r="AN101" s="433"/>
      <c r="AO101" s="433"/>
      <c r="AP101" s="433"/>
      <c r="AQ101" s="433"/>
      <c r="AR101" s="433"/>
      <c r="AS101" s="433"/>
      <c r="AT101" s="14"/>
      <c r="AU101" s="14"/>
      <c r="AV101" s="14"/>
      <c r="AW101" s="14"/>
    </row>
    <row r="102" spans="1:49" ht="30" customHeight="1">
      <c r="A102" s="433"/>
      <c r="B102" s="433"/>
      <c r="C102" s="433"/>
      <c r="D102" s="433"/>
      <c r="E102" s="433"/>
      <c r="F102" s="433"/>
      <c r="G102" s="433"/>
      <c r="H102" s="433"/>
      <c r="I102" s="433"/>
      <c r="J102" s="433"/>
      <c r="K102" s="433"/>
      <c r="L102" s="433"/>
      <c r="M102" s="433"/>
      <c r="N102" s="433"/>
      <c r="O102" s="433"/>
      <c r="P102" s="433"/>
      <c r="Q102" s="433"/>
      <c r="R102" s="433"/>
      <c r="S102" s="433"/>
      <c r="T102" s="433"/>
      <c r="U102" s="433"/>
      <c r="V102" s="433"/>
      <c r="W102" s="433"/>
      <c r="X102" s="433"/>
      <c r="Y102" s="433"/>
      <c r="Z102" s="433"/>
      <c r="AA102" s="433"/>
      <c r="AB102" s="433"/>
      <c r="AC102" s="433"/>
      <c r="AD102" s="433"/>
      <c r="AE102" s="433"/>
      <c r="AF102" s="433"/>
      <c r="AG102" s="433"/>
      <c r="AH102" s="433"/>
      <c r="AI102" s="433"/>
      <c r="AJ102" s="433"/>
      <c r="AK102" s="433"/>
      <c r="AL102" s="433"/>
      <c r="AM102" s="433"/>
      <c r="AN102" s="433"/>
      <c r="AO102" s="433"/>
      <c r="AP102" s="433"/>
      <c r="AQ102" s="433"/>
      <c r="AR102" s="433"/>
      <c r="AS102" s="433"/>
      <c r="AT102" s="14"/>
      <c r="AU102" s="14"/>
      <c r="AV102" s="14"/>
      <c r="AW102" s="14"/>
    </row>
    <row r="103" spans="1:49" ht="30" customHeight="1">
      <c r="A103" s="433"/>
      <c r="B103" s="433"/>
      <c r="C103" s="433"/>
      <c r="D103" s="433"/>
      <c r="E103" s="433"/>
      <c r="F103" s="433"/>
      <c r="G103" s="433"/>
      <c r="H103" s="433"/>
      <c r="I103" s="433"/>
      <c r="J103" s="433"/>
      <c r="K103" s="433"/>
      <c r="L103" s="433"/>
      <c r="M103" s="433"/>
      <c r="N103" s="433"/>
      <c r="O103" s="433"/>
      <c r="P103" s="433"/>
      <c r="Q103" s="433"/>
      <c r="R103" s="433"/>
      <c r="S103" s="433"/>
      <c r="T103" s="433"/>
      <c r="U103" s="433"/>
      <c r="V103" s="433"/>
      <c r="W103" s="433"/>
      <c r="X103" s="433"/>
      <c r="Y103" s="433"/>
      <c r="Z103" s="433"/>
      <c r="AA103" s="433"/>
      <c r="AB103" s="433"/>
      <c r="AC103" s="433"/>
      <c r="AD103" s="433"/>
      <c r="AE103" s="433"/>
      <c r="AF103" s="433"/>
      <c r="AG103" s="433"/>
      <c r="AH103" s="433"/>
      <c r="AI103" s="433"/>
      <c r="AJ103" s="433"/>
      <c r="AK103" s="433"/>
      <c r="AL103" s="433"/>
      <c r="AM103" s="433"/>
      <c r="AN103" s="433"/>
      <c r="AO103" s="433"/>
      <c r="AP103" s="433"/>
      <c r="AQ103" s="433"/>
      <c r="AR103" s="433"/>
      <c r="AS103" s="433"/>
      <c r="AT103" s="14"/>
      <c r="AU103" s="14"/>
      <c r="AV103" s="14"/>
      <c r="AW103" s="14"/>
    </row>
    <row r="104" spans="1:49" ht="30" customHeight="1">
      <c r="A104" s="433"/>
      <c r="B104" s="433"/>
      <c r="C104" s="433"/>
      <c r="D104" s="433"/>
      <c r="E104" s="433"/>
      <c r="F104" s="433"/>
      <c r="G104" s="433"/>
      <c r="H104" s="433"/>
      <c r="I104" s="433"/>
      <c r="J104" s="433"/>
      <c r="K104" s="433"/>
      <c r="L104" s="433"/>
      <c r="M104" s="433"/>
      <c r="N104" s="433"/>
      <c r="O104" s="433"/>
      <c r="P104" s="433"/>
      <c r="Q104" s="433"/>
      <c r="R104" s="433"/>
      <c r="S104" s="433"/>
      <c r="T104" s="433"/>
      <c r="U104" s="433"/>
      <c r="V104" s="433"/>
      <c r="W104" s="433"/>
      <c r="X104" s="433"/>
      <c r="Y104" s="433"/>
      <c r="Z104" s="433"/>
      <c r="AA104" s="433"/>
      <c r="AB104" s="433"/>
      <c r="AC104" s="433"/>
      <c r="AD104" s="433"/>
      <c r="AE104" s="433"/>
      <c r="AF104" s="433"/>
      <c r="AG104" s="433"/>
      <c r="AH104" s="433"/>
      <c r="AI104" s="433"/>
      <c r="AJ104" s="433"/>
      <c r="AK104" s="433"/>
      <c r="AL104" s="433"/>
      <c r="AM104" s="433"/>
      <c r="AN104" s="433"/>
      <c r="AO104" s="433"/>
      <c r="AP104" s="433"/>
      <c r="AQ104" s="433"/>
      <c r="AR104" s="433"/>
      <c r="AS104" s="433"/>
      <c r="AT104" s="14"/>
      <c r="AU104" s="14"/>
      <c r="AV104" s="14"/>
      <c r="AW104" s="14"/>
    </row>
    <row r="105" spans="1:49" ht="30" customHeight="1">
      <c r="A105" s="433"/>
      <c r="B105" s="433"/>
      <c r="C105" s="433"/>
      <c r="D105" s="433"/>
      <c r="E105" s="433"/>
      <c r="F105" s="433"/>
      <c r="G105" s="433"/>
      <c r="H105" s="433"/>
      <c r="I105" s="433"/>
      <c r="J105" s="433"/>
      <c r="K105" s="433"/>
      <c r="L105" s="433"/>
      <c r="M105" s="433"/>
      <c r="N105" s="433"/>
      <c r="O105" s="433"/>
      <c r="P105" s="433"/>
      <c r="Q105" s="433"/>
      <c r="R105" s="433"/>
      <c r="S105" s="433"/>
      <c r="T105" s="433"/>
      <c r="U105" s="433"/>
      <c r="V105" s="433"/>
      <c r="W105" s="433"/>
      <c r="X105" s="433"/>
      <c r="Y105" s="433"/>
      <c r="Z105" s="433"/>
      <c r="AA105" s="433"/>
      <c r="AB105" s="433"/>
      <c r="AC105" s="433"/>
      <c r="AD105" s="433"/>
      <c r="AE105" s="433"/>
      <c r="AF105" s="433"/>
      <c r="AG105" s="433"/>
      <c r="AH105" s="433"/>
      <c r="AI105" s="433"/>
      <c r="AJ105" s="433"/>
      <c r="AK105" s="433"/>
      <c r="AL105" s="433"/>
      <c r="AM105" s="433"/>
      <c r="AN105" s="433"/>
      <c r="AO105" s="433"/>
      <c r="AP105" s="433"/>
      <c r="AQ105" s="433"/>
      <c r="AR105" s="433"/>
      <c r="AS105" s="433"/>
      <c r="AT105" s="14"/>
      <c r="AU105" s="14"/>
      <c r="AV105" s="14"/>
      <c r="AW105" s="14"/>
    </row>
    <row r="106" spans="1:49" ht="30" customHeight="1">
      <c r="A106" s="433"/>
      <c r="B106" s="433"/>
      <c r="C106" s="433"/>
      <c r="D106" s="433"/>
      <c r="E106" s="433"/>
      <c r="F106" s="433"/>
      <c r="G106" s="433"/>
      <c r="H106" s="433"/>
      <c r="I106" s="433"/>
      <c r="J106" s="433"/>
      <c r="K106" s="433"/>
      <c r="L106" s="433"/>
      <c r="M106" s="433"/>
      <c r="N106" s="433"/>
      <c r="O106" s="433"/>
      <c r="P106" s="433"/>
      <c r="Q106" s="433"/>
      <c r="R106" s="433"/>
      <c r="S106" s="433"/>
      <c r="T106" s="433"/>
      <c r="U106" s="433"/>
      <c r="V106" s="433"/>
      <c r="W106" s="433"/>
      <c r="X106" s="433"/>
      <c r="Y106" s="433"/>
      <c r="Z106" s="433"/>
      <c r="AA106" s="433"/>
      <c r="AB106" s="433"/>
      <c r="AC106" s="433"/>
      <c r="AD106" s="433"/>
      <c r="AE106" s="433"/>
      <c r="AF106" s="433"/>
      <c r="AG106" s="433"/>
      <c r="AH106" s="433"/>
      <c r="AI106" s="433"/>
      <c r="AJ106" s="433"/>
      <c r="AK106" s="433"/>
      <c r="AL106" s="433"/>
      <c r="AM106" s="433"/>
      <c r="AN106" s="433"/>
      <c r="AO106" s="433"/>
      <c r="AP106" s="433"/>
      <c r="AQ106" s="433"/>
      <c r="AR106" s="433"/>
      <c r="AS106" s="433"/>
      <c r="AT106" s="14"/>
      <c r="AU106" s="14"/>
      <c r="AV106" s="14"/>
      <c r="AW106" s="14"/>
    </row>
    <row r="107" spans="1:49" ht="30" customHeight="1">
      <c r="A107" s="433"/>
      <c r="B107" s="433"/>
      <c r="C107" s="433"/>
      <c r="D107" s="433"/>
      <c r="E107" s="433"/>
      <c r="F107" s="433"/>
      <c r="G107" s="433"/>
      <c r="H107" s="433"/>
      <c r="I107" s="433"/>
      <c r="J107" s="433"/>
      <c r="K107" s="433"/>
      <c r="L107" s="433"/>
      <c r="M107" s="433"/>
      <c r="N107" s="433"/>
      <c r="O107" s="433"/>
      <c r="P107" s="433"/>
      <c r="Q107" s="433"/>
      <c r="R107" s="433"/>
      <c r="S107" s="433"/>
      <c r="T107" s="433"/>
      <c r="U107" s="433"/>
      <c r="V107" s="433"/>
      <c r="W107" s="433"/>
      <c r="X107" s="433"/>
      <c r="Y107" s="433"/>
      <c r="Z107" s="433"/>
      <c r="AA107" s="433"/>
      <c r="AB107" s="433"/>
      <c r="AC107" s="433"/>
      <c r="AD107" s="433"/>
      <c r="AE107" s="433"/>
      <c r="AF107" s="433"/>
      <c r="AG107" s="433"/>
      <c r="AH107" s="433"/>
      <c r="AI107" s="433"/>
      <c r="AJ107" s="433"/>
      <c r="AK107" s="433"/>
      <c r="AL107" s="433"/>
      <c r="AM107" s="433"/>
      <c r="AN107" s="433"/>
      <c r="AO107" s="433"/>
      <c r="AP107" s="433"/>
      <c r="AQ107" s="433"/>
      <c r="AR107" s="433"/>
      <c r="AS107" s="433"/>
      <c r="AT107" s="14"/>
      <c r="AU107" s="14"/>
      <c r="AV107" s="14"/>
      <c r="AW107" s="14"/>
    </row>
    <row r="108" spans="1:49" ht="30" customHeight="1">
      <c r="A108" s="433"/>
      <c r="B108" s="433"/>
      <c r="C108" s="433"/>
      <c r="D108" s="433"/>
      <c r="E108" s="433"/>
      <c r="F108" s="433"/>
      <c r="G108" s="433"/>
      <c r="H108" s="433"/>
      <c r="I108" s="433"/>
      <c r="J108" s="433"/>
      <c r="K108" s="433"/>
      <c r="L108" s="433"/>
      <c r="M108" s="433"/>
      <c r="N108" s="433"/>
      <c r="O108" s="433"/>
      <c r="P108" s="433"/>
      <c r="Q108" s="433"/>
      <c r="R108" s="433"/>
      <c r="S108" s="433"/>
      <c r="T108" s="433"/>
      <c r="U108" s="433"/>
      <c r="V108" s="433"/>
      <c r="W108" s="433"/>
      <c r="X108" s="433"/>
      <c r="Y108" s="433"/>
      <c r="Z108" s="433"/>
      <c r="AA108" s="433"/>
      <c r="AB108" s="433"/>
      <c r="AC108" s="433"/>
      <c r="AD108" s="433"/>
      <c r="AE108" s="433"/>
      <c r="AF108" s="433"/>
      <c r="AG108" s="433"/>
      <c r="AH108" s="433"/>
      <c r="AI108" s="433"/>
      <c r="AJ108" s="433"/>
      <c r="AK108" s="433"/>
      <c r="AL108" s="433"/>
      <c r="AM108" s="433"/>
      <c r="AN108" s="433"/>
      <c r="AO108" s="433"/>
      <c r="AP108" s="433"/>
      <c r="AQ108" s="433"/>
      <c r="AR108" s="433"/>
      <c r="AS108" s="433"/>
      <c r="AT108" s="14"/>
      <c r="AU108" s="14"/>
      <c r="AV108" s="14"/>
      <c r="AW108" s="14"/>
    </row>
    <row r="109" spans="1:49" ht="30" customHeight="1">
      <c r="A109" s="433"/>
      <c r="B109" s="433"/>
      <c r="C109" s="433"/>
      <c r="D109" s="433"/>
      <c r="E109" s="433"/>
      <c r="F109" s="433"/>
      <c r="G109" s="433"/>
      <c r="H109" s="433"/>
      <c r="I109" s="433"/>
      <c r="J109" s="433"/>
      <c r="K109" s="433"/>
      <c r="L109" s="433"/>
      <c r="M109" s="433"/>
      <c r="N109" s="433"/>
      <c r="O109" s="433"/>
      <c r="P109" s="433"/>
      <c r="Q109" s="433"/>
      <c r="R109" s="433"/>
      <c r="S109" s="433"/>
      <c r="T109" s="433"/>
      <c r="U109" s="433"/>
      <c r="V109" s="433"/>
      <c r="W109" s="433"/>
      <c r="X109" s="433"/>
      <c r="Y109" s="433"/>
      <c r="Z109" s="433"/>
      <c r="AA109" s="433"/>
      <c r="AB109" s="433"/>
      <c r="AC109" s="433"/>
      <c r="AD109" s="433"/>
      <c r="AE109" s="433"/>
      <c r="AF109" s="433"/>
      <c r="AG109" s="433"/>
      <c r="AH109" s="433"/>
      <c r="AI109" s="433"/>
      <c r="AJ109" s="433"/>
      <c r="AK109" s="433"/>
      <c r="AL109" s="433"/>
      <c r="AM109" s="433"/>
      <c r="AN109" s="433"/>
      <c r="AO109" s="433"/>
      <c r="AP109" s="433"/>
      <c r="AQ109" s="433"/>
      <c r="AR109" s="433"/>
      <c r="AS109" s="433"/>
      <c r="AT109" s="14"/>
      <c r="AU109" s="14"/>
      <c r="AV109" s="14"/>
      <c r="AW109" s="14"/>
    </row>
    <row r="110" spans="1:49" ht="30" customHeight="1">
      <c r="A110" s="433"/>
      <c r="B110" s="433"/>
      <c r="C110" s="433"/>
      <c r="D110" s="433"/>
      <c r="E110" s="433"/>
      <c r="F110" s="433"/>
      <c r="G110" s="433"/>
      <c r="H110" s="433"/>
      <c r="I110" s="433"/>
      <c r="J110" s="433"/>
      <c r="K110" s="433"/>
      <c r="L110" s="433"/>
      <c r="M110" s="433"/>
      <c r="N110" s="433"/>
      <c r="O110" s="433"/>
      <c r="P110" s="433"/>
      <c r="Q110" s="433"/>
      <c r="R110" s="433"/>
      <c r="S110" s="433"/>
      <c r="T110" s="433"/>
      <c r="U110" s="433"/>
      <c r="V110" s="433"/>
      <c r="W110" s="433"/>
      <c r="X110" s="433"/>
      <c r="Y110" s="433"/>
      <c r="Z110" s="433"/>
      <c r="AA110" s="433"/>
      <c r="AB110" s="433"/>
      <c r="AC110" s="433"/>
      <c r="AD110" s="433"/>
      <c r="AE110" s="433"/>
      <c r="AF110" s="433"/>
      <c r="AG110" s="433"/>
      <c r="AH110" s="433"/>
      <c r="AI110" s="433"/>
      <c r="AJ110" s="433"/>
      <c r="AK110" s="433"/>
      <c r="AL110" s="433"/>
      <c r="AM110" s="433"/>
      <c r="AN110" s="433"/>
      <c r="AO110" s="433"/>
      <c r="AP110" s="433"/>
      <c r="AQ110" s="433"/>
      <c r="AR110" s="433"/>
      <c r="AS110" s="433"/>
      <c r="AT110" s="14"/>
      <c r="AU110" s="14"/>
      <c r="AV110" s="14"/>
      <c r="AW110" s="14"/>
    </row>
    <row r="111" spans="1:49" ht="30" customHeight="1">
      <c r="A111" s="433"/>
      <c r="B111" s="433"/>
      <c r="C111" s="433"/>
      <c r="D111" s="433"/>
      <c r="E111" s="433"/>
      <c r="F111" s="433"/>
      <c r="G111" s="433"/>
      <c r="H111" s="433"/>
      <c r="I111" s="433"/>
      <c r="J111" s="433"/>
      <c r="K111" s="433"/>
      <c r="L111" s="433"/>
      <c r="M111" s="433"/>
      <c r="N111" s="433"/>
      <c r="O111" s="433"/>
      <c r="P111" s="433"/>
      <c r="Q111" s="433"/>
      <c r="R111" s="433"/>
      <c r="S111" s="433"/>
      <c r="T111" s="433"/>
      <c r="U111" s="433"/>
      <c r="V111" s="433"/>
      <c r="W111" s="433"/>
      <c r="X111" s="433"/>
      <c r="Y111" s="433"/>
      <c r="Z111" s="433"/>
      <c r="AA111" s="433"/>
      <c r="AB111" s="433"/>
      <c r="AC111" s="433"/>
      <c r="AD111" s="433"/>
      <c r="AE111" s="433"/>
      <c r="AF111" s="433"/>
      <c r="AG111" s="433"/>
      <c r="AH111" s="433"/>
      <c r="AI111" s="433"/>
      <c r="AJ111" s="433"/>
      <c r="AK111" s="433"/>
      <c r="AL111" s="433"/>
      <c r="AM111" s="433"/>
      <c r="AN111" s="433"/>
      <c r="AO111" s="433"/>
      <c r="AP111" s="433"/>
      <c r="AQ111" s="433"/>
      <c r="AR111" s="433"/>
      <c r="AS111" s="433"/>
      <c r="AT111" s="14"/>
      <c r="AU111" s="14"/>
      <c r="AV111" s="14"/>
      <c r="AW111" s="14"/>
    </row>
    <row r="112" spans="1:49" ht="30" customHeight="1">
      <c r="A112" s="433"/>
      <c r="B112" s="433"/>
      <c r="C112" s="433"/>
      <c r="D112" s="433"/>
      <c r="E112" s="433"/>
      <c r="F112" s="433"/>
      <c r="G112" s="433"/>
      <c r="H112" s="433"/>
      <c r="I112" s="433"/>
      <c r="J112" s="433"/>
      <c r="K112" s="433"/>
      <c r="L112" s="433"/>
      <c r="M112" s="433"/>
      <c r="N112" s="433"/>
      <c r="O112" s="433"/>
      <c r="P112" s="433"/>
      <c r="Q112" s="433"/>
      <c r="R112" s="433"/>
      <c r="S112" s="433"/>
      <c r="T112" s="433"/>
      <c r="U112" s="433"/>
      <c r="V112" s="433"/>
      <c r="W112" s="433"/>
      <c r="X112" s="433"/>
      <c r="Y112" s="433"/>
      <c r="Z112" s="433"/>
      <c r="AA112" s="433"/>
      <c r="AB112" s="433"/>
      <c r="AC112" s="433"/>
      <c r="AD112" s="433"/>
      <c r="AE112" s="433"/>
      <c r="AF112" s="433"/>
      <c r="AG112" s="433"/>
      <c r="AH112" s="433"/>
      <c r="AI112" s="433"/>
      <c r="AJ112" s="433"/>
      <c r="AK112" s="433"/>
      <c r="AL112" s="433"/>
      <c r="AM112" s="433"/>
      <c r="AN112" s="433"/>
      <c r="AO112" s="433"/>
      <c r="AP112" s="433"/>
      <c r="AQ112" s="433"/>
      <c r="AR112" s="433"/>
      <c r="AS112" s="433"/>
    </row>
    <row r="113" spans="1:45" ht="30" customHeight="1">
      <c r="A113" s="433"/>
      <c r="B113" s="433"/>
      <c r="C113" s="433"/>
      <c r="D113" s="433"/>
      <c r="E113" s="433"/>
      <c r="F113" s="433"/>
      <c r="G113" s="433"/>
      <c r="H113" s="433"/>
      <c r="I113" s="433"/>
      <c r="J113" s="433"/>
      <c r="K113" s="433"/>
      <c r="L113" s="433"/>
      <c r="M113" s="433"/>
      <c r="N113" s="433"/>
      <c r="O113" s="433"/>
      <c r="P113" s="433"/>
      <c r="Q113" s="433"/>
      <c r="R113" s="433"/>
      <c r="S113" s="433"/>
      <c r="T113" s="433"/>
      <c r="U113" s="433"/>
      <c r="V113" s="433"/>
      <c r="W113" s="433"/>
      <c r="X113" s="433"/>
      <c r="Y113" s="433"/>
      <c r="Z113" s="433"/>
      <c r="AA113" s="433"/>
      <c r="AB113" s="433"/>
      <c r="AC113" s="433"/>
      <c r="AD113" s="433"/>
      <c r="AE113" s="433"/>
      <c r="AF113" s="433"/>
      <c r="AG113" s="433"/>
      <c r="AH113" s="433"/>
      <c r="AI113" s="433"/>
      <c r="AJ113" s="433"/>
      <c r="AK113" s="433"/>
      <c r="AL113" s="433"/>
      <c r="AM113" s="433"/>
      <c r="AN113" s="433"/>
      <c r="AO113" s="433"/>
      <c r="AP113" s="433"/>
      <c r="AQ113" s="433"/>
      <c r="AR113" s="433"/>
      <c r="AS113" s="433"/>
    </row>
    <row r="114" spans="1:45" ht="30" customHeight="1">
      <c r="A114" s="433"/>
      <c r="B114" s="433"/>
      <c r="C114" s="433"/>
      <c r="D114" s="433"/>
      <c r="E114" s="433"/>
      <c r="F114" s="433"/>
      <c r="G114" s="433"/>
      <c r="H114" s="433"/>
      <c r="I114" s="433"/>
      <c r="J114" s="433"/>
      <c r="K114" s="433"/>
      <c r="L114" s="433"/>
      <c r="M114" s="433"/>
      <c r="N114" s="433"/>
      <c r="O114" s="433"/>
      <c r="P114" s="433"/>
      <c r="Q114" s="433"/>
      <c r="R114" s="433"/>
      <c r="S114" s="433"/>
      <c r="T114" s="433"/>
      <c r="U114" s="433"/>
      <c r="V114" s="433"/>
      <c r="W114" s="433"/>
      <c r="X114" s="433"/>
      <c r="Y114" s="433"/>
      <c r="Z114" s="433"/>
      <c r="AA114" s="433"/>
      <c r="AB114" s="433"/>
      <c r="AC114" s="433"/>
      <c r="AD114" s="433"/>
      <c r="AE114" s="433"/>
      <c r="AF114" s="433"/>
      <c r="AG114" s="433"/>
      <c r="AH114" s="433"/>
      <c r="AI114" s="433"/>
      <c r="AJ114" s="433"/>
      <c r="AK114" s="433"/>
      <c r="AL114" s="433"/>
      <c r="AM114" s="433"/>
      <c r="AN114" s="433"/>
      <c r="AO114" s="433"/>
      <c r="AP114" s="433"/>
      <c r="AQ114" s="433"/>
      <c r="AR114" s="433"/>
      <c r="AS114" s="433"/>
    </row>
    <row r="115" spans="1:45" ht="30" customHeight="1">
      <c r="A115" s="433"/>
      <c r="B115" s="433"/>
      <c r="C115" s="433"/>
      <c r="D115" s="433"/>
      <c r="E115" s="433"/>
      <c r="F115" s="433"/>
      <c r="G115" s="433"/>
      <c r="H115" s="433"/>
      <c r="I115" s="433"/>
      <c r="J115" s="433"/>
      <c r="K115" s="433"/>
      <c r="L115" s="433"/>
      <c r="M115" s="433"/>
      <c r="N115" s="433"/>
      <c r="O115" s="433"/>
      <c r="P115" s="433"/>
      <c r="Q115" s="433"/>
      <c r="R115" s="433"/>
      <c r="S115" s="433"/>
      <c r="T115" s="433"/>
      <c r="U115" s="433"/>
      <c r="V115" s="433"/>
      <c r="W115" s="433"/>
      <c r="X115" s="433"/>
      <c r="Y115" s="433"/>
      <c r="Z115" s="433"/>
      <c r="AA115" s="433"/>
      <c r="AB115" s="433"/>
      <c r="AC115" s="433"/>
      <c r="AD115" s="433"/>
      <c r="AE115" s="433"/>
      <c r="AF115" s="433"/>
      <c r="AG115" s="433"/>
      <c r="AH115" s="433"/>
      <c r="AI115" s="433"/>
      <c r="AJ115" s="433"/>
      <c r="AK115" s="433"/>
      <c r="AL115" s="433"/>
      <c r="AM115" s="433"/>
      <c r="AN115" s="433"/>
      <c r="AO115" s="433"/>
      <c r="AP115" s="433"/>
      <c r="AQ115" s="433"/>
      <c r="AR115" s="433"/>
      <c r="AS115" s="433"/>
    </row>
    <row r="116" spans="1:45" ht="30" customHeight="1">
      <c r="A116" s="433"/>
      <c r="B116" s="433"/>
      <c r="C116" s="433"/>
      <c r="D116" s="433"/>
      <c r="E116" s="433"/>
      <c r="F116" s="433"/>
      <c r="G116" s="433"/>
      <c r="H116" s="433"/>
      <c r="I116" s="433"/>
      <c r="J116" s="433"/>
      <c r="K116" s="433"/>
      <c r="L116" s="433"/>
      <c r="M116" s="433"/>
      <c r="N116" s="433"/>
      <c r="O116" s="433"/>
      <c r="P116" s="433"/>
      <c r="Q116" s="433"/>
      <c r="R116" s="433"/>
      <c r="S116" s="433"/>
      <c r="T116" s="433"/>
      <c r="U116" s="433"/>
      <c r="V116" s="433"/>
      <c r="W116" s="433"/>
      <c r="X116" s="433"/>
      <c r="Y116" s="433"/>
      <c r="Z116" s="433"/>
      <c r="AA116" s="433"/>
      <c r="AB116" s="433"/>
      <c r="AC116" s="433"/>
      <c r="AD116" s="433"/>
      <c r="AE116" s="433"/>
      <c r="AF116" s="433"/>
      <c r="AG116" s="433"/>
      <c r="AH116" s="433"/>
      <c r="AI116" s="433"/>
      <c r="AJ116" s="433"/>
      <c r="AK116" s="433"/>
      <c r="AL116" s="433"/>
      <c r="AM116" s="433"/>
      <c r="AN116" s="433"/>
      <c r="AO116" s="433"/>
      <c r="AP116" s="433"/>
      <c r="AQ116" s="433"/>
      <c r="AR116" s="433"/>
      <c r="AS116" s="433"/>
    </row>
    <row r="117" spans="1:45" ht="30" customHeight="1">
      <c r="A117" s="433"/>
      <c r="B117" s="433"/>
      <c r="C117" s="433"/>
      <c r="D117" s="433"/>
      <c r="E117" s="433"/>
      <c r="F117" s="433"/>
      <c r="G117" s="433"/>
      <c r="H117" s="433"/>
      <c r="I117" s="433"/>
      <c r="J117" s="433"/>
      <c r="K117" s="433"/>
      <c r="L117" s="433"/>
      <c r="M117" s="433"/>
      <c r="N117" s="433"/>
      <c r="O117" s="433"/>
      <c r="P117" s="433"/>
      <c r="Q117" s="433"/>
      <c r="R117" s="433"/>
      <c r="S117" s="433"/>
      <c r="T117" s="433"/>
      <c r="U117" s="433"/>
      <c r="V117" s="433"/>
      <c r="W117" s="433"/>
      <c r="X117" s="433"/>
      <c r="Y117" s="433"/>
      <c r="Z117" s="433"/>
      <c r="AA117" s="433"/>
      <c r="AB117" s="433"/>
      <c r="AC117" s="433"/>
      <c r="AD117" s="433"/>
      <c r="AE117" s="433"/>
      <c r="AF117" s="433"/>
      <c r="AG117" s="433"/>
      <c r="AH117" s="433"/>
      <c r="AI117" s="433"/>
      <c r="AJ117" s="433"/>
      <c r="AK117" s="433"/>
      <c r="AL117" s="433"/>
      <c r="AM117" s="433"/>
      <c r="AN117" s="433"/>
      <c r="AO117" s="433"/>
      <c r="AP117" s="433"/>
      <c r="AQ117" s="433"/>
      <c r="AR117" s="433"/>
      <c r="AS117" s="433"/>
    </row>
    <row r="118" spans="1:45" ht="30" customHeight="1">
      <c r="A118" s="433"/>
      <c r="B118" s="433"/>
      <c r="C118" s="433"/>
      <c r="D118" s="433"/>
      <c r="E118" s="433"/>
      <c r="F118" s="433"/>
      <c r="G118" s="433"/>
      <c r="H118" s="433"/>
      <c r="I118" s="433"/>
      <c r="J118" s="433"/>
      <c r="K118" s="433"/>
      <c r="L118" s="433"/>
      <c r="M118" s="433"/>
      <c r="N118" s="433"/>
      <c r="O118" s="433"/>
      <c r="P118" s="433"/>
      <c r="Q118" s="433"/>
      <c r="R118" s="433"/>
      <c r="S118" s="433"/>
      <c r="T118" s="433"/>
      <c r="U118" s="433"/>
      <c r="V118" s="433"/>
      <c r="W118" s="433"/>
      <c r="X118" s="433"/>
      <c r="Y118" s="433"/>
      <c r="Z118" s="433"/>
      <c r="AA118" s="433"/>
      <c r="AB118" s="433"/>
      <c r="AC118" s="433"/>
      <c r="AD118" s="433"/>
      <c r="AE118" s="433"/>
      <c r="AF118" s="433"/>
      <c r="AG118" s="433"/>
      <c r="AH118" s="433"/>
      <c r="AI118" s="433"/>
      <c r="AJ118" s="433"/>
      <c r="AK118" s="433"/>
      <c r="AL118" s="433"/>
      <c r="AM118" s="433"/>
      <c r="AN118" s="433"/>
      <c r="AO118" s="433"/>
      <c r="AP118" s="433"/>
      <c r="AQ118" s="433"/>
      <c r="AR118" s="433"/>
      <c r="AS118" s="433"/>
    </row>
    <row r="119" spans="1:45" ht="30" customHeight="1">
      <c r="A119" s="433"/>
      <c r="B119" s="433"/>
      <c r="C119" s="433"/>
      <c r="D119" s="433"/>
      <c r="E119" s="433"/>
      <c r="F119" s="433"/>
      <c r="G119" s="433"/>
      <c r="H119" s="433"/>
      <c r="I119" s="433"/>
      <c r="J119" s="433"/>
      <c r="K119" s="433"/>
      <c r="L119" s="433"/>
      <c r="M119" s="433"/>
      <c r="N119" s="433"/>
      <c r="O119" s="433"/>
      <c r="P119" s="433"/>
      <c r="Q119" s="433"/>
      <c r="R119" s="433"/>
      <c r="S119" s="433"/>
      <c r="T119" s="433"/>
      <c r="U119" s="433"/>
      <c r="V119" s="433"/>
      <c r="W119" s="433"/>
      <c r="X119" s="433"/>
      <c r="Y119" s="433"/>
      <c r="Z119" s="433"/>
      <c r="AA119" s="433"/>
      <c r="AB119" s="433"/>
      <c r="AC119" s="433"/>
      <c r="AD119" s="433"/>
      <c r="AE119" s="433"/>
      <c r="AF119" s="433"/>
      <c r="AG119" s="433"/>
      <c r="AH119" s="433"/>
      <c r="AI119" s="433"/>
      <c r="AJ119" s="433"/>
      <c r="AK119" s="433"/>
      <c r="AL119" s="433"/>
      <c r="AM119" s="433"/>
      <c r="AN119" s="433"/>
      <c r="AO119" s="433"/>
      <c r="AP119" s="433"/>
      <c r="AQ119" s="433"/>
      <c r="AR119" s="433"/>
      <c r="AS119" s="433"/>
    </row>
    <row r="120" spans="1:45" ht="30" customHeight="1">
      <c r="A120" s="433"/>
      <c r="B120" s="433"/>
      <c r="C120" s="433"/>
      <c r="D120" s="433"/>
      <c r="E120" s="433"/>
      <c r="F120" s="433"/>
      <c r="G120" s="433"/>
      <c r="H120" s="433"/>
      <c r="I120" s="433"/>
      <c r="J120" s="433"/>
      <c r="K120" s="433"/>
      <c r="L120" s="433"/>
      <c r="M120" s="433"/>
      <c r="N120" s="433"/>
      <c r="O120" s="433"/>
      <c r="P120" s="433"/>
      <c r="Q120" s="433"/>
      <c r="R120" s="433"/>
      <c r="S120" s="433"/>
      <c r="T120" s="433"/>
      <c r="U120" s="433"/>
      <c r="V120" s="433"/>
      <c r="W120" s="433"/>
      <c r="X120" s="433"/>
      <c r="Y120" s="433"/>
      <c r="Z120" s="433"/>
      <c r="AA120" s="433"/>
      <c r="AB120" s="433"/>
      <c r="AC120" s="433"/>
      <c r="AD120" s="433"/>
      <c r="AE120" s="433"/>
      <c r="AF120" s="433"/>
      <c r="AG120" s="433"/>
      <c r="AH120" s="433"/>
      <c r="AI120" s="433"/>
      <c r="AJ120" s="433"/>
      <c r="AK120" s="433"/>
      <c r="AL120" s="433"/>
      <c r="AM120" s="433"/>
      <c r="AN120" s="433"/>
      <c r="AO120" s="433"/>
      <c r="AP120" s="433"/>
      <c r="AQ120" s="433"/>
      <c r="AR120" s="433"/>
      <c r="AS120" s="433"/>
    </row>
    <row r="121" spans="1:45" ht="30" customHeight="1">
      <c r="A121" s="433"/>
      <c r="B121" s="433"/>
      <c r="C121" s="433"/>
      <c r="D121" s="433"/>
      <c r="E121" s="433"/>
      <c r="F121" s="433"/>
      <c r="G121" s="433"/>
      <c r="H121" s="433"/>
      <c r="I121" s="433"/>
      <c r="J121" s="433"/>
      <c r="K121" s="433"/>
      <c r="L121" s="433"/>
      <c r="M121" s="433"/>
      <c r="N121" s="433"/>
      <c r="O121" s="433"/>
      <c r="P121" s="433"/>
      <c r="Q121" s="433"/>
      <c r="R121" s="433"/>
      <c r="S121" s="433"/>
      <c r="T121" s="433"/>
      <c r="U121" s="433"/>
      <c r="V121" s="433"/>
      <c r="W121" s="433"/>
      <c r="X121" s="433"/>
      <c r="Y121" s="433"/>
      <c r="Z121" s="433"/>
      <c r="AA121" s="433"/>
      <c r="AB121" s="433"/>
      <c r="AC121" s="433"/>
      <c r="AD121" s="433"/>
      <c r="AE121" s="433"/>
      <c r="AF121" s="433"/>
      <c r="AG121" s="433"/>
      <c r="AH121" s="433"/>
      <c r="AI121" s="433"/>
      <c r="AJ121" s="433"/>
      <c r="AK121" s="433"/>
      <c r="AL121" s="433"/>
      <c r="AM121" s="433"/>
      <c r="AN121" s="433"/>
      <c r="AO121" s="433"/>
      <c r="AP121" s="433"/>
      <c r="AQ121" s="433"/>
      <c r="AR121" s="433"/>
      <c r="AS121" s="433"/>
    </row>
    <row r="122" spans="1:45" ht="30" customHeight="1">
      <c r="A122" s="433"/>
      <c r="B122" s="433"/>
      <c r="C122" s="433"/>
      <c r="D122" s="433"/>
      <c r="E122" s="433"/>
      <c r="F122" s="433"/>
      <c r="G122" s="433"/>
      <c r="H122" s="433"/>
      <c r="I122" s="433"/>
      <c r="J122" s="433"/>
      <c r="K122" s="433"/>
      <c r="L122" s="433"/>
      <c r="M122" s="433"/>
      <c r="N122" s="433"/>
      <c r="O122" s="433"/>
      <c r="P122" s="433"/>
      <c r="Q122" s="433"/>
      <c r="R122" s="433"/>
      <c r="S122" s="433"/>
      <c r="T122" s="433"/>
      <c r="U122" s="433"/>
      <c r="V122" s="433"/>
      <c r="W122" s="433"/>
      <c r="X122" s="433"/>
      <c r="Y122" s="433"/>
      <c r="Z122" s="433"/>
      <c r="AA122" s="433"/>
      <c r="AB122" s="433"/>
      <c r="AC122" s="433"/>
      <c r="AD122" s="433"/>
      <c r="AE122" s="433"/>
      <c r="AF122" s="433"/>
      <c r="AG122" s="433"/>
      <c r="AH122" s="433"/>
      <c r="AI122" s="433"/>
      <c r="AJ122" s="433"/>
      <c r="AK122" s="433"/>
      <c r="AL122" s="433"/>
      <c r="AM122" s="433"/>
      <c r="AN122" s="433"/>
      <c r="AO122" s="433"/>
      <c r="AP122" s="433"/>
      <c r="AQ122" s="433"/>
      <c r="AR122" s="433"/>
      <c r="AS122" s="433"/>
    </row>
    <row r="123" spans="1:45" ht="30" customHeight="1">
      <c r="A123" s="433"/>
      <c r="B123" s="433"/>
      <c r="C123" s="433"/>
      <c r="D123" s="433"/>
      <c r="E123" s="433"/>
      <c r="F123" s="433"/>
      <c r="G123" s="433"/>
      <c r="H123" s="433"/>
      <c r="I123" s="433"/>
      <c r="J123" s="433"/>
      <c r="K123" s="433"/>
      <c r="L123" s="433"/>
      <c r="M123" s="433"/>
      <c r="N123" s="433"/>
      <c r="O123" s="433"/>
      <c r="P123" s="433"/>
      <c r="Q123" s="433"/>
      <c r="R123" s="433"/>
      <c r="S123" s="433"/>
      <c r="T123" s="433"/>
      <c r="U123" s="433"/>
      <c r="V123" s="433"/>
      <c r="W123" s="433"/>
      <c r="X123" s="433"/>
      <c r="Y123" s="433"/>
      <c r="Z123" s="433"/>
      <c r="AA123" s="433"/>
      <c r="AB123" s="433"/>
      <c r="AC123" s="433"/>
      <c r="AD123" s="433"/>
      <c r="AE123" s="433"/>
      <c r="AF123" s="433"/>
      <c r="AG123" s="433"/>
      <c r="AH123" s="433"/>
      <c r="AI123" s="433"/>
      <c r="AJ123" s="433"/>
      <c r="AK123" s="433"/>
      <c r="AL123" s="433"/>
      <c r="AM123" s="433"/>
      <c r="AN123" s="433"/>
      <c r="AO123" s="433"/>
      <c r="AP123" s="433"/>
      <c r="AQ123" s="433"/>
      <c r="AR123" s="433"/>
      <c r="AS123" s="433"/>
    </row>
    <row r="124" spans="1:45" ht="30" customHeight="1">
      <c r="A124" s="433"/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3"/>
      <c r="Q124" s="433"/>
      <c r="R124" s="433"/>
      <c r="S124" s="433"/>
      <c r="T124" s="433"/>
      <c r="U124" s="433"/>
      <c r="V124" s="433"/>
      <c r="W124" s="433"/>
      <c r="X124" s="433"/>
      <c r="Y124" s="433"/>
      <c r="Z124" s="433"/>
      <c r="AA124" s="433"/>
      <c r="AB124" s="433"/>
      <c r="AC124" s="433"/>
      <c r="AD124" s="433"/>
      <c r="AE124" s="433"/>
      <c r="AF124" s="433"/>
      <c r="AG124" s="433"/>
      <c r="AH124" s="433"/>
      <c r="AI124" s="433"/>
      <c r="AJ124" s="433"/>
      <c r="AK124" s="433"/>
      <c r="AL124" s="433"/>
      <c r="AM124" s="433"/>
      <c r="AN124" s="433"/>
      <c r="AO124" s="433"/>
      <c r="AP124" s="433"/>
      <c r="AQ124" s="433"/>
      <c r="AR124" s="433"/>
      <c r="AS124" s="433"/>
    </row>
    <row r="125" spans="1:45" ht="30" customHeight="1">
      <c r="A125" s="433"/>
      <c r="B125" s="433"/>
      <c r="C125" s="433"/>
      <c r="D125" s="433"/>
      <c r="E125" s="433"/>
      <c r="F125" s="433"/>
      <c r="G125" s="433"/>
      <c r="H125" s="433"/>
      <c r="I125" s="433"/>
      <c r="J125" s="433"/>
      <c r="K125" s="433"/>
      <c r="L125" s="433"/>
      <c r="M125" s="433"/>
      <c r="N125" s="433"/>
      <c r="O125" s="433"/>
      <c r="P125" s="433"/>
      <c r="Q125" s="433"/>
      <c r="R125" s="433"/>
      <c r="S125" s="433"/>
      <c r="T125" s="433"/>
      <c r="U125" s="433"/>
      <c r="V125" s="433"/>
      <c r="W125" s="433"/>
      <c r="X125" s="433"/>
      <c r="Y125" s="433"/>
      <c r="Z125" s="433"/>
      <c r="AA125" s="433"/>
      <c r="AB125" s="433"/>
      <c r="AC125" s="433"/>
      <c r="AD125" s="433"/>
      <c r="AE125" s="433"/>
      <c r="AF125" s="433"/>
      <c r="AG125" s="433"/>
      <c r="AH125" s="433"/>
      <c r="AI125" s="433"/>
      <c r="AJ125" s="433"/>
      <c r="AK125" s="433"/>
      <c r="AL125" s="433"/>
      <c r="AM125" s="433"/>
      <c r="AN125" s="433"/>
      <c r="AO125" s="433"/>
      <c r="AP125" s="433"/>
      <c r="AQ125" s="433"/>
      <c r="AR125" s="433"/>
      <c r="AS125" s="433"/>
    </row>
    <row r="126" spans="1:45" ht="30" customHeight="1">
      <c r="A126" s="433"/>
      <c r="B126" s="433"/>
      <c r="C126" s="433"/>
      <c r="D126" s="433"/>
      <c r="E126" s="433"/>
      <c r="F126" s="433"/>
      <c r="G126" s="433"/>
      <c r="H126" s="433"/>
      <c r="I126" s="433"/>
      <c r="J126" s="433"/>
      <c r="K126" s="433"/>
      <c r="L126" s="433"/>
      <c r="M126" s="433"/>
      <c r="N126" s="433"/>
      <c r="O126" s="433"/>
      <c r="P126" s="433"/>
      <c r="Q126" s="433"/>
      <c r="R126" s="433"/>
      <c r="S126" s="433"/>
      <c r="T126" s="433"/>
      <c r="U126" s="433"/>
      <c r="V126" s="433"/>
      <c r="W126" s="433"/>
      <c r="X126" s="433"/>
      <c r="Y126" s="433"/>
      <c r="Z126" s="433"/>
      <c r="AA126" s="433"/>
      <c r="AB126" s="433"/>
      <c r="AC126" s="433"/>
      <c r="AD126" s="433"/>
      <c r="AE126" s="433"/>
      <c r="AF126" s="433"/>
      <c r="AG126" s="433"/>
      <c r="AH126" s="433"/>
      <c r="AI126" s="433"/>
      <c r="AJ126" s="433"/>
      <c r="AK126" s="433"/>
      <c r="AL126" s="433"/>
      <c r="AM126" s="433"/>
      <c r="AN126" s="433"/>
      <c r="AO126" s="433"/>
      <c r="AP126" s="433"/>
      <c r="AQ126" s="433"/>
      <c r="AR126" s="433"/>
      <c r="AS126" s="433"/>
    </row>
    <row r="127" spans="1:45" ht="30" customHeight="1">
      <c r="A127" s="433"/>
      <c r="B127" s="433"/>
      <c r="C127" s="433"/>
      <c r="D127" s="433"/>
      <c r="E127" s="433"/>
      <c r="F127" s="433"/>
      <c r="G127" s="433"/>
      <c r="H127" s="433"/>
      <c r="I127" s="433"/>
      <c r="J127" s="433"/>
      <c r="K127" s="433"/>
      <c r="L127" s="433"/>
      <c r="M127" s="433"/>
      <c r="N127" s="433"/>
      <c r="O127" s="433"/>
      <c r="P127" s="433"/>
      <c r="Q127" s="433"/>
      <c r="R127" s="433"/>
      <c r="S127" s="433"/>
      <c r="T127" s="433"/>
      <c r="U127" s="433"/>
      <c r="V127" s="433"/>
      <c r="W127" s="433"/>
      <c r="X127" s="433"/>
      <c r="Y127" s="433"/>
      <c r="Z127" s="433"/>
      <c r="AA127" s="433"/>
      <c r="AB127" s="433"/>
      <c r="AC127" s="433"/>
      <c r="AD127" s="433"/>
      <c r="AE127" s="433"/>
      <c r="AF127" s="433"/>
      <c r="AG127" s="433"/>
      <c r="AH127" s="433"/>
      <c r="AI127" s="433"/>
      <c r="AJ127" s="433"/>
      <c r="AK127" s="433"/>
      <c r="AL127" s="433"/>
      <c r="AM127" s="433"/>
      <c r="AN127" s="433"/>
      <c r="AO127" s="433"/>
      <c r="AP127" s="433"/>
      <c r="AQ127" s="433"/>
      <c r="AR127" s="433"/>
      <c r="AS127" s="433"/>
    </row>
    <row r="128" spans="1:45" ht="30" customHeight="1">
      <c r="A128" s="433"/>
      <c r="B128" s="433"/>
      <c r="C128" s="433"/>
      <c r="D128" s="433"/>
      <c r="E128" s="433"/>
      <c r="F128" s="433"/>
      <c r="G128" s="433"/>
      <c r="H128" s="433"/>
      <c r="I128" s="433"/>
      <c r="J128" s="433"/>
      <c r="K128" s="433"/>
      <c r="L128" s="433"/>
      <c r="M128" s="433"/>
      <c r="N128" s="433"/>
      <c r="O128" s="433"/>
      <c r="P128" s="433"/>
      <c r="Q128" s="433"/>
      <c r="R128" s="433"/>
      <c r="S128" s="433"/>
      <c r="T128" s="433"/>
      <c r="U128" s="433"/>
      <c r="V128" s="433"/>
      <c r="W128" s="433"/>
      <c r="X128" s="433"/>
      <c r="Y128" s="433"/>
      <c r="Z128" s="433"/>
      <c r="AA128" s="433"/>
      <c r="AB128" s="433"/>
      <c r="AC128" s="433"/>
      <c r="AD128" s="433"/>
      <c r="AE128" s="433"/>
      <c r="AF128" s="433"/>
      <c r="AG128" s="433"/>
      <c r="AH128" s="433"/>
      <c r="AI128" s="433"/>
      <c r="AJ128" s="433"/>
      <c r="AK128" s="433"/>
      <c r="AL128" s="433"/>
      <c r="AM128" s="433"/>
      <c r="AN128" s="433"/>
      <c r="AO128" s="433"/>
      <c r="AP128" s="433"/>
      <c r="AQ128" s="433"/>
      <c r="AR128" s="433"/>
      <c r="AS128" s="433"/>
    </row>
    <row r="129" ht="30" customHeight="1"/>
    <row r="130" ht="30" customHeight="1"/>
    <row r="131" ht="30" customHeight="1"/>
    <row r="132" ht="30" customHeight="1"/>
    <row r="133" ht="30" customHeight="1"/>
    <row r="134" ht="30" customHeight="1"/>
  </sheetData>
  <mergeCells count="51">
    <mergeCell ref="J18:K18"/>
    <mergeCell ref="L18:M18"/>
    <mergeCell ref="P18:Q18"/>
    <mergeCell ref="T18:U18"/>
    <mergeCell ref="V18:W18"/>
    <mergeCell ref="N18:O18"/>
    <mergeCell ref="B34:C34"/>
    <mergeCell ref="D34:E34"/>
    <mergeCell ref="F34:G34"/>
    <mergeCell ref="H34:I34"/>
    <mergeCell ref="B18:C18"/>
    <mergeCell ref="D18:E18"/>
    <mergeCell ref="F18:G18"/>
    <mergeCell ref="H18:I18"/>
    <mergeCell ref="R34:S34"/>
    <mergeCell ref="AJ18:AK18"/>
    <mergeCell ref="A18:A19"/>
    <mergeCell ref="A34:A35"/>
    <mergeCell ref="AH34:AI34"/>
    <mergeCell ref="AF34:AG34"/>
    <mergeCell ref="AD34:AE34"/>
    <mergeCell ref="AB34:AC34"/>
    <mergeCell ref="Z34:AA34"/>
    <mergeCell ref="X34:Y34"/>
    <mergeCell ref="J34:K34"/>
    <mergeCell ref="L34:M34"/>
    <mergeCell ref="N34:O34"/>
    <mergeCell ref="P34:Q34"/>
    <mergeCell ref="T34:U34"/>
    <mergeCell ref="V34:W34"/>
    <mergeCell ref="P1:Q1"/>
    <mergeCell ref="X18:Y18"/>
    <mergeCell ref="AH18:AI18"/>
    <mergeCell ref="Z18:AA18"/>
    <mergeCell ref="AB18:AC18"/>
    <mergeCell ref="AD18:AE18"/>
    <mergeCell ref="AF18:AG18"/>
    <mergeCell ref="R18:S18"/>
    <mergeCell ref="AV18:AW18"/>
    <mergeCell ref="AV34:AW34"/>
    <mergeCell ref="AR18:AS18"/>
    <mergeCell ref="AR34:AS34"/>
    <mergeCell ref="AN18:AO18"/>
    <mergeCell ref="AN34:AO34"/>
    <mergeCell ref="AP18:AQ18"/>
    <mergeCell ref="AP34:AQ34"/>
    <mergeCell ref="AJ34:AK34"/>
    <mergeCell ref="AL34:AM34"/>
    <mergeCell ref="AL18:AM18"/>
    <mergeCell ref="AT18:AU18"/>
    <mergeCell ref="AT34:AU34"/>
  </mergeCells>
  <conditionalFormatting sqref="B31:C31 D30:D31 B24:D30 E24:E31 D39:Y47">
    <cfRule type="cellIs" dxfId="143" priority="171" operator="lessThan">
      <formula>0</formula>
    </cfRule>
  </conditionalFormatting>
  <conditionalFormatting sqref="F24:G31">
    <cfRule type="cellIs" dxfId="142" priority="170" operator="lessThan">
      <formula>0</formula>
    </cfRule>
  </conditionalFormatting>
  <conditionalFormatting sqref="H24:I31">
    <cfRule type="cellIs" dxfId="141" priority="169" operator="lessThan">
      <formula>0</formula>
    </cfRule>
  </conditionalFormatting>
  <conditionalFormatting sqref="J24:K31">
    <cfRule type="cellIs" dxfId="140" priority="168" operator="lessThan">
      <formula>0</formula>
    </cfRule>
  </conditionalFormatting>
  <conditionalFormatting sqref="L24:M31">
    <cfRule type="cellIs" dxfId="139" priority="164" operator="lessThan">
      <formula>0</formula>
    </cfRule>
  </conditionalFormatting>
  <conditionalFormatting sqref="P24:P31">
    <cfRule type="cellIs" dxfId="138" priority="162" operator="lessThan">
      <formula>0</formula>
    </cfRule>
  </conditionalFormatting>
  <conditionalFormatting sqref="AH24:AM31">
    <cfRule type="cellIs" dxfId="137" priority="147" operator="lessThan">
      <formula>0</formula>
    </cfRule>
  </conditionalFormatting>
  <conditionalFormatting sqref="T24:U31">
    <cfRule type="cellIs" dxfId="136" priority="161" operator="lessThan">
      <formula>0</formula>
    </cfRule>
  </conditionalFormatting>
  <conditionalFormatting sqref="X24:Y31">
    <cfRule type="cellIs" dxfId="135" priority="160" operator="lessThan">
      <formula>0</formula>
    </cfRule>
  </conditionalFormatting>
  <conditionalFormatting sqref="AF24:AG31">
    <cfRule type="cellIs" dxfId="134" priority="148" operator="lessThan">
      <formula>0</formula>
    </cfRule>
  </conditionalFormatting>
  <conditionalFormatting sqref="AB24:AC31">
    <cfRule type="cellIs" dxfId="133" priority="154" operator="lessThan">
      <formula>0</formula>
    </cfRule>
  </conditionalFormatting>
  <conditionalFormatting sqref="AD24:AE31">
    <cfRule type="cellIs" dxfId="132" priority="149" operator="lessThan">
      <formula>0</formula>
    </cfRule>
  </conditionalFormatting>
  <conditionalFormatting sqref="D36:E38 D48:E48">
    <cfRule type="cellIs" dxfId="131" priority="139" operator="lessThan">
      <formula>0</formula>
    </cfRule>
  </conditionalFormatting>
  <conditionalFormatting sqref="F36:G38 F48:G48">
    <cfRule type="cellIs" dxfId="130" priority="138" operator="lessThan">
      <formula>0</formula>
    </cfRule>
  </conditionalFormatting>
  <conditionalFormatting sqref="H36:I38 H48:I48">
    <cfRule type="cellIs" dxfId="129" priority="137" operator="lessThan">
      <formula>0</formula>
    </cfRule>
  </conditionalFormatting>
  <conditionalFormatting sqref="J36:K38 J48:K48">
    <cfRule type="cellIs" dxfId="128" priority="136" operator="lessThan">
      <formula>0</formula>
    </cfRule>
  </conditionalFormatting>
  <conditionalFormatting sqref="L36:M38 L48:M48">
    <cfRule type="cellIs" dxfId="127" priority="132" operator="lessThan">
      <formula>0</formula>
    </cfRule>
  </conditionalFormatting>
  <conditionalFormatting sqref="P36:Q38 P48:Q48">
    <cfRule type="cellIs" dxfId="126" priority="130" operator="lessThan">
      <formula>0</formula>
    </cfRule>
  </conditionalFormatting>
  <conditionalFormatting sqref="AH36:AI38 AH48:AM48">
    <cfRule type="cellIs" dxfId="125" priority="115" operator="lessThan">
      <formula>0</formula>
    </cfRule>
  </conditionalFormatting>
  <conditionalFormatting sqref="T36:U38 T48:U48">
    <cfRule type="cellIs" dxfId="124" priority="129" operator="lessThan">
      <formula>0</formula>
    </cfRule>
  </conditionalFormatting>
  <conditionalFormatting sqref="X36:Y38 X48:Y48">
    <cfRule type="cellIs" dxfId="123" priority="128" operator="lessThan">
      <formula>0</formula>
    </cfRule>
  </conditionalFormatting>
  <conditionalFormatting sqref="AF48:AG48 AF36:AG38">
    <cfRule type="cellIs" dxfId="122" priority="116" operator="lessThan">
      <formula>0</formula>
    </cfRule>
  </conditionalFormatting>
  <conditionalFormatting sqref="O48 O36:O38">
    <cfRule type="cellIs" dxfId="121" priority="127" operator="lessThan">
      <formula>0</formula>
    </cfRule>
  </conditionalFormatting>
  <conditionalFormatting sqref="AB36:AC38 AB48:AC48">
    <cfRule type="cellIs" dxfId="120" priority="122" operator="lessThan">
      <formula>0</formula>
    </cfRule>
  </conditionalFormatting>
  <conditionalFormatting sqref="AD38:AE38 AE36:AE37 AD48:AE48">
    <cfRule type="cellIs" dxfId="119" priority="117" operator="lessThan">
      <formula>0</formula>
    </cfRule>
  </conditionalFormatting>
  <conditionalFormatting sqref="B36:C48">
    <cfRule type="cellIs" dxfId="118" priority="110" operator="lessThan">
      <formula>0</formula>
    </cfRule>
  </conditionalFormatting>
  <conditionalFormatting sqref="Z48:AA48">
    <cfRule type="cellIs" dxfId="117" priority="109" operator="lessThan">
      <formula>0</formula>
    </cfRule>
  </conditionalFormatting>
  <conditionalFormatting sqref="V48:W48">
    <cfRule type="cellIs" dxfId="116" priority="107" operator="lessThan">
      <formula>0</formula>
    </cfRule>
  </conditionalFormatting>
  <conditionalFormatting sqref="AN48:AO48">
    <cfRule type="cellIs" dxfId="115" priority="102" operator="lessThan">
      <formula>0</formula>
    </cfRule>
  </conditionalFormatting>
  <conditionalFormatting sqref="AP48:AQ48">
    <cfRule type="cellIs" dxfId="114" priority="100" operator="lessThan">
      <formula>0</formula>
    </cfRule>
  </conditionalFormatting>
  <conditionalFormatting sqref="AR48:AS48">
    <cfRule type="cellIs" dxfId="113" priority="98" operator="lessThan">
      <formula>0</formula>
    </cfRule>
  </conditionalFormatting>
  <conditionalFormatting sqref="AT48:AU48">
    <cfRule type="cellIs" dxfId="112" priority="71" operator="lessThan">
      <formula>0</formula>
    </cfRule>
  </conditionalFormatting>
  <conditionalFormatting sqref="V24:V31">
    <cfRule type="cellIs" dxfId="111" priority="23" operator="lessThan">
      <formula>0</formula>
    </cfRule>
  </conditionalFormatting>
  <conditionalFormatting sqref="AD36:AD37">
    <cfRule type="cellIs" dxfId="110" priority="79" operator="lessThan">
      <formula>0</formula>
    </cfRule>
  </conditionalFormatting>
  <conditionalFormatting sqref="S36:S38">
    <cfRule type="cellIs" dxfId="109" priority="56" operator="lessThan">
      <formula>0</formula>
    </cfRule>
  </conditionalFormatting>
  <conditionalFormatting sqref="W36:W38">
    <cfRule type="cellIs" dxfId="108" priority="55" operator="lessThan">
      <formula>0</formula>
    </cfRule>
  </conditionalFormatting>
  <conditionalFormatting sqref="Z24:AA31">
    <cfRule type="cellIs" dxfId="107" priority="20" operator="lessThan">
      <formula>0</formula>
    </cfRule>
  </conditionalFormatting>
  <conditionalFormatting sqref="AB39:AW47">
    <cfRule type="cellIs" dxfId="106" priority="57" operator="lessThan">
      <formula>0</formula>
    </cfRule>
  </conditionalFormatting>
  <conditionalFormatting sqref="N24:O31">
    <cfRule type="cellIs" dxfId="105" priority="34" operator="lessThan">
      <formula>0</formula>
    </cfRule>
  </conditionalFormatting>
  <conditionalFormatting sqref="Q24:Q31">
    <cfRule type="cellIs" dxfId="104" priority="32" operator="lessThan">
      <formula>0</formula>
    </cfRule>
  </conditionalFormatting>
  <conditionalFormatting sqref="R24:R31">
    <cfRule type="cellIs" dxfId="103" priority="31" operator="lessThan">
      <formula>0</formula>
    </cfRule>
  </conditionalFormatting>
  <conditionalFormatting sqref="S24:S31">
    <cfRule type="cellIs" dxfId="102" priority="29" operator="lessThan">
      <formula>0</formula>
    </cfRule>
  </conditionalFormatting>
  <conditionalFormatting sqref="N36:N38">
    <cfRule type="cellIs" dxfId="101" priority="48" operator="lessThan">
      <formula>0</formula>
    </cfRule>
  </conditionalFormatting>
  <conditionalFormatting sqref="AQ24:AQ31 AS24:AS31 AU24:AU31 AW24:AW31">
    <cfRule type="cellIs" dxfId="100" priority="1" operator="lessThan">
      <formula>0</formula>
    </cfRule>
  </conditionalFormatting>
  <conditionalFormatting sqref="R48:S48">
    <cfRule type="cellIs" dxfId="99" priority="25" operator="lessThan">
      <formula>0</formula>
    </cfRule>
  </conditionalFormatting>
  <conditionalFormatting sqref="AV48:AW48">
    <cfRule type="cellIs" dxfId="98" priority="64" operator="lessThan">
      <formula>0</formula>
    </cfRule>
  </conditionalFormatting>
  <conditionalFormatting sqref="AK36:AK38">
    <cfRule type="cellIs" dxfId="97" priority="53" operator="lessThan">
      <formula>0</formula>
    </cfRule>
  </conditionalFormatting>
  <conditionalFormatting sqref="AM36:AM38">
    <cfRule type="cellIs" dxfId="96" priority="52" operator="lessThan">
      <formula>0</formula>
    </cfRule>
  </conditionalFormatting>
  <conditionalFormatting sqref="AO36:AO38">
    <cfRule type="cellIs" dxfId="95" priority="51" operator="lessThan">
      <formula>0</formula>
    </cfRule>
  </conditionalFormatting>
  <conditionalFormatting sqref="AO24:AO31">
    <cfRule type="cellIs" dxfId="94" priority="10" operator="lessThan">
      <formula>0</formula>
    </cfRule>
  </conditionalFormatting>
  <conditionalFormatting sqref="AA36:AA38">
    <cfRule type="cellIs" dxfId="93" priority="54" operator="lessThan">
      <formula>0</formula>
    </cfRule>
  </conditionalFormatting>
  <conditionalFormatting sqref="AT24:AT31">
    <cfRule type="cellIs" dxfId="92" priority="5" operator="lessThan">
      <formula>0</formula>
    </cfRule>
  </conditionalFormatting>
  <conditionalFormatting sqref="AQ36:AQ38">
    <cfRule type="cellIs" dxfId="91" priority="50" operator="lessThan">
      <formula>0</formula>
    </cfRule>
  </conditionalFormatting>
  <conditionalFormatting sqref="AS36:AS38 AU36:AU38 AW36:AW38">
    <cfRule type="cellIs" dxfId="90" priority="49" operator="lessThan">
      <formula>0</formula>
    </cfRule>
  </conditionalFormatting>
  <conditionalFormatting sqref="R36:R38">
    <cfRule type="cellIs" dxfId="89" priority="47" operator="lessThan">
      <formula>0</formula>
    </cfRule>
  </conditionalFormatting>
  <conditionalFormatting sqref="V36:V38">
    <cfRule type="cellIs" dxfId="88" priority="46" operator="lessThan">
      <formula>0</formula>
    </cfRule>
  </conditionalFormatting>
  <conditionalFormatting sqref="Z36:Z47">
    <cfRule type="cellIs" dxfId="87" priority="45" operator="lessThan">
      <formula>0</formula>
    </cfRule>
  </conditionalFormatting>
  <conditionalFormatting sqref="AJ36:AJ38">
    <cfRule type="cellIs" dxfId="86" priority="44" operator="lessThan">
      <formula>0</formula>
    </cfRule>
  </conditionalFormatting>
  <conditionalFormatting sqref="AL36:AL38">
    <cfRule type="cellIs" dxfId="85" priority="43" operator="lessThan">
      <formula>0</formula>
    </cfRule>
  </conditionalFormatting>
  <conditionalFormatting sqref="AN36:AN38">
    <cfRule type="cellIs" dxfId="84" priority="42" operator="lessThan">
      <formula>0</formula>
    </cfRule>
  </conditionalFormatting>
  <conditionalFormatting sqref="AP36:AP38">
    <cfRule type="cellIs" dxfId="83" priority="41" operator="lessThan">
      <formula>0</formula>
    </cfRule>
  </conditionalFormatting>
  <conditionalFormatting sqref="AR36:AR38">
    <cfRule type="cellIs" dxfId="82" priority="40" operator="lessThan">
      <formula>0</formula>
    </cfRule>
  </conditionalFormatting>
  <conditionalFormatting sqref="AT36:AT38">
    <cfRule type="cellIs" dxfId="81" priority="39" operator="lessThan">
      <formula>0</formula>
    </cfRule>
  </conditionalFormatting>
  <conditionalFormatting sqref="AV36:AV38">
    <cfRule type="cellIs" dxfId="80" priority="38" operator="lessThan">
      <formula>0</formula>
    </cfRule>
  </conditionalFormatting>
  <conditionalFormatting sqref="N48">
    <cfRule type="cellIs" dxfId="79" priority="26" operator="lessThan">
      <formula>0</formula>
    </cfRule>
  </conditionalFormatting>
  <conditionalFormatting sqref="W24:W31">
    <cfRule type="cellIs" dxfId="78" priority="21" operator="lessThan">
      <formula>0</formula>
    </cfRule>
  </conditionalFormatting>
  <conditionalFormatting sqref="AA39:AA47">
    <cfRule type="cellIs" dxfId="77" priority="19" operator="lessThan">
      <formula>0</formula>
    </cfRule>
  </conditionalFormatting>
  <conditionalFormatting sqref="AN24:AN31">
    <cfRule type="cellIs" dxfId="76" priority="18" operator="lessThan">
      <formula>0</formula>
    </cfRule>
  </conditionalFormatting>
  <conditionalFormatting sqref="AP24:AP31">
    <cfRule type="cellIs" dxfId="75" priority="9" operator="lessThan">
      <formula>0</formula>
    </cfRule>
  </conditionalFormatting>
  <conditionalFormatting sqref="AR24:AR31">
    <cfRule type="cellIs" dxfId="74" priority="8" operator="lessThan">
      <formula>0</formula>
    </cfRule>
  </conditionalFormatting>
  <conditionalFormatting sqref="AV24:AV31">
    <cfRule type="cellIs" dxfId="73" priority="2" operator="lessThan">
      <formula>0</formula>
    </cfRule>
  </conditionalFormatting>
  <printOptions horizontalCentered="1"/>
  <pageMargins left="0" right="0" top="1" bottom="0" header="0" footer="0"/>
  <pageSetup paperSize="5" scale="17" fitToHeight="0" orientation="landscape" r:id="rId1"/>
  <ignoredErrors>
    <ignoredError sqref="M32 AB32:AC32 AG20:AH20 AD32:AF32 T20 V32 X32 Z32 AB20 AN32 AR32 AP32 AQ32 AS32 AO32 AI32 C32:F32 C20:F20 H20:H21 H32 J20:J21 J32:K32 L20 L32 K20 M20:M23 N20:N22 O20:O23 P32 Q20:Q23 R20 S20 U20 W20 Y20 AE20 AC20 AG32:AH32 AD20 AI20 AF20 AK20 AL20 AM20 AN20 AP20 AR20 AT20 AV20 AS20 AO20 AQ20 AU20 T32 I32 Q32 R32 S32 AA21:AA22 Y21:Y23 C21:C23 G20:G21 F21:F23 K21:K23 D21:D23 I20:I23 G22:G23 E23 R21:R22 U21:U24 S23 W21:W23 Z20:Z23 AA23:AC23 AC21:AC22 AB21:AB22 AD21:AD22 AE23:AG23 AF21:AH22 AK21:AK23 AI23 E21:E22 H22:H23" formula="1"/>
    <ignoredError sqref="U32 W32 Y32" evalError="1" formula="1"/>
  </ignoredErrors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stacked" displayEmptyCellsAs="gap" negative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 CASE  VOLUME - BUDGET VARIANCE'!C20:C31</xm:f>
              <xm:sqref>Q16</xm:sqref>
            </x14:sparkline>
          </x14:sparklines>
        </x14:sparklineGroup>
        <x14:sparklineGroup manualMax="0" manualMin="0" type="stacked" displayEmptyCellsAs="gap" negative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 CASE  VOLUME - BUDGET VARIANCE'!W20:W31</xm:f>
              <xm:sqref>Q9</xm:sqref>
            </x14:sparkline>
          </x14:sparklines>
        </x14:sparklineGroup>
        <x14:sparklineGroup manualMax="0" manualMin="0" type="stacked" displayEmptyCellsAs="gap" negative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 CASE  VOLUME - BUDGET VARIANCE'!G20:G31</xm:f>
              <xm:sqref>Q3</xm:sqref>
            </x14:sparkline>
          </x14:sparklines>
        </x14:sparklineGroup>
        <x14:sparklineGroup manualMax="0" manualMin="0" type="stacked" displayEmptyCellsAs="gap" negative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 CASE  VOLUME - BUDGET VARIANCE'!E20:E31</xm:f>
              <xm:sqref>Q2</xm:sqref>
            </x14:sparkline>
          </x14:sparklines>
        </x14:sparklineGroup>
        <x14:sparklineGroup manualMax="0" manualMin="0" type="stacked" displayEmptyCellsAs="gap" negative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 CASE  VOLUME - BUDGET VARIANCE'!I20:I31</xm:f>
              <xm:sqref>Q4</xm:sqref>
            </x14:sparkline>
          </x14:sparklines>
        </x14:sparklineGroup>
        <x14:sparklineGroup manualMax="0" manualMin="0" type="stacked" displayEmptyCellsAs="gap" negative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 CASE  VOLUME - BUDGET VARIANCE'!K20:K31</xm:f>
              <xm:sqref>Q5</xm:sqref>
            </x14:sparkline>
          </x14:sparklines>
        </x14:sparklineGroup>
        <x14:sparklineGroup manualMax="0" manualMin="0" type="stacked" displayEmptyCellsAs="gap" negative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 CASE  VOLUME - BUDGET VARIANCE'!M20:M30</xm:f>
              <xm:sqref>Q6</xm:sqref>
            </x14:sparkline>
          </x14:sparklines>
        </x14:sparklineGroup>
        <x14:sparklineGroup manualMax="0" manualMin="0" type="stacked" displayEmptyCellsAs="gap" negative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 CASE  VOLUME - BUDGET VARIANCE'!AA20:AA31</xm:f>
              <xm:sqref>Q11</xm:sqref>
            </x14:sparkline>
          </x14:sparklines>
        </x14:sparklineGroup>
        <x14:sparklineGroup manualMax="0" manualMin="0" type="stacked" displayEmptyCellsAs="gap" negative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 CASE  VOLUME - BUDGET VARIANCE'!U20:U31</xm:f>
              <xm:sqref>Q8</xm:sqref>
            </x14:sparkline>
          </x14:sparklines>
        </x14:sparklineGroup>
        <x14:sparklineGroup manualMax="0" manualMin="0" type="stacked" displayEmptyCellsAs="gap" negative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 CASE  VOLUME - BUDGET VARIANCE'!Y20:Y31</xm:f>
              <xm:sqref>Q10</xm:sqref>
            </x14:sparkline>
          </x14:sparklines>
        </x14:sparklineGroup>
        <x14:sparklineGroup manualMax="0" manualMin="0" type="stacked" displayEmptyCellsAs="gap" negative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 CASE  VOLUME - BUDGET VARIANCE'!Q20:Q31</xm:f>
              <xm:sqref>Q7</xm:sqref>
            </x14:sparkline>
          </x14:sparklines>
        </x14:sparklineGroup>
        <x14:sparklineGroup manualMax="0" manualMin="0" type="stacked" displayEmptyCellsAs="gap" negative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 CASE  VOLUME - BUDGET VARIANCE'!AE20:AE31</xm:f>
              <xm:sqref>Q13</xm:sqref>
            </x14:sparkline>
          </x14:sparklines>
        </x14:sparklineGroup>
        <x14:sparklineGroup manualMax="0" manualMin="0" type="stacked" displayEmptyCellsAs="gap" negative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 CASE  VOLUME - BUDGET VARIANCE'!AI20:AI31</xm:f>
              <xm:sqref>Q15</xm:sqref>
            </x14:sparkline>
          </x14:sparklines>
        </x14:sparklineGroup>
        <x14:sparklineGroup manualMax="0" manualMin="0" type="stacked" displayEmptyCellsAs="gap" negative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 CASE  VOLUME - BUDGET VARIANCE'!AG20:AG31</xm:f>
              <xm:sqref>Q14</xm:sqref>
            </x14:sparkline>
          </x14:sparklines>
        </x14:sparklineGroup>
        <x14:sparklineGroup manualMax="0" manualMin="0" type="stacked" displayEmptyCellsAs="gap" negative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 CASE  VOLUME - BUDGET VARIANCE'!AC20:AC31</xm:f>
              <xm:sqref>Q12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>
    <tabColor rgb="FFFFFF00"/>
    <pageSetUpPr fitToPage="1"/>
  </sheetPr>
  <dimension ref="A1:ES497"/>
  <sheetViews>
    <sheetView showGridLines="0" tabSelected="1" zoomScale="80" zoomScaleNormal="80" workbookViewId="0">
      <pane xSplit="1" ySplit="2" topLeftCell="B21" activePane="bottomRight" state="frozen"/>
      <selection activeCell="N26" sqref="N26"/>
      <selection pane="topRight" activeCell="N26" sqref="N26"/>
      <selection pane="bottomLeft" activeCell="N26" sqref="N26"/>
      <selection pane="bottomRight" activeCell="H60" sqref="H60"/>
    </sheetView>
  </sheetViews>
  <sheetFormatPr defaultRowHeight="15"/>
  <cols>
    <col min="1" max="1" width="52.42578125" style="5" customWidth="1"/>
    <col min="2" max="2" width="19.85546875" bestFit="1" customWidth="1"/>
    <col min="3" max="3" width="15.42578125" bestFit="1" customWidth="1"/>
    <col min="4" max="4" width="14.7109375" bestFit="1" customWidth="1"/>
    <col min="5" max="5" width="17.85546875" bestFit="1" customWidth="1"/>
    <col min="6" max="6" width="15.140625" customWidth="1"/>
    <col min="7" max="7" width="15.7109375" customWidth="1"/>
    <col min="8" max="8" width="15.28515625" customWidth="1"/>
    <col min="9" max="9" width="14.28515625" customWidth="1"/>
    <col min="10" max="10" width="17.140625" customWidth="1"/>
    <col min="11" max="11" width="14.28515625" customWidth="1"/>
    <col min="12" max="12" width="14.7109375" customWidth="1"/>
    <col min="13" max="13" width="14.28515625" customWidth="1"/>
    <col min="14" max="14" width="17.85546875" customWidth="1"/>
    <col min="15" max="15" width="16.7109375" customWidth="1"/>
    <col min="16" max="16" width="17.42578125" bestFit="1" customWidth="1"/>
    <col min="17" max="17" width="14.42578125" customWidth="1"/>
    <col min="18" max="18" width="14.85546875" customWidth="1"/>
    <col min="19" max="19" width="14.28515625" customWidth="1"/>
    <col min="20" max="20" width="16.7109375" style="147" customWidth="1"/>
    <col min="21" max="21" width="16.42578125" customWidth="1"/>
    <col min="22" max="22" width="15.5703125" bestFit="1" customWidth="1"/>
    <col min="23" max="23" width="18.85546875" bestFit="1" customWidth="1"/>
    <col min="24" max="24" width="14.5703125" customWidth="1"/>
    <col min="25" max="25" width="14" customWidth="1"/>
    <col min="26" max="26" width="14.5703125" customWidth="1"/>
    <col min="27" max="27" width="16.42578125" customWidth="1"/>
    <col min="28" max="29" width="14.7109375" customWidth="1"/>
    <col min="30" max="30" width="14.28515625" customWidth="1"/>
    <col min="31" max="31" width="13.140625" customWidth="1"/>
    <col min="32" max="32" width="16.42578125" customWidth="1"/>
    <col min="33" max="33" width="13.85546875" customWidth="1"/>
    <col min="34" max="34" width="15" customWidth="1"/>
    <col min="35" max="36" width="16.42578125" customWidth="1"/>
    <col min="37" max="37" width="15.28515625" customWidth="1"/>
    <col min="38" max="38" width="15.140625" customWidth="1"/>
    <col min="39" max="39" width="14.28515625" bestFit="1" customWidth="1"/>
    <col min="40" max="40" width="14.85546875" customWidth="1"/>
    <col min="41" max="41" width="15" customWidth="1"/>
    <col min="42" max="42" width="17.140625" customWidth="1"/>
    <col min="43" max="43" width="14.5703125" customWidth="1"/>
    <col min="44" max="44" width="15.140625" bestFit="1" customWidth="1"/>
    <col min="45" max="45" width="14" bestFit="1" customWidth="1"/>
    <col min="46" max="46" width="13.5703125" bestFit="1" customWidth="1"/>
    <col min="47" max="47" width="14.7109375" bestFit="1" customWidth="1"/>
    <col min="48" max="48" width="11.28515625" customWidth="1"/>
    <col min="49" max="49" width="12.140625" customWidth="1"/>
    <col min="50" max="50" width="14.42578125" bestFit="1" customWidth="1"/>
    <col min="51" max="51" width="12.7109375" customWidth="1"/>
    <col min="52" max="52" width="16.85546875" bestFit="1" customWidth="1"/>
    <col min="53" max="53" width="16.140625" bestFit="1" customWidth="1"/>
    <col min="54" max="59" width="12.7109375" customWidth="1"/>
    <col min="60" max="60" width="14.42578125" bestFit="1" customWidth="1"/>
    <col min="61" max="69" width="12.7109375" customWidth="1"/>
    <col min="70" max="70" width="14.7109375" bestFit="1" customWidth="1"/>
    <col min="71" max="71" width="15" customWidth="1"/>
    <col min="72" max="86" width="12.7109375" customWidth="1"/>
    <col min="87" max="88" width="12.7109375" style="23" customWidth="1"/>
    <col min="89" max="97" width="12.7109375" customWidth="1"/>
    <col min="98" max="98" width="14.42578125" customWidth="1"/>
    <col min="99" max="99" width="11.85546875" customWidth="1"/>
    <col min="100" max="100" width="14.42578125" customWidth="1"/>
    <col min="101" max="101" width="13" customWidth="1"/>
    <col min="110" max="111" width="15.7109375" bestFit="1" customWidth="1"/>
    <col min="112" max="112" width="12.7109375" bestFit="1" customWidth="1"/>
    <col min="113" max="113" width="12.5703125" customWidth="1"/>
    <col min="120" max="120" width="7.7109375" bestFit="1" customWidth="1"/>
    <col min="121" max="121" width="8.28515625" bestFit="1" customWidth="1"/>
    <col min="122" max="123" width="10.28515625" bestFit="1" customWidth="1"/>
    <col min="124" max="125" width="12.7109375" bestFit="1" customWidth="1"/>
    <col min="134" max="135" width="10.28515625" bestFit="1" customWidth="1"/>
    <col min="136" max="137" width="12.7109375" bestFit="1" customWidth="1"/>
  </cols>
  <sheetData>
    <row r="1" spans="1:20" ht="15.75" thickTop="1">
      <c r="A1" s="2923" t="s">
        <v>505</v>
      </c>
      <c r="B1" s="2924"/>
      <c r="C1" s="2924"/>
      <c r="D1" s="2924"/>
      <c r="E1" s="2924"/>
      <c r="F1" s="2924"/>
      <c r="G1" s="2924"/>
      <c r="H1" s="2924"/>
      <c r="I1" s="2924"/>
      <c r="J1" s="2924"/>
      <c r="K1" s="914"/>
      <c r="L1" s="914"/>
      <c r="M1" s="915"/>
    </row>
    <row r="2" spans="1:20" ht="15.75" thickBot="1">
      <c r="A2" s="2925"/>
      <c r="B2" s="2926"/>
      <c r="C2" s="2926"/>
      <c r="D2" s="2926"/>
      <c r="E2" s="2926"/>
      <c r="F2" s="2926"/>
      <c r="G2" s="2926"/>
      <c r="H2" s="2926"/>
      <c r="I2" s="2926"/>
      <c r="J2" s="2926"/>
      <c r="K2" s="916"/>
      <c r="L2" s="916"/>
      <c r="M2" s="917"/>
    </row>
    <row r="3" spans="1:20" ht="16.5" thickBot="1">
      <c r="A3" s="918"/>
      <c r="B3" s="256" t="s">
        <v>10</v>
      </c>
      <c r="C3" s="257" t="s">
        <v>11</v>
      </c>
      <c r="D3" s="258" t="s">
        <v>12</v>
      </c>
      <c r="E3" s="256" t="s">
        <v>13</v>
      </c>
      <c r="F3" s="257" t="s">
        <v>14</v>
      </c>
      <c r="G3" s="258" t="s">
        <v>15</v>
      </c>
      <c r="H3" s="256" t="s">
        <v>16</v>
      </c>
      <c r="I3" s="257" t="s">
        <v>17</v>
      </c>
      <c r="J3" s="258" t="s">
        <v>18</v>
      </c>
      <c r="K3" s="256" t="s">
        <v>19</v>
      </c>
      <c r="L3" s="257" t="s">
        <v>20</v>
      </c>
      <c r="M3" s="919" t="s">
        <v>21</v>
      </c>
    </row>
    <row r="4" spans="1:20" s="23" customFormat="1" ht="15.75">
      <c r="A4" s="920"/>
      <c r="B4" s="466"/>
      <c r="C4" s="467"/>
      <c r="D4" s="468"/>
      <c r="E4" s="466"/>
      <c r="F4" s="467"/>
      <c r="G4" s="468"/>
      <c r="H4" s="466"/>
      <c r="I4" s="467"/>
      <c r="J4" s="468"/>
      <c r="K4" s="466"/>
      <c r="L4" s="467"/>
      <c r="M4" s="921"/>
      <c r="T4" s="147"/>
    </row>
    <row r="5" spans="1:20" ht="15.75">
      <c r="A5" s="922" t="s">
        <v>22</v>
      </c>
      <c r="B5" s="61">
        <f>B470</f>
        <v>1835</v>
      </c>
      <c r="C5" s="61">
        <f>D470</f>
        <v>1705</v>
      </c>
      <c r="D5" s="61">
        <f>F470</f>
        <v>1986</v>
      </c>
      <c r="E5" s="61">
        <f>H470</f>
        <v>1747</v>
      </c>
      <c r="F5" s="61">
        <f>J470</f>
        <v>1821</v>
      </c>
      <c r="G5" s="61">
        <f>L470</f>
        <v>1822</v>
      </c>
      <c r="H5" s="61">
        <f>N470</f>
        <v>1785</v>
      </c>
      <c r="I5" s="61">
        <f>P470</f>
        <v>1737</v>
      </c>
      <c r="J5" s="61">
        <f>R470</f>
        <v>1801</v>
      </c>
      <c r="K5" s="61">
        <f>T470</f>
        <v>1678</v>
      </c>
      <c r="L5" s="61">
        <f>V470</f>
        <v>1593</v>
      </c>
      <c r="M5" s="923">
        <f>X470</f>
        <v>1378</v>
      </c>
    </row>
    <row r="6" spans="1:20" s="10" customFormat="1" ht="15.75">
      <c r="A6" s="924" t="s">
        <v>23</v>
      </c>
      <c r="B6" s="49">
        <f>C470</f>
        <v>535</v>
      </c>
      <c r="C6" s="49">
        <f>E470</f>
        <v>497</v>
      </c>
      <c r="D6" s="49">
        <f>G470</f>
        <v>508</v>
      </c>
      <c r="E6" s="49">
        <f>I470</f>
        <v>472</v>
      </c>
      <c r="F6" s="49">
        <f>K470</f>
        <v>556</v>
      </c>
      <c r="G6" s="49">
        <f>M470</f>
        <v>536</v>
      </c>
      <c r="H6" s="49">
        <f>O470</f>
        <v>579</v>
      </c>
      <c r="I6" s="49">
        <f>Q470</f>
        <v>540</v>
      </c>
      <c r="J6" s="49">
        <f>S470</f>
        <v>554</v>
      </c>
      <c r="K6" s="49">
        <f>U470</f>
        <v>533</v>
      </c>
      <c r="L6" s="49">
        <f>W470</f>
        <v>480</v>
      </c>
      <c r="M6" s="925">
        <f>Y470</f>
        <v>445</v>
      </c>
      <c r="T6" s="184"/>
    </row>
    <row r="7" spans="1:20" ht="15.75">
      <c r="A7" s="924" t="s">
        <v>64</v>
      </c>
      <c r="B7" s="50">
        <f t="shared" ref="B7:H7" si="0">B6/B41</f>
        <v>7.6407832159842331E-3</v>
      </c>
      <c r="C7" s="50">
        <f t="shared" si="0"/>
        <v>7.0662837319077545E-3</v>
      </c>
      <c r="D7" s="50">
        <f t="shared" si="0"/>
        <v>6.6779718946773413E-3</v>
      </c>
      <c r="E7" s="50">
        <f t="shared" si="0"/>
        <v>6.7651822442632119E-3</v>
      </c>
      <c r="F7" s="50">
        <f t="shared" si="0"/>
        <v>8.9115417287749833E-3</v>
      </c>
      <c r="G7" s="50">
        <f t="shared" si="0"/>
        <v>9.1522240245880647E-3</v>
      </c>
      <c r="H7" s="50">
        <f t="shared" si="0"/>
        <v>9.5546131124275985E-3</v>
      </c>
      <c r="I7" s="50">
        <f>I6/I41</f>
        <v>8.9638458218518641E-3</v>
      </c>
      <c r="J7" s="50">
        <f>J6/J41</f>
        <v>9.2202712823500049E-3</v>
      </c>
      <c r="K7" s="50">
        <f>K6/K41</f>
        <v>8.9008383153535292E-3</v>
      </c>
      <c r="L7" s="50">
        <f>L6/L41</f>
        <v>8.1320096228780538E-3</v>
      </c>
      <c r="M7" s="926">
        <f>M6/M41</f>
        <v>7.1356413257861228E-3</v>
      </c>
    </row>
    <row r="8" spans="1:20" s="10" customFormat="1" ht="16.5" thickBot="1">
      <c r="A8" s="927" t="s">
        <v>123</v>
      </c>
      <c r="B8" s="2954">
        <f>SUM(B6:D6)/SUM(B69:D69)</f>
        <v>7.115661848963146E-3</v>
      </c>
      <c r="C8" s="2955"/>
      <c r="D8" s="2956"/>
      <c r="E8" s="2954">
        <f>SUM(E6:G6)/SUM(E69:G69)</f>
        <v>8.2002883733123602E-3</v>
      </c>
      <c r="F8" s="2955"/>
      <c r="G8" s="2956"/>
      <c r="H8" s="2954"/>
      <c r="I8" s="2955"/>
      <c r="J8" s="2956"/>
      <c r="K8" s="2954"/>
      <c r="L8" s="2955"/>
      <c r="M8" s="2958"/>
      <c r="T8" s="184"/>
    </row>
    <row r="9" spans="1:20" ht="15.75">
      <c r="A9" s="922" t="s">
        <v>0</v>
      </c>
      <c r="B9" s="60">
        <f>B493</f>
        <v>78</v>
      </c>
      <c r="C9" s="60">
        <f>D493</f>
        <v>75</v>
      </c>
      <c r="D9" s="60">
        <f>F493</f>
        <v>68</v>
      </c>
      <c r="E9" s="60">
        <f>H493</f>
        <v>60</v>
      </c>
      <c r="F9" s="60">
        <f>J493</f>
        <v>56</v>
      </c>
      <c r="G9" s="60">
        <f>L493</f>
        <v>63</v>
      </c>
      <c r="H9" s="60">
        <f>N493</f>
        <v>60</v>
      </c>
      <c r="I9" s="60">
        <f>P493</f>
        <v>51</v>
      </c>
      <c r="J9" s="60">
        <f>R493</f>
        <v>51</v>
      </c>
      <c r="K9" s="60">
        <f>T493</f>
        <v>76</v>
      </c>
      <c r="L9" s="60">
        <f>V493</f>
        <v>74</v>
      </c>
      <c r="M9" s="928">
        <f>X493</f>
        <v>69</v>
      </c>
    </row>
    <row r="10" spans="1:20" ht="15.75">
      <c r="A10" s="924" t="s">
        <v>5</v>
      </c>
      <c r="B10" s="51">
        <f>C493</f>
        <v>0</v>
      </c>
      <c r="C10" s="51">
        <f>E493</f>
        <v>0</v>
      </c>
      <c r="D10" s="51">
        <f>G493</f>
        <v>1</v>
      </c>
      <c r="E10" s="51">
        <f>I493</f>
        <v>1</v>
      </c>
      <c r="F10" s="51">
        <f>K493</f>
        <v>1</v>
      </c>
      <c r="G10" s="51">
        <f>M493</f>
        <v>0</v>
      </c>
      <c r="H10" s="51">
        <f>O493</f>
        <v>0</v>
      </c>
      <c r="I10" s="51">
        <f>Q493</f>
        <v>0</v>
      </c>
      <c r="J10" s="51">
        <f>S493</f>
        <v>0</v>
      </c>
      <c r="K10" s="49">
        <f>U493</f>
        <v>0</v>
      </c>
      <c r="L10" s="49">
        <f>W493</f>
        <v>0</v>
      </c>
      <c r="M10" s="925">
        <f>Y493</f>
        <v>0</v>
      </c>
    </row>
    <row r="11" spans="1:20" ht="15.75">
      <c r="A11" s="924" t="s">
        <v>65</v>
      </c>
      <c r="B11" s="52">
        <f t="shared" ref="B11:H11" si="1">B10/B9</f>
        <v>0</v>
      </c>
      <c r="C11" s="52">
        <f t="shared" si="1"/>
        <v>0</v>
      </c>
      <c r="D11" s="52">
        <f t="shared" si="1"/>
        <v>1.4705882352941176E-2</v>
      </c>
      <c r="E11" s="52">
        <f t="shared" si="1"/>
        <v>1.6666666666666666E-2</v>
      </c>
      <c r="F11" s="52">
        <f t="shared" si="1"/>
        <v>1.7857142857142856E-2</v>
      </c>
      <c r="G11" s="52">
        <f t="shared" si="1"/>
        <v>0</v>
      </c>
      <c r="H11" s="52">
        <f t="shared" si="1"/>
        <v>0</v>
      </c>
      <c r="I11" s="52">
        <f>I10/I9</f>
        <v>0</v>
      </c>
      <c r="J11" s="52">
        <f>J10/J9</f>
        <v>0</v>
      </c>
      <c r="K11" s="52">
        <f>K10/K9</f>
        <v>0</v>
      </c>
      <c r="L11" s="52">
        <f>L10/L9</f>
        <v>0</v>
      </c>
      <c r="M11" s="929">
        <f>M10/M9</f>
        <v>0</v>
      </c>
    </row>
    <row r="12" spans="1:20" s="23" customFormat="1" ht="15.75">
      <c r="A12" s="930" t="s">
        <v>129</v>
      </c>
      <c r="B12" s="2951">
        <f>SUM(B10:D10)/SUM(B9:D9)</f>
        <v>4.5248868778280547E-3</v>
      </c>
      <c r="C12" s="2952"/>
      <c r="D12" s="2953"/>
      <c r="E12" s="2951">
        <f>SUM(E10:G10)/SUM(E9:G9)</f>
        <v>1.11731843575419E-2</v>
      </c>
      <c r="F12" s="2952"/>
      <c r="G12" s="2953"/>
      <c r="H12" s="2951">
        <f>SUM(H10:J10)/SUM(H9:J9)</f>
        <v>0</v>
      </c>
      <c r="I12" s="2952"/>
      <c r="J12" s="2953"/>
      <c r="K12" s="2951"/>
      <c r="L12" s="2952"/>
      <c r="M12" s="2959"/>
      <c r="T12" s="147"/>
    </row>
    <row r="13" spans="1:20" s="23" customFormat="1" ht="16.5" thickBot="1">
      <c r="A13" s="931" t="s">
        <v>128</v>
      </c>
      <c r="B13" s="2960">
        <f>1-B12</f>
        <v>0.99547511312217196</v>
      </c>
      <c r="C13" s="2961"/>
      <c r="D13" s="2963"/>
      <c r="E13" s="2960">
        <f>1-E12</f>
        <v>0.98882681564245811</v>
      </c>
      <c r="F13" s="2961"/>
      <c r="G13" s="2963"/>
      <c r="H13" s="2960">
        <f>1-H12</f>
        <v>1</v>
      </c>
      <c r="I13" s="2961"/>
      <c r="J13" s="2963"/>
      <c r="K13" s="2960"/>
      <c r="L13" s="2961"/>
      <c r="M13" s="2962"/>
      <c r="T13" s="147"/>
    </row>
    <row r="14" spans="1:20" ht="15.75">
      <c r="A14" s="932" t="s">
        <v>24</v>
      </c>
      <c r="B14" s="87">
        <f t="shared" ref="B14:G14" si="2">(1-B7)/2+(1-B11)/2</f>
        <v>0.99617960839200781</v>
      </c>
      <c r="C14" s="87">
        <f t="shared" si="2"/>
        <v>0.99646685813404612</v>
      </c>
      <c r="D14" s="87">
        <f t="shared" si="2"/>
        <v>0.98930807287619071</v>
      </c>
      <c r="E14" s="87">
        <f t="shared" si="2"/>
        <v>0.98828407554453501</v>
      </c>
      <c r="F14" s="87">
        <f t="shared" si="2"/>
        <v>0.98661565770704107</v>
      </c>
      <c r="G14" s="87">
        <f t="shared" si="2"/>
        <v>0.99542388798770598</v>
      </c>
      <c r="H14" s="87">
        <f t="shared" ref="H14:M14" si="3">(1-H7)/2+(1-H11)/2</f>
        <v>0.99522269344378622</v>
      </c>
      <c r="I14" s="87">
        <f t="shared" si="3"/>
        <v>0.99551807708907414</v>
      </c>
      <c r="J14" s="87">
        <f t="shared" si="3"/>
        <v>0.99538986435882504</v>
      </c>
      <c r="K14" s="87">
        <f t="shared" si="3"/>
        <v>0.99554958084232326</v>
      </c>
      <c r="L14" s="87">
        <f t="shared" si="3"/>
        <v>0.99593399518856096</v>
      </c>
      <c r="M14" s="933">
        <f t="shared" si="3"/>
        <v>0.99643217933710693</v>
      </c>
    </row>
    <row r="15" spans="1:20" ht="15.75">
      <c r="A15" s="934" t="s">
        <v>59</v>
      </c>
      <c r="B15" s="53">
        <f>B443/C443</f>
        <v>0.9441624365482234</v>
      </c>
      <c r="C15" s="53">
        <f>L443/M443</f>
        <v>0.9363636363636364</v>
      </c>
      <c r="D15" s="53">
        <f>V443/W443</f>
        <v>0.97714285714285709</v>
      </c>
      <c r="E15" s="2088"/>
      <c r="F15" s="2089"/>
      <c r="G15" s="2091"/>
      <c r="H15" s="2088"/>
      <c r="I15" s="2089"/>
      <c r="J15" s="2097"/>
      <c r="K15" s="2098"/>
      <c r="L15" s="2089"/>
      <c r="M15" s="2099"/>
    </row>
    <row r="16" spans="1:20" s="23" customFormat="1" ht="15.75">
      <c r="A16" s="930" t="s">
        <v>123</v>
      </c>
      <c r="B16" s="2947">
        <f>AVERAGE(B15:D15)</f>
        <v>0.95255631001823904</v>
      </c>
      <c r="C16" s="2948"/>
      <c r="D16" s="2949"/>
      <c r="E16" s="2947"/>
      <c r="F16" s="2948"/>
      <c r="G16" s="2949"/>
      <c r="H16" s="2947"/>
      <c r="I16" s="2948"/>
      <c r="J16" s="2949"/>
      <c r="K16" s="2947"/>
      <c r="L16" s="2948"/>
      <c r="M16" s="2964"/>
      <c r="T16" s="147"/>
    </row>
    <row r="17" spans="1:20" ht="15.75">
      <c r="A17" s="934" t="s">
        <v>60</v>
      </c>
      <c r="B17" s="54">
        <f>D443/E443</f>
        <v>0.99328859060402686</v>
      </c>
      <c r="C17" s="54">
        <f>N443/O443</f>
        <v>1</v>
      </c>
      <c r="D17" s="54">
        <f>X443/Y443</f>
        <v>1</v>
      </c>
      <c r="E17" s="2088"/>
      <c r="F17" s="2089"/>
      <c r="G17" s="2091"/>
      <c r="H17" s="2088"/>
      <c r="I17" s="2089"/>
      <c r="J17" s="2097"/>
      <c r="K17" s="2098"/>
      <c r="L17" s="2089"/>
      <c r="M17" s="2099"/>
    </row>
    <row r="18" spans="1:20" s="23" customFormat="1" ht="15.75">
      <c r="A18" s="930" t="s">
        <v>123</v>
      </c>
      <c r="B18" s="2935">
        <f>AVERAGE(B17:D17)</f>
        <v>0.99776286353467558</v>
      </c>
      <c r="C18" s="2936"/>
      <c r="D18" s="2937"/>
      <c r="E18" s="2935"/>
      <c r="F18" s="2936"/>
      <c r="G18" s="2937"/>
      <c r="H18" s="2935"/>
      <c r="I18" s="2936"/>
      <c r="J18" s="2937"/>
      <c r="K18" s="2935"/>
      <c r="L18" s="2936"/>
      <c r="M18" s="2950"/>
      <c r="T18" s="147"/>
    </row>
    <row r="19" spans="1:20" ht="15.75">
      <c r="A19" s="934" t="s">
        <v>61</v>
      </c>
      <c r="B19" s="55">
        <f>F443/G443</f>
        <v>0.99266503667481665</v>
      </c>
      <c r="C19" s="55">
        <f>P443/Q443</f>
        <v>0.99714285714285711</v>
      </c>
      <c r="D19" s="55">
        <f>Z443/AA443</f>
        <v>0.99721448467966578</v>
      </c>
      <c r="E19" s="2088"/>
      <c r="F19" s="2089"/>
      <c r="G19" s="2091"/>
      <c r="H19" s="2088"/>
      <c r="I19" s="2089"/>
      <c r="J19" s="2097"/>
      <c r="K19" s="2098"/>
      <c r="L19" s="2089"/>
      <c r="M19" s="2099"/>
    </row>
    <row r="20" spans="1:20" s="23" customFormat="1" ht="15.75">
      <c r="A20" s="930" t="s">
        <v>123</v>
      </c>
      <c r="B20" s="2935">
        <f>AVERAGE(B19:D19)</f>
        <v>0.99567412616577988</v>
      </c>
      <c r="C20" s="2936"/>
      <c r="D20" s="2937"/>
      <c r="E20" s="2935"/>
      <c r="F20" s="2936"/>
      <c r="G20" s="2937"/>
      <c r="H20" s="2935"/>
      <c r="I20" s="2936"/>
      <c r="J20" s="2937"/>
      <c r="K20" s="2935"/>
      <c r="L20" s="2936"/>
      <c r="M20" s="2950"/>
      <c r="T20" s="147"/>
    </row>
    <row r="21" spans="1:20" s="2" customFormat="1" ht="15.75">
      <c r="A21" s="940" t="s">
        <v>764</v>
      </c>
      <c r="B21" s="2343"/>
      <c r="C21" s="2092"/>
      <c r="D21" s="2344"/>
      <c r="E21" s="2082">
        <f>AL443/AM443</f>
        <v>1</v>
      </c>
      <c r="F21" s="2082">
        <f>AX443/AY443</f>
        <v>0.99629171817058093</v>
      </c>
      <c r="G21" s="2082">
        <f>BJ443/BK443</f>
        <v>0.99593023255813951</v>
      </c>
      <c r="H21" s="2081">
        <f>BV443/BW443</f>
        <v>0.91150442477876104</v>
      </c>
      <c r="I21" s="2090">
        <f>CH443/CI443</f>
        <v>0.99467021985343107</v>
      </c>
      <c r="J21" s="2090">
        <f>CT443/CU443</f>
        <v>0.99242902208201889</v>
      </c>
      <c r="K21" s="2081">
        <f>DF443/DG443</f>
        <v>0.99011406844106464</v>
      </c>
      <c r="L21" s="2081">
        <f>DR443/DS443</f>
        <v>0.99569707401032703</v>
      </c>
      <c r="M21" s="2083"/>
      <c r="T21" s="129"/>
    </row>
    <row r="22" spans="1:20" s="2" customFormat="1" ht="15.75">
      <c r="A22" s="930" t="s">
        <v>123</v>
      </c>
      <c r="B22" s="2345"/>
      <c r="C22" s="2093"/>
      <c r="D22" s="2346"/>
      <c r="E22" s="2947">
        <f>AVERAGE(E21:G21)</f>
        <v>0.99740731690957352</v>
      </c>
      <c r="F22" s="2948"/>
      <c r="G22" s="2949"/>
      <c r="H22" s="2040"/>
      <c r="I22" s="2041"/>
      <c r="J22" s="2041"/>
      <c r="K22" s="2040"/>
      <c r="L22" s="2041"/>
      <c r="M22" s="2042"/>
      <c r="T22" s="129"/>
    </row>
    <row r="23" spans="1:20" s="2" customFormat="1" ht="15.75">
      <c r="A23" s="940" t="s">
        <v>763</v>
      </c>
      <c r="B23" s="2345"/>
      <c r="C23" s="2093"/>
      <c r="D23" s="2346"/>
      <c r="E23" s="2082">
        <f>AN443/AO443</f>
        <v>0.99702823179791977</v>
      </c>
      <c r="F23" s="2082">
        <f>AZ443/BA443</f>
        <v>0.99343417553191493</v>
      </c>
      <c r="G23" s="2082">
        <f>BL443/BM443</f>
        <v>0.99063905661141949</v>
      </c>
      <c r="H23" s="2081">
        <f>BX443/BY443</f>
        <v>0.9882212495025865</v>
      </c>
      <c r="I23" s="2090">
        <f>CJ443/CK443</f>
        <v>0.98981947077734733</v>
      </c>
      <c r="J23" s="2090">
        <f>CV443/CW443</f>
        <v>0.98879841276402269</v>
      </c>
      <c r="K23" s="2081">
        <f>DH443/DI443</f>
        <v>0.99379966012951826</v>
      </c>
      <c r="L23" s="2081">
        <f>DT443/DU443</f>
        <v>0.99024322574678625</v>
      </c>
      <c r="M23" s="2083"/>
      <c r="T23" s="129"/>
    </row>
    <row r="24" spans="1:20" s="2" customFormat="1" ht="15.75">
      <c r="A24" s="2084" t="s">
        <v>123</v>
      </c>
      <c r="B24" s="2345"/>
      <c r="C24" s="2093"/>
      <c r="D24" s="2346"/>
      <c r="E24" s="2947">
        <f>AVERAGE(E23:G23)</f>
        <v>0.99370048798041799</v>
      </c>
      <c r="F24" s="2948"/>
      <c r="G24" s="2949"/>
      <c r="H24" s="2085"/>
      <c r="I24" s="2086"/>
      <c r="J24" s="2086"/>
      <c r="K24" s="2085"/>
      <c r="L24" s="2086"/>
      <c r="M24" s="2087"/>
      <c r="T24" s="129"/>
    </row>
    <row r="25" spans="1:20" s="2" customFormat="1" ht="15.75">
      <c r="A25" s="940" t="s">
        <v>777</v>
      </c>
      <c r="B25" s="2345"/>
      <c r="C25" s="2093"/>
      <c r="D25" s="2346"/>
      <c r="E25" s="2082" t="s">
        <v>766</v>
      </c>
      <c r="F25" s="2090" t="s">
        <v>766</v>
      </c>
      <c r="G25" s="2082" t="s">
        <v>766</v>
      </c>
      <c r="H25" s="2081" t="s">
        <v>766</v>
      </c>
      <c r="I25" s="2090" t="s">
        <v>766</v>
      </c>
      <c r="J25" s="2090" t="s">
        <v>766</v>
      </c>
      <c r="K25" s="2081" t="s">
        <v>766</v>
      </c>
      <c r="L25" s="2090" t="s">
        <v>766</v>
      </c>
      <c r="M25" s="2083" t="s">
        <v>766</v>
      </c>
      <c r="T25" s="129"/>
    </row>
    <row r="26" spans="1:20" s="2" customFormat="1" ht="15.75">
      <c r="A26" s="2084" t="s">
        <v>123</v>
      </c>
      <c r="B26" s="2345"/>
      <c r="C26" s="2093"/>
      <c r="D26" s="2346"/>
      <c r="E26" s="2086"/>
      <c r="F26" s="2086"/>
      <c r="G26" s="2086"/>
      <c r="H26" s="2086"/>
      <c r="I26" s="2086"/>
      <c r="J26" s="2086"/>
      <c r="K26" s="2086"/>
      <c r="L26" s="2086"/>
      <c r="M26" s="2087"/>
      <c r="T26" s="129"/>
    </row>
    <row r="27" spans="1:20" s="2" customFormat="1" ht="15.75">
      <c r="A27" s="2342" t="s">
        <v>765</v>
      </c>
      <c r="B27" s="2345"/>
      <c r="C27" s="2093"/>
      <c r="D27" s="2346"/>
      <c r="E27" s="2082" t="s">
        <v>766</v>
      </c>
      <c r="F27" s="2090" t="s">
        <v>766</v>
      </c>
      <c r="G27" s="2090" t="s">
        <v>766</v>
      </c>
      <c r="H27" s="2090" t="s">
        <v>766</v>
      </c>
      <c r="I27" s="2090" t="s">
        <v>766</v>
      </c>
      <c r="J27" s="2090" t="s">
        <v>766</v>
      </c>
      <c r="K27" s="2090" t="s">
        <v>766</v>
      </c>
      <c r="L27" s="2090" t="s">
        <v>766</v>
      </c>
      <c r="M27" s="2083" t="s">
        <v>766</v>
      </c>
      <c r="T27" s="129"/>
    </row>
    <row r="28" spans="1:20" s="2" customFormat="1" ht="15.75">
      <c r="A28" s="930" t="s">
        <v>123</v>
      </c>
      <c r="B28" s="2347"/>
      <c r="C28" s="2094"/>
      <c r="D28" s="2348"/>
      <c r="E28" s="2209"/>
      <c r="F28" s="2209"/>
      <c r="G28" s="2209"/>
      <c r="H28" s="2209"/>
      <c r="I28" s="2209"/>
      <c r="J28" s="2209"/>
      <c r="K28" s="2209"/>
      <c r="L28" s="2209"/>
      <c r="M28" s="2210"/>
      <c r="T28" s="129"/>
    </row>
    <row r="29" spans="1:20" ht="15.75">
      <c r="A29" s="935" t="s">
        <v>341</v>
      </c>
      <c r="B29" s="152">
        <f>AVERAGE(B15,B17,B19)</f>
        <v>0.97670535460902241</v>
      </c>
      <c r="C29" s="152">
        <f>AVERAGE(C15,C17,C19)</f>
        <v>0.97783549783549795</v>
      </c>
      <c r="D29" s="152">
        <f>AVERAGE(D15,D17,D19)</f>
        <v>0.99145244727417425</v>
      </c>
      <c r="E29" s="152">
        <f t="shared" ref="E29:J29" si="4">AVERAGE(E21,E23)</f>
        <v>0.99851411589895989</v>
      </c>
      <c r="F29" s="152">
        <f t="shared" si="4"/>
        <v>0.99486294685124799</v>
      </c>
      <c r="G29" s="152">
        <f t="shared" si="4"/>
        <v>0.9932846445847795</v>
      </c>
      <c r="H29" s="152">
        <f t="shared" si="4"/>
        <v>0.94986283714067377</v>
      </c>
      <c r="I29" s="152">
        <f t="shared" si="4"/>
        <v>0.99224484531538915</v>
      </c>
      <c r="J29" s="152">
        <f t="shared" si="4"/>
        <v>0.99061371742302073</v>
      </c>
      <c r="K29" s="152">
        <f>AVERAGE(K21,K23)</f>
        <v>0.9919568642852914</v>
      </c>
      <c r="L29" s="152">
        <f>AVERAGE(L21,L23)</f>
        <v>0.99297014987855658</v>
      </c>
      <c r="M29" s="936"/>
    </row>
    <row r="30" spans="1:20" s="23" customFormat="1" ht="16.5" thickBot="1">
      <c r="A30" s="937" t="s">
        <v>342</v>
      </c>
      <c r="B30" s="2942">
        <f>AVERAGE(B29:D29)</f>
        <v>0.98199776657289828</v>
      </c>
      <c r="C30" s="2943"/>
      <c r="D30" s="2944"/>
      <c r="E30" s="2942">
        <f>AVERAGE(E29:G29)</f>
        <v>0.99555390244499575</v>
      </c>
      <c r="F30" s="2943"/>
      <c r="G30" s="2944"/>
      <c r="H30" s="2942">
        <f>AVERAGE(H29:J29)</f>
        <v>0.97757379995969451</v>
      </c>
      <c r="I30" s="2943"/>
      <c r="J30" s="2944"/>
      <c r="K30" s="2942"/>
      <c r="L30" s="2943"/>
      <c r="M30" s="2945"/>
      <c r="T30" s="147"/>
    </row>
    <row r="31" spans="1:20" s="23" customFormat="1" ht="15.75">
      <c r="A31" s="938" t="s">
        <v>124</v>
      </c>
      <c r="B31" s="68">
        <f>LBBS!D3</f>
        <v>1058</v>
      </c>
      <c r="C31" s="94">
        <f>LBBS!D4</f>
        <v>1235</v>
      </c>
      <c r="D31" s="94">
        <f>LBBS!D5</f>
        <v>1307</v>
      </c>
      <c r="E31" s="94">
        <f>LBBS!D6</f>
        <v>1043</v>
      </c>
      <c r="F31" s="94">
        <f>LBBS!D7</f>
        <v>901</v>
      </c>
      <c r="G31" s="94">
        <f>LBBS!D8</f>
        <v>795</v>
      </c>
      <c r="H31" s="94">
        <f>LBBS!D9</f>
        <v>769</v>
      </c>
      <c r="I31" s="94">
        <f>LBBS!D10</f>
        <v>762</v>
      </c>
      <c r="J31" s="94">
        <f>LBBS!D11</f>
        <v>854</v>
      </c>
      <c r="K31" s="68">
        <f>LBBS!D12</f>
        <v>811</v>
      </c>
      <c r="L31" s="68">
        <f>LBBS!D13</f>
        <v>693</v>
      </c>
      <c r="M31" s="939">
        <f>LBBS!D14</f>
        <v>717</v>
      </c>
      <c r="T31" s="147"/>
    </row>
    <row r="32" spans="1:20" s="23" customFormat="1" ht="15.75">
      <c r="A32" s="940" t="s">
        <v>125</v>
      </c>
      <c r="B32" s="153">
        <f>LBBS!C3</f>
        <v>65146</v>
      </c>
      <c r="C32" s="154">
        <f>LBBS!C4</f>
        <v>65709</v>
      </c>
      <c r="D32" s="154">
        <f>LBBS!C5</f>
        <v>70200</v>
      </c>
      <c r="E32" s="153">
        <f>LBBS!C6</f>
        <v>64605</v>
      </c>
      <c r="F32" s="153">
        <f>LBBS!C7</f>
        <v>64223</v>
      </c>
      <c r="G32" s="154">
        <f>LBBS!C8</f>
        <v>60206</v>
      </c>
      <c r="H32" s="154">
        <f>LBBS!C9</f>
        <v>60369</v>
      </c>
      <c r="I32" s="154">
        <f>LBBS!C10</f>
        <v>61047</v>
      </c>
      <c r="J32" s="154">
        <f>LBBS!C11</f>
        <v>61027</v>
      </c>
      <c r="K32" s="153">
        <f>LBBS!C12</f>
        <v>60301</v>
      </c>
      <c r="L32" s="153">
        <f>LBBS!C13</f>
        <v>52421</v>
      </c>
      <c r="M32" s="941">
        <f>LBBS!C14</f>
        <v>51145</v>
      </c>
      <c r="N32" s="2725"/>
      <c r="T32" s="147"/>
    </row>
    <row r="33" spans="1:73" s="23" customFormat="1" ht="16.5" thickBot="1">
      <c r="A33" s="931" t="s">
        <v>123</v>
      </c>
      <c r="B33" s="2938">
        <f>SUM(B31:D31)/SUM(B32:D32)</f>
        <v>1.7905548233070553E-2</v>
      </c>
      <c r="C33" s="2939"/>
      <c r="D33" s="2940"/>
      <c r="E33" s="2938">
        <f>SUM(E31:G31)/SUM(E32:G32)</f>
        <v>1.44894569230932E-2</v>
      </c>
      <c r="F33" s="2939"/>
      <c r="G33" s="2940"/>
      <c r="H33" s="2938">
        <f>SUM(H31:J31)/SUM(H32:J32)</f>
        <v>1.3072576092258953E-2</v>
      </c>
      <c r="I33" s="2939"/>
      <c r="J33" s="2940"/>
      <c r="K33" s="2938"/>
      <c r="L33" s="2939"/>
      <c r="M33" s="2957"/>
      <c r="T33" s="147"/>
    </row>
    <row r="34" spans="1:73" s="23" customFormat="1" ht="15.75">
      <c r="A34" s="938" t="s">
        <v>305</v>
      </c>
      <c r="B34" s="59">
        <f>EFFICIENCY!C19</f>
        <v>27.030028165210179</v>
      </c>
      <c r="C34" s="94">
        <f>EFFICIENCY!C20</f>
        <v>28.897045379393514</v>
      </c>
      <c r="D34" s="94">
        <f>EFFICIENCY!C21</f>
        <v>34.247114810911235</v>
      </c>
      <c r="E34" s="94">
        <f>EFFICIENCY!C22</f>
        <v>29.523170404372436</v>
      </c>
      <c r="F34" s="94">
        <f>EFFICIENCY!C23</f>
        <v>27.620734700247763</v>
      </c>
      <c r="G34" s="94">
        <f>EFFICIENCY!C24</f>
        <v>30.775070271164022</v>
      </c>
      <c r="H34" s="94">
        <f>EFFICIENCY!C25</f>
        <v>21.54180234759561</v>
      </c>
      <c r="I34" s="94">
        <f>EFFICIENCY!C26</f>
        <v>24.887207535703432</v>
      </c>
      <c r="J34" s="94">
        <f>EFFICIENCY!C27</f>
        <v>27.796772736438797</v>
      </c>
      <c r="K34" s="59">
        <f>EFFICIENCY!C28</f>
        <v>26.360567286862512</v>
      </c>
      <c r="L34" s="59">
        <f>EFFICIENCY!C30</f>
        <v>11.854000000000003</v>
      </c>
      <c r="M34" s="939">
        <f>EFFICIENCY!D29</f>
        <v>11.946666666666667</v>
      </c>
      <c r="N34" s="121"/>
      <c r="T34" s="147"/>
    </row>
    <row r="35" spans="1:73" s="23" customFormat="1" ht="16.5" thickBot="1">
      <c r="A35" s="942" t="s">
        <v>123</v>
      </c>
      <c r="B35" s="2929">
        <f>((B34*B32)+(C34*C32)+(D34*D32))/SUM(B32:D32)</f>
        <v>30.160113548090418</v>
      </c>
      <c r="C35" s="2930"/>
      <c r="D35" s="2941"/>
      <c r="E35" s="2929">
        <f>((E34*E32)+(F34*F32)+(G34*G32))/SUM(E32:G32)</f>
        <v>29.275552278289588</v>
      </c>
      <c r="F35" s="2930"/>
      <c r="G35" s="2941"/>
      <c r="H35" s="2929">
        <f>((H34*H32)+(I34*I32)+(J34*J32))/SUM(H32:J32)</f>
        <v>24.753485056377809</v>
      </c>
      <c r="I35" s="2930"/>
      <c r="J35" s="2941"/>
      <c r="K35" s="2929">
        <f>AVERAGE(K34:M34)</f>
        <v>16.720411317843062</v>
      </c>
      <c r="L35" s="2930"/>
      <c r="M35" s="2931"/>
      <c r="T35" s="147"/>
    </row>
    <row r="36" spans="1:73" ht="15.75">
      <c r="A36" s="943" t="s">
        <v>593</v>
      </c>
      <c r="B36" s="993"/>
      <c r="C36" s="994"/>
      <c r="D36" s="993"/>
      <c r="E36" s="56"/>
      <c r="F36" s="994"/>
      <c r="G36" s="58"/>
      <c r="H36" s="56"/>
      <c r="I36" s="994"/>
      <c r="J36" s="57"/>
      <c r="K36" s="56"/>
      <c r="L36" s="994"/>
      <c r="M36" s="944"/>
    </row>
    <row r="37" spans="1:73" s="23" customFormat="1" ht="16.5">
      <c r="A37" s="1917" t="s">
        <v>649</v>
      </c>
      <c r="B37" s="185">
        <f>'PROVIDER PRODUCTIVITY'!D25</f>
        <v>2.4535280713106511</v>
      </c>
      <c r="C37" s="185">
        <f>'PROVIDER PRODUCTIVITY'!D26</f>
        <v>2.6307195590035586</v>
      </c>
      <c r="D37" s="185">
        <f>'PROVIDER PRODUCTIVITY'!D27</f>
        <v>2.6669153375206252</v>
      </c>
      <c r="E37" s="185">
        <f>'PROVIDER PRODUCTIVITY'!D28</f>
        <v>2.5634975250426058</v>
      </c>
      <c r="F37" s="185">
        <f>'PROVIDER PRODUCTIVITY'!D29</f>
        <v>2.508735201502168</v>
      </c>
      <c r="G37" s="185">
        <f>'PROVIDER PRODUCTIVITY'!D30</f>
        <v>2.4730433129831977</v>
      </c>
      <c r="H37" s="185">
        <f>'PROVIDER PRODUCTIVITY'!D31</f>
        <v>2.4498893808689788</v>
      </c>
      <c r="I37" s="185">
        <f>'PROVIDER PRODUCTIVITY'!D32</f>
        <v>2.3565025715411454</v>
      </c>
      <c r="J37" s="185">
        <f>'PROVIDER PRODUCTIVITY'!D33</f>
        <v>2.4554369014526305</v>
      </c>
      <c r="K37" s="995">
        <f>'PROVIDER PRODUCTIVITY'!D34</f>
        <v>2.3262813590165505</v>
      </c>
      <c r="L37" s="185">
        <f>'PROVIDER PRODUCTIVITY'!D35</f>
        <v>2.2899899331860323</v>
      </c>
      <c r="M37" s="996">
        <f>'PROVIDER PRODUCTIVITY'!D36</f>
        <v>2.4360324798070732</v>
      </c>
      <c r="N37" s="11"/>
      <c r="O37" s="11"/>
      <c r="P37" s="11"/>
      <c r="T37" s="147"/>
    </row>
    <row r="38" spans="1:73" s="23" customFormat="1" ht="16.5">
      <c r="A38" s="1916" t="s">
        <v>650</v>
      </c>
      <c r="B38" s="185">
        <f>'PROVIDER PRODUCTIVITY'!C25</f>
        <v>1.2082868307727876</v>
      </c>
      <c r="C38" s="185">
        <f>'PROVIDER PRODUCTIVITY'!C26</f>
        <v>1.3393924019193628</v>
      </c>
      <c r="D38" s="185">
        <f>'PROVIDER PRODUCTIVITY'!C27</f>
        <v>1.28044758391309</v>
      </c>
      <c r="E38" s="185">
        <f>'PROVIDER PRODUCTIVITY'!C28</f>
        <v>1.2513025387102992</v>
      </c>
      <c r="F38" s="185">
        <f>'PROVIDER PRODUCTIVITY'!C29</f>
        <v>1.1786645569380483</v>
      </c>
      <c r="G38" s="185">
        <f>'PROVIDER PRODUCTIVITY'!C30</f>
        <v>1.1495636204430943</v>
      </c>
      <c r="H38" s="185">
        <f>'PROVIDER PRODUCTIVITY'!C31</f>
        <v>1.0822638364855908</v>
      </c>
      <c r="I38" s="185">
        <f>'PROVIDER PRODUCTIVITY'!C32</f>
        <v>1.125834511760069</v>
      </c>
      <c r="J38" s="185">
        <f>'PROVIDER PRODUCTIVITY'!C33</f>
        <v>1.1256468523139915</v>
      </c>
      <c r="K38" s="995">
        <f>'PROVIDER PRODUCTIVITY'!C34</f>
        <v>1.1130986052670695</v>
      </c>
      <c r="L38" s="185">
        <f>'PROVIDER PRODUCTIVITY'!C35</f>
        <v>1.1920218731188086</v>
      </c>
      <c r="M38" s="996">
        <f>'PROVIDER PRODUCTIVITY'!C36</f>
        <v>1.1795074884792627</v>
      </c>
      <c r="N38" s="11"/>
      <c r="O38" s="11"/>
      <c r="P38" s="11"/>
      <c r="T38" s="147"/>
    </row>
    <row r="39" spans="1:73" s="23" customFormat="1" ht="16.5">
      <c r="A39" s="945" t="s">
        <v>127</v>
      </c>
      <c r="B39" s="976">
        <f>'PROVIDER PRODUCTIVITY'!B25</f>
        <v>1.8954812154065317</v>
      </c>
      <c r="C39" s="976">
        <f>'PROVIDER PRODUCTIVITY'!B26</f>
        <v>2.0055749314603193</v>
      </c>
      <c r="D39" s="976">
        <f>'PROVIDER PRODUCTIVITY'!B27</f>
        <v>2.0406857624623314</v>
      </c>
      <c r="E39" s="976">
        <f>'PROVIDER PRODUCTIVITY'!B28</f>
        <v>1.9389658151836666</v>
      </c>
      <c r="F39" s="976">
        <f>'PROVIDER PRODUCTIVITY'!B29</f>
        <v>1.9133240422385662</v>
      </c>
      <c r="G39" s="976">
        <f>'PROVIDER PRODUCTIVITY'!B30</f>
        <v>1.8662754846518852</v>
      </c>
      <c r="H39" s="976">
        <f>'PROVIDER PRODUCTIVITY'!B31</f>
        <v>1.8446512280718272</v>
      </c>
      <c r="I39" s="976">
        <f>'PROVIDER PRODUCTIVITY'!B32</f>
        <v>1.7907578355254672</v>
      </c>
      <c r="J39" s="976">
        <f>'PROVIDER PRODUCTIVITY'!B33</f>
        <v>1.8521746184657093</v>
      </c>
      <c r="K39" s="995">
        <f>'PROVIDER PRODUCTIVITY'!B34</f>
        <v>1.790633691920031</v>
      </c>
      <c r="L39" s="185">
        <f>'PROVIDER PRODUCTIVITY'!B35</f>
        <v>1.7638412441629505</v>
      </c>
      <c r="M39" s="996">
        <f>'PROVIDER PRODUCTIVITY'!B36</f>
        <v>1.8826757341505362</v>
      </c>
      <c r="N39" s="11"/>
      <c r="O39" s="11"/>
      <c r="P39" s="11"/>
      <c r="T39" s="147"/>
    </row>
    <row r="40" spans="1:73" s="23" customFormat="1" ht="17.25" thickBot="1">
      <c r="A40" s="946" t="s">
        <v>123</v>
      </c>
      <c r="B40" s="2932"/>
      <c r="C40" s="2933"/>
      <c r="D40" s="2946"/>
      <c r="E40" s="2932"/>
      <c r="F40" s="2933"/>
      <c r="G40" s="2946"/>
      <c r="H40" s="2932"/>
      <c r="I40" s="2933"/>
      <c r="J40" s="2946"/>
      <c r="K40" s="2932"/>
      <c r="L40" s="2933"/>
      <c r="M40" s="2934"/>
      <c r="N40" s="11"/>
      <c r="O40" s="11"/>
      <c r="P40" s="11"/>
      <c r="T40" s="147"/>
    </row>
    <row r="41" spans="1:73" ht="16.5" thickBot="1">
      <c r="A41" s="947" t="s">
        <v>126</v>
      </c>
      <c r="B41" s="948">
        <f t="shared" ref="B41:J41" si="5">B69</f>
        <v>70019</v>
      </c>
      <c r="C41" s="949">
        <f t="shared" si="5"/>
        <v>70334</v>
      </c>
      <c r="D41" s="950">
        <f t="shared" si="5"/>
        <v>76071</v>
      </c>
      <c r="E41" s="950">
        <f t="shared" si="5"/>
        <v>69769</v>
      </c>
      <c r="F41" s="950">
        <f t="shared" si="5"/>
        <v>62391</v>
      </c>
      <c r="G41" s="950">
        <f t="shared" si="5"/>
        <v>58565</v>
      </c>
      <c r="H41" s="950">
        <f t="shared" si="5"/>
        <v>60599</v>
      </c>
      <c r="I41" s="950">
        <f t="shared" si="5"/>
        <v>60242</v>
      </c>
      <c r="J41" s="950">
        <f t="shared" si="5"/>
        <v>60085</v>
      </c>
      <c r="K41" s="948">
        <f>K69</f>
        <v>59882</v>
      </c>
      <c r="L41" s="948">
        <f>L69</f>
        <v>59026</v>
      </c>
      <c r="M41" s="951">
        <f>M69</f>
        <v>62363</v>
      </c>
    </row>
    <row r="42" spans="1:73" ht="17.25" thickTop="1" thickBot="1">
      <c r="G42" s="1"/>
      <c r="AE42" s="180"/>
      <c r="AF42" s="786"/>
      <c r="AG42" s="786"/>
      <c r="AH42" s="786"/>
      <c r="BR42" s="23"/>
      <c r="BS42" s="23"/>
      <c r="BT42" s="23"/>
      <c r="BU42" s="23"/>
    </row>
    <row r="43" spans="1:73" ht="15" customHeight="1">
      <c r="A43" s="980" t="s">
        <v>27</v>
      </c>
      <c r="B43" s="2927" t="s">
        <v>10</v>
      </c>
      <c r="C43" s="2927" t="s">
        <v>11</v>
      </c>
      <c r="D43" s="2927" t="s">
        <v>12</v>
      </c>
      <c r="E43" s="2927" t="s">
        <v>13</v>
      </c>
      <c r="F43" s="2927" t="s">
        <v>14</v>
      </c>
      <c r="G43" s="2927" t="s">
        <v>15</v>
      </c>
      <c r="H43" s="2927" t="s">
        <v>16</v>
      </c>
      <c r="I43" s="2927" t="s">
        <v>17</v>
      </c>
      <c r="J43" s="2927" t="s">
        <v>18</v>
      </c>
      <c r="K43" s="2927" t="s">
        <v>19</v>
      </c>
      <c r="L43" s="2927" t="s">
        <v>20</v>
      </c>
      <c r="M43" s="2927" t="s">
        <v>21</v>
      </c>
      <c r="N43" s="2965" t="s">
        <v>585</v>
      </c>
      <c r="O43" s="818"/>
      <c r="Q43" s="446"/>
      <c r="R43" s="446"/>
      <c r="S43" s="446"/>
      <c r="T43" s="446"/>
      <c r="AE43" s="180"/>
      <c r="AF43" s="786"/>
      <c r="AG43" s="786"/>
      <c r="AH43" s="786"/>
      <c r="BR43" s="23"/>
      <c r="BS43" s="23"/>
      <c r="BT43" s="23"/>
      <c r="BU43" s="23"/>
    </row>
    <row r="44" spans="1:73" ht="15" customHeight="1">
      <c r="A44" s="985" t="s">
        <v>869</v>
      </c>
      <c r="B44" s="2928"/>
      <c r="C44" s="2928"/>
      <c r="D44" s="2928"/>
      <c r="E44" s="2928"/>
      <c r="F44" s="2928"/>
      <c r="G44" s="2928"/>
      <c r="H44" s="2928"/>
      <c r="I44" s="2928"/>
      <c r="J44" s="2928"/>
      <c r="K44" s="2928"/>
      <c r="L44" s="2928"/>
      <c r="M44" s="2928"/>
      <c r="N44" s="2966"/>
      <c r="O44" s="819"/>
      <c r="Q44" s="446"/>
      <c r="R44" s="447"/>
      <c r="S44" s="447"/>
      <c r="T44" s="446"/>
      <c r="AE44" s="180"/>
      <c r="AF44" s="786"/>
      <c r="AG44" s="786"/>
      <c r="AH44" s="786"/>
      <c r="BR44" s="23"/>
      <c r="BS44" s="23"/>
      <c r="BT44" s="23"/>
      <c r="BU44" s="23"/>
    </row>
    <row r="45" spans="1:73">
      <c r="A45" s="687" t="s">
        <v>636</v>
      </c>
      <c r="B45" s="560">
        <v>7379</v>
      </c>
      <c r="C45" s="560">
        <v>7017</v>
      </c>
      <c r="D45" s="560">
        <v>7648</v>
      </c>
      <c r="E45" s="560">
        <v>7080</v>
      </c>
      <c r="F45" s="560">
        <v>7253</v>
      </c>
      <c r="G45" s="560">
        <v>6975</v>
      </c>
      <c r="H45" s="560">
        <v>7147</v>
      </c>
      <c r="I45" s="560">
        <v>6830</v>
      </c>
      <c r="J45" s="560">
        <v>6893</v>
      </c>
      <c r="K45" s="561">
        <v>6989</v>
      </c>
      <c r="L45" s="561">
        <v>6422</v>
      </c>
      <c r="M45" s="561">
        <v>6757</v>
      </c>
      <c r="N45" s="560">
        <f>SUM(B45:M45)</f>
        <v>84390</v>
      </c>
      <c r="O45" s="815"/>
      <c r="Q45" s="151"/>
      <c r="R45" s="72"/>
      <c r="S45" s="72"/>
      <c r="T45" s="72"/>
      <c r="AE45" s="180"/>
      <c r="AF45" s="786"/>
      <c r="AG45" s="786"/>
      <c r="AH45" s="786"/>
      <c r="BR45" s="23"/>
      <c r="BS45" s="23"/>
      <c r="BT45" s="23"/>
      <c r="BU45" s="23"/>
    </row>
    <row r="46" spans="1:73">
      <c r="A46" s="687" t="s">
        <v>507</v>
      </c>
      <c r="B46" s="560">
        <v>7372</v>
      </c>
      <c r="C46" s="560">
        <v>7259</v>
      </c>
      <c r="D46" s="560">
        <v>7787</v>
      </c>
      <c r="E46" s="560">
        <v>7253</v>
      </c>
      <c r="F46" s="560">
        <v>7142</v>
      </c>
      <c r="G46" s="560">
        <v>6935</v>
      </c>
      <c r="H46" s="560">
        <v>7043</v>
      </c>
      <c r="I46" s="560">
        <v>6956</v>
      </c>
      <c r="J46" s="560">
        <v>7107</v>
      </c>
      <c r="K46" s="561">
        <v>7023</v>
      </c>
      <c r="L46" s="561">
        <v>6860</v>
      </c>
      <c r="M46" s="561">
        <v>7248</v>
      </c>
      <c r="N46" s="560">
        <f t="shared" ref="N46:N67" si="6">SUM(B46:M46)</f>
        <v>85985</v>
      </c>
      <c r="O46" s="815"/>
      <c r="Q46" s="151"/>
      <c r="R46" s="72"/>
      <c r="S46" s="72"/>
      <c r="T46" s="72"/>
      <c r="AE46" s="180"/>
      <c r="AF46" s="786"/>
      <c r="AG46" s="786"/>
      <c r="AH46" s="786"/>
      <c r="BR46" s="23"/>
      <c r="BS46" s="23"/>
      <c r="BT46" s="23"/>
      <c r="BU46" s="23"/>
    </row>
    <row r="47" spans="1:73">
      <c r="A47" s="984" t="s">
        <v>583</v>
      </c>
      <c r="B47" s="562">
        <v>853</v>
      </c>
      <c r="C47" s="562">
        <v>824</v>
      </c>
      <c r="D47" s="560">
        <v>800</v>
      </c>
      <c r="E47" s="560">
        <v>729</v>
      </c>
      <c r="F47" s="560">
        <v>608</v>
      </c>
      <c r="G47" s="560">
        <v>591</v>
      </c>
      <c r="H47" s="560">
        <v>872</v>
      </c>
      <c r="I47" s="560">
        <v>580</v>
      </c>
      <c r="J47" s="560">
        <v>551</v>
      </c>
      <c r="K47" s="561">
        <v>618</v>
      </c>
      <c r="L47" s="561">
        <v>631</v>
      </c>
      <c r="M47" s="561">
        <v>828</v>
      </c>
      <c r="N47" s="560">
        <f t="shared" si="6"/>
        <v>8485</v>
      </c>
      <c r="O47" s="815"/>
      <c r="Q47" s="151"/>
      <c r="R47" s="72"/>
      <c r="S47" s="72"/>
      <c r="T47" s="72"/>
      <c r="AE47" s="180"/>
      <c r="AF47" s="786"/>
      <c r="AG47" s="786"/>
      <c r="AH47" s="786"/>
      <c r="BR47" s="23"/>
      <c r="BS47" s="23"/>
      <c r="BT47" s="23"/>
      <c r="BU47" s="23"/>
    </row>
    <row r="48" spans="1:73">
      <c r="A48" s="984" t="s">
        <v>580</v>
      </c>
      <c r="B48" s="560">
        <v>467</v>
      </c>
      <c r="C48" s="560">
        <v>500</v>
      </c>
      <c r="D48" s="560">
        <v>569</v>
      </c>
      <c r="E48" s="560">
        <v>431</v>
      </c>
      <c r="F48" s="560">
        <v>333</v>
      </c>
      <c r="G48" s="560">
        <v>305</v>
      </c>
      <c r="H48" s="560">
        <v>304</v>
      </c>
      <c r="I48" s="560">
        <v>276</v>
      </c>
      <c r="J48" s="560">
        <v>275</v>
      </c>
      <c r="K48" s="561">
        <v>342</v>
      </c>
      <c r="L48" s="561">
        <v>377</v>
      </c>
      <c r="M48" s="561">
        <v>492</v>
      </c>
      <c r="N48" s="560">
        <f t="shared" si="6"/>
        <v>4671</v>
      </c>
      <c r="O48" s="815"/>
      <c r="Q48" s="151"/>
      <c r="R48" s="72"/>
      <c r="S48" s="72"/>
      <c r="T48" s="72"/>
      <c r="AE48" s="180"/>
      <c r="AF48" s="72"/>
      <c r="AG48" s="72"/>
      <c r="AH48" s="72"/>
      <c r="BR48" s="23"/>
      <c r="BS48" s="23"/>
      <c r="BT48" s="23"/>
      <c r="BU48" s="23"/>
    </row>
    <row r="49" spans="1:73">
      <c r="A49" s="687" t="s">
        <v>84</v>
      </c>
      <c r="B49" s="562">
        <v>3072</v>
      </c>
      <c r="C49" s="562">
        <v>2852</v>
      </c>
      <c r="D49" s="562">
        <v>3214</v>
      </c>
      <c r="E49" s="562">
        <v>2729</v>
      </c>
      <c r="F49" s="562">
        <v>2691</v>
      </c>
      <c r="G49" s="560">
        <v>2599</v>
      </c>
      <c r="H49" s="560">
        <v>2587</v>
      </c>
      <c r="I49" s="560">
        <v>2611</v>
      </c>
      <c r="J49" s="560">
        <v>2456</v>
      </c>
      <c r="K49" s="561">
        <v>2686</v>
      </c>
      <c r="L49" s="561">
        <v>2821</v>
      </c>
      <c r="M49" s="561">
        <v>3181</v>
      </c>
      <c r="N49" s="560">
        <f t="shared" si="6"/>
        <v>33499</v>
      </c>
      <c r="O49" s="815"/>
      <c r="Q49" s="151"/>
      <c r="R49" s="72"/>
      <c r="S49" s="72"/>
      <c r="T49" s="72"/>
      <c r="AE49" s="180"/>
      <c r="AF49" s="786"/>
      <c r="AG49" s="786"/>
      <c r="AH49" s="786"/>
      <c r="BR49" s="23"/>
      <c r="BS49" s="23"/>
      <c r="BT49" s="23"/>
      <c r="BU49" s="23"/>
    </row>
    <row r="50" spans="1:73" s="23" customFormat="1">
      <c r="A50" s="984" t="s">
        <v>581</v>
      </c>
      <c r="B50" s="562">
        <v>158</v>
      </c>
      <c r="C50" s="562">
        <v>232</v>
      </c>
      <c r="D50" s="562">
        <v>269</v>
      </c>
      <c r="E50" s="562">
        <v>223</v>
      </c>
      <c r="F50" s="562">
        <v>243</v>
      </c>
      <c r="G50" s="560">
        <v>180</v>
      </c>
      <c r="H50" s="560">
        <v>188</v>
      </c>
      <c r="I50" s="560">
        <v>191</v>
      </c>
      <c r="J50" s="560">
        <v>202</v>
      </c>
      <c r="K50" s="561">
        <v>231</v>
      </c>
      <c r="L50" s="561">
        <v>213</v>
      </c>
      <c r="M50" s="561">
        <v>251</v>
      </c>
      <c r="N50" s="560">
        <f t="shared" si="6"/>
        <v>2581</v>
      </c>
      <c r="O50" s="815"/>
      <c r="Q50" s="151"/>
      <c r="R50" s="72"/>
      <c r="S50" s="72"/>
      <c r="T50" s="72"/>
      <c r="AE50" s="180"/>
      <c r="AF50" s="786"/>
      <c r="AG50" s="786"/>
      <c r="AH50" s="786"/>
    </row>
    <row r="51" spans="1:73">
      <c r="A51" s="687" t="s">
        <v>28</v>
      </c>
      <c r="B51" s="560">
        <v>5352</v>
      </c>
      <c r="C51" s="560">
        <v>5234</v>
      </c>
      <c r="D51" s="560">
        <v>5998</v>
      </c>
      <c r="E51" s="560">
        <v>5465</v>
      </c>
      <c r="F51" s="560">
        <v>5762</v>
      </c>
      <c r="G51" s="560">
        <v>5455</v>
      </c>
      <c r="H51" s="560">
        <v>5610</v>
      </c>
      <c r="I51" s="560">
        <v>5470</v>
      </c>
      <c r="J51" s="560">
        <v>5599</v>
      </c>
      <c r="K51" s="561">
        <v>5447</v>
      </c>
      <c r="L51" s="561">
        <v>5451</v>
      </c>
      <c r="M51" s="561">
        <v>5591</v>
      </c>
      <c r="N51" s="560">
        <f t="shared" si="6"/>
        <v>66434</v>
      </c>
      <c r="O51" s="815"/>
      <c r="Q51" s="151"/>
      <c r="R51" s="72"/>
      <c r="S51" s="72"/>
      <c r="T51" s="72"/>
      <c r="BR51" s="23"/>
      <c r="BS51" s="23"/>
      <c r="BT51" s="23"/>
      <c r="BU51" s="23"/>
    </row>
    <row r="52" spans="1:73" s="23" customFormat="1">
      <c r="A52" s="812" t="s">
        <v>584</v>
      </c>
      <c r="B52" s="560">
        <v>1742</v>
      </c>
      <c r="C52" s="560">
        <v>1975</v>
      </c>
      <c r="D52" s="560">
        <v>2167</v>
      </c>
      <c r="E52" s="560">
        <v>1843</v>
      </c>
      <c r="F52" s="560">
        <v>1865</v>
      </c>
      <c r="G52" s="560">
        <v>1330</v>
      </c>
      <c r="H52" s="560">
        <v>1383</v>
      </c>
      <c r="I52" s="560">
        <v>1274</v>
      </c>
      <c r="J52" s="560">
        <v>1733</v>
      </c>
      <c r="K52" s="561">
        <v>1543</v>
      </c>
      <c r="L52" s="561">
        <v>1738</v>
      </c>
      <c r="M52" s="561">
        <v>1927</v>
      </c>
      <c r="N52" s="560">
        <f t="shared" si="6"/>
        <v>20520</v>
      </c>
      <c r="O52" s="815"/>
      <c r="Q52" s="151"/>
      <c r="R52" s="72"/>
      <c r="S52" s="72"/>
      <c r="T52" s="72"/>
    </row>
    <row r="53" spans="1:73" s="23" customFormat="1">
      <c r="A53" s="984" t="s">
        <v>579</v>
      </c>
      <c r="B53" s="560">
        <f>B51+B52</f>
        <v>7094</v>
      </c>
      <c r="C53" s="560">
        <f>C51+C52</f>
        <v>7209</v>
      </c>
      <c r="D53" s="560">
        <f>D51+D52</f>
        <v>8165</v>
      </c>
      <c r="E53" s="560">
        <f>E51+E52</f>
        <v>7308</v>
      </c>
      <c r="F53" s="540"/>
      <c r="G53" s="540"/>
      <c r="H53" s="540"/>
      <c r="I53" s="540"/>
      <c r="J53" s="540"/>
      <c r="K53" s="540"/>
      <c r="L53" s="540"/>
      <c r="M53" s="540"/>
      <c r="N53" s="540"/>
      <c r="O53" s="815"/>
      <c r="Q53" s="151"/>
      <c r="R53" s="72"/>
      <c r="S53" s="72"/>
      <c r="T53" s="72"/>
    </row>
    <row r="54" spans="1:73" s="23" customFormat="1">
      <c r="A54" s="984" t="s">
        <v>582</v>
      </c>
      <c r="B54" s="561">
        <v>882</v>
      </c>
      <c r="C54" s="561">
        <v>852</v>
      </c>
      <c r="D54" s="561">
        <v>979</v>
      </c>
      <c r="E54" s="561">
        <v>993</v>
      </c>
      <c r="F54" s="561">
        <v>919</v>
      </c>
      <c r="G54" s="560">
        <v>939</v>
      </c>
      <c r="H54" s="561">
        <v>942</v>
      </c>
      <c r="I54" s="561">
        <v>1005</v>
      </c>
      <c r="J54" s="560">
        <v>1027</v>
      </c>
      <c r="K54" s="561">
        <v>928</v>
      </c>
      <c r="L54" s="561">
        <v>888</v>
      </c>
      <c r="M54" s="561">
        <v>893</v>
      </c>
      <c r="N54" s="560">
        <f t="shared" si="6"/>
        <v>11247</v>
      </c>
      <c r="O54" s="815"/>
      <c r="Q54" s="151"/>
      <c r="R54" s="72"/>
      <c r="S54" s="72"/>
      <c r="T54" s="72"/>
    </row>
    <row r="55" spans="1:73">
      <c r="A55" s="687" t="s">
        <v>30</v>
      </c>
      <c r="B55" s="560">
        <v>3834</v>
      </c>
      <c r="C55" s="560">
        <v>3686</v>
      </c>
      <c r="D55" s="560">
        <v>4139</v>
      </c>
      <c r="E55" s="560">
        <v>3832</v>
      </c>
      <c r="F55" s="560">
        <v>3803</v>
      </c>
      <c r="G55" s="560">
        <v>3641</v>
      </c>
      <c r="H55" s="560">
        <v>3859</v>
      </c>
      <c r="I55" s="560">
        <v>3824</v>
      </c>
      <c r="J55" s="560">
        <v>3875</v>
      </c>
      <c r="K55" s="561">
        <v>3922</v>
      </c>
      <c r="L55" s="561">
        <v>3749</v>
      </c>
      <c r="M55" s="561">
        <v>4050</v>
      </c>
      <c r="N55" s="560">
        <f t="shared" si="6"/>
        <v>46214</v>
      </c>
      <c r="O55" s="815"/>
      <c r="Q55" s="151"/>
      <c r="R55" s="72"/>
      <c r="S55" s="72"/>
      <c r="T55" s="72"/>
      <c r="BR55" s="23"/>
      <c r="BS55" s="23"/>
      <c r="BT55" s="23"/>
      <c r="BU55" s="23"/>
    </row>
    <row r="56" spans="1:73" s="23" customFormat="1">
      <c r="A56" s="984" t="s">
        <v>578</v>
      </c>
      <c r="B56" s="561">
        <v>1529</v>
      </c>
      <c r="C56" s="561">
        <v>1483</v>
      </c>
      <c r="D56" s="561">
        <v>1544</v>
      </c>
      <c r="E56" s="561">
        <v>1381</v>
      </c>
      <c r="F56" s="561">
        <v>1593</v>
      </c>
      <c r="G56" s="560">
        <v>1574</v>
      </c>
      <c r="H56" s="560">
        <v>1607</v>
      </c>
      <c r="I56" s="560">
        <v>1577</v>
      </c>
      <c r="J56" s="560">
        <v>1521</v>
      </c>
      <c r="K56" s="561">
        <v>1481</v>
      </c>
      <c r="L56" s="561">
        <v>1421</v>
      </c>
      <c r="M56" s="561">
        <v>1655</v>
      </c>
      <c r="N56" s="560">
        <f t="shared" si="6"/>
        <v>18366</v>
      </c>
      <c r="O56" s="815"/>
      <c r="P56" s="147"/>
      <c r="Q56" s="151"/>
      <c r="R56" s="72"/>
      <c r="S56" s="72"/>
      <c r="T56" s="72"/>
    </row>
    <row r="57" spans="1:73" s="10" customFormat="1">
      <c r="A57" s="687" t="s">
        <v>85</v>
      </c>
      <c r="B57" s="563">
        <v>2034</v>
      </c>
      <c r="C57" s="563">
        <v>2089</v>
      </c>
      <c r="D57" s="563">
        <v>2276</v>
      </c>
      <c r="E57" s="563">
        <v>2167</v>
      </c>
      <c r="F57" s="563">
        <v>2162</v>
      </c>
      <c r="G57" s="563">
        <v>2179</v>
      </c>
      <c r="H57" s="563">
        <v>2182</v>
      </c>
      <c r="I57" s="563">
        <v>2357</v>
      </c>
      <c r="J57" s="560">
        <v>2244</v>
      </c>
      <c r="K57" s="564">
        <v>2245</v>
      </c>
      <c r="L57" s="564">
        <v>2195</v>
      </c>
      <c r="M57" s="564">
        <v>2289</v>
      </c>
      <c r="N57" s="560">
        <f t="shared" si="6"/>
        <v>26419</v>
      </c>
      <c r="O57" s="816"/>
      <c r="P57" s="184"/>
      <c r="Q57" s="448"/>
      <c r="R57" s="449"/>
      <c r="S57" s="449"/>
      <c r="T57" s="72"/>
      <c r="BR57" s="23"/>
      <c r="BS57" s="23"/>
      <c r="BT57" s="23"/>
      <c r="BU57" s="23"/>
    </row>
    <row r="58" spans="1:73" s="23" customFormat="1">
      <c r="A58" s="687" t="s">
        <v>252</v>
      </c>
      <c r="B58" s="560">
        <v>2148</v>
      </c>
      <c r="C58" s="560">
        <v>2076</v>
      </c>
      <c r="D58" s="560">
        <v>2318</v>
      </c>
      <c r="E58" s="560">
        <v>2130</v>
      </c>
      <c r="F58" s="560">
        <v>1953</v>
      </c>
      <c r="G58" s="560">
        <v>1744</v>
      </c>
      <c r="H58" s="560">
        <v>1885</v>
      </c>
      <c r="I58" s="560">
        <v>1967</v>
      </c>
      <c r="J58" s="560">
        <v>1970</v>
      </c>
      <c r="K58" s="561">
        <v>1868</v>
      </c>
      <c r="L58" s="561">
        <v>1995</v>
      </c>
      <c r="M58" s="561">
        <v>1990</v>
      </c>
      <c r="N58" s="560">
        <f t="shared" si="6"/>
        <v>24044</v>
      </c>
      <c r="O58" s="815"/>
      <c r="P58" s="147"/>
      <c r="Q58" s="151"/>
      <c r="R58" s="72"/>
      <c r="S58" s="72"/>
      <c r="T58" s="72"/>
    </row>
    <row r="59" spans="1:73">
      <c r="A59" s="687" t="s">
        <v>31</v>
      </c>
      <c r="B59" s="560">
        <v>2001</v>
      </c>
      <c r="C59" s="560">
        <v>2049</v>
      </c>
      <c r="D59" s="560">
        <v>2328</v>
      </c>
      <c r="E59" s="560">
        <v>2145</v>
      </c>
      <c r="F59" s="560">
        <v>2092</v>
      </c>
      <c r="G59" s="560">
        <v>1987</v>
      </c>
      <c r="H59" s="560">
        <v>2026</v>
      </c>
      <c r="I59" s="560">
        <v>2095</v>
      </c>
      <c r="J59" s="560">
        <v>2094</v>
      </c>
      <c r="K59" s="561">
        <v>2099</v>
      </c>
      <c r="L59" s="561">
        <v>2180</v>
      </c>
      <c r="M59" s="561">
        <v>2321</v>
      </c>
      <c r="N59" s="560">
        <f t="shared" si="6"/>
        <v>25417</v>
      </c>
      <c r="O59" s="815"/>
      <c r="Q59" s="151"/>
      <c r="R59" s="72"/>
      <c r="S59" s="72"/>
      <c r="T59" s="72"/>
    </row>
    <row r="60" spans="1:73">
      <c r="A60" s="984" t="s">
        <v>677</v>
      </c>
      <c r="B60" s="562">
        <v>1033</v>
      </c>
      <c r="C60" s="562">
        <v>975</v>
      </c>
      <c r="D60" s="562">
        <v>1007</v>
      </c>
      <c r="E60" s="562">
        <v>972</v>
      </c>
      <c r="F60" s="562">
        <v>924</v>
      </c>
      <c r="G60" s="560">
        <v>839</v>
      </c>
      <c r="H60" s="2559">
        <v>1010</v>
      </c>
      <c r="I60" s="560">
        <v>852</v>
      </c>
      <c r="J60" s="560">
        <v>818</v>
      </c>
      <c r="K60" s="561">
        <v>806</v>
      </c>
      <c r="L60" s="561">
        <v>760</v>
      </c>
      <c r="M60" s="561">
        <v>889</v>
      </c>
      <c r="N60" s="560">
        <f t="shared" si="6"/>
        <v>10885</v>
      </c>
      <c r="O60" s="815"/>
      <c r="Q60" s="151"/>
      <c r="R60" s="72"/>
      <c r="S60" s="72"/>
      <c r="T60" s="72"/>
      <c r="BT60" s="23"/>
    </row>
    <row r="61" spans="1:73" s="23" customFormat="1">
      <c r="A61" s="687" t="s">
        <v>378</v>
      </c>
      <c r="B61" s="565">
        <v>2994</v>
      </c>
      <c r="C61" s="565">
        <v>2791</v>
      </c>
      <c r="D61" s="565">
        <v>3042</v>
      </c>
      <c r="E61" s="565">
        <v>3082</v>
      </c>
      <c r="F61" s="565">
        <v>2987</v>
      </c>
      <c r="G61" s="560">
        <v>2951</v>
      </c>
      <c r="H61" s="561">
        <v>3103</v>
      </c>
      <c r="I61" s="561">
        <v>3090</v>
      </c>
      <c r="J61" s="560">
        <v>3024</v>
      </c>
      <c r="K61" s="561">
        <v>3071</v>
      </c>
      <c r="L61" s="561">
        <v>2982</v>
      </c>
      <c r="M61" s="561">
        <v>2958</v>
      </c>
      <c r="N61" s="560">
        <f t="shared" si="6"/>
        <v>36075</v>
      </c>
      <c r="O61" s="815"/>
      <c r="Q61" s="151"/>
      <c r="R61" s="72"/>
      <c r="S61" s="72"/>
      <c r="T61" s="72"/>
    </row>
    <row r="62" spans="1:73" s="23" customFormat="1">
      <c r="A62" s="984" t="s">
        <v>678</v>
      </c>
      <c r="B62" s="565">
        <v>796</v>
      </c>
      <c r="C62" s="565">
        <v>845</v>
      </c>
      <c r="D62" s="565">
        <v>895</v>
      </c>
      <c r="E62" s="565">
        <v>824</v>
      </c>
      <c r="F62" s="565">
        <v>888</v>
      </c>
      <c r="G62" s="560">
        <v>910</v>
      </c>
      <c r="H62" s="561">
        <v>919</v>
      </c>
      <c r="I62" s="561">
        <v>951</v>
      </c>
      <c r="J62" s="560">
        <v>964</v>
      </c>
      <c r="K62" s="561">
        <v>1044</v>
      </c>
      <c r="L62" s="561">
        <v>935</v>
      </c>
      <c r="M62" s="561">
        <v>927</v>
      </c>
      <c r="N62" s="560">
        <f t="shared" si="6"/>
        <v>10898</v>
      </c>
      <c r="O62" s="815"/>
      <c r="Q62" s="151"/>
      <c r="R62" s="72"/>
      <c r="S62" s="72"/>
      <c r="T62" s="72"/>
    </row>
    <row r="63" spans="1:73" s="23" customFormat="1">
      <c r="A63" s="687" t="s">
        <v>376</v>
      </c>
      <c r="B63" s="565">
        <v>5083</v>
      </c>
      <c r="C63" s="565">
        <v>5120</v>
      </c>
      <c r="D63" s="565">
        <v>5330</v>
      </c>
      <c r="E63" s="565">
        <v>4877</v>
      </c>
      <c r="F63" s="562">
        <v>4812</v>
      </c>
      <c r="G63" s="560">
        <v>4484</v>
      </c>
      <c r="H63" s="561">
        <v>4535</v>
      </c>
      <c r="I63" s="561">
        <v>4547</v>
      </c>
      <c r="J63" s="560">
        <v>4295</v>
      </c>
      <c r="K63" s="561">
        <v>4235</v>
      </c>
      <c r="L63" s="561">
        <v>4179</v>
      </c>
      <c r="M63" s="561">
        <v>4476</v>
      </c>
      <c r="N63" s="560">
        <f t="shared" si="6"/>
        <v>55973</v>
      </c>
      <c r="O63" s="815"/>
      <c r="Q63" s="151"/>
      <c r="R63" s="72"/>
      <c r="S63" s="72"/>
      <c r="T63" s="72"/>
    </row>
    <row r="64" spans="1:73" s="23" customFormat="1">
      <c r="A64" s="984" t="s">
        <v>575</v>
      </c>
      <c r="B64" s="565">
        <v>1031</v>
      </c>
      <c r="C64" s="565">
        <v>1148</v>
      </c>
      <c r="D64" s="562">
        <v>1047</v>
      </c>
      <c r="E64" s="565">
        <v>1045</v>
      </c>
      <c r="F64" s="565">
        <v>1001</v>
      </c>
      <c r="G64" s="560">
        <v>793</v>
      </c>
      <c r="H64" s="561">
        <v>998</v>
      </c>
      <c r="I64" s="561">
        <v>906</v>
      </c>
      <c r="J64" s="560">
        <v>907</v>
      </c>
      <c r="K64" s="561">
        <v>909</v>
      </c>
      <c r="L64" s="561">
        <v>986</v>
      </c>
      <c r="M64" s="561">
        <v>928</v>
      </c>
      <c r="N64" s="560">
        <f t="shared" si="6"/>
        <v>11699</v>
      </c>
      <c r="O64" s="815"/>
      <c r="Q64" s="151"/>
      <c r="R64" s="72"/>
      <c r="S64" s="72"/>
      <c r="T64" s="72"/>
    </row>
    <row r="65" spans="1:20" s="23" customFormat="1">
      <c r="A65" s="687" t="s">
        <v>432</v>
      </c>
      <c r="B65" s="565">
        <v>2077</v>
      </c>
      <c r="C65" s="565">
        <v>2404</v>
      </c>
      <c r="D65" s="562">
        <v>2622</v>
      </c>
      <c r="E65" s="565">
        <v>2212</v>
      </c>
      <c r="F65" s="565">
        <v>2228</v>
      </c>
      <c r="G65" s="560">
        <v>1973</v>
      </c>
      <c r="H65" s="561">
        <v>1979</v>
      </c>
      <c r="I65" s="561">
        <v>2006</v>
      </c>
      <c r="J65" s="560">
        <v>2035</v>
      </c>
      <c r="K65" s="561">
        <v>1906</v>
      </c>
      <c r="L65" s="561">
        <v>1903</v>
      </c>
      <c r="M65" s="566">
        <v>1973</v>
      </c>
      <c r="N65" s="560">
        <f t="shared" si="6"/>
        <v>25318</v>
      </c>
      <c r="O65" s="815"/>
      <c r="Q65" s="151"/>
      <c r="R65" s="72"/>
      <c r="S65" s="72"/>
      <c r="T65" s="72"/>
    </row>
    <row r="66" spans="1:20" s="23" customFormat="1">
      <c r="A66" s="686" t="s">
        <v>434</v>
      </c>
      <c r="B66" s="562">
        <v>6948</v>
      </c>
      <c r="C66" s="562">
        <v>7287</v>
      </c>
      <c r="D66" s="562">
        <v>7340</v>
      </c>
      <c r="E66" s="562">
        <v>6723</v>
      </c>
      <c r="F66" s="562">
        <v>6858</v>
      </c>
      <c r="G66" s="560">
        <v>6399</v>
      </c>
      <c r="H66" s="560">
        <v>6496</v>
      </c>
      <c r="I66" s="561">
        <v>6794</v>
      </c>
      <c r="J66" s="560">
        <v>6494</v>
      </c>
      <c r="K66" s="561">
        <v>6503</v>
      </c>
      <c r="L66" s="561">
        <v>6468</v>
      </c>
      <c r="M66" s="561">
        <v>6716</v>
      </c>
      <c r="N66" s="560">
        <f t="shared" si="6"/>
        <v>81026</v>
      </c>
      <c r="O66" s="815"/>
      <c r="Q66" s="151"/>
      <c r="R66" s="72"/>
      <c r="S66" s="72"/>
      <c r="T66" s="72"/>
    </row>
    <row r="67" spans="1:20" s="23" customFormat="1">
      <c r="A67" s="686" t="s">
        <v>433</v>
      </c>
      <c r="B67" s="562">
        <v>4140</v>
      </c>
      <c r="C67" s="562">
        <v>4427</v>
      </c>
      <c r="D67" s="562">
        <v>4587</v>
      </c>
      <c r="E67" s="562">
        <v>4325</v>
      </c>
      <c r="F67" s="562">
        <v>4274</v>
      </c>
      <c r="G67" s="560">
        <v>3782</v>
      </c>
      <c r="H67" s="560">
        <v>3924</v>
      </c>
      <c r="I67" s="561">
        <v>4083</v>
      </c>
      <c r="J67" s="560">
        <v>4001</v>
      </c>
      <c r="K67" s="561">
        <v>3986</v>
      </c>
      <c r="L67" s="561">
        <v>3872</v>
      </c>
      <c r="M67" s="567">
        <v>4023</v>
      </c>
      <c r="N67" s="560">
        <f t="shared" si="6"/>
        <v>49424</v>
      </c>
      <c r="O67" s="815"/>
      <c r="Q67" s="151"/>
      <c r="R67" s="72"/>
      <c r="S67" s="72"/>
      <c r="T67" s="72"/>
    </row>
    <row r="68" spans="1:20">
      <c r="A68" s="688" t="s">
        <v>58</v>
      </c>
      <c r="B68" s="539"/>
      <c r="C68" s="539"/>
      <c r="D68" s="539"/>
      <c r="E68" s="539"/>
      <c r="F68" s="539"/>
      <c r="G68" s="539"/>
      <c r="H68" s="539"/>
      <c r="I68" s="539"/>
      <c r="J68" s="539"/>
      <c r="K68" s="539"/>
      <c r="L68" s="539"/>
      <c r="M68" s="540"/>
      <c r="N68" s="813"/>
      <c r="O68" s="815"/>
      <c r="Q68" s="151"/>
      <c r="R68" s="72"/>
      <c r="S68" s="72"/>
      <c r="T68" s="72"/>
    </row>
    <row r="69" spans="1:20" ht="15.75" thickBot="1">
      <c r="A69" s="559" t="s">
        <v>32</v>
      </c>
      <c r="B69" s="568">
        <f t="shared" ref="B69:J69" si="7">SUM(B45:B68)</f>
        <v>70019</v>
      </c>
      <c r="C69" s="568">
        <f t="shared" si="7"/>
        <v>70334</v>
      </c>
      <c r="D69" s="568">
        <f t="shared" si="7"/>
        <v>76071</v>
      </c>
      <c r="E69" s="568">
        <f t="shared" si="7"/>
        <v>69769</v>
      </c>
      <c r="F69" s="568">
        <f t="shared" si="7"/>
        <v>62391</v>
      </c>
      <c r="G69" s="568">
        <f t="shared" si="7"/>
        <v>58565</v>
      </c>
      <c r="H69" s="568">
        <f t="shared" si="7"/>
        <v>60599</v>
      </c>
      <c r="I69" s="568">
        <f t="shared" si="7"/>
        <v>60242</v>
      </c>
      <c r="J69" s="568">
        <f t="shared" si="7"/>
        <v>60085</v>
      </c>
      <c r="K69" s="568">
        <f>SUM(K45:K68)</f>
        <v>59882</v>
      </c>
      <c r="L69" s="568">
        <f>SUM(L45:L68)</f>
        <v>59026</v>
      </c>
      <c r="M69" s="568">
        <f>SUM(M45:M68)</f>
        <v>62363</v>
      </c>
      <c r="N69" s="814">
        <f>SUM(B69:M69)</f>
        <v>769346</v>
      </c>
      <c r="O69" s="817"/>
      <c r="Q69" s="151"/>
      <c r="R69" s="72"/>
      <c r="S69" s="72"/>
      <c r="T69" s="72"/>
    </row>
    <row r="70" spans="1:20" ht="15.75" thickBot="1">
      <c r="B70" s="23"/>
      <c r="C70" s="23"/>
      <c r="D70" s="9"/>
      <c r="E70" s="9"/>
      <c r="F70" s="9"/>
      <c r="G70" s="23"/>
      <c r="H70" s="2681"/>
      <c r="I70" s="23"/>
      <c r="J70" s="23"/>
      <c r="K70" s="23"/>
      <c r="L70" s="23"/>
      <c r="M70" s="23"/>
    </row>
    <row r="71" spans="1:20" ht="18.75">
      <c r="A71" s="595" t="s">
        <v>150</v>
      </c>
      <c r="B71" s="2922" t="s">
        <v>10</v>
      </c>
      <c r="C71" s="2920" t="s">
        <v>11</v>
      </c>
      <c r="D71" s="2922" t="s">
        <v>12</v>
      </c>
      <c r="E71" s="2920" t="s">
        <v>13</v>
      </c>
      <c r="F71" s="2922" t="s">
        <v>14</v>
      </c>
      <c r="G71" s="2920" t="s">
        <v>15</v>
      </c>
      <c r="H71" s="2922" t="s">
        <v>16</v>
      </c>
      <c r="I71" s="2920" t="s">
        <v>17</v>
      </c>
      <c r="J71" s="2922" t="s">
        <v>18</v>
      </c>
      <c r="K71" s="2920" t="s">
        <v>19</v>
      </c>
      <c r="L71" s="2922" t="s">
        <v>20</v>
      </c>
      <c r="M71" s="2920" t="s">
        <v>21</v>
      </c>
    </row>
    <row r="72" spans="1:20" ht="15.75" thickBot="1">
      <c r="A72" s="689" t="s">
        <v>866</v>
      </c>
      <c r="B72" s="2921"/>
      <c r="C72" s="2921"/>
      <c r="D72" s="2921"/>
      <c r="E72" s="2921"/>
      <c r="F72" s="2921"/>
      <c r="G72" s="2921"/>
      <c r="H72" s="2921"/>
      <c r="I72" s="2921"/>
      <c r="J72" s="2921"/>
      <c r="K72" s="2921"/>
      <c r="L72" s="2921"/>
      <c r="M72" s="2921"/>
    </row>
    <row r="73" spans="1:20">
      <c r="A73" s="686" t="s">
        <v>6</v>
      </c>
      <c r="B73" s="543">
        <v>7330</v>
      </c>
      <c r="C73" s="545">
        <v>6982</v>
      </c>
      <c r="D73" s="543">
        <v>7633</v>
      </c>
      <c r="E73" s="545">
        <v>7031</v>
      </c>
      <c r="F73" s="543">
        <v>7201</v>
      </c>
      <c r="G73" s="545">
        <v>6943</v>
      </c>
      <c r="H73" s="543">
        <v>7139</v>
      </c>
      <c r="I73" s="545">
        <v>7048</v>
      </c>
      <c r="J73" s="543">
        <v>7024</v>
      </c>
      <c r="K73" s="545">
        <v>7019</v>
      </c>
      <c r="L73" s="543">
        <v>6969</v>
      </c>
      <c r="M73" s="685"/>
    </row>
    <row r="74" spans="1:20">
      <c r="A74" s="686" t="s">
        <v>506</v>
      </c>
      <c r="B74" s="543">
        <v>7362</v>
      </c>
      <c r="C74" s="545">
        <v>7249</v>
      </c>
      <c r="D74" s="543">
        <v>7767</v>
      </c>
      <c r="E74" s="545">
        <v>7246</v>
      </c>
      <c r="F74" s="543">
        <v>7128</v>
      </c>
      <c r="G74" s="545">
        <v>6930</v>
      </c>
      <c r="H74" s="543">
        <v>7015</v>
      </c>
      <c r="I74" s="545">
        <v>6959</v>
      </c>
      <c r="J74" s="543">
        <v>7064</v>
      </c>
      <c r="K74" s="545">
        <v>7033</v>
      </c>
      <c r="L74" s="543">
        <v>6852</v>
      </c>
      <c r="M74" s="545">
        <v>7105</v>
      </c>
    </row>
    <row r="75" spans="1:20">
      <c r="A75" s="987" t="s">
        <v>597</v>
      </c>
      <c r="B75" s="544">
        <v>854</v>
      </c>
      <c r="C75" s="546">
        <v>820</v>
      </c>
      <c r="D75" s="543">
        <v>798</v>
      </c>
      <c r="E75" s="545">
        <v>725</v>
      </c>
      <c r="F75" s="543">
        <v>606</v>
      </c>
      <c r="G75" s="545">
        <v>590</v>
      </c>
      <c r="H75" s="543">
        <v>570</v>
      </c>
      <c r="I75" s="545">
        <v>578</v>
      </c>
      <c r="J75" s="543">
        <v>552</v>
      </c>
      <c r="K75" s="545">
        <v>616</v>
      </c>
      <c r="L75" s="543">
        <v>633</v>
      </c>
      <c r="M75" s="545">
        <v>822</v>
      </c>
    </row>
    <row r="76" spans="1:20">
      <c r="A76" s="987" t="s">
        <v>599</v>
      </c>
      <c r="B76" s="543">
        <v>465</v>
      </c>
      <c r="C76" s="545">
        <v>499</v>
      </c>
      <c r="D76" s="543">
        <v>568</v>
      </c>
      <c r="E76" s="545">
        <v>429</v>
      </c>
      <c r="F76" s="543">
        <v>333</v>
      </c>
      <c r="G76" s="545">
        <v>304</v>
      </c>
      <c r="H76" s="543">
        <v>301</v>
      </c>
      <c r="I76" s="545">
        <v>277</v>
      </c>
      <c r="J76" s="543">
        <v>275</v>
      </c>
      <c r="K76" s="545">
        <v>342</v>
      </c>
      <c r="L76" s="543">
        <v>375</v>
      </c>
      <c r="M76" s="545">
        <v>478</v>
      </c>
    </row>
    <row r="77" spans="1:20">
      <c r="A77" s="686" t="s">
        <v>602</v>
      </c>
      <c r="B77" s="544">
        <v>3067</v>
      </c>
      <c r="C77" s="546">
        <v>2844</v>
      </c>
      <c r="D77" s="544">
        <v>3213</v>
      </c>
      <c r="E77" s="545">
        <v>2710</v>
      </c>
      <c r="F77" s="544">
        <v>2698</v>
      </c>
      <c r="G77" s="545">
        <v>2582</v>
      </c>
      <c r="H77" s="543">
        <v>2576</v>
      </c>
      <c r="I77" s="545">
        <v>2604</v>
      </c>
      <c r="J77" s="543">
        <v>2502</v>
      </c>
      <c r="K77" s="545">
        <v>2671</v>
      </c>
      <c r="L77" s="543">
        <v>2854</v>
      </c>
      <c r="M77" s="545">
        <v>2862</v>
      </c>
    </row>
    <row r="78" spans="1:20" s="23" customFormat="1">
      <c r="A78" s="987" t="s">
        <v>601</v>
      </c>
      <c r="B78" s="544">
        <v>155</v>
      </c>
      <c r="C78" s="546">
        <v>232</v>
      </c>
      <c r="D78" s="544">
        <v>269</v>
      </c>
      <c r="E78" s="545">
        <v>223</v>
      </c>
      <c r="F78" s="544">
        <v>223</v>
      </c>
      <c r="G78" s="545">
        <v>180</v>
      </c>
      <c r="H78" s="543">
        <v>185</v>
      </c>
      <c r="I78" s="545">
        <v>190</v>
      </c>
      <c r="J78" s="543">
        <v>202</v>
      </c>
      <c r="K78" s="545">
        <v>230</v>
      </c>
      <c r="L78" s="543">
        <v>210</v>
      </c>
      <c r="M78" s="545">
        <v>225</v>
      </c>
      <c r="T78" s="147"/>
    </row>
    <row r="79" spans="1:20">
      <c r="A79" s="686" t="s">
        <v>628</v>
      </c>
      <c r="B79" s="544">
        <v>5347</v>
      </c>
      <c r="C79" s="546">
        <v>5229</v>
      </c>
      <c r="D79" s="544">
        <v>5989</v>
      </c>
      <c r="E79" s="545">
        <v>5482</v>
      </c>
      <c r="F79" s="544">
        <v>5759</v>
      </c>
      <c r="G79" s="545">
        <v>5434</v>
      </c>
      <c r="H79" s="543">
        <v>5604</v>
      </c>
      <c r="I79" s="545">
        <v>5463</v>
      </c>
      <c r="J79" s="543">
        <v>5592</v>
      </c>
      <c r="K79" s="545">
        <v>5450</v>
      </c>
      <c r="L79" s="543">
        <v>5221</v>
      </c>
      <c r="M79" s="545">
        <v>5404</v>
      </c>
    </row>
    <row r="80" spans="1:20" s="23" customFormat="1">
      <c r="A80" s="686" t="s">
        <v>794</v>
      </c>
      <c r="B80" s="544">
        <v>1743</v>
      </c>
      <c r="C80" s="546">
        <v>1974</v>
      </c>
      <c r="D80" s="544">
        <v>2166</v>
      </c>
      <c r="E80" s="545">
        <v>1823</v>
      </c>
      <c r="F80" s="544">
        <v>1857</v>
      </c>
      <c r="G80" s="545">
        <v>1328</v>
      </c>
      <c r="H80" s="543">
        <v>1373</v>
      </c>
      <c r="I80" s="545">
        <v>1274</v>
      </c>
      <c r="J80" s="543">
        <v>1729</v>
      </c>
      <c r="K80" s="545">
        <v>1541</v>
      </c>
      <c r="L80" s="543">
        <v>1738</v>
      </c>
      <c r="M80" s="545">
        <v>1907</v>
      </c>
      <c r="T80" s="147"/>
    </row>
    <row r="81" spans="1:20" s="23" customFormat="1">
      <c r="A81" s="987" t="s">
        <v>579</v>
      </c>
      <c r="B81" s="544">
        <v>982</v>
      </c>
      <c r="C81" s="546">
        <v>992</v>
      </c>
      <c r="D81" s="544">
        <v>1094</v>
      </c>
      <c r="E81" s="545">
        <v>1098</v>
      </c>
      <c r="F81" s="544">
        <v>1077</v>
      </c>
      <c r="G81" s="545">
        <v>1006</v>
      </c>
      <c r="H81" s="543">
        <v>993</v>
      </c>
      <c r="I81" s="540"/>
      <c r="J81" s="540"/>
      <c r="K81" s="540"/>
      <c r="L81" s="540"/>
      <c r="M81" s="540"/>
      <c r="T81" s="147"/>
    </row>
    <row r="82" spans="1:20" s="23" customFormat="1">
      <c r="A82" s="987" t="s">
        <v>582</v>
      </c>
      <c r="B82" s="544">
        <v>881</v>
      </c>
      <c r="C82" s="546">
        <v>852</v>
      </c>
      <c r="D82" s="544">
        <v>940</v>
      </c>
      <c r="E82" s="545">
        <v>931</v>
      </c>
      <c r="F82" s="544">
        <v>866</v>
      </c>
      <c r="G82" s="545">
        <v>904</v>
      </c>
      <c r="H82" s="543">
        <v>907</v>
      </c>
      <c r="I82" s="545">
        <v>1006</v>
      </c>
      <c r="J82" s="543">
        <v>1027</v>
      </c>
      <c r="K82" s="545">
        <v>917</v>
      </c>
      <c r="L82" s="543">
        <v>880</v>
      </c>
      <c r="M82" s="545">
        <v>863</v>
      </c>
      <c r="T82" s="147"/>
    </row>
    <row r="83" spans="1:20">
      <c r="A83" s="686" t="s">
        <v>30</v>
      </c>
      <c r="B83" s="544">
        <v>3827</v>
      </c>
      <c r="C83" s="546">
        <v>3684</v>
      </c>
      <c r="D83" s="544">
        <v>4136</v>
      </c>
      <c r="E83" s="545">
        <v>3823</v>
      </c>
      <c r="F83" s="544">
        <v>3797</v>
      </c>
      <c r="G83" s="545">
        <v>3636</v>
      </c>
      <c r="H83" s="543">
        <v>3854</v>
      </c>
      <c r="I83" s="545">
        <v>3818</v>
      </c>
      <c r="J83" s="543">
        <v>3855</v>
      </c>
      <c r="K83" s="545">
        <v>3892</v>
      </c>
      <c r="L83" s="543">
        <v>3718</v>
      </c>
      <c r="M83" s="545">
        <v>3898</v>
      </c>
    </row>
    <row r="84" spans="1:20" s="23" customFormat="1">
      <c r="A84" s="987" t="s">
        <v>578</v>
      </c>
      <c r="B84" s="544">
        <v>1528</v>
      </c>
      <c r="C84" s="546">
        <v>1481</v>
      </c>
      <c r="D84" s="544">
        <v>1543</v>
      </c>
      <c r="E84" s="545">
        <v>1381</v>
      </c>
      <c r="F84" s="544">
        <v>1593</v>
      </c>
      <c r="G84" s="545">
        <v>1573</v>
      </c>
      <c r="H84" s="543">
        <v>1604</v>
      </c>
      <c r="I84" s="545">
        <v>1575</v>
      </c>
      <c r="J84" s="543">
        <v>1520</v>
      </c>
      <c r="K84" s="545">
        <v>1478</v>
      </c>
      <c r="L84" s="543">
        <v>1422</v>
      </c>
      <c r="M84" s="545">
        <v>1589</v>
      </c>
      <c r="T84" s="147"/>
    </row>
    <row r="85" spans="1:20">
      <c r="A85" s="686" t="s">
        <v>85</v>
      </c>
      <c r="B85" s="543">
        <v>2031</v>
      </c>
      <c r="C85" s="546">
        <v>2091</v>
      </c>
      <c r="D85" s="544">
        <v>2271</v>
      </c>
      <c r="E85" s="545">
        <v>2166</v>
      </c>
      <c r="F85" s="544">
        <v>2161</v>
      </c>
      <c r="G85" s="545">
        <v>2177</v>
      </c>
      <c r="H85" s="543">
        <v>2178</v>
      </c>
      <c r="I85" s="545">
        <v>2353</v>
      </c>
      <c r="J85" s="543">
        <v>2242</v>
      </c>
      <c r="K85" s="545">
        <v>2238</v>
      </c>
      <c r="L85" s="543">
        <v>2187</v>
      </c>
      <c r="M85" s="545">
        <v>2179</v>
      </c>
    </row>
    <row r="86" spans="1:20">
      <c r="A86" s="686" t="s">
        <v>603</v>
      </c>
      <c r="B86" s="543">
        <v>1996</v>
      </c>
      <c r="C86" s="546">
        <v>2043</v>
      </c>
      <c r="D86" s="544">
        <v>2312</v>
      </c>
      <c r="E86" s="545">
        <v>2144</v>
      </c>
      <c r="F86" s="544">
        <v>2087</v>
      </c>
      <c r="G86" s="545">
        <v>1986</v>
      </c>
      <c r="H86" s="543">
        <v>2026</v>
      </c>
      <c r="I86" s="545">
        <v>2093</v>
      </c>
      <c r="J86" s="543">
        <v>2093</v>
      </c>
      <c r="K86" s="545">
        <v>1839</v>
      </c>
      <c r="L86" s="543">
        <v>2147</v>
      </c>
      <c r="M86" s="545">
        <v>2249</v>
      </c>
      <c r="S86" s="974"/>
    </row>
    <row r="87" spans="1:20" s="23" customFormat="1">
      <c r="A87" s="690" t="s">
        <v>604</v>
      </c>
      <c r="B87" s="543">
        <v>2147</v>
      </c>
      <c r="C87" s="546">
        <v>2081</v>
      </c>
      <c r="D87" s="544">
        <v>2329</v>
      </c>
      <c r="E87" s="545">
        <v>2123</v>
      </c>
      <c r="F87" s="544">
        <v>1952</v>
      </c>
      <c r="G87" s="545">
        <v>1744</v>
      </c>
      <c r="H87" s="543">
        <v>1885</v>
      </c>
      <c r="I87" s="545">
        <v>1966</v>
      </c>
      <c r="J87" s="543">
        <v>1969</v>
      </c>
      <c r="K87" s="545">
        <v>1867</v>
      </c>
      <c r="L87" s="543">
        <v>2025</v>
      </c>
      <c r="M87" s="545">
        <v>1965</v>
      </c>
      <c r="R87" s="232"/>
      <c r="T87" s="147"/>
    </row>
    <row r="88" spans="1:20">
      <c r="A88" s="987" t="s">
        <v>600</v>
      </c>
      <c r="B88" s="543">
        <v>1002</v>
      </c>
      <c r="C88" s="546">
        <v>1044</v>
      </c>
      <c r="D88" s="544">
        <v>1003</v>
      </c>
      <c r="E88" s="545">
        <v>968</v>
      </c>
      <c r="F88" s="544">
        <v>922</v>
      </c>
      <c r="G88" s="545">
        <v>834</v>
      </c>
      <c r="H88" s="543">
        <v>776</v>
      </c>
      <c r="I88" s="545">
        <v>838</v>
      </c>
      <c r="J88" s="543">
        <v>802</v>
      </c>
      <c r="K88" s="545">
        <v>779</v>
      </c>
      <c r="L88" s="543">
        <v>756</v>
      </c>
      <c r="M88" s="545">
        <v>858</v>
      </c>
    </row>
    <row r="89" spans="1:20" s="23" customFormat="1">
      <c r="A89" s="686" t="s">
        <v>378</v>
      </c>
      <c r="B89" s="544">
        <v>2990</v>
      </c>
      <c r="C89" s="546">
        <v>2786</v>
      </c>
      <c r="D89" s="544">
        <v>3028</v>
      </c>
      <c r="E89" s="545">
        <v>3078</v>
      </c>
      <c r="F89" s="544">
        <v>2972</v>
      </c>
      <c r="G89" s="545">
        <v>2955</v>
      </c>
      <c r="H89" s="543">
        <v>3099</v>
      </c>
      <c r="I89" s="545">
        <v>3081</v>
      </c>
      <c r="J89" s="543">
        <v>3024</v>
      </c>
      <c r="K89" s="545">
        <v>3064</v>
      </c>
      <c r="L89" s="685"/>
      <c r="M89" s="685"/>
      <c r="T89" s="147"/>
    </row>
    <row r="90" spans="1:20" s="23" customFormat="1">
      <c r="A90" s="987" t="s">
        <v>576</v>
      </c>
      <c r="B90" s="544">
        <v>791</v>
      </c>
      <c r="C90" s="546">
        <v>845</v>
      </c>
      <c r="D90" s="544">
        <v>891</v>
      </c>
      <c r="E90" s="545">
        <v>823</v>
      </c>
      <c r="F90" s="544">
        <v>887</v>
      </c>
      <c r="G90" s="545">
        <v>910</v>
      </c>
      <c r="H90" s="543">
        <v>919</v>
      </c>
      <c r="I90" s="545">
        <v>950</v>
      </c>
      <c r="J90" s="543">
        <v>963</v>
      </c>
      <c r="K90" s="545">
        <v>1042</v>
      </c>
      <c r="L90" s="685"/>
      <c r="M90" s="685"/>
      <c r="T90" s="147"/>
    </row>
    <row r="91" spans="1:20" s="23" customFormat="1">
      <c r="A91" s="686" t="s">
        <v>795</v>
      </c>
      <c r="B91" s="544">
        <v>5077</v>
      </c>
      <c r="C91" s="546">
        <v>5106</v>
      </c>
      <c r="D91" s="544">
        <v>5321</v>
      </c>
      <c r="E91" s="545">
        <v>4865</v>
      </c>
      <c r="F91" s="544">
        <v>4810</v>
      </c>
      <c r="G91" s="545">
        <v>4472</v>
      </c>
      <c r="H91" s="543">
        <v>4527</v>
      </c>
      <c r="I91" s="545">
        <v>4542</v>
      </c>
      <c r="J91" s="543">
        <v>4289</v>
      </c>
      <c r="K91" s="545">
        <v>4172</v>
      </c>
      <c r="L91" s="543">
        <v>4143</v>
      </c>
      <c r="M91" s="545">
        <v>4337</v>
      </c>
      <c r="T91" s="147"/>
    </row>
    <row r="92" spans="1:20" s="23" customFormat="1">
      <c r="A92" s="987" t="s">
        <v>796</v>
      </c>
      <c r="B92" s="544">
        <v>1018</v>
      </c>
      <c r="C92" s="546">
        <v>1148</v>
      </c>
      <c r="D92" s="544">
        <v>1048</v>
      </c>
      <c r="E92" s="545">
        <v>1042</v>
      </c>
      <c r="F92" s="544">
        <v>995</v>
      </c>
      <c r="G92" s="545">
        <v>796</v>
      </c>
      <c r="H92" s="543">
        <v>696</v>
      </c>
      <c r="I92" s="545">
        <v>905</v>
      </c>
      <c r="J92" s="543">
        <v>905</v>
      </c>
      <c r="K92" s="545">
        <v>909</v>
      </c>
      <c r="L92" s="543">
        <v>965</v>
      </c>
      <c r="M92" s="545">
        <v>921</v>
      </c>
      <c r="T92" s="147"/>
    </row>
    <row r="93" spans="1:20" s="23" customFormat="1">
      <c r="A93" s="686" t="s">
        <v>432</v>
      </c>
      <c r="B93" s="544">
        <v>2085</v>
      </c>
      <c r="C93" s="546">
        <v>2403</v>
      </c>
      <c r="D93" s="544">
        <v>2617</v>
      </c>
      <c r="E93" s="545">
        <v>2210</v>
      </c>
      <c r="F93" s="544">
        <v>2226</v>
      </c>
      <c r="G93" s="545">
        <v>1969</v>
      </c>
      <c r="H93" s="543">
        <v>1981</v>
      </c>
      <c r="I93" s="545">
        <v>2002</v>
      </c>
      <c r="J93" s="543">
        <v>2033</v>
      </c>
      <c r="K93" s="545">
        <v>1905</v>
      </c>
      <c r="L93" s="543">
        <v>1851</v>
      </c>
      <c r="M93" s="545">
        <v>1826</v>
      </c>
      <c r="T93" s="147"/>
    </row>
    <row r="94" spans="1:20" s="23" customFormat="1">
      <c r="A94" s="686" t="s">
        <v>446</v>
      </c>
      <c r="B94" s="544">
        <v>6842</v>
      </c>
      <c r="C94" s="546">
        <v>7137</v>
      </c>
      <c r="D94" s="544">
        <v>7156</v>
      </c>
      <c r="E94" s="545">
        <v>6618</v>
      </c>
      <c r="F94" s="544">
        <v>6796</v>
      </c>
      <c r="G94" s="545">
        <v>6320</v>
      </c>
      <c r="H94" s="543">
        <v>6412</v>
      </c>
      <c r="I94" s="545">
        <v>6697</v>
      </c>
      <c r="J94" s="543">
        <v>6419</v>
      </c>
      <c r="K94" s="545">
        <v>6380</v>
      </c>
      <c r="L94" s="543">
        <v>6334</v>
      </c>
      <c r="M94" s="545">
        <v>6514</v>
      </c>
      <c r="T94" s="147"/>
    </row>
    <row r="95" spans="1:20" s="23" customFormat="1">
      <c r="A95" s="686" t="s">
        <v>433</v>
      </c>
      <c r="B95" s="544">
        <v>4084</v>
      </c>
      <c r="C95" s="546">
        <v>4333</v>
      </c>
      <c r="D95" s="544">
        <v>4499</v>
      </c>
      <c r="E95" s="545">
        <v>4234</v>
      </c>
      <c r="F95" s="544">
        <v>4210</v>
      </c>
      <c r="G95" s="545">
        <v>3734</v>
      </c>
      <c r="H95" s="543">
        <v>3854</v>
      </c>
      <c r="I95" s="545">
        <v>4012</v>
      </c>
      <c r="J95" s="543">
        <v>3936</v>
      </c>
      <c r="K95" s="545">
        <v>3896</v>
      </c>
      <c r="L95" s="543">
        <v>3789</v>
      </c>
      <c r="M95" s="545">
        <v>3875</v>
      </c>
      <c r="T95" s="147"/>
    </row>
    <row r="96" spans="1:20" ht="15.75" thickBot="1">
      <c r="A96" s="691" t="s">
        <v>58</v>
      </c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6"/>
      <c r="M96" s="556"/>
    </row>
    <row r="97" spans="1:30">
      <c r="A97" s="3" t="s">
        <v>32</v>
      </c>
      <c r="B97" s="557">
        <f t="shared" ref="B97:J97" si="8">SUM(B73:B96)</f>
        <v>63604</v>
      </c>
      <c r="C97" s="558">
        <f t="shared" si="8"/>
        <v>63855</v>
      </c>
      <c r="D97" s="557">
        <f t="shared" si="8"/>
        <v>68591</v>
      </c>
      <c r="E97" s="558">
        <f t="shared" si="8"/>
        <v>63173</v>
      </c>
      <c r="F97" s="557">
        <f t="shared" si="8"/>
        <v>63156</v>
      </c>
      <c r="G97" s="558">
        <f t="shared" si="8"/>
        <v>59307</v>
      </c>
      <c r="H97" s="557">
        <f t="shared" si="8"/>
        <v>60474</v>
      </c>
      <c r="I97" s="558">
        <f t="shared" si="8"/>
        <v>60231</v>
      </c>
      <c r="J97" s="557">
        <f t="shared" si="8"/>
        <v>60017</v>
      </c>
      <c r="K97" s="558">
        <f>SUM(K73:K96)</f>
        <v>59280</v>
      </c>
      <c r="L97" s="557">
        <f>SUM(L73:L96)</f>
        <v>55069</v>
      </c>
      <c r="M97" s="558">
        <f>SUM(M73:M96)</f>
        <v>49877</v>
      </c>
    </row>
    <row r="98" spans="1:30" ht="15.75" thickBot="1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</row>
    <row r="99" spans="1:30" ht="18.75">
      <c r="A99" s="593" t="s">
        <v>544</v>
      </c>
      <c r="B99" s="2922" t="s">
        <v>10</v>
      </c>
      <c r="C99" s="2920" t="s">
        <v>11</v>
      </c>
      <c r="D99" s="2922" t="s">
        <v>12</v>
      </c>
      <c r="E99" s="2920" t="s">
        <v>13</v>
      </c>
      <c r="F99" s="2922" t="s">
        <v>14</v>
      </c>
      <c r="G99" s="2920" t="s">
        <v>15</v>
      </c>
      <c r="H99" s="2922" t="s">
        <v>16</v>
      </c>
      <c r="I99" s="2920" t="s">
        <v>17</v>
      </c>
      <c r="J99" s="2922" t="s">
        <v>18</v>
      </c>
      <c r="K99" s="2920" t="s">
        <v>19</v>
      </c>
      <c r="L99" s="2922" t="s">
        <v>20</v>
      </c>
      <c r="M99" s="2920" t="s">
        <v>21</v>
      </c>
    </row>
    <row r="100" spans="1:30">
      <c r="A100" s="594" t="s">
        <v>822</v>
      </c>
      <c r="B100" s="2921"/>
      <c r="C100" s="2921"/>
      <c r="D100" s="2921"/>
      <c r="E100" s="2921"/>
      <c r="F100" s="2921"/>
      <c r="G100" s="2921"/>
      <c r="H100" s="2921"/>
      <c r="I100" s="2921"/>
      <c r="J100" s="2921"/>
      <c r="K100" s="2921"/>
      <c r="L100" s="2921"/>
      <c r="M100" s="2921"/>
      <c r="AD100" s="90"/>
    </row>
    <row r="101" spans="1:30">
      <c r="A101" s="1201" t="s">
        <v>605</v>
      </c>
      <c r="B101" s="540"/>
      <c r="C101" s="540"/>
      <c r="D101" s="540"/>
      <c r="E101" s="540"/>
      <c r="F101" s="540"/>
      <c r="G101" s="540"/>
      <c r="H101" s="540"/>
      <c r="I101" s="540"/>
      <c r="J101" s="540"/>
      <c r="K101" s="540"/>
      <c r="L101" s="540"/>
      <c r="M101" s="540"/>
      <c r="AD101" s="227"/>
    </row>
    <row r="102" spans="1:30" s="23" customFormat="1">
      <c r="A102" s="686" t="s">
        <v>29</v>
      </c>
      <c r="B102" s="543">
        <v>1514</v>
      </c>
      <c r="C102" s="545">
        <v>1904</v>
      </c>
      <c r="D102" s="543">
        <v>4146</v>
      </c>
      <c r="E102" s="545">
        <v>4994</v>
      </c>
      <c r="F102" s="543">
        <v>3595</v>
      </c>
      <c r="G102" s="545">
        <v>3681</v>
      </c>
      <c r="H102" s="543">
        <v>3658</v>
      </c>
      <c r="I102" s="545">
        <v>3798</v>
      </c>
      <c r="J102" s="543">
        <v>3758</v>
      </c>
      <c r="K102" s="545">
        <v>3591</v>
      </c>
      <c r="L102" s="543">
        <v>3557</v>
      </c>
      <c r="M102" s="545">
        <v>2510</v>
      </c>
      <c r="T102" s="147"/>
    </row>
    <row r="103" spans="1:30">
      <c r="A103" s="686" t="s">
        <v>84</v>
      </c>
      <c r="B103" s="544">
        <v>903</v>
      </c>
      <c r="C103" s="546">
        <v>887</v>
      </c>
      <c r="D103" s="544">
        <v>928</v>
      </c>
      <c r="E103" s="546">
        <v>749</v>
      </c>
      <c r="F103" s="544">
        <v>830</v>
      </c>
      <c r="G103" s="545">
        <v>817</v>
      </c>
      <c r="H103" s="543">
        <v>819</v>
      </c>
      <c r="I103" s="545">
        <v>827</v>
      </c>
      <c r="J103" s="543">
        <v>862</v>
      </c>
      <c r="K103" s="545">
        <v>819</v>
      </c>
      <c r="L103" s="543">
        <v>825</v>
      </c>
      <c r="M103" s="545">
        <v>797</v>
      </c>
    </row>
    <row r="104" spans="1:30">
      <c r="A104" s="686" t="s">
        <v>628</v>
      </c>
      <c r="B104" s="543">
        <v>1552</v>
      </c>
      <c r="C104" s="545">
        <v>1766</v>
      </c>
      <c r="D104" s="543">
        <v>2684</v>
      </c>
      <c r="E104" s="545">
        <v>2282</v>
      </c>
      <c r="F104" s="543">
        <v>2179</v>
      </c>
      <c r="G104" s="545">
        <v>2375</v>
      </c>
      <c r="H104" s="543">
        <v>2307</v>
      </c>
      <c r="I104" s="545">
        <v>2067</v>
      </c>
      <c r="J104" s="543">
        <v>2341</v>
      </c>
      <c r="K104" s="545">
        <v>2342</v>
      </c>
      <c r="L104" s="543">
        <v>2291</v>
      </c>
      <c r="M104" s="545">
        <v>2257</v>
      </c>
    </row>
    <row r="105" spans="1:30" s="23" customFormat="1">
      <c r="A105" s="686" t="s">
        <v>627</v>
      </c>
      <c r="B105" s="543">
        <v>647</v>
      </c>
      <c r="C105" s="545">
        <v>872</v>
      </c>
      <c r="D105" s="543">
        <v>1001</v>
      </c>
      <c r="E105" s="545">
        <v>824</v>
      </c>
      <c r="F105" s="543">
        <v>817</v>
      </c>
      <c r="G105" s="545">
        <v>806</v>
      </c>
      <c r="H105" s="543">
        <v>832</v>
      </c>
      <c r="I105" s="545">
        <v>814</v>
      </c>
      <c r="J105" s="543">
        <v>806</v>
      </c>
      <c r="K105" s="545">
        <v>822</v>
      </c>
      <c r="L105" s="543">
        <v>816</v>
      </c>
      <c r="M105" s="545">
        <v>827</v>
      </c>
      <c r="T105" s="147"/>
    </row>
    <row r="106" spans="1:30">
      <c r="A106" s="686" t="s">
        <v>30</v>
      </c>
      <c r="B106" s="543">
        <v>1388</v>
      </c>
      <c r="C106" s="545">
        <v>1326</v>
      </c>
      <c r="D106" s="543">
        <v>1482</v>
      </c>
      <c r="E106" s="545">
        <v>1318</v>
      </c>
      <c r="F106" s="543">
        <v>1388</v>
      </c>
      <c r="G106" s="545">
        <v>1321</v>
      </c>
      <c r="H106" s="543">
        <v>1360</v>
      </c>
      <c r="I106" s="545">
        <v>1383</v>
      </c>
      <c r="J106" s="543">
        <v>1354</v>
      </c>
      <c r="K106" s="545">
        <v>1457</v>
      </c>
      <c r="L106" s="543">
        <v>1363</v>
      </c>
      <c r="M106" s="545">
        <v>1399</v>
      </c>
    </row>
    <row r="107" spans="1:30">
      <c r="A107" s="686" t="s">
        <v>85</v>
      </c>
      <c r="B107" s="543">
        <v>898</v>
      </c>
      <c r="C107" s="545">
        <v>917</v>
      </c>
      <c r="D107" s="543">
        <v>879</v>
      </c>
      <c r="E107" s="545">
        <v>943</v>
      </c>
      <c r="F107" s="543">
        <v>919</v>
      </c>
      <c r="G107" s="545">
        <v>842</v>
      </c>
      <c r="H107" s="543">
        <v>887</v>
      </c>
      <c r="I107" s="545">
        <v>829</v>
      </c>
      <c r="J107" s="543">
        <v>847</v>
      </c>
      <c r="K107" s="545">
        <v>911</v>
      </c>
      <c r="L107" s="543">
        <v>821</v>
      </c>
      <c r="M107" s="545">
        <v>919</v>
      </c>
    </row>
    <row r="108" spans="1:30">
      <c r="A108" s="686" t="s">
        <v>603</v>
      </c>
      <c r="B108" s="543">
        <v>544</v>
      </c>
      <c r="C108" s="545">
        <v>574</v>
      </c>
      <c r="D108" s="543">
        <v>628</v>
      </c>
      <c r="E108" s="545">
        <v>653</v>
      </c>
      <c r="F108" s="543">
        <v>565</v>
      </c>
      <c r="G108" s="545">
        <v>566</v>
      </c>
      <c r="H108" s="543">
        <v>597</v>
      </c>
      <c r="I108" s="545">
        <v>575</v>
      </c>
      <c r="J108" s="543">
        <v>557</v>
      </c>
      <c r="K108" s="545">
        <v>673</v>
      </c>
      <c r="L108" s="543">
        <v>693</v>
      </c>
      <c r="M108" s="545">
        <v>613</v>
      </c>
    </row>
    <row r="109" spans="1:30" s="23" customFormat="1">
      <c r="A109" s="690" t="s">
        <v>604</v>
      </c>
      <c r="B109" s="543">
        <v>319</v>
      </c>
      <c r="C109" s="545">
        <v>418</v>
      </c>
      <c r="D109" s="1909">
        <v>483</v>
      </c>
      <c r="E109" s="545">
        <v>363</v>
      </c>
      <c r="F109" s="543">
        <v>395</v>
      </c>
      <c r="G109" s="545">
        <v>336</v>
      </c>
      <c r="H109" s="543">
        <v>316</v>
      </c>
      <c r="I109" s="545">
        <v>318</v>
      </c>
      <c r="J109" s="543">
        <v>314</v>
      </c>
      <c r="K109" s="545">
        <v>414</v>
      </c>
      <c r="L109" s="543">
        <v>397</v>
      </c>
      <c r="M109" s="545">
        <v>386</v>
      </c>
      <c r="T109" s="147"/>
    </row>
    <row r="110" spans="1:30" s="23" customFormat="1">
      <c r="A110" s="690" t="s">
        <v>378</v>
      </c>
      <c r="B110" s="543">
        <v>1350</v>
      </c>
      <c r="C110" s="545">
        <v>1337</v>
      </c>
      <c r="D110" s="543">
        <v>1399</v>
      </c>
      <c r="E110" s="545">
        <v>1402</v>
      </c>
      <c r="F110" s="543">
        <v>1331</v>
      </c>
      <c r="G110" s="545">
        <v>1377</v>
      </c>
      <c r="H110" s="543">
        <v>1364</v>
      </c>
      <c r="I110" s="545">
        <v>1331</v>
      </c>
      <c r="J110" s="543">
        <v>1399</v>
      </c>
      <c r="K110" s="545">
        <v>1456</v>
      </c>
      <c r="L110" s="685"/>
      <c r="M110" s="685"/>
      <c r="T110" s="147"/>
    </row>
    <row r="111" spans="1:30" s="23" customFormat="1">
      <c r="A111" s="1202" t="s">
        <v>606</v>
      </c>
      <c r="B111" s="542"/>
      <c r="C111" s="542"/>
      <c r="D111" s="542"/>
      <c r="E111" s="542"/>
      <c r="F111" s="542"/>
      <c r="G111" s="542"/>
      <c r="H111" s="542"/>
      <c r="I111" s="542"/>
      <c r="J111" s="542"/>
      <c r="K111" s="542"/>
      <c r="L111" s="539"/>
      <c r="M111" s="540"/>
      <c r="T111" s="147"/>
    </row>
    <row r="112" spans="1:30" s="23" customFormat="1">
      <c r="A112" s="690" t="s">
        <v>795</v>
      </c>
      <c r="B112" s="543">
        <v>1636</v>
      </c>
      <c r="C112" s="545">
        <v>1891</v>
      </c>
      <c r="D112" s="543">
        <v>1650</v>
      </c>
      <c r="E112" s="545">
        <v>2134</v>
      </c>
      <c r="F112" s="543">
        <v>1795</v>
      </c>
      <c r="G112" s="545">
        <v>2089</v>
      </c>
      <c r="H112" s="543">
        <v>1839</v>
      </c>
      <c r="I112" s="545">
        <v>1895</v>
      </c>
      <c r="J112" s="543">
        <v>1870</v>
      </c>
      <c r="K112" s="545">
        <v>1825</v>
      </c>
      <c r="L112" s="543">
        <v>1877</v>
      </c>
      <c r="M112" s="545">
        <v>1819</v>
      </c>
      <c r="T112" s="147"/>
    </row>
    <row r="113" spans="1:20" s="23" customFormat="1">
      <c r="A113" s="690" t="s">
        <v>800</v>
      </c>
      <c r="B113" s="978">
        <v>37</v>
      </c>
      <c r="C113" s="977">
        <v>35</v>
      </c>
      <c r="D113" s="978">
        <v>30</v>
      </c>
      <c r="E113" s="977">
        <v>228</v>
      </c>
      <c r="F113" s="978">
        <v>160</v>
      </c>
      <c r="G113" s="542"/>
      <c r="H113" s="542"/>
      <c r="I113" s="542"/>
      <c r="J113" s="542"/>
      <c r="K113" s="542"/>
      <c r="L113" s="540"/>
      <c r="M113" s="540"/>
      <c r="T113" s="147"/>
    </row>
    <row r="114" spans="1:20" s="23" customFormat="1">
      <c r="A114" s="690" t="s">
        <v>432</v>
      </c>
      <c r="B114" s="543">
        <v>883</v>
      </c>
      <c r="C114" s="1203">
        <v>992</v>
      </c>
      <c r="D114" s="543">
        <v>1255</v>
      </c>
      <c r="E114" s="545">
        <v>990</v>
      </c>
      <c r="F114" s="543">
        <v>938</v>
      </c>
      <c r="G114" s="545">
        <v>905</v>
      </c>
      <c r="H114" s="543">
        <v>878</v>
      </c>
      <c r="I114" s="545">
        <v>890</v>
      </c>
      <c r="J114" s="543">
        <v>864</v>
      </c>
      <c r="K114" s="545">
        <v>917</v>
      </c>
      <c r="L114" s="543">
        <v>805</v>
      </c>
      <c r="M114" s="545">
        <v>855</v>
      </c>
      <c r="T114" s="147"/>
    </row>
    <row r="115" spans="1:20" s="23" customFormat="1">
      <c r="A115" s="686" t="s">
        <v>434</v>
      </c>
      <c r="B115" s="543">
        <v>2922</v>
      </c>
      <c r="C115" s="545">
        <v>3403</v>
      </c>
      <c r="D115" s="1909">
        <f>SUM(B115+C115)/2</f>
        <v>3162.5</v>
      </c>
      <c r="E115" s="545">
        <v>3084</v>
      </c>
      <c r="F115" s="685"/>
      <c r="G115" s="685"/>
      <c r="H115" s="685"/>
      <c r="I115" s="545">
        <v>3030</v>
      </c>
      <c r="J115" s="543">
        <v>2872</v>
      </c>
      <c r="K115" s="545">
        <v>2872</v>
      </c>
      <c r="L115" s="543">
        <v>2916</v>
      </c>
      <c r="M115" s="545">
        <v>3065</v>
      </c>
      <c r="T115" s="147"/>
    </row>
    <row r="116" spans="1:20" s="23" customFormat="1">
      <c r="A116" s="686" t="s">
        <v>433</v>
      </c>
      <c r="B116" s="543">
        <v>3722</v>
      </c>
      <c r="C116" s="545">
        <v>2054</v>
      </c>
      <c r="D116" s="1909">
        <v>2131</v>
      </c>
      <c r="E116" s="545">
        <v>2049</v>
      </c>
      <c r="F116" s="685"/>
      <c r="G116" s="685"/>
      <c r="H116" s="685"/>
      <c r="I116" s="545">
        <v>1940</v>
      </c>
      <c r="J116" s="543">
        <v>1846</v>
      </c>
      <c r="K116" s="545">
        <v>1826</v>
      </c>
      <c r="L116" s="543">
        <v>1780</v>
      </c>
      <c r="M116" s="553">
        <v>1859</v>
      </c>
      <c r="T116" s="147"/>
    </row>
    <row r="117" spans="1:20">
      <c r="A117" s="688" t="s">
        <v>58</v>
      </c>
      <c r="B117" s="539"/>
      <c r="C117" s="539"/>
      <c r="D117" s="539"/>
      <c r="E117" s="539"/>
      <c r="F117" s="539"/>
      <c r="G117" s="539"/>
      <c r="H117" s="539"/>
      <c r="I117" s="539"/>
      <c r="J117" s="539"/>
      <c r="K117" s="539"/>
      <c r="L117" s="539"/>
      <c r="M117" s="539"/>
    </row>
    <row r="118" spans="1:20" ht="15" customHeight="1" thickBot="1">
      <c r="A118" s="548" t="s">
        <v>32</v>
      </c>
      <c r="B118" s="549">
        <f t="shared" ref="B118:J118" si="9">SUM(B101:B117)</f>
        <v>18315</v>
      </c>
      <c r="C118" s="551">
        <f t="shared" si="9"/>
        <v>18376</v>
      </c>
      <c r="D118" s="2200">
        <f t="shared" si="9"/>
        <v>21858.5</v>
      </c>
      <c r="E118" s="551">
        <f t="shared" si="9"/>
        <v>22013</v>
      </c>
      <c r="F118" s="549">
        <f t="shared" si="9"/>
        <v>14912</v>
      </c>
      <c r="G118" s="551">
        <f t="shared" si="9"/>
        <v>15115</v>
      </c>
      <c r="H118" s="549">
        <f t="shared" si="9"/>
        <v>14857</v>
      </c>
      <c r="I118" s="551">
        <f t="shared" si="9"/>
        <v>19697</v>
      </c>
      <c r="J118" s="549">
        <f t="shared" si="9"/>
        <v>19690</v>
      </c>
      <c r="K118" s="551">
        <f>SUM(K101:K117)</f>
        <v>19925</v>
      </c>
      <c r="L118" s="549">
        <f>SUM(L101:L117)</f>
        <v>18141</v>
      </c>
      <c r="M118" s="551">
        <f>SUM(M101:M117)</f>
        <v>17306</v>
      </c>
    </row>
    <row r="119" spans="1:20" ht="15.75" thickBot="1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</row>
    <row r="120" spans="1:20" s="23" customFormat="1">
      <c r="A120" s="2890" t="s">
        <v>173</v>
      </c>
      <c r="B120" s="2892" t="s">
        <v>10</v>
      </c>
      <c r="C120" s="2890" t="s">
        <v>11</v>
      </c>
      <c r="D120" s="2892" t="s">
        <v>12</v>
      </c>
      <c r="E120" s="2890" t="s">
        <v>13</v>
      </c>
      <c r="F120" s="2892" t="s">
        <v>14</v>
      </c>
      <c r="G120" s="2890" t="s">
        <v>15</v>
      </c>
      <c r="H120" s="2892" t="s">
        <v>16</v>
      </c>
      <c r="I120" s="2890" t="s">
        <v>17</v>
      </c>
      <c r="J120" s="2892" t="s">
        <v>18</v>
      </c>
      <c r="K120" s="2890" t="s">
        <v>19</v>
      </c>
      <c r="L120" s="2892" t="s">
        <v>20</v>
      </c>
      <c r="M120" s="2890" t="s">
        <v>21</v>
      </c>
      <c r="T120" s="147"/>
    </row>
    <row r="121" spans="1:20" s="23" customFormat="1" ht="15.75" thickBot="1">
      <c r="A121" s="2853"/>
      <c r="B121" s="2891"/>
      <c r="C121" s="2891"/>
      <c r="D121" s="2891"/>
      <c r="E121" s="2891"/>
      <c r="F121" s="2891"/>
      <c r="G121" s="2891"/>
      <c r="H121" s="2891"/>
      <c r="I121" s="2891"/>
      <c r="J121" s="2891"/>
      <c r="K121" s="2891"/>
      <c r="L121" s="2891"/>
      <c r="M121" s="2891"/>
      <c r="T121" s="147"/>
    </row>
    <row r="122" spans="1:20" s="23" customFormat="1">
      <c r="A122" s="687" t="s">
        <v>635</v>
      </c>
      <c r="B122" s="543">
        <v>360</v>
      </c>
      <c r="C122" s="545">
        <v>305</v>
      </c>
      <c r="D122" s="543">
        <v>311</v>
      </c>
      <c r="E122" s="545">
        <v>258</v>
      </c>
      <c r="F122" s="543">
        <v>281</v>
      </c>
      <c r="G122" s="545">
        <v>273</v>
      </c>
      <c r="H122" s="543">
        <v>291</v>
      </c>
      <c r="I122" s="545">
        <v>263</v>
      </c>
      <c r="J122" s="543">
        <v>243</v>
      </c>
      <c r="K122" s="545">
        <v>362</v>
      </c>
      <c r="L122" s="543">
        <v>119</v>
      </c>
      <c r="M122" s="545">
        <v>131</v>
      </c>
      <c r="T122" s="147"/>
    </row>
    <row r="123" spans="1:20" s="23" customFormat="1">
      <c r="A123" s="686" t="s">
        <v>506</v>
      </c>
      <c r="B123" s="543">
        <v>390</v>
      </c>
      <c r="C123" s="545">
        <v>364</v>
      </c>
      <c r="D123" s="543">
        <v>384</v>
      </c>
      <c r="E123" s="545">
        <v>292</v>
      </c>
      <c r="F123" s="543">
        <v>283</v>
      </c>
      <c r="G123" s="545">
        <v>293</v>
      </c>
      <c r="H123" s="543">
        <v>337</v>
      </c>
      <c r="I123" s="545">
        <v>343</v>
      </c>
      <c r="J123" s="543">
        <v>250</v>
      </c>
      <c r="K123" s="545">
        <v>314</v>
      </c>
      <c r="L123" s="543">
        <v>354</v>
      </c>
      <c r="M123" s="545">
        <v>443</v>
      </c>
      <c r="T123" s="147"/>
    </row>
    <row r="124" spans="1:20" s="23" customFormat="1">
      <c r="A124" s="686" t="s">
        <v>597</v>
      </c>
      <c r="B124" s="544">
        <v>6</v>
      </c>
      <c r="C124" s="546">
        <v>5</v>
      </c>
      <c r="D124" s="543">
        <v>3</v>
      </c>
      <c r="E124" s="545">
        <v>4</v>
      </c>
      <c r="F124" s="543">
        <v>2</v>
      </c>
      <c r="G124" s="545">
        <v>6</v>
      </c>
      <c r="H124" s="543">
        <v>6</v>
      </c>
      <c r="I124" s="545">
        <v>7</v>
      </c>
      <c r="J124" s="543">
        <v>6</v>
      </c>
      <c r="K124" s="545">
        <v>9</v>
      </c>
      <c r="L124" s="543">
        <v>8</v>
      </c>
      <c r="M124" s="545">
        <v>7</v>
      </c>
      <c r="T124" s="147"/>
    </row>
    <row r="125" spans="1:20" s="23" customFormat="1">
      <c r="A125" s="686" t="s">
        <v>599</v>
      </c>
      <c r="B125" s="543">
        <v>1</v>
      </c>
      <c r="C125" s="545">
        <v>3</v>
      </c>
      <c r="D125" s="543">
        <v>1</v>
      </c>
      <c r="E125" s="545">
        <v>1</v>
      </c>
      <c r="F125" s="543">
        <v>3</v>
      </c>
      <c r="G125" s="545">
        <v>1</v>
      </c>
      <c r="H125" s="543">
        <v>0</v>
      </c>
      <c r="I125" s="545">
        <v>0</v>
      </c>
      <c r="J125" s="543">
        <v>0</v>
      </c>
      <c r="K125" s="545">
        <v>2</v>
      </c>
      <c r="L125" s="543">
        <v>0</v>
      </c>
      <c r="M125" s="545">
        <v>0</v>
      </c>
      <c r="T125" s="147"/>
    </row>
    <row r="126" spans="1:20" s="23" customFormat="1">
      <c r="A126" s="686" t="s">
        <v>602</v>
      </c>
      <c r="B126" s="544">
        <v>81</v>
      </c>
      <c r="C126" s="546">
        <v>75</v>
      </c>
      <c r="D126" s="544">
        <v>79</v>
      </c>
      <c r="E126" s="546">
        <v>79</v>
      </c>
      <c r="F126" s="544">
        <v>71</v>
      </c>
      <c r="G126" s="545">
        <v>79</v>
      </c>
      <c r="H126" s="543">
        <v>64</v>
      </c>
      <c r="I126" s="545">
        <v>46</v>
      </c>
      <c r="J126" s="543">
        <v>36</v>
      </c>
      <c r="K126" s="545">
        <v>59</v>
      </c>
      <c r="L126" s="543">
        <v>74</v>
      </c>
      <c r="M126" s="545">
        <v>75</v>
      </c>
      <c r="T126" s="147"/>
    </row>
    <row r="127" spans="1:20" s="23" customFormat="1">
      <c r="A127" s="686" t="s">
        <v>28</v>
      </c>
      <c r="B127" s="543">
        <v>342</v>
      </c>
      <c r="C127" s="545">
        <v>320</v>
      </c>
      <c r="D127" s="543">
        <v>367</v>
      </c>
      <c r="E127" s="545">
        <v>358</v>
      </c>
      <c r="F127" s="543">
        <v>269</v>
      </c>
      <c r="G127" s="545">
        <v>283</v>
      </c>
      <c r="H127" s="543">
        <v>330</v>
      </c>
      <c r="I127" s="545">
        <v>303</v>
      </c>
      <c r="J127" s="543">
        <v>308</v>
      </c>
      <c r="K127" s="545">
        <v>307</v>
      </c>
      <c r="L127" s="543">
        <v>355</v>
      </c>
      <c r="M127" s="545">
        <v>369</v>
      </c>
      <c r="T127" s="147"/>
    </row>
    <row r="128" spans="1:20" s="23" customFormat="1">
      <c r="A128" s="686" t="s">
        <v>579</v>
      </c>
      <c r="B128" s="543">
        <v>21</v>
      </c>
      <c r="C128" s="545">
        <v>17</v>
      </c>
      <c r="D128" s="543">
        <v>37</v>
      </c>
      <c r="E128" s="545">
        <v>17</v>
      </c>
      <c r="F128" s="543">
        <v>24</v>
      </c>
      <c r="G128" s="545">
        <v>19</v>
      </c>
      <c r="H128" s="543">
        <v>12</v>
      </c>
      <c r="I128" s="540"/>
      <c r="J128" s="540"/>
      <c r="K128" s="540"/>
      <c r="L128" s="540"/>
      <c r="M128" s="540"/>
      <c r="T128" s="147"/>
    </row>
    <row r="129" spans="1:20" s="23" customFormat="1">
      <c r="A129" s="686" t="s">
        <v>582</v>
      </c>
      <c r="B129" s="543">
        <v>8</v>
      </c>
      <c r="C129" s="545">
        <v>11</v>
      </c>
      <c r="D129" s="543">
        <v>14</v>
      </c>
      <c r="E129" s="545">
        <v>19</v>
      </c>
      <c r="F129" s="543">
        <v>17</v>
      </c>
      <c r="G129" s="545">
        <v>19</v>
      </c>
      <c r="H129" s="543">
        <v>19</v>
      </c>
      <c r="I129" s="545">
        <v>3</v>
      </c>
      <c r="J129" s="543">
        <v>10</v>
      </c>
      <c r="K129" s="545">
        <v>7</v>
      </c>
      <c r="L129" s="543">
        <v>15</v>
      </c>
      <c r="M129" s="545">
        <v>10</v>
      </c>
      <c r="T129" s="147"/>
    </row>
    <row r="130" spans="1:20" s="23" customFormat="1">
      <c r="A130" s="686" t="s">
        <v>30</v>
      </c>
      <c r="B130" s="543">
        <v>143</v>
      </c>
      <c r="C130" s="545">
        <v>169</v>
      </c>
      <c r="D130" s="543">
        <v>223</v>
      </c>
      <c r="E130" s="545">
        <v>222</v>
      </c>
      <c r="F130" s="543">
        <v>208</v>
      </c>
      <c r="G130" s="545">
        <v>210</v>
      </c>
      <c r="H130" s="543">
        <v>174</v>
      </c>
      <c r="I130" s="545">
        <v>227</v>
      </c>
      <c r="J130" s="543">
        <v>105</v>
      </c>
      <c r="K130" s="545">
        <v>175</v>
      </c>
      <c r="L130" s="543">
        <v>187</v>
      </c>
      <c r="M130" s="545">
        <v>195</v>
      </c>
      <c r="T130" s="147"/>
    </row>
    <row r="131" spans="1:20" s="23" customFormat="1">
      <c r="A131" s="686" t="s">
        <v>314</v>
      </c>
      <c r="B131" s="543">
        <v>37</v>
      </c>
      <c r="C131" s="545">
        <v>30</v>
      </c>
      <c r="D131" s="543">
        <v>35</v>
      </c>
      <c r="E131" s="545">
        <v>37</v>
      </c>
      <c r="F131" s="543">
        <v>33</v>
      </c>
      <c r="G131" s="545">
        <v>40</v>
      </c>
      <c r="H131" s="543">
        <v>43</v>
      </c>
      <c r="I131" s="545">
        <v>25</v>
      </c>
      <c r="J131" s="543">
        <v>30</v>
      </c>
      <c r="K131" s="545">
        <v>29</v>
      </c>
      <c r="L131" s="543">
        <v>47</v>
      </c>
      <c r="M131" s="545">
        <v>45</v>
      </c>
      <c r="T131" s="147"/>
    </row>
    <row r="132" spans="1:20" s="23" customFormat="1">
      <c r="A132" s="686" t="s">
        <v>85</v>
      </c>
      <c r="B132" s="543">
        <v>61</v>
      </c>
      <c r="C132" s="545">
        <v>64</v>
      </c>
      <c r="D132" s="543">
        <v>59</v>
      </c>
      <c r="E132" s="545">
        <v>51</v>
      </c>
      <c r="F132" s="543">
        <v>58</v>
      </c>
      <c r="G132" s="545">
        <v>48</v>
      </c>
      <c r="H132" s="543">
        <v>40</v>
      </c>
      <c r="I132" s="545">
        <v>62</v>
      </c>
      <c r="J132" s="543">
        <v>39</v>
      </c>
      <c r="K132" s="545">
        <v>43</v>
      </c>
      <c r="L132" s="543">
        <v>42</v>
      </c>
      <c r="M132" s="545">
        <v>45</v>
      </c>
      <c r="T132" s="147"/>
    </row>
    <row r="133" spans="1:20" s="23" customFormat="1">
      <c r="A133" s="686" t="s">
        <v>742</v>
      </c>
      <c r="B133" s="543">
        <v>106</v>
      </c>
      <c r="C133" s="545">
        <v>96</v>
      </c>
      <c r="D133" s="543">
        <v>112</v>
      </c>
      <c r="E133" s="545">
        <v>110</v>
      </c>
      <c r="F133" s="543">
        <v>99</v>
      </c>
      <c r="G133" s="545">
        <v>88</v>
      </c>
      <c r="H133" s="543">
        <v>107</v>
      </c>
      <c r="I133" s="545">
        <v>99</v>
      </c>
      <c r="J133" s="543">
        <v>74</v>
      </c>
      <c r="K133" s="545">
        <v>111</v>
      </c>
      <c r="L133" s="543">
        <v>82</v>
      </c>
      <c r="M133" s="545">
        <v>134</v>
      </c>
      <c r="T133" s="147"/>
    </row>
    <row r="134" spans="1:20" s="23" customFormat="1">
      <c r="A134" s="686" t="s">
        <v>604</v>
      </c>
      <c r="B134" s="543">
        <v>0</v>
      </c>
      <c r="C134" s="545">
        <v>0</v>
      </c>
      <c r="D134" s="543">
        <v>1</v>
      </c>
      <c r="E134" s="545">
        <v>2</v>
      </c>
      <c r="F134" s="543">
        <v>0</v>
      </c>
      <c r="G134" s="545">
        <v>4</v>
      </c>
      <c r="H134" s="543">
        <v>0</v>
      </c>
      <c r="I134" s="545">
        <v>2</v>
      </c>
      <c r="J134" s="543">
        <v>0</v>
      </c>
      <c r="K134" s="545">
        <v>1</v>
      </c>
      <c r="L134" s="543">
        <v>0</v>
      </c>
      <c r="M134" s="545">
        <v>1</v>
      </c>
      <c r="T134" s="147"/>
    </row>
    <row r="135" spans="1:20" s="23" customFormat="1">
      <c r="A135" s="686" t="s">
        <v>600</v>
      </c>
      <c r="B135" s="543">
        <v>12</v>
      </c>
      <c r="C135" s="545">
        <v>14</v>
      </c>
      <c r="D135" s="543">
        <v>13</v>
      </c>
      <c r="E135" s="545">
        <v>11</v>
      </c>
      <c r="F135" s="543">
        <v>7</v>
      </c>
      <c r="G135" s="545">
        <v>10</v>
      </c>
      <c r="H135" s="543">
        <v>6</v>
      </c>
      <c r="I135" s="545">
        <v>15</v>
      </c>
      <c r="J135" s="543">
        <v>8</v>
      </c>
      <c r="K135" s="545">
        <v>13</v>
      </c>
      <c r="L135" s="543">
        <v>7</v>
      </c>
      <c r="M135" s="545">
        <v>15</v>
      </c>
      <c r="T135" s="147"/>
    </row>
    <row r="136" spans="1:20" s="23" customFormat="1">
      <c r="A136" s="686" t="s">
        <v>378</v>
      </c>
      <c r="B136" s="543">
        <v>56</v>
      </c>
      <c r="C136" s="545">
        <v>71</v>
      </c>
      <c r="D136" s="543">
        <v>78</v>
      </c>
      <c r="E136" s="545">
        <v>100</v>
      </c>
      <c r="F136" s="543">
        <v>77</v>
      </c>
      <c r="G136" s="545">
        <v>90</v>
      </c>
      <c r="H136" s="543">
        <v>63</v>
      </c>
      <c r="I136" s="545">
        <v>65</v>
      </c>
      <c r="J136" s="543">
        <v>42</v>
      </c>
      <c r="K136" s="545">
        <v>88</v>
      </c>
      <c r="L136" s="543">
        <v>81</v>
      </c>
      <c r="M136" s="685"/>
      <c r="T136" s="147"/>
    </row>
    <row r="137" spans="1:20" s="23" customFormat="1">
      <c r="A137" s="686" t="s">
        <v>576</v>
      </c>
      <c r="B137" s="543">
        <v>9</v>
      </c>
      <c r="C137" s="545">
        <v>8</v>
      </c>
      <c r="D137" s="543">
        <v>12</v>
      </c>
      <c r="E137" s="545">
        <v>17</v>
      </c>
      <c r="F137" s="543">
        <v>11</v>
      </c>
      <c r="G137" s="545">
        <v>7</v>
      </c>
      <c r="H137" s="543">
        <v>4</v>
      </c>
      <c r="I137" s="545">
        <v>11</v>
      </c>
      <c r="J137" s="543">
        <v>11</v>
      </c>
      <c r="K137" s="545">
        <v>19</v>
      </c>
      <c r="L137" s="543">
        <v>15</v>
      </c>
      <c r="M137" s="685"/>
      <c r="T137" s="147"/>
    </row>
    <row r="138" spans="1:20" s="23" customFormat="1">
      <c r="A138" s="686" t="s">
        <v>795</v>
      </c>
      <c r="B138" s="543">
        <v>168</v>
      </c>
      <c r="C138" s="545">
        <v>190</v>
      </c>
      <c r="D138" s="543">
        <v>207</v>
      </c>
      <c r="E138" s="545">
        <v>186</v>
      </c>
      <c r="F138" s="543">
        <v>162</v>
      </c>
      <c r="G138" s="545">
        <v>166</v>
      </c>
      <c r="H138" s="543">
        <v>156</v>
      </c>
      <c r="I138" s="545">
        <v>146</v>
      </c>
      <c r="J138" s="543">
        <v>140</v>
      </c>
      <c r="K138" s="545">
        <v>161</v>
      </c>
      <c r="L138" s="543">
        <v>164</v>
      </c>
      <c r="M138" s="545">
        <v>220</v>
      </c>
      <c r="T138" s="147"/>
    </row>
    <row r="139" spans="1:20" s="23" customFormat="1">
      <c r="A139" s="686" t="s">
        <v>531</v>
      </c>
      <c r="B139" s="543">
        <v>6</v>
      </c>
      <c r="C139" s="545">
        <v>4</v>
      </c>
      <c r="D139" s="543">
        <v>4</v>
      </c>
      <c r="E139" s="545">
        <v>0</v>
      </c>
      <c r="F139" s="543">
        <v>0</v>
      </c>
      <c r="G139" s="545">
        <v>4</v>
      </c>
      <c r="H139" s="543">
        <v>0</v>
      </c>
      <c r="I139" s="545">
        <v>11</v>
      </c>
      <c r="J139" s="543">
        <v>4</v>
      </c>
      <c r="K139" s="545">
        <v>7</v>
      </c>
      <c r="L139" s="543">
        <v>0</v>
      </c>
      <c r="M139" s="545">
        <v>4</v>
      </c>
      <c r="T139" s="147"/>
    </row>
    <row r="140" spans="1:20" s="23" customFormat="1">
      <c r="A140" s="686" t="s">
        <v>432</v>
      </c>
      <c r="B140" s="543">
        <v>13</v>
      </c>
      <c r="C140" s="545">
        <v>12</v>
      </c>
      <c r="D140" s="543">
        <v>19</v>
      </c>
      <c r="E140" s="545">
        <v>19</v>
      </c>
      <c r="F140" s="543">
        <v>8</v>
      </c>
      <c r="G140" s="545">
        <v>8</v>
      </c>
      <c r="H140" s="543">
        <v>10</v>
      </c>
      <c r="I140" s="545">
        <v>8</v>
      </c>
      <c r="J140" s="543">
        <v>7</v>
      </c>
      <c r="K140" s="545">
        <v>10</v>
      </c>
      <c r="L140" s="543">
        <v>6</v>
      </c>
      <c r="M140" s="545">
        <v>7</v>
      </c>
      <c r="T140" s="147"/>
    </row>
    <row r="141" spans="1:20" s="23" customFormat="1">
      <c r="A141" s="686" t="s">
        <v>434</v>
      </c>
      <c r="B141" s="543">
        <v>253</v>
      </c>
      <c r="C141" s="545">
        <v>225</v>
      </c>
      <c r="D141" s="543">
        <v>259</v>
      </c>
      <c r="E141" s="545">
        <v>193</v>
      </c>
      <c r="F141" s="543">
        <v>238</v>
      </c>
      <c r="G141" s="545">
        <v>185</v>
      </c>
      <c r="H141" s="543">
        <v>197</v>
      </c>
      <c r="I141" s="545">
        <v>189</v>
      </c>
      <c r="J141" s="543">
        <v>197</v>
      </c>
      <c r="K141" s="545">
        <v>212</v>
      </c>
      <c r="L141" s="543">
        <v>201</v>
      </c>
      <c r="M141" s="545">
        <v>198</v>
      </c>
      <c r="T141" s="147"/>
    </row>
    <row r="142" spans="1:20" s="23" customFormat="1">
      <c r="A142" s="686" t="s">
        <v>433</v>
      </c>
      <c r="B142" s="543">
        <v>121</v>
      </c>
      <c r="C142" s="545">
        <v>108</v>
      </c>
      <c r="D142" s="543">
        <v>103</v>
      </c>
      <c r="E142" s="545">
        <v>87</v>
      </c>
      <c r="F142" s="543">
        <v>107</v>
      </c>
      <c r="G142" s="545">
        <v>92</v>
      </c>
      <c r="H142" s="543">
        <v>106</v>
      </c>
      <c r="I142" s="545">
        <v>92</v>
      </c>
      <c r="J142" s="543">
        <v>73</v>
      </c>
      <c r="K142" s="545">
        <v>86</v>
      </c>
      <c r="L142" s="543">
        <v>89</v>
      </c>
      <c r="M142" s="545">
        <v>100</v>
      </c>
      <c r="T142" s="147"/>
    </row>
    <row r="143" spans="1:20" s="23" customFormat="1">
      <c r="A143" s="688" t="s">
        <v>58</v>
      </c>
      <c r="B143" s="539"/>
      <c r="C143" s="539"/>
      <c r="D143" s="539"/>
      <c r="E143" s="539"/>
      <c r="F143" s="539"/>
      <c r="G143" s="539"/>
      <c r="H143" s="539"/>
      <c r="I143" s="539"/>
      <c r="J143" s="539"/>
      <c r="K143" s="539"/>
      <c r="L143" s="539"/>
      <c r="M143" s="540"/>
      <c r="T143" s="147"/>
    </row>
    <row r="144" spans="1:20" s="23" customFormat="1" ht="15.75" thickBot="1">
      <c r="A144" s="548" t="s">
        <v>32</v>
      </c>
      <c r="B144" s="549">
        <f t="shared" ref="B144:J144" si="10">SUM(B122:B143)</f>
        <v>2194</v>
      </c>
      <c r="C144" s="550">
        <f t="shared" si="10"/>
        <v>2091</v>
      </c>
      <c r="D144" s="549">
        <f t="shared" si="10"/>
        <v>2321</v>
      </c>
      <c r="E144" s="551">
        <f t="shared" si="10"/>
        <v>2063</v>
      </c>
      <c r="F144" s="549">
        <f t="shared" si="10"/>
        <v>1958</v>
      </c>
      <c r="G144" s="551">
        <f t="shared" si="10"/>
        <v>1925</v>
      </c>
      <c r="H144" s="549">
        <f t="shared" si="10"/>
        <v>1965</v>
      </c>
      <c r="I144" s="551">
        <f t="shared" si="10"/>
        <v>1917</v>
      </c>
      <c r="J144" s="549">
        <f t="shared" si="10"/>
        <v>1583</v>
      </c>
      <c r="K144" s="551">
        <f>SUM(K122:K143)</f>
        <v>2015</v>
      </c>
      <c r="L144" s="549">
        <f>SUM(L122:L143)</f>
        <v>1846</v>
      </c>
      <c r="M144" s="551">
        <f>SUM(M122:M143)</f>
        <v>1999</v>
      </c>
      <c r="T144" s="147"/>
    </row>
    <row r="145" spans="1:88" s="23" customFormat="1" ht="15.75" thickBot="1">
      <c r="A145" s="5"/>
      <c r="O145" s="96"/>
      <c r="T145" s="147"/>
    </row>
    <row r="146" spans="1:88" ht="15.75">
      <c r="A146" s="2893" t="s">
        <v>518</v>
      </c>
      <c r="B146" s="596" t="s">
        <v>10</v>
      </c>
      <c r="C146" s="597" t="s">
        <v>11</v>
      </c>
      <c r="D146" s="598" t="s">
        <v>12</v>
      </c>
      <c r="E146" s="597" t="s">
        <v>13</v>
      </c>
      <c r="F146" s="598" t="s">
        <v>14</v>
      </c>
      <c r="G146" s="597" t="s">
        <v>15</v>
      </c>
      <c r="H146" s="598" t="s">
        <v>16</v>
      </c>
      <c r="I146" s="597" t="s">
        <v>17</v>
      </c>
      <c r="J146" s="598" t="s">
        <v>18</v>
      </c>
      <c r="K146" s="597" t="s">
        <v>19</v>
      </c>
      <c r="L146" s="598" t="s">
        <v>20</v>
      </c>
      <c r="M146" s="597" t="s">
        <v>21</v>
      </c>
      <c r="AX146" s="23"/>
      <c r="AY146" s="23"/>
      <c r="CI146"/>
      <c r="CJ146"/>
    </row>
    <row r="147" spans="1:88" ht="16.5" thickBot="1">
      <c r="A147" s="2894"/>
      <c r="B147" s="599" t="s">
        <v>139</v>
      </c>
      <c r="C147" s="600" t="s">
        <v>139</v>
      </c>
      <c r="D147" s="601" t="s">
        <v>139</v>
      </c>
      <c r="E147" s="602" t="s">
        <v>139</v>
      </c>
      <c r="F147" s="603" t="s">
        <v>139</v>
      </c>
      <c r="G147" s="602" t="s">
        <v>139</v>
      </c>
      <c r="H147" s="601" t="s">
        <v>139</v>
      </c>
      <c r="I147" s="602" t="s">
        <v>139</v>
      </c>
      <c r="J147" s="603" t="s">
        <v>139</v>
      </c>
      <c r="K147" s="602" t="s">
        <v>139</v>
      </c>
      <c r="L147" s="603" t="s">
        <v>139</v>
      </c>
      <c r="M147" s="602" t="s">
        <v>139</v>
      </c>
      <c r="AX147" s="23"/>
      <c r="AY147" s="23"/>
      <c r="CI147"/>
      <c r="CJ147"/>
    </row>
    <row r="148" spans="1:88">
      <c r="A148" s="5" t="s">
        <v>519</v>
      </c>
      <c r="B148" s="535">
        <v>7169</v>
      </c>
      <c r="C148" s="536">
        <v>6682</v>
      </c>
      <c r="D148" s="535">
        <v>7489</v>
      </c>
      <c r="E148" s="536">
        <v>6960</v>
      </c>
      <c r="F148" s="535">
        <v>7210</v>
      </c>
      <c r="G148" s="536">
        <v>6627</v>
      </c>
      <c r="H148" s="535">
        <v>6867</v>
      </c>
      <c r="I148" s="536">
        <v>7175</v>
      </c>
      <c r="J148" s="535">
        <v>7005</v>
      </c>
      <c r="K148" s="536">
        <v>7192</v>
      </c>
      <c r="L148" s="535">
        <v>6920</v>
      </c>
      <c r="M148" s="536">
        <v>7308</v>
      </c>
      <c r="AX148" s="23"/>
      <c r="AY148" s="23"/>
      <c r="CI148"/>
      <c r="CJ148"/>
    </row>
    <row r="149" spans="1:88">
      <c r="A149" s="5" t="s">
        <v>509</v>
      </c>
      <c r="B149" s="535">
        <v>7827</v>
      </c>
      <c r="C149" s="536">
        <v>7230</v>
      </c>
      <c r="D149" s="535">
        <v>7900</v>
      </c>
      <c r="E149" s="536">
        <v>7430</v>
      </c>
      <c r="F149" s="535">
        <v>7510</v>
      </c>
      <c r="G149" s="536">
        <v>7092</v>
      </c>
      <c r="H149" s="535">
        <v>7162</v>
      </c>
      <c r="I149" s="536">
        <v>7311</v>
      </c>
      <c r="J149" s="535">
        <v>7378</v>
      </c>
      <c r="K149" s="536">
        <v>7566</v>
      </c>
      <c r="L149" s="535">
        <v>7243</v>
      </c>
      <c r="M149" s="536">
        <v>7880</v>
      </c>
      <c r="AX149" s="23"/>
      <c r="AY149" s="23"/>
      <c r="CI149"/>
      <c r="CJ149"/>
    </row>
    <row r="150" spans="1:88">
      <c r="A150" s="5" t="s">
        <v>610</v>
      </c>
      <c r="B150" s="537">
        <v>943</v>
      </c>
      <c r="C150" s="538">
        <v>891</v>
      </c>
      <c r="D150" s="537">
        <v>821</v>
      </c>
      <c r="E150" s="538">
        <v>726</v>
      </c>
      <c r="F150" s="535">
        <v>630</v>
      </c>
      <c r="G150" s="538">
        <v>532</v>
      </c>
      <c r="H150" s="537">
        <v>567</v>
      </c>
      <c r="I150" s="538">
        <v>595</v>
      </c>
      <c r="J150" s="537">
        <v>590</v>
      </c>
      <c r="K150" s="538">
        <v>728</v>
      </c>
      <c r="L150" s="537">
        <v>796</v>
      </c>
      <c r="M150" s="538">
        <v>1097</v>
      </c>
      <c r="AX150" s="23"/>
      <c r="AY150" s="23"/>
      <c r="CI150"/>
      <c r="CJ150"/>
    </row>
    <row r="151" spans="1:88">
      <c r="A151" s="5" t="s">
        <v>545</v>
      </c>
      <c r="B151" s="537">
        <v>474</v>
      </c>
      <c r="C151" s="538">
        <v>449</v>
      </c>
      <c r="D151" s="537">
        <v>478</v>
      </c>
      <c r="E151" s="538">
        <v>415</v>
      </c>
      <c r="F151" s="535">
        <v>322</v>
      </c>
      <c r="G151" s="538">
        <v>303</v>
      </c>
      <c r="H151" s="537">
        <v>308</v>
      </c>
      <c r="I151" s="538">
        <v>323</v>
      </c>
      <c r="J151" s="537">
        <v>321</v>
      </c>
      <c r="K151" s="538">
        <v>375</v>
      </c>
      <c r="L151" s="537">
        <v>377</v>
      </c>
      <c r="M151" s="538">
        <v>488</v>
      </c>
      <c r="AX151" s="23"/>
      <c r="AY151" s="23"/>
      <c r="CI151"/>
      <c r="CJ151"/>
    </row>
    <row r="152" spans="1:88">
      <c r="A152" s="5" t="s">
        <v>84</v>
      </c>
      <c r="B152" s="535">
        <v>3013</v>
      </c>
      <c r="C152" s="536">
        <v>2823</v>
      </c>
      <c r="D152" s="535">
        <v>2996</v>
      </c>
      <c r="E152" s="536">
        <v>2652</v>
      </c>
      <c r="F152" s="535">
        <v>2449</v>
      </c>
      <c r="G152" s="536">
        <v>2411</v>
      </c>
      <c r="H152" s="535">
        <v>2374</v>
      </c>
      <c r="I152" s="536">
        <v>2473</v>
      </c>
      <c r="J152" s="535">
        <v>2408</v>
      </c>
      <c r="K152" s="536">
        <v>2613</v>
      </c>
      <c r="L152" s="535">
        <v>2640</v>
      </c>
      <c r="M152" s="536">
        <v>2891</v>
      </c>
      <c r="AX152" s="23"/>
      <c r="AY152" s="23"/>
      <c r="CI152"/>
      <c r="CJ152"/>
    </row>
    <row r="153" spans="1:88" s="23" customFormat="1">
      <c r="A153" s="5" t="s">
        <v>546</v>
      </c>
      <c r="B153" s="535">
        <v>86</v>
      </c>
      <c r="C153" s="536">
        <v>147</v>
      </c>
      <c r="D153" s="535">
        <v>214</v>
      </c>
      <c r="E153" s="536">
        <v>190</v>
      </c>
      <c r="F153" s="535">
        <v>171</v>
      </c>
      <c r="G153" s="536">
        <v>154</v>
      </c>
      <c r="H153" s="535">
        <v>141</v>
      </c>
      <c r="I153" s="536">
        <v>146</v>
      </c>
      <c r="J153" s="535">
        <v>142</v>
      </c>
      <c r="K153" s="536">
        <v>154</v>
      </c>
      <c r="L153" s="535">
        <v>156</v>
      </c>
      <c r="M153" s="536">
        <v>170</v>
      </c>
      <c r="T153" s="147"/>
    </row>
    <row r="154" spans="1:88">
      <c r="A154" s="5" t="s">
        <v>609</v>
      </c>
      <c r="B154" s="535">
        <v>6248</v>
      </c>
      <c r="C154" s="536">
        <v>5676</v>
      </c>
      <c r="D154" s="535">
        <v>6617</v>
      </c>
      <c r="E154" s="536">
        <v>6174</v>
      </c>
      <c r="F154" s="535">
        <v>6354</v>
      </c>
      <c r="G154" s="536">
        <v>6124</v>
      </c>
      <c r="H154" s="535">
        <v>6125</v>
      </c>
      <c r="I154" s="536">
        <v>6145</v>
      </c>
      <c r="J154" s="535">
        <v>5917</v>
      </c>
      <c r="K154" s="536">
        <v>6164</v>
      </c>
      <c r="L154" s="535">
        <v>5903</v>
      </c>
      <c r="M154" s="536">
        <v>6234</v>
      </c>
      <c r="AX154" s="23"/>
      <c r="AY154" s="23"/>
      <c r="CI154"/>
      <c r="CJ154"/>
    </row>
    <row r="155" spans="1:88" s="23" customFormat="1">
      <c r="A155" s="5" t="s">
        <v>608</v>
      </c>
      <c r="B155" s="535">
        <v>1994</v>
      </c>
      <c r="C155" s="536">
        <v>1865</v>
      </c>
      <c r="D155" s="535">
        <v>1857</v>
      </c>
      <c r="E155" s="747"/>
      <c r="F155" s="747"/>
      <c r="G155" s="747"/>
      <c r="H155" s="747"/>
      <c r="I155" s="747"/>
      <c r="J155" s="747"/>
      <c r="K155" s="747"/>
      <c r="L155" s="747"/>
      <c r="M155" s="747"/>
      <c r="T155" s="147"/>
    </row>
    <row r="156" spans="1:88" s="23" customFormat="1">
      <c r="A156" s="5" t="s">
        <v>520</v>
      </c>
      <c r="B156" s="537">
        <v>1050</v>
      </c>
      <c r="C156" s="538">
        <v>482</v>
      </c>
      <c r="D156" s="537">
        <v>1129</v>
      </c>
      <c r="E156" s="2193">
        <v>1110</v>
      </c>
      <c r="F156" s="747"/>
      <c r="G156" s="685"/>
      <c r="H156" s="540"/>
      <c r="I156" s="540"/>
      <c r="J156" s="540"/>
      <c r="K156" s="540"/>
      <c r="L156" s="540"/>
      <c r="M156" s="540"/>
      <c r="T156" s="147"/>
    </row>
    <row r="157" spans="1:88" s="23" customFormat="1">
      <c r="A157" s="5" t="s">
        <v>521</v>
      </c>
      <c r="B157" s="535">
        <v>911</v>
      </c>
      <c r="C157" s="536">
        <v>850</v>
      </c>
      <c r="D157" s="535">
        <v>910</v>
      </c>
      <c r="E157" s="536">
        <v>881</v>
      </c>
      <c r="F157" s="535">
        <v>911</v>
      </c>
      <c r="G157" s="536">
        <v>881</v>
      </c>
      <c r="H157" s="535">
        <v>911</v>
      </c>
      <c r="I157" s="536">
        <v>911</v>
      </c>
      <c r="J157" s="535">
        <v>881</v>
      </c>
      <c r="K157" s="536">
        <v>911</v>
      </c>
      <c r="L157" s="535">
        <v>881</v>
      </c>
      <c r="M157" s="536">
        <v>911</v>
      </c>
      <c r="T157" s="147"/>
    </row>
    <row r="158" spans="1:88">
      <c r="A158" s="5" t="s">
        <v>522</v>
      </c>
      <c r="B158" s="535">
        <v>3689</v>
      </c>
      <c r="C158" s="536">
        <v>3528</v>
      </c>
      <c r="D158" s="535">
        <v>3887</v>
      </c>
      <c r="E158" s="536">
        <v>3640</v>
      </c>
      <c r="F158" s="535">
        <v>3622</v>
      </c>
      <c r="G158" s="536">
        <v>3437</v>
      </c>
      <c r="H158" s="535">
        <v>3493</v>
      </c>
      <c r="I158" s="536">
        <v>3589</v>
      </c>
      <c r="J158" s="535">
        <v>3645</v>
      </c>
      <c r="K158" s="536">
        <v>3640</v>
      </c>
      <c r="L158" s="535">
        <v>3517</v>
      </c>
      <c r="M158" s="536">
        <v>3694</v>
      </c>
      <c r="AX158" s="23"/>
      <c r="AY158" s="23"/>
      <c r="CI158"/>
      <c r="CJ158"/>
    </row>
    <row r="159" spans="1:88" s="23" customFormat="1">
      <c r="A159" s="5" t="s">
        <v>523</v>
      </c>
      <c r="B159" s="535">
        <v>1444</v>
      </c>
      <c r="C159" s="536">
        <v>1351</v>
      </c>
      <c r="D159" s="535">
        <v>1444</v>
      </c>
      <c r="E159" s="536">
        <v>1397</v>
      </c>
      <c r="F159" s="535">
        <v>1444</v>
      </c>
      <c r="G159" s="536">
        <v>1397</v>
      </c>
      <c r="H159" s="535">
        <v>1444</v>
      </c>
      <c r="I159" s="536">
        <v>1444</v>
      </c>
      <c r="J159" s="535">
        <v>1397</v>
      </c>
      <c r="K159" s="536">
        <v>1444</v>
      </c>
      <c r="L159" s="535">
        <v>1397</v>
      </c>
      <c r="M159" s="536">
        <v>1444</v>
      </c>
      <c r="T159" s="147"/>
    </row>
    <row r="160" spans="1:88">
      <c r="A160" s="5" t="s">
        <v>511</v>
      </c>
      <c r="B160" s="535">
        <v>2101</v>
      </c>
      <c r="C160" s="536">
        <v>1975</v>
      </c>
      <c r="D160" s="535">
        <v>2260</v>
      </c>
      <c r="E160" s="536">
        <v>2093</v>
      </c>
      <c r="F160" s="535">
        <v>2162</v>
      </c>
      <c r="G160" s="536">
        <v>2134</v>
      </c>
      <c r="H160" s="535">
        <v>2121</v>
      </c>
      <c r="I160" s="536">
        <v>2251</v>
      </c>
      <c r="J160" s="535">
        <v>2269</v>
      </c>
      <c r="K160" s="536">
        <v>2100</v>
      </c>
      <c r="L160" s="535">
        <v>1991</v>
      </c>
      <c r="M160" s="536">
        <v>2223</v>
      </c>
      <c r="AX160" s="23"/>
      <c r="AY160" s="23"/>
      <c r="CI160"/>
      <c r="CJ160"/>
    </row>
    <row r="161" spans="1:88" s="23" customFormat="1">
      <c r="A161" s="5" t="s">
        <v>252</v>
      </c>
      <c r="B161" s="535">
        <v>2156</v>
      </c>
      <c r="C161" s="536">
        <v>2041</v>
      </c>
      <c r="D161" s="535">
        <v>2310</v>
      </c>
      <c r="E161" s="536">
        <v>2242</v>
      </c>
      <c r="F161" s="535">
        <v>2090</v>
      </c>
      <c r="G161" s="536">
        <v>1993</v>
      </c>
      <c r="H161" s="535">
        <v>1894</v>
      </c>
      <c r="I161" s="536">
        <v>2122</v>
      </c>
      <c r="J161" s="535">
        <v>2163</v>
      </c>
      <c r="K161" s="536">
        <v>2353</v>
      </c>
      <c r="L161" s="535">
        <v>2305</v>
      </c>
      <c r="M161" s="536">
        <v>2473</v>
      </c>
      <c r="T161" s="147"/>
    </row>
    <row r="162" spans="1:88">
      <c r="A162" s="5" t="s">
        <v>301</v>
      </c>
      <c r="B162" s="535">
        <v>1857</v>
      </c>
      <c r="C162" s="536">
        <v>1730</v>
      </c>
      <c r="D162" s="535">
        <v>2099</v>
      </c>
      <c r="E162" s="536">
        <v>1997</v>
      </c>
      <c r="F162" s="535">
        <v>2135</v>
      </c>
      <c r="G162" s="536">
        <v>2014</v>
      </c>
      <c r="H162" s="535">
        <v>2015</v>
      </c>
      <c r="I162" s="536">
        <v>2052</v>
      </c>
      <c r="J162" s="535">
        <v>2019</v>
      </c>
      <c r="K162" s="536">
        <v>1899</v>
      </c>
      <c r="L162" s="535">
        <v>1937</v>
      </c>
      <c r="M162" s="536">
        <v>2141</v>
      </c>
      <c r="AX162" s="23"/>
      <c r="AY162" s="23"/>
      <c r="CI162"/>
      <c r="CJ162"/>
    </row>
    <row r="163" spans="1:88">
      <c r="A163" s="5" t="s">
        <v>524</v>
      </c>
      <c r="B163" s="752">
        <v>1043</v>
      </c>
      <c r="C163" s="753">
        <v>1012</v>
      </c>
      <c r="D163" s="752">
        <v>1170</v>
      </c>
      <c r="E163" s="753">
        <v>1133</v>
      </c>
      <c r="F163" s="752">
        <v>1123</v>
      </c>
      <c r="G163" s="753">
        <v>1146</v>
      </c>
      <c r="H163" s="752">
        <v>1106</v>
      </c>
      <c r="I163" s="753">
        <v>1027</v>
      </c>
      <c r="J163" s="752">
        <v>1031</v>
      </c>
      <c r="K163" s="753">
        <v>1123</v>
      </c>
      <c r="L163" s="752">
        <v>1150</v>
      </c>
      <c r="M163" s="753">
        <v>1039</v>
      </c>
      <c r="AX163" s="23"/>
      <c r="AY163" s="23"/>
      <c r="CI163"/>
      <c r="CJ163"/>
    </row>
    <row r="164" spans="1:88" s="23" customFormat="1">
      <c r="A164" s="5" t="s">
        <v>525</v>
      </c>
      <c r="B164" s="535">
        <v>3012</v>
      </c>
      <c r="C164" s="536">
        <v>2818</v>
      </c>
      <c r="D164" s="535">
        <v>3012</v>
      </c>
      <c r="E164" s="536">
        <v>2915</v>
      </c>
      <c r="F164" s="535">
        <v>3012</v>
      </c>
      <c r="G164" s="536">
        <v>2915</v>
      </c>
      <c r="H164" s="535">
        <v>3012</v>
      </c>
      <c r="I164" s="536">
        <v>3012</v>
      </c>
      <c r="J164" s="535">
        <v>2915</v>
      </c>
      <c r="K164" s="536">
        <v>3012</v>
      </c>
      <c r="L164" s="535">
        <v>2915</v>
      </c>
      <c r="M164" s="536">
        <v>3012</v>
      </c>
      <c r="T164" s="147"/>
    </row>
    <row r="165" spans="1:88" s="23" customFormat="1">
      <c r="A165" s="5" t="s">
        <v>607</v>
      </c>
      <c r="B165" s="535">
        <v>891</v>
      </c>
      <c r="C165" s="536">
        <v>834</v>
      </c>
      <c r="D165" s="535">
        <v>891</v>
      </c>
      <c r="E165" s="536">
        <v>862</v>
      </c>
      <c r="F165" s="535">
        <v>891</v>
      </c>
      <c r="G165" s="536">
        <v>862</v>
      </c>
      <c r="H165" s="535">
        <v>891</v>
      </c>
      <c r="I165" s="536">
        <v>891</v>
      </c>
      <c r="J165" s="535">
        <v>862</v>
      </c>
      <c r="K165" s="536">
        <v>891</v>
      </c>
      <c r="L165" s="535">
        <v>862</v>
      </c>
      <c r="M165" s="536">
        <v>892</v>
      </c>
      <c r="T165" s="147"/>
    </row>
    <row r="166" spans="1:88" s="23" customFormat="1">
      <c r="A166" s="5" t="s">
        <v>377</v>
      </c>
      <c r="B166" s="535">
        <v>4990</v>
      </c>
      <c r="C166" s="536">
        <v>4622</v>
      </c>
      <c r="D166" s="535">
        <v>4940</v>
      </c>
      <c r="E166" s="536">
        <v>4781</v>
      </c>
      <c r="F166" s="535">
        <v>4940</v>
      </c>
      <c r="G166" s="536">
        <v>4781</v>
      </c>
      <c r="H166" s="535">
        <v>4940</v>
      </c>
      <c r="I166" s="536">
        <v>4940</v>
      </c>
      <c r="J166" s="535">
        <v>4781</v>
      </c>
      <c r="K166" s="536">
        <v>4940</v>
      </c>
      <c r="L166" s="535">
        <v>4781</v>
      </c>
      <c r="M166" s="536">
        <v>4940</v>
      </c>
      <c r="T166" s="147"/>
    </row>
    <row r="167" spans="1:88" s="23" customFormat="1">
      <c r="A167" s="5" t="s">
        <v>531</v>
      </c>
      <c r="B167" s="535">
        <v>1622</v>
      </c>
      <c r="C167" s="536">
        <v>1517</v>
      </c>
      <c r="D167" s="535">
        <v>1622</v>
      </c>
      <c r="E167" s="536">
        <v>1569</v>
      </c>
      <c r="F167" s="535">
        <v>1622</v>
      </c>
      <c r="G167" s="536">
        <v>1569</v>
      </c>
      <c r="H167" s="535">
        <v>1622</v>
      </c>
      <c r="I167" s="536">
        <v>1622</v>
      </c>
      <c r="J167" s="535">
        <v>1569</v>
      </c>
      <c r="K167" s="536">
        <v>1622</v>
      </c>
      <c r="L167" s="535">
        <v>1569</v>
      </c>
      <c r="M167" s="536">
        <v>1622</v>
      </c>
      <c r="T167" s="147"/>
    </row>
    <row r="168" spans="1:88" s="23" customFormat="1">
      <c r="A168" s="5" t="s">
        <v>432</v>
      </c>
      <c r="B168" s="535">
        <v>1990</v>
      </c>
      <c r="C168" s="536">
        <v>1862</v>
      </c>
      <c r="D168" s="535">
        <v>1990</v>
      </c>
      <c r="E168" s="536">
        <v>1926</v>
      </c>
      <c r="F168" s="535">
        <v>1990</v>
      </c>
      <c r="G168" s="536">
        <v>1926</v>
      </c>
      <c r="H168" s="535">
        <v>1990</v>
      </c>
      <c r="I168" s="536">
        <v>1990</v>
      </c>
      <c r="J168" s="535">
        <v>1926</v>
      </c>
      <c r="K168" s="536">
        <v>1990</v>
      </c>
      <c r="L168" s="535">
        <v>1926</v>
      </c>
      <c r="M168" s="536">
        <v>1990</v>
      </c>
      <c r="T168" s="147"/>
    </row>
    <row r="169" spans="1:88" s="23" customFormat="1">
      <c r="A169" s="5" t="s">
        <v>526</v>
      </c>
      <c r="B169" s="535">
        <v>7967</v>
      </c>
      <c r="C169" s="536">
        <v>6589</v>
      </c>
      <c r="D169" s="535">
        <v>7451</v>
      </c>
      <c r="E169" s="536">
        <v>7287</v>
      </c>
      <c r="F169" s="535">
        <v>7377</v>
      </c>
      <c r="G169" s="536">
        <v>6640</v>
      </c>
      <c r="H169" s="535">
        <v>6711</v>
      </c>
      <c r="I169" s="536">
        <v>6981</v>
      </c>
      <c r="J169" s="535">
        <v>6953</v>
      </c>
      <c r="K169" s="536">
        <v>7045</v>
      </c>
      <c r="L169" s="535">
        <v>6991</v>
      </c>
      <c r="M169" s="536">
        <v>7287</v>
      </c>
      <c r="T169" s="147"/>
    </row>
    <row r="170" spans="1:88" s="23" customFormat="1">
      <c r="A170" s="5" t="s">
        <v>527</v>
      </c>
      <c r="B170" s="535">
        <v>4883</v>
      </c>
      <c r="C170" s="536">
        <v>4038</v>
      </c>
      <c r="D170" s="535">
        <v>4567</v>
      </c>
      <c r="E170" s="536">
        <v>4467</v>
      </c>
      <c r="F170" s="535">
        <v>4521</v>
      </c>
      <c r="G170" s="536">
        <v>4070</v>
      </c>
      <c r="H170" s="535">
        <v>4113</v>
      </c>
      <c r="I170" s="536">
        <v>4279</v>
      </c>
      <c r="J170" s="535">
        <v>4262</v>
      </c>
      <c r="K170" s="536">
        <v>4318</v>
      </c>
      <c r="L170" s="535">
        <v>4285</v>
      </c>
      <c r="M170" s="536">
        <v>4466</v>
      </c>
      <c r="T170" s="147"/>
    </row>
    <row r="171" spans="1:88">
      <c r="A171" s="692" t="s">
        <v>58</v>
      </c>
      <c r="B171" s="539"/>
      <c r="C171" s="539"/>
      <c r="D171" s="539"/>
      <c r="E171" s="539"/>
      <c r="F171" s="539"/>
      <c r="G171" s="539"/>
      <c r="H171" s="539"/>
      <c r="I171" s="539"/>
      <c r="J171" s="539"/>
      <c r="K171" s="539"/>
      <c r="L171" s="539"/>
      <c r="M171" s="540"/>
      <c r="AX171" s="23"/>
      <c r="AY171" s="23"/>
      <c r="CI171"/>
      <c r="CJ171"/>
    </row>
    <row r="172" spans="1:88" ht="15.75" thickBot="1">
      <c r="A172" s="6" t="s">
        <v>168</v>
      </c>
      <c r="B172" s="541">
        <f t="shared" ref="B172:M172" si="11">SUM(B148:B171)</f>
        <v>67360</v>
      </c>
      <c r="C172" s="541">
        <f t="shared" si="11"/>
        <v>61012</v>
      </c>
      <c r="D172" s="541">
        <f t="shared" si="11"/>
        <v>68054</v>
      </c>
      <c r="E172" s="541">
        <f t="shared" si="11"/>
        <v>62847</v>
      </c>
      <c r="F172" s="541">
        <f t="shared" si="11"/>
        <v>62486</v>
      </c>
      <c r="G172" s="541">
        <f t="shared" si="11"/>
        <v>59008</v>
      </c>
      <c r="H172" s="541">
        <f t="shared" si="11"/>
        <v>59807</v>
      </c>
      <c r="I172" s="541">
        <f t="shared" si="11"/>
        <v>61279</v>
      </c>
      <c r="J172" s="541">
        <f t="shared" si="11"/>
        <v>60434</v>
      </c>
      <c r="K172" s="541">
        <f t="shared" si="11"/>
        <v>62080</v>
      </c>
      <c r="L172" s="541">
        <f t="shared" si="11"/>
        <v>60542</v>
      </c>
      <c r="M172" s="541">
        <f t="shared" si="11"/>
        <v>64202</v>
      </c>
      <c r="AX172" s="23"/>
      <c r="AY172" s="23"/>
      <c r="CI172"/>
      <c r="CJ172"/>
    </row>
    <row r="173" spans="1:88" s="2" customFormat="1" ht="15.75" thickBot="1">
      <c r="A173" s="15"/>
      <c r="B173" s="429"/>
      <c r="C173" s="72"/>
      <c r="D173" s="72"/>
      <c r="E173" s="530"/>
      <c r="F173" s="531"/>
      <c r="G173" s="71"/>
      <c r="H173" s="72"/>
      <c r="I173" s="532"/>
      <c r="J173" s="429"/>
      <c r="K173" s="72"/>
      <c r="L173" s="72"/>
      <c r="M173" s="532"/>
      <c r="T173" s="129"/>
    </row>
    <row r="174" spans="1:88" s="5" customFormat="1" ht="15.75">
      <c r="A174" s="2893" t="s">
        <v>714</v>
      </c>
      <c r="B174" s="2901" t="s">
        <v>10</v>
      </c>
      <c r="C174" s="2915"/>
      <c r="D174" s="2915"/>
      <c r="E174" s="2916" t="s">
        <v>11</v>
      </c>
      <c r="F174" s="2915"/>
      <c r="G174" s="2917"/>
      <c r="H174" s="2901" t="s">
        <v>12</v>
      </c>
      <c r="I174" s="2915"/>
      <c r="J174" s="2917"/>
      <c r="K174" s="2916" t="s">
        <v>13</v>
      </c>
      <c r="L174" s="2915"/>
      <c r="M174" s="2917"/>
      <c r="N174" s="2901" t="s">
        <v>14</v>
      </c>
      <c r="O174" s="2915"/>
      <c r="P174" s="2917"/>
      <c r="Q174" s="2916" t="s">
        <v>15</v>
      </c>
      <c r="R174" s="2915"/>
      <c r="S174" s="2917"/>
      <c r="T174" s="2901" t="s">
        <v>16</v>
      </c>
      <c r="U174" s="2915"/>
      <c r="V174" s="2917"/>
      <c r="W174" s="2916" t="s">
        <v>17</v>
      </c>
      <c r="X174" s="2915"/>
      <c r="Y174" s="2917"/>
      <c r="Z174" s="2901" t="s">
        <v>18</v>
      </c>
      <c r="AA174" s="2915"/>
      <c r="AB174" s="2917"/>
      <c r="AC174" s="2916" t="s">
        <v>19</v>
      </c>
      <c r="AD174" s="2915"/>
      <c r="AE174" s="2917"/>
      <c r="AF174" s="2901" t="s">
        <v>20</v>
      </c>
      <c r="AG174" s="2915"/>
      <c r="AH174" s="2917"/>
      <c r="AI174" s="2916" t="s">
        <v>21</v>
      </c>
      <c r="AJ174" s="2915"/>
      <c r="AK174" s="2917"/>
    </row>
    <row r="175" spans="1:88" s="78" customFormat="1" ht="86.25" thickBot="1">
      <c r="A175" s="2853"/>
      <c r="B175" s="604" t="s">
        <v>559</v>
      </c>
      <c r="C175" s="605" t="s">
        <v>155</v>
      </c>
      <c r="D175" s="605" t="s">
        <v>651</v>
      </c>
      <c r="E175" s="606" t="s">
        <v>559</v>
      </c>
      <c r="F175" s="607" t="s">
        <v>155</v>
      </c>
      <c r="G175" s="608" t="s">
        <v>651</v>
      </c>
      <c r="H175" s="604" t="s">
        <v>559</v>
      </c>
      <c r="I175" s="605" t="s">
        <v>155</v>
      </c>
      <c r="J175" s="609" t="s">
        <v>651</v>
      </c>
      <c r="K175" s="606" t="s">
        <v>559</v>
      </c>
      <c r="L175" s="607" t="s">
        <v>155</v>
      </c>
      <c r="M175" s="608" t="s">
        <v>651</v>
      </c>
      <c r="N175" s="604" t="s">
        <v>559</v>
      </c>
      <c r="O175" s="605" t="s">
        <v>155</v>
      </c>
      <c r="P175" s="609" t="s">
        <v>651</v>
      </c>
      <c r="Q175" s="606" t="s">
        <v>559</v>
      </c>
      <c r="R175" s="607" t="s">
        <v>155</v>
      </c>
      <c r="S175" s="608" t="s">
        <v>651</v>
      </c>
      <c r="T175" s="604" t="s">
        <v>559</v>
      </c>
      <c r="U175" s="605" t="s">
        <v>155</v>
      </c>
      <c r="V175" s="605" t="s">
        <v>651</v>
      </c>
      <c r="W175" s="606" t="s">
        <v>559</v>
      </c>
      <c r="X175" s="607" t="s">
        <v>155</v>
      </c>
      <c r="Y175" s="608" t="s">
        <v>651</v>
      </c>
      <c r="Z175" s="604" t="s">
        <v>559</v>
      </c>
      <c r="AA175" s="605" t="s">
        <v>155</v>
      </c>
      <c r="AB175" s="605" t="s">
        <v>651</v>
      </c>
      <c r="AC175" s="606" t="s">
        <v>559</v>
      </c>
      <c r="AD175" s="607" t="s">
        <v>155</v>
      </c>
      <c r="AE175" s="608" t="s">
        <v>651</v>
      </c>
      <c r="AF175" s="604" t="s">
        <v>559</v>
      </c>
      <c r="AG175" s="605" t="s">
        <v>155</v>
      </c>
      <c r="AH175" s="605" t="s">
        <v>651</v>
      </c>
      <c r="AI175" s="606" t="s">
        <v>559</v>
      </c>
      <c r="AJ175" s="607" t="s">
        <v>155</v>
      </c>
      <c r="AK175" s="608" t="s">
        <v>651</v>
      </c>
    </row>
    <row r="176" spans="1:88" s="23" customFormat="1">
      <c r="A176" s="5" t="s">
        <v>6</v>
      </c>
      <c r="B176" s="1002"/>
      <c r="C176" s="801"/>
      <c r="D176" s="801"/>
      <c r="E176" s="800"/>
      <c r="F176" s="801"/>
      <c r="G176" s="801"/>
      <c r="H176" s="800"/>
      <c r="I176" s="801"/>
      <c r="J176" s="801"/>
      <c r="K176" s="800"/>
      <c r="L176" s="801"/>
      <c r="M176" s="801"/>
      <c r="N176" s="801"/>
      <c r="O176" s="801"/>
      <c r="P176" s="800"/>
      <c r="Q176" s="800"/>
      <c r="R176" s="801"/>
      <c r="S176" s="801"/>
      <c r="T176" s="801"/>
      <c r="U176" s="800"/>
      <c r="V176" s="800"/>
      <c r="W176" s="800"/>
      <c r="X176" s="800"/>
      <c r="Y176" s="800"/>
      <c r="Z176" s="800"/>
      <c r="AA176" s="800"/>
      <c r="AB176" s="800"/>
      <c r="AC176" s="800"/>
      <c r="AD176" s="801"/>
      <c r="AE176" s="801"/>
      <c r="AF176" s="800"/>
      <c r="AG176" s="800"/>
      <c r="AH176" s="800"/>
      <c r="AI176" s="801"/>
      <c r="AJ176" s="801"/>
      <c r="AK176" s="1003"/>
    </row>
    <row r="177" spans="1:127" s="23" customFormat="1">
      <c r="A177" s="5" t="s">
        <v>653</v>
      </c>
      <c r="B177" s="482"/>
      <c r="C177" s="412"/>
      <c r="D177" s="2412"/>
      <c r="E177" s="411"/>
      <c r="F177" s="412"/>
      <c r="G177" s="412"/>
      <c r="H177" s="411"/>
      <c r="I177" s="412"/>
      <c r="J177" s="412"/>
      <c r="K177" s="411"/>
      <c r="L177" s="412"/>
      <c r="M177" s="412"/>
      <c r="N177" s="412"/>
      <c r="O177" s="412"/>
      <c r="P177" s="412"/>
      <c r="Q177" s="411"/>
      <c r="R177" s="412"/>
      <c r="S177" s="412"/>
      <c r="T177" s="412"/>
      <c r="U177" s="411"/>
      <c r="V177" s="411"/>
      <c r="W177" s="411"/>
      <c r="X177" s="411"/>
      <c r="Y177" s="411"/>
      <c r="Z177" s="411"/>
      <c r="AA177" s="411"/>
      <c r="AB177" s="411"/>
      <c r="AC177" s="411"/>
      <c r="AD177" s="412"/>
      <c r="AE177" s="412"/>
      <c r="AF177" s="411"/>
      <c r="AG177" s="411"/>
      <c r="AH177" s="411"/>
      <c r="AI177" s="412"/>
      <c r="AJ177" s="412"/>
      <c r="AK177" s="483"/>
    </row>
    <row r="178" spans="1:127" s="23" customFormat="1">
      <c r="A178" s="15" t="s">
        <v>663</v>
      </c>
      <c r="B178" s="472">
        <v>60</v>
      </c>
      <c r="C178" s="132">
        <v>24</v>
      </c>
      <c r="D178" s="477">
        <v>0</v>
      </c>
      <c r="E178" s="480">
        <v>24</v>
      </c>
      <c r="F178" s="209">
        <v>48</v>
      </c>
      <c r="G178" s="481">
        <v>0</v>
      </c>
      <c r="H178" s="472">
        <v>48</v>
      </c>
      <c r="I178" s="132">
        <v>24</v>
      </c>
      <c r="J178" s="473">
        <v>0</v>
      </c>
      <c r="K178" s="480">
        <v>96</v>
      </c>
      <c r="L178" s="209">
        <v>240</v>
      </c>
      <c r="M178" s="209">
        <v>0</v>
      </c>
      <c r="N178" s="492">
        <v>144</v>
      </c>
      <c r="O178" s="132">
        <v>0</v>
      </c>
      <c r="P178" s="132">
        <v>0</v>
      </c>
      <c r="Q178" s="480">
        <v>36</v>
      </c>
      <c r="R178" s="209">
        <v>24</v>
      </c>
      <c r="S178" s="481">
        <v>0</v>
      </c>
      <c r="T178" s="472">
        <v>156</v>
      </c>
      <c r="U178" s="208">
        <v>23</v>
      </c>
      <c r="V178" s="493">
        <v>0</v>
      </c>
      <c r="W178" s="480">
        <v>48</v>
      </c>
      <c r="X178" s="157">
        <v>12</v>
      </c>
      <c r="Y178" s="496">
        <v>0</v>
      </c>
      <c r="Z178" s="472">
        <v>24</v>
      </c>
      <c r="AA178" s="208">
        <v>0</v>
      </c>
      <c r="AB178" s="493">
        <v>0</v>
      </c>
      <c r="AC178" s="480">
        <v>84</v>
      </c>
      <c r="AD178" s="209">
        <v>108</v>
      </c>
      <c r="AE178" s="481">
        <v>0</v>
      </c>
      <c r="AF178" s="472">
        <v>36</v>
      </c>
      <c r="AG178" s="208">
        <v>0</v>
      </c>
      <c r="AH178" s="493">
        <v>0</v>
      </c>
      <c r="AI178" s="521">
        <v>0</v>
      </c>
      <c r="AJ178" s="209">
        <v>36</v>
      </c>
      <c r="AK178" s="481">
        <v>0</v>
      </c>
    </row>
    <row r="179" spans="1:127" s="23" customFormat="1">
      <c r="A179" s="15" t="s">
        <v>671</v>
      </c>
      <c r="B179" s="472">
        <v>0</v>
      </c>
      <c r="C179" s="132">
        <v>24</v>
      </c>
      <c r="D179" s="477">
        <v>0</v>
      </c>
      <c r="E179" s="480">
        <v>0</v>
      </c>
      <c r="F179" s="209">
        <v>24</v>
      </c>
      <c r="G179" s="481">
        <v>0</v>
      </c>
      <c r="H179" s="472">
        <v>12</v>
      </c>
      <c r="I179" s="132">
        <v>0</v>
      </c>
      <c r="J179" s="473">
        <v>0</v>
      </c>
      <c r="K179" s="480">
        <v>36</v>
      </c>
      <c r="L179" s="209">
        <v>0</v>
      </c>
      <c r="M179" s="209">
        <v>0</v>
      </c>
      <c r="N179" s="492">
        <v>0</v>
      </c>
      <c r="O179" s="132">
        <v>24</v>
      </c>
      <c r="P179" s="132">
        <v>0</v>
      </c>
      <c r="Q179" s="480">
        <v>0</v>
      </c>
      <c r="R179" s="209">
        <v>0</v>
      </c>
      <c r="S179" s="481">
        <v>0</v>
      </c>
      <c r="T179" s="472">
        <v>12</v>
      </c>
      <c r="U179" s="208">
        <v>0</v>
      </c>
      <c r="V179" s="493">
        <v>0</v>
      </c>
      <c r="W179" s="480">
        <v>12</v>
      </c>
      <c r="X179" s="157">
        <v>0</v>
      </c>
      <c r="Y179" s="496">
        <v>0</v>
      </c>
      <c r="Z179" s="472">
        <v>0</v>
      </c>
      <c r="AA179" s="208">
        <v>0</v>
      </c>
      <c r="AB179" s="493">
        <v>0</v>
      </c>
      <c r="AC179" s="480">
        <v>0</v>
      </c>
      <c r="AD179" s="209">
        <v>0</v>
      </c>
      <c r="AE179" s="481">
        <v>0</v>
      </c>
      <c r="AF179" s="472">
        <v>0</v>
      </c>
      <c r="AG179" s="208">
        <v>0</v>
      </c>
      <c r="AH179" s="493">
        <v>0</v>
      </c>
      <c r="AI179" s="521">
        <v>0</v>
      </c>
      <c r="AJ179" s="209">
        <v>0</v>
      </c>
      <c r="AK179" s="481">
        <v>0</v>
      </c>
    </row>
    <row r="180" spans="1:127" s="23" customFormat="1">
      <c r="A180" s="15" t="s">
        <v>654</v>
      </c>
      <c r="B180" s="472">
        <v>1.5</v>
      </c>
      <c r="C180" s="132">
        <v>0</v>
      </c>
      <c r="D180" s="477">
        <v>0</v>
      </c>
      <c r="E180" s="480">
        <v>0</v>
      </c>
      <c r="F180" s="209">
        <v>0</v>
      </c>
      <c r="G180" s="481">
        <v>0</v>
      </c>
      <c r="H180" s="472">
        <v>130</v>
      </c>
      <c r="I180" s="132">
        <v>0</v>
      </c>
      <c r="J180" s="473">
        <v>0</v>
      </c>
      <c r="K180" s="480">
        <v>145</v>
      </c>
      <c r="L180" s="209">
        <v>0</v>
      </c>
      <c r="M180" s="481">
        <v>0</v>
      </c>
      <c r="N180" s="492">
        <v>0</v>
      </c>
      <c r="O180" s="132">
        <v>0</v>
      </c>
      <c r="P180" s="132">
        <v>0</v>
      </c>
      <c r="Q180" s="480">
        <v>0</v>
      </c>
      <c r="R180" s="209">
        <v>0</v>
      </c>
      <c r="S180" s="481">
        <v>0</v>
      </c>
      <c r="T180" s="472">
        <v>0</v>
      </c>
      <c r="U180" s="208">
        <v>0</v>
      </c>
      <c r="V180" s="493">
        <v>0</v>
      </c>
      <c r="W180" s="480">
        <v>0</v>
      </c>
      <c r="X180" s="157">
        <v>0</v>
      </c>
      <c r="Y180" s="496">
        <v>0</v>
      </c>
      <c r="Z180" s="472">
        <v>0</v>
      </c>
      <c r="AA180" s="208">
        <v>0</v>
      </c>
      <c r="AB180" s="493">
        <v>0</v>
      </c>
      <c r="AC180" s="480">
        <v>1.33</v>
      </c>
      <c r="AD180" s="209">
        <v>0</v>
      </c>
      <c r="AE180" s="481">
        <v>0</v>
      </c>
      <c r="AF180" s="472">
        <v>0</v>
      </c>
      <c r="AG180" s="208">
        <v>0</v>
      </c>
      <c r="AH180" s="493">
        <v>0</v>
      </c>
      <c r="AI180" s="521">
        <v>115.5</v>
      </c>
      <c r="AJ180" s="209">
        <v>0</v>
      </c>
      <c r="AK180" s="481">
        <v>0</v>
      </c>
    </row>
    <row r="181" spans="1:127" s="23" customFormat="1">
      <c r="A181" s="15" t="s">
        <v>664</v>
      </c>
      <c r="B181" s="472">
        <v>452</v>
      </c>
      <c r="C181" s="132">
        <v>0</v>
      </c>
      <c r="D181" s="1919">
        <v>0</v>
      </c>
      <c r="E181" s="480">
        <v>173</v>
      </c>
      <c r="F181" s="209">
        <v>10</v>
      </c>
      <c r="G181" s="481">
        <v>91</v>
      </c>
      <c r="H181" s="472">
        <v>197</v>
      </c>
      <c r="I181" s="132">
        <v>10</v>
      </c>
      <c r="J181" s="473">
        <v>101</v>
      </c>
      <c r="K181" s="480">
        <v>410</v>
      </c>
      <c r="L181" s="157">
        <v>0</v>
      </c>
      <c r="M181" s="481">
        <v>0</v>
      </c>
      <c r="N181" s="492">
        <v>402</v>
      </c>
      <c r="O181" s="132">
        <v>18</v>
      </c>
      <c r="P181" s="132">
        <v>0</v>
      </c>
      <c r="Q181" s="480">
        <v>359</v>
      </c>
      <c r="R181" s="209">
        <v>0</v>
      </c>
      <c r="S181" s="481">
        <v>0</v>
      </c>
      <c r="T181" s="472">
        <v>327</v>
      </c>
      <c r="U181" s="208">
        <v>12</v>
      </c>
      <c r="V181" s="493">
        <v>0</v>
      </c>
      <c r="W181" s="480">
        <v>340</v>
      </c>
      <c r="X181" s="157">
        <v>0</v>
      </c>
      <c r="Y181" s="496">
        <v>0</v>
      </c>
      <c r="Z181" s="472">
        <v>332</v>
      </c>
      <c r="AA181" s="208">
        <v>0</v>
      </c>
      <c r="AB181" s="493">
        <v>0</v>
      </c>
      <c r="AC181" s="480">
        <v>343</v>
      </c>
      <c r="AD181" s="209">
        <v>0</v>
      </c>
      <c r="AE181" s="481">
        <v>0</v>
      </c>
      <c r="AF181" s="472">
        <v>326</v>
      </c>
      <c r="AG181" s="208">
        <v>0</v>
      </c>
      <c r="AH181" s="493">
        <v>0</v>
      </c>
      <c r="AI181" s="480">
        <v>389</v>
      </c>
      <c r="AJ181" s="209">
        <v>0</v>
      </c>
      <c r="AK181" s="481">
        <v>0</v>
      </c>
    </row>
    <row r="182" spans="1:127" s="23" customFormat="1">
      <c r="A182" s="15" t="s">
        <v>669</v>
      </c>
      <c r="B182" s="472">
        <v>165</v>
      </c>
      <c r="C182" s="132">
        <v>0</v>
      </c>
      <c r="D182" s="477">
        <v>0</v>
      </c>
      <c r="E182" s="480">
        <v>180</v>
      </c>
      <c r="F182" s="209">
        <v>0</v>
      </c>
      <c r="G182" s="481">
        <v>0</v>
      </c>
      <c r="H182" s="472">
        <v>240</v>
      </c>
      <c r="I182" s="132">
        <v>0</v>
      </c>
      <c r="J182" s="473">
        <v>0</v>
      </c>
      <c r="K182" s="480">
        <v>192</v>
      </c>
      <c r="L182" s="157">
        <v>0</v>
      </c>
      <c r="M182" s="209">
        <v>0</v>
      </c>
      <c r="N182" s="492">
        <v>264</v>
      </c>
      <c r="O182" s="132">
        <v>0</v>
      </c>
      <c r="P182" s="132">
        <v>0</v>
      </c>
      <c r="Q182" s="480">
        <v>276</v>
      </c>
      <c r="R182" s="209">
        <v>0</v>
      </c>
      <c r="S182" s="481">
        <v>0</v>
      </c>
      <c r="T182" s="472">
        <v>156</v>
      </c>
      <c r="U182" s="208">
        <v>0</v>
      </c>
      <c r="V182" s="493">
        <v>0</v>
      </c>
      <c r="W182" s="1935"/>
      <c r="X182" s="778"/>
      <c r="Y182" s="1875"/>
      <c r="Z182" s="1935"/>
      <c r="AA182" s="778"/>
      <c r="AB182" s="1875"/>
      <c r="AC182" s="1935"/>
      <c r="AD182" s="746"/>
      <c r="AE182" s="626"/>
      <c r="AF182" s="1935"/>
      <c r="AG182" s="778"/>
      <c r="AH182" s="1875"/>
      <c r="AI182" s="1935"/>
      <c r="AJ182" s="746"/>
      <c r="AK182" s="626"/>
      <c r="DW182" s="23">
        <f>14*12</f>
        <v>168</v>
      </c>
    </row>
    <row r="183" spans="1:127" s="23" customFormat="1">
      <c r="A183" s="15" t="s">
        <v>670</v>
      </c>
      <c r="B183" s="472">
        <v>0</v>
      </c>
      <c r="C183" s="132">
        <v>0</v>
      </c>
      <c r="D183" s="477">
        <v>132</v>
      </c>
      <c r="E183" s="480">
        <v>187</v>
      </c>
      <c r="F183" s="209">
        <v>0</v>
      </c>
      <c r="G183" s="481">
        <v>359</v>
      </c>
      <c r="H183" s="472">
        <v>217.5</v>
      </c>
      <c r="I183" s="132">
        <v>0</v>
      </c>
      <c r="J183" s="473">
        <v>195</v>
      </c>
      <c r="K183" s="480">
        <v>280</v>
      </c>
      <c r="L183" s="157">
        <v>0</v>
      </c>
      <c r="M183" s="481">
        <v>130</v>
      </c>
      <c r="N183" s="492">
        <v>314.5</v>
      </c>
      <c r="O183" s="132">
        <v>0</v>
      </c>
      <c r="P183" s="473">
        <v>91</v>
      </c>
      <c r="Q183" s="480">
        <v>252</v>
      </c>
      <c r="R183" s="209">
        <v>0</v>
      </c>
      <c r="S183" s="481">
        <v>78</v>
      </c>
      <c r="T183" s="472">
        <v>264</v>
      </c>
      <c r="U183" s="208">
        <v>0</v>
      </c>
      <c r="V183" s="493">
        <v>52</v>
      </c>
      <c r="W183" s="480">
        <v>360</v>
      </c>
      <c r="X183" s="157">
        <v>0</v>
      </c>
      <c r="Y183" s="496">
        <v>0</v>
      </c>
      <c r="Z183" s="472">
        <v>372</v>
      </c>
      <c r="AA183" s="208">
        <v>0</v>
      </c>
      <c r="AB183" s="493">
        <v>39</v>
      </c>
      <c r="AC183" s="480">
        <v>300</v>
      </c>
      <c r="AD183" s="209">
        <v>0</v>
      </c>
      <c r="AE183" s="481">
        <v>78</v>
      </c>
      <c r="AF183" s="472">
        <v>385</v>
      </c>
      <c r="AG183" s="208">
        <v>0</v>
      </c>
      <c r="AH183" s="493">
        <v>39</v>
      </c>
      <c r="AI183" s="480">
        <v>432</v>
      </c>
      <c r="AJ183" s="209">
        <v>0</v>
      </c>
      <c r="AK183" s="481">
        <v>78</v>
      </c>
      <c r="AM183" s="427"/>
    </row>
    <row r="184" spans="1:127" s="23" customFormat="1">
      <c r="A184" s="15" t="s">
        <v>655</v>
      </c>
      <c r="B184" s="472">
        <v>608.5</v>
      </c>
      <c r="C184" s="132">
        <v>0</v>
      </c>
      <c r="D184" s="477">
        <v>0</v>
      </c>
      <c r="E184" s="480">
        <v>698</v>
      </c>
      <c r="F184" s="209">
        <v>0</v>
      </c>
      <c r="G184" s="481">
        <v>13</v>
      </c>
      <c r="H184" s="472">
        <v>752.5</v>
      </c>
      <c r="I184" s="132">
        <v>0</v>
      </c>
      <c r="J184" s="473">
        <v>0</v>
      </c>
      <c r="K184" s="480">
        <v>648</v>
      </c>
      <c r="L184" s="157">
        <v>0</v>
      </c>
      <c r="M184" s="481">
        <v>65</v>
      </c>
      <c r="N184" s="492">
        <v>743.5</v>
      </c>
      <c r="O184" s="132">
        <v>0</v>
      </c>
      <c r="P184" s="473">
        <v>0</v>
      </c>
      <c r="Q184" s="480">
        <v>672</v>
      </c>
      <c r="R184" s="209">
        <v>24</v>
      </c>
      <c r="S184" s="481">
        <v>13</v>
      </c>
      <c r="T184" s="472">
        <v>467.25</v>
      </c>
      <c r="U184" s="208">
        <v>0</v>
      </c>
      <c r="V184" s="493">
        <v>207</v>
      </c>
      <c r="W184" s="480">
        <v>511</v>
      </c>
      <c r="X184" s="157">
        <v>0</v>
      </c>
      <c r="Y184" s="496">
        <v>111</v>
      </c>
      <c r="Z184" s="472">
        <v>614</v>
      </c>
      <c r="AA184" s="208">
        <v>0</v>
      </c>
      <c r="AB184" s="493">
        <v>39</v>
      </c>
      <c r="AC184" s="480">
        <v>754</v>
      </c>
      <c r="AD184" s="209">
        <v>32</v>
      </c>
      <c r="AE184" s="481">
        <v>169</v>
      </c>
      <c r="AF184" s="472">
        <v>876.5</v>
      </c>
      <c r="AG184" s="208">
        <v>22</v>
      </c>
      <c r="AH184" s="493">
        <v>117</v>
      </c>
      <c r="AI184" s="480">
        <v>648</v>
      </c>
      <c r="AJ184" s="209">
        <v>0</v>
      </c>
      <c r="AK184" s="481">
        <v>60</v>
      </c>
      <c r="AM184" s="427"/>
    </row>
    <row r="185" spans="1:127" s="23" customFormat="1">
      <c r="A185" s="15" t="s">
        <v>668</v>
      </c>
      <c r="B185" s="472">
        <v>0</v>
      </c>
      <c r="C185" s="132">
        <v>0</v>
      </c>
      <c r="D185" s="477">
        <v>0</v>
      </c>
      <c r="E185" s="480">
        <v>0</v>
      </c>
      <c r="F185" s="209">
        <v>0</v>
      </c>
      <c r="G185" s="481">
        <v>0</v>
      </c>
      <c r="H185" s="472">
        <v>0</v>
      </c>
      <c r="I185" s="132">
        <v>0</v>
      </c>
      <c r="J185" s="473">
        <v>0</v>
      </c>
      <c r="K185" s="209">
        <v>0</v>
      </c>
      <c r="L185" s="209">
        <v>0</v>
      </c>
      <c r="M185" s="209">
        <v>0</v>
      </c>
      <c r="N185" s="492">
        <v>0</v>
      </c>
      <c r="O185" s="132">
        <v>0</v>
      </c>
      <c r="P185" s="132">
        <v>0</v>
      </c>
      <c r="Q185" s="480">
        <v>0</v>
      </c>
      <c r="R185" s="209">
        <v>0</v>
      </c>
      <c r="S185" s="481">
        <v>0</v>
      </c>
      <c r="T185" s="472">
        <v>0</v>
      </c>
      <c r="U185" s="208">
        <v>0</v>
      </c>
      <c r="V185" s="493">
        <v>0</v>
      </c>
      <c r="W185" s="480">
        <v>0</v>
      </c>
      <c r="X185" s="157">
        <v>0</v>
      </c>
      <c r="Y185" s="496">
        <v>0</v>
      </c>
      <c r="Z185" s="472">
        <v>0</v>
      </c>
      <c r="AA185" s="208">
        <v>0</v>
      </c>
      <c r="AB185" s="493">
        <v>0</v>
      </c>
      <c r="AC185" s="480">
        <v>0</v>
      </c>
      <c r="AD185" s="209">
        <v>0</v>
      </c>
      <c r="AE185" s="481">
        <v>0</v>
      </c>
      <c r="AF185" s="472">
        <v>0</v>
      </c>
      <c r="AG185" s="208">
        <v>0</v>
      </c>
      <c r="AH185" s="493">
        <v>0</v>
      </c>
      <c r="AI185" s="480">
        <v>0</v>
      </c>
      <c r="AJ185" s="209">
        <v>0</v>
      </c>
      <c r="AK185" s="481">
        <v>0</v>
      </c>
      <c r="AM185" s="427"/>
    </row>
    <row r="186" spans="1:127" s="23" customFormat="1">
      <c r="A186" s="15" t="s">
        <v>656</v>
      </c>
      <c r="B186" s="472">
        <v>0</v>
      </c>
      <c r="C186" s="132">
        <v>21</v>
      </c>
      <c r="D186" s="1936"/>
      <c r="E186" s="480">
        <v>0</v>
      </c>
      <c r="F186" s="209">
        <v>17</v>
      </c>
      <c r="G186" s="626"/>
      <c r="H186" s="472">
        <v>0</v>
      </c>
      <c r="I186" s="132">
        <v>0</v>
      </c>
      <c r="J186" s="626"/>
      <c r="K186" s="209">
        <v>0</v>
      </c>
      <c r="L186" s="209">
        <v>0</v>
      </c>
      <c r="M186" s="746"/>
      <c r="N186" s="492">
        <v>0</v>
      </c>
      <c r="O186" s="132">
        <v>0</v>
      </c>
      <c r="P186" s="626"/>
      <c r="Q186" s="480">
        <v>0</v>
      </c>
      <c r="R186" s="209">
        <v>0</v>
      </c>
      <c r="S186" s="626"/>
      <c r="T186" s="472">
        <v>0</v>
      </c>
      <c r="U186" s="208">
        <v>0</v>
      </c>
      <c r="V186" s="1875"/>
      <c r="W186" s="480">
        <v>0</v>
      </c>
      <c r="X186" s="157">
        <v>0</v>
      </c>
      <c r="Y186" s="1875"/>
      <c r="Z186" s="472">
        <v>0</v>
      </c>
      <c r="AA186" s="208">
        <v>0</v>
      </c>
      <c r="AB186" s="1875"/>
      <c r="AC186" s="480">
        <v>0</v>
      </c>
      <c r="AD186" s="209">
        <v>0</v>
      </c>
      <c r="AE186" s="626"/>
      <c r="AF186" s="472">
        <v>0</v>
      </c>
      <c r="AG186" s="208">
        <v>0</v>
      </c>
      <c r="AH186" s="1875"/>
      <c r="AI186" s="480">
        <v>0</v>
      </c>
      <c r="AJ186" s="209">
        <v>0</v>
      </c>
      <c r="AK186" s="626"/>
    </row>
    <row r="187" spans="1:127" s="23" customFormat="1">
      <c r="A187" s="15" t="s">
        <v>657</v>
      </c>
      <c r="B187" s="472">
        <v>297</v>
      </c>
      <c r="C187" s="132">
        <v>0</v>
      </c>
      <c r="D187" s="477">
        <v>0</v>
      </c>
      <c r="E187" s="480">
        <v>236</v>
      </c>
      <c r="F187" s="209">
        <v>0</v>
      </c>
      <c r="G187" s="481">
        <v>13</v>
      </c>
      <c r="H187" s="472">
        <v>250</v>
      </c>
      <c r="I187" s="132">
        <v>0</v>
      </c>
      <c r="J187" s="473">
        <v>0</v>
      </c>
      <c r="K187" s="480">
        <v>226</v>
      </c>
      <c r="L187" s="157">
        <v>0</v>
      </c>
      <c r="M187" s="209">
        <v>0</v>
      </c>
      <c r="N187" s="492">
        <v>152</v>
      </c>
      <c r="O187" s="132">
        <v>0</v>
      </c>
      <c r="P187" s="473">
        <v>39</v>
      </c>
      <c r="Q187" s="480">
        <v>204</v>
      </c>
      <c r="R187" s="209">
        <v>24</v>
      </c>
      <c r="S187" s="481">
        <v>0</v>
      </c>
      <c r="T187" s="472">
        <v>241</v>
      </c>
      <c r="U187" s="208">
        <v>0</v>
      </c>
      <c r="V187" s="493">
        <v>0</v>
      </c>
      <c r="W187" s="480">
        <v>212</v>
      </c>
      <c r="X187" s="157">
        <v>0</v>
      </c>
      <c r="Y187" s="496">
        <v>0</v>
      </c>
      <c r="Z187" s="472">
        <v>121</v>
      </c>
      <c r="AA187" s="208">
        <v>0</v>
      </c>
      <c r="AB187" s="493">
        <v>39</v>
      </c>
      <c r="AC187" s="480">
        <v>192</v>
      </c>
      <c r="AD187" s="209">
        <v>0</v>
      </c>
      <c r="AE187" s="481">
        <v>39</v>
      </c>
      <c r="AF187" s="472">
        <v>192</v>
      </c>
      <c r="AG187" s="208">
        <v>53</v>
      </c>
      <c r="AH187" s="493">
        <v>52</v>
      </c>
      <c r="AI187" s="480">
        <v>205.5</v>
      </c>
      <c r="AJ187" s="209">
        <v>78</v>
      </c>
      <c r="AK187" s="481">
        <v>13</v>
      </c>
    </row>
    <row r="188" spans="1:127" s="23" customFormat="1">
      <c r="A188" s="15" t="s">
        <v>658</v>
      </c>
      <c r="B188" s="472">
        <v>24</v>
      </c>
      <c r="C188" s="132">
        <v>0</v>
      </c>
      <c r="D188" s="477">
        <v>0</v>
      </c>
      <c r="E188" s="480">
        <v>67</v>
      </c>
      <c r="F188" s="209">
        <v>12</v>
      </c>
      <c r="G188" s="481">
        <v>0</v>
      </c>
      <c r="H188" s="472">
        <v>54</v>
      </c>
      <c r="I188" s="132">
        <v>0</v>
      </c>
      <c r="J188" s="473">
        <v>0</v>
      </c>
      <c r="K188" s="480">
        <v>34</v>
      </c>
      <c r="L188" s="157">
        <v>0</v>
      </c>
      <c r="M188" s="209">
        <v>0</v>
      </c>
      <c r="N188" s="492">
        <v>44</v>
      </c>
      <c r="O188" s="132">
        <v>0</v>
      </c>
      <c r="P188" s="132">
        <v>0</v>
      </c>
      <c r="Q188" s="480">
        <v>10</v>
      </c>
      <c r="R188" s="209">
        <v>44</v>
      </c>
      <c r="S188" s="481">
        <v>0</v>
      </c>
      <c r="T188" s="472">
        <v>24</v>
      </c>
      <c r="U188" s="208">
        <v>34</v>
      </c>
      <c r="V188" s="493">
        <v>0</v>
      </c>
      <c r="W188" s="480">
        <v>68</v>
      </c>
      <c r="X188" s="157">
        <v>56</v>
      </c>
      <c r="Y188" s="496">
        <v>0</v>
      </c>
      <c r="Z188" s="472">
        <v>106</v>
      </c>
      <c r="AA188" s="208">
        <v>58</v>
      </c>
      <c r="AB188" s="493">
        <v>0</v>
      </c>
      <c r="AC188" s="480">
        <v>114</v>
      </c>
      <c r="AD188" s="209">
        <v>58</v>
      </c>
      <c r="AE188" s="481">
        <v>0</v>
      </c>
      <c r="AF188" s="472">
        <v>142.75</v>
      </c>
      <c r="AG188" s="208">
        <v>0</v>
      </c>
      <c r="AH188" s="493">
        <v>0</v>
      </c>
      <c r="AI188" s="521">
        <v>180.75</v>
      </c>
      <c r="AJ188" s="209">
        <v>0</v>
      </c>
      <c r="AK188" s="481">
        <v>24</v>
      </c>
    </row>
    <row r="189" spans="1:127" s="23" customFormat="1">
      <c r="A189" s="15" t="s">
        <v>667</v>
      </c>
      <c r="B189" s="472">
        <v>324</v>
      </c>
      <c r="C189" s="132">
        <v>0</v>
      </c>
      <c r="D189" s="1936"/>
      <c r="E189" s="480">
        <v>36</v>
      </c>
      <c r="F189" s="209">
        <v>0</v>
      </c>
      <c r="G189" s="626"/>
      <c r="H189" s="472">
        <v>36</v>
      </c>
      <c r="I189" s="132">
        <v>0</v>
      </c>
      <c r="J189" s="626"/>
      <c r="K189" s="480">
        <v>342</v>
      </c>
      <c r="L189" s="209">
        <v>0</v>
      </c>
      <c r="M189" s="626"/>
      <c r="N189" s="492">
        <v>324</v>
      </c>
      <c r="O189" s="132">
        <v>0</v>
      </c>
      <c r="P189" s="626"/>
      <c r="Q189" s="480">
        <v>336</v>
      </c>
      <c r="R189" s="209">
        <v>0</v>
      </c>
      <c r="S189" s="626"/>
      <c r="T189" s="472">
        <v>300</v>
      </c>
      <c r="U189" s="208">
        <v>0</v>
      </c>
      <c r="V189" s="1875"/>
      <c r="W189" s="480">
        <v>384</v>
      </c>
      <c r="X189" s="157">
        <v>0</v>
      </c>
      <c r="Y189" s="1875"/>
      <c r="Z189" s="472">
        <v>360</v>
      </c>
      <c r="AA189" s="208">
        <v>0</v>
      </c>
      <c r="AB189" s="1875"/>
      <c r="AC189" s="480">
        <v>276</v>
      </c>
      <c r="AD189" s="209">
        <v>12</v>
      </c>
      <c r="AE189" s="481">
        <v>130</v>
      </c>
      <c r="AF189" s="472">
        <v>245</v>
      </c>
      <c r="AG189" s="208">
        <v>0</v>
      </c>
      <c r="AH189" s="493">
        <v>91</v>
      </c>
      <c r="AI189" s="480">
        <v>312</v>
      </c>
      <c r="AJ189" s="209">
        <v>0</v>
      </c>
      <c r="AK189" s="481">
        <v>195</v>
      </c>
    </row>
    <row r="190" spans="1:127" s="23" customFormat="1">
      <c r="A190" s="15" t="s">
        <v>659</v>
      </c>
      <c r="B190" s="472">
        <v>174</v>
      </c>
      <c r="C190" s="132">
        <v>0</v>
      </c>
      <c r="D190" s="477">
        <v>0</v>
      </c>
      <c r="E190" s="480">
        <v>186</v>
      </c>
      <c r="F190" s="209">
        <v>0</v>
      </c>
      <c r="G190" s="481">
        <v>0</v>
      </c>
      <c r="H190" s="472">
        <v>165</v>
      </c>
      <c r="I190" s="132">
        <v>0</v>
      </c>
      <c r="J190" s="473">
        <v>0</v>
      </c>
      <c r="K190" s="480">
        <v>153</v>
      </c>
      <c r="L190" s="157">
        <v>0</v>
      </c>
      <c r="M190" s="481">
        <v>50</v>
      </c>
      <c r="N190" s="492">
        <v>225</v>
      </c>
      <c r="O190" s="132">
        <v>0</v>
      </c>
      <c r="P190" s="473">
        <v>30</v>
      </c>
      <c r="Q190" s="480">
        <v>165</v>
      </c>
      <c r="R190" s="209">
        <v>0</v>
      </c>
      <c r="S190" s="481">
        <v>95</v>
      </c>
      <c r="T190" s="472">
        <v>153</v>
      </c>
      <c r="U190" s="208">
        <v>0</v>
      </c>
      <c r="V190" s="493">
        <v>73</v>
      </c>
      <c r="W190" s="480">
        <v>111</v>
      </c>
      <c r="X190" s="157">
        <v>0</v>
      </c>
      <c r="Y190" s="496">
        <v>63</v>
      </c>
      <c r="Z190" s="472">
        <v>0</v>
      </c>
      <c r="AA190" s="208">
        <v>0</v>
      </c>
      <c r="AB190" s="493">
        <v>40</v>
      </c>
      <c r="AC190" s="480">
        <v>0</v>
      </c>
      <c r="AD190" s="209">
        <v>0</v>
      </c>
      <c r="AE190" s="481">
        <v>20</v>
      </c>
      <c r="AF190" s="472">
        <v>0</v>
      </c>
      <c r="AG190" s="208">
        <v>0</v>
      </c>
      <c r="AH190" s="493">
        <v>60</v>
      </c>
      <c r="AI190" s="480">
        <v>0</v>
      </c>
      <c r="AJ190" s="209">
        <v>0</v>
      </c>
      <c r="AK190" s="481">
        <v>70</v>
      </c>
    </row>
    <row r="191" spans="1:127" s="23" customFormat="1">
      <c r="A191" s="15" t="s">
        <v>672</v>
      </c>
      <c r="B191" s="472">
        <v>0</v>
      </c>
      <c r="C191" s="132">
        <v>0</v>
      </c>
      <c r="D191" s="1919">
        <v>26</v>
      </c>
      <c r="E191" s="480">
        <v>72</v>
      </c>
      <c r="F191" s="209">
        <v>0</v>
      </c>
      <c r="G191" s="481">
        <v>24</v>
      </c>
      <c r="H191" s="472">
        <v>48</v>
      </c>
      <c r="I191" s="132">
        <v>0</v>
      </c>
      <c r="J191" s="473">
        <v>0</v>
      </c>
      <c r="K191" s="209">
        <v>0</v>
      </c>
      <c r="L191" s="209">
        <v>0</v>
      </c>
      <c r="M191" s="481">
        <v>13</v>
      </c>
      <c r="N191" s="492">
        <v>0</v>
      </c>
      <c r="O191" s="132">
        <v>0</v>
      </c>
      <c r="P191" s="132">
        <v>26</v>
      </c>
      <c r="Q191" s="480">
        <v>0</v>
      </c>
      <c r="R191" s="209">
        <v>0</v>
      </c>
      <c r="S191" s="481">
        <v>39</v>
      </c>
      <c r="T191" s="472">
        <v>9</v>
      </c>
      <c r="U191" s="208">
        <v>0</v>
      </c>
      <c r="V191" s="493">
        <v>26</v>
      </c>
      <c r="W191" s="480">
        <v>12</v>
      </c>
      <c r="X191" s="157">
        <v>0</v>
      </c>
      <c r="Y191" s="496">
        <v>26</v>
      </c>
      <c r="Z191" s="472">
        <v>0</v>
      </c>
      <c r="AA191" s="208">
        <v>0</v>
      </c>
      <c r="AB191" s="493">
        <v>91</v>
      </c>
      <c r="AC191" s="480">
        <v>0</v>
      </c>
      <c r="AD191" s="209">
        <v>0</v>
      </c>
      <c r="AE191" s="481">
        <v>104</v>
      </c>
      <c r="AF191" s="472">
        <v>0</v>
      </c>
      <c r="AG191" s="208">
        <v>0</v>
      </c>
      <c r="AH191" s="493">
        <v>52</v>
      </c>
      <c r="AI191" s="480">
        <v>0</v>
      </c>
      <c r="AJ191" s="209">
        <v>0</v>
      </c>
      <c r="AK191" s="481">
        <v>39</v>
      </c>
    </row>
    <row r="192" spans="1:127" s="23" customFormat="1">
      <c r="A192" s="15" t="s">
        <v>665</v>
      </c>
      <c r="B192" s="472">
        <v>436</v>
      </c>
      <c r="C192" s="132">
        <v>0</v>
      </c>
      <c r="D192" s="477">
        <v>300</v>
      </c>
      <c r="E192" s="480">
        <v>370</v>
      </c>
      <c r="F192" s="209">
        <v>0</v>
      </c>
      <c r="G192" s="481">
        <v>94</v>
      </c>
      <c r="H192" s="472">
        <v>257</v>
      </c>
      <c r="I192" s="132">
        <v>0</v>
      </c>
      <c r="J192" s="473">
        <v>142</v>
      </c>
      <c r="K192" s="480">
        <v>166</v>
      </c>
      <c r="L192" s="157">
        <v>0</v>
      </c>
      <c r="M192" s="481">
        <v>178</v>
      </c>
      <c r="N192" s="492">
        <v>78</v>
      </c>
      <c r="O192" s="132">
        <v>0</v>
      </c>
      <c r="P192" s="473">
        <v>254</v>
      </c>
      <c r="Q192" s="480">
        <v>158</v>
      </c>
      <c r="R192" s="209">
        <v>0</v>
      </c>
      <c r="S192" s="481">
        <v>254</v>
      </c>
      <c r="T192" s="472">
        <v>29</v>
      </c>
      <c r="U192" s="208">
        <v>0</v>
      </c>
      <c r="V192" s="493">
        <v>207</v>
      </c>
      <c r="W192" s="480">
        <v>136</v>
      </c>
      <c r="X192" s="157">
        <v>0</v>
      </c>
      <c r="Y192" s="496">
        <v>36</v>
      </c>
      <c r="Z192" s="472">
        <v>154</v>
      </c>
      <c r="AA192" s="208">
        <v>0</v>
      </c>
      <c r="AB192" s="493">
        <v>0</v>
      </c>
      <c r="AC192" s="480">
        <v>77</v>
      </c>
      <c r="AD192" s="209">
        <v>0</v>
      </c>
      <c r="AE192" s="481">
        <v>12</v>
      </c>
      <c r="AF192" s="472">
        <v>70</v>
      </c>
      <c r="AG192" s="208">
        <v>0</v>
      </c>
      <c r="AH192" s="493">
        <v>0</v>
      </c>
      <c r="AI192" s="480">
        <v>77</v>
      </c>
      <c r="AJ192" s="209">
        <v>0</v>
      </c>
      <c r="AK192" s="481">
        <v>0</v>
      </c>
    </row>
    <row r="193" spans="1:88" s="23" customFormat="1">
      <c r="A193" s="15" t="s">
        <v>666</v>
      </c>
      <c r="B193" s="472">
        <v>0</v>
      </c>
      <c r="C193" s="132">
        <v>0</v>
      </c>
      <c r="D193" s="477">
        <v>0</v>
      </c>
      <c r="E193" s="480">
        <v>0</v>
      </c>
      <c r="F193" s="209">
        <v>0</v>
      </c>
      <c r="G193" s="481">
        <v>0</v>
      </c>
      <c r="H193" s="472">
        <v>0</v>
      </c>
      <c r="I193" s="132">
        <v>0</v>
      </c>
      <c r="J193" s="473">
        <v>0</v>
      </c>
      <c r="K193" s="209">
        <v>0</v>
      </c>
      <c r="L193" s="209">
        <v>0</v>
      </c>
      <c r="M193" s="481">
        <v>0</v>
      </c>
      <c r="N193" s="492">
        <v>0</v>
      </c>
      <c r="O193" s="132">
        <v>0</v>
      </c>
      <c r="P193" s="132">
        <v>0</v>
      </c>
      <c r="Q193" s="480">
        <v>0</v>
      </c>
      <c r="R193" s="209">
        <v>0</v>
      </c>
      <c r="S193" s="481">
        <v>0</v>
      </c>
      <c r="T193" s="472">
        <v>0</v>
      </c>
      <c r="U193" s="208">
        <v>0</v>
      </c>
      <c r="V193" s="493">
        <v>0</v>
      </c>
      <c r="W193" s="480">
        <v>0</v>
      </c>
      <c r="X193" s="157">
        <v>0</v>
      </c>
      <c r="Y193" s="496">
        <v>0</v>
      </c>
      <c r="Z193" s="472">
        <v>0</v>
      </c>
      <c r="AA193" s="208">
        <v>0</v>
      </c>
      <c r="AB193" s="493">
        <v>0</v>
      </c>
      <c r="AC193" s="480">
        <v>0</v>
      </c>
      <c r="AD193" s="209">
        <v>0</v>
      </c>
      <c r="AE193" s="481">
        <v>0</v>
      </c>
      <c r="AF193" s="472">
        <v>0</v>
      </c>
      <c r="AG193" s="208">
        <v>0</v>
      </c>
      <c r="AH193" s="493">
        <v>0</v>
      </c>
      <c r="AI193" s="480">
        <v>0</v>
      </c>
      <c r="AJ193" s="209">
        <v>0</v>
      </c>
      <c r="AK193" s="481">
        <v>0</v>
      </c>
    </row>
    <row r="194" spans="1:88" s="23" customFormat="1">
      <c r="A194" s="15" t="s">
        <v>660</v>
      </c>
      <c r="B194" s="472">
        <v>0</v>
      </c>
      <c r="C194" s="132">
        <v>0</v>
      </c>
      <c r="D194" s="477">
        <v>24</v>
      </c>
      <c r="E194" s="480">
        <v>24</v>
      </c>
      <c r="F194" s="209">
        <v>0</v>
      </c>
      <c r="G194" s="481">
        <v>0</v>
      </c>
      <c r="H194" s="472">
        <v>36</v>
      </c>
      <c r="I194" s="132">
        <v>0</v>
      </c>
      <c r="J194" s="473">
        <v>0</v>
      </c>
      <c r="K194" s="209">
        <v>0</v>
      </c>
      <c r="L194" s="209">
        <v>0</v>
      </c>
      <c r="M194" s="481">
        <v>52</v>
      </c>
      <c r="N194" s="492">
        <v>0</v>
      </c>
      <c r="O194" s="132">
        <v>0</v>
      </c>
      <c r="P194" s="473">
        <v>0</v>
      </c>
      <c r="Q194" s="480">
        <v>0</v>
      </c>
      <c r="R194" s="209">
        <v>0</v>
      </c>
      <c r="S194" s="481">
        <v>0</v>
      </c>
      <c r="T194" s="472">
        <v>0</v>
      </c>
      <c r="U194" s="208">
        <v>0</v>
      </c>
      <c r="V194" s="493">
        <v>13</v>
      </c>
      <c r="W194" s="480">
        <v>96</v>
      </c>
      <c r="X194" s="157">
        <v>0</v>
      </c>
      <c r="Y194" s="496">
        <v>0</v>
      </c>
      <c r="Z194" s="472">
        <v>48</v>
      </c>
      <c r="AA194" s="208">
        <v>0</v>
      </c>
      <c r="AB194" s="493">
        <v>0</v>
      </c>
      <c r="AC194" s="480">
        <v>36</v>
      </c>
      <c r="AD194" s="209">
        <v>0</v>
      </c>
      <c r="AE194" s="481">
        <v>13</v>
      </c>
      <c r="AF194" s="472">
        <v>36</v>
      </c>
      <c r="AG194" s="208">
        <v>0</v>
      </c>
      <c r="AH194" s="493">
        <v>0</v>
      </c>
      <c r="AI194" s="480">
        <v>96</v>
      </c>
      <c r="AJ194" s="209">
        <v>0</v>
      </c>
      <c r="AK194" s="481">
        <v>0</v>
      </c>
    </row>
    <row r="195" spans="1:88" s="23" customFormat="1">
      <c r="A195" s="15" t="s">
        <v>661</v>
      </c>
      <c r="B195" s="472">
        <v>0</v>
      </c>
      <c r="C195" s="746"/>
      <c r="D195" s="477">
        <v>0</v>
      </c>
      <c r="E195" s="480">
        <v>0</v>
      </c>
      <c r="F195" s="746"/>
      <c r="G195" s="481">
        <v>0</v>
      </c>
      <c r="H195" s="472">
        <v>0</v>
      </c>
      <c r="I195" s="746"/>
      <c r="J195" s="473">
        <v>0</v>
      </c>
      <c r="K195" s="209">
        <v>0</v>
      </c>
      <c r="L195" s="209">
        <v>0</v>
      </c>
      <c r="M195" s="209">
        <v>0</v>
      </c>
      <c r="N195" s="492">
        <v>0</v>
      </c>
      <c r="O195" s="132">
        <v>0</v>
      </c>
      <c r="P195" s="132">
        <v>0</v>
      </c>
      <c r="Q195" s="480">
        <v>0</v>
      </c>
      <c r="R195" s="209">
        <v>0</v>
      </c>
      <c r="S195" s="481">
        <v>0</v>
      </c>
      <c r="T195" s="472">
        <v>0</v>
      </c>
      <c r="U195" s="208">
        <v>0</v>
      </c>
      <c r="V195" s="493">
        <v>0</v>
      </c>
      <c r="W195" s="480">
        <v>0</v>
      </c>
      <c r="X195" s="157">
        <v>0</v>
      </c>
      <c r="Y195" s="496">
        <v>0</v>
      </c>
      <c r="Z195" s="472">
        <v>0</v>
      </c>
      <c r="AA195" s="208">
        <v>0</v>
      </c>
      <c r="AB195" s="493">
        <v>0</v>
      </c>
      <c r="AC195" s="480">
        <v>0</v>
      </c>
      <c r="AD195" s="209">
        <v>0</v>
      </c>
      <c r="AE195" s="481">
        <v>0</v>
      </c>
      <c r="AF195" s="472">
        <v>0</v>
      </c>
      <c r="AG195" s="208">
        <v>0</v>
      </c>
      <c r="AH195" s="493">
        <v>0</v>
      </c>
      <c r="AI195" s="480">
        <v>0</v>
      </c>
      <c r="AJ195" s="209">
        <v>0</v>
      </c>
      <c r="AK195" s="481">
        <v>0</v>
      </c>
    </row>
    <row r="196" spans="1:88" s="23" customFormat="1">
      <c r="A196" s="5" t="s">
        <v>662</v>
      </c>
      <c r="B196" s="472">
        <v>0</v>
      </c>
      <c r="C196" s="746"/>
      <c r="D196" s="477">
        <v>0</v>
      </c>
      <c r="E196" s="480">
        <v>0</v>
      </c>
      <c r="F196" s="746"/>
      <c r="G196" s="481">
        <v>0</v>
      </c>
      <c r="H196" s="472">
        <v>0</v>
      </c>
      <c r="I196" s="746"/>
      <c r="J196" s="473">
        <v>0</v>
      </c>
      <c r="K196" s="209">
        <v>0</v>
      </c>
      <c r="L196" s="209">
        <v>0</v>
      </c>
      <c r="M196" s="209">
        <v>0</v>
      </c>
      <c r="N196" s="492">
        <v>0</v>
      </c>
      <c r="O196" s="132">
        <v>0</v>
      </c>
      <c r="P196" s="132">
        <v>0</v>
      </c>
      <c r="Q196" s="480">
        <v>0</v>
      </c>
      <c r="R196" s="209">
        <v>0</v>
      </c>
      <c r="S196" s="481">
        <v>0</v>
      </c>
      <c r="T196" s="472">
        <v>0</v>
      </c>
      <c r="U196" s="208">
        <v>0</v>
      </c>
      <c r="V196" s="493">
        <v>0</v>
      </c>
      <c r="W196" s="480">
        <v>0</v>
      </c>
      <c r="X196" s="157">
        <v>0</v>
      </c>
      <c r="Y196" s="496">
        <v>0</v>
      </c>
      <c r="Z196" s="472">
        <v>0</v>
      </c>
      <c r="AA196" s="208">
        <v>0</v>
      </c>
      <c r="AB196" s="493">
        <v>0</v>
      </c>
      <c r="AC196" s="480">
        <v>0</v>
      </c>
      <c r="AD196" s="209">
        <v>0</v>
      </c>
      <c r="AE196" s="481">
        <v>0</v>
      </c>
      <c r="AF196" s="472">
        <v>0</v>
      </c>
      <c r="AG196" s="208">
        <v>0</v>
      </c>
      <c r="AH196" s="493">
        <v>0</v>
      </c>
      <c r="AI196" s="480">
        <v>0</v>
      </c>
      <c r="AJ196" s="209">
        <v>0</v>
      </c>
      <c r="AK196" s="481">
        <v>0</v>
      </c>
    </row>
    <row r="197" spans="1:88" s="23" customFormat="1">
      <c r="A197" s="5" t="s">
        <v>872</v>
      </c>
      <c r="B197" s="2727"/>
      <c r="C197" s="1072"/>
      <c r="D197" s="2728"/>
      <c r="E197" s="2729"/>
      <c r="F197" s="412"/>
      <c r="G197" s="2730"/>
      <c r="H197" s="2731"/>
      <c r="I197" s="412"/>
      <c r="J197" s="2732"/>
      <c r="K197" s="2733"/>
      <c r="L197" s="209"/>
      <c r="M197" s="2733"/>
      <c r="N197" s="2734"/>
      <c r="O197" s="132"/>
      <c r="P197" s="2735"/>
      <c r="Q197" s="2729"/>
      <c r="R197" s="209"/>
      <c r="S197" s="2730"/>
      <c r="T197" s="2731"/>
      <c r="U197" s="208"/>
      <c r="V197" s="2736"/>
      <c r="W197" s="2737"/>
      <c r="X197" s="157"/>
      <c r="Y197" s="2738"/>
      <c r="Z197" s="2731"/>
      <c r="AA197" s="208"/>
      <c r="AB197" s="2736"/>
      <c r="AC197" s="2729"/>
      <c r="AD197" s="209"/>
      <c r="AE197" s="2730"/>
      <c r="AF197" s="2731">
        <v>78</v>
      </c>
      <c r="AG197" s="208">
        <v>0</v>
      </c>
      <c r="AH197" s="2736">
        <v>0</v>
      </c>
      <c r="AI197" s="2739">
        <f>548.5+36</f>
        <v>584.5</v>
      </c>
      <c r="AJ197" s="209">
        <v>0</v>
      </c>
      <c r="AK197" s="2740">
        <v>143</v>
      </c>
    </row>
    <row r="198" spans="1:88" s="23" customFormat="1" ht="15.75" thickBot="1">
      <c r="A198" s="693"/>
      <c r="B198" s="1928"/>
      <c r="C198" s="1929"/>
      <c r="D198" s="1929"/>
      <c r="E198" s="482"/>
      <c r="F198" s="412"/>
      <c r="G198" s="1930"/>
      <c r="H198" s="482"/>
      <c r="I198" s="412"/>
      <c r="J198" s="1930"/>
      <c r="K198" s="482"/>
      <c r="L198" s="412"/>
      <c r="M198" s="483"/>
      <c r="N198" s="490"/>
      <c r="O198" s="412"/>
      <c r="P198" s="483"/>
      <c r="Q198" s="482"/>
      <c r="R198" s="412"/>
      <c r="S198" s="483"/>
      <c r="T198" s="482"/>
      <c r="U198" s="412"/>
      <c r="V198" s="483"/>
      <c r="W198" s="474"/>
      <c r="X198" s="475"/>
      <c r="Y198" s="476"/>
      <c r="Z198" s="482"/>
      <c r="AA198" s="412"/>
      <c r="AB198" s="483"/>
      <c r="AC198" s="482"/>
      <c r="AD198" s="412"/>
      <c r="AE198" s="483"/>
      <c r="AF198" s="482"/>
      <c r="AG198" s="412"/>
      <c r="AH198" s="450"/>
      <c r="AI198" s="525"/>
      <c r="AJ198" s="410"/>
      <c r="AK198" s="526"/>
    </row>
    <row r="199" spans="1:88" s="23" customFormat="1" ht="15.75" thickBot="1">
      <c r="A199" s="6" t="s">
        <v>32</v>
      </c>
      <c r="B199" s="469">
        <f t="shared" ref="B199:AE199" si="12">SUM(B176:B198)</f>
        <v>2542</v>
      </c>
      <c r="C199" s="469">
        <f t="shared" si="12"/>
        <v>69</v>
      </c>
      <c r="D199" s="478">
        <f>SUM(D176:D198)</f>
        <v>482</v>
      </c>
      <c r="E199" s="484">
        <f t="shared" si="12"/>
        <v>2253</v>
      </c>
      <c r="F199" s="485">
        <f t="shared" si="12"/>
        <v>111</v>
      </c>
      <c r="G199" s="486">
        <f>SUM(G176:G198)</f>
        <v>594</v>
      </c>
      <c r="H199" s="487">
        <f t="shared" si="12"/>
        <v>2443</v>
      </c>
      <c r="I199" s="488">
        <f t="shared" si="12"/>
        <v>34</v>
      </c>
      <c r="J199" s="489">
        <f>SUM(J176:J198)</f>
        <v>438</v>
      </c>
      <c r="K199" s="484">
        <f t="shared" si="12"/>
        <v>2728</v>
      </c>
      <c r="L199" s="485">
        <f t="shared" si="12"/>
        <v>240</v>
      </c>
      <c r="M199" s="486">
        <f>SUM(M176:M198)</f>
        <v>488</v>
      </c>
      <c r="N199" s="487">
        <f t="shared" si="12"/>
        <v>2691</v>
      </c>
      <c r="O199" s="488">
        <f t="shared" si="12"/>
        <v>42</v>
      </c>
      <c r="P199" s="491">
        <f t="shared" si="12"/>
        <v>440</v>
      </c>
      <c r="Q199" s="484">
        <f t="shared" si="12"/>
        <v>2468</v>
      </c>
      <c r="R199" s="485">
        <f t="shared" si="12"/>
        <v>116</v>
      </c>
      <c r="S199" s="486">
        <f t="shared" si="12"/>
        <v>479</v>
      </c>
      <c r="T199" s="487">
        <f t="shared" si="12"/>
        <v>2138.25</v>
      </c>
      <c r="U199" s="494">
        <f t="shared" si="12"/>
        <v>69</v>
      </c>
      <c r="V199" s="495">
        <f t="shared" si="12"/>
        <v>578</v>
      </c>
      <c r="W199" s="497">
        <f t="shared" si="12"/>
        <v>2290</v>
      </c>
      <c r="X199" s="498">
        <f t="shared" si="12"/>
        <v>68</v>
      </c>
      <c r="Y199" s="499">
        <f t="shared" si="12"/>
        <v>236</v>
      </c>
      <c r="Z199" s="529">
        <f t="shared" si="12"/>
        <v>2131</v>
      </c>
      <c r="AA199" s="494">
        <f t="shared" si="12"/>
        <v>58</v>
      </c>
      <c r="AB199" s="495">
        <f t="shared" si="12"/>
        <v>248</v>
      </c>
      <c r="AC199" s="484">
        <f t="shared" si="12"/>
        <v>2177.33</v>
      </c>
      <c r="AD199" s="485">
        <f t="shared" si="12"/>
        <v>210</v>
      </c>
      <c r="AE199" s="486">
        <f t="shared" si="12"/>
        <v>565</v>
      </c>
      <c r="AF199" s="529">
        <f>SUM(AF176:AF197)</f>
        <v>2387.25</v>
      </c>
      <c r="AG199" s="494">
        <f>SUM(AG176:AG197)</f>
        <v>75</v>
      </c>
      <c r="AH199" s="495">
        <f>SUM(AH176:AH197)</f>
        <v>411</v>
      </c>
      <c r="AI199" s="484">
        <f>SUM(AI176:AI198)</f>
        <v>3040.25</v>
      </c>
      <c r="AJ199" s="485">
        <f>SUM(AJ176:AJ198)</f>
        <v>114</v>
      </c>
      <c r="AK199" s="486">
        <f>SUM(AK176:AK198)</f>
        <v>622</v>
      </c>
    </row>
    <row r="200" spans="1:88" s="2" customFormat="1">
      <c r="A200" s="1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70"/>
      <c r="O200" s="145"/>
      <c r="P200" s="145"/>
      <c r="Q200" s="145"/>
      <c r="R200" s="70"/>
      <c r="S200" s="71"/>
      <c r="T200" s="71"/>
      <c r="U200" s="72"/>
      <c r="V200" s="72"/>
      <c r="W200" s="72"/>
      <c r="X200" s="71"/>
      <c r="Y200" s="71"/>
      <c r="Z200" s="71"/>
      <c r="AA200" s="145"/>
      <c r="AB200" s="145"/>
      <c r="AC200" s="145"/>
      <c r="AD200" s="71"/>
      <c r="AE200" s="71"/>
      <c r="AF200" s="71"/>
      <c r="AG200" s="145"/>
      <c r="AH200" s="145"/>
      <c r="AI200" s="145"/>
    </row>
    <row r="201" spans="1:88" s="5" customFormat="1" ht="15.75" thickBot="1">
      <c r="B201" s="79"/>
      <c r="T201" s="125"/>
    </row>
    <row r="202" spans="1:88" s="80" customFormat="1" ht="15.75">
      <c r="A202" s="2900" t="s">
        <v>158</v>
      </c>
      <c r="B202" s="2912" t="s">
        <v>10</v>
      </c>
      <c r="C202" s="2906"/>
      <c r="D202" s="2907"/>
      <c r="E202" s="2913" t="s">
        <v>11</v>
      </c>
      <c r="F202" s="2906"/>
      <c r="G202" s="2907"/>
      <c r="H202" s="2912" t="s">
        <v>12</v>
      </c>
      <c r="I202" s="2906"/>
      <c r="J202" s="2907"/>
      <c r="K202" s="2913" t="s">
        <v>13</v>
      </c>
      <c r="L202" s="2906"/>
      <c r="M202" s="2907"/>
      <c r="N202" s="2912" t="s">
        <v>14</v>
      </c>
      <c r="O202" s="2906"/>
      <c r="P202" s="2907"/>
      <c r="Q202" s="2913" t="s">
        <v>15</v>
      </c>
      <c r="R202" s="2906"/>
      <c r="S202" s="2907"/>
      <c r="T202" s="2912" t="s">
        <v>16</v>
      </c>
      <c r="U202" s="2906"/>
      <c r="V202" s="2907"/>
      <c r="W202" s="2913" t="s">
        <v>17</v>
      </c>
      <c r="X202" s="2906"/>
      <c r="Y202" s="2906"/>
      <c r="Z202" s="2912" t="s">
        <v>159</v>
      </c>
      <c r="AA202" s="2906"/>
      <c r="AB202" s="2907"/>
      <c r="AC202" s="2913" t="s">
        <v>19</v>
      </c>
      <c r="AD202" s="2906"/>
      <c r="AE202" s="2907"/>
      <c r="AF202" s="2912" t="s">
        <v>20</v>
      </c>
      <c r="AG202" s="2906"/>
      <c r="AH202" s="2907"/>
      <c r="AI202" s="2913" t="s">
        <v>21</v>
      </c>
      <c r="AJ202" s="2906"/>
      <c r="AK202" s="2907"/>
      <c r="AL202" s="2850" t="s">
        <v>727</v>
      </c>
    </row>
    <row r="203" spans="1:88" s="78" customFormat="1" ht="57.75" thickBot="1">
      <c r="A203" s="2853"/>
      <c r="B203" s="610" t="s">
        <v>504</v>
      </c>
      <c r="C203" s="611" t="s">
        <v>155</v>
      </c>
      <c r="D203" s="612" t="s">
        <v>156</v>
      </c>
      <c r="E203" s="613" t="s">
        <v>504</v>
      </c>
      <c r="F203" s="614" t="s">
        <v>155</v>
      </c>
      <c r="G203" s="615" t="s">
        <v>156</v>
      </c>
      <c r="H203" s="610" t="s">
        <v>504</v>
      </c>
      <c r="I203" s="611" t="s">
        <v>155</v>
      </c>
      <c r="J203" s="612" t="s">
        <v>156</v>
      </c>
      <c r="K203" s="613" t="s">
        <v>504</v>
      </c>
      <c r="L203" s="614" t="s">
        <v>155</v>
      </c>
      <c r="M203" s="615" t="s">
        <v>156</v>
      </c>
      <c r="N203" s="610" t="s">
        <v>504</v>
      </c>
      <c r="O203" s="611" t="s">
        <v>155</v>
      </c>
      <c r="P203" s="612" t="s">
        <v>156</v>
      </c>
      <c r="Q203" s="613" t="s">
        <v>504</v>
      </c>
      <c r="R203" s="614" t="s">
        <v>155</v>
      </c>
      <c r="S203" s="615" t="s">
        <v>156</v>
      </c>
      <c r="T203" s="610" t="s">
        <v>504</v>
      </c>
      <c r="U203" s="611" t="s">
        <v>155</v>
      </c>
      <c r="V203" s="612" t="s">
        <v>156</v>
      </c>
      <c r="W203" s="613" t="s">
        <v>504</v>
      </c>
      <c r="X203" s="614" t="s">
        <v>155</v>
      </c>
      <c r="Y203" s="614" t="s">
        <v>156</v>
      </c>
      <c r="Z203" s="610" t="s">
        <v>504</v>
      </c>
      <c r="AA203" s="611" t="s">
        <v>155</v>
      </c>
      <c r="AB203" s="612" t="s">
        <v>156</v>
      </c>
      <c r="AC203" s="613" t="s">
        <v>504</v>
      </c>
      <c r="AD203" s="614" t="s">
        <v>155</v>
      </c>
      <c r="AE203" s="615" t="s">
        <v>156</v>
      </c>
      <c r="AF203" s="610" t="s">
        <v>504</v>
      </c>
      <c r="AG203" s="611" t="s">
        <v>155</v>
      </c>
      <c r="AH203" s="612" t="s">
        <v>156</v>
      </c>
      <c r="AI203" s="613" t="s">
        <v>504</v>
      </c>
      <c r="AJ203" s="614" t="s">
        <v>155</v>
      </c>
      <c r="AK203" s="615" t="s">
        <v>156</v>
      </c>
      <c r="AL203" s="2851"/>
    </row>
    <row r="204" spans="1:88">
      <c r="A204" s="5" t="s">
        <v>6</v>
      </c>
      <c r="B204" s="790"/>
      <c r="C204" s="207">
        <v>240</v>
      </c>
      <c r="D204" s="1933"/>
      <c r="E204" s="790"/>
      <c r="F204" s="149">
        <v>0</v>
      </c>
      <c r="G204" s="1933"/>
      <c r="H204" s="790"/>
      <c r="I204" s="207">
        <v>0</v>
      </c>
      <c r="J204" s="1933"/>
      <c r="K204" s="790"/>
      <c r="L204" s="2044"/>
      <c r="M204" s="1933"/>
      <c r="N204" s="790"/>
      <c r="O204" s="2044"/>
      <c r="P204" s="1933"/>
      <c r="Q204" s="790"/>
      <c r="R204" s="2044"/>
      <c r="S204" s="1933"/>
      <c r="T204" s="790"/>
      <c r="U204" s="2044"/>
      <c r="V204" s="1933"/>
      <c r="W204" s="790"/>
      <c r="X204" s="2044"/>
      <c r="Y204" s="1934"/>
      <c r="Z204" s="790"/>
      <c r="AA204" s="2044"/>
      <c r="AB204" s="1933"/>
      <c r="AC204" s="790"/>
      <c r="AD204" s="2044"/>
      <c r="AE204" s="1933"/>
      <c r="AF204" s="790"/>
      <c r="AG204" s="2044"/>
      <c r="AH204" s="1933"/>
      <c r="AI204" s="790"/>
      <c r="AJ204" s="2044"/>
      <c r="AK204" s="1933"/>
      <c r="AL204" s="2851"/>
      <c r="BX204" s="23"/>
      <c r="BY204" s="23"/>
      <c r="CI204"/>
      <c r="CJ204"/>
    </row>
    <row r="205" spans="1:88">
      <c r="A205" s="5" t="s">
        <v>507</v>
      </c>
      <c r="B205" s="502">
        <v>0</v>
      </c>
      <c r="C205" s="207">
        <v>0</v>
      </c>
      <c r="D205" s="503"/>
      <c r="E205" s="509">
        <v>0</v>
      </c>
      <c r="F205" s="149">
        <v>1500</v>
      </c>
      <c r="G205" s="510"/>
      <c r="H205" s="502">
        <v>0</v>
      </c>
      <c r="I205" s="207">
        <v>6000</v>
      </c>
      <c r="J205" s="503"/>
      <c r="K205" s="790"/>
      <c r="L205" s="2044"/>
      <c r="M205" s="1933"/>
      <c r="N205" s="790"/>
      <c r="O205" s="2044"/>
      <c r="P205" s="1933"/>
      <c r="Q205" s="790"/>
      <c r="R205" s="2044"/>
      <c r="S205" s="1933"/>
      <c r="T205" s="790"/>
      <c r="U205" s="2044"/>
      <c r="V205" s="1933"/>
      <c r="W205" s="790"/>
      <c r="X205" s="2044"/>
      <c r="Y205" s="1934"/>
      <c r="Z205" s="790"/>
      <c r="AA205" s="2044"/>
      <c r="AB205" s="1933"/>
      <c r="AC205" s="790"/>
      <c r="AD205" s="2044"/>
      <c r="AE205" s="1933"/>
      <c r="AF205" s="790"/>
      <c r="AG205" s="2044"/>
      <c r="AH205" s="1933"/>
      <c r="AI205" s="790"/>
      <c r="AJ205" s="2044"/>
      <c r="AK205" s="1933"/>
      <c r="AL205" s="2851"/>
      <c r="BX205" s="23"/>
      <c r="BY205" s="23"/>
      <c r="CI205"/>
      <c r="CJ205"/>
    </row>
    <row r="206" spans="1:88">
      <c r="A206" s="5" t="s">
        <v>673</v>
      </c>
      <c r="B206" s="502">
        <v>10500</v>
      </c>
      <c r="C206" s="207">
        <v>8600</v>
      </c>
      <c r="D206" s="503"/>
      <c r="E206" s="509">
        <v>1800</v>
      </c>
      <c r="F206" s="149">
        <v>8000</v>
      </c>
      <c r="G206" s="510"/>
      <c r="H206" s="502">
        <v>3600</v>
      </c>
      <c r="I206" s="207">
        <v>4000</v>
      </c>
      <c r="J206" s="503"/>
      <c r="K206" s="790"/>
      <c r="L206" s="2044"/>
      <c r="M206" s="1933"/>
      <c r="N206" s="790"/>
      <c r="O206" s="2044"/>
      <c r="P206" s="1933"/>
      <c r="Q206" s="790"/>
      <c r="R206" s="2044"/>
      <c r="S206" s="1933"/>
      <c r="T206" s="790"/>
      <c r="U206" s="2044"/>
      <c r="V206" s="1933"/>
      <c r="W206" s="790"/>
      <c r="X206" s="2044"/>
      <c r="Y206" s="1934"/>
      <c r="Z206" s="790"/>
      <c r="AA206" s="2044"/>
      <c r="AB206" s="1933"/>
      <c r="AC206" s="790"/>
      <c r="AD206" s="2044"/>
      <c r="AE206" s="1933"/>
      <c r="AF206" s="790"/>
      <c r="AG206" s="2044"/>
      <c r="AH206" s="1933"/>
      <c r="AI206" s="790"/>
      <c r="AJ206" s="2044"/>
      <c r="AK206" s="1933"/>
      <c r="AL206" s="2851"/>
      <c r="BX206" s="23"/>
      <c r="BY206" s="23"/>
      <c r="CI206"/>
      <c r="CJ206"/>
    </row>
    <row r="207" spans="1:88">
      <c r="A207" s="5" t="s">
        <v>743</v>
      </c>
      <c r="B207" s="502">
        <v>0</v>
      </c>
      <c r="C207" s="207">
        <v>4011</v>
      </c>
      <c r="D207" s="503"/>
      <c r="E207" s="509">
        <v>0</v>
      </c>
      <c r="F207" s="149">
        <v>0</v>
      </c>
      <c r="G207" s="510"/>
      <c r="H207" s="502">
        <v>900</v>
      </c>
      <c r="I207" s="207">
        <v>0</v>
      </c>
      <c r="J207" s="503"/>
      <c r="K207" s="790"/>
      <c r="L207" s="2044"/>
      <c r="M207" s="1933"/>
      <c r="N207" s="790"/>
      <c r="O207" s="2044"/>
      <c r="P207" s="1933"/>
      <c r="Q207" s="790"/>
      <c r="R207" s="2044"/>
      <c r="S207" s="1933"/>
      <c r="T207" s="790"/>
      <c r="U207" s="2044"/>
      <c r="V207" s="1933"/>
      <c r="W207" s="790"/>
      <c r="X207" s="2044"/>
      <c r="Y207" s="1934"/>
      <c r="Z207" s="790"/>
      <c r="AA207" s="2044"/>
      <c r="AB207" s="1933"/>
      <c r="AC207" s="790"/>
      <c r="AD207" s="2044"/>
      <c r="AE207" s="1933"/>
      <c r="AF207" s="790"/>
      <c r="AG207" s="2044"/>
      <c r="AH207" s="1933"/>
      <c r="AI207" s="790"/>
      <c r="AJ207" s="2044"/>
      <c r="AK207" s="1933"/>
      <c r="AL207" s="2851"/>
      <c r="BX207" s="23"/>
      <c r="BY207" s="23"/>
      <c r="CI207"/>
      <c r="CJ207"/>
    </row>
    <row r="208" spans="1:88">
      <c r="A208" s="5" t="s">
        <v>84</v>
      </c>
      <c r="B208" s="502">
        <v>300</v>
      </c>
      <c r="C208" s="207">
        <v>0</v>
      </c>
      <c r="D208" s="503"/>
      <c r="E208" s="509">
        <v>0</v>
      </c>
      <c r="F208" s="149">
        <v>1680</v>
      </c>
      <c r="G208" s="510"/>
      <c r="H208" s="502">
        <v>6500</v>
      </c>
      <c r="I208" s="207">
        <v>0</v>
      </c>
      <c r="J208" s="503"/>
      <c r="K208" s="790"/>
      <c r="L208" s="2044"/>
      <c r="M208" s="1933"/>
      <c r="N208" s="790"/>
      <c r="O208" s="2044"/>
      <c r="P208" s="1933"/>
      <c r="Q208" s="790"/>
      <c r="R208" s="2044"/>
      <c r="S208" s="1933"/>
      <c r="T208" s="790"/>
      <c r="U208" s="2044"/>
      <c r="V208" s="1933"/>
      <c r="W208" s="790"/>
      <c r="X208" s="2044"/>
      <c r="Y208" s="1934"/>
      <c r="Z208" s="790"/>
      <c r="AA208" s="2044"/>
      <c r="AB208" s="1933"/>
      <c r="AC208" s="790"/>
      <c r="AD208" s="2044"/>
      <c r="AE208" s="1933"/>
      <c r="AF208" s="790"/>
      <c r="AG208" s="2044"/>
      <c r="AH208" s="1933"/>
      <c r="AI208" s="790"/>
      <c r="AJ208" s="2044"/>
      <c r="AK208" s="1933"/>
      <c r="AL208" s="2851"/>
      <c r="BX208" s="23"/>
      <c r="BY208" s="23"/>
      <c r="CI208"/>
      <c r="CJ208"/>
    </row>
    <row r="209" spans="1:88">
      <c r="A209" s="5" t="s">
        <v>28</v>
      </c>
      <c r="B209" s="502">
        <f>69950-31950</f>
        <v>38000</v>
      </c>
      <c r="C209" s="207">
        <v>1130</v>
      </c>
      <c r="D209" s="503"/>
      <c r="E209" s="509">
        <v>4325</v>
      </c>
      <c r="F209" s="149">
        <v>2500</v>
      </c>
      <c r="G209" s="510"/>
      <c r="H209" s="502">
        <v>4925</v>
      </c>
      <c r="I209" s="207">
        <v>500</v>
      </c>
      <c r="J209" s="503"/>
      <c r="K209" s="790"/>
      <c r="L209" s="2044"/>
      <c r="M209" s="1933"/>
      <c r="N209" s="790"/>
      <c r="O209" s="2044"/>
      <c r="P209" s="1933"/>
      <c r="Q209" s="790"/>
      <c r="R209" s="2044"/>
      <c r="S209" s="1933"/>
      <c r="T209" s="790"/>
      <c r="U209" s="2044"/>
      <c r="V209" s="1933"/>
      <c r="W209" s="790"/>
      <c r="X209" s="2044"/>
      <c r="Y209" s="1934"/>
      <c r="Z209" s="790"/>
      <c r="AA209" s="2044"/>
      <c r="AB209" s="1933"/>
      <c r="AC209" s="790"/>
      <c r="AD209" s="2044"/>
      <c r="AE209" s="1933"/>
      <c r="AF209" s="790"/>
      <c r="AG209" s="2044"/>
      <c r="AH209" s="1933"/>
      <c r="AI209" s="790"/>
      <c r="AJ209" s="2044"/>
      <c r="AK209" s="1933"/>
      <c r="AL209" s="2851"/>
      <c r="BX209" s="23"/>
      <c r="BY209" s="23"/>
      <c r="CI209"/>
      <c r="CJ209"/>
    </row>
    <row r="210" spans="1:88" s="23" customFormat="1">
      <c r="A210" s="15" t="s">
        <v>732</v>
      </c>
      <c r="B210" s="502">
        <v>30420</v>
      </c>
      <c r="C210" s="207">
        <v>0</v>
      </c>
      <c r="D210" s="503"/>
      <c r="E210" s="509">
        <v>9900</v>
      </c>
      <c r="F210" s="149">
        <v>2000</v>
      </c>
      <c r="G210" s="510"/>
      <c r="H210" s="502">
        <v>13200</v>
      </c>
      <c r="I210" s="207">
        <v>9000</v>
      </c>
      <c r="J210" s="503"/>
      <c r="K210" s="790"/>
      <c r="L210" s="2044"/>
      <c r="M210" s="1933"/>
      <c r="N210" s="790"/>
      <c r="O210" s="2044"/>
      <c r="P210" s="1933"/>
      <c r="Q210" s="790"/>
      <c r="R210" s="2044"/>
      <c r="S210" s="1933"/>
      <c r="T210" s="790"/>
      <c r="U210" s="2044"/>
      <c r="V210" s="1933"/>
      <c r="W210" s="790"/>
      <c r="X210" s="2044"/>
      <c r="Y210" s="1934"/>
      <c r="Z210" s="790"/>
      <c r="AA210" s="2044"/>
      <c r="AB210" s="1933"/>
      <c r="AC210" s="790"/>
      <c r="AD210" s="2044"/>
      <c r="AE210" s="1933"/>
      <c r="AF210" s="790"/>
      <c r="AG210" s="2044"/>
      <c r="AH210" s="1933"/>
      <c r="AI210" s="790"/>
      <c r="AJ210" s="2044"/>
      <c r="AK210" s="1933"/>
      <c r="AL210" s="2851"/>
    </row>
    <row r="211" spans="1:88" s="23" customFormat="1">
      <c r="A211" s="5" t="s">
        <v>731</v>
      </c>
      <c r="B211" s="502">
        <v>42000</v>
      </c>
      <c r="C211" s="207">
        <v>7000</v>
      </c>
      <c r="D211" s="503"/>
      <c r="E211" s="509">
        <v>14025</v>
      </c>
      <c r="F211" s="149">
        <v>2000</v>
      </c>
      <c r="G211" s="510"/>
      <c r="H211" s="502">
        <v>16312.5</v>
      </c>
      <c r="I211" s="207">
        <v>3000</v>
      </c>
      <c r="J211" s="503"/>
      <c r="K211" s="790"/>
      <c r="L211" s="2044"/>
      <c r="M211" s="1933"/>
      <c r="N211" s="790"/>
      <c r="O211" s="2044"/>
      <c r="P211" s="1933"/>
      <c r="Q211" s="790"/>
      <c r="R211" s="2044"/>
      <c r="S211" s="1933"/>
      <c r="T211" s="790"/>
      <c r="U211" s="2044"/>
      <c r="V211" s="1933"/>
      <c r="W211" s="790"/>
      <c r="X211" s="2044"/>
      <c r="Y211" s="1934"/>
      <c r="Z211" s="790"/>
      <c r="AA211" s="2044"/>
      <c r="AB211" s="1933"/>
      <c r="AC211" s="790"/>
      <c r="AD211" s="2044"/>
      <c r="AE211" s="1933"/>
      <c r="AF211" s="790"/>
      <c r="AG211" s="2044"/>
      <c r="AH211" s="1933"/>
      <c r="AI211" s="790"/>
      <c r="AJ211" s="2044"/>
      <c r="AK211" s="1933"/>
      <c r="AL211" s="2851"/>
    </row>
    <row r="212" spans="1:88">
      <c r="A212" s="15" t="s">
        <v>30</v>
      </c>
      <c r="B212" s="502">
        <v>126658</v>
      </c>
      <c r="C212" s="207">
        <v>4112</v>
      </c>
      <c r="D212" s="503"/>
      <c r="E212" s="509">
        <v>29316</v>
      </c>
      <c r="F212" s="149">
        <v>3500</v>
      </c>
      <c r="G212" s="510"/>
      <c r="H212" s="502">
        <v>31605</v>
      </c>
      <c r="I212" s="207">
        <v>8000</v>
      </c>
      <c r="J212" s="503"/>
      <c r="K212" s="790"/>
      <c r="L212" s="2044"/>
      <c r="M212" s="1933"/>
      <c r="N212" s="790"/>
      <c r="O212" s="2044"/>
      <c r="P212" s="1933"/>
      <c r="Q212" s="790"/>
      <c r="R212" s="2044"/>
      <c r="S212" s="1933"/>
      <c r="T212" s="790"/>
      <c r="U212" s="2044"/>
      <c r="V212" s="1933"/>
      <c r="W212" s="790"/>
      <c r="X212" s="2044"/>
      <c r="Y212" s="1934"/>
      <c r="Z212" s="790"/>
      <c r="AA212" s="2044"/>
      <c r="AB212" s="1933"/>
      <c r="AC212" s="790"/>
      <c r="AD212" s="2044"/>
      <c r="AE212" s="1933"/>
      <c r="AF212" s="790"/>
      <c r="AG212" s="2044"/>
      <c r="AH212" s="1933"/>
      <c r="AI212" s="790"/>
      <c r="AJ212" s="2044"/>
      <c r="AK212" s="1933"/>
      <c r="AL212" s="2851"/>
      <c r="BX212" s="23"/>
      <c r="BY212" s="23"/>
      <c r="CI212"/>
      <c r="CJ212"/>
    </row>
    <row r="213" spans="1:88" s="23" customFormat="1">
      <c r="A213" s="15" t="s">
        <v>314</v>
      </c>
      <c r="B213" s="1004">
        <v>0</v>
      </c>
      <c r="C213" s="207">
        <v>0</v>
      </c>
      <c r="D213" s="503"/>
      <c r="E213" s="509">
        <v>5400</v>
      </c>
      <c r="F213" s="149">
        <v>0</v>
      </c>
      <c r="G213" s="510"/>
      <c r="H213" s="502">
        <v>0</v>
      </c>
      <c r="I213" s="207">
        <v>0</v>
      </c>
      <c r="J213" s="503"/>
      <c r="K213" s="790"/>
      <c r="L213" s="2044"/>
      <c r="M213" s="1933"/>
      <c r="N213" s="790"/>
      <c r="O213" s="2044"/>
      <c r="P213" s="1933"/>
      <c r="Q213" s="790"/>
      <c r="R213" s="2044"/>
      <c r="S213" s="1933"/>
      <c r="T213" s="790"/>
      <c r="U213" s="2044"/>
      <c r="V213" s="1933"/>
      <c r="W213" s="790"/>
      <c r="X213" s="2044"/>
      <c r="Y213" s="1934"/>
      <c r="Z213" s="790"/>
      <c r="AA213" s="2044"/>
      <c r="AB213" s="1933"/>
      <c r="AC213" s="790"/>
      <c r="AD213" s="2044"/>
      <c r="AE213" s="1933"/>
      <c r="AF213" s="790"/>
      <c r="AG213" s="2044"/>
      <c r="AH213" s="1933"/>
      <c r="AI213" s="790"/>
      <c r="AJ213" s="2044"/>
      <c r="AK213" s="1933"/>
      <c r="AL213" s="2851"/>
    </row>
    <row r="214" spans="1:88">
      <c r="A214" s="15" t="s">
        <v>85</v>
      </c>
      <c r="B214" s="502">
        <v>0</v>
      </c>
      <c r="C214" s="207">
        <v>1300</v>
      </c>
      <c r="D214" s="1933"/>
      <c r="E214" s="509">
        <v>0</v>
      </c>
      <c r="F214" s="149">
        <v>700</v>
      </c>
      <c r="G214" s="1933"/>
      <c r="H214" s="502">
        <v>0</v>
      </c>
      <c r="I214" s="207">
        <v>0</v>
      </c>
      <c r="J214" s="1933"/>
      <c r="K214" s="790"/>
      <c r="L214" s="2044"/>
      <c r="M214" s="1933"/>
      <c r="N214" s="790"/>
      <c r="O214" s="2044"/>
      <c r="P214" s="1933"/>
      <c r="Q214" s="790"/>
      <c r="R214" s="2044"/>
      <c r="S214" s="1933"/>
      <c r="T214" s="790"/>
      <c r="U214" s="2044"/>
      <c r="V214" s="1933"/>
      <c r="W214" s="790"/>
      <c r="X214" s="2044"/>
      <c r="Y214" s="1934"/>
      <c r="Z214" s="790"/>
      <c r="AA214" s="2044"/>
      <c r="AB214" s="1933"/>
      <c r="AC214" s="790"/>
      <c r="AD214" s="2044"/>
      <c r="AE214" s="1933"/>
      <c r="AF214" s="790"/>
      <c r="AG214" s="2044"/>
      <c r="AH214" s="1933"/>
      <c r="AI214" s="790"/>
      <c r="AJ214" s="2044"/>
      <c r="AK214" s="1933"/>
      <c r="AL214" s="2851"/>
      <c r="BX214" s="23"/>
      <c r="BY214" s="23"/>
      <c r="CI214"/>
      <c r="CJ214"/>
    </row>
    <row r="215" spans="1:88">
      <c r="A215" s="15" t="s">
        <v>31</v>
      </c>
      <c r="B215" s="502">
        <v>57915</v>
      </c>
      <c r="C215" s="207">
        <v>0</v>
      </c>
      <c r="D215" s="503"/>
      <c r="E215" s="509">
        <v>12980</v>
      </c>
      <c r="F215" s="149">
        <v>0</v>
      </c>
      <c r="G215" s="510"/>
      <c r="H215" s="502">
        <v>13750</v>
      </c>
      <c r="I215" s="207">
        <v>1000</v>
      </c>
      <c r="J215" s="503"/>
      <c r="K215" s="790"/>
      <c r="L215" s="2044"/>
      <c r="M215" s="1933"/>
      <c r="N215" s="790"/>
      <c r="O215" s="2044"/>
      <c r="P215" s="1933"/>
      <c r="Q215" s="790"/>
      <c r="R215" s="2044"/>
      <c r="S215" s="1933"/>
      <c r="T215" s="790"/>
      <c r="U215" s="2044"/>
      <c r="V215" s="1933"/>
      <c r="W215" s="790"/>
      <c r="X215" s="2044"/>
      <c r="Y215" s="1934"/>
      <c r="Z215" s="790"/>
      <c r="AA215" s="2044"/>
      <c r="AB215" s="1933"/>
      <c r="AC215" s="790"/>
      <c r="AD215" s="2044"/>
      <c r="AE215" s="1933"/>
      <c r="AF215" s="790"/>
      <c r="AG215" s="2044"/>
      <c r="AH215" s="1933"/>
      <c r="AI215" s="790"/>
      <c r="AJ215" s="2044"/>
      <c r="AK215" s="1933"/>
      <c r="AL215" s="2851"/>
      <c r="BX215" s="23"/>
      <c r="BY215" s="23"/>
      <c r="CI215"/>
      <c r="CJ215"/>
    </row>
    <row r="216" spans="1:88">
      <c r="A216" s="15" t="s">
        <v>251</v>
      </c>
      <c r="B216" s="502">
        <v>6000</v>
      </c>
      <c r="C216" s="207">
        <v>3988</v>
      </c>
      <c r="D216" s="503"/>
      <c r="E216" s="509">
        <v>6030</v>
      </c>
      <c r="F216" s="149">
        <v>5443</v>
      </c>
      <c r="G216" s="510"/>
      <c r="H216" s="502">
        <v>4860</v>
      </c>
      <c r="I216" s="207">
        <v>0</v>
      </c>
      <c r="J216" s="503"/>
      <c r="K216" s="790"/>
      <c r="L216" s="2044"/>
      <c r="M216" s="1933"/>
      <c r="N216" s="790"/>
      <c r="O216" s="2044"/>
      <c r="P216" s="1933"/>
      <c r="Q216" s="790"/>
      <c r="R216" s="2044"/>
      <c r="S216" s="1933"/>
      <c r="T216" s="790"/>
      <c r="U216" s="2044"/>
      <c r="V216" s="1933"/>
      <c r="W216" s="790"/>
      <c r="X216" s="2044"/>
      <c r="Y216" s="1934"/>
      <c r="Z216" s="790"/>
      <c r="AA216" s="2044"/>
      <c r="AB216" s="1933"/>
      <c r="AC216" s="790"/>
      <c r="AD216" s="2044"/>
      <c r="AE216" s="1933"/>
      <c r="AF216" s="790"/>
      <c r="AG216" s="2044"/>
      <c r="AH216" s="1933"/>
      <c r="AI216" s="790"/>
      <c r="AJ216" s="2044"/>
      <c r="AK216" s="1933"/>
      <c r="AL216" s="2851"/>
      <c r="BX216" s="23"/>
      <c r="BY216" s="23"/>
      <c r="CI216"/>
      <c r="CJ216"/>
    </row>
    <row r="217" spans="1:88">
      <c r="A217" s="5" t="s">
        <v>674</v>
      </c>
      <c r="B217" s="502">
        <f>54000-21600</f>
        <v>32400</v>
      </c>
      <c r="C217" s="207">
        <v>1700</v>
      </c>
      <c r="D217" s="1933" t="s">
        <v>675</v>
      </c>
      <c r="E217" s="509">
        <v>3600</v>
      </c>
      <c r="F217" s="149">
        <v>1260</v>
      </c>
      <c r="G217" s="1933" t="s">
        <v>676</v>
      </c>
      <c r="H217" s="502">
        <v>3600</v>
      </c>
      <c r="I217" s="207">
        <v>240</v>
      </c>
      <c r="J217" s="1933"/>
      <c r="K217" s="790"/>
      <c r="L217" s="2044"/>
      <c r="M217" s="1933"/>
      <c r="N217" s="790"/>
      <c r="O217" s="2044"/>
      <c r="P217" s="1933"/>
      <c r="Q217" s="790"/>
      <c r="R217" s="2044"/>
      <c r="S217" s="1933"/>
      <c r="T217" s="790"/>
      <c r="U217" s="2044"/>
      <c r="V217" s="1933"/>
      <c r="W217" s="790"/>
      <c r="X217" s="2044"/>
      <c r="Y217" s="1934"/>
      <c r="Z217" s="790"/>
      <c r="AA217" s="2044"/>
      <c r="AB217" s="1933"/>
      <c r="AC217" s="790"/>
      <c r="AD217" s="2044"/>
      <c r="AE217" s="1933"/>
      <c r="AF217" s="790"/>
      <c r="AG217" s="2044"/>
      <c r="AH217" s="1933"/>
      <c r="AI217" s="790"/>
      <c r="AJ217" s="2044"/>
      <c r="AK217" s="1933"/>
      <c r="AL217" s="2851"/>
      <c r="BX217" s="23"/>
      <c r="BY217" s="23"/>
      <c r="CI217"/>
      <c r="CJ217"/>
    </row>
    <row r="218" spans="1:88" s="23" customFormat="1">
      <c r="A218" s="5" t="s">
        <v>378</v>
      </c>
      <c r="B218" s="502">
        <v>37410</v>
      </c>
      <c r="C218" s="207">
        <v>8500</v>
      </c>
      <c r="D218" s="503"/>
      <c r="E218" s="509">
        <v>6510</v>
      </c>
      <c r="F218" s="149">
        <v>9000</v>
      </c>
      <c r="G218" s="510"/>
      <c r="H218" s="502">
        <v>5775</v>
      </c>
      <c r="I218" s="207">
        <v>7000</v>
      </c>
      <c r="J218" s="503"/>
      <c r="K218" s="790"/>
      <c r="L218" s="2044"/>
      <c r="M218" s="1933"/>
      <c r="N218" s="790"/>
      <c r="O218" s="2044"/>
      <c r="P218" s="1933"/>
      <c r="Q218" s="790"/>
      <c r="R218" s="2044"/>
      <c r="S218" s="1933"/>
      <c r="T218" s="790"/>
      <c r="U218" s="2044"/>
      <c r="V218" s="1933"/>
      <c r="W218" s="790"/>
      <c r="X218" s="2044"/>
      <c r="Y218" s="1934"/>
      <c r="Z218" s="790"/>
      <c r="AA218" s="2044"/>
      <c r="AB218" s="1933"/>
      <c r="AC218" s="790"/>
      <c r="AD218" s="2044"/>
      <c r="AE218" s="1933"/>
      <c r="AF218" s="790"/>
      <c r="AG218" s="2044"/>
      <c r="AH218" s="1933"/>
      <c r="AI218" s="790"/>
      <c r="AJ218" s="2044"/>
      <c r="AK218" s="1933"/>
      <c r="AL218" s="2851"/>
    </row>
    <row r="219" spans="1:88" s="23" customFormat="1">
      <c r="A219" s="5" t="s">
        <v>728</v>
      </c>
      <c r="B219" s="502">
        <v>0</v>
      </c>
      <c r="C219" s="207">
        <v>500</v>
      </c>
      <c r="D219" s="503"/>
      <c r="E219" s="509">
        <v>0</v>
      </c>
      <c r="F219" s="149">
        <v>0</v>
      </c>
      <c r="G219" s="510"/>
      <c r="H219" s="502">
        <v>3600</v>
      </c>
      <c r="I219" s="207">
        <v>500</v>
      </c>
      <c r="J219" s="503"/>
      <c r="K219" s="790"/>
      <c r="L219" s="2044"/>
      <c r="M219" s="1933"/>
      <c r="N219" s="790"/>
      <c r="O219" s="2044"/>
      <c r="P219" s="1933"/>
      <c r="Q219" s="790"/>
      <c r="R219" s="2044"/>
      <c r="S219" s="1933"/>
      <c r="T219" s="790"/>
      <c r="U219" s="2044"/>
      <c r="V219" s="1933"/>
      <c r="W219" s="790"/>
      <c r="X219" s="2044"/>
      <c r="Y219" s="1934"/>
      <c r="Z219" s="790"/>
      <c r="AA219" s="2044"/>
      <c r="AB219" s="1933"/>
      <c r="AC219" s="790"/>
      <c r="AD219" s="2044"/>
      <c r="AE219" s="1933"/>
      <c r="AF219" s="790"/>
      <c r="AG219" s="2044"/>
      <c r="AH219" s="1933"/>
      <c r="AI219" s="790"/>
      <c r="AJ219" s="2044"/>
      <c r="AK219" s="1933"/>
      <c r="AL219" s="2851"/>
    </row>
    <row r="220" spans="1:88" s="23" customFormat="1">
      <c r="A220" s="5" t="s">
        <v>376</v>
      </c>
      <c r="B220" s="502">
        <v>98146.4</v>
      </c>
      <c r="C220" s="207">
        <v>1000</v>
      </c>
      <c r="D220" s="503"/>
      <c r="E220" s="509">
        <v>12950</v>
      </c>
      <c r="F220" s="149">
        <v>2500</v>
      </c>
      <c r="G220" s="510"/>
      <c r="H220" s="502">
        <v>8995</v>
      </c>
      <c r="I220" s="207">
        <v>0</v>
      </c>
      <c r="J220" s="503"/>
      <c r="K220" s="790"/>
      <c r="L220" s="2044"/>
      <c r="M220" s="1933"/>
      <c r="N220" s="790"/>
      <c r="O220" s="2044"/>
      <c r="P220" s="1933"/>
      <c r="Q220" s="790"/>
      <c r="R220" s="2044"/>
      <c r="S220" s="1933"/>
      <c r="T220" s="790"/>
      <c r="U220" s="2044"/>
      <c r="V220" s="1933"/>
      <c r="W220" s="790"/>
      <c r="X220" s="2044"/>
      <c r="Y220" s="1934"/>
      <c r="Z220" s="790"/>
      <c r="AA220" s="2044"/>
      <c r="AB220" s="1933"/>
      <c r="AC220" s="790"/>
      <c r="AD220" s="2044"/>
      <c r="AE220" s="1933"/>
      <c r="AF220" s="790"/>
      <c r="AG220" s="2044"/>
      <c r="AH220" s="1933"/>
      <c r="AI220" s="790"/>
      <c r="AJ220" s="2044"/>
      <c r="AK220" s="1933"/>
      <c r="AL220" s="2851"/>
    </row>
    <row r="221" spans="1:88" s="23" customFormat="1">
      <c r="A221" s="5" t="s">
        <v>497</v>
      </c>
      <c r="B221" s="502">
        <v>0</v>
      </c>
      <c r="C221" s="207">
        <v>0</v>
      </c>
      <c r="D221" s="503"/>
      <c r="E221" s="509">
        <v>0</v>
      </c>
      <c r="F221" s="149">
        <v>0</v>
      </c>
      <c r="G221" s="510"/>
      <c r="H221" s="502">
        <v>0</v>
      </c>
      <c r="I221" s="207">
        <v>0</v>
      </c>
      <c r="J221" s="503"/>
      <c r="K221" s="790"/>
      <c r="L221" s="2044"/>
      <c r="M221" s="1933"/>
      <c r="N221" s="790"/>
      <c r="O221" s="2044"/>
      <c r="P221" s="1933"/>
      <c r="Q221" s="790"/>
      <c r="R221" s="2044"/>
      <c r="S221" s="1933"/>
      <c r="T221" s="790"/>
      <c r="U221" s="2044"/>
      <c r="V221" s="1933"/>
      <c r="W221" s="790"/>
      <c r="X221" s="2044"/>
      <c r="Y221" s="1934"/>
      <c r="Z221" s="790"/>
      <c r="AA221" s="2044"/>
      <c r="AB221" s="1933"/>
      <c r="AC221" s="790"/>
      <c r="AD221" s="2044"/>
      <c r="AE221" s="1933"/>
      <c r="AF221" s="790"/>
      <c r="AG221" s="2044"/>
      <c r="AH221" s="1933"/>
      <c r="AI221" s="790"/>
      <c r="AJ221" s="2044"/>
      <c r="AK221" s="1933"/>
      <c r="AL221" s="2851"/>
    </row>
    <row r="222" spans="1:88" s="23" customFormat="1">
      <c r="A222" s="5" t="s">
        <v>432</v>
      </c>
      <c r="B222" s="502">
        <v>0</v>
      </c>
      <c r="C222" s="207">
        <v>0</v>
      </c>
      <c r="D222" s="503"/>
      <c r="E222" s="509">
        <v>1171.2</v>
      </c>
      <c r="F222" s="149">
        <v>0</v>
      </c>
      <c r="G222" s="510"/>
      <c r="H222" s="502">
        <v>1756.8</v>
      </c>
      <c r="I222" s="207">
        <v>0</v>
      </c>
      <c r="J222" s="503"/>
      <c r="K222" s="790"/>
      <c r="L222" s="2044"/>
      <c r="M222" s="1933"/>
      <c r="N222" s="790"/>
      <c r="O222" s="2044"/>
      <c r="P222" s="1933"/>
      <c r="Q222" s="790"/>
      <c r="R222" s="2044"/>
      <c r="S222" s="1933"/>
      <c r="T222" s="790"/>
      <c r="U222" s="2044"/>
      <c r="V222" s="1933"/>
      <c r="W222" s="790"/>
      <c r="X222" s="2044"/>
      <c r="Y222" s="1934"/>
      <c r="Z222" s="790"/>
      <c r="AA222" s="2044"/>
      <c r="AB222" s="1933"/>
      <c r="AC222" s="790"/>
      <c r="AD222" s="2044"/>
      <c r="AE222" s="1933"/>
      <c r="AF222" s="790"/>
      <c r="AG222" s="2044"/>
      <c r="AH222" s="1933"/>
      <c r="AI222" s="790"/>
      <c r="AJ222" s="2044"/>
      <c r="AK222" s="1933"/>
      <c r="AL222" s="2851"/>
    </row>
    <row r="223" spans="1:88" s="23" customFormat="1">
      <c r="A223" s="5" t="s">
        <v>434</v>
      </c>
      <c r="B223" s="502">
        <v>0</v>
      </c>
      <c r="C223" s="2044">
        <v>0</v>
      </c>
      <c r="D223" s="503"/>
      <c r="E223" s="509">
        <v>0</v>
      </c>
      <c r="F223" s="2044">
        <v>0</v>
      </c>
      <c r="G223" s="510"/>
      <c r="H223" s="502">
        <v>0</v>
      </c>
      <c r="I223" s="2044">
        <v>0</v>
      </c>
      <c r="J223" s="503"/>
      <c r="K223" s="790"/>
      <c r="L223" s="2044"/>
      <c r="M223" s="1933"/>
      <c r="N223" s="790"/>
      <c r="O223" s="2044"/>
      <c r="P223" s="1933"/>
      <c r="Q223" s="790"/>
      <c r="R223" s="2044"/>
      <c r="S223" s="1933"/>
      <c r="T223" s="790"/>
      <c r="U223" s="2044"/>
      <c r="V223" s="1933"/>
      <c r="W223" s="790"/>
      <c r="X223" s="2044"/>
      <c r="Y223" s="1934"/>
      <c r="Z223" s="790"/>
      <c r="AA223" s="2044"/>
      <c r="AB223" s="1933"/>
      <c r="AC223" s="790"/>
      <c r="AD223" s="2044"/>
      <c r="AE223" s="1933"/>
      <c r="AF223" s="790"/>
      <c r="AG223" s="2044"/>
      <c r="AH223" s="1933"/>
      <c r="AI223" s="790"/>
      <c r="AJ223" s="2044"/>
      <c r="AK223" s="1933"/>
      <c r="AL223" s="2851"/>
    </row>
    <row r="224" spans="1:88" s="23" customFormat="1">
      <c r="A224" s="5" t="s">
        <v>433</v>
      </c>
      <c r="B224" s="502">
        <v>0</v>
      </c>
      <c r="C224" s="2044">
        <v>0</v>
      </c>
      <c r="D224" s="503"/>
      <c r="E224" s="509">
        <v>0</v>
      </c>
      <c r="F224" s="2044">
        <v>0</v>
      </c>
      <c r="G224" s="510"/>
      <c r="H224" s="502">
        <v>0</v>
      </c>
      <c r="I224" s="2044">
        <v>0</v>
      </c>
      <c r="J224" s="503"/>
      <c r="K224" s="790"/>
      <c r="L224" s="2044"/>
      <c r="M224" s="1933"/>
      <c r="N224" s="790"/>
      <c r="O224" s="2044"/>
      <c r="P224" s="1933"/>
      <c r="Q224" s="790"/>
      <c r="R224" s="2044"/>
      <c r="S224" s="1933"/>
      <c r="T224" s="790"/>
      <c r="U224" s="2044"/>
      <c r="V224" s="1933"/>
      <c r="W224" s="790"/>
      <c r="X224" s="2044"/>
      <c r="Y224" s="1934"/>
      <c r="Z224" s="790"/>
      <c r="AA224" s="2044"/>
      <c r="AB224" s="1933"/>
      <c r="AC224" s="790"/>
      <c r="AD224" s="2044"/>
      <c r="AE224" s="1933"/>
      <c r="AF224" s="790"/>
      <c r="AG224" s="2044"/>
      <c r="AH224" s="1933"/>
      <c r="AI224" s="790"/>
      <c r="AJ224" s="2044"/>
      <c r="AK224" s="1933"/>
      <c r="AL224" s="2851"/>
    </row>
    <row r="225" spans="1:88" ht="15.75" thickBot="1">
      <c r="A225" s="693" t="s">
        <v>58</v>
      </c>
      <c r="B225" s="504"/>
      <c r="C225" s="414"/>
      <c r="D225" s="505"/>
      <c r="E225" s="504"/>
      <c r="F225" s="414"/>
      <c r="G225" s="505"/>
      <c r="H225" s="504"/>
      <c r="I225" s="414"/>
      <c r="J225" s="505"/>
      <c r="K225" s="504"/>
      <c r="L225" s="414"/>
      <c r="M225" s="505"/>
      <c r="N225" s="514"/>
      <c r="O225" s="515"/>
      <c r="P225" s="516"/>
      <c r="Q225" s="504"/>
      <c r="R225" s="414"/>
      <c r="S225" s="505"/>
      <c r="T225" s="504"/>
      <c r="U225" s="414"/>
      <c r="V225" s="505"/>
      <c r="W225" s="504"/>
      <c r="X225" s="414"/>
      <c r="Y225" s="414"/>
      <c r="Z225" s="504"/>
      <c r="AA225" s="414"/>
      <c r="AB225" s="505"/>
      <c r="AC225" s="504"/>
      <c r="AD225" s="414"/>
      <c r="AE225" s="505"/>
      <c r="AF225" s="514"/>
      <c r="AG225" s="515"/>
      <c r="AH225" s="516"/>
      <c r="AI225" s="519"/>
      <c r="AJ225" s="413"/>
      <c r="AK225" s="520"/>
      <c r="AL225" s="2851"/>
      <c r="BX225" s="23"/>
      <c r="BY225" s="23"/>
      <c r="CI225"/>
      <c r="CJ225"/>
    </row>
    <row r="226" spans="1:88" ht="15.75" thickBot="1">
      <c r="A226" s="8" t="s">
        <v>32</v>
      </c>
      <c r="B226" s="506">
        <f t="shared" ref="B226:N226" si="13">SUM(B204:B225)</f>
        <v>479749.4</v>
      </c>
      <c r="C226" s="507">
        <f t="shared" si="13"/>
        <v>42081</v>
      </c>
      <c r="D226" s="508">
        <f t="shared" si="13"/>
        <v>0</v>
      </c>
      <c r="E226" s="511">
        <f t="shared" si="13"/>
        <v>108007.2</v>
      </c>
      <c r="F226" s="512">
        <f t="shared" si="13"/>
        <v>40083</v>
      </c>
      <c r="G226" s="513">
        <f t="shared" si="13"/>
        <v>0</v>
      </c>
      <c r="H226" s="506">
        <f t="shared" si="13"/>
        <v>119379.3</v>
      </c>
      <c r="I226" s="507">
        <f t="shared" si="13"/>
        <v>39240</v>
      </c>
      <c r="J226" s="508">
        <f t="shared" si="13"/>
        <v>0</v>
      </c>
      <c r="K226" s="511">
        <f t="shared" si="13"/>
        <v>0</v>
      </c>
      <c r="L226" s="512">
        <f t="shared" si="13"/>
        <v>0</v>
      </c>
      <c r="M226" s="513">
        <f t="shared" si="13"/>
        <v>0</v>
      </c>
      <c r="N226" s="500">
        <f t="shared" si="13"/>
        <v>0</v>
      </c>
      <c r="O226" s="501"/>
      <c r="P226" s="501"/>
      <c r="Q226" s="511">
        <f t="shared" ref="Q226:X226" si="14">SUM(Q204:Q225)</f>
        <v>0</v>
      </c>
      <c r="R226" s="512">
        <f t="shared" si="14"/>
        <v>0</v>
      </c>
      <c r="S226" s="513">
        <f t="shared" si="14"/>
        <v>0</v>
      </c>
      <c r="T226" s="506">
        <f t="shared" si="14"/>
        <v>0</v>
      </c>
      <c r="U226" s="507">
        <f t="shared" si="14"/>
        <v>0</v>
      </c>
      <c r="V226" s="508">
        <f t="shared" si="14"/>
        <v>0</v>
      </c>
      <c r="W226" s="511">
        <f t="shared" si="14"/>
        <v>0</v>
      </c>
      <c r="X226" s="512">
        <f t="shared" si="14"/>
        <v>0</v>
      </c>
      <c r="Y226" s="517"/>
      <c r="Z226" s="506">
        <f t="shared" ref="Z226:AK226" si="15">SUM(Z204:Z225)</f>
        <v>0</v>
      </c>
      <c r="AA226" s="507">
        <f t="shared" si="15"/>
        <v>0</v>
      </c>
      <c r="AB226" s="508">
        <f t="shared" si="15"/>
        <v>0</v>
      </c>
      <c r="AC226" s="511">
        <f t="shared" si="15"/>
        <v>0</v>
      </c>
      <c r="AD226" s="512">
        <f t="shared" si="15"/>
        <v>0</v>
      </c>
      <c r="AE226" s="513">
        <f t="shared" si="15"/>
        <v>0</v>
      </c>
      <c r="AF226" s="500">
        <f t="shared" si="15"/>
        <v>0</v>
      </c>
      <c r="AG226" s="501">
        <f t="shared" si="15"/>
        <v>0</v>
      </c>
      <c r="AH226" s="518">
        <f t="shared" si="15"/>
        <v>0</v>
      </c>
      <c r="AI226" s="511">
        <f t="shared" si="15"/>
        <v>0</v>
      </c>
      <c r="AJ226" s="512">
        <f t="shared" si="15"/>
        <v>0</v>
      </c>
      <c r="AK226" s="513">
        <f t="shared" si="15"/>
        <v>0</v>
      </c>
      <c r="AL226" s="2851"/>
      <c r="BX226" s="23"/>
      <c r="BY226" s="23"/>
      <c r="CI226"/>
      <c r="CJ226"/>
    </row>
    <row r="227" spans="1:88" s="2" customFormat="1" ht="15.75" thickBot="1">
      <c r="A227" s="15"/>
      <c r="B227" s="70"/>
      <c r="C227" s="71"/>
      <c r="D227" s="71"/>
      <c r="E227" s="71"/>
      <c r="F227" s="71"/>
      <c r="G227" s="71"/>
      <c r="H227" s="71"/>
      <c r="I227" s="70"/>
      <c r="J227" s="71"/>
      <c r="K227" s="71"/>
      <c r="L227" s="71"/>
      <c r="M227" s="71"/>
      <c r="N227" s="71"/>
      <c r="O227" s="71"/>
      <c r="P227" s="71"/>
      <c r="Q227" s="70"/>
      <c r="R227" s="71"/>
      <c r="S227" s="71"/>
      <c r="T227" s="71"/>
      <c r="U227" s="70"/>
      <c r="V227" s="71"/>
      <c r="W227" s="71"/>
      <c r="X227" s="71"/>
      <c r="Y227" s="122"/>
      <c r="Z227" s="71"/>
      <c r="AA227" s="71"/>
      <c r="AB227" s="71"/>
      <c r="AC227" s="70"/>
      <c r="AD227" s="71"/>
      <c r="AE227" s="71"/>
      <c r="AF227" s="70"/>
      <c r="AG227" s="123"/>
      <c r="AH227" s="71"/>
      <c r="AI227" s="71"/>
      <c r="AJ227" s="70"/>
      <c r="AK227" s="71"/>
      <c r="AL227" s="71"/>
      <c r="AM227" s="71"/>
      <c r="AN227" s="70"/>
      <c r="AO227" s="71"/>
      <c r="AP227" s="71"/>
      <c r="AQ227" s="71"/>
    </row>
    <row r="228" spans="1:88" s="5" customFormat="1">
      <c r="A228" s="2893" t="s">
        <v>554</v>
      </c>
      <c r="B228" s="2911" t="s">
        <v>10</v>
      </c>
      <c r="C228" s="2902"/>
      <c r="D228" s="2902"/>
      <c r="E228" s="2871"/>
      <c r="F228" s="2908" t="s">
        <v>11</v>
      </c>
      <c r="G228" s="2902"/>
      <c r="H228" s="2902"/>
      <c r="I228" s="2871"/>
      <c r="J228" s="2911" t="s">
        <v>12</v>
      </c>
      <c r="K228" s="2902"/>
      <c r="L228" s="2902"/>
      <c r="M228" s="2871"/>
      <c r="N228" s="2908" t="s">
        <v>273</v>
      </c>
      <c r="O228" s="2918"/>
      <c r="P228" s="2918"/>
      <c r="Q228" s="2919"/>
      <c r="R228" s="522" t="s">
        <v>14</v>
      </c>
      <c r="S228" s="523"/>
      <c r="T228" s="523"/>
      <c r="U228" s="524"/>
      <c r="V228" s="2908" t="s">
        <v>15</v>
      </c>
      <c r="W228" s="2909"/>
      <c r="X228" s="2909"/>
      <c r="Y228" s="2910"/>
      <c r="Z228" s="2911" t="s">
        <v>16</v>
      </c>
      <c r="AA228" s="2909"/>
      <c r="AB228" s="2909"/>
      <c r="AC228" s="2910"/>
      <c r="AD228" s="2908" t="s">
        <v>17</v>
      </c>
      <c r="AE228" s="2909"/>
      <c r="AF228" s="2909"/>
      <c r="AG228" s="2910"/>
      <c r="AH228" s="2911" t="s">
        <v>18</v>
      </c>
      <c r="AI228" s="2909"/>
      <c r="AJ228" s="2909"/>
      <c r="AK228" s="2910"/>
      <c r="AL228" s="2908" t="s">
        <v>19</v>
      </c>
      <c r="AM228" s="2909"/>
      <c r="AN228" s="2909"/>
      <c r="AO228" s="2910"/>
      <c r="AP228" s="2911" t="s">
        <v>20</v>
      </c>
      <c r="AQ228" s="2909"/>
      <c r="AR228" s="2909"/>
      <c r="AS228" s="2910"/>
      <c r="AT228" s="2908" t="s">
        <v>21</v>
      </c>
      <c r="AU228" s="2909"/>
      <c r="AV228" s="2909"/>
      <c r="AW228" s="2910"/>
    </row>
    <row r="229" spans="1:88" s="78" customFormat="1" ht="43.5" customHeight="1">
      <c r="A229" s="2899"/>
      <c r="B229" s="470" t="s">
        <v>154</v>
      </c>
      <c r="C229" s="76" t="s">
        <v>155</v>
      </c>
      <c r="D229" s="76" t="s">
        <v>163</v>
      </c>
      <c r="E229" s="471" t="s">
        <v>156</v>
      </c>
      <c r="F229" s="77" t="s">
        <v>154</v>
      </c>
      <c r="G229" s="77" t="s">
        <v>155</v>
      </c>
      <c r="H229" s="77" t="s">
        <v>163</v>
      </c>
      <c r="I229" s="479" t="s">
        <v>156</v>
      </c>
      <c r="J229" s="470" t="s">
        <v>154</v>
      </c>
      <c r="K229" s="76" t="s">
        <v>155</v>
      </c>
      <c r="L229" s="76" t="s">
        <v>163</v>
      </c>
      <c r="M229" s="471" t="s">
        <v>156</v>
      </c>
      <c r="N229" s="77" t="s">
        <v>154</v>
      </c>
      <c r="O229" s="77" t="s">
        <v>155</v>
      </c>
      <c r="P229" s="77" t="s">
        <v>163</v>
      </c>
      <c r="Q229" s="479" t="s">
        <v>156</v>
      </c>
      <c r="R229" s="76" t="s">
        <v>154</v>
      </c>
      <c r="S229" s="76" t="s">
        <v>155</v>
      </c>
      <c r="T229" s="76" t="s">
        <v>163</v>
      </c>
      <c r="U229" s="471" t="s">
        <v>156</v>
      </c>
      <c r="V229" s="77" t="s">
        <v>154</v>
      </c>
      <c r="W229" s="77" t="s">
        <v>155</v>
      </c>
      <c r="X229" s="77" t="s">
        <v>163</v>
      </c>
      <c r="Y229" s="479" t="s">
        <v>156</v>
      </c>
      <c r="Z229" s="76" t="s">
        <v>154</v>
      </c>
      <c r="AA229" s="76" t="s">
        <v>155</v>
      </c>
      <c r="AB229" s="76" t="s">
        <v>163</v>
      </c>
      <c r="AC229" s="471" t="s">
        <v>156</v>
      </c>
      <c r="AD229" s="77" t="s">
        <v>154</v>
      </c>
      <c r="AE229" s="77" t="s">
        <v>155</v>
      </c>
      <c r="AF229" s="77" t="s">
        <v>163</v>
      </c>
      <c r="AG229" s="479" t="s">
        <v>156</v>
      </c>
      <c r="AH229" s="76" t="s">
        <v>154</v>
      </c>
      <c r="AI229" s="76" t="s">
        <v>155</v>
      </c>
      <c r="AJ229" s="76" t="s">
        <v>163</v>
      </c>
      <c r="AK229" s="471" t="s">
        <v>156</v>
      </c>
      <c r="AL229" s="77" t="s">
        <v>154</v>
      </c>
      <c r="AM229" s="77" t="s">
        <v>155</v>
      </c>
      <c r="AN229" s="77" t="s">
        <v>163</v>
      </c>
      <c r="AO229" s="479" t="s">
        <v>156</v>
      </c>
      <c r="AP229" s="76" t="s">
        <v>154</v>
      </c>
      <c r="AQ229" s="76" t="s">
        <v>155</v>
      </c>
      <c r="AR229" s="76" t="s">
        <v>163</v>
      </c>
      <c r="AS229" s="471" t="s">
        <v>156</v>
      </c>
      <c r="AT229" s="77" t="s">
        <v>154</v>
      </c>
      <c r="AU229" s="77" t="s">
        <v>155</v>
      </c>
      <c r="AV229" s="77" t="s">
        <v>163</v>
      </c>
      <c r="AW229" s="479" t="s">
        <v>156</v>
      </c>
    </row>
    <row r="230" spans="1:88" s="23" customFormat="1">
      <c r="A230" s="686" t="s">
        <v>29</v>
      </c>
      <c r="B230" s="788"/>
      <c r="C230" s="132">
        <v>0</v>
      </c>
      <c r="D230" s="132">
        <v>280.75</v>
      </c>
      <c r="E230" s="493">
        <v>0</v>
      </c>
      <c r="F230" s="2434"/>
      <c r="G230" s="209">
        <v>0</v>
      </c>
      <c r="H230" s="209">
        <v>255</v>
      </c>
      <c r="I230" s="496">
        <v>0</v>
      </c>
      <c r="J230" s="2434"/>
      <c r="K230" s="1071">
        <v>0</v>
      </c>
      <c r="L230" s="132">
        <v>167</v>
      </c>
      <c r="M230" s="493">
        <v>0</v>
      </c>
      <c r="N230" s="2437"/>
      <c r="O230" s="209">
        <v>0</v>
      </c>
      <c r="P230" s="209">
        <v>280.5</v>
      </c>
      <c r="Q230" s="496">
        <v>0</v>
      </c>
      <c r="R230" s="2434"/>
      <c r="S230" s="208">
        <v>0</v>
      </c>
      <c r="T230" s="208">
        <v>167.75</v>
      </c>
      <c r="U230" s="493">
        <v>0</v>
      </c>
      <c r="V230" s="2434"/>
      <c r="W230" s="209">
        <v>0</v>
      </c>
      <c r="X230" s="209">
        <v>146.5</v>
      </c>
      <c r="Y230" s="496">
        <v>0</v>
      </c>
      <c r="Z230" s="2434"/>
      <c r="AA230" s="208">
        <v>0</v>
      </c>
      <c r="AB230" s="208">
        <v>239.25</v>
      </c>
      <c r="AC230" s="493">
        <v>0</v>
      </c>
      <c r="AD230" s="2434"/>
      <c r="AE230" s="157">
        <v>0</v>
      </c>
      <c r="AF230" s="209">
        <v>257.89999999999998</v>
      </c>
      <c r="AG230" s="496">
        <v>0</v>
      </c>
      <c r="AH230" s="2434"/>
      <c r="AI230" s="208">
        <v>0</v>
      </c>
      <c r="AJ230" s="208">
        <v>266</v>
      </c>
      <c r="AK230" s="493">
        <v>0</v>
      </c>
      <c r="AL230" s="2434"/>
      <c r="AM230" s="157">
        <v>0</v>
      </c>
      <c r="AN230" s="209">
        <v>212.25</v>
      </c>
      <c r="AO230" s="496">
        <v>0</v>
      </c>
      <c r="AP230" s="2434"/>
      <c r="AQ230" s="208">
        <v>0</v>
      </c>
      <c r="AR230" s="208">
        <v>185.25</v>
      </c>
      <c r="AS230" s="493">
        <v>0</v>
      </c>
      <c r="AT230" s="2434"/>
      <c r="AU230" s="157">
        <v>0</v>
      </c>
      <c r="AV230" s="209">
        <v>227.8</v>
      </c>
      <c r="AW230" s="496">
        <v>0</v>
      </c>
    </row>
    <row r="231" spans="1:88" s="23" customFormat="1">
      <c r="A231" s="686" t="s">
        <v>84</v>
      </c>
      <c r="B231" s="789"/>
      <c r="C231" s="132">
        <v>0</v>
      </c>
      <c r="D231" s="132">
        <v>0</v>
      </c>
      <c r="E231" s="493">
        <v>0</v>
      </c>
      <c r="F231" s="2435"/>
      <c r="G231" s="209">
        <v>0</v>
      </c>
      <c r="H231" s="209">
        <v>6</v>
      </c>
      <c r="I231" s="496">
        <v>0</v>
      </c>
      <c r="J231" s="2435"/>
      <c r="K231" s="1071">
        <v>0</v>
      </c>
      <c r="L231" s="132">
        <v>20</v>
      </c>
      <c r="M231" s="493">
        <v>0</v>
      </c>
      <c r="N231" s="1918"/>
      <c r="O231" s="209">
        <v>0</v>
      </c>
      <c r="P231" s="209">
        <v>24</v>
      </c>
      <c r="Q231" s="496">
        <v>0</v>
      </c>
      <c r="R231" s="2435"/>
      <c r="S231" s="208">
        <v>0</v>
      </c>
      <c r="T231" s="208">
        <v>27.5</v>
      </c>
      <c r="U231" s="493">
        <v>0</v>
      </c>
      <c r="V231" s="2435"/>
      <c r="W231" s="209">
        <v>0</v>
      </c>
      <c r="X231" s="209">
        <v>38.25</v>
      </c>
      <c r="Y231" s="496">
        <v>0</v>
      </c>
      <c r="Z231" s="2435"/>
      <c r="AA231" s="208">
        <v>0</v>
      </c>
      <c r="AB231" s="208">
        <v>29</v>
      </c>
      <c r="AC231" s="493">
        <v>0</v>
      </c>
      <c r="AD231" s="2435"/>
      <c r="AE231" s="157">
        <v>0</v>
      </c>
      <c r="AF231" s="209">
        <v>14.25</v>
      </c>
      <c r="AG231" s="496">
        <v>0</v>
      </c>
      <c r="AH231" s="2435"/>
      <c r="AI231" s="208">
        <v>0</v>
      </c>
      <c r="AJ231" s="208">
        <v>9.25</v>
      </c>
      <c r="AK231" s="493">
        <v>0</v>
      </c>
      <c r="AL231" s="2435"/>
      <c r="AM231" s="157">
        <v>0</v>
      </c>
      <c r="AN231" s="209">
        <v>14</v>
      </c>
      <c r="AO231" s="496">
        <v>0</v>
      </c>
      <c r="AP231" s="2435"/>
      <c r="AQ231" s="208">
        <v>0</v>
      </c>
      <c r="AR231" s="208">
        <v>25.75</v>
      </c>
      <c r="AS231" s="493">
        <v>0</v>
      </c>
      <c r="AT231" s="2435"/>
      <c r="AU231" s="157">
        <v>0</v>
      </c>
      <c r="AV231" s="209">
        <v>4</v>
      </c>
      <c r="AW231" s="481">
        <v>0</v>
      </c>
    </row>
    <row r="232" spans="1:88" s="23" customFormat="1">
      <c r="A232" s="686" t="s">
        <v>28</v>
      </c>
      <c r="B232" s="789"/>
      <c r="C232" s="133">
        <v>12</v>
      </c>
      <c r="D232" s="133">
        <v>64.5</v>
      </c>
      <c r="E232" s="493">
        <v>0</v>
      </c>
      <c r="F232" s="2435"/>
      <c r="G232" s="210">
        <v>12</v>
      </c>
      <c r="H232" s="210">
        <v>84.5</v>
      </c>
      <c r="I232" s="496">
        <v>0</v>
      </c>
      <c r="J232" s="2435"/>
      <c r="K232" s="1071">
        <v>22</v>
      </c>
      <c r="L232" s="132">
        <v>77.75</v>
      </c>
      <c r="M232" s="493">
        <v>0</v>
      </c>
      <c r="N232" s="2438"/>
      <c r="O232" s="210">
        <v>0</v>
      </c>
      <c r="P232" s="210">
        <v>99.5</v>
      </c>
      <c r="Q232" s="496">
        <v>0</v>
      </c>
      <c r="R232" s="2435"/>
      <c r="S232" s="208">
        <v>0</v>
      </c>
      <c r="T232" s="208">
        <v>59.25</v>
      </c>
      <c r="U232" s="493">
        <v>0</v>
      </c>
      <c r="V232" s="2435"/>
      <c r="W232" s="210">
        <v>12</v>
      </c>
      <c r="X232" s="209">
        <v>59</v>
      </c>
      <c r="Y232" s="496">
        <v>0</v>
      </c>
      <c r="Z232" s="2435"/>
      <c r="AA232" s="208">
        <v>0</v>
      </c>
      <c r="AB232" s="208">
        <v>83.5</v>
      </c>
      <c r="AC232" s="493">
        <v>0</v>
      </c>
      <c r="AD232" s="2435"/>
      <c r="AE232" s="209">
        <v>0</v>
      </c>
      <c r="AF232" s="209">
        <v>37.75</v>
      </c>
      <c r="AG232" s="496">
        <v>0</v>
      </c>
      <c r="AH232" s="2435"/>
      <c r="AI232" s="208">
        <v>0</v>
      </c>
      <c r="AJ232" s="208">
        <v>21.5</v>
      </c>
      <c r="AK232" s="493">
        <v>0</v>
      </c>
      <c r="AL232" s="2435"/>
      <c r="AM232" s="157">
        <v>0</v>
      </c>
      <c r="AN232" s="209">
        <v>53.75</v>
      </c>
      <c r="AO232" s="496">
        <v>0</v>
      </c>
      <c r="AP232" s="2435"/>
      <c r="AQ232" s="208">
        <v>0</v>
      </c>
      <c r="AR232" s="208">
        <v>39</v>
      </c>
      <c r="AS232" s="493">
        <v>0</v>
      </c>
      <c r="AT232" s="2435"/>
      <c r="AU232" s="157">
        <v>0</v>
      </c>
      <c r="AV232" s="209">
        <v>19.75</v>
      </c>
      <c r="AW232" s="496">
        <v>0</v>
      </c>
    </row>
    <row r="233" spans="1:88" s="23" customFormat="1">
      <c r="A233" s="686" t="s">
        <v>513</v>
      </c>
      <c r="B233" s="789"/>
      <c r="C233" s="133">
        <v>0</v>
      </c>
      <c r="D233" s="133">
        <v>38.75</v>
      </c>
      <c r="E233" s="493">
        <v>0</v>
      </c>
      <c r="F233" s="2435"/>
      <c r="G233" s="210">
        <v>0</v>
      </c>
      <c r="H233" s="210">
        <v>47.75</v>
      </c>
      <c r="I233" s="496">
        <v>0</v>
      </c>
      <c r="J233" s="2435"/>
      <c r="K233" s="1071">
        <v>0</v>
      </c>
      <c r="L233" s="132">
        <v>67</v>
      </c>
      <c r="M233" s="493">
        <v>0</v>
      </c>
      <c r="N233" s="2438"/>
      <c r="O233" s="210">
        <v>0</v>
      </c>
      <c r="P233" s="210">
        <v>61</v>
      </c>
      <c r="Q233" s="496">
        <v>0</v>
      </c>
      <c r="R233" s="2435"/>
      <c r="S233" s="208">
        <v>0</v>
      </c>
      <c r="T233" s="208">
        <v>55.5</v>
      </c>
      <c r="U233" s="493">
        <v>0</v>
      </c>
      <c r="V233" s="2435"/>
      <c r="W233" s="210">
        <v>0</v>
      </c>
      <c r="X233" s="209">
        <v>14.75</v>
      </c>
      <c r="Y233" s="496">
        <v>0</v>
      </c>
      <c r="Z233" s="2435"/>
      <c r="AA233" s="208">
        <v>0</v>
      </c>
      <c r="AB233" s="208">
        <v>11.75</v>
      </c>
      <c r="AC233" s="493">
        <v>0</v>
      </c>
      <c r="AD233" s="2435"/>
      <c r="AE233" s="209">
        <v>0</v>
      </c>
      <c r="AF233" s="209">
        <v>19</v>
      </c>
      <c r="AG233" s="496">
        <v>0</v>
      </c>
      <c r="AH233" s="2435"/>
      <c r="AI233" s="208">
        <v>0</v>
      </c>
      <c r="AJ233" s="208">
        <v>15.25</v>
      </c>
      <c r="AK233" s="493">
        <v>0</v>
      </c>
      <c r="AL233" s="2435"/>
      <c r="AM233" s="157">
        <v>0</v>
      </c>
      <c r="AN233" s="209">
        <v>47.75</v>
      </c>
      <c r="AO233" s="496">
        <v>0</v>
      </c>
      <c r="AP233" s="2435"/>
      <c r="AQ233" s="208">
        <v>0</v>
      </c>
      <c r="AR233" s="208">
        <v>93</v>
      </c>
      <c r="AS233" s="493">
        <v>0</v>
      </c>
      <c r="AT233" s="2435"/>
      <c r="AU233" s="157">
        <v>0</v>
      </c>
      <c r="AV233" s="209">
        <v>61.75</v>
      </c>
      <c r="AW233" s="496">
        <v>0</v>
      </c>
    </row>
    <row r="234" spans="1:88" s="23" customFormat="1">
      <c r="A234" s="686" t="s">
        <v>30</v>
      </c>
      <c r="B234" s="789"/>
      <c r="C234" s="132">
        <v>14.25</v>
      </c>
      <c r="D234" s="132">
        <v>80.75</v>
      </c>
      <c r="E234" s="493">
        <v>92</v>
      </c>
      <c r="F234" s="2435"/>
      <c r="G234" s="209">
        <v>0</v>
      </c>
      <c r="H234" s="209">
        <v>81.5</v>
      </c>
      <c r="I234" s="496">
        <v>256</v>
      </c>
      <c r="J234" s="2435"/>
      <c r="K234" s="1071">
        <v>0</v>
      </c>
      <c r="L234" s="132">
        <v>137.5</v>
      </c>
      <c r="M234" s="493">
        <v>233</v>
      </c>
      <c r="N234" s="1918"/>
      <c r="O234" s="209">
        <v>0</v>
      </c>
      <c r="P234" s="209">
        <v>165</v>
      </c>
      <c r="Q234" s="496">
        <v>299</v>
      </c>
      <c r="R234" s="2435"/>
      <c r="S234" s="208">
        <v>0</v>
      </c>
      <c r="T234" s="208">
        <v>153.25</v>
      </c>
      <c r="U234" s="493">
        <v>273</v>
      </c>
      <c r="V234" s="2435"/>
      <c r="W234" s="209">
        <v>12</v>
      </c>
      <c r="X234" s="209">
        <v>135.5</v>
      </c>
      <c r="Y234" s="496">
        <v>377</v>
      </c>
      <c r="Z234" s="2435"/>
      <c r="AA234" s="208">
        <v>0</v>
      </c>
      <c r="AB234" s="208">
        <v>197</v>
      </c>
      <c r="AC234" s="493">
        <v>385</v>
      </c>
      <c r="AD234" s="2435"/>
      <c r="AE234" s="157">
        <v>12</v>
      </c>
      <c r="AF234" s="209">
        <v>106.75</v>
      </c>
      <c r="AG234" s="481">
        <v>364</v>
      </c>
      <c r="AH234" s="2435"/>
      <c r="AI234" s="208">
        <v>0</v>
      </c>
      <c r="AJ234" s="208">
        <v>150.5</v>
      </c>
      <c r="AK234" s="493">
        <v>152</v>
      </c>
      <c r="AL234" s="2435"/>
      <c r="AM234" s="157">
        <v>0</v>
      </c>
      <c r="AN234" s="209">
        <v>189.75</v>
      </c>
      <c r="AO234" s="481">
        <v>0</v>
      </c>
      <c r="AP234" s="2435"/>
      <c r="AQ234" s="208">
        <v>0</v>
      </c>
      <c r="AR234" s="208">
        <v>155.75</v>
      </c>
      <c r="AS234" s="493">
        <v>24</v>
      </c>
      <c r="AT234" s="2435"/>
      <c r="AU234" s="157">
        <v>21</v>
      </c>
      <c r="AV234" s="209">
        <v>155</v>
      </c>
      <c r="AW234" s="496">
        <v>36</v>
      </c>
    </row>
    <row r="235" spans="1:88" s="23" customFormat="1">
      <c r="A235" s="1201" t="s">
        <v>557</v>
      </c>
      <c r="B235" s="796"/>
      <c r="C235" s="410"/>
      <c r="D235" s="410"/>
      <c r="E235" s="802"/>
      <c r="F235" s="798"/>
      <c r="G235" s="410"/>
      <c r="H235" s="410"/>
      <c r="I235" s="799"/>
      <c r="J235" s="798"/>
      <c r="K235" s="410"/>
      <c r="L235" s="410"/>
      <c r="M235" s="799"/>
      <c r="N235" s="1072"/>
      <c r="O235" s="410"/>
      <c r="P235" s="410"/>
      <c r="Q235" s="799"/>
      <c r="R235" s="798"/>
      <c r="S235" s="797"/>
      <c r="T235" s="797"/>
      <c r="U235" s="799"/>
      <c r="V235" s="798"/>
      <c r="W235" s="410"/>
      <c r="X235" s="410"/>
      <c r="Y235" s="799"/>
      <c r="Z235" s="798"/>
      <c r="AA235" s="797"/>
      <c r="AB235" s="797"/>
      <c r="AC235" s="799"/>
      <c r="AD235" s="798"/>
      <c r="AE235" s="797"/>
      <c r="AF235" s="410"/>
      <c r="AG235" s="526"/>
      <c r="AH235" s="798"/>
      <c r="AI235" s="797"/>
      <c r="AJ235" s="797"/>
      <c r="AK235" s="799"/>
      <c r="AL235" s="798"/>
      <c r="AM235" s="797"/>
      <c r="AN235" s="410"/>
      <c r="AO235" s="526"/>
      <c r="AP235" s="798"/>
      <c r="AQ235" s="797"/>
      <c r="AR235" s="797"/>
      <c r="AS235" s="799"/>
      <c r="AT235" s="798"/>
      <c r="AU235" s="797"/>
      <c r="AV235" s="410"/>
      <c r="AW235" s="799"/>
    </row>
    <row r="236" spans="1:88" s="23" customFormat="1">
      <c r="A236" s="686" t="s">
        <v>85</v>
      </c>
      <c r="B236" s="789"/>
      <c r="C236" s="132">
        <v>67.5</v>
      </c>
      <c r="D236" s="132">
        <v>9</v>
      </c>
      <c r="E236" s="2433"/>
      <c r="F236" s="2435"/>
      <c r="G236" s="209">
        <v>31</v>
      </c>
      <c r="H236" s="209">
        <v>15</v>
      </c>
      <c r="I236" s="1875"/>
      <c r="J236" s="2435"/>
      <c r="K236" s="1071">
        <v>0</v>
      </c>
      <c r="L236" s="132">
        <v>7.5</v>
      </c>
      <c r="M236" s="1875"/>
      <c r="N236" s="1918"/>
      <c r="O236" s="209">
        <v>0</v>
      </c>
      <c r="P236" s="209">
        <v>20</v>
      </c>
      <c r="Q236" s="1875"/>
      <c r="R236" s="2435"/>
      <c r="S236" s="208">
        <v>0</v>
      </c>
      <c r="T236" s="208">
        <v>14</v>
      </c>
      <c r="U236" s="1875"/>
      <c r="V236" s="2435"/>
      <c r="W236" s="209">
        <v>0</v>
      </c>
      <c r="X236" s="209">
        <v>28.75</v>
      </c>
      <c r="Y236" s="1875"/>
      <c r="Z236" s="2435"/>
      <c r="AA236" s="208">
        <v>0</v>
      </c>
      <c r="AB236" s="208">
        <v>50</v>
      </c>
      <c r="AC236" s="1875"/>
      <c r="AD236" s="2435"/>
      <c r="AE236" s="209">
        <v>0</v>
      </c>
      <c r="AF236" s="209">
        <v>23.5</v>
      </c>
      <c r="AG236" s="1875"/>
      <c r="AH236" s="2435"/>
      <c r="AI236" s="208">
        <v>0</v>
      </c>
      <c r="AJ236" s="208">
        <v>10</v>
      </c>
      <c r="AK236" s="1875"/>
      <c r="AL236" s="2435"/>
      <c r="AM236" s="209">
        <v>0</v>
      </c>
      <c r="AN236" s="209">
        <v>4</v>
      </c>
      <c r="AO236" s="1875"/>
      <c r="AP236" s="2435"/>
      <c r="AQ236" s="208">
        <v>0</v>
      </c>
      <c r="AR236" s="208">
        <v>24.75</v>
      </c>
      <c r="AS236" s="1875"/>
      <c r="AT236" s="2435"/>
      <c r="AU236" s="157">
        <v>0</v>
      </c>
      <c r="AV236" s="209">
        <v>40.75</v>
      </c>
      <c r="AW236" s="626"/>
    </row>
    <row r="237" spans="1:88" s="23" customFormat="1">
      <c r="A237" s="686" t="s">
        <v>31</v>
      </c>
      <c r="B237" s="789"/>
      <c r="C237" s="132">
        <v>0</v>
      </c>
      <c r="D237" s="132">
        <v>37.25</v>
      </c>
      <c r="E237" s="493">
        <v>0</v>
      </c>
      <c r="F237" s="2435"/>
      <c r="G237" s="209">
        <v>0</v>
      </c>
      <c r="H237" s="209">
        <v>80</v>
      </c>
      <c r="I237" s="496">
        <v>0</v>
      </c>
      <c r="J237" s="2435"/>
      <c r="K237" s="1071">
        <v>0</v>
      </c>
      <c r="L237" s="132">
        <v>40.25</v>
      </c>
      <c r="M237" s="493">
        <v>0</v>
      </c>
      <c r="N237" s="1918"/>
      <c r="O237" s="209">
        <v>0</v>
      </c>
      <c r="P237" s="209">
        <v>55.5</v>
      </c>
      <c r="Q237" s="496">
        <v>0</v>
      </c>
      <c r="R237" s="2435"/>
      <c r="S237" s="208">
        <v>0</v>
      </c>
      <c r="T237" s="208">
        <v>76.75</v>
      </c>
      <c r="U237" s="493">
        <v>0</v>
      </c>
      <c r="V237" s="2435"/>
      <c r="W237" s="209">
        <v>0</v>
      </c>
      <c r="X237" s="209">
        <v>9.75</v>
      </c>
      <c r="Y237" s="496">
        <v>0</v>
      </c>
      <c r="Z237" s="2435"/>
      <c r="AA237" s="208">
        <v>0</v>
      </c>
      <c r="AB237" s="208">
        <v>0</v>
      </c>
      <c r="AC237" s="493">
        <v>0</v>
      </c>
      <c r="AD237" s="2435"/>
      <c r="AE237" s="157">
        <v>0</v>
      </c>
      <c r="AF237" s="209">
        <v>104.75</v>
      </c>
      <c r="AG237" s="481">
        <v>0</v>
      </c>
      <c r="AH237" s="2435"/>
      <c r="AI237" s="208">
        <v>0</v>
      </c>
      <c r="AJ237" s="208">
        <v>95</v>
      </c>
      <c r="AK237" s="493">
        <v>0</v>
      </c>
      <c r="AL237" s="2435"/>
      <c r="AM237" s="157">
        <v>0</v>
      </c>
      <c r="AN237" s="209">
        <v>68</v>
      </c>
      <c r="AO237" s="481">
        <v>0</v>
      </c>
      <c r="AP237" s="2435"/>
      <c r="AQ237" s="208">
        <v>0</v>
      </c>
      <c r="AR237" s="208">
        <v>100.25</v>
      </c>
      <c r="AS237" s="493">
        <v>0</v>
      </c>
      <c r="AT237" s="2435"/>
      <c r="AU237" s="157">
        <v>0</v>
      </c>
      <c r="AV237" s="209">
        <v>120.5</v>
      </c>
      <c r="AW237" s="496">
        <v>0</v>
      </c>
    </row>
    <row r="238" spans="1:88" s="23" customFormat="1">
      <c r="A238" s="686" t="s">
        <v>251</v>
      </c>
      <c r="B238" s="789"/>
      <c r="C238" s="778"/>
      <c r="D238" s="778"/>
      <c r="E238" s="1875"/>
      <c r="F238" s="2435"/>
      <c r="G238" s="778"/>
      <c r="H238" s="778"/>
      <c r="I238" s="1875"/>
      <c r="J238" s="798"/>
      <c r="K238" s="410"/>
      <c r="L238" s="410"/>
      <c r="M238" s="799"/>
      <c r="N238" s="1918"/>
      <c r="O238" s="209">
        <v>0</v>
      </c>
      <c r="P238" s="209">
        <v>7</v>
      </c>
      <c r="Q238" s="496">
        <v>0</v>
      </c>
      <c r="R238" s="2435"/>
      <c r="S238" s="208">
        <v>0</v>
      </c>
      <c r="T238" s="208">
        <v>22.75</v>
      </c>
      <c r="U238" s="493">
        <v>0</v>
      </c>
      <c r="V238" s="2435"/>
      <c r="W238" s="209">
        <v>0</v>
      </c>
      <c r="X238" s="209">
        <v>103.25</v>
      </c>
      <c r="Y238" s="496">
        <v>0</v>
      </c>
      <c r="Z238" s="2435"/>
      <c r="AA238" s="208">
        <v>0</v>
      </c>
      <c r="AB238" s="208">
        <v>204.25</v>
      </c>
      <c r="AC238" s="493">
        <v>0</v>
      </c>
      <c r="AD238" s="2435"/>
      <c r="AE238" s="157">
        <v>0</v>
      </c>
      <c r="AF238" s="209">
        <v>0.5</v>
      </c>
      <c r="AG238" s="496">
        <v>0</v>
      </c>
      <c r="AH238" s="2435"/>
      <c r="AI238" s="208">
        <v>0</v>
      </c>
      <c r="AJ238" s="208">
        <v>10.25</v>
      </c>
      <c r="AK238" s="493">
        <v>0</v>
      </c>
      <c r="AL238" s="2435"/>
      <c r="AM238" s="157">
        <v>0</v>
      </c>
      <c r="AN238" s="209">
        <v>9.5</v>
      </c>
      <c r="AO238" s="496">
        <v>0</v>
      </c>
      <c r="AP238" s="2435"/>
      <c r="AQ238" s="208">
        <v>0</v>
      </c>
      <c r="AR238" s="208">
        <v>6</v>
      </c>
      <c r="AS238" s="493">
        <v>0</v>
      </c>
      <c r="AT238" s="2435"/>
      <c r="AU238" s="157">
        <v>0</v>
      </c>
      <c r="AV238" s="157">
        <v>17.75</v>
      </c>
      <c r="AW238" s="496">
        <v>0</v>
      </c>
    </row>
    <row r="239" spans="1:88" s="23" customFormat="1">
      <c r="A239" s="686" t="s">
        <v>378</v>
      </c>
      <c r="B239" s="789"/>
      <c r="C239" s="208">
        <v>0</v>
      </c>
      <c r="D239" s="208">
        <v>70.25</v>
      </c>
      <c r="E239" s="493">
        <v>0</v>
      </c>
      <c r="F239" s="2435"/>
      <c r="G239" s="157">
        <v>0</v>
      </c>
      <c r="H239" s="157">
        <v>20</v>
      </c>
      <c r="I239" s="496">
        <v>0</v>
      </c>
      <c r="J239" s="2435"/>
      <c r="K239" s="1071">
        <v>0</v>
      </c>
      <c r="L239" s="132">
        <v>11</v>
      </c>
      <c r="M239" s="493">
        <v>0</v>
      </c>
      <c r="N239" s="1918"/>
      <c r="O239" s="209">
        <v>0</v>
      </c>
      <c r="P239" s="209">
        <v>70</v>
      </c>
      <c r="Q239" s="496">
        <v>0</v>
      </c>
      <c r="R239" s="2435"/>
      <c r="S239" s="208">
        <v>0</v>
      </c>
      <c r="T239" s="208">
        <v>10</v>
      </c>
      <c r="U239" s="493">
        <v>0</v>
      </c>
      <c r="V239" s="2435"/>
      <c r="W239" s="209">
        <v>0</v>
      </c>
      <c r="X239" s="209">
        <v>20</v>
      </c>
      <c r="Y239" s="496">
        <v>0</v>
      </c>
      <c r="Z239" s="2435"/>
      <c r="AA239" s="208">
        <v>0</v>
      </c>
      <c r="AB239" s="208">
        <v>3.75</v>
      </c>
      <c r="AC239" s="493">
        <v>0</v>
      </c>
      <c r="AD239" s="2435"/>
      <c r="AE239" s="157">
        <v>0</v>
      </c>
      <c r="AF239" s="209">
        <v>7</v>
      </c>
      <c r="AG239" s="496">
        <v>0</v>
      </c>
      <c r="AH239" s="2435"/>
      <c r="AI239" s="208">
        <v>0</v>
      </c>
      <c r="AJ239" s="208">
        <v>1</v>
      </c>
      <c r="AK239" s="493">
        <v>0</v>
      </c>
      <c r="AL239" s="2435"/>
      <c r="AM239" s="157">
        <v>0</v>
      </c>
      <c r="AN239" s="209">
        <v>4.75</v>
      </c>
      <c r="AO239" s="496">
        <v>0</v>
      </c>
      <c r="AP239" s="2435"/>
      <c r="AQ239" s="208">
        <v>0</v>
      </c>
      <c r="AR239" s="208">
        <v>6.25</v>
      </c>
      <c r="AS239" s="493">
        <v>0</v>
      </c>
      <c r="AT239" s="2435"/>
      <c r="AU239" s="157">
        <v>0</v>
      </c>
      <c r="AV239" s="157">
        <v>44.25</v>
      </c>
      <c r="AW239" s="496">
        <v>0</v>
      </c>
    </row>
    <row r="240" spans="1:88" s="23" customFormat="1">
      <c r="A240" s="1201" t="s">
        <v>729</v>
      </c>
      <c r="B240" s="796"/>
      <c r="C240" s="797"/>
      <c r="D240" s="797"/>
      <c r="E240" s="799"/>
      <c r="F240" s="798"/>
      <c r="G240" s="797"/>
      <c r="H240" s="797"/>
      <c r="I240" s="799"/>
      <c r="J240" s="798"/>
      <c r="K240" s="410"/>
      <c r="L240" s="410"/>
      <c r="M240" s="799"/>
      <c r="N240" s="1072"/>
      <c r="O240" s="410"/>
      <c r="P240" s="410"/>
      <c r="Q240" s="799"/>
      <c r="R240" s="798"/>
      <c r="S240" s="797"/>
      <c r="T240" s="797"/>
      <c r="U240" s="799"/>
      <c r="V240" s="798"/>
      <c r="W240" s="410"/>
      <c r="X240" s="410"/>
      <c r="Y240" s="799"/>
      <c r="Z240" s="798"/>
      <c r="AA240" s="797"/>
      <c r="AB240" s="797"/>
      <c r="AC240" s="799"/>
      <c r="AD240" s="798"/>
      <c r="AE240" s="797"/>
      <c r="AF240" s="410"/>
      <c r="AG240" s="799"/>
      <c r="AH240" s="798"/>
      <c r="AI240" s="797"/>
      <c r="AJ240" s="797"/>
      <c r="AK240" s="799"/>
      <c r="AL240" s="798"/>
      <c r="AM240" s="797"/>
      <c r="AN240" s="410"/>
      <c r="AO240" s="799"/>
      <c r="AP240" s="798"/>
      <c r="AQ240" s="797"/>
      <c r="AR240" s="797"/>
      <c r="AS240" s="799"/>
      <c r="AT240" s="798"/>
      <c r="AU240" s="797"/>
      <c r="AV240" s="797"/>
      <c r="AW240" s="799"/>
    </row>
    <row r="241" spans="1:89" s="23" customFormat="1">
      <c r="A241" s="686" t="s">
        <v>376</v>
      </c>
      <c r="B241" s="789"/>
      <c r="C241" s="208">
        <v>0</v>
      </c>
      <c r="D241" s="208">
        <v>116</v>
      </c>
      <c r="E241" s="493">
        <v>0</v>
      </c>
      <c r="F241" s="2435"/>
      <c r="G241" s="157">
        <v>0</v>
      </c>
      <c r="H241" s="157">
        <v>138</v>
      </c>
      <c r="I241" s="496">
        <v>0</v>
      </c>
      <c r="J241" s="2435"/>
      <c r="K241" s="1071">
        <v>600</v>
      </c>
      <c r="L241" s="132">
        <v>61</v>
      </c>
      <c r="M241" s="493">
        <v>0</v>
      </c>
      <c r="N241" s="1918"/>
      <c r="O241" s="209">
        <v>0</v>
      </c>
      <c r="P241" s="209">
        <v>120.5</v>
      </c>
      <c r="Q241" s="496">
        <v>0</v>
      </c>
      <c r="R241" s="2435"/>
      <c r="S241" s="208">
        <v>0</v>
      </c>
      <c r="T241" s="208">
        <v>129</v>
      </c>
      <c r="U241" s="493">
        <v>0</v>
      </c>
      <c r="V241" s="2435"/>
      <c r="W241" s="209">
        <v>0</v>
      </c>
      <c r="X241" s="209">
        <v>157.75</v>
      </c>
      <c r="Y241" s="496">
        <v>0</v>
      </c>
      <c r="Z241" s="2435"/>
      <c r="AA241" s="208">
        <v>0</v>
      </c>
      <c r="AB241" s="208">
        <v>188.75</v>
      </c>
      <c r="AC241" s="493">
        <v>0</v>
      </c>
      <c r="AD241" s="2435"/>
      <c r="AE241" s="157">
        <v>0</v>
      </c>
      <c r="AF241" s="209">
        <v>106.5</v>
      </c>
      <c r="AG241" s="496">
        <v>0</v>
      </c>
      <c r="AH241" s="2435"/>
      <c r="AI241" s="208">
        <v>0</v>
      </c>
      <c r="AJ241" s="208">
        <v>184.75</v>
      </c>
      <c r="AK241" s="493">
        <v>0</v>
      </c>
      <c r="AL241" s="2435"/>
      <c r="AM241" s="157">
        <v>0</v>
      </c>
      <c r="AN241" s="209">
        <v>85.75</v>
      </c>
      <c r="AO241" s="496">
        <v>0</v>
      </c>
      <c r="AP241" s="2435"/>
      <c r="AQ241" s="208">
        <v>0</v>
      </c>
      <c r="AR241" s="208">
        <v>93.25</v>
      </c>
      <c r="AS241" s="493">
        <v>0</v>
      </c>
      <c r="AT241" s="2435"/>
      <c r="AU241" s="157">
        <v>0</v>
      </c>
      <c r="AV241" s="157">
        <v>112</v>
      </c>
      <c r="AW241" s="496">
        <v>0</v>
      </c>
    </row>
    <row r="242" spans="1:89" s="23" customFormat="1">
      <c r="A242" s="686" t="s">
        <v>612</v>
      </c>
      <c r="B242" s="789"/>
      <c r="C242" s="208">
        <v>0</v>
      </c>
      <c r="D242" s="208">
        <v>0</v>
      </c>
      <c r="E242" s="493">
        <v>0</v>
      </c>
      <c r="F242" s="2435"/>
      <c r="G242" s="157">
        <v>0</v>
      </c>
      <c r="H242" s="157">
        <v>8</v>
      </c>
      <c r="I242" s="496">
        <v>0</v>
      </c>
      <c r="J242" s="2435"/>
      <c r="K242" s="132">
        <v>0</v>
      </c>
      <c r="L242" s="132">
        <v>22.25</v>
      </c>
      <c r="M242" s="493">
        <v>0</v>
      </c>
      <c r="N242" s="1072"/>
      <c r="O242" s="410"/>
      <c r="P242" s="410"/>
      <c r="Q242" s="799"/>
      <c r="R242" s="798"/>
      <c r="S242" s="797"/>
      <c r="T242" s="797"/>
      <c r="U242" s="799"/>
      <c r="V242" s="798"/>
      <c r="W242" s="410"/>
      <c r="X242" s="410"/>
      <c r="Y242" s="799"/>
      <c r="Z242" s="798"/>
      <c r="AA242" s="797"/>
      <c r="AB242" s="797"/>
      <c r="AC242" s="799"/>
      <c r="AD242" s="798"/>
      <c r="AE242" s="797"/>
      <c r="AF242" s="410"/>
      <c r="AG242" s="799"/>
      <c r="AH242" s="798"/>
      <c r="AI242" s="797"/>
      <c r="AJ242" s="797"/>
      <c r="AK242" s="799"/>
      <c r="AL242" s="798"/>
      <c r="AM242" s="797"/>
      <c r="AN242" s="410"/>
      <c r="AO242" s="799"/>
      <c r="AP242" s="798"/>
      <c r="AQ242" s="797"/>
      <c r="AR242" s="797"/>
      <c r="AS242" s="799"/>
      <c r="AT242" s="798"/>
      <c r="AU242" s="797"/>
      <c r="AV242" s="797"/>
      <c r="AW242" s="799"/>
    </row>
    <row r="243" spans="1:89" s="23" customFormat="1">
      <c r="A243" s="686" t="s">
        <v>432</v>
      </c>
      <c r="B243" s="789"/>
      <c r="C243" s="208">
        <v>0</v>
      </c>
      <c r="D243" s="208">
        <v>28</v>
      </c>
      <c r="E243" s="493">
        <v>0</v>
      </c>
      <c r="F243" s="2435"/>
      <c r="G243" s="157">
        <v>0</v>
      </c>
      <c r="H243" s="157">
        <v>58</v>
      </c>
      <c r="I243" s="496">
        <v>0</v>
      </c>
      <c r="J243" s="2435"/>
      <c r="K243" s="1071">
        <v>400</v>
      </c>
      <c r="L243" s="132">
        <v>2.75</v>
      </c>
      <c r="M243" s="493">
        <v>0</v>
      </c>
      <c r="N243" s="1918"/>
      <c r="O243" s="209">
        <v>0</v>
      </c>
      <c r="P243" s="209">
        <v>30.75</v>
      </c>
      <c r="Q243" s="496">
        <v>0</v>
      </c>
      <c r="R243" s="2435"/>
      <c r="S243" s="208">
        <v>0</v>
      </c>
      <c r="T243" s="208">
        <v>35.5</v>
      </c>
      <c r="U243" s="493">
        <v>0</v>
      </c>
      <c r="V243" s="2435"/>
      <c r="W243" s="209">
        <v>0</v>
      </c>
      <c r="X243" s="209">
        <v>29.25</v>
      </c>
      <c r="Y243" s="496">
        <v>0</v>
      </c>
      <c r="Z243" s="2435"/>
      <c r="AA243" s="208">
        <v>0</v>
      </c>
      <c r="AB243" s="208">
        <v>58.5</v>
      </c>
      <c r="AC243" s="493">
        <v>0</v>
      </c>
      <c r="AD243" s="2435"/>
      <c r="AE243" s="157">
        <v>0</v>
      </c>
      <c r="AF243" s="209">
        <v>54.25</v>
      </c>
      <c r="AG243" s="496">
        <v>0</v>
      </c>
      <c r="AH243" s="2435"/>
      <c r="AI243" s="208">
        <v>0</v>
      </c>
      <c r="AJ243" s="208">
        <v>44.75</v>
      </c>
      <c r="AK243" s="493">
        <v>0</v>
      </c>
      <c r="AL243" s="2435"/>
      <c r="AM243" s="157">
        <v>0</v>
      </c>
      <c r="AN243" s="209">
        <v>23.5</v>
      </c>
      <c r="AO243" s="496">
        <v>0</v>
      </c>
      <c r="AP243" s="2435"/>
      <c r="AQ243" s="208">
        <v>0</v>
      </c>
      <c r="AR243" s="208">
        <v>37</v>
      </c>
      <c r="AS243" s="493">
        <v>0</v>
      </c>
      <c r="AT243" s="2435"/>
      <c r="AU243" s="157">
        <v>0</v>
      </c>
      <c r="AV243" s="157">
        <v>51.5</v>
      </c>
      <c r="AW243" s="496">
        <v>0</v>
      </c>
    </row>
    <row r="244" spans="1:89" s="23" customFormat="1">
      <c r="A244" s="686" t="s">
        <v>434</v>
      </c>
      <c r="B244" s="796"/>
      <c r="C244" s="800"/>
      <c r="D244" s="800"/>
      <c r="E244" s="802"/>
      <c r="F244" s="798"/>
      <c r="G244" s="800"/>
      <c r="H244" s="800"/>
      <c r="I244" s="802"/>
      <c r="J244" s="798"/>
      <c r="K244" s="801"/>
      <c r="L244" s="801"/>
      <c r="M244" s="802"/>
      <c r="N244" s="1072"/>
      <c r="O244" s="801"/>
      <c r="P244" s="801"/>
      <c r="Q244" s="802"/>
      <c r="R244" s="798"/>
      <c r="S244" s="800"/>
      <c r="T244" s="800"/>
      <c r="U244" s="802"/>
      <c r="V244" s="798"/>
      <c r="W244" s="801"/>
      <c r="X244" s="801"/>
      <c r="Y244" s="802"/>
      <c r="Z244" s="798"/>
      <c r="AA244" s="800"/>
      <c r="AB244" s="800"/>
      <c r="AC244" s="802"/>
      <c r="AD244" s="798"/>
      <c r="AE244" s="800"/>
      <c r="AF244" s="801"/>
      <c r="AG244" s="802"/>
      <c r="AH244" s="798"/>
      <c r="AI244" s="800"/>
      <c r="AJ244" s="800"/>
      <c r="AK244" s="802"/>
      <c r="AL244" s="798"/>
      <c r="AM244" s="800"/>
      <c r="AN244" s="801"/>
      <c r="AO244" s="802"/>
      <c r="AP244" s="798"/>
      <c r="AQ244" s="800"/>
      <c r="AR244" s="800"/>
      <c r="AS244" s="802"/>
      <c r="AT244" s="798"/>
      <c r="AU244" s="800"/>
      <c r="AV244" s="800"/>
      <c r="AW244" s="802"/>
    </row>
    <row r="245" spans="1:89" s="23" customFormat="1">
      <c r="A245" s="686" t="s">
        <v>433</v>
      </c>
      <c r="B245" s="482"/>
      <c r="C245" s="411"/>
      <c r="D245" s="411"/>
      <c r="E245" s="450"/>
      <c r="F245" s="411"/>
      <c r="G245" s="411"/>
      <c r="H245" s="411"/>
      <c r="I245" s="450"/>
      <c r="J245" s="411"/>
      <c r="K245" s="412"/>
      <c r="L245" s="412"/>
      <c r="M245" s="450"/>
      <c r="N245" s="412"/>
      <c r="O245" s="412"/>
      <c r="P245" s="412"/>
      <c r="Q245" s="450"/>
      <c r="R245" s="411"/>
      <c r="S245" s="411"/>
      <c r="T245" s="411"/>
      <c r="U245" s="450"/>
      <c r="V245" s="411"/>
      <c r="W245" s="412"/>
      <c r="X245" s="412"/>
      <c r="Y245" s="450"/>
      <c r="Z245" s="411"/>
      <c r="AA245" s="411"/>
      <c r="AB245" s="411"/>
      <c r="AC245" s="450"/>
      <c r="AD245" s="411"/>
      <c r="AE245" s="411"/>
      <c r="AF245" s="412"/>
      <c r="AG245" s="450"/>
      <c r="AH245" s="411"/>
      <c r="AI245" s="411"/>
      <c r="AJ245" s="411"/>
      <c r="AK245" s="450"/>
      <c r="AL245" s="411"/>
      <c r="AM245" s="411"/>
      <c r="AN245" s="412"/>
      <c r="AO245" s="450"/>
      <c r="AP245" s="411"/>
      <c r="AQ245" s="411"/>
      <c r="AR245" s="411"/>
      <c r="AS245" s="450"/>
      <c r="AT245" s="411"/>
      <c r="AU245" s="411"/>
      <c r="AV245" s="411"/>
      <c r="AW245" s="450"/>
    </row>
    <row r="246" spans="1:89" s="23" customFormat="1" ht="15.75" thickBot="1">
      <c r="A246" s="688" t="s">
        <v>58</v>
      </c>
      <c r="B246" s="482"/>
      <c r="C246" s="412"/>
      <c r="D246" s="412"/>
      <c r="E246" s="483"/>
      <c r="F246" s="411"/>
      <c r="G246" s="412"/>
      <c r="H246" s="412"/>
      <c r="I246" s="483"/>
      <c r="J246" s="411"/>
      <c r="K246" s="412"/>
      <c r="L246" s="412"/>
      <c r="M246" s="483"/>
      <c r="N246" s="412"/>
      <c r="O246" s="412"/>
      <c r="P246" s="412"/>
      <c r="Q246" s="483"/>
      <c r="R246" s="411"/>
      <c r="S246" s="412"/>
      <c r="T246" s="412"/>
      <c r="U246" s="483"/>
      <c r="V246" s="411"/>
      <c r="W246" s="412"/>
      <c r="X246" s="412"/>
      <c r="Y246" s="483"/>
      <c r="Z246" s="411"/>
      <c r="AA246" s="412"/>
      <c r="AB246" s="412"/>
      <c r="AC246" s="483"/>
      <c r="AD246" s="411"/>
      <c r="AE246" s="412"/>
      <c r="AF246" s="412"/>
      <c r="AG246" s="483"/>
      <c r="AH246" s="411"/>
      <c r="AI246" s="412"/>
      <c r="AJ246" s="412"/>
      <c r="AK246" s="483"/>
      <c r="AL246" s="411"/>
      <c r="AM246" s="412"/>
      <c r="AN246" s="412"/>
      <c r="AO246" s="483"/>
      <c r="AP246" s="797"/>
      <c r="AQ246" s="410"/>
      <c r="AR246" s="410"/>
      <c r="AS246" s="526"/>
      <c r="AT246" s="2439"/>
      <c r="AU246" s="527"/>
      <c r="AV246" s="527"/>
      <c r="AW246" s="528"/>
    </row>
    <row r="247" spans="1:89" s="23" customFormat="1" ht="15.75" thickBot="1">
      <c r="A247" s="585" t="s">
        <v>32</v>
      </c>
      <c r="B247" s="487">
        <f t="shared" ref="B247:L247" si="16">SUM(B230:B246)</f>
        <v>0</v>
      </c>
      <c r="C247" s="488">
        <f t="shared" si="16"/>
        <v>93.75</v>
      </c>
      <c r="D247" s="488">
        <f t="shared" si="16"/>
        <v>725.25</v>
      </c>
      <c r="E247" s="489">
        <f t="shared" si="16"/>
        <v>92</v>
      </c>
      <c r="F247" s="2436">
        <f t="shared" si="16"/>
        <v>0</v>
      </c>
      <c r="G247" s="485">
        <f t="shared" si="16"/>
        <v>43</v>
      </c>
      <c r="H247" s="485">
        <f t="shared" si="16"/>
        <v>793.75</v>
      </c>
      <c r="I247" s="486">
        <f>SUM(I230:I246)</f>
        <v>256</v>
      </c>
      <c r="J247" s="487">
        <f t="shared" si="16"/>
        <v>0</v>
      </c>
      <c r="K247" s="488">
        <f>SUM(K230:K246)</f>
        <v>1022</v>
      </c>
      <c r="L247" s="488">
        <f t="shared" si="16"/>
        <v>614</v>
      </c>
      <c r="M247" s="495">
        <f>SUM(M230:M246)</f>
        <v>233</v>
      </c>
      <c r="N247" s="484">
        <f>SUM(N230:N246)</f>
        <v>0</v>
      </c>
      <c r="O247" s="485">
        <f t="shared" ref="O247:X247" si="17">SUM(O230:O246)</f>
        <v>0</v>
      </c>
      <c r="P247" s="485">
        <f>SUM(P230:P246)</f>
        <v>933.75</v>
      </c>
      <c r="Q247" s="486">
        <f t="shared" si="17"/>
        <v>299</v>
      </c>
      <c r="R247" s="487">
        <f t="shared" si="17"/>
        <v>0</v>
      </c>
      <c r="S247" s="488">
        <f t="shared" si="17"/>
        <v>0</v>
      </c>
      <c r="T247" s="488">
        <f t="shared" si="17"/>
        <v>751.25</v>
      </c>
      <c r="U247" s="489">
        <f t="shared" si="17"/>
        <v>273</v>
      </c>
      <c r="V247" s="484">
        <f t="shared" si="17"/>
        <v>0</v>
      </c>
      <c r="W247" s="485">
        <f t="shared" si="17"/>
        <v>24</v>
      </c>
      <c r="X247" s="485">
        <f t="shared" si="17"/>
        <v>742.75</v>
      </c>
      <c r="Y247" s="486">
        <f>SUM(Y230:Y246)</f>
        <v>377</v>
      </c>
      <c r="Z247" s="487">
        <f t="shared" ref="Z247:AE247" si="18">SUM(Z230:Z246)</f>
        <v>0</v>
      </c>
      <c r="AA247" s="488">
        <f t="shared" si="18"/>
        <v>0</v>
      </c>
      <c r="AB247" s="488">
        <f t="shared" si="18"/>
        <v>1065.75</v>
      </c>
      <c r="AC247" s="489">
        <f t="shared" si="18"/>
        <v>385</v>
      </c>
      <c r="AD247" s="484">
        <f t="shared" si="18"/>
        <v>0</v>
      </c>
      <c r="AE247" s="485">
        <f t="shared" si="18"/>
        <v>12</v>
      </c>
      <c r="AF247" s="485">
        <f>SUM(AF230:AF246)</f>
        <v>732.15</v>
      </c>
      <c r="AG247" s="486">
        <f t="shared" ref="AG247:AW247" si="19">SUM(AG230:AG246)</f>
        <v>364</v>
      </c>
      <c r="AH247" s="487">
        <f t="shared" si="19"/>
        <v>0</v>
      </c>
      <c r="AI247" s="488">
        <f t="shared" si="19"/>
        <v>0</v>
      </c>
      <c r="AJ247" s="488">
        <f t="shared" si="19"/>
        <v>808.25</v>
      </c>
      <c r="AK247" s="489">
        <f t="shared" si="19"/>
        <v>152</v>
      </c>
      <c r="AL247" s="484">
        <f t="shared" si="19"/>
        <v>0</v>
      </c>
      <c r="AM247" s="485">
        <f t="shared" si="19"/>
        <v>0</v>
      </c>
      <c r="AN247" s="485">
        <f t="shared" si="19"/>
        <v>713</v>
      </c>
      <c r="AO247" s="486">
        <f t="shared" si="19"/>
        <v>0</v>
      </c>
      <c r="AP247" s="487">
        <f t="shared" si="19"/>
        <v>0</v>
      </c>
      <c r="AQ247" s="488">
        <f t="shared" si="19"/>
        <v>0</v>
      </c>
      <c r="AR247" s="488">
        <f t="shared" si="19"/>
        <v>766.25</v>
      </c>
      <c r="AS247" s="489">
        <f t="shared" si="19"/>
        <v>24</v>
      </c>
      <c r="AT247" s="592">
        <f t="shared" si="19"/>
        <v>0</v>
      </c>
      <c r="AU247" s="498">
        <f t="shared" si="19"/>
        <v>21</v>
      </c>
      <c r="AV247" s="498">
        <f t="shared" si="19"/>
        <v>855.05</v>
      </c>
      <c r="AW247" s="499">
        <f t="shared" si="19"/>
        <v>36</v>
      </c>
    </row>
    <row r="248" spans="1:89" s="2" customFormat="1">
      <c r="A248" s="15"/>
      <c r="B248" s="70"/>
      <c r="C248" s="71"/>
      <c r="D248" s="71"/>
      <c r="E248" s="71"/>
      <c r="F248" s="71"/>
      <c r="G248" s="70"/>
      <c r="H248" s="71"/>
      <c r="I248" s="71"/>
      <c r="J248" s="71"/>
      <c r="K248" s="71"/>
      <c r="L248" s="70"/>
      <c r="M248" s="71"/>
      <c r="N248" s="71"/>
      <c r="O248" s="71"/>
      <c r="P248" s="71"/>
      <c r="Q248" s="71"/>
      <c r="R248" s="71"/>
      <c r="S248" s="71"/>
      <c r="T248" s="70"/>
      <c r="U248" s="71"/>
      <c r="V248" s="71"/>
      <c r="W248" s="71"/>
      <c r="X248" s="71"/>
      <c r="Y248" s="70"/>
      <c r="Z248" s="71"/>
      <c r="AA248" s="71"/>
      <c r="AB248" s="71"/>
      <c r="AC248" s="71"/>
      <c r="AD248" s="70"/>
      <c r="AE248" s="71"/>
      <c r="AF248" s="71"/>
      <c r="AG248" s="71"/>
      <c r="AH248" s="71"/>
      <c r="AI248" s="70"/>
      <c r="AJ248" s="71"/>
      <c r="AK248" s="71"/>
      <c r="AL248" s="71"/>
      <c r="AM248" s="71"/>
      <c r="AN248" s="70"/>
      <c r="AO248" s="71"/>
      <c r="AP248" s="71"/>
      <c r="AQ248" s="71"/>
      <c r="AR248" s="71"/>
      <c r="AS248" s="70"/>
      <c r="AT248" s="71"/>
      <c r="AU248" s="71"/>
      <c r="AV248" s="71"/>
      <c r="AW248" s="71"/>
      <c r="AX248" s="70"/>
      <c r="AY248" s="71"/>
      <c r="AZ248" s="71"/>
      <c r="BA248" s="71"/>
      <c r="BB248" s="71"/>
      <c r="BC248" s="70"/>
      <c r="BD248" s="71"/>
      <c r="BE248" s="71"/>
      <c r="BF248" s="71"/>
      <c r="BG248" s="71"/>
    </row>
    <row r="249" spans="1:89" s="5" customFormat="1" ht="15.75" thickBot="1">
      <c r="B249" s="79"/>
      <c r="T249" s="125"/>
    </row>
    <row r="250" spans="1:89" s="80" customFormat="1" ht="15.75">
      <c r="A250" s="2900" t="s">
        <v>555</v>
      </c>
      <c r="B250" s="2912" t="s">
        <v>10</v>
      </c>
      <c r="C250" s="2906"/>
      <c r="D250" s="2906"/>
      <c r="E250" s="2907"/>
      <c r="F250" s="2913" t="s">
        <v>11</v>
      </c>
      <c r="G250" s="2906"/>
      <c r="H250" s="2906"/>
      <c r="I250" s="2906"/>
      <c r="J250" s="2912" t="s">
        <v>12</v>
      </c>
      <c r="K250" s="2906"/>
      <c r="L250" s="2906"/>
      <c r="M250" s="2907"/>
      <c r="N250" s="2913" t="s">
        <v>273</v>
      </c>
      <c r="O250" s="2914"/>
      <c r="P250" s="2914"/>
      <c r="Q250" s="2914"/>
      <c r="R250" s="2912" t="s">
        <v>14</v>
      </c>
      <c r="S250" s="2906"/>
      <c r="T250" s="2906"/>
      <c r="U250" s="2907"/>
      <c r="V250" s="2913" t="s">
        <v>15</v>
      </c>
      <c r="W250" s="2906"/>
      <c r="X250" s="2906"/>
      <c r="Y250" s="2907"/>
      <c r="Z250" s="2912" t="s">
        <v>16</v>
      </c>
      <c r="AA250" s="2906"/>
      <c r="AB250" s="2906"/>
      <c r="AC250" s="2906"/>
      <c r="AD250" s="2913" t="s">
        <v>17</v>
      </c>
      <c r="AE250" s="2906"/>
      <c r="AF250" s="2906"/>
      <c r="AG250" s="2907"/>
      <c r="AH250" s="2912" t="s">
        <v>159</v>
      </c>
      <c r="AI250" s="2906"/>
      <c r="AJ250" s="2906"/>
      <c r="AK250" s="2907"/>
      <c r="AL250" s="2913" t="s">
        <v>19</v>
      </c>
      <c r="AM250" s="2906"/>
      <c r="AN250" s="2906"/>
      <c r="AO250" s="2907"/>
      <c r="AP250" s="2912" t="s">
        <v>20</v>
      </c>
      <c r="AQ250" s="2906"/>
      <c r="AR250" s="2906"/>
      <c r="AS250" s="2907"/>
      <c r="AT250" s="2913" t="s">
        <v>21</v>
      </c>
      <c r="AU250" s="2906"/>
      <c r="AV250" s="2906"/>
      <c r="AW250" s="2907"/>
      <c r="AX250" s="2848" t="s">
        <v>727</v>
      </c>
    </row>
    <row r="251" spans="1:89" s="78" customFormat="1" ht="32.25" customHeight="1" thickBot="1">
      <c r="A251" s="2853"/>
      <c r="B251" s="610" t="s">
        <v>154</v>
      </c>
      <c r="C251" s="611" t="s">
        <v>155</v>
      </c>
      <c r="D251" s="611" t="s">
        <v>163</v>
      </c>
      <c r="E251" s="612" t="s">
        <v>164</v>
      </c>
      <c r="F251" s="613" t="s">
        <v>154</v>
      </c>
      <c r="G251" s="614" t="s">
        <v>155</v>
      </c>
      <c r="H251" s="614" t="s">
        <v>163</v>
      </c>
      <c r="I251" s="614" t="s">
        <v>164</v>
      </c>
      <c r="J251" s="610" t="s">
        <v>154</v>
      </c>
      <c r="K251" s="611" t="s">
        <v>155</v>
      </c>
      <c r="L251" s="611" t="s">
        <v>163</v>
      </c>
      <c r="M251" s="612" t="s">
        <v>164</v>
      </c>
      <c r="N251" s="613" t="s">
        <v>154</v>
      </c>
      <c r="O251" s="614" t="s">
        <v>155</v>
      </c>
      <c r="P251" s="614" t="s">
        <v>163</v>
      </c>
      <c r="Q251" s="614" t="s">
        <v>164</v>
      </c>
      <c r="R251" s="610" t="s">
        <v>154</v>
      </c>
      <c r="S251" s="611" t="s">
        <v>155</v>
      </c>
      <c r="T251" s="611" t="s">
        <v>163</v>
      </c>
      <c r="U251" s="612" t="s">
        <v>164</v>
      </c>
      <c r="V251" s="613" t="s">
        <v>154</v>
      </c>
      <c r="W251" s="614" t="s">
        <v>155</v>
      </c>
      <c r="X251" s="614" t="s">
        <v>163</v>
      </c>
      <c r="Y251" s="615" t="s">
        <v>164</v>
      </c>
      <c r="Z251" s="610" t="s">
        <v>154</v>
      </c>
      <c r="AA251" s="611" t="s">
        <v>155</v>
      </c>
      <c r="AB251" s="611" t="s">
        <v>163</v>
      </c>
      <c r="AC251" s="611" t="s">
        <v>164</v>
      </c>
      <c r="AD251" s="613" t="s">
        <v>154</v>
      </c>
      <c r="AE251" s="614" t="s">
        <v>155</v>
      </c>
      <c r="AF251" s="614" t="s">
        <v>163</v>
      </c>
      <c r="AG251" s="615" t="s">
        <v>164</v>
      </c>
      <c r="AH251" s="610" t="s">
        <v>154</v>
      </c>
      <c r="AI251" s="611" t="s">
        <v>155</v>
      </c>
      <c r="AJ251" s="611" t="s">
        <v>163</v>
      </c>
      <c r="AK251" s="612" t="s">
        <v>164</v>
      </c>
      <c r="AL251" s="613" t="s">
        <v>154</v>
      </c>
      <c r="AM251" s="614" t="s">
        <v>155</v>
      </c>
      <c r="AN251" s="614" t="s">
        <v>163</v>
      </c>
      <c r="AO251" s="615" t="s">
        <v>164</v>
      </c>
      <c r="AP251" s="610" t="s">
        <v>154</v>
      </c>
      <c r="AQ251" s="611" t="s">
        <v>155</v>
      </c>
      <c r="AR251" s="611" t="s">
        <v>163</v>
      </c>
      <c r="AS251" s="612" t="s">
        <v>164</v>
      </c>
      <c r="AT251" s="613" t="s">
        <v>154</v>
      </c>
      <c r="AU251" s="614" t="s">
        <v>155</v>
      </c>
      <c r="AV251" s="614" t="s">
        <v>163</v>
      </c>
      <c r="AW251" s="615" t="s">
        <v>164</v>
      </c>
      <c r="AX251" s="2849"/>
    </row>
    <row r="252" spans="1:89">
      <c r="A252" s="686" t="s">
        <v>29</v>
      </c>
      <c r="B252" s="982"/>
      <c r="C252" s="981">
        <v>0</v>
      </c>
      <c r="D252" s="81">
        <v>20820.419999999998</v>
      </c>
      <c r="E252" s="571">
        <v>10410.209999999999</v>
      </c>
      <c r="F252" s="1073"/>
      <c r="G252" s="82">
        <v>0</v>
      </c>
      <c r="H252" s="82">
        <v>28366.2</v>
      </c>
      <c r="I252" s="581">
        <v>9455.4</v>
      </c>
      <c r="J252" s="1073"/>
      <c r="K252" s="81">
        <v>0</v>
      </c>
      <c r="L252" s="81">
        <v>18577.080000000002</v>
      </c>
      <c r="M252" s="571">
        <v>6192.36</v>
      </c>
      <c r="N252" s="1073"/>
      <c r="O252" s="1871"/>
      <c r="P252" s="1871"/>
      <c r="Q252" s="1874"/>
      <c r="R252" s="1073"/>
      <c r="S252" s="1871"/>
      <c r="T252" s="1871"/>
      <c r="U252" s="1872"/>
      <c r="V252" s="1073"/>
      <c r="W252" s="1871"/>
      <c r="X252" s="1871"/>
      <c r="Y252" s="1872"/>
      <c r="Z252" s="1073"/>
      <c r="AA252" s="1871"/>
      <c r="AB252" s="1871"/>
      <c r="AC252" s="1874"/>
      <c r="AD252" s="1073"/>
      <c r="AE252" s="1871"/>
      <c r="AF252" s="1871"/>
      <c r="AG252" s="1872"/>
      <c r="AH252" s="1073"/>
      <c r="AI252" s="1871"/>
      <c r="AJ252" s="1871"/>
      <c r="AK252" s="1872"/>
      <c r="AL252" s="1073"/>
      <c r="AM252" s="1871"/>
      <c r="AN252" s="1871"/>
      <c r="AO252" s="1872"/>
      <c r="AP252" s="1073"/>
      <c r="AQ252" s="1871"/>
      <c r="AR252" s="1871"/>
      <c r="AS252" s="2194"/>
      <c r="AT252" s="1073"/>
      <c r="AU252" s="1871"/>
      <c r="AV252" s="1871"/>
      <c r="AW252" s="2195"/>
      <c r="AX252" s="2849"/>
      <c r="CI252"/>
      <c r="CK252" s="23"/>
    </row>
    <row r="253" spans="1:89">
      <c r="A253" s="686" t="s">
        <v>84</v>
      </c>
      <c r="B253" s="983"/>
      <c r="C253" s="981">
        <v>0</v>
      </c>
      <c r="D253" s="81">
        <v>75</v>
      </c>
      <c r="E253" s="571">
        <v>75</v>
      </c>
      <c r="F253" s="1074"/>
      <c r="G253" s="82">
        <v>0</v>
      </c>
      <c r="H253" s="82">
        <v>675</v>
      </c>
      <c r="I253" s="581">
        <v>225</v>
      </c>
      <c r="J253" s="1074"/>
      <c r="K253" s="81">
        <v>0</v>
      </c>
      <c r="L253" s="81">
        <v>2250</v>
      </c>
      <c r="M253" s="571">
        <v>750</v>
      </c>
      <c r="N253" s="1074"/>
      <c r="O253" s="1871"/>
      <c r="P253" s="1871"/>
      <c r="Q253" s="1874"/>
      <c r="R253" s="1074"/>
      <c r="S253" s="1871"/>
      <c r="T253" s="1871"/>
      <c r="U253" s="1872"/>
      <c r="V253" s="1074"/>
      <c r="W253" s="1871"/>
      <c r="X253" s="1871"/>
      <c r="Y253" s="1872"/>
      <c r="Z253" s="1074"/>
      <c r="AA253" s="1871"/>
      <c r="AB253" s="1871"/>
      <c r="AC253" s="1874"/>
      <c r="AD253" s="1074"/>
      <c r="AE253" s="1871"/>
      <c r="AF253" s="1871"/>
      <c r="AG253" s="1872"/>
      <c r="AH253" s="1074"/>
      <c r="AI253" s="1871"/>
      <c r="AJ253" s="1871"/>
      <c r="AK253" s="1872"/>
      <c r="AL253" s="1074"/>
      <c r="AM253" s="1871"/>
      <c r="AN253" s="1871"/>
      <c r="AO253" s="1872"/>
      <c r="AP253" s="1074"/>
      <c r="AQ253" s="1871"/>
      <c r="AR253" s="1871"/>
      <c r="AS253" s="2194"/>
      <c r="AT253" s="1074"/>
      <c r="AU253" s="1871"/>
      <c r="AV253" s="1871"/>
      <c r="AW253" s="1872"/>
      <c r="AX253" s="2849"/>
      <c r="CI253"/>
      <c r="CK253" s="23"/>
    </row>
    <row r="254" spans="1:89">
      <c r="A254" s="686" t="s">
        <v>28</v>
      </c>
      <c r="B254" s="983"/>
      <c r="C254" s="981">
        <v>500</v>
      </c>
      <c r="D254" s="81">
        <v>5603.2</v>
      </c>
      <c r="E254" s="571">
        <v>3085.52</v>
      </c>
      <c r="F254" s="1074"/>
      <c r="G254" s="82">
        <v>0</v>
      </c>
      <c r="H254" s="82">
        <v>10853.79</v>
      </c>
      <c r="I254" s="581">
        <v>3867.3</v>
      </c>
      <c r="J254" s="1074"/>
      <c r="K254" s="81">
        <v>1250</v>
      </c>
      <c r="L254" s="81">
        <v>8821.61</v>
      </c>
      <c r="M254" s="571">
        <v>3130.86</v>
      </c>
      <c r="N254" s="1074"/>
      <c r="O254" s="1871"/>
      <c r="P254" s="1871"/>
      <c r="Q254" s="1874"/>
      <c r="R254" s="1074"/>
      <c r="S254" s="1871"/>
      <c r="T254" s="1871"/>
      <c r="U254" s="1872"/>
      <c r="V254" s="1074"/>
      <c r="W254" s="1871"/>
      <c r="X254" s="1871"/>
      <c r="Y254" s="1872"/>
      <c r="Z254" s="1074"/>
      <c r="AA254" s="1871"/>
      <c r="AB254" s="1871"/>
      <c r="AC254" s="1874"/>
      <c r="AD254" s="1074"/>
      <c r="AE254" s="1871"/>
      <c r="AF254" s="1871"/>
      <c r="AG254" s="1872"/>
      <c r="AH254" s="1074"/>
      <c r="AI254" s="1871"/>
      <c r="AJ254" s="1871"/>
      <c r="AK254" s="1872"/>
      <c r="AL254" s="1074"/>
      <c r="AM254" s="1871"/>
      <c r="AN254" s="1871"/>
      <c r="AO254" s="1872"/>
      <c r="AP254" s="1074"/>
      <c r="AQ254" s="1871"/>
      <c r="AR254" s="1871"/>
      <c r="AS254" s="2194"/>
      <c r="AT254" s="1074"/>
      <c r="AU254" s="1871"/>
      <c r="AV254" s="1871"/>
      <c r="AW254" s="2195"/>
      <c r="AX254" s="2849"/>
      <c r="CI254"/>
      <c r="CK254" s="23"/>
    </row>
    <row r="255" spans="1:89" s="23" customFormat="1">
      <c r="A255" s="686" t="s">
        <v>513</v>
      </c>
      <c r="B255" s="983"/>
      <c r="C255" s="981">
        <v>0</v>
      </c>
      <c r="D255" s="81">
        <v>2939.71</v>
      </c>
      <c r="E255" s="571">
        <v>1781.16</v>
      </c>
      <c r="F255" s="1074"/>
      <c r="G255" s="82">
        <v>0</v>
      </c>
      <c r="H255" s="82">
        <v>5262.47</v>
      </c>
      <c r="I255" s="581">
        <v>1817.79</v>
      </c>
      <c r="J255" s="1074"/>
      <c r="K255" s="81">
        <v>0</v>
      </c>
      <c r="L255" s="81">
        <v>7305.37</v>
      </c>
      <c r="M255" s="571">
        <v>2473.33</v>
      </c>
      <c r="N255" s="1074"/>
      <c r="O255" s="1871"/>
      <c r="P255" s="1871"/>
      <c r="Q255" s="1874"/>
      <c r="R255" s="1074"/>
      <c r="S255" s="1871"/>
      <c r="T255" s="1871"/>
      <c r="U255" s="1872"/>
      <c r="V255" s="1074"/>
      <c r="W255" s="1871"/>
      <c r="X255" s="1871"/>
      <c r="Y255" s="1872"/>
      <c r="Z255" s="1074"/>
      <c r="AA255" s="1871"/>
      <c r="AB255" s="1871"/>
      <c r="AC255" s="1874"/>
      <c r="AD255" s="1074"/>
      <c r="AE255" s="1871"/>
      <c r="AF255" s="1871"/>
      <c r="AG255" s="1872"/>
      <c r="AH255" s="1074"/>
      <c r="AI255" s="1871"/>
      <c r="AJ255" s="1871"/>
      <c r="AK255" s="1872"/>
      <c r="AL255" s="1074"/>
      <c r="AM255" s="1871"/>
      <c r="AN255" s="1871"/>
      <c r="AO255" s="1872"/>
      <c r="AP255" s="1074"/>
      <c r="AQ255" s="1871"/>
      <c r="AR255" s="1871"/>
      <c r="AS255" s="2194"/>
      <c r="AT255" s="1074"/>
      <c r="AU255" s="1871"/>
      <c r="AV255" s="1871"/>
      <c r="AW255" s="2195"/>
      <c r="AX255" s="2849"/>
    </row>
    <row r="256" spans="1:89">
      <c r="A256" s="687" t="s">
        <v>30</v>
      </c>
      <c r="B256" s="983"/>
      <c r="C256" s="981">
        <v>500</v>
      </c>
      <c r="D256" s="81">
        <v>8149.88</v>
      </c>
      <c r="E256" s="571">
        <v>4074.94</v>
      </c>
      <c r="F256" s="1074"/>
      <c r="G256" s="82">
        <v>250</v>
      </c>
      <c r="H256" s="82">
        <v>11461.22</v>
      </c>
      <c r="I256" s="581">
        <v>3832.78</v>
      </c>
      <c r="J256" s="1074"/>
      <c r="K256" s="81">
        <v>0</v>
      </c>
      <c r="L256" s="81">
        <v>16338.38</v>
      </c>
      <c r="M256" s="571">
        <v>5446.13</v>
      </c>
      <c r="N256" s="1074"/>
      <c r="O256" s="1871"/>
      <c r="P256" s="1871"/>
      <c r="Q256" s="1874"/>
      <c r="R256" s="1074"/>
      <c r="S256" s="1871"/>
      <c r="T256" s="1871"/>
      <c r="U256" s="1872"/>
      <c r="V256" s="1074"/>
      <c r="W256" s="1871"/>
      <c r="X256" s="1871"/>
      <c r="Y256" s="1872"/>
      <c r="Z256" s="1074"/>
      <c r="AA256" s="1871"/>
      <c r="AB256" s="1871"/>
      <c r="AC256" s="1874"/>
      <c r="AD256" s="1074"/>
      <c r="AE256" s="1871"/>
      <c r="AF256" s="1871"/>
      <c r="AG256" s="1872"/>
      <c r="AH256" s="1074"/>
      <c r="AI256" s="1871"/>
      <c r="AJ256" s="1871"/>
      <c r="AK256" s="1872"/>
      <c r="AL256" s="1074"/>
      <c r="AM256" s="1871"/>
      <c r="AN256" s="1871"/>
      <c r="AO256" s="1872"/>
      <c r="AP256" s="1074"/>
      <c r="AQ256" s="1871"/>
      <c r="AR256" s="1871"/>
      <c r="AS256" s="2194"/>
      <c r="AT256" s="1074"/>
      <c r="AU256" s="1871"/>
      <c r="AV256" s="1871"/>
      <c r="AW256" s="2195"/>
      <c r="AX256" s="2849"/>
      <c r="CI256"/>
      <c r="CK256" s="23"/>
    </row>
    <row r="257" spans="1:89">
      <c r="A257" s="687" t="s">
        <v>85</v>
      </c>
      <c r="B257" s="983"/>
      <c r="C257" s="981">
        <v>2440</v>
      </c>
      <c r="D257" s="81">
        <v>585</v>
      </c>
      <c r="E257" s="571">
        <v>427.5</v>
      </c>
      <c r="F257" s="1074"/>
      <c r="G257" s="82">
        <v>1762.5</v>
      </c>
      <c r="H257" s="82">
        <v>1687.5</v>
      </c>
      <c r="I257" s="581">
        <v>712.5</v>
      </c>
      <c r="J257" s="1074"/>
      <c r="K257" s="81">
        <v>0</v>
      </c>
      <c r="L257" s="81">
        <v>843.75</v>
      </c>
      <c r="M257" s="571">
        <v>356.25</v>
      </c>
      <c r="N257" s="1074"/>
      <c r="O257" s="1871"/>
      <c r="P257" s="1871"/>
      <c r="Q257" s="1874"/>
      <c r="R257" s="1074"/>
      <c r="S257" s="1871"/>
      <c r="T257" s="1871"/>
      <c r="U257" s="1872"/>
      <c r="V257" s="1074"/>
      <c r="W257" s="1871"/>
      <c r="X257" s="1871"/>
      <c r="Y257" s="1872"/>
      <c r="Z257" s="1074"/>
      <c r="AA257" s="1871"/>
      <c r="AB257" s="1871"/>
      <c r="AC257" s="1874"/>
      <c r="AD257" s="1074"/>
      <c r="AE257" s="1871"/>
      <c r="AF257" s="1871"/>
      <c r="AG257" s="1872"/>
      <c r="AH257" s="1074"/>
      <c r="AI257" s="1871"/>
      <c r="AJ257" s="1871"/>
      <c r="AK257" s="1872"/>
      <c r="AL257" s="1074"/>
      <c r="AM257" s="1871"/>
      <c r="AN257" s="1871"/>
      <c r="AO257" s="1872"/>
      <c r="AP257" s="1074"/>
      <c r="AQ257" s="1871"/>
      <c r="AR257" s="1871"/>
      <c r="AS257" s="2194"/>
      <c r="AT257" s="1074"/>
      <c r="AU257" s="1871"/>
      <c r="AV257" s="1871"/>
      <c r="AW257" s="2195"/>
      <c r="AX257" s="2849"/>
      <c r="CI257"/>
      <c r="CK257" s="23"/>
    </row>
    <row r="258" spans="1:89">
      <c r="A258" s="687" t="s">
        <v>31</v>
      </c>
      <c r="B258" s="983"/>
      <c r="C258" s="981">
        <v>0</v>
      </c>
      <c r="D258" s="81">
        <v>2877.56</v>
      </c>
      <c r="E258" s="571">
        <v>1438.78</v>
      </c>
      <c r="F258" s="1074"/>
      <c r="G258" s="82">
        <v>0</v>
      </c>
      <c r="H258" s="82">
        <v>10110.09</v>
      </c>
      <c r="I258" s="581">
        <v>3370.03</v>
      </c>
      <c r="J258" s="1074"/>
      <c r="K258" s="81">
        <v>0</v>
      </c>
      <c r="L258" s="81">
        <v>5040.5600000000004</v>
      </c>
      <c r="M258" s="571">
        <v>1680.19</v>
      </c>
      <c r="N258" s="1074"/>
      <c r="O258" s="1871"/>
      <c r="P258" s="1871"/>
      <c r="Q258" s="1874"/>
      <c r="R258" s="1074"/>
      <c r="S258" s="1871"/>
      <c r="T258" s="1871"/>
      <c r="U258" s="1872"/>
      <c r="V258" s="1074"/>
      <c r="W258" s="1871"/>
      <c r="X258" s="1871"/>
      <c r="Y258" s="1872"/>
      <c r="Z258" s="1074"/>
      <c r="AA258" s="1871"/>
      <c r="AB258" s="1871"/>
      <c r="AC258" s="1874"/>
      <c r="AD258" s="1074"/>
      <c r="AE258" s="1871"/>
      <c r="AF258" s="1871"/>
      <c r="AG258" s="1872"/>
      <c r="AH258" s="1074"/>
      <c r="AI258" s="1871"/>
      <c r="AJ258" s="1871"/>
      <c r="AK258" s="1872"/>
      <c r="AL258" s="1074"/>
      <c r="AM258" s="1871"/>
      <c r="AN258" s="1871"/>
      <c r="AO258" s="1872"/>
      <c r="AP258" s="1074"/>
      <c r="AQ258" s="1871"/>
      <c r="AR258" s="1871"/>
      <c r="AS258" s="2194"/>
      <c r="AT258" s="1074"/>
      <c r="AU258" s="1871"/>
      <c r="AV258" s="1871"/>
      <c r="AW258" s="2195"/>
      <c r="AX258" s="2849"/>
      <c r="CI258"/>
      <c r="CK258" s="23"/>
    </row>
    <row r="259" spans="1:89" s="23" customFormat="1">
      <c r="A259" s="687" t="s">
        <v>251</v>
      </c>
      <c r="B259" s="983"/>
      <c r="C259" s="1873"/>
      <c r="D259" s="1871"/>
      <c r="E259" s="1872"/>
      <c r="F259" s="1074"/>
      <c r="G259" s="1871"/>
      <c r="H259" s="1871"/>
      <c r="I259" s="1874"/>
      <c r="J259" s="1074"/>
      <c r="K259" s="1871"/>
      <c r="L259" s="1871"/>
      <c r="M259" s="1872"/>
      <c r="N259" s="1074"/>
      <c r="O259" s="1871"/>
      <c r="P259" s="1871"/>
      <c r="Q259" s="1874"/>
      <c r="R259" s="1074"/>
      <c r="S259" s="1871"/>
      <c r="T259" s="1871"/>
      <c r="U259" s="1872"/>
      <c r="V259" s="1074"/>
      <c r="W259" s="1871"/>
      <c r="X259" s="1871"/>
      <c r="Y259" s="1872"/>
      <c r="Z259" s="1074"/>
      <c r="AA259" s="1871"/>
      <c r="AB259" s="1871"/>
      <c r="AC259" s="1874"/>
      <c r="AD259" s="1074"/>
      <c r="AE259" s="1871"/>
      <c r="AF259" s="1871"/>
      <c r="AG259" s="1872"/>
      <c r="AH259" s="1074"/>
      <c r="AI259" s="1871"/>
      <c r="AJ259" s="1871"/>
      <c r="AK259" s="1872"/>
      <c r="AL259" s="1074"/>
      <c r="AM259" s="1871"/>
      <c r="AN259" s="1871"/>
      <c r="AO259" s="1872"/>
      <c r="AP259" s="1074"/>
      <c r="AQ259" s="1871"/>
      <c r="AR259" s="1871"/>
      <c r="AS259" s="1872"/>
      <c r="AT259" s="1074"/>
      <c r="AU259" s="1871"/>
      <c r="AV259" s="1871"/>
      <c r="AW259" s="1872"/>
      <c r="AX259" s="2849"/>
    </row>
    <row r="260" spans="1:89" s="23" customFormat="1">
      <c r="A260" s="687" t="s">
        <v>378</v>
      </c>
      <c r="B260" s="983"/>
      <c r="C260" s="981">
        <v>0</v>
      </c>
      <c r="D260" s="81">
        <v>5268.75</v>
      </c>
      <c r="E260" s="571">
        <v>2634.38</v>
      </c>
      <c r="F260" s="1074"/>
      <c r="G260" s="82">
        <v>500</v>
      </c>
      <c r="H260" s="82">
        <v>2250</v>
      </c>
      <c r="I260" s="581">
        <v>750</v>
      </c>
      <c r="J260" s="1074"/>
      <c r="K260" s="81">
        <v>250</v>
      </c>
      <c r="L260" s="81">
        <v>1237.5</v>
      </c>
      <c r="M260" s="571">
        <v>412.5</v>
      </c>
      <c r="N260" s="1074"/>
      <c r="O260" s="1871"/>
      <c r="P260" s="1871"/>
      <c r="Q260" s="1874"/>
      <c r="R260" s="1074"/>
      <c r="S260" s="1871"/>
      <c r="T260" s="1871"/>
      <c r="U260" s="1872"/>
      <c r="V260" s="1074"/>
      <c r="W260" s="1871"/>
      <c r="X260" s="1871"/>
      <c r="Y260" s="1872"/>
      <c r="Z260" s="1074"/>
      <c r="AA260" s="1871"/>
      <c r="AB260" s="1871"/>
      <c r="AC260" s="1874"/>
      <c r="AD260" s="1074"/>
      <c r="AE260" s="1871"/>
      <c r="AF260" s="1871"/>
      <c r="AG260" s="1872"/>
      <c r="AH260" s="1074"/>
      <c r="AI260" s="1871"/>
      <c r="AJ260" s="1871"/>
      <c r="AK260" s="1872"/>
      <c r="AL260" s="1074"/>
      <c r="AM260" s="1871"/>
      <c r="AN260" s="1871"/>
      <c r="AO260" s="1872"/>
      <c r="AP260" s="1074"/>
      <c r="AQ260" s="1871"/>
      <c r="AR260" s="1871"/>
      <c r="AS260" s="1872"/>
      <c r="AT260" s="1074"/>
      <c r="AU260" s="1871"/>
      <c r="AV260" s="1871"/>
      <c r="AW260" s="1872"/>
      <c r="AX260" s="2849"/>
    </row>
    <row r="261" spans="1:89" s="23" customFormat="1">
      <c r="A261" s="687" t="s">
        <v>729</v>
      </c>
      <c r="B261" s="793"/>
      <c r="C261" s="415"/>
      <c r="D261" s="415"/>
      <c r="E261" s="415"/>
      <c r="F261" s="795"/>
      <c r="G261" s="415"/>
      <c r="H261" s="415"/>
      <c r="I261" s="415"/>
      <c r="J261" s="795"/>
      <c r="K261" s="415"/>
      <c r="L261" s="415"/>
      <c r="M261" s="415"/>
      <c r="N261" s="795"/>
      <c r="O261" s="415"/>
      <c r="P261" s="415"/>
      <c r="Q261" s="415"/>
      <c r="R261" s="795"/>
      <c r="S261" s="415"/>
      <c r="T261" s="415"/>
      <c r="U261" s="415"/>
      <c r="V261" s="795"/>
      <c r="W261" s="415"/>
      <c r="X261" s="415"/>
      <c r="Y261" s="415"/>
      <c r="Z261" s="795"/>
      <c r="AA261" s="415"/>
      <c r="AB261" s="415"/>
      <c r="AC261" s="415"/>
      <c r="AD261" s="795"/>
      <c r="AE261" s="415"/>
      <c r="AF261" s="415"/>
      <c r="AG261" s="415"/>
      <c r="AH261" s="795"/>
      <c r="AI261" s="415"/>
      <c r="AJ261" s="415"/>
      <c r="AK261" s="415"/>
      <c r="AL261" s="795"/>
      <c r="AM261" s="415"/>
      <c r="AN261" s="415"/>
      <c r="AO261" s="415"/>
      <c r="AP261" s="795"/>
      <c r="AQ261" s="415"/>
      <c r="AR261" s="415"/>
      <c r="AS261" s="415"/>
      <c r="AT261" s="795"/>
      <c r="AU261" s="415"/>
      <c r="AV261" s="415"/>
      <c r="AW261" s="577"/>
      <c r="AX261" s="2849"/>
    </row>
    <row r="262" spans="1:89" s="23" customFormat="1">
      <c r="A262" s="687" t="s">
        <v>376</v>
      </c>
      <c r="B262" s="983"/>
      <c r="C262" s="981">
        <v>500</v>
      </c>
      <c r="D262" s="81">
        <v>8700</v>
      </c>
      <c r="E262" s="571">
        <v>5220</v>
      </c>
      <c r="F262" s="1074"/>
      <c r="G262" s="82">
        <v>500</v>
      </c>
      <c r="H262" s="82">
        <v>16560</v>
      </c>
      <c r="I262" s="581">
        <v>6210</v>
      </c>
      <c r="J262" s="1074"/>
      <c r="K262" s="81">
        <v>500</v>
      </c>
      <c r="L262" s="81">
        <v>5971.88</v>
      </c>
      <c r="M262" s="571">
        <v>2034.38</v>
      </c>
      <c r="N262" s="1074"/>
      <c r="O262" s="1871"/>
      <c r="P262" s="1871"/>
      <c r="Q262" s="1874"/>
      <c r="R262" s="1074"/>
      <c r="S262" s="1871"/>
      <c r="T262" s="1871"/>
      <c r="U262" s="1872"/>
      <c r="V262" s="1074"/>
      <c r="W262" s="1871"/>
      <c r="X262" s="1871"/>
      <c r="Y262" s="1872"/>
      <c r="Z262" s="1074"/>
      <c r="AA262" s="1871"/>
      <c r="AB262" s="1871"/>
      <c r="AC262" s="1874"/>
      <c r="AD262" s="1074"/>
      <c r="AE262" s="1871"/>
      <c r="AF262" s="1871"/>
      <c r="AG262" s="1872"/>
      <c r="AH262" s="1074"/>
      <c r="AI262" s="1871"/>
      <c r="AJ262" s="1871"/>
      <c r="AK262" s="1872"/>
      <c r="AL262" s="1074"/>
      <c r="AM262" s="1871"/>
      <c r="AN262" s="1871"/>
      <c r="AO262" s="1872"/>
      <c r="AP262" s="1074"/>
      <c r="AQ262" s="1871"/>
      <c r="AR262" s="1871"/>
      <c r="AS262" s="1872"/>
      <c r="AT262" s="1074"/>
      <c r="AU262" s="1871"/>
      <c r="AV262" s="1871"/>
      <c r="AW262" s="1872"/>
      <c r="AX262" s="2849"/>
    </row>
    <row r="263" spans="1:89" s="23" customFormat="1">
      <c r="A263" s="687" t="s">
        <v>613</v>
      </c>
      <c r="B263" s="983"/>
      <c r="C263" s="981">
        <v>0</v>
      </c>
      <c r="D263" s="81">
        <v>0</v>
      </c>
      <c r="E263" s="571">
        <v>0</v>
      </c>
      <c r="F263" s="1074"/>
      <c r="G263" s="82">
        <v>0</v>
      </c>
      <c r="H263" s="82">
        <v>1365</v>
      </c>
      <c r="I263" s="576">
        <v>652.5</v>
      </c>
      <c r="J263" s="795"/>
      <c r="K263" s="81">
        <v>0</v>
      </c>
      <c r="L263" s="81">
        <v>3579.38</v>
      </c>
      <c r="M263" s="81">
        <v>1235.6300000000001</v>
      </c>
      <c r="N263" s="795"/>
      <c r="O263" s="415"/>
      <c r="P263" s="415"/>
      <c r="Q263" s="415"/>
      <c r="R263" s="795"/>
      <c r="S263" s="415"/>
      <c r="T263" s="415"/>
      <c r="U263" s="415"/>
      <c r="V263" s="795"/>
      <c r="W263" s="415"/>
      <c r="X263" s="415"/>
      <c r="Y263" s="415"/>
      <c r="Z263" s="795"/>
      <c r="AA263" s="415"/>
      <c r="AB263" s="415"/>
      <c r="AC263" s="415"/>
      <c r="AD263" s="795"/>
      <c r="AE263" s="415"/>
      <c r="AF263" s="415"/>
      <c r="AG263" s="415"/>
      <c r="AH263" s="795"/>
      <c r="AI263" s="415"/>
      <c r="AJ263" s="415"/>
      <c r="AK263" s="415"/>
      <c r="AL263" s="795"/>
      <c r="AM263" s="415"/>
      <c r="AN263" s="415"/>
      <c r="AO263" s="415"/>
      <c r="AP263" s="795"/>
      <c r="AQ263" s="415"/>
      <c r="AR263" s="415"/>
      <c r="AS263" s="415"/>
      <c r="AT263" s="795"/>
      <c r="AU263" s="415"/>
      <c r="AV263" s="415"/>
      <c r="AW263" s="577"/>
      <c r="AX263" s="2849"/>
    </row>
    <row r="264" spans="1:89" s="23" customFormat="1">
      <c r="A264" s="687" t="s">
        <v>432</v>
      </c>
      <c r="B264" s="983"/>
      <c r="C264" s="981">
        <v>0</v>
      </c>
      <c r="D264" s="81">
        <v>2100</v>
      </c>
      <c r="E264" s="571">
        <v>1560</v>
      </c>
      <c r="F264" s="1074"/>
      <c r="G264" s="82">
        <v>0</v>
      </c>
      <c r="H264" s="82">
        <v>7470</v>
      </c>
      <c r="I264" s="581">
        <v>3120</v>
      </c>
      <c r="J264" s="1074"/>
      <c r="K264" s="81">
        <v>0</v>
      </c>
      <c r="L264" s="81">
        <v>309.38</v>
      </c>
      <c r="M264" s="571">
        <v>103.13</v>
      </c>
      <c r="N264" s="1074"/>
      <c r="O264" s="1871"/>
      <c r="P264" s="1871"/>
      <c r="Q264" s="1874"/>
      <c r="R264" s="1074"/>
      <c r="S264" s="1871"/>
      <c r="T264" s="1871"/>
      <c r="U264" s="1872"/>
      <c r="V264" s="1074"/>
      <c r="W264" s="1871"/>
      <c r="X264" s="1871"/>
      <c r="Y264" s="1872"/>
      <c r="Z264" s="1074"/>
      <c r="AA264" s="1871"/>
      <c r="AB264" s="1871"/>
      <c r="AC264" s="1874"/>
      <c r="AD264" s="1074"/>
      <c r="AE264" s="1871"/>
      <c r="AF264" s="1871"/>
      <c r="AG264" s="1872"/>
      <c r="AH264" s="1074"/>
      <c r="AI264" s="1871"/>
      <c r="AJ264" s="1871"/>
      <c r="AK264" s="1872"/>
      <c r="AL264" s="1074"/>
      <c r="AM264" s="1871"/>
      <c r="AN264" s="1871"/>
      <c r="AO264" s="1872"/>
      <c r="AP264" s="1074"/>
      <c r="AQ264" s="1871"/>
      <c r="AR264" s="1871"/>
      <c r="AS264" s="1872"/>
      <c r="AT264" s="1074"/>
      <c r="AU264" s="1871"/>
      <c r="AV264" s="1871"/>
      <c r="AW264" s="1872"/>
      <c r="AX264" s="2849"/>
    </row>
    <row r="265" spans="1:89" s="23" customFormat="1">
      <c r="A265" s="686" t="s">
        <v>434</v>
      </c>
      <c r="B265" s="793"/>
      <c r="C265" s="794"/>
      <c r="D265" s="794"/>
      <c r="E265" s="794"/>
      <c r="F265" s="795"/>
      <c r="G265" s="794"/>
      <c r="H265" s="794"/>
      <c r="I265" s="794"/>
      <c r="J265" s="795"/>
      <c r="K265" s="794"/>
      <c r="L265" s="794"/>
      <c r="M265" s="794"/>
      <c r="N265" s="795"/>
      <c r="O265" s="794"/>
      <c r="P265" s="794"/>
      <c r="Q265" s="794"/>
      <c r="R265" s="795"/>
      <c r="S265" s="794"/>
      <c r="T265" s="794"/>
      <c r="U265" s="794"/>
      <c r="V265" s="795"/>
      <c r="W265" s="794"/>
      <c r="X265" s="794"/>
      <c r="Y265" s="794"/>
      <c r="Z265" s="795"/>
      <c r="AA265" s="794"/>
      <c r="AB265" s="794"/>
      <c r="AC265" s="794"/>
      <c r="AD265" s="795"/>
      <c r="AE265" s="794"/>
      <c r="AF265" s="794"/>
      <c r="AG265" s="794"/>
      <c r="AH265" s="795"/>
      <c r="AI265" s="794"/>
      <c r="AJ265" s="794"/>
      <c r="AK265" s="794"/>
      <c r="AL265" s="795"/>
      <c r="AM265" s="794"/>
      <c r="AN265" s="794"/>
      <c r="AO265" s="794"/>
      <c r="AP265" s="795"/>
      <c r="AQ265" s="794"/>
      <c r="AR265" s="794"/>
      <c r="AS265" s="794"/>
      <c r="AT265" s="795"/>
      <c r="AU265" s="794"/>
      <c r="AV265" s="794"/>
      <c r="AW265" s="791"/>
      <c r="AX265" s="2849"/>
    </row>
    <row r="266" spans="1:89" s="23" customFormat="1">
      <c r="A266" s="686" t="s">
        <v>433</v>
      </c>
      <c r="B266" s="793"/>
      <c r="C266" s="795"/>
      <c r="D266" s="795"/>
      <c r="E266" s="795"/>
      <c r="F266" s="795"/>
      <c r="G266" s="795"/>
      <c r="H266" s="795"/>
      <c r="I266" s="795"/>
      <c r="J266" s="795"/>
      <c r="K266" s="795"/>
      <c r="L266" s="795"/>
      <c r="M266" s="795"/>
      <c r="N266" s="795"/>
      <c r="O266" s="795"/>
      <c r="P266" s="795"/>
      <c r="Q266" s="795"/>
      <c r="R266" s="795"/>
      <c r="S266" s="795"/>
      <c r="T266" s="795"/>
      <c r="U266" s="795"/>
      <c r="V266" s="795"/>
      <c r="W266" s="795"/>
      <c r="X266" s="795"/>
      <c r="Y266" s="795"/>
      <c r="Z266" s="795"/>
      <c r="AA266" s="795"/>
      <c r="AB266" s="795"/>
      <c r="AC266" s="795"/>
      <c r="AD266" s="795"/>
      <c r="AE266" s="795"/>
      <c r="AF266" s="795"/>
      <c r="AG266" s="795"/>
      <c r="AH266" s="795"/>
      <c r="AI266" s="795"/>
      <c r="AJ266" s="795"/>
      <c r="AK266" s="795"/>
      <c r="AL266" s="795"/>
      <c r="AM266" s="795"/>
      <c r="AN266" s="795"/>
      <c r="AO266" s="795"/>
      <c r="AP266" s="795"/>
      <c r="AQ266" s="795"/>
      <c r="AR266" s="795"/>
      <c r="AS266" s="795"/>
      <c r="AT266" s="795"/>
      <c r="AU266" s="795"/>
      <c r="AV266" s="795"/>
      <c r="AW266" s="792"/>
      <c r="AX266" s="2849"/>
    </row>
    <row r="267" spans="1:89" s="23" customFormat="1">
      <c r="A267" s="687" t="s">
        <v>558</v>
      </c>
      <c r="B267" s="793"/>
      <c r="C267" s="795"/>
      <c r="D267" s="795"/>
      <c r="E267" s="795"/>
      <c r="F267" s="795"/>
      <c r="G267" s="795"/>
      <c r="H267" s="795"/>
      <c r="I267" s="795"/>
      <c r="J267" s="795"/>
      <c r="K267" s="795"/>
      <c r="L267" s="795"/>
      <c r="M267" s="795"/>
      <c r="N267" s="795"/>
      <c r="O267" s="795"/>
      <c r="P267" s="795"/>
      <c r="Q267" s="795"/>
      <c r="R267" s="795"/>
      <c r="S267" s="795"/>
      <c r="T267" s="795"/>
      <c r="U267" s="795"/>
      <c r="V267" s="795"/>
      <c r="W267" s="795"/>
      <c r="X267" s="795"/>
      <c r="Y267" s="795"/>
      <c r="Z267" s="795"/>
      <c r="AA267" s="795"/>
      <c r="AB267" s="795"/>
      <c r="AC267" s="795"/>
      <c r="AD267" s="795"/>
      <c r="AE267" s="795"/>
      <c r="AF267" s="795"/>
      <c r="AG267" s="795"/>
      <c r="AH267" s="795"/>
      <c r="AI267" s="795"/>
      <c r="AJ267" s="795"/>
      <c r="AK267" s="795"/>
      <c r="AL267" s="795"/>
      <c r="AM267" s="795"/>
      <c r="AN267" s="795"/>
      <c r="AO267" s="795"/>
      <c r="AP267" s="795"/>
      <c r="AQ267" s="795"/>
      <c r="AR267" s="795"/>
      <c r="AS267" s="795"/>
      <c r="AT267" s="795"/>
      <c r="AU267" s="795"/>
      <c r="AV267" s="795"/>
      <c r="AW267" s="792"/>
      <c r="AX267" s="2849"/>
    </row>
    <row r="268" spans="1:89" ht="15.75" thickBot="1">
      <c r="A268" s="688" t="s">
        <v>58</v>
      </c>
      <c r="B268" s="793"/>
      <c r="C268" s="416"/>
      <c r="D268" s="416"/>
      <c r="E268" s="416"/>
      <c r="F268" s="795"/>
      <c r="G268" s="416"/>
      <c r="H268" s="416"/>
      <c r="I268" s="416"/>
      <c r="J268" s="795"/>
      <c r="K268" s="584"/>
      <c r="L268" s="584"/>
      <c r="M268" s="584"/>
      <c r="N268" s="795"/>
      <c r="O268" s="416"/>
      <c r="P268" s="416"/>
      <c r="Q268" s="416"/>
      <c r="R268" s="795"/>
      <c r="S268" s="416"/>
      <c r="T268" s="416"/>
      <c r="U268" s="416"/>
      <c r="V268" s="795"/>
      <c r="W268" s="584"/>
      <c r="X268" s="584"/>
      <c r="Y268" s="584"/>
      <c r="Z268" s="795"/>
      <c r="AA268" s="416"/>
      <c r="AB268" s="416"/>
      <c r="AC268" s="416"/>
      <c r="AD268" s="795"/>
      <c r="AE268" s="416"/>
      <c r="AF268" s="416"/>
      <c r="AG268" s="416"/>
      <c r="AH268" s="795"/>
      <c r="AI268" s="416"/>
      <c r="AJ268" s="416"/>
      <c r="AK268" s="416"/>
      <c r="AL268" s="795"/>
      <c r="AM268" s="584"/>
      <c r="AN268" s="584"/>
      <c r="AO268" s="584"/>
      <c r="AP268" s="795"/>
      <c r="AQ268" s="584"/>
      <c r="AR268" s="584"/>
      <c r="AS268" s="584"/>
      <c r="AT268" s="795"/>
      <c r="AU268" s="416"/>
      <c r="AV268" s="416"/>
      <c r="AW268" s="573"/>
      <c r="AX268" s="2849"/>
      <c r="CI268"/>
      <c r="CK268" s="23"/>
    </row>
    <row r="269" spans="1:89" ht="15.75" thickBot="1">
      <c r="A269" s="578" t="s">
        <v>32</v>
      </c>
      <c r="B269" s="1883"/>
      <c r="C269" s="574">
        <f t="shared" ref="C269:M269" si="20">SUM(C252:C268)</f>
        <v>3940</v>
      </c>
      <c r="D269" s="574">
        <f t="shared" si="20"/>
        <v>57119.519999999997</v>
      </c>
      <c r="E269" s="575">
        <f t="shared" si="20"/>
        <v>30707.489999999998</v>
      </c>
      <c r="F269" s="1883"/>
      <c r="G269" s="579">
        <f t="shared" si="20"/>
        <v>3012.5</v>
      </c>
      <c r="H269" s="579">
        <f t="shared" si="20"/>
        <v>96061.27</v>
      </c>
      <c r="I269" s="580">
        <f t="shared" si="20"/>
        <v>34013.300000000003</v>
      </c>
      <c r="J269" s="1883"/>
      <c r="K269" s="582">
        <f t="shared" si="20"/>
        <v>2000</v>
      </c>
      <c r="L269" s="582">
        <f t="shared" si="20"/>
        <v>70274.890000000014</v>
      </c>
      <c r="M269" s="583">
        <f t="shared" si="20"/>
        <v>23814.760000000002</v>
      </c>
      <c r="N269" s="1883"/>
      <c r="O269" s="2196"/>
      <c r="P269" s="2196"/>
      <c r="Q269" s="2197">
        <f t="shared" ref="Q269:AW269" si="21">SUM(Q252:Q268)</f>
        <v>0</v>
      </c>
      <c r="R269" s="1883"/>
      <c r="S269" s="2196">
        <f t="shared" si="21"/>
        <v>0</v>
      </c>
      <c r="T269" s="2196">
        <f t="shared" si="21"/>
        <v>0</v>
      </c>
      <c r="U269" s="2198">
        <f t="shared" si="21"/>
        <v>0</v>
      </c>
      <c r="V269" s="1881"/>
      <c r="W269" s="1882">
        <f t="shared" si="21"/>
        <v>0</v>
      </c>
      <c r="X269" s="1882">
        <f t="shared" si="21"/>
        <v>0</v>
      </c>
      <c r="Y269" s="2199">
        <f t="shared" si="21"/>
        <v>0</v>
      </c>
      <c r="Z269" s="1883"/>
      <c r="AA269" s="2196">
        <f t="shared" si="21"/>
        <v>0</v>
      </c>
      <c r="AB269" s="2196">
        <f t="shared" si="21"/>
        <v>0</v>
      </c>
      <c r="AC269" s="2197">
        <f t="shared" si="21"/>
        <v>0</v>
      </c>
      <c r="AD269" s="1883"/>
      <c r="AE269" s="2196">
        <f t="shared" si="21"/>
        <v>0</v>
      </c>
      <c r="AF269" s="2196">
        <f t="shared" si="21"/>
        <v>0</v>
      </c>
      <c r="AG269" s="2198">
        <f t="shared" si="21"/>
        <v>0</v>
      </c>
      <c r="AH269" s="1883"/>
      <c r="AI269" s="2196">
        <f t="shared" si="21"/>
        <v>0</v>
      </c>
      <c r="AJ269" s="2196">
        <f t="shared" si="21"/>
        <v>0</v>
      </c>
      <c r="AK269" s="2198">
        <f t="shared" si="21"/>
        <v>0</v>
      </c>
      <c r="AL269" s="1881"/>
      <c r="AM269" s="1882">
        <f t="shared" si="21"/>
        <v>0</v>
      </c>
      <c r="AN269" s="1882">
        <f t="shared" si="21"/>
        <v>0</v>
      </c>
      <c r="AO269" s="1882">
        <f t="shared" si="21"/>
        <v>0</v>
      </c>
      <c r="AP269" s="1882"/>
      <c r="AQ269" s="1882">
        <f t="shared" si="21"/>
        <v>0</v>
      </c>
      <c r="AR269" s="1882">
        <f t="shared" si="21"/>
        <v>0</v>
      </c>
      <c r="AS269" s="2199">
        <f t="shared" si="21"/>
        <v>0</v>
      </c>
      <c r="AT269" s="1883"/>
      <c r="AU269" s="2196">
        <f t="shared" si="21"/>
        <v>0</v>
      </c>
      <c r="AV269" s="2196">
        <f t="shared" si="21"/>
        <v>0</v>
      </c>
      <c r="AW269" s="2198">
        <f t="shared" si="21"/>
        <v>0</v>
      </c>
      <c r="AX269" s="2849"/>
      <c r="CI269"/>
      <c r="CK269" s="23"/>
    </row>
    <row r="270" spans="1:89" s="2" customFormat="1" ht="15.75" thickBot="1">
      <c r="A270" s="15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T270" s="129"/>
    </row>
    <row r="271" spans="1:89" s="5" customFormat="1" ht="15.75">
      <c r="A271" s="2893" t="s">
        <v>715</v>
      </c>
      <c r="B271" s="2901" t="s">
        <v>10</v>
      </c>
      <c r="C271" s="2902"/>
      <c r="D271" s="2903"/>
      <c r="E271" s="2904" t="s">
        <v>11</v>
      </c>
      <c r="F271" s="2902"/>
      <c r="G271" s="2903"/>
      <c r="H271" s="2905" t="s">
        <v>12</v>
      </c>
      <c r="I271" s="2902"/>
      <c r="J271" s="2903"/>
      <c r="K271" s="2904" t="s">
        <v>13</v>
      </c>
      <c r="L271" s="2902"/>
      <c r="M271" s="2903"/>
      <c r="N271" s="2905" t="s">
        <v>14</v>
      </c>
      <c r="O271" s="2902"/>
      <c r="P271" s="2903"/>
      <c r="Q271" s="2904" t="s">
        <v>15</v>
      </c>
      <c r="R271" s="2902"/>
      <c r="S271" s="2903"/>
      <c r="T271" s="2905" t="s">
        <v>16</v>
      </c>
      <c r="U271" s="2902"/>
      <c r="V271" s="2903"/>
      <c r="W271" s="2904" t="s">
        <v>17</v>
      </c>
      <c r="X271" s="2902"/>
      <c r="Y271" s="2903"/>
      <c r="Z271" s="2905" t="s">
        <v>18</v>
      </c>
      <c r="AA271" s="2902"/>
      <c r="AB271" s="2903"/>
      <c r="AC271" s="2904" t="s">
        <v>19</v>
      </c>
      <c r="AD271" s="2902"/>
      <c r="AE271" s="2903"/>
      <c r="AF271" s="2905" t="s">
        <v>20</v>
      </c>
      <c r="AG271" s="2902"/>
      <c r="AH271" s="2903"/>
      <c r="AI271" s="2904" t="s">
        <v>21</v>
      </c>
      <c r="AJ271" s="2902"/>
      <c r="AK271" s="2871"/>
    </row>
    <row r="272" spans="1:89" s="78" customFormat="1" ht="29.25" thickBot="1">
      <c r="A272" s="2853"/>
      <c r="B272" s="605" t="s">
        <v>152</v>
      </c>
      <c r="C272" s="605" t="s">
        <v>153</v>
      </c>
      <c r="D272" s="616" t="s">
        <v>151</v>
      </c>
      <c r="E272" s="607" t="s">
        <v>152</v>
      </c>
      <c r="F272" s="607" t="s">
        <v>153</v>
      </c>
      <c r="G272" s="617" t="s">
        <v>151</v>
      </c>
      <c r="H272" s="605" t="s">
        <v>152</v>
      </c>
      <c r="I272" s="605" t="s">
        <v>153</v>
      </c>
      <c r="J272" s="616" t="s">
        <v>151</v>
      </c>
      <c r="K272" s="607" t="s">
        <v>152</v>
      </c>
      <c r="L272" s="607" t="s">
        <v>153</v>
      </c>
      <c r="M272" s="617" t="s">
        <v>151</v>
      </c>
      <c r="N272" s="605" t="s">
        <v>152</v>
      </c>
      <c r="O272" s="605" t="s">
        <v>153</v>
      </c>
      <c r="P272" s="616" t="s">
        <v>151</v>
      </c>
      <c r="Q272" s="607" t="s">
        <v>152</v>
      </c>
      <c r="R272" s="607" t="s">
        <v>153</v>
      </c>
      <c r="S272" s="617" t="s">
        <v>151</v>
      </c>
      <c r="T272" s="605" t="s">
        <v>152</v>
      </c>
      <c r="U272" s="605" t="s">
        <v>153</v>
      </c>
      <c r="V272" s="616" t="s">
        <v>151</v>
      </c>
      <c r="W272" s="607" t="s">
        <v>152</v>
      </c>
      <c r="X272" s="607" t="s">
        <v>153</v>
      </c>
      <c r="Y272" s="617" t="s">
        <v>151</v>
      </c>
      <c r="Z272" s="605" t="s">
        <v>152</v>
      </c>
      <c r="AA272" s="605" t="s">
        <v>153</v>
      </c>
      <c r="AB272" s="616" t="s">
        <v>151</v>
      </c>
      <c r="AC272" s="607" t="s">
        <v>152</v>
      </c>
      <c r="AD272" s="607" t="s">
        <v>153</v>
      </c>
      <c r="AE272" s="617" t="s">
        <v>151</v>
      </c>
      <c r="AF272" s="605" t="s">
        <v>152</v>
      </c>
      <c r="AG272" s="605" t="s">
        <v>153</v>
      </c>
      <c r="AH272" s="616" t="s">
        <v>151</v>
      </c>
      <c r="AI272" s="607" t="s">
        <v>152</v>
      </c>
      <c r="AJ272" s="607" t="s">
        <v>153</v>
      </c>
      <c r="AK272" s="608" t="s">
        <v>151</v>
      </c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</row>
    <row r="273" spans="1:57" s="23" customFormat="1">
      <c r="A273" s="687" t="s">
        <v>652</v>
      </c>
      <c r="B273" s="132">
        <v>120</v>
      </c>
      <c r="C273" s="132">
        <f>B273*31</f>
        <v>3720</v>
      </c>
      <c r="D273" s="132">
        <v>3720</v>
      </c>
      <c r="E273" s="209">
        <v>120</v>
      </c>
      <c r="F273" s="209">
        <f>E273*29</f>
        <v>3480</v>
      </c>
      <c r="G273" s="209">
        <v>3480</v>
      </c>
      <c r="H273" s="132">
        <v>120</v>
      </c>
      <c r="I273" s="132">
        <f>H273*31</f>
        <v>3720</v>
      </c>
      <c r="J273" s="132">
        <v>3659</v>
      </c>
      <c r="K273" s="209">
        <v>120</v>
      </c>
      <c r="L273" s="209">
        <f>K273*30</f>
        <v>3600</v>
      </c>
      <c r="M273" s="209">
        <v>3518</v>
      </c>
      <c r="N273" s="132">
        <v>120</v>
      </c>
      <c r="O273" s="132">
        <f>N273*31</f>
        <v>3720</v>
      </c>
      <c r="P273" s="132">
        <v>3701</v>
      </c>
      <c r="Q273" s="209">
        <v>120</v>
      </c>
      <c r="R273" s="209">
        <f>Q273*30</f>
        <v>3600</v>
      </c>
      <c r="S273" s="209">
        <v>3557</v>
      </c>
      <c r="T273" s="132">
        <v>120</v>
      </c>
      <c r="U273" s="132">
        <f>T273*31</f>
        <v>3720</v>
      </c>
      <c r="V273" s="132">
        <v>3631</v>
      </c>
      <c r="W273" s="209">
        <v>120</v>
      </c>
      <c r="X273" s="209">
        <f>W273*31</f>
        <v>3720</v>
      </c>
      <c r="Y273" s="209">
        <v>3659</v>
      </c>
      <c r="Z273" s="132">
        <v>120</v>
      </c>
      <c r="AA273" s="132">
        <f>Z273*30</f>
        <v>3600</v>
      </c>
      <c r="AB273" s="132">
        <v>3533</v>
      </c>
      <c r="AC273" s="209">
        <v>120</v>
      </c>
      <c r="AD273" s="209">
        <f>AC273*31</f>
        <v>3720</v>
      </c>
      <c r="AE273" s="209">
        <v>3644</v>
      </c>
      <c r="AF273" s="132">
        <v>120</v>
      </c>
      <c r="AG273" s="132">
        <f>AF273*30</f>
        <v>3600</v>
      </c>
      <c r="AH273" s="132">
        <v>3545</v>
      </c>
      <c r="AI273" s="209">
        <v>120</v>
      </c>
      <c r="AJ273" s="209">
        <f>AI273*31</f>
        <v>3720</v>
      </c>
      <c r="AK273" s="481">
        <v>3720</v>
      </c>
    </row>
    <row r="274" spans="1:57" s="23" customFormat="1">
      <c r="A274" s="687" t="s">
        <v>507</v>
      </c>
      <c r="B274" s="132">
        <f>((92*3)+(82*4))*52/(366)</f>
        <v>85.814207650273218</v>
      </c>
      <c r="C274" s="132">
        <f t="shared" ref="C274:C295" si="22">B274*31</f>
        <v>2660.2404371584698</v>
      </c>
      <c r="D274" s="132">
        <v>2672</v>
      </c>
      <c r="E274" s="209">
        <f>B274</f>
        <v>85.814207650273218</v>
      </c>
      <c r="F274" s="209">
        <f>E274*29</f>
        <v>2488.6120218579235</v>
      </c>
      <c r="G274" s="209">
        <v>2508</v>
      </c>
      <c r="H274" s="132">
        <f>B274</f>
        <v>85.814207650273218</v>
      </c>
      <c r="I274" s="132">
        <f t="shared" ref="I274:I295" si="23">H274*31</f>
        <v>2660.2404371584698</v>
      </c>
      <c r="J274" s="132">
        <v>2680</v>
      </c>
      <c r="K274" s="209">
        <f>E274</f>
        <v>85.814207650273218</v>
      </c>
      <c r="L274" s="209">
        <f t="shared" ref="L274:L295" si="24">K274*30</f>
        <v>2574.4262295081967</v>
      </c>
      <c r="M274" s="209">
        <v>2538.33</v>
      </c>
      <c r="N274" s="132">
        <f>H274</f>
        <v>85.814207650273218</v>
      </c>
      <c r="O274" s="132">
        <f t="shared" ref="O274:O295" si="25">N274*31</f>
        <v>2660.2404371584698</v>
      </c>
      <c r="P274" s="132">
        <v>2684</v>
      </c>
      <c r="Q274" s="209">
        <f>K274</f>
        <v>85.814207650273218</v>
      </c>
      <c r="R274" s="209">
        <f t="shared" ref="R274:R295" si="26">Q274*30</f>
        <v>2574.4262295081967</v>
      </c>
      <c r="S274" s="209">
        <v>2561</v>
      </c>
      <c r="T274" s="132">
        <f>N274</f>
        <v>85.814207650273218</v>
      </c>
      <c r="U274" s="132">
        <f t="shared" ref="U274:U295" si="27">T274*31</f>
        <v>2660.2404371584698</v>
      </c>
      <c r="V274" s="132">
        <v>2544</v>
      </c>
      <c r="W274" s="209">
        <f>Q274</f>
        <v>85.814207650273218</v>
      </c>
      <c r="X274" s="209">
        <f t="shared" ref="X274:X295" si="28">W274*31</f>
        <v>2660.2404371584698</v>
      </c>
      <c r="Y274" s="209">
        <v>2660</v>
      </c>
      <c r="Z274" s="132">
        <f>T274</f>
        <v>85.814207650273218</v>
      </c>
      <c r="AA274" s="132">
        <f t="shared" ref="AA274:AA295" si="29">Z274*30</f>
        <v>2574.4262295081967</v>
      </c>
      <c r="AB274" s="132">
        <v>2578</v>
      </c>
      <c r="AC274" s="209">
        <f>W274</f>
        <v>85.814207650273218</v>
      </c>
      <c r="AD274" s="209">
        <f t="shared" ref="AD274:AD295" si="30">AC274*31</f>
        <v>2660.2404371584698</v>
      </c>
      <c r="AE274" s="209">
        <v>2660</v>
      </c>
      <c r="AF274" s="132">
        <f>Z274</f>
        <v>85.814207650273218</v>
      </c>
      <c r="AG274" s="132">
        <f t="shared" ref="AG274:AG295" si="31">AF274*30</f>
        <v>2574.4262295081967</v>
      </c>
      <c r="AH274" s="132">
        <v>2412</v>
      </c>
      <c r="AI274" s="209">
        <f>AC274</f>
        <v>85.814207650273218</v>
      </c>
      <c r="AJ274" s="209">
        <f t="shared" ref="AJ274:AJ295" si="32">AI274*31</f>
        <v>2660.2404371584698</v>
      </c>
      <c r="AK274" s="481">
        <v>2660</v>
      </c>
    </row>
    <row r="275" spans="1:57" s="23" customFormat="1">
      <c r="A275" s="986" t="s">
        <v>583</v>
      </c>
      <c r="B275" s="132">
        <v>24</v>
      </c>
      <c r="C275" s="132">
        <f t="shared" si="22"/>
        <v>744</v>
      </c>
      <c r="D275" s="132">
        <v>744</v>
      </c>
      <c r="E275" s="209">
        <v>24</v>
      </c>
      <c r="F275" s="209">
        <f t="shared" ref="F275:F295" si="33">E275*29</f>
        <v>696</v>
      </c>
      <c r="G275" s="209">
        <v>696</v>
      </c>
      <c r="H275" s="132">
        <v>24</v>
      </c>
      <c r="I275" s="132">
        <f t="shared" si="23"/>
        <v>744</v>
      </c>
      <c r="J275" s="132">
        <v>744</v>
      </c>
      <c r="K275" s="209">
        <v>24</v>
      </c>
      <c r="L275" s="209">
        <f t="shared" si="24"/>
        <v>720</v>
      </c>
      <c r="M275" s="209">
        <v>716.5</v>
      </c>
      <c r="N275" s="132">
        <v>24</v>
      </c>
      <c r="O275" s="132">
        <f t="shared" si="25"/>
        <v>744</v>
      </c>
      <c r="P275" s="132">
        <v>744</v>
      </c>
      <c r="Q275" s="209">
        <v>24</v>
      </c>
      <c r="R275" s="209">
        <f t="shared" si="26"/>
        <v>720</v>
      </c>
      <c r="S275" s="209">
        <v>719</v>
      </c>
      <c r="T275" s="132">
        <v>24</v>
      </c>
      <c r="U275" s="132">
        <f t="shared" si="27"/>
        <v>744</v>
      </c>
      <c r="V275" s="132">
        <v>744</v>
      </c>
      <c r="W275" s="209">
        <v>24</v>
      </c>
      <c r="X275" s="209">
        <f t="shared" si="28"/>
        <v>744</v>
      </c>
      <c r="Y275" s="209">
        <v>744</v>
      </c>
      <c r="Z275" s="132">
        <v>24</v>
      </c>
      <c r="AA275" s="132">
        <f t="shared" si="29"/>
        <v>720</v>
      </c>
      <c r="AB275" s="132">
        <v>721</v>
      </c>
      <c r="AC275" s="209">
        <v>24</v>
      </c>
      <c r="AD275" s="209">
        <f t="shared" si="30"/>
        <v>744</v>
      </c>
      <c r="AE275" s="209">
        <v>744</v>
      </c>
      <c r="AF275" s="132">
        <v>24</v>
      </c>
      <c r="AG275" s="132">
        <f t="shared" si="31"/>
        <v>720</v>
      </c>
      <c r="AH275" s="132">
        <v>721</v>
      </c>
      <c r="AI275" s="209">
        <v>24</v>
      </c>
      <c r="AJ275" s="209">
        <f t="shared" si="32"/>
        <v>744</v>
      </c>
      <c r="AK275" s="481">
        <v>744</v>
      </c>
    </row>
    <row r="276" spans="1:57" s="23" customFormat="1">
      <c r="A276" s="986" t="s">
        <v>580</v>
      </c>
      <c r="B276" s="132">
        <v>24</v>
      </c>
      <c r="C276" s="132">
        <f t="shared" si="22"/>
        <v>744</v>
      </c>
      <c r="D276" s="133">
        <v>745</v>
      </c>
      <c r="E276" s="209">
        <v>24</v>
      </c>
      <c r="F276" s="209">
        <f t="shared" si="33"/>
        <v>696</v>
      </c>
      <c r="G276" s="210">
        <v>696</v>
      </c>
      <c r="H276" s="132">
        <v>24</v>
      </c>
      <c r="I276" s="132">
        <f t="shared" si="23"/>
        <v>744</v>
      </c>
      <c r="J276" s="132">
        <v>743</v>
      </c>
      <c r="K276" s="209">
        <v>24</v>
      </c>
      <c r="L276" s="209">
        <f t="shared" si="24"/>
        <v>720</v>
      </c>
      <c r="M276" s="209">
        <v>716.75</v>
      </c>
      <c r="N276" s="132">
        <v>24</v>
      </c>
      <c r="O276" s="132">
        <f t="shared" si="25"/>
        <v>744</v>
      </c>
      <c r="P276" s="132">
        <v>744</v>
      </c>
      <c r="Q276" s="209">
        <v>24</v>
      </c>
      <c r="R276" s="209">
        <f t="shared" si="26"/>
        <v>720</v>
      </c>
      <c r="S276" s="209">
        <v>720</v>
      </c>
      <c r="T276" s="132">
        <v>24</v>
      </c>
      <c r="U276" s="132">
        <f t="shared" si="27"/>
        <v>744</v>
      </c>
      <c r="V276" s="132">
        <v>744</v>
      </c>
      <c r="W276" s="209">
        <v>24</v>
      </c>
      <c r="X276" s="209">
        <f t="shared" si="28"/>
        <v>744</v>
      </c>
      <c r="Y276" s="209">
        <v>744</v>
      </c>
      <c r="Z276" s="132">
        <v>24</v>
      </c>
      <c r="AA276" s="132">
        <f t="shared" si="29"/>
        <v>720</v>
      </c>
      <c r="AB276" s="132">
        <v>720</v>
      </c>
      <c r="AC276" s="209">
        <v>24</v>
      </c>
      <c r="AD276" s="209">
        <f t="shared" si="30"/>
        <v>744</v>
      </c>
      <c r="AE276" s="209">
        <v>744</v>
      </c>
      <c r="AF276" s="132">
        <v>24</v>
      </c>
      <c r="AG276" s="132">
        <f t="shared" si="31"/>
        <v>720</v>
      </c>
      <c r="AH276" s="132">
        <v>721</v>
      </c>
      <c r="AI276" s="209">
        <v>24</v>
      </c>
      <c r="AJ276" s="209">
        <f t="shared" si="32"/>
        <v>744</v>
      </c>
      <c r="AK276" s="481">
        <v>744</v>
      </c>
    </row>
    <row r="277" spans="1:57" s="23" customFormat="1">
      <c r="A277" s="687" t="s">
        <v>84</v>
      </c>
      <c r="B277" s="132">
        <v>37</v>
      </c>
      <c r="C277" s="132">
        <f t="shared" si="22"/>
        <v>1147</v>
      </c>
      <c r="D277" s="132">
        <v>1148</v>
      </c>
      <c r="E277" s="209">
        <v>37</v>
      </c>
      <c r="F277" s="209">
        <f t="shared" si="33"/>
        <v>1073</v>
      </c>
      <c r="G277" s="209">
        <v>1073</v>
      </c>
      <c r="H277" s="132">
        <v>37</v>
      </c>
      <c r="I277" s="132">
        <f>H277*31</f>
        <v>1147</v>
      </c>
      <c r="J277" s="132">
        <v>1208</v>
      </c>
      <c r="K277" s="209">
        <v>37</v>
      </c>
      <c r="L277" s="209">
        <f t="shared" si="24"/>
        <v>1110</v>
      </c>
      <c r="M277" s="209">
        <v>1128</v>
      </c>
      <c r="N277" s="132">
        <v>37</v>
      </c>
      <c r="O277" s="132">
        <f t="shared" si="25"/>
        <v>1147</v>
      </c>
      <c r="P277" s="132">
        <v>1147</v>
      </c>
      <c r="Q277" s="209">
        <v>37</v>
      </c>
      <c r="R277" s="209">
        <f t="shared" si="26"/>
        <v>1110</v>
      </c>
      <c r="S277" s="209">
        <v>1021</v>
      </c>
      <c r="T277" s="132">
        <v>37</v>
      </c>
      <c r="U277" s="132">
        <f t="shared" si="27"/>
        <v>1147</v>
      </c>
      <c r="V277" s="132">
        <v>1081</v>
      </c>
      <c r="W277" s="209">
        <v>37</v>
      </c>
      <c r="X277" s="209">
        <f t="shared" si="28"/>
        <v>1147</v>
      </c>
      <c r="Y277" s="209">
        <v>1148</v>
      </c>
      <c r="Z277" s="132">
        <v>37</v>
      </c>
      <c r="AA277" s="132">
        <f t="shared" si="29"/>
        <v>1110</v>
      </c>
      <c r="AB277" s="132">
        <v>1110</v>
      </c>
      <c r="AC277" s="209">
        <v>37</v>
      </c>
      <c r="AD277" s="209">
        <f t="shared" si="30"/>
        <v>1147</v>
      </c>
      <c r="AE277" s="209">
        <v>1147</v>
      </c>
      <c r="AF277" s="132">
        <v>37</v>
      </c>
      <c r="AG277" s="132">
        <f t="shared" si="31"/>
        <v>1110</v>
      </c>
      <c r="AH277" s="132">
        <v>1171</v>
      </c>
      <c r="AI277" s="209">
        <v>37</v>
      </c>
      <c r="AJ277" s="209">
        <f t="shared" si="32"/>
        <v>1147</v>
      </c>
      <c r="AK277" s="481">
        <v>1147</v>
      </c>
    </row>
    <row r="278" spans="1:57" s="23" customFormat="1">
      <c r="A278" s="986" t="s">
        <v>594</v>
      </c>
      <c r="B278" s="132">
        <v>8.66</v>
      </c>
      <c r="C278" s="132">
        <f t="shared" si="22"/>
        <v>268.45999999999998</v>
      </c>
      <c r="D278" s="132">
        <v>282</v>
      </c>
      <c r="E278" s="209">
        <v>9</v>
      </c>
      <c r="F278" s="209">
        <f t="shared" si="33"/>
        <v>261</v>
      </c>
      <c r="G278" s="209">
        <v>293.5</v>
      </c>
      <c r="H278" s="132">
        <v>9</v>
      </c>
      <c r="I278" s="132">
        <f t="shared" si="23"/>
        <v>279</v>
      </c>
      <c r="J278" s="132">
        <v>274</v>
      </c>
      <c r="K278" s="209">
        <v>9</v>
      </c>
      <c r="L278" s="209">
        <f t="shared" si="24"/>
        <v>270</v>
      </c>
      <c r="M278" s="209">
        <v>270</v>
      </c>
      <c r="N278" s="132">
        <v>9</v>
      </c>
      <c r="O278" s="132">
        <f t="shared" si="25"/>
        <v>279</v>
      </c>
      <c r="P278" s="132">
        <v>279</v>
      </c>
      <c r="Q278" s="209">
        <v>9</v>
      </c>
      <c r="R278" s="209">
        <f t="shared" si="26"/>
        <v>270</v>
      </c>
      <c r="S278" s="209">
        <v>270</v>
      </c>
      <c r="T278" s="132">
        <v>9</v>
      </c>
      <c r="U278" s="132">
        <f t="shared" si="27"/>
        <v>279</v>
      </c>
      <c r="V278" s="132">
        <v>279</v>
      </c>
      <c r="W278" s="209">
        <v>9</v>
      </c>
      <c r="X278" s="209">
        <f t="shared" si="28"/>
        <v>279</v>
      </c>
      <c r="Y278" s="209">
        <v>279</v>
      </c>
      <c r="Z278" s="132">
        <v>9</v>
      </c>
      <c r="AA278" s="132">
        <f t="shared" si="29"/>
        <v>270</v>
      </c>
      <c r="AB278" s="132">
        <v>270</v>
      </c>
      <c r="AC278" s="209">
        <v>9</v>
      </c>
      <c r="AD278" s="209">
        <f t="shared" si="30"/>
        <v>279</v>
      </c>
      <c r="AE278" s="209">
        <v>285</v>
      </c>
      <c r="AF278" s="132">
        <v>9</v>
      </c>
      <c r="AG278" s="132">
        <f t="shared" si="31"/>
        <v>270</v>
      </c>
      <c r="AH278" s="132">
        <v>248</v>
      </c>
      <c r="AI278" s="209">
        <v>9</v>
      </c>
      <c r="AJ278" s="209">
        <f t="shared" si="32"/>
        <v>279</v>
      </c>
      <c r="AK278" s="481">
        <v>279</v>
      </c>
    </row>
    <row r="279" spans="1:57" s="23" customFormat="1">
      <c r="A279" s="687" t="s">
        <v>595</v>
      </c>
      <c r="B279" s="132">
        <v>82.57</v>
      </c>
      <c r="C279" s="132">
        <f>B279*31</f>
        <v>2559.6699999999996</v>
      </c>
      <c r="D279" s="132">
        <v>2493</v>
      </c>
      <c r="E279" s="209">
        <v>83</v>
      </c>
      <c r="F279" s="209">
        <f t="shared" si="33"/>
        <v>2407</v>
      </c>
      <c r="G279" s="209">
        <v>2365</v>
      </c>
      <c r="H279" s="132">
        <v>83</v>
      </c>
      <c r="I279" s="132">
        <f t="shared" si="23"/>
        <v>2573</v>
      </c>
      <c r="J279" s="132">
        <v>2560.5</v>
      </c>
      <c r="K279" s="209">
        <v>83</v>
      </c>
      <c r="L279" s="209">
        <f t="shared" si="24"/>
        <v>2490</v>
      </c>
      <c r="M279" s="209">
        <v>2452</v>
      </c>
      <c r="N279" s="132">
        <v>83</v>
      </c>
      <c r="O279" s="132">
        <f t="shared" si="25"/>
        <v>2573</v>
      </c>
      <c r="P279" s="132">
        <v>2573</v>
      </c>
      <c r="Q279" s="209">
        <v>83</v>
      </c>
      <c r="R279" s="209">
        <f t="shared" si="26"/>
        <v>2490</v>
      </c>
      <c r="S279" s="209">
        <v>2490</v>
      </c>
      <c r="T279" s="132">
        <v>83</v>
      </c>
      <c r="U279" s="132">
        <f t="shared" si="27"/>
        <v>2573</v>
      </c>
      <c r="V279" s="132">
        <v>2573</v>
      </c>
      <c r="W279" s="209">
        <v>83</v>
      </c>
      <c r="X279" s="209">
        <f t="shared" si="28"/>
        <v>2573</v>
      </c>
      <c r="Y279" s="209">
        <v>2700</v>
      </c>
      <c r="Z279" s="132">
        <v>83</v>
      </c>
      <c r="AA279" s="132">
        <f t="shared" si="29"/>
        <v>2490</v>
      </c>
      <c r="AB279" s="132">
        <v>2618</v>
      </c>
      <c r="AC279" s="209">
        <v>83</v>
      </c>
      <c r="AD279" s="209">
        <f t="shared" si="30"/>
        <v>2573</v>
      </c>
      <c r="AE279" s="209">
        <v>2717</v>
      </c>
      <c r="AF279" s="132">
        <v>83</v>
      </c>
      <c r="AG279" s="132">
        <f t="shared" si="31"/>
        <v>2490</v>
      </c>
      <c r="AH279" s="132">
        <v>2498</v>
      </c>
      <c r="AI279" s="209">
        <v>83</v>
      </c>
      <c r="AJ279" s="209">
        <f t="shared" si="32"/>
        <v>2573</v>
      </c>
      <c r="AK279" s="481">
        <v>2573</v>
      </c>
      <c r="AL279" s="96"/>
    </row>
    <row r="280" spans="1:57" s="23" customFormat="1">
      <c r="A280" s="687" t="s">
        <v>596</v>
      </c>
      <c r="B280" s="132">
        <v>24</v>
      </c>
      <c r="C280" s="132">
        <f t="shared" si="22"/>
        <v>744</v>
      </c>
      <c r="D280" s="132">
        <v>775</v>
      </c>
      <c r="E280" s="209">
        <v>24</v>
      </c>
      <c r="F280" s="209">
        <f t="shared" si="33"/>
        <v>696</v>
      </c>
      <c r="G280" s="209">
        <v>736</v>
      </c>
      <c r="H280" s="132">
        <v>24</v>
      </c>
      <c r="I280" s="132">
        <f t="shared" si="23"/>
        <v>744</v>
      </c>
      <c r="J280" s="132">
        <v>776</v>
      </c>
      <c r="K280" s="209">
        <v>24</v>
      </c>
      <c r="L280" s="209">
        <f t="shared" si="24"/>
        <v>720</v>
      </c>
      <c r="M280" s="209">
        <v>720</v>
      </c>
      <c r="N280" s="132">
        <v>24</v>
      </c>
      <c r="O280" s="132">
        <f t="shared" si="25"/>
        <v>744</v>
      </c>
      <c r="P280" s="132">
        <v>744</v>
      </c>
      <c r="Q280" s="209">
        <v>24</v>
      </c>
      <c r="R280" s="209">
        <f t="shared" si="26"/>
        <v>720</v>
      </c>
      <c r="S280" s="209">
        <v>720</v>
      </c>
      <c r="T280" s="132">
        <v>24</v>
      </c>
      <c r="U280" s="132">
        <f t="shared" si="27"/>
        <v>744</v>
      </c>
      <c r="V280" s="132">
        <v>744</v>
      </c>
      <c r="W280" s="209">
        <v>24</v>
      </c>
      <c r="X280" s="209">
        <f t="shared" si="28"/>
        <v>744</v>
      </c>
      <c r="Y280" s="209">
        <v>744</v>
      </c>
      <c r="Z280" s="132">
        <v>24</v>
      </c>
      <c r="AA280" s="132">
        <f t="shared" si="29"/>
        <v>720</v>
      </c>
      <c r="AB280" s="132">
        <v>720</v>
      </c>
      <c r="AC280" s="209">
        <v>24</v>
      </c>
      <c r="AD280" s="209">
        <f t="shared" si="30"/>
        <v>744</v>
      </c>
      <c r="AE280" s="209">
        <v>744</v>
      </c>
      <c r="AF280" s="132">
        <v>24</v>
      </c>
      <c r="AG280" s="132">
        <f t="shared" si="31"/>
        <v>720</v>
      </c>
      <c r="AH280" s="132">
        <v>720</v>
      </c>
      <c r="AI280" s="209">
        <v>24</v>
      </c>
      <c r="AJ280" s="209">
        <f t="shared" si="32"/>
        <v>744</v>
      </c>
      <c r="AK280" s="481">
        <v>744</v>
      </c>
      <c r="AL280" s="96"/>
    </row>
    <row r="281" spans="1:57" s="23" customFormat="1">
      <c r="A281" s="986" t="s">
        <v>579</v>
      </c>
      <c r="B281" s="132">
        <v>24</v>
      </c>
      <c r="C281" s="132">
        <f t="shared" si="22"/>
        <v>744</v>
      </c>
      <c r="D281" s="132">
        <v>752</v>
      </c>
      <c r="E281" s="209">
        <v>24</v>
      </c>
      <c r="F281" s="209">
        <f t="shared" si="33"/>
        <v>696</v>
      </c>
      <c r="G281" s="209">
        <v>703</v>
      </c>
      <c r="H281" s="132">
        <v>24</v>
      </c>
      <c r="I281" s="132">
        <f t="shared" si="23"/>
        <v>744</v>
      </c>
      <c r="J281" s="132">
        <v>759.5</v>
      </c>
      <c r="K281" s="209">
        <v>24</v>
      </c>
      <c r="L281" s="209">
        <f t="shared" si="24"/>
        <v>720</v>
      </c>
      <c r="M281" s="209">
        <v>712.5</v>
      </c>
      <c r="N281" s="132">
        <v>24</v>
      </c>
      <c r="O281" s="132">
        <f t="shared" si="25"/>
        <v>744</v>
      </c>
      <c r="P281" s="132">
        <v>745</v>
      </c>
      <c r="Q281" s="209">
        <v>24</v>
      </c>
      <c r="R281" s="209">
        <f t="shared" si="26"/>
        <v>720</v>
      </c>
      <c r="S281" s="209">
        <v>726</v>
      </c>
      <c r="T281" s="132">
        <v>24</v>
      </c>
      <c r="U281" s="132">
        <f t="shared" si="27"/>
        <v>744</v>
      </c>
      <c r="V281" s="132">
        <v>744</v>
      </c>
      <c r="W281" s="746"/>
      <c r="X281" s="746"/>
      <c r="Y281" s="746"/>
      <c r="Z281" s="746"/>
      <c r="AA281" s="746"/>
      <c r="AB281" s="746"/>
      <c r="AC281" s="746"/>
      <c r="AD281" s="746"/>
      <c r="AE281" s="746"/>
      <c r="AF281" s="746"/>
      <c r="AG281" s="746"/>
      <c r="AH281" s="746"/>
      <c r="AI281" s="746"/>
      <c r="AJ281" s="746"/>
      <c r="AK281" s="626"/>
    </row>
    <row r="282" spans="1:57" s="23" customFormat="1">
      <c r="A282" s="986" t="s">
        <v>582</v>
      </c>
      <c r="B282" s="132">
        <v>24</v>
      </c>
      <c r="C282" s="132">
        <f t="shared" si="22"/>
        <v>744</v>
      </c>
      <c r="D282" s="132">
        <v>744</v>
      </c>
      <c r="E282" s="209">
        <v>24</v>
      </c>
      <c r="F282" s="209">
        <f t="shared" si="33"/>
        <v>696</v>
      </c>
      <c r="G282" s="209">
        <v>696</v>
      </c>
      <c r="H282" s="132">
        <v>24</v>
      </c>
      <c r="I282" s="132">
        <f t="shared" si="23"/>
        <v>744</v>
      </c>
      <c r="J282" s="132">
        <v>744</v>
      </c>
      <c r="K282" s="209">
        <v>24</v>
      </c>
      <c r="L282" s="209">
        <f t="shared" si="24"/>
        <v>720</v>
      </c>
      <c r="M282" s="209">
        <v>720</v>
      </c>
      <c r="N282" s="132">
        <v>24</v>
      </c>
      <c r="O282" s="132">
        <f t="shared" si="25"/>
        <v>744</v>
      </c>
      <c r="P282" s="132">
        <v>744</v>
      </c>
      <c r="Q282" s="209">
        <v>24</v>
      </c>
      <c r="R282" s="209">
        <f t="shared" si="26"/>
        <v>720</v>
      </c>
      <c r="S282" s="209">
        <v>720</v>
      </c>
      <c r="T282" s="132">
        <v>24</v>
      </c>
      <c r="U282" s="132">
        <f t="shared" si="27"/>
        <v>744</v>
      </c>
      <c r="V282" s="132">
        <v>744</v>
      </c>
      <c r="W282" s="209">
        <v>24</v>
      </c>
      <c r="X282" s="209">
        <f t="shared" si="28"/>
        <v>744</v>
      </c>
      <c r="Y282" s="209">
        <v>744</v>
      </c>
      <c r="Z282" s="132">
        <v>24</v>
      </c>
      <c r="AA282" s="132">
        <f t="shared" si="29"/>
        <v>720</v>
      </c>
      <c r="AB282" s="132">
        <v>720</v>
      </c>
      <c r="AC282" s="209">
        <v>24</v>
      </c>
      <c r="AD282" s="209">
        <f t="shared" si="30"/>
        <v>744</v>
      </c>
      <c r="AE282" s="209">
        <v>744</v>
      </c>
      <c r="AF282" s="132">
        <v>24</v>
      </c>
      <c r="AG282" s="132">
        <f t="shared" si="31"/>
        <v>720</v>
      </c>
      <c r="AH282" s="132">
        <v>529</v>
      </c>
      <c r="AI282" s="209">
        <v>24</v>
      </c>
      <c r="AJ282" s="209">
        <f t="shared" si="32"/>
        <v>744</v>
      </c>
      <c r="AK282" s="481">
        <v>744</v>
      </c>
    </row>
    <row r="283" spans="1:57" s="23" customFormat="1">
      <c r="A283" s="687" t="s">
        <v>30</v>
      </c>
      <c r="B283" s="132">
        <v>42</v>
      </c>
      <c r="C283" s="132">
        <f t="shared" si="22"/>
        <v>1302</v>
      </c>
      <c r="D283" s="132">
        <v>1327</v>
      </c>
      <c r="E283" s="209">
        <v>42</v>
      </c>
      <c r="F283" s="209">
        <f t="shared" si="33"/>
        <v>1218</v>
      </c>
      <c r="G283" s="209">
        <v>1342</v>
      </c>
      <c r="H283" s="132">
        <v>48</v>
      </c>
      <c r="I283" s="132">
        <f t="shared" si="23"/>
        <v>1488</v>
      </c>
      <c r="J283" s="132">
        <v>1495.67</v>
      </c>
      <c r="K283" s="209">
        <v>48</v>
      </c>
      <c r="L283" s="209">
        <f t="shared" si="24"/>
        <v>1440</v>
      </c>
      <c r="M283" s="209">
        <v>1440</v>
      </c>
      <c r="N283" s="132">
        <v>48</v>
      </c>
      <c r="O283" s="132">
        <f t="shared" si="25"/>
        <v>1488</v>
      </c>
      <c r="P283" s="132">
        <v>1503</v>
      </c>
      <c r="Q283" s="209">
        <v>48</v>
      </c>
      <c r="R283" s="209">
        <f t="shared" si="26"/>
        <v>1440</v>
      </c>
      <c r="S283" s="209">
        <v>1446</v>
      </c>
      <c r="T283" s="132">
        <v>48</v>
      </c>
      <c r="U283" s="132">
        <f t="shared" si="27"/>
        <v>1488</v>
      </c>
      <c r="V283" s="132">
        <v>1508</v>
      </c>
      <c r="W283" s="209">
        <v>48</v>
      </c>
      <c r="X283" s="209">
        <f t="shared" si="28"/>
        <v>1488</v>
      </c>
      <c r="Y283" s="209">
        <v>1467</v>
      </c>
      <c r="Z283" s="132">
        <v>48</v>
      </c>
      <c r="AA283" s="132">
        <f t="shared" si="29"/>
        <v>1440</v>
      </c>
      <c r="AB283" s="132">
        <v>1446</v>
      </c>
      <c r="AC283" s="209">
        <v>48</v>
      </c>
      <c r="AD283" s="209">
        <f t="shared" si="30"/>
        <v>1488</v>
      </c>
      <c r="AE283" s="209">
        <v>1488</v>
      </c>
      <c r="AF283" s="132">
        <v>48</v>
      </c>
      <c r="AG283" s="132">
        <f t="shared" si="31"/>
        <v>1440</v>
      </c>
      <c r="AH283" s="132">
        <v>2029</v>
      </c>
      <c r="AI283" s="209">
        <v>48</v>
      </c>
      <c r="AJ283" s="209">
        <f t="shared" si="32"/>
        <v>1488</v>
      </c>
      <c r="AK283" s="481">
        <v>1488</v>
      </c>
    </row>
    <row r="284" spans="1:57" s="23" customFormat="1">
      <c r="A284" s="986" t="s">
        <v>578</v>
      </c>
      <c r="B284" s="132">
        <v>32</v>
      </c>
      <c r="C284" s="132">
        <f t="shared" si="22"/>
        <v>992</v>
      </c>
      <c r="D284" s="132">
        <v>991.5</v>
      </c>
      <c r="E284" s="209">
        <v>32</v>
      </c>
      <c r="F284" s="209">
        <f t="shared" si="33"/>
        <v>928</v>
      </c>
      <c r="G284" s="209">
        <v>934</v>
      </c>
      <c r="H284" s="132">
        <v>32</v>
      </c>
      <c r="I284" s="132">
        <f t="shared" si="23"/>
        <v>992</v>
      </c>
      <c r="J284" s="132">
        <v>995</v>
      </c>
      <c r="K284" s="209">
        <v>32</v>
      </c>
      <c r="L284" s="209">
        <f t="shared" si="24"/>
        <v>960</v>
      </c>
      <c r="M284" s="209">
        <v>969.5</v>
      </c>
      <c r="N284" s="132">
        <v>32</v>
      </c>
      <c r="O284" s="132">
        <f t="shared" si="25"/>
        <v>992</v>
      </c>
      <c r="P284" s="132">
        <v>996</v>
      </c>
      <c r="Q284" s="209">
        <v>32</v>
      </c>
      <c r="R284" s="209">
        <f t="shared" si="26"/>
        <v>960</v>
      </c>
      <c r="S284" s="209">
        <v>966</v>
      </c>
      <c r="T284" s="132">
        <v>32</v>
      </c>
      <c r="U284" s="132">
        <f t="shared" si="27"/>
        <v>992</v>
      </c>
      <c r="V284" s="132">
        <v>1005</v>
      </c>
      <c r="W284" s="209">
        <v>32</v>
      </c>
      <c r="X284" s="209">
        <f t="shared" si="28"/>
        <v>992</v>
      </c>
      <c r="Y284" s="209">
        <v>993</v>
      </c>
      <c r="Z284" s="132">
        <v>32</v>
      </c>
      <c r="AA284" s="132">
        <f t="shared" si="29"/>
        <v>960</v>
      </c>
      <c r="AB284" s="132">
        <v>963</v>
      </c>
      <c r="AC284" s="209">
        <v>32</v>
      </c>
      <c r="AD284" s="209">
        <f t="shared" si="30"/>
        <v>992</v>
      </c>
      <c r="AE284" s="209">
        <v>1013</v>
      </c>
      <c r="AF284" s="132">
        <v>32</v>
      </c>
      <c r="AG284" s="132">
        <f t="shared" si="31"/>
        <v>960</v>
      </c>
      <c r="AH284" s="132">
        <v>1016</v>
      </c>
      <c r="AI284" s="209">
        <v>32</v>
      </c>
      <c r="AJ284" s="209">
        <f t="shared" si="32"/>
        <v>992</v>
      </c>
      <c r="AK284" s="481">
        <v>992</v>
      </c>
    </row>
    <row r="285" spans="1:57" s="23" customFormat="1">
      <c r="A285" s="687" t="s">
        <v>85</v>
      </c>
      <c r="B285" s="132">
        <v>24</v>
      </c>
      <c r="C285" s="132">
        <f t="shared" si="22"/>
        <v>744</v>
      </c>
      <c r="D285" s="132">
        <v>744</v>
      </c>
      <c r="E285" s="209">
        <v>24</v>
      </c>
      <c r="F285" s="209">
        <f t="shared" si="33"/>
        <v>696</v>
      </c>
      <c r="G285" s="209">
        <v>696</v>
      </c>
      <c r="H285" s="132">
        <v>24</v>
      </c>
      <c r="I285" s="132">
        <f t="shared" si="23"/>
        <v>744</v>
      </c>
      <c r="J285" s="132">
        <v>744</v>
      </c>
      <c r="K285" s="209">
        <v>24</v>
      </c>
      <c r="L285" s="209">
        <f t="shared" si="24"/>
        <v>720</v>
      </c>
      <c r="M285" s="209">
        <v>720</v>
      </c>
      <c r="N285" s="132">
        <v>24</v>
      </c>
      <c r="O285" s="132">
        <f t="shared" si="25"/>
        <v>744</v>
      </c>
      <c r="P285" s="132">
        <v>744</v>
      </c>
      <c r="Q285" s="209">
        <v>24</v>
      </c>
      <c r="R285" s="209">
        <f>Q285*30</f>
        <v>720</v>
      </c>
      <c r="S285" s="209">
        <v>720</v>
      </c>
      <c r="T285" s="132">
        <v>24</v>
      </c>
      <c r="U285" s="132">
        <f t="shared" si="27"/>
        <v>744</v>
      </c>
      <c r="V285" s="132">
        <v>744</v>
      </c>
      <c r="W285" s="209">
        <v>24</v>
      </c>
      <c r="X285" s="209">
        <f t="shared" si="28"/>
        <v>744</v>
      </c>
      <c r="Y285" s="209">
        <v>744</v>
      </c>
      <c r="Z285" s="132">
        <v>24</v>
      </c>
      <c r="AA285" s="132">
        <f t="shared" si="29"/>
        <v>720</v>
      </c>
      <c r="AB285" s="132">
        <v>723</v>
      </c>
      <c r="AC285" s="209">
        <v>24</v>
      </c>
      <c r="AD285" s="209">
        <f t="shared" si="30"/>
        <v>744</v>
      </c>
      <c r="AE285" s="209">
        <v>744</v>
      </c>
      <c r="AF285" s="132">
        <v>24</v>
      </c>
      <c r="AG285" s="132">
        <f t="shared" si="31"/>
        <v>720</v>
      </c>
      <c r="AH285" s="132">
        <v>721</v>
      </c>
      <c r="AI285" s="209">
        <v>24</v>
      </c>
      <c r="AJ285" s="209">
        <f t="shared" si="32"/>
        <v>744</v>
      </c>
      <c r="AK285" s="481">
        <v>744</v>
      </c>
    </row>
    <row r="286" spans="1:57" s="23" customFormat="1">
      <c r="A286" s="687" t="s">
        <v>31</v>
      </c>
      <c r="B286" s="132">
        <v>24</v>
      </c>
      <c r="C286" s="132">
        <f t="shared" si="22"/>
        <v>744</v>
      </c>
      <c r="D286" s="132">
        <v>809</v>
      </c>
      <c r="E286" s="209">
        <v>24</v>
      </c>
      <c r="F286" s="209">
        <f t="shared" si="33"/>
        <v>696</v>
      </c>
      <c r="G286" s="209">
        <v>744</v>
      </c>
      <c r="H286" s="132">
        <v>24</v>
      </c>
      <c r="I286" s="132">
        <f t="shared" si="23"/>
        <v>744</v>
      </c>
      <c r="J286" s="132">
        <v>775</v>
      </c>
      <c r="K286" s="209">
        <v>24</v>
      </c>
      <c r="L286" s="209">
        <f t="shared" si="24"/>
        <v>720</v>
      </c>
      <c r="M286" s="209">
        <v>720</v>
      </c>
      <c r="N286" s="132">
        <v>24</v>
      </c>
      <c r="O286" s="132">
        <f t="shared" si="25"/>
        <v>744</v>
      </c>
      <c r="P286" s="132">
        <v>873</v>
      </c>
      <c r="Q286" s="209">
        <v>24</v>
      </c>
      <c r="R286" s="209">
        <f t="shared" si="26"/>
        <v>720</v>
      </c>
      <c r="S286" s="209">
        <v>751</v>
      </c>
      <c r="T286" s="132">
        <v>24</v>
      </c>
      <c r="U286" s="132">
        <f t="shared" si="27"/>
        <v>744</v>
      </c>
      <c r="V286" s="132">
        <v>777</v>
      </c>
      <c r="W286" s="209">
        <v>24</v>
      </c>
      <c r="X286" s="209">
        <f t="shared" si="28"/>
        <v>744</v>
      </c>
      <c r="Y286" s="209">
        <v>770</v>
      </c>
      <c r="Z286" s="132">
        <v>24</v>
      </c>
      <c r="AA286" s="132">
        <f t="shared" si="29"/>
        <v>720</v>
      </c>
      <c r="AB286" s="132">
        <v>727</v>
      </c>
      <c r="AC286" s="209">
        <v>24</v>
      </c>
      <c r="AD286" s="209">
        <f t="shared" si="30"/>
        <v>744</v>
      </c>
      <c r="AE286" s="209">
        <v>744</v>
      </c>
      <c r="AF286" s="132">
        <v>24</v>
      </c>
      <c r="AG286" s="132">
        <f t="shared" si="31"/>
        <v>720</v>
      </c>
      <c r="AH286" s="132">
        <v>721</v>
      </c>
      <c r="AI286" s="209">
        <v>24</v>
      </c>
      <c r="AJ286" s="209">
        <f t="shared" si="32"/>
        <v>744</v>
      </c>
      <c r="AK286" s="481">
        <v>744</v>
      </c>
    </row>
    <row r="287" spans="1:57" s="23" customFormat="1">
      <c r="A287" s="694" t="s">
        <v>251</v>
      </c>
      <c r="B287" s="132">
        <v>24</v>
      </c>
      <c r="C287" s="132">
        <f t="shared" si="22"/>
        <v>744</v>
      </c>
      <c r="D287" s="132">
        <v>744</v>
      </c>
      <c r="E287" s="209">
        <v>22</v>
      </c>
      <c r="F287" s="209">
        <f t="shared" si="33"/>
        <v>638</v>
      </c>
      <c r="G287" s="209">
        <v>664.25</v>
      </c>
      <c r="H287" s="132">
        <v>22</v>
      </c>
      <c r="I287" s="132">
        <f t="shared" si="23"/>
        <v>682</v>
      </c>
      <c r="J287" s="132">
        <v>690</v>
      </c>
      <c r="K287" s="209">
        <v>22</v>
      </c>
      <c r="L287" s="209">
        <f t="shared" si="24"/>
        <v>660</v>
      </c>
      <c r="M287" s="209">
        <v>660</v>
      </c>
      <c r="N287" s="132">
        <v>22</v>
      </c>
      <c r="O287" s="132">
        <f t="shared" si="25"/>
        <v>682</v>
      </c>
      <c r="P287" s="132">
        <v>699</v>
      </c>
      <c r="Q287" s="209">
        <v>22</v>
      </c>
      <c r="R287" s="209">
        <f t="shared" si="26"/>
        <v>660</v>
      </c>
      <c r="S287" s="209">
        <v>670</v>
      </c>
      <c r="T287" s="132">
        <v>22</v>
      </c>
      <c r="U287" s="132">
        <f t="shared" si="27"/>
        <v>682</v>
      </c>
      <c r="V287" s="132">
        <v>682</v>
      </c>
      <c r="W287" s="209">
        <v>22</v>
      </c>
      <c r="X287" s="209">
        <f t="shared" si="28"/>
        <v>682</v>
      </c>
      <c r="Y287" s="209">
        <v>694</v>
      </c>
      <c r="Z287" s="132">
        <v>22</v>
      </c>
      <c r="AA287" s="132">
        <f t="shared" si="29"/>
        <v>660</v>
      </c>
      <c r="AB287" s="132">
        <v>672.75</v>
      </c>
      <c r="AC287" s="209">
        <v>22</v>
      </c>
      <c r="AD287" s="209">
        <f t="shared" si="30"/>
        <v>682</v>
      </c>
      <c r="AE287" s="209">
        <v>693.25</v>
      </c>
      <c r="AF287" s="132">
        <v>22</v>
      </c>
      <c r="AG287" s="132">
        <f t="shared" si="31"/>
        <v>660</v>
      </c>
      <c r="AH287" s="132">
        <v>666</v>
      </c>
      <c r="AI287" s="209">
        <v>22</v>
      </c>
      <c r="AJ287" s="209">
        <f t="shared" si="32"/>
        <v>682</v>
      </c>
      <c r="AK287" s="481">
        <v>682</v>
      </c>
      <c r="BE287" s="121"/>
    </row>
    <row r="288" spans="1:57" s="23" customFormat="1">
      <c r="A288" s="986" t="s">
        <v>577</v>
      </c>
      <c r="B288" s="132">
        <v>24</v>
      </c>
      <c r="C288" s="132">
        <f t="shared" si="22"/>
        <v>744</v>
      </c>
      <c r="D288" s="132">
        <v>744</v>
      </c>
      <c r="E288" s="209">
        <v>24</v>
      </c>
      <c r="F288" s="209">
        <f t="shared" si="33"/>
        <v>696</v>
      </c>
      <c r="G288" s="209">
        <v>696</v>
      </c>
      <c r="H288" s="132">
        <v>24</v>
      </c>
      <c r="I288" s="132">
        <f t="shared" si="23"/>
        <v>744</v>
      </c>
      <c r="J288" s="132">
        <v>746</v>
      </c>
      <c r="K288" s="209">
        <v>24</v>
      </c>
      <c r="L288" s="209">
        <f t="shared" si="24"/>
        <v>720</v>
      </c>
      <c r="M288" s="209">
        <v>720</v>
      </c>
      <c r="N288" s="132">
        <v>24</v>
      </c>
      <c r="O288" s="132">
        <f t="shared" si="25"/>
        <v>744</v>
      </c>
      <c r="P288" s="132">
        <v>745</v>
      </c>
      <c r="Q288" s="209">
        <v>24</v>
      </c>
      <c r="R288" s="209">
        <f t="shared" si="26"/>
        <v>720</v>
      </c>
      <c r="S288" s="209">
        <v>721</v>
      </c>
      <c r="T288" s="132">
        <v>24</v>
      </c>
      <c r="U288" s="132">
        <f t="shared" si="27"/>
        <v>744</v>
      </c>
      <c r="V288" s="132">
        <v>751</v>
      </c>
      <c r="W288" s="209">
        <v>24</v>
      </c>
      <c r="X288" s="209">
        <f t="shared" si="28"/>
        <v>744</v>
      </c>
      <c r="Y288" s="209">
        <v>744</v>
      </c>
      <c r="Z288" s="132">
        <v>24</v>
      </c>
      <c r="AA288" s="132">
        <f t="shared" si="29"/>
        <v>720</v>
      </c>
      <c r="AB288" s="132">
        <v>721</v>
      </c>
      <c r="AC288" s="209">
        <v>24</v>
      </c>
      <c r="AD288" s="209">
        <f t="shared" si="30"/>
        <v>744</v>
      </c>
      <c r="AE288" s="209">
        <v>767</v>
      </c>
      <c r="AF288" s="132">
        <v>24</v>
      </c>
      <c r="AG288" s="132">
        <f t="shared" si="31"/>
        <v>720</v>
      </c>
      <c r="AH288" s="132">
        <v>662</v>
      </c>
      <c r="AI288" s="209">
        <v>24</v>
      </c>
      <c r="AJ288" s="209">
        <f t="shared" si="32"/>
        <v>744</v>
      </c>
      <c r="AK288" s="481">
        <v>744</v>
      </c>
      <c r="AO288" s="445"/>
    </row>
    <row r="289" spans="1:60" s="23" customFormat="1">
      <c r="A289" s="687" t="s">
        <v>378</v>
      </c>
      <c r="B289" s="132">
        <v>36</v>
      </c>
      <c r="C289" s="132">
        <f t="shared" si="22"/>
        <v>1116</v>
      </c>
      <c r="D289" s="132">
        <v>1116</v>
      </c>
      <c r="E289" s="209">
        <v>36</v>
      </c>
      <c r="F289" s="209">
        <f t="shared" si="33"/>
        <v>1044</v>
      </c>
      <c r="G289" s="209">
        <f>F289</f>
        <v>1044</v>
      </c>
      <c r="H289" s="132">
        <v>36</v>
      </c>
      <c r="I289" s="132">
        <f t="shared" si="23"/>
        <v>1116</v>
      </c>
      <c r="J289" s="132">
        <v>1125</v>
      </c>
      <c r="K289" s="209">
        <v>36</v>
      </c>
      <c r="L289" s="209">
        <f t="shared" si="24"/>
        <v>1080</v>
      </c>
      <c r="M289" s="209">
        <v>1080</v>
      </c>
      <c r="N289" s="132">
        <v>36</v>
      </c>
      <c r="O289" s="132">
        <f t="shared" si="25"/>
        <v>1116</v>
      </c>
      <c r="P289" s="132">
        <v>1116</v>
      </c>
      <c r="Q289" s="209">
        <v>36</v>
      </c>
      <c r="R289" s="209">
        <f t="shared" si="26"/>
        <v>1080</v>
      </c>
      <c r="S289" s="209">
        <v>1080</v>
      </c>
      <c r="T289" s="132">
        <v>36</v>
      </c>
      <c r="U289" s="132">
        <f t="shared" si="27"/>
        <v>1116</v>
      </c>
      <c r="V289" s="132">
        <v>1116</v>
      </c>
      <c r="W289" s="209">
        <v>36</v>
      </c>
      <c r="X289" s="209">
        <f t="shared" si="28"/>
        <v>1116</v>
      </c>
      <c r="Y289" s="209">
        <v>1116</v>
      </c>
      <c r="Z289" s="132">
        <v>36</v>
      </c>
      <c r="AA289" s="132">
        <f t="shared" si="29"/>
        <v>1080</v>
      </c>
      <c r="AB289" s="132">
        <v>1080</v>
      </c>
      <c r="AC289" s="209">
        <v>36</v>
      </c>
      <c r="AD289" s="209">
        <f t="shared" si="30"/>
        <v>1116</v>
      </c>
      <c r="AE289" s="209">
        <v>1116</v>
      </c>
      <c r="AF289" s="132">
        <v>36</v>
      </c>
      <c r="AG289" s="132">
        <f t="shared" si="31"/>
        <v>1080</v>
      </c>
      <c r="AH289" s="132">
        <v>1685</v>
      </c>
      <c r="AI289" s="209">
        <v>36</v>
      </c>
      <c r="AJ289" s="209">
        <f t="shared" si="32"/>
        <v>1116</v>
      </c>
      <c r="AK289" s="481">
        <v>1116</v>
      </c>
      <c r="AL289" s="2"/>
      <c r="AN289" s="121"/>
      <c r="AO289" s="454"/>
    </row>
    <row r="290" spans="1:60" s="23" customFormat="1">
      <c r="A290" s="986" t="s">
        <v>576</v>
      </c>
      <c r="B290" s="132">
        <v>24</v>
      </c>
      <c r="C290" s="132">
        <f t="shared" si="22"/>
        <v>744</v>
      </c>
      <c r="D290" s="132">
        <v>744</v>
      </c>
      <c r="E290" s="209">
        <v>24</v>
      </c>
      <c r="F290" s="209">
        <f t="shared" si="33"/>
        <v>696</v>
      </c>
      <c r="G290" s="209">
        <f>F290</f>
        <v>696</v>
      </c>
      <c r="H290" s="132">
        <v>24</v>
      </c>
      <c r="I290" s="132">
        <f t="shared" si="23"/>
        <v>744</v>
      </c>
      <c r="J290" s="132">
        <v>744</v>
      </c>
      <c r="K290" s="209">
        <v>24</v>
      </c>
      <c r="L290" s="209">
        <f t="shared" si="24"/>
        <v>720</v>
      </c>
      <c r="M290" s="209">
        <v>720</v>
      </c>
      <c r="N290" s="132">
        <v>24</v>
      </c>
      <c r="O290" s="132">
        <f t="shared" si="25"/>
        <v>744</v>
      </c>
      <c r="P290" s="132">
        <v>744</v>
      </c>
      <c r="Q290" s="209">
        <v>24</v>
      </c>
      <c r="R290" s="209">
        <f t="shared" si="26"/>
        <v>720</v>
      </c>
      <c r="S290" s="209">
        <v>720</v>
      </c>
      <c r="T290" s="132">
        <v>24</v>
      </c>
      <c r="U290" s="132">
        <f t="shared" si="27"/>
        <v>744</v>
      </c>
      <c r="V290" s="132">
        <v>744</v>
      </c>
      <c r="W290" s="209">
        <v>24</v>
      </c>
      <c r="X290" s="209">
        <f t="shared" si="28"/>
        <v>744</v>
      </c>
      <c r="Y290" s="209">
        <v>744</v>
      </c>
      <c r="Z290" s="132">
        <v>24</v>
      </c>
      <c r="AA290" s="132">
        <f t="shared" si="29"/>
        <v>720</v>
      </c>
      <c r="AB290" s="132">
        <v>720</v>
      </c>
      <c r="AC290" s="209">
        <v>24</v>
      </c>
      <c r="AD290" s="209">
        <f t="shared" si="30"/>
        <v>744</v>
      </c>
      <c r="AE290" s="209">
        <v>744</v>
      </c>
      <c r="AF290" s="132">
        <v>24</v>
      </c>
      <c r="AG290" s="132">
        <f t="shared" si="31"/>
        <v>720</v>
      </c>
      <c r="AH290" s="132">
        <v>721</v>
      </c>
      <c r="AI290" s="209">
        <v>24</v>
      </c>
      <c r="AJ290" s="209">
        <f t="shared" si="32"/>
        <v>744</v>
      </c>
      <c r="AK290" s="481">
        <v>744</v>
      </c>
      <c r="AL290" s="426"/>
      <c r="AN290" s="159"/>
      <c r="BH290" s="121"/>
    </row>
    <row r="291" spans="1:60" s="23" customFormat="1">
      <c r="A291" s="687" t="s">
        <v>376</v>
      </c>
      <c r="B291" s="1939">
        <v>63.8125</v>
      </c>
      <c r="C291" s="132">
        <f t="shared" si="22"/>
        <v>1978.1875</v>
      </c>
      <c r="D291" s="132">
        <v>1954</v>
      </c>
      <c r="E291" s="1940">
        <v>63.8125</v>
      </c>
      <c r="F291" s="209">
        <f t="shared" si="33"/>
        <v>1850.5625</v>
      </c>
      <c r="G291" s="209">
        <v>1877</v>
      </c>
      <c r="H291" s="1939">
        <v>63.8125</v>
      </c>
      <c r="I291" s="132">
        <f t="shared" si="23"/>
        <v>1978.1875</v>
      </c>
      <c r="J291" s="132">
        <v>1987</v>
      </c>
      <c r="K291" s="1940">
        <v>63.8125</v>
      </c>
      <c r="L291" s="209">
        <f t="shared" si="24"/>
        <v>1914.375</v>
      </c>
      <c r="M291" s="209">
        <v>1914</v>
      </c>
      <c r="N291" s="132">
        <v>63.8125</v>
      </c>
      <c r="O291" s="132">
        <f t="shared" si="25"/>
        <v>1978.1875</v>
      </c>
      <c r="P291" s="132">
        <v>1978</v>
      </c>
      <c r="Q291" s="209">
        <v>63.8125</v>
      </c>
      <c r="R291" s="209">
        <f t="shared" si="26"/>
        <v>1914.375</v>
      </c>
      <c r="S291" s="209">
        <v>1914</v>
      </c>
      <c r="T291" s="132">
        <v>63.8125</v>
      </c>
      <c r="U291" s="132">
        <f t="shared" si="27"/>
        <v>1978.1875</v>
      </c>
      <c r="V291" s="132">
        <v>1978</v>
      </c>
      <c r="W291" s="209">
        <v>63.8125</v>
      </c>
      <c r="X291" s="209">
        <f t="shared" si="28"/>
        <v>1978.1875</v>
      </c>
      <c r="Y291" s="209">
        <v>1978</v>
      </c>
      <c r="Z291" s="132">
        <v>63.8125</v>
      </c>
      <c r="AA291" s="132">
        <f t="shared" si="29"/>
        <v>1914.375</v>
      </c>
      <c r="AB291" s="132">
        <v>1914</v>
      </c>
      <c r="AC291" s="209">
        <v>63.8125</v>
      </c>
      <c r="AD291" s="209">
        <f t="shared" si="30"/>
        <v>1978.1875</v>
      </c>
      <c r="AE291" s="209">
        <v>1978</v>
      </c>
      <c r="AF291" s="132">
        <v>63.8125</v>
      </c>
      <c r="AG291" s="132">
        <f t="shared" si="31"/>
        <v>1914.375</v>
      </c>
      <c r="AH291" s="132">
        <v>1613</v>
      </c>
      <c r="AI291" s="209">
        <v>63.8125</v>
      </c>
      <c r="AJ291" s="209">
        <f t="shared" si="32"/>
        <v>1978.1875</v>
      </c>
      <c r="AK291" s="481">
        <v>1978</v>
      </c>
      <c r="AL291" s="121"/>
      <c r="AM291" s="159"/>
    </row>
    <row r="292" spans="1:60" s="23" customFormat="1">
      <c r="A292" s="986" t="s">
        <v>598</v>
      </c>
      <c r="B292" s="132">
        <f>11+10</f>
        <v>21</v>
      </c>
      <c r="C292" s="132">
        <f t="shared" si="22"/>
        <v>651</v>
      </c>
      <c r="D292" s="132">
        <v>700.5</v>
      </c>
      <c r="E292" s="209">
        <v>21</v>
      </c>
      <c r="F292" s="209">
        <f t="shared" si="33"/>
        <v>609</v>
      </c>
      <c r="G292" s="209">
        <f>F292</f>
        <v>609</v>
      </c>
      <c r="H292" s="132">
        <v>21</v>
      </c>
      <c r="I292" s="132">
        <f t="shared" si="23"/>
        <v>651</v>
      </c>
      <c r="J292" s="132">
        <v>651</v>
      </c>
      <c r="K292" s="209">
        <v>21</v>
      </c>
      <c r="L292" s="209">
        <f t="shared" si="24"/>
        <v>630</v>
      </c>
      <c r="M292" s="209">
        <v>630</v>
      </c>
      <c r="N292" s="132">
        <v>21</v>
      </c>
      <c r="O292" s="132">
        <f t="shared" si="25"/>
        <v>651</v>
      </c>
      <c r="P292" s="132">
        <v>651</v>
      </c>
      <c r="Q292" s="209">
        <v>21</v>
      </c>
      <c r="R292" s="209">
        <f t="shared" si="26"/>
        <v>630</v>
      </c>
      <c r="S292" s="209">
        <v>630</v>
      </c>
      <c r="T292" s="132">
        <v>21</v>
      </c>
      <c r="U292" s="132">
        <f t="shared" si="27"/>
        <v>651</v>
      </c>
      <c r="V292" s="132">
        <v>651</v>
      </c>
      <c r="W292" s="209">
        <v>21</v>
      </c>
      <c r="X292" s="209">
        <f t="shared" si="28"/>
        <v>651</v>
      </c>
      <c r="Y292" s="209">
        <v>651</v>
      </c>
      <c r="Z292" s="132">
        <v>21</v>
      </c>
      <c r="AA292" s="132">
        <f t="shared" si="29"/>
        <v>630</v>
      </c>
      <c r="AB292" s="132">
        <v>708.5</v>
      </c>
      <c r="AC292" s="209">
        <v>21</v>
      </c>
      <c r="AD292" s="209">
        <f t="shared" si="30"/>
        <v>651</v>
      </c>
      <c r="AE292" s="209">
        <v>651</v>
      </c>
      <c r="AF292" s="132">
        <v>21</v>
      </c>
      <c r="AG292" s="132">
        <f t="shared" si="31"/>
        <v>630</v>
      </c>
      <c r="AH292" s="132">
        <v>623</v>
      </c>
      <c r="AI292" s="209">
        <v>21</v>
      </c>
      <c r="AJ292" s="209">
        <f t="shared" si="32"/>
        <v>651</v>
      </c>
      <c r="AK292" s="481">
        <v>651</v>
      </c>
      <c r="AL292" s="121"/>
      <c r="AM292" s="159"/>
    </row>
    <row r="293" spans="1:60" s="23" customFormat="1">
      <c r="A293" s="687" t="s">
        <v>432</v>
      </c>
      <c r="B293" s="132">
        <v>24</v>
      </c>
      <c r="C293" s="132">
        <f t="shared" si="22"/>
        <v>744</v>
      </c>
      <c r="D293" s="132">
        <v>744</v>
      </c>
      <c r="E293" s="209">
        <v>24</v>
      </c>
      <c r="F293" s="209">
        <f t="shared" si="33"/>
        <v>696</v>
      </c>
      <c r="G293" s="209">
        <v>698.5</v>
      </c>
      <c r="H293" s="132">
        <v>24</v>
      </c>
      <c r="I293" s="132">
        <f t="shared" si="23"/>
        <v>744</v>
      </c>
      <c r="J293" s="132">
        <v>744</v>
      </c>
      <c r="K293" s="209">
        <v>24</v>
      </c>
      <c r="L293" s="209">
        <f t="shared" si="24"/>
        <v>720</v>
      </c>
      <c r="M293" s="209">
        <v>720</v>
      </c>
      <c r="N293" s="132">
        <v>24</v>
      </c>
      <c r="O293" s="132">
        <f t="shared" si="25"/>
        <v>744</v>
      </c>
      <c r="P293" s="132">
        <v>744</v>
      </c>
      <c r="Q293" s="209">
        <v>24</v>
      </c>
      <c r="R293" s="209">
        <f t="shared" si="26"/>
        <v>720</v>
      </c>
      <c r="S293" s="209">
        <v>720</v>
      </c>
      <c r="T293" s="132">
        <v>24</v>
      </c>
      <c r="U293" s="132">
        <f t="shared" si="27"/>
        <v>744</v>
      </c>
      <c r="V293" s="132">
        <v>744</v>
      </c>
      <c r="W293" s="209">
        <v>24</v>
      </c>
      <c r="X293" s="209">
        <f t="shared" si="28"/>
        <v>744</v>
      </c>
      <c r="Y293" s="209">
        <v>744</v>
      </c>
      <c r="Z293" s="132">
        <v>24</v>
      </c>
      <c r="AA293" s="132">
        <f t="shared" si="29"/>
        <v>720</v>
      </c>
      <c r="AB293" s="132">
        <v>720</v>
      </c>
      <c r="AC293" s="209">
        <v>24</v>
      </c>
      <c r="AD293" s="209">
        <f t="shared" si="30"/>
        <v>744</v>
      </c>
      <c r="AE293" s="209">
        <v>744</v>
      </c>
      <c r="AF293" s="132">
        <v>24</v>
      </c>
      <c r="AG293" s="132">
        <f t="shared" si="31"/>
        <v>720</v>
      </c>
      <c r="AH293" s="132">
        <v>1233</v>
      </c>
      <c r="AI293" s="209">
        <v>24</v>
      </c>
      <c r="AJ293" s="209">
        <f t="shared" si="32"/>
        <v>744</v>
      </c>
      <c r="AK293" s="481">
        <v>744</v>
      </c>
      <c r="AL293" s="121"/>
      <c r="AM293" s="159"/>
    </row>
    <row r="294" spans="1:60" s="23" customFormat="1">
      <c r="A294" s="686" t="s">
        <v>446</v>
      </c>
      <c r="B294" s="132">
        <v>110</v>
      </c>
      <c r="C294" s="132">
        <f t="shared" si="22"/>
        <v>3410</v>
      </c>
      <c r="D294" s="132">
        <v>3410</v>
      </c>
      <c r="E294" s="209">
        <v>110</v>
      </c>
      <c r="F294" s="209">
        <f t="shared" si="33"/>
        <v>3190</v>
      </c>
      <c r="G294" s="209">
        <v>3190</v>
      </c>
      <c r="H294" s="132">
        <v>110</v>
      </c>
      <c r="I294" s="132">
        <f t="shared" si="23"/>
        <v>3410</v>
      </c>
      <c r="J294" s="132">
        <v>3454.5</v>
      </c>
      <c r="K294" s="209">
        <v>110</v>
      </c>
      <c r="L294" s="209">
        <f t="shared" si="24"/>
        <v>3300</v>
      </c>
      <c r="M294" s="209">
        <v>3312.75</v>
      </c>
      <c r="N294" s="132">
        <v>110</v>
      </c>
      <c r="O294" s="132">
        <f t="shared" si="25"/>
        <v>3410</v>
      </c>
      <c r="P294" s="132">
        <v>3421</v>
      </c>
      <c r="Q294" s="209">
        <v>110</v>
      </c>
      <c r="R294" s="209">
        <f t="shared" si="26"/>
        <v>3300</v>
      </c>
      <c r="S294" s="209">
        <v>3299</v>
      </c>
      <c r="T294" s="132">
        <v>110</v>
      </c>
      <c r="U294" s="132">
        <f t="shared" si="27"/>
        <v>3410</v>
      </c>
      <c r="V294" s="132">
        <v>3373</v>
      </c>
      <c r="W294" s="209">
        <v>110</v>
      </c>
      <c r="X294" s="209">
        <f t="shared" si="28"/>
        <v>3410</v>
      </c>
      <c r="Y294" s="209">
        <v>3422</v>
      </c>
      <c r="Z294" s="132">
        <v>110</v>
      </c>
      <c r="AA294" s="132">
        <f t="shared" si="29"/>
        <v>3300</v>
      </c>
      <c r="AB294" s="132">
        <v>3301</v>
      </c>
      <c r="AC294" s="209">
        <v>110</v>
      </c>
      <c r="AD294" s="209">
        <f t="shared" si="30"/>
        <v>3410</v>
      </c>
      <c r="AE294" s="209">
        <v>3384</v>
      </c>
      <c r="AF294" s="132">
        <v>110</v>
      </c>
      <c r="AG294" s="132">
        <f t="shared" si="31"/>
        <v>3300</v>
      </c>
      <c r="AH294" s="132">
        <v>3274</v>
      </c>
      <c r="AI294" s="209">
        <v>110</v>
      </c>
      <c r="AJ294" s="209">
        <f t="shared" si="32"/>
        <v>3410</v>
      </c>
      <c r="AK294" s="481">
        <v>3410</v>
      </c>
    </row>
    <row r="295" spans="1:60" s="23" customFormat="1">
      <c r="A295" s="686" t="s">
        <v>433</v>
      </c>
      <c r="B295" s="132">
        <v>68</v>
      </c>
      <c r="C295" s="132">
        <f t="shared" si="22"/>
        <v>2108</v>
      </c>
      <c r="D295" s="132">
        <v>2108</v>
      </c>
      <c r="E295" s="209">
        <v>68</v>
      </c>
      <c r="F295" s="209">
        <f t="shared" si="33"/>
        <v>1972</v>
      </c>
      <c r="G295" s="209">
        <v>1972</v>
      </c>
      <c r="H295" s="132">
        <v>68</v>
      </c>
      <c r="I295" s="132">
        <f t="shared" si="23"/>
        <v>2108</v>
      </c>
      <c r="J295" s="132">
        <v>2106</v>
      </c>
      <c r="K295" s="209">
        <v>68</v>
      </c>
      <c r="L295" s="209">
        <f t="shared" si="24"/>
        <v>2040</v>
      </c>
      <c r="M295" s="209">
        <v>2043</v>
      </c>
      <c r="N295" s="132">
        <v>68</v>
      </c>
      <c r="O295" s="132">
        <f t="shared" si="25"/>
        <v>2108</v>
      </c>
      <c r="P295" s="132">
        <v>2075</v>
      </c>
      <c r="Q295" s="209">
        <v>68</v>
      </c>
      <c r="R295" s="209">
        <f t="shared" si="26"/>
        <v>2040</v>
      </c>
      <c r="S295" s="209">
        <v>2037</v>
      </c>
      <c r="T295" s="132">
        <v>68</v>
      </c>
      <c r="U295" s="132">
        <f t="shared" si="27"/>
        <v>2108</v>
      </c>
      <c r="V295" s="132">
        <v>2099</v>
      </c>
      <c r="W295" s="209">
        <v>68</v>
      </c>
      <c r="X295" s="209">
        <f t="shared" si="28"/>
        <v>2108</v>
      </c>
      <c r="Y295" s="209">
        <v>2111.75</v>
      </c>
      <c r="Z295" s="132">
        <v>68</v>
      </c>
      <c r="AA295" s="132">
        <f t="shared" si="29"/>
        <v>2040</v>
      </c>
      <c r="AB295" s="132">
        <v>2022.5</v>
      </c>
      <c r="AC295" s="209">
        <v>68</v>
      </c>
      <c r="AD295" s="209">
        <f t="shared" si="30"/>
        <v>2108</v>
      </c>
      <c r="AE295" s="209">
        <v>2083.75</v>
      </c>
      <c r="AF295" s="132">
        <v>68</v>
      </c>
      <c r="AG295" s="132">
        <f t="shared" si="31"/>
        <v>2040</v>
      </c>
      <c r="AH295" s="132">
        <v>2011</v>
      </c>
      <c r="AI295" s="209">
        <v>68</v>
      </c>
      <c r="AJ295" s="209">
        <f t="shared" si="32"/>
        <v>2108</v>
      </c>
      <c r="AK295" s="481">
        <v>2108</v>
      </c>
    </row>
    <row r="296" spans="1:60" s="23" customFormat="1">
      <c r="A296" s="688" t="s">
        <v>58</v>
      </c>
      <c r="B296" s="412"/>
      <c r="C296" s="412"/>
      <c r="D296" s="412"/>
      <c r="E296" s="412"/>
      <c r="F296" s="412"/>
      <c r="G296" s="412"/>
      <c r="H296" s="412"/>
      <c r="I296" s="412"/>
      <c r="J296" s="412"/>
      <c r="K296" s="412"/>
      <c r="L296" s="412"/>
      <c r="M296" s="412"/>
      <c r="N296" s="412"/>
      <c r="O296" s="412"/>
      <c r="P296" s="412"/>
      <c r="Q296" s="412"/>
      <c r="R296" s="412"/>
      <c r="S296" s="412"/>
      <c r="T296" s="412"/>
      <c r="U296" s="412"/>
      <c r="V296" s="412"/>
      <c r="W296" s="412"/>
      <c r="X296" s="746"/>
      <c r="Y296" s="412"/>
      <c r="Z296" s="412"/>
      <c r="AA296" s="746"/>
      <c r="AB296" s="412"/>
      <c r="AC296" s="412"/>
      <c r="AD296" s="746"/>
      <c r="AE296" s="412"/>
      <c r="AF296" s="412"/>
      <c r="AG296" s="746"/>
      <c r="AH296" s="412"/>
      <c r="AI296" s="410"/>
      <c r="AJ296" s="746"/>
      <c r="AK296" s="526"/>
    </row>
    <row r="297" spans="1:60" s="23" customFormat="1" ht="15.75" thickBot="1">
      <c r="A297" s="585" t="s">
        <v>32</v>
      </c>
      <c r="B297" s="488">
        <f t="shared" ref="B297:O297" si="34">SUM(B273:B296)</f>
        <v>970.85670765027317</v>
      </c>
      <c r="C297" s="488">
        <f t="shared" si="34"/>
        <v>30096.557937158468</v>
      </c>
      <c r="D297" s="488">
        <f t="shared" si="34"/>
        <v>30211</v>
      </c>
      <c r="E297" s="485">
        <f t="shared" si="34"/>
        <v>969.62670765027315</v>
      </c>
      <c r="F297" s="485">
        <f t="shared" si="34"/>
        <v>28119.174521857924</v>
      </c>
      <c r="G297" s="485">
        <f t="shared" si="34"/>
        <v>28409.25</v>
      </c>
      <c r="H297" s="488">
        <f t="shared" si="34"/>
        <v>975.62670765027315</v>
      </c>
      <c r="I297" s="488">
        <f t="shared" si="34"/>
        <v>30244.427937158471</v>
      </c>
      <c r="J297" s="488">
        <f t="shared" si="34"/>
        <v>30405.17</v>
      </c>
      <c r="K297" s="586">
        <f t="shared" si="34"/>
        <v>975.62670765027315</v>
      </c>
      <c r="L297" s="586">
        <f t="shared" si="34"/>
        <v>29268.801229508197</v>
      </c>
      <c r="M297" s="586">
        <f t="shared" si="34"/>
        <v>29141.33</v>
      </c>
      <c r="N297" s="488">
        <f t="shared" si="34"/>
        <v>975.62670765027315</v>
      </c>
      <c r="O297" s="488">
        <f t="shared" si="34"/>
        <v>30244.427937158471</v>
      </c>
      <c r="P297" s="488">
        <f>SUM(P273:P296)</f>
        <v>30394</v>
      </c>
      <c r="Q297" s="485">
        <f t="shared" ref="Q297:AB297" si="35">SUM(Q273:Q296)</f>
        <v>975.62670765027315</v>
      </c>
      <c r="R297" s="485">
        <f t="shared" si="35"/>
        <v>29268.801229508197</v>
      </c>
      <c r="S297" s="485">
        <f t="shared" si="35"/>
        <v>29178</v>
      </c>
      <c r="T297" s="488">
        <f t="shared" si="35"/>
        <v>975.62670765027315</v>
      </c>
      <c r="U297" s="488">
        <f t="shared" si="35"/>
        <v>30244.427937158471</v>
      </c>
      <c r="V297" s="488">
        <f t="shared" si="35"/>
        <v>30000</v>
      </c>
      <c r="W297" s="485">
        <f t="shared" si="35"/>
        <v>951.62670765027315</v>
      </c>
      <c r="X297" s="485">
        <f t="shared" si="35"/>
        <v>29500.427937158471</v>
      </c>
      <c r="Y297" s="485">
        <f t="shared" si="35"/>
        <v>29600.75</v>
      </c>
      <c r="Z297" s="488">
        <f t="shared" si="35"/>
        <v>951.62670765027315</v>
      </c>
      <c r="AA297" s="488">
        <f t="shared" si="35"/>
        <v>28548.801229508197</v>
      </c>
      <c r="AB297" s="488">
        <f t="shared" si="35"/>
        <v>28708.75</v>
      </c>
      <c r="AC297" s="485">
        <f>SUM(AC273:AC295)</f>
        <v>951.62670765027315</v>
      </c>
      <c r="AD297" s="485">
        <f t="shared" ref="AD297:AK297" si="36">SUM(AD273:AD296)</f>
        <v>29500.427937158471</v>
      </c>
      <c r="AE297" s="485">
        <f t="shared" si="36"/>
        <v>29579</v>
      </c>
      <c r="AF297" s="488">
        <f t="shared" si="36"/>
        <v>951.62670765027315</v>
      </c>
      <c r="AG297" s="488">
        <f t="shared" si="36"/>
        <v>28548.801229508197</v>
      </c>
      <c r="AH297" s="488">
        <f t="shared" si="36"/>
        <v>29540</v>
      </c>
      <c r="AI297" s="485">
        <f t="shared" si="36"/>
        <v>951.62670765027315</v>
      </c>
      <c r="AJ297" s="485">
        <f t="shared" si="36"/>
        <v>29500.427937158471</v>
      </c>
      <c r="AK297" s="486">
        <f t="shared" si="36"/>
        <v>29500</v>
      </c>
    </row>
    <row r="298" spans="1:60" s="2" customFormat="1" ht="15.75" customHeight="1" thickBot="1">
      <c r="A298" s="15"/>
      <c r="B298" s="71"/>
      <c r="C298" s="71"/>
      <c r="D298" s="71"/>
      <c r="E298" s="84"/>
      <c r="F298" s="70"/>
      <c r="G298" s="70"/>
      <c r="H298" s="71"/>
      <c r="I298" s="71"/>
      <c r="J298" s="71"/>
      <c r="K298" s="70"/>
      <c r="L298" s="71"/>
      <c r="M298" s="71"/>
      <c r="N298" s="84"/>
      <c r="O298" s="71"/>
      <c r="P298" s="71"/>
      <c r="Q298" s="71"/>
      <c r="R298" s="84"/>
      <c r="S298" s="70"/>
      <c r="T298" s="70"/>
      <c r="U298" s="71"/>
      <c r="V298" s="71"/>
      <c r="W298" s="71"/>
      <c r="X298" s="70"/>
      <c r="Y298" s="71"/>
      <c r="Z298" s="71"/>
      <c r="AA298" s="71"/>
      <c r="AB298" s="84"/>
      <c r="AC298" s="84"/>
      <c r="AD298" s="71"/>
      <c r="AE298" s="71"/>
      <c r="AF298" s="71"/>
      <c r="AG298" s="84"/>
      <c r="AH298" s="70"/>
      <c r="AI298" s="70"/>
      <c r="AJ298" s="73"/>
      <c r="AK298" s="73"/>
      <c r="AL298" s="74"/>
      <c r="AM298" s="72"/>
      <c r="AN298" s="73"/>
      <c r="AO298" s="73"/>
      <c r="AP298" s="73"/>
      <c r="AQ298" s="74"/>
      <c r="AR298" s="72"/>
      <c r="AS298" s="73"/>
      <c r="AT298" s="73"/>
      <c r="AU298" s="73"/>
      <c r="AV298" s="75"/>
      <c r="AW298" s="72"/>
      <c r="AX298" s="73"/>
      <c r="AY298" s="73"/>
      <c r="AZ298" s="73"/>
      <c r="BA298" s="74"/>
      <c r="BB298" s="72"/>
      <c r="BC298" s="73"/>
      <c r="BD298" s="73"/>
      <c r="BE298" s="73"/>
      <c r="BF298" s="74"/>
    </row>
    <row r="299" spans="1:60" s="5" customFormat="1" ht="15.75">
      <c r="A299" s="2893" t="s">
        <v>512</v>
      </c>
      <c r="B299" s="2901" t="s">
        <v>10</v>
      </c>
      <c r="C299" s="2906"/>
      <c r="D299" s="2907"/>
      <c r="E299" s="2895" t="s">
        <v>11</v>
      </c>
      <c r="F299" s="2896"/>
      <c r="G299" s="2897"/>
      <c r="H299" s="2898" t="s">
        <v>12</v>
      </c>
      <c r="I299" s="2896"/>
      <c r="J299" s="2897"/>
      <c r="K299" s="2895" t="s">
        <v>13</v>
      </c>
      <c r="L299" s="2896"/>
      <c r="M299" s="2897"/>
      <c r="N299" s="2898" t="s">
        <v>14</v>
      </c>
      <c r="O299" s="2896"/>
      <c r="P299" s="2897"/>
      <c r="Q299" s="2895" t="s">
        <v>15</v>
      </c>
      <c r="R299" s="2896"/>
      <c r="S299" s="2897"/>
      <c r="T299" s="2898" t="s">
        <v>16</v>
      </c>
      <c r="U299" s="2896"/>
      <c r="V299" s="2897"/>
      <c r="W299" s="2895" t="s">
        <v>17</v>
      </c>
      <c r="X299" s="2896"/>
      <c r="Y299" s="2897"/>
      <c r="Z299" s="2898" t="s">
        <v>18</v>
      </c>
      <c r="AA299" s="2896"/>
      <c r="AB299" s="2897"/>
      <c r="AC299" s="2895" t="s">
        <v>19</v>
      </c>
      <c r="AD299" s="2896"/>
      <c r="AE299" s="2897"/>
      <c r="AF299" s="2898" t="s">
        <v>20</v>
      </c>
      <c r="AG299" s="2896"/>
      <c r="AH299" s="2897"/>
      <c r="AI299" s="2895" t="s">
        <v>21</v>
      </c>
      <c r="AJ299" s="2896"/>
      <c r="AK299" s="2897"/>
    </row>
    <row r="300" spans="1:60" s="78" customFormat="1" ht="28.5">
      <c r="A300" s="2899"/>
      <c r="B300" s="618" t="s">
        <v>152</v>
      </c>
      <c r="C300" s="619" t="s">
        <v>153</v>
      </c>
      <c r="D300" s="620" t="s">
        <v>151</v>
      </c>
      <c r="E300" s="621" t="s">
        <v>152</v>
      </c>
      <c r="F300" s="622" t="s">
        <v>153</v>
      </c>
      <c r="G300" s="623" t="s">
        <v>151</v>
      </c>
      <c r="H300" s="618" t="s">
        <v>152</v>
      </c>
      <c r="I300" s="619" t="s">
        <v>153</v>
      </c>
      <c r="J300" s="620" t="s">
        <v>151</v>
      </c>
      <c r="K300" s="621" t="s">
        <v>152</v>
      </c>
      <c r="L300" s="622" t="s">
        <v>153</v>
      </c>
      <c r="M300" s="623" t="s">
        <v>151</v>
      </c>
      <c r="N300" s="618" t="s">
        <v>152</v>
      </c>
      <c r="O300" s="619" t="s">
        <v>153</v>
      </c>
      <c r="P300" s="620" t="s">
        <v>151</v>
      </c>
      <c r="Q300" s="621" t="s">
        <v>152</v>
      </c>
      <c r="R300" s="622" t="s">
        <v>153</v>
      </c>
      <c r="S300" s="623" t="s">
        <v>151</v>
      </c>
      <c r="T300" s="618" t="s">
        <v>152</v>
      </c>
      <c r="U300" s="619" t="s">
        <v>153</v>
      </c>
      <c r="V300" s="620" t="s">
        <v>151</v>
      </c>
      <c r="W300" s="621" t="s">
        <v>152</v>
      </c>
      <c r="X300" s="622" t="s">
        <v>153</v>
      </c>
      <c r="Y300" s="623" t="s">
        <v>151</v>
      </c>
      <c r="Z300" s="618" t="s">
        <v>152</v>
      </c>
      <c r="AA300" s="619" t="s">
        <v>153</v>
      </c>
      <c r="AB300" s="620" t="s">
        <v>151</v>
      </c>
      <c r="AC300" s="621" t="s">
        <v>152</v>
      </c>
      <c r="AD300" s="622" t="s">
        <v>153</v>
      </c>
      <c r="AE300" s="623" t="s">
        <v>151</v>
      </c>
      <c r="AF300" s="618" t="s">
        <v>152</v>
      </c>
      <c r="AG300" s="619" t="s">
        <v>153</v>
      </c>
      <c r="AH300" s="620" t="s">
        <v>151</v>
      </c>
      <c r="AI300" s="621" t="s">
        <v>152</v>
      </c>
      <c r="AJ300" s="622" t="s">
        <v>153</v>
      </c>
      <c r="AK300" s="623" t="s">
        <v>151</v>
      </c>
    </row>
    <row r="301" spans="1:60" s="78" customFormat="1" ht="15.75">
      <c r="A301" s="998" t="s">
        <v>641</v>
      </c>
      <c r="B301" s="997"/>
      <c r="C301" s="757"/>
      <c r="D301" s="758"/>
      <c r="E301" s="756"/>
      <c r="F301" s="757"/>
      <c r="G301" s="758"/>
      <c r="H301" s="997"/>
      <c r="I301" s="757"/>
      <c r="J301" s="758"/>
      <c r="K301" s="756"/>
      <c r="L301" s="757"/>
      <c r="M301" s="758"/>
      <c r="N301" s="997"/>
      <c r="O301" s="757"/>
      <c r="P301" s="758"/>
      <c r="Q301" s="756"/>
      <c r="R301" s="757"/>
      <c r="S301" s="758"/>
      <c r="T301" s="997"/>
      <c r="U301" s="757"/>
      <c r="V301" s="758"/>
      <c r="W301" s="756"/>
      <c r="X301" s="757"/>
      <c r="Y301" s="758"/>
      <c r="Z301" s="997"/>
      <c r="AA301" s="757"/>
      <c r="AB301" s="758"/>
      <c r="AC301" s="756"/>
      <c r="AD301" s="757"/>
      <c r="AE301" s="758"/>
      <c r="AF301" s="997"/>
      <c r="AG301" s="757"/>
      <c r="AH301" s="758"/>
      <c r="AI301" s="756"/>
      <c r="AJ301" s="757"/>
      <c r="AK301" s="758"/>
    </row>
    <row r="302" spans="1:60" s="23" customFormat="1">
      <c r="A302" s="999" t="s">
        <v>509</v>
      </c>
      <c r="B302" s="492">
        <f>21528/366</f>
        <v>58.819672131147541</v>
      </c>
      <c r="C302" s="132">
        <f>B302*31</f>
        <v>1823.4098360655737</v>
      </c>
      <c r="D302" s="473">
        <v>1666</v>
      </c>
      <c r="E302" s="521">
        <f>B302</f>
        <v>58.819672131147541</v>
      </c>
      <c r="F302" s="209">
        <f>E302*29</f>
        <v>1705.7704918032787</v>
      </c>
      <c r="G302" s="481">
        <v>1637.25</v>
      </c>
      <c r="H302" s="492">
        <f>21528/366</f>
        <v>58.819672131147541</v>
      </c>
      <c r="I302" s="132">
        <f>H302*31</f>
        <v>1823.4098360655737</v>
      </c>
      <c r="J302" s="473">
        <v>1823</v>
      </c>
      <c r="K302" s="521">
        <f>21528/366</f>
        <v>58.819672131147541</v>
      </c>
      <c r="L302" s="209">
        <f>K302*30</f>
        <v>1764.5901639344263</v>
      </c>
      <c r="M302" s="481">
        <v>1764</v>
      </c>
      <c r="N302" s="492">
        <f>21528/366</f>
        <v>58.819672131147541</v>
      </c>
      <c r="O302" s="132">
        <f>N302*31</f>
        <v>1823.4098360655737</v>
      </c>
      <c r="P302" s="473">
        <v>1842</v>
      </c>
      <c r="Q302" s="521">
        <v>59</v>
      </c>
      <c r="R302" s="209">
        <f>Q302*30</f>
        <v>1770</v>
      </c>
      <c r="S302" s="481">
        <v>1788</v>
      </c>
      <c r="T302" s="492">
        <f>21528/366</f>
        <v>58.819672131147541</v>
      </c>
      <c r="U302" s="132">
        <f>T302*31</f>
        <v>1823.4098360655737</v>
      </c>
      <c r="V302" s="473">
        <v>1823</v>
      </c>
      <c r="W302" s="521">
        <v>59</v>
      </c>
      <c r="X302" s="209">
        <f>W302*31</f>
        <v>1829</v>
      </c>
      <c r="Y302" s="481">
        <v>1896</v>
      </c>
      <c r="Z302" s="492">
        <v>59</v>
      </c>
      <c r="AA302" s="132">
        <f>Z302*30</f>
        <v>1770</v>
      </c>
      <c r="AB302" s="473">
        <v>1846</v>
      </c>
      <c r="AC302" s="521">
        <v>59</v>
      </c>
      <c r="AD302" s="209">
        <f>AC302*31</f>
        <v>1829</v>
      </c>
      <c r="AE302" s="481">
        <v>1829</v>
      </c>
      <c r="AF302" s="492">
        <v>59</v>
      </c>
      <c r="AG302" s="132">
        <f>AF302*30</f>
        <v>1770</v>
      </c>
      <c r="AH302" s="473">
        <v>1895</v>
      </c>
      <c r="AI302" s="979">
        <v>59</v>
      </c>
      <c r="AJ302" s="209">
        <f>AI302*31</f>
        <v>1829</v>
      </c>
      <c r="AK302" s="481">
        <v>1829</v>
      </c>
      <c r="AL302" s="121"/>
    </row>
    <row r="303" spans="1:60" s="23" customFormat="1">
      <c r="A303" s="999" t="s">
        <v>84</v>
      </c>
      <c r="B303" s="492">
        <v>24</v>
      </c>
      <c r="C303" s="132">
        <f t="shared" ref="C303:C319" si="37">B303*31</f>
        <v>744</v>
      </c>
      <c r="D303" s="473">
        <v>744</v>
      </c>
      <c r="E303" s="521">
        <v>24</v>
      </c>
      <c r="F303" s="209">
        <f t="shared" ref="F303:F319" si="38">E303*29</f>
        <v>696</v>
      </c>
      <c r="G303" s="481">
        <v>730</v>
      </c>
      <c r="H303" s="492">
        <v>24</v>
      </c>
      <c r="I303" s="132">
        <f t="shared" ref="I303:I319" si="39">H303*31</f>
        <v>744</v>
      </c>
      <c r="J303" s="473">
        <v>756</v>
      </c>
      <c r="K303" s="521">
        <v>24</v>
      </c>
      <c r="L303" s="209">
        <f>K303*30</f>
        <v>720</v>
      </c>
      <c r="M303" s="481">
        <v>733.75</v>
      </c>
      <c r="N303" s="492">
        <v>24</v>
      </c>
      <c r="O303" s="132">
        <f>N303*31</f>
        <v>744</v>
      </c>
      <c r="P303" s="473">
        <v>788</v>
      </c>
      <c r="Q303" s="521">
        <v>24</v>
      </c>
      <c r="R303" s="209">
        <f>Q303*30</f>
        <v>720</v>
      </c>
      <c r="S303" s="481">
        <v>735</v>
      </c>
      <c r="T303" s="492">
        <v>24</v>
      </c>
      <c r="U303" s="132">
        <f>T303*31</f>
        <v>744</v>
      </c>
      <c r="V303" s="473">
        <v>759</v>
      </c>
      <c r="W303" s="521">
        <v>24</v>
      </c>
      <c r="X303" s="209">
        <f>W303*31</f>
        <v>744</v>
      </c>
      <c r="Y303" s="481">
        <v>744</v>
      </c>
      <c r="Z303" s="492">
        <v>24</v>
      </c>
      <c r="AA303" s="132">
        <f>Z303*30</f>
        <v>720</v>
      </c>
      <c r="AB303" s="473">
        <v>774</v>
      </c>
      <c r="AC303" s="521">
        <v>24</v>
      </c>
      <c r="AD303" s="209">
        <f>AC303*31</f>
        <v>744</v>
      </c>
      <c r="AE303" s="481">
        <v>741</v>
      </c>
      <c r="AF303" s="492">
        <v>24</v>
      </c>
      <c r="AG303" s="132">
        <f>AF303*30</f>
        <v>720</v>
      </c>
      <c r="AH303" s="473">
        <v>761</v>
      </c>
      <c r="AI303" s="521">
        <v>24</v>
      </c>
      <c r="AJ303" s="209">
        <f t="shared" ref="AJ303:AJ319" si="40">AI303*31</f>
        <v>744</v>
      </c>
      <c r="AK303" s="481">
        <v>744</v>
      </c>
    </row>
    <row r="304" spans="1:60" s="23" customFormat="1">
      <c r="A304" s="998" t="s">
        <v>630</v>
      </c>
      <c r="B304" s="638"/>
      <c r="C304" s="746"/>
      <c r="D304" s="626"/>
      <c r="E304" s="638"/>
      <c r="F304" s="746"/>
      <c r="G304" s="626"/>
      <c r="H304" s="638"/>
      <c r="I304" s="746"/>
      <c r="J304" s="626"/>
      <c r="K304" s="638"/>
      <c r="L304" s="746"/>
      <c r="M304" s="626"/>
      <c r="N304" s="638"/>
      <c r="O304" s="746"/>
      <c r="P304" s="626"/>
      <c r="Q304" s="638"/>
      <c r="R304" s="746"/>
      <c r="S304" s="626"/>
      <c r="T304" s="638"/>
      <c r="U304" s="746"/>
      <c r="V304" s="626"/>
      <c r="W304" s="638"/>
      <c r="X304" s="746"/>
      <c r="Y304" s="626"/>
      <c r="Z304" s="638"/>
      <c r="AA304" s="746"/>
      <c r="AB304" s="626"/>
      <c r="AC304" s="638"/>
      <c r="AD304" s="746"/>
      <c r="AE304" s="626"/>
      <c r="AF304" s="638"/>
      <c r="AG304" s="746"/>
      <c r="AH304" s="626"/>
      <c r="AI304" s="638"/>
      <c r="AJ304" s="746"/>
      <c r="AK304" s="626"/>
    </row>
    <row r="305" spans="1:57" s="23" customFormat="1">
      <c r="A305" s="999" t="s">
        <v>28</v>
      </c>
      <c r="B305" s="492">
        <f>13104/366</f>
        <v>35.803278688524593</v>
      </c>
      <c r="C305" s="132">
        <f t="shared" si="37"/>
        <v>1109.9016393442623</v>
      </c>
      <c r="D305" s="587">
        <v>1265.25</v>
      </c>
      <c r="E305" s="521">
        <f>B305</f>
        <v>35.803278688524593</v>
      </c>
      <c r="F305" s="209">
        <f t="shared" si="38"/>
        <v>1038.2950819672133</v>
      </c>
      <c r="G305" s="588">
        <v>1158.25</v>
      </c>
      <c r="H305" s="492">
        <f>13104/366</f>
        <v>35.803278688524593</v>
      </c>
      <c r="I305" s="132">
        <f t="shared" si="39"/>
        <v>1109.9016393442623</v>
      </c>
      <c r="J305" s="473">
        <v>1122</v>
      </c>
      <c r="K305" s="521">
        <v>36</v>
      </c>
      <c r="L305" s="209">
        <f>K305*30</f>
        <v>1080</v>
      </c>
      <c r="M305" s="481">
        <v>1130</v>
      </c>
      <c r="N305" s="492">
        <f>13104/366</f>
        <v>35.803278688524593</v>
      </c>
      <c r="O305" s="132">
        <f t="shared" ref="O305:O319" si="41">N305*31</f>
        <v>1109.9016393442623</v>
      </c>
      <c r="P305" s="473">
        <v>1087</v>
      </c>
      <c r="Q305" s="521">
        <v>36</v>
      </c>
      <c r="R305" s="209">
        <f>Q305*30</f>
        <v>1080</v>
      </c>
      <c r="S305" s="481">
        <v>1081</v>
      </c>
      <c r="T305" s="492">
        <f>13104/366</f>
        <v>35.803278688524593</v>
      </c>
      <c r="U305" s="132">
        <f t="shared" ref="U305:U319" si="42">T305*31</f>
        <v>1109.9016393442623</v>
      </c>
      <c r="V305" s="473">
        <v>1110</v>
      </c>
      <c r="W305" s="521">
        <v>36</v>
      </c>
      <c r="X305" s="209">
        <f>W305*31</f>
        <v>1116</v>
      </c>
      <c r="Y305" s="481">
        <v>1116</v>
      </c>
      <c r="Z305" s="492">
        <v>36</v>
      </c>
      <c r="AA305" s="132">
        <f>Z305*30</f>
        <v>1080</v>
      </c>
      <c r="AB305" s="473">
        <v>1080</v>
      </c>
      <c r="AC305" s="521">
        <v>36</v>
      </c>
      <c r="AD305" s="209">
        <f>AC305*31</f>
        <v>1116</v>
      </c>
      <c r="AE305" s="481">
        <v>1116</v>
      </c>
      <c r="AF305" s="492">
        <v>36</v>
      </c>
      <c r="AG305" s="132">
        <f>AF305*30</f>
        <v>1080</v>
      </c>
      <c r="AH305" s="473">
        <v>1080</v>
      </c>
      <c r="AI305" s="521">
        <v>36</v>
      </c>
      <c r="AJ305" s="209">
        <f t="shared" si="40"/>
        <v>1116</v>
      </c>
      <c r="AK305" s="481">
        <v>1116</v>
      </c>
    </row>
    <row r="306" spans="1:57" s="23" customFormat="1">
      <c r="A306" s="999" t="s">
        <v>513</v>
      </c>
      <c r="B306" s="492">
        <v>14.28</v>
      </c>
      <c r="C306" s="132">
        <f>B306*31</f>
        <v>442.68</v>
      </c>
      <c r="D306" s="587">
        <v>248.75</v>
      </c>
      <c r="E306" s="521">
        <v>14</v>
      </c>
      <c r="F306" s="209">
        <f t="shared" si="38"/>
        <v>406</v>
      </c>
      <c r="G306" s="588">
        <v>548.5</v>
      </c>
      <c r="H306" s="492">
        <v>14.28</v>
      </c>
      <c r="I306" s="132">
        <f t="shared" si="39"/>
        <v>442.68</v>
      </c>
      <c r="J306" s="473">
        <v>572</v>
      </c>
      <c r="K306" s="521">
        <v>14</v>
      </c>
      <c r="L306" s="209">
        <f>K306*30</f>
        <v>420</v>
      </c>
      <c r="M306" s="481">
        <v>420</v>
      </c>
      <c r="N306" s="492">
        <v>14.28</v>
      </c>
      <c r="O306" s="132">
        <f t="shared" si="41"/>
        <v>442.68</v>
      </c>
      <c r="P306" s="473">
        <v>443</v>
      </c>
      <c r="Q306" s="521">
        <v>14.28</v>
      </c>
      <c r="R306" s="209">
        <f>Q306*30</f>
        <v>428.4</v>
      </c>
      <c r="S306" s="481">
        <v>548</v>
      </c>
      <c r="T306" s="492">
        <v>14.28</v>
      </c>
      <c r="U306" s="132">
        <f t="shared" si="42"/>
        <v>442.68</v>
      </c>
      <c r="V306" s="473">
        <v>519</v>
      </c>
      <c r="W306" s="521">
        <v>14.28</v>
      </c>
      <c r="X306" s="209">
        <f>W306*31</f>
        <v>442.68</v>
      </c>
      <c r="Y306" s="481">
        <v>500.5</v>
      </c>
      <c r="Z306" s="492">
        <v>14.28</v>
      </c>
      <c r="AA306" s="132">
        <f>Z306*30</f>
        <v>428.4</v>
      </c>
      <c r="AB306" s="473">
        <v>490</v>
      </c>
      <c r="AC306" s="521">
        <v>14.28</v>
      </c>
      <c r="AD306" s="209">
        <f>AC306*31</f>
        <v>442.68</v>
      </c>
      <c r="AE306" s="481">
        <v>443</v>
      </c>
      <c r="AF306" s="492">
        <v>14.28</v>
      </c>
      <c r="AG306" s="132">
        <f>AF306*30</f>
        <v>428.4</v>
      </c>
      <c r="AH306" s="473">
        <v>488</v>
      </c>
      <c r="AI306" s="521">
        <v>14</v>
      </c>
      <c r="AJ306" s="209">
        <f t="shared" si="40"/>
        <v>434</v>
      </c>
      <c r="AK306" s="481">
        <v>434</v>
      </c>
      <c r="AV306" s="159"/>
    </row>
    <row r="307" spans="1:57" s="23" customFormat="1">
      <c r="A307" s="998" t="s">
        <v>642</v>
      </c>
      <c r="B307" s="638"/>
      <c r="C307" s="746"/>
      <c r="D307" s="755"/>
      <c r="E307" s="638"/>
      <c r="F307" s="746"/>
      <c r="G307" s="755"/>
      <c r="H307" s="638"/>
      <c r="I307" s="746"/>
      <c r="J307" s="626"/>
      <c r="K307" s="638"/>
      <c r="L307" s="746"/>
      <c r="M307" s="626"/>
      <c r="N307" s="638"/>
      <c r="O307" s="746"/>
      <c r="P307" s="626"/>
      <c r="Q307" s="638"/>
      <c r="R307" s="746"/>
      <c r="S307" s="626"/>
      <c r="T307" s="638"/>
      <c r="U307" s="746"/>
      <c r="V307" s="626"/>
      <c r="W307" s="638"/>
      <c r="X307" s="746"/>
      <c r="Y307" s="626"/>
      <c r="Z307" s="638"/>
      <c r="AA307" s="746"/>
      <c r="AB307" s="626"/>
      <c r="AC307" s="638"/>
      <c r="AD307" s="746"/>
      <c r="AE307" s="626"/>
      <c r="AF307" s="638"/>
      <c r="AG307" s="746"/>
      <c r="AH307" s="626"/>
      <c r="AI307" s="638"/>
      <c r="AJ307" s="746"/>
      <c r="AK307" s="626"/>
    </row>
    <row r="308" spans="1:57" s="23" customFormat="1">
      <c r="A308" s="999" t="s">
        <v>85</v>
      </c>
      <c r="B308" s="492">
        <v>20</v>
      </c>
      <c r="C308" s="132">
        <f>B308*31</f>
        <v>620</v>
      </c>
      <c r="D308" s="587">
        <v>593.5</v>
      </c>
      <c r="E308" s="521">
        <v>20</v>
      </c>
      <c r="F308" s="209">
        <f t="shared" si="38"/>
        <v>580</v>
      </c>
      <c r="G308" s="588">
        <v>544.75</v>
      </c>
      <c r="H308" s="492">
        <v>20</v>
      </c>
      <c r="I308" s="132">
        <f t="shared" si="39"/>
        <v>620</v>
      </c>
      <c r="J308" s="473">
        <v>620</v>
      </c>
      <c r="K308" s="521">
        <v>20</v>
      </c>
      <c r="L308" s="209">
        <f>K308*30</f>
        <v>600</v>
      </c>
      <c r="M308" s="481">
        <v>600</v>
      </c>
      <c r="N308" s="492">
        <v>20</v>
      </c>
      <c r="O308" s="132">
        <f t="shared" si="41"/>
        <v>620</v>
      </c>
      <c r="P308" s="473">
        <v>624</v>
      </c>
      <c r="Q308" s="521">
        <v>20</v>
      </c>
      <c r="R308" s="209">
        <f>Q308*30</f>
        <v>600</v>
      </c>
      <c r="S308" s="481">
        <v>600</v>
      </c>
      <c r="T308" s="492">
        <v>20</v>
      </c>
      <c r="U308" s="132">
        <f t="shared" si="42"/>
        <v>620</v>
      </c>
      <c r="V308" s="473">
        <v>657</v>
      </c>
      <c r="W308" s="521">
        <v>20</v>
      </c>
      <c r="X308" s="209">
        <f>W308*31</f>
        <v>620</v>
      </c>
      <c r="Y308" s="481">
        <v>622</v>
      </c>
      <c r="Z308" s="492">
        <v>20</v>
      </c>
      <c r="AA308" s="132">
        <f>Z308*30</f>
        <v>600</v>
      </c>
      <c r="AB308" s="473">
        <v>600</v>
      </c>
      <c r="AC308" s="521">
        <v>20</v>
      </c>
      <c r="AD308" s="209">
        <f>AC308*31</f>
        <v>620</v>
      </c>
      <c r="AE308" s="481">
        <v>620</v>
      </c>
      <c r="AF308" s="492">
        <v>20</v>
      </c>
      <c r="AG308" s="132">
        <f>AF308*30</f>
        <v>600</v>
      </c>
      <c r="AH308" s="473">
        <v>614.5</v>
      </c>
      <c r="AI308" s="521">
        <v>20</v>
      </c>
      <c r="AJ308" s="209">
        <f t="shared" si="40"/>
        <v>620</v>
      </c>
      <c r="AK308" s="481">
        <v>620</v>
      </c>
    </row>
    <row r="309" spans="1:57" s="23" customFormat="1">
      <c r="A309" s="999" t="s">
        <v>30</v>
      </c>
      <c r="B309" s="492">
        <v>36</v>
      </c>
      <c r="C309" s="132">
        <f t="shared" si="37"/>
        <v>1116</v>
      </c>
      <c r="D309" s="473">
        <v>1116</v>
      </c>
      <c r="E309" s="521">
        <v>36</v>
      </c>
      <c r="F309" s="209">
        <f t="shared" si="38"/>
        <v>1044</v>
      </c>
      <c r="G309" s="481">
        <v>1017.75</v>
      </c>
      <c r="H309" s="492">
        <v>36</v>
      </c>
      <c r="I309" s="132">
        <f t="shared" si="39"/>
        <v>1116</v>
      </c>
      <c r="J309" s="473">
        <v>1116</v>
      </c>
      <c r="K309" s="521">
        <v>36</v>
      </c>
      <c r="L309" s="209">
        <f>K309*30</f>
        <v>1080</v>
      </c>
      <c r="M309" s="481">
        <v>1094.75</v>
      </c>
      <c r="N309" s="492">
        <v>36</v>
      </c>
      <c r="O309" s="132">
        <f t="shared" si="41"/>
        <v>1116</v>
      </c>
      <c r="P309" s="473">
        <v>1135</v>
      </c>
      <c r="Q309" s="521">
        <v>36</v>
      </c>
      <c r="R309" s="209">
        <f>Q309*30</f>
        <v>1080</v>
      </c>
      <c r="S309" s="481">
        <v>1139</v>
      </c>
      <c r="T309" s="492">
        <v>36</v>
      </c>
      <c r="U309" s="132">
        <f t="shared" si="42"/>
        <v>1116</v>
      </c>
      <c r="V309" s="473">
        <v>1194</v>
      </c>
      <c r="W309" s="521">
        <v>36</v>
      </c>
      <c r="X309" s="209">
        <f>W309*31</f>
        <v>1116</v>
      </c>
      <c r="Y309" s="481">
        <v>1140</v>
      </c>
      <c r="Z309" s="492">
        <v>36</v>
      </c>
      <c r="AA309" s="132">
        <f>Z309*30</f>
        <v>1080</v>
      </c>
      <c r="AB309" s="473">
        <v>1080</v>
      </c>
      <c r="AC309" s="521">
        <v>36</v>
      </c>
      <c r="AD309" s="209">
        <f>AC309*31</f>
        <v>1116</v>
      </c>
      <c r="AE309" s="481">
        <v>1116</v>
      </c>
      <c r="AF309" s="492">
        <v>36</v>
      </c>
      <c r="AG309" s="132">
        <f>AF309*30</f>
        <v>1080</v>
      </c>
      <c r="AH309" s="473">
        <v>992</v>
      </c>
      <c r="AI309" s="521">
        <v>36</v>
      </c>
      <c r="AJ309" s="209">
        <f t="shared" si="40"/>
        <v>1116</v>
      </c>
      <c r="AK309" s="481">
        <v>1116</v>
      </c>
    </row>
    <row r="310" spans="1:57" s="23" customFormat="1">
      <c r="A310" s="999" t="s">
        <v>31</v>
      </c>
      <c r="B310" s="492">
        <v>20</v>
      </c>
      <c r="C310" s="132">
        <f t="shared" si="37"/>
        <v>620</v>
      </c>
      <c r="D310" s="473">
        <v>624</v>
      </c>
      <c r="E310" s="521">
        <v>20</v>
      </c>
      <c r="F310" s="209">
        <f t="shared" si="38"/>
        <v>580</v>
      </c>
      <c r="G310" s="481">
        <v>587.25</v>
      </c>
      <c r="H310" s="492">
        <v>20</v>
      </c>
      <c r="I310" s="132">
        <f t="shared" si="39"/>
        <v>620</v>
      </c>
      <c r="J310" s="473">
        <v>620</v>
      </c>
      <c r="K310" s="521">
        <v>20</v>
      </c>
      <c r="L310" s="209">
        <f>K310*30</f>
        <v>600</v>
      </c>
      <c r="M310" s="481">
        <v>636.25</v>
      </c>
      <c r="N310" s="492">
        <v>20</v>
      </c>
      <c r="O310" s="132">
        <f t="shared" si="41"/>
        <v>620</v>
      </c>
      <c r="P310" s="473">
        <v>661</v>
      </c>
      <c r="Q310" s="521">
        <v>20</v>
      </c>
      <c r="R310" s="209">
        <f>Q310*30</f>
        <v>600</v>
      </c>
      <c r="S310" s="481">
        <v>653</v>
      </c>
      <c r="T310" s="492">
        <v>20</v>
      </c>
      <c r="U310" s="132">
        <f t="shared" si="42"/>
        <v>620</v>
      </c>
      <c r="V310" s="473">
        <v>738</v>
      </c>
      <c r="W310" s="521">
        <v>20</v>
      </c>
      <c r="X310" s="209">
        <f>W310*31</f>
        <v>620</v>
      </c>
      <c r="Y310" s="481">
        <v>620</v>
      </c>
      <c r="Z310" s="492">
        <v>20</v>
      </c>
      <c r="AA310" s="132">
        <f>Z310*30</f>
        <v>600</v>
      </c>
      <c r="AB310" s="473">
        <v>620</v>
      </c>
      <c r="AC310" s="521">
        <v>20</v>
      </c>
      <c r="AD310" s="209">
        <f>AC310*31</f>
        <v>620</v>
      </c>
      <c r="AE310" s="481">
        <v>686</v>
      </c>
      <c r="AF310" s="492">
        <v>20</v>
      </c>
      <c r="AG310" s="132">
        <f>AF310*30</f>
        <v>600</v>
      </c>
      <c r="AH310" s="473">
        <v>809.75</v>
      </c>
      <c r="AI310" s="521">
        <v>20</v>
      </c>
      <c r="AJ310" s="209">
        <f t="shared" si="40"/>
        <v>620</v>
      </c>
      <c r="AK310" s="481">
        <v>620</v>
      </c>
    </row>
    <row r="311" spans="1:57" s="23" customFormat="1">
      <c r="A311" s="999" t="s">
        <v>263</v>
      </c>
      <c r="B311" s="492">
        <v>10</v>
      </c>
      <c r="C311" s="132">
        <f>B311*21</f>
        <v>210</v>
      </c>
      <c r="D311" s="473">
        <f>C311</f>
        <v>210</v>
      </c>
      <c r="E311" s="521">
        <v>10</v>
      </c>
      <c r="F311" s="209">
        <f>E311*21</f>
        <v>210</v>
      </c>
      <c r="G311" s="481">
        <v>210</v>
      </c>
      <c r="H311" s="492">
        <v>10</v>
      </c>
      <c r="I311" s="132">
        <f>H311*23</f>
        <v>230</v>
      </c>
      <c r="J311" s="473">
        <v>230</v>
      </c>
      <c r="K311" s="521">
        <v>10</v>
      </c>
      <c r="L311" s="209">
        <f>K311*21</f>
        <v>210</v>
      </c>
      <c r="M311" s="481">
        <v>210</v>
      </c>
      <c r="N311" s="492">
        <v>10</v>
      </c>
      <c r="O311" s="132">
        <f>N311*22</f>
        <v>220</v>
      </c>
      <c r="P311" s="473">
        <v>220</v>
      </c>
      <c r="Q311" s="521">
        <v>10</v>
      </c>
      <c r="R311" s="209">
        <f>Q311*22</f>
        <v>220</v>
      </c>
      <c r="S311" s="481">
        <v>220</v>
      </c>
      <c r="T311" s="492">
        <v>10</v>
      </c>
      <c r="U311" s="132">
        <f>T311*21</f>
        <v>210</v>
      </c>
      <c r="V311" s="473">
        <v>210</v>
      </c>
      <c r="W311" s="521">
        <v>10</v>
      </c>
      <c r="X311" s="209">
        <f>W311*23</f>
        <v>230</v>
      </c>
      <c r="Y311" s="481">
        <v>230</v>
      </c>
      <c r="Z311" s="492">
        <v>10</v>
      </c>
      <c r="AA311" s="132">
        <f>Z311*30</f>
        <v>300</v>
      </c>
      <c r="AB311" s="473">
        <v>300</v>
      </c>
      <c r="AC311" s="521">
        <v>10</v>
      </c>
      <c r="AD311" s="209">
        <f>AC311*21</f>
        <v>210</v>
      </c>
      <c r="AE311" s="481">
        <v>210</v>
      </c>
      <c r="AF311" s="492">
        <v>10</v>
      </c>
      <c r="AG311" s="132">
        <f>AF311*30</f>
        <v>300</v>
      </c>
      <c r="AH311" s="473">
        <v>241</v>
      </c>
      <c r="AI311" s="521">
        <v>10</v>
      </c>
      <c r="AJ311" s="209">
        <f t="shared" si="40"/>
        <v>310</v>
      </c>
      <c r="AK311" s="481">
        <v>310</v>
      </c>
    </row>
    <row r="312" spans="1:57" s="23" customFormat="1">
      <c r="A312" s="998" t="s">
        <v>631</v>
      </c>
      <c r="B312" s="638"/>
      <c r="C312" s="746"/>
      <c r="D312" s="626"/>
      <c r="E312" s="638"/>
      <c r="F312" s="746"/>
      <c r="G312" s="626"/>
      <c r="H312" s="638"/>
      <c r="I312" s="746"/>
      <c r="J312" s="626"/>
      <c r="K312" s="638"/>
      <c r="L312" s="746"/>
      <c r="M312" s="626"/>
      <c r="N312" s="638"/>
      <c r="O312" s="746"/>
      <c r="P312" s="626"/>
      <c r="Q312" s="638"/>
      <c r="R312" s="746"/>
      <c r="S312" s="626"/>
      <c r="T312" s="638"/>
      <c r="U312" s="746"/>
      <c r="V312" s="626"/>
      <c r="W312" s="638"/>
      <c r="X312" s="746"/>
      <c r="Y312" s="626"/>
      <c r="Z312" s="638"/>
      <c r="AA312" s="746"/>
      <c r="AB312" s="626"/>
      <c r="AC312" s="638"/>
      <c r="AD312" s="746"/>
      <c r="AE312" s="626"/>
      <c r="AF312" s="638"/>
      <c r="AG312" s="746"/>
      <c r="AH312" s="626"/>
      <c r="AI312" s="638"/>
      <c r="AJ312" s="746"/>
      <c r="AK312" s="626"/>
    </row>
    <row r="313" spans="1:57" s="23" customFormat="1" ht="13.5" customHeight="1">
      <c r="A313" s="999" t="s">
        <v>378</v>
      </c>
      <c r="B313" s="492">
        <v>20</v>
      </c>
      <c r="C313" s="132">
        <f t="shared" si="37"/>
        <v>620</v>
      </c>
      <c r="D313" s="473">
        <v>620</v>
      </c>
      <c r="E313" s="521">
        <v>20</v>
      </c>
      <c r="F313" s="209">
        <f t="shared" si="38"/>
        <v>580</v>
      </c>
      <c r="G313" s="481">
        <v>584</v>
      </c>
      <c r="H313" s="492">
        <v>20</v>
      </c>
      <c r="I313" s="132">
        <f t="shared" si="39"/>
        <v>620</v>
      </c>
      <c r="J313" s="473">
        <v>620</v>
      </c>
      <c r="K313" s="521">
        <v>20</v>
      </c>
      <c r="L313" s="209">
        <f>K313*30</f>
        <v>600</v>
      </c>
      <c r="M313" s="481">
        <v>620</v>
      </c>
      <c r="N313" s="492">
        <v>20</v>
      </c>
      <c r="O313" s="132">
        <f t="shared" si="41"/>
        <v>620</v>
      </c>
      <c r="P313" s="473">
        <v>672</v>
      </c>
      <c r="Q313" s="521">
        <v>20</v>
      </c>
      <c r="R313" s="209">
        <f>Q313*30</f>
        <v>600</v>
      </c>
      <c r="S313" s="481">
        <v>607</v>
      </c>
      <c r="T313" s="492">
        <v>20</v>
      </c>
      <c r="U313" s="132">
        <f t="shared" si="42"/>
        <v>620</v>
      </c>
      <c r="V313" s="473">
        <v>673</v>
      </c>
      <c r="W313" s="521">
        <v>20</v>
      </c>
      <c r="X313" s="209">
        <f>W313*31</f>
        <v>620</v>
      </c>
      <c r="Y313" s="481">
        <v>626</v>
      </c>
      <c r="Z313" s="492">
        <v>20</v>
      </c>
      <c r="AA313" s="132">
        <f>Z313*30</f>
        <v>600</v>
      </c>
      <c r="AB313" s="473">
        <v>634</v>
      </c>
      <c r="AC313" s="521">
        <v>20</v>
      </c>
      <c r="AD313" s="209">
        <f>AC313*31</f>
        <v>620</v>
      </c>
      <c r="AE313" s="481">
        <v>631.25</v>
      </c>
      <c r="AF313" s="492">
        <v>20</v>
      </c>
      <c r="AG313" s="132">
        <f>AF313*30</f>
        <v>600</v>
      </c>
      <c r="AH313" s="473">
        <v>663</v>
      </c>
      <c r="AI313" s="521">
        <v>20</v>
      </c>
      <c r="AJ313" s="209">
        <f t="shared" si="40"/>
        <v>620</v>
      </c>
      <c r="AK313" s="481">
        <v>620</v>
      </c>
    </row>
    <row r="314" spans="1:57" s="23" customFormat="1">
      <c r="A314" s="999" t="s">
        <v>643</v>
      </c>
      <c r="B314" s="638"/>
      <c r="C314" s="746"/>
      <c r="D314" s="626"/>
      <c r="E314" s="638"/>
      <c r="F314" s="746"/>
      <c r="G314" s="626"/>
      <c r="H314" s="638"/>
      <c r="I314" s="746"/>
      <c r="J314" s="626"/>
      <c r="K314" s="638"/>
      <c r="L314" s="746"/>
      <c r="M314" s="626"/>
      <c r="N314" s="638"/>
      <c r="O314" s="746"/>
      <c r="P314" s="626"/>
      <c r="Q314" s="638"/>
      <c r="R314" s="746"/>
      <c r="S314" s="626"/>
      <c r="T314" s="638"/>
      <c r="U314" s="746"/>
      <c r="V314" s="626"/>
      <c r="W314" s="638"/>
      <c r="X314" s="746"/>
      <c r="Y314" s="626"/>
      <c r="Z314" s="638"/>
      <c r="AA314" s="746"/>
      <c r="AB314" s="626"/>
      <c r="AC314" s="638"/>
      <c r="AD314" s="746"/>
      <c r="AE314" s="626"/>
      <c r="AF314" s="638"/>
      <c r="AG314" s="746"/>
      <c r="AH314" s="626"/>
      <c r="AI314" s="638"/>
      <c r="AJ314" s="746"/>
      <c r="AK314" s="626"/>
      <c r="AN314" s="121"/>
      <c r="BE314" s="121"/>
    </row>
    <row r="315" spans="1:57" s="23" customFormat="1">
      <c r="A315" s="999" t="s">
        <v>376</v>
      </c>
      <c r="B315" s="492">
        <v>50</v>
      </c>
      <c r="C315" s="132">
        <f t="shared" si="37"/>
        <v>1550</v>
      </c>
      <c r="D315" s="473">
        <v>1615</v>
      </c>
      <c r="E315" s="521">
        <v>50</v>
      </c>
      <c r="F315" s="209">
        <f t="shared" si="38"/>
        <v>1450</v>
      </c>
      <c r="G315" s="481">
        <v>1638</v>
      </c>
      <c r="H315" s="492">
        <v>50</v>
      </c>
      <c r="I315" s="132">
        <f t="shared" si="39"/>
        <v>1550</v>
      </c>
      <c r="J315" s="473">
        <v>1550</v>
      </c>
      <c r="K315" s="521">
        <v>50</v>
      </c>
      <c r="L315" s="209">
        <f>K315*30</f>
        <v>1500</v>
      </c>
      <c r="M315" s="481">
        <v>1535</v>
      </c>
      <c r="N315" s="492">
        <v>50</v>
      </c>
      <c r="O315" s="132">
        <f t="shared" si="41"/>
        <v>1550</v>
      </c>
      <c r="P315" s="473">
        <v>1559</v>
      </c>
      <c r="Q315" s="521">
        <v>50</v>
      </c>
      <c r="R315" s="209">
        <f>Q315*30</f>
        <v>1500</v>
      </c>
      <c r="S315" s="481">
        <v>1613</v>
      </c>
      <c r="T315" s="492">
        <v>50</v>
      </c>
      <c r="U315" s="132">
        <f t="shared" si="42"/>
        <v>1550</v>
      </c>
      <c r="V315" s="473">
        <v>1632</v>
      </c>
      <c r="W315" s="521">
        <v>50</v>
      </c>
      <c r="X315" s="209">
        <f>W315*31</f>
        <v>1550</v>
      </c>
      <c r="Y315" s="481">
        <v>1550</v>
      </c>
      <c r="Z315" s="492">
        <v>50</v>
      </c>
      <c r="AA315" s="132">
        <f>Z315*30</f>
        <v>1500</v>
      </c>
      <c r="AB315" s="473">
        <v>1538</v>
      </c>
      <c r="AC315" s="521">
        <v>50</v>
      </c>
      <c r="AD315" s="209">
        <f>AC315*31</f>
        <v>1550</v>
      </c>
      <c r="AE315" s="481">
        <v>1550</v>
      </c>
      <c r="AF315" s="492">
        <v>50</v>
      </c>
      <c r="AG315" s="132">
        <f>AF315*30</f>
        <v>1500</v>
      </c>
      <c r="AH315" s="473">
        <v>1193.5</v>
      </c>
      <c r="AI315" s="521">
        <v>50</v>
      </c>
      <c r="AJ315" s="209">
        <f t="shared" si="40"/>
        <v>1550</v>
      </c>
      <c r="AK315" s="481">
        <v>1550</v>
      </c>
      <c r="AL315" s="409"/>
      <c r="AM315" s="159"/>
      <c r="AS315" s="121"/>
    </row>
    <row r="316" spans="1:57" s="23" customFormat="1">
      <c r="A316" s="999" t="s">
        <v>632</v>
      </c>
      <c r="B316" s="492">
        <f>4396/366</f>
        <v>12.010928961748634</v>
      </c>
      <c r="C316" s="132">
        <f t="shared" si="37"/>
        <v>372.33879781420768</v>
      </c>
      <c r="D316" s="473">
        <v>372</v>
      </c>
      <c r="E316" s="521">
        <f>B316</f>
        <v>12.010928961748634</v>
      </c>
      <c r="F316" s="209">
        <f t="shared" si="38"/>
        <v>348.31693989071039</v>
      </c>
      <c r="G316" s="481">
        <f>F316</f>
        <v>348.31693989071039</v>
      </c>
      <c r="H316" s="638"/>
      <c r="I316" s="746"/>
      <c r="J316" s="626"/>
      <c r="K316" s="638"/>
      <c r="L316" s="746"/>
      <c r="M316" s="626"/>
      <c r="N316" s="638"/>
      <c r="O316" s="746"/>
      <c r="P316" s="626"/>
      <c r="Q316" s="638"/>
      <c r="R316" s="746"/>
      <c r="S316" s="626"/>
      <c r="T316" s="638"/>
      <c r="U316" s="746"/>
      <c r="V316" s="626"/>
      <c r="W316" s="638"/>
      <c r="X316" s="746"/>
      <c r="Y316" s="626"/>
      <c r="Z316" s="638"/>
      <c r="AA316" s="746"/>
      <c r="AB316" s="626"/>
      <c r="AC316" s="638"/>
      <c r="AD316" s="746"/>
      <c r="AE316" s="626"/>
      <c r="AF316" s="638"/>
      <c r="AG316" s="746"/>
      <c r="AH316" s="626"/>
      <c r="AI316" s="638"/>
      <c r="AJ316" s="746"/>
      <c r="AK316" s="626"/>
      <c r="AL316" s="409"/>
      <c r="AM316" s="159"/>
    </row>
    <row r="317" spans="1:57" s="23" customFormat="1">
      <c r="A317" s="999" t="s">
        <v>432</v>
      </c>
      <c r="B317" s="492">
        <f>4396/366</f>
        <v>12.010928961748634</v>
      </c>
      <c r="C317" s="132">
        <f t="shared" si="37"/>
        <v>372.33879781420768</v>
      </c>
      <c r="D317" s="473">
        <v>372</v>
      </c>
      <c r="E317" s="521">
        <f>B317</f>
        <v>12.010928961748634</v>
      </c>
      <c r="F317" s="209">
        <f t="shared" si="38"/>
        <v>348.31693989071039</v>
      </c>
      <c r="G317" s="481">
        <v>372.5</v>
      </c>
      <c r="H317" s="492">
        <v>17</v>
      </c>
      <c r="I317" s="132">
        <f t="shared" si="39"/>
        <v>527</v>
      </c>
      <c r="J317" s="473">
        <v>432</v>
      </c>
      <c r="K317" s="521">
        <v>17</v>
      </c>
      <c r="L317" s="209">
        <f>K317*30</f>
        <v>510</v>
      </c>
      <c r="M317" s="481">
        <v>524</v>
      </c>
      <c r="N317" s="492">
        <v>17</v>
      </c>
      <c r="O317" s="132">
        <f t="shared" si="41"/>
        <v>527</v>
      </c>
      <c r="P317" s="473">
        <v>567</v>
      </c>
      <c r="Q317" s="521">
        <v>17</v>
      </c>
      <c r="R317" s="209">
        <f>Q317*30</f>
        <v>510</v>
      </c>
      <c r="S317" s="481">
        <v>541</v>
      </c>
      <c r="T317" s="492">
        <v>17</v>
      </c>
      <c r="U317" s="132">
        <f t="shared" si="42"/>
        <v>527</v>
      </c>
      <c r="V317" s="473">
        <v>543</v>
      </c>
      <c r="W317" s="521">
        <v>17</v>
      </c>
      <c r="X317" s="209">
        <f>W317*31</f>
        <v>527</v>
      </c>
      <c r="Y317" s="481">
        <v>527</v>
      </c>
      <c r="Z317" s="492">
        <v>17</v>
      </c>
      <c r="AA317" s="132">
        <f>Z317*30</f>
        <v>510</v>
      </c>
      <c r="AB317" s="473">
        <v>562</v>
      </c>
      <c r="AC317" s="521">
        <v>17</v>
      </c>
      <c r="AD317" s="209">
        <f>AC317*31</f>
        <v>527</v>
      </c>
      <c r="AE317" s="481">
        <v>545.25</v>
      </c>
      <c r="AF317" s="492">
        <v>17</v>
      </c>
      <c r="AG317" s="132">
        <f>AF317*30</f>
        <v>510</v>
      </c>
      <c r="AH317" s="473">
        <v>583.5</v>
      </c>
      <c r="AI317" s="521">
        <v>17</v>
      </c>
      <c r="AJ317" s="209">
        <f t="shared" si="40"/>
        <v>527</v>
      </c>
      <c r="AK317" s="481">
        <v>527</v>
      </c>
      <c r="AL317" s="408"/>
      <c r="AM317" s="159"/>
    </row>
    <row r="318" spans="1:57" s="23" customFormat="1">
      <c r="A318" s="999" t="s">
        <v>434</v>
      </c>
      <c r="B318" s="492">
        <v>76</v>
      </c>
      <c r="C318" s="132">
        <f t="shared" si="37"/>
        <v>2356</v>
      </c>
      <c r="D318" s="473">
        <v>2356</v>
      </c>
      <c r="E318" s="521">
        <v>76</v>
      </c>
      <c r="F318" s="209">
        <f t="shared" si="38"/>
        <v>2204</v>
      </c>
      <c r="G318" s="481">
        <f>F318</f>
        <v>2204</v>
      </c>
      <c r="H318" s="492">
        <v>76</v>
      </c>
      <c r="I318" s="132">
        <f t="shared" si="39"/>
        <v>2356</v>
      </c>
      <c r="J318" s="473">
        <v>2308</v>
      </c>
      <c r="K318" s="521">
        <v>76</v>
      </c>
      <c r="L318" s="209">
        <f>K318*30</f>
        <v>2280</v>
      </c>
      <c r="M318" s="481">
        <v>2272</v>
      </c>
      <c r="N318" s="492">
        <v>76</v>
      </c>
      <c r="O318" s="132">
        <f t="shared" si="41"/>
        <v>2356</v>
      </c>
      <c r="P318" s="473">
        <v>2001</v>
      </c>
      <c r="Q318" s="521">
        <v>76</v>
      </c>
      <c r="R318" s="209">
        <f>Q318*30</f>
        <v>2280</v>
      </c>
      <c r="S318" s="481">
        <v>2280</v>
      </c>
      <c r="T318" s="492">
        <v>76</v>
      </c>
      <c r="U318" s="132">
        <f t="shared" si="42"/>
        <v>2356</v>
      </c>
      <c r="V318" s="473">
        <v>2356</v>
      </c>
      <c r="W318" s="521">
        <v>76</v>
      </c>
      <c r="X318" s="209">
        <f>W318*31</f>
        <v>2356</v>
      </c>
      <c r="Y318" s="481">
        <v>2356</v>
      </c>
      <c r="Z318" s="492">
        <v>76</v>
      </c>
      <c r="AA318" s="132">
        <f>Z318*30</f>
        <v>2280</v>
      </c>
      <c r="AB318" s="473">
        <v>2279</v>
      </c>
      <c r="AC318" s="521">
        <v>76</v>
      </c>
      <c r="AD318" s="209">
        <f>AC318*31</f>
        <v>2356</v>
      </c>
      <c r="AE318" s="481">
        <v>2356</v>
      </c>
      <c r="AF318" s="492">
        <v>76</v>
      </c>
      <c r="AG318" s="132">
        <f>AF318*30</f>
        <v>2280</v>
      </c>
      <c r="AH318" s="473">
        <v>1804</v>
      </c>
      <c r="AI318" s="521">
        <v>76</v>
      </c>
      <c r="AJ318" s="209">
        <f t="shared" si="40"/>
        <v>2356</v>
      </c>
      <c r="AK318" s="481">
        <v>2356</v>
      </c>
      <c r="AL318" s="407"/>
    </row>
    <row r="319" spans="1:57" s="23" customFormat="1">
      <c r="A319" s="999" t="s">
        <v>433</v>
      </c>
      <c r="B319" s="492">
        <v>50</v>
      </c>
      <c r="C319" s="132">
        <f t="shared" si="37"/>
        <v>1550</v>
      </c>
      <c r="D319" s="473">
        <v>1550</v>
      </c>
      <c r="E319" s="521">
        <v>50</v>
      </c>
      <c r="F319" s="209">
        <f t="shared" si="38"/>
        <v>1450</v>
      </c>
      <c r="G319" s="481">
        <f>F319</f>
        <v>1450</v>
      </c>
      <c r="H319" s="492">
        <v>50</v>
      </c>
      <c r="I319" s="132">
        <f t="shared" si="39"/>
        <v>1550</v>
      </c>
      <c r="J319" s="473">
        <v>1550</v>
      </c>
      <c r="K319" s="521">
        <v>50</v>
      </c>
      <c r="L319" s="209">
        <f>K319*30</f>
        <v>1500</v>
      </c>
      <c r="M319" s="481">
        <v>1494.5</v>
      </c>
      <c r="N319" s="492">
        <v>50</v>
      </c>
      <c r="O319" s="132">
        <f t="shared" si="41"/>
        <v>1550</v>
      </c>
      <c r="P319" s="473">
        <v>1550</v>
      </c>
      <c r="Q319" s="521">
        <v>50</v>
      </c>
      <c r="R319" s="209">
        <f>Q319*30</f>
        <v>1500</v>
      </c>
      <c r="S319" s="481">
        <v>1352</v>
      </c>
      <c r="T319" s="492">
        <v>50</v>
      </c>
      <c r="U319" s="132">
        <f t="shared" si="42"/>
        <v>1550</v>
      </c>
      <c r="V319" s="473">
        <v>1880</v>
      </c>
      <c r="W319" s="521">
        <v>50</v>
      </c>
      <c r="X319" s="209">
        <f>W319*31</f>
        <v>1550</v>
      </c>
      <c r="Y319" s="481">
        <v>1550</v>
      </c>
      <c r="Z319" s="492">
        <v>50</v>
      </c>
      <c r="AA319" s="132">
        <f>Z319*30</f>
        <v>1500</v>
      </c>
      <c r="AB319" s="473">
        <v>1567</v>
      </c>
      <c r="AC319" s="521">
        <v>50</v>
      </c>
      <c r="AD319" s="209">
        <f>AC319*31</f>
        <v>1550</v>
      </c>
      <c r="AE319" s="481">
        <v>1550</v>
      </c>
      <c r="AF319" s="492">
        <v>50</v>
      </c>
      <c r="AG319" s="132">
        <f>AF319*30</f>
        <v>1500</v>
      </c>
      <c r="AH319" s="473">
        <v>1144</v>
      </c>
      <c r="AI319" s="521">
        <v>50</v>
      </c>
      <c r="AJ319" s="209">
        <f t="shared" si="40"/>
        <v>1550</v>
      </c>
      <c r="AK319" s="481">
        <v>1550</v>
      </c>
    </row>
    <row r="320" spans="1:57" s="23" customFormat="1">
      <c r="A320" s="1000" t="s">
        <v>58</v>
      </c>
      <c r="B320" s="490"/>
      <c r="C320" s="412"/>
      <c r="D320" s="483"/>
      <c r="E320" s="490"/>
      <c r="F320" s="412"/>
      <c r="G320" s="483"/>
      <c r="H320" s="490"/>
      <c r="I320" s="412"/>
      <c r="J320" s="483"/>
      <c r="K320" s="490"/>
      <c r="L320" s="412"/>
      <c r="M320" s="483"/>
      <c r="N320" s="490"/>
      <c r="O320" s="746"/>
      <c r="P320" s="483"/>
      <c r="Q320" s="490"/>
      <c r="R320" s="412"/>
      <c r="S320" s="483"/>
      <c r="T320" s="490"/>
      <c r="U320" s="746"/>
      <c r="V320" s="483"/>
      <c r="W320" s="490"/>
      <c r="X320" s="412"/>
      <c r="Y320" s="483"/>
      <c r="Z320" s="490"/>
      <c r="AA320" s="412"/>
      <c r="AB320" s="483"/>
      <c r="AC320" s="490"/>
      <c r="AD320" s="412"/>
      <c r="AE320" s="483"/>
      <c r="AF320" s="490"/>
      <c r="AG320" s="412"/>
      <c r="AH320" s="483"/>
      <c r="AI320" s="591"/>
      <c r="AJ320" s="410"/>
      <c r="AK320" s="526"/>
    </row>
    <row r="321" spans="1:93" s="23" customFormat="1" ht="15.75" thickBot="1">
      <c r="A321" s="1001" t="s">
        <v>32</v>
      </c>
      <c r="B321" s="487">
        <f t="shared" ref="B321:N321" si="43">SUM(B302:B320)</f>
        <v>438.92480874316936</v>
      </c>
      <c r="C321" s="488">
        <f t="shared" si="43"/>
        <v>13506.66907103825</v>
      </c>
      <c r="D321" s="489">
        <f t="shared" si="43"/>
        <v>13352.5</v>
      </c>
      <c r="E321" s="484">
        <f t="shared" si="43"/>
        <v>438.64480874316939</v>
      </c>
      <c r="F321" s="485">
        <f t="shared" si="43"/>
        <v>12640.699453551912</v>
      </c>
      <c r="G321" s="486">
        <f t="shared" si="43"/>
        <v>13030.56693989071</v>
      </c>
      <c r="H321" s="487">
        <f t="shared" si="43"/>
        <v>431.90295081967213</v>
      </c>
      <c r="I321" s="488">
        <f t="shared" si="43"/>
        <v>13308.991475409835</v>
      </c>
      <c r="J321" s="489">
        <f t="shared" si="43"/>
        <v>13319</v>
      </c>
      <c r="K321" s="589">
        <f t="shared" si="43"/>
        <v>431.81967213114751</v>
      </c>
      <c r="L321" s="586">
        <f t="shared" si="43"/>
        <v>12864.590163934427</v>
      </c>
      <c r="M321" s="590">
        <f t="shared" si="43"/>
        <v>13034.25</v>
      </c>
      <c r="N321" s="487">
        <f t="shared" si="43"/>
        <v>431.90295081967213</v>
      </c>
      <c r="O321" s="132">
        <f>SUM(O302:O320)</f>
        <v>13298.991475409835</v>
      </c>
      <c r="P321" s="489">
        <f>SUM(P302:P320)</f>
        <v>13149</v>
      </c>
      <c r="Q321" s="484">
        <f t="shared" ref="Q321:AK321" si="44">SUM(Q302:Q320)</f>
        <v>432.28</v>
      </c>
      <c r="R321" s="485">
        <f t="shared" si="44"/>
        <v>12888.4</v>
      </c>
      <c r="S321" s="486">
        <f t="shared" si="44"/>
        <v>13157</v>
      </c>
      <c r="T321" s="487">
        <f t="shared" si="44"/>
        <v>431.90295081967213</v>
      </c>
      <c r="U321" s="132">
        <f>SUM(U302:U320)</f>
        <v>13288.991475409835</v>
      </c>
      <c r="V321" s="489">
        <f t="shared" si="44"/>
        <v>14094</v>
      </c>
      <c r="W321" s="484">
        <f t="shared" si="44"/>
        <v>432.28</v>
      </c>
      <c r="X321" s="485">
        <f t="shared" si="44"/>
        <v>13320.68</v>
      </c>
      <c r="Y321" s="486">
        <f t="shared" si="44"/>
        <v>13477.5</v>
      </c>
      <c r="Z321" s="529">
        <f t="shared" si="44"/>
        <v>432.28</v>
      </c>
      <c r="AA321" s="494">
        <f t="shared" si="44"/>
        <v>12968.4</v>
      </c>
      <c r="AB321" s="495">
        <f t="shared" si="44"/>
        <v>13370</v>
      </c>
      <c r="AC321" s="484">
        <f t="shared" si="44"/>
        <v>432.28</v>
      </c>
      <c r="AD321" s="485">
        <f t="shared" si="44"/>
        <v>13300.68</v>
      </c>
      <c r="AE321" s="486">
        <f t="shared" si="44"/>
        <v>13393.5</v>
      </c>
      <c r="AF321" s="487">
        <f t="shared" si="44"/>
        <v>432.28</v>
      </c>
      <c r="AG321" s="488">
        <f t="shared" si="44"/>
        <v>12968.4</v>
      </c>
      <c r="AH321" s="489">
        <f t="shared" si="44"/>
        <v>12269.25</v>
      </c>
      <c r="AI321" s="484">
        <f t="shared" si="44"/>
        <v>432</v>
      </c>
      <c r="AJ321" s="485">
        <f t="shared" si="44"/>
        <v>13392</v>
      </c>
      <c r="AK321" s="486">
        <f t="shared" si="44"/>
        <v>13392</v>
      </c>
    </row>
    <row r="322" spans="1:93" s="2" customFormat="1" ht="15.75" thickBot="1">
      <c r="A322" s="15"/>
      <c r="B322" s="70"/>
      <c r="C322" s="71"/>
      <c r="D322" s="71"/>
      <c r="E322" s="70"/>
      <c r="F322" s="71"/>
      <c r="G322" s="71"/>
      <c r="H322" s="70"/>
      <c r="I322" s="71"/>
      <c r="J322" s="71"/>
      <c r="K322" s="71"/>
      <c r="L322" s="71"/>
      <c r="M322" s="71"/>
      <c r="N322" s="71"/>
      <c r="O322" s="70"/>
      <c r="P322" s="71"/>
      <c r="Q322" s="71"/>
      <c r="R322" s="70"/>
      <c r="S322" s="71"/>
      <c r="T322" s="71"/>
      <c r="U322" s="70"/>
      <c r="V322" s="71"/>
      <c r="W322" s="71"/>
      <c r="X322" s="70"/>
      <c r="Y322" s="71"/>
      <c r="Z322" s="71"/>
      <c r="AA322" s="70"/>
      <c r="AB322" s="71"/>
      <c r="AC322" s="71"/>
      <c r="AD322" s="70"/>
      <c r="AE322" s="71"/>
      <c r="AF322" s="71"/>
      <c r="AG322" s="70"/>
      <c r="AH322" s="71"/>
      <c r="AI322" s="71"/>
      <c r="AT322" s="151"/>
      <c r="AU322" s="151"/>
      <c r="AV322" s="151"/>
      <c r="AW322" s="151"/>
      <c r="AX322" s="151"/>
      <c r="AY322" s="151"/>
      <c r="AZ322" s="151"/>
      <c r="BA322" s="151"/>
      <c r="BB322" s="151"/>
      <c r="BC322" s="151"/>
      <c r="BD322" s="151"/>
      <c r="BE322" s="151"/>
      <c r="BF322" s="151"/>
      <c r="BG322" s="151"/>
      <c r="BH322" s="151"/>
      <c r="BI322" s="151"/>
      <c r="BJ322" s="151"/>
      <c r="BK322" s="151"/>
      <c r="BL322" s="151"/>
      <c r="BM322" s="151"/>
      <c r="BN322" s="151"/>
      <c r="BO322" s="151"/>
      <c r="BP322" s="151"/>
      <c r="BQ322" s="151"/>
      <c r="BR322" s="151"/>
      <c r="BS322" s="151"/>
      <c r="BT322" s="151"/>
      <c r="BU322" s="151"/>
      <c r="BV322" s="151"/>
      <c r="BW322" s="151"/>
      <c r="BX322" s="151"/>
      <c r="BY322" s="151"/>
      <c r="BZ322" s="151"/>
      <c r="CA322" s="151"/>
      <c r="CB322" s="151"/>
      <c r="CC322" s="151"/>
      <c r="CD322" s="151"/>
      <c r="CE322" s="151"/>
      <c r="CF322" s="151"/>
      <c r="CG322" s="151"/>
      <c r="CH322" s="151"/>
      <c r="CI322" s="151"/>
      <c r="CJ322" s="151"/>
      <c r="CK322" s="151"/>
      <c r="CL322" s="151"/>
      <c r="CM322" s="151"/>
      <c r="CN322" s="151"/>
      <c r="CO322" s="151"/>
    </row>
    <row r="323" spans="1:93" s="5" customFormat="1">
      <c r="A323" s="2887" t="s">
        <v>147</v>
      </c>
      <c r="B323" s="2889" t="s">
        <v>10</v>
      </c>
      <c r="C323" s="2871"/>
      <c r="D323" s="2889" t="s">
        <v>11</v>
      </c>
      <c r="E323" s="2871"/>
      <c r="F323" s="2889" t="s">
        <v>12</v>
      </c>
      <c r="G323" s="2871"/>
      <c r="H323" s="2889" t="s">
        <v>13</v>
      </c>
      <c r="I323" s="2871"/>
      <c r="J323" s="2889" t="s">
        <v>14</v>
      </c>
      <c r="K323" s="2871"/>
      <c r="L323" s="2889" t="s">
        <v>15</v>
      </c>
      <c r="M323" s="2871"/>
      <c r="N323" s="2889" t="s">
        <v>16</v>
      </c>
      <c r="O323" s="2871"/>
      <c r="P323" s="2889" t="s">
        <v>17</v>
      </c>
      <c r="Q323" s="2871"/>
      <c r="R323" s="2889" t="s">
        <v>159</v>
      </c>
      <c r="S323" s="2871"/>
      <c r="T323" s="2889" t="s">
        <v>19</v>
      </c>
      <c r="U323" s="2871"/>
      <c r="V323" s="2967" t="s">
        <v>20</v>
      </c>
      <c r="W323" s="2968"/>
      <c r="X323" s="2967" t="s">
        <v>21</v>
      </c>
      <c r="Y323" s="2968"/>
      <c r="AI323" s="211"/>
      <c r="AT323" s="438"/>
      <c r="AU323" s="1294"/>
      <c r="AV323" s="1295"/>
      <c r="AW323" s="1295"/>
      <c r="AX323" s="1295"/>
      <c r="AY323" s="1295"/>
      <c r="AZ323" s="1295"/>
      <c r="BA323" s="1295"/>
      <c r="BB323" s="1295"/>
      <c r="BC323" s="1295"/>
      <c r="BD323" s="1295"/>
      <c r="BE323" s="1295"/>
      <c r="BF323" s="1295"/>
      <c r="BG323" s="1295"/>
      <c r="BH323" s="1295"/>
      <c r="BI323" s="1295"/>
      <c r="BJ323" s="1295"/>
      <c r="BK323" s="1295"/>
      <c r="BL323" s="1295"/>
      <c r="BM323" s="1295"/>
      <c r="BN323" s="1295"/>
      <c r="BO323" s="1295"/>
      <c r="BP323" s="1295"/>
      <c r="BQ323" s="1295"/>
      <c r="BR323" s="1295"/>
      <c r="BS323" s="1295"/>
      <c r="BT323" s="438"/>
      <c r="BU323" s="438"/>
      <c r="BV323" s="438"/>
      <c r="BW323" s="438"/>
      <c r="BX323" s="438"/>
      <c r="BY323" s="438"/>
      <c r="BZ323" s="438"/>
      <c r="CA323" s="438"/>
      <c r="CB323" s="438"/>
      <c r="CC323" s="438"/>
      <c r="CD323" s="438"/>
      <c r="CE323" s="438"/>
      <c r="CF323" s="438"/>
      <c r="CG323" s="438"/>
      <c r="CH323" s="438"/>
      <c r="CI323" s="438"/>
      <c r="CJ323" s="438"/>
      <c r="CK323" s="438"/>
      <c r="CL323" s="438"/>
      <c r="CM323" s="438"/>
      <c r="CN323" s="438"/>
      <c r="CO323" s="438"/>
    </row>
    <row r="324" spans="1:93" s="713" customFormat="1" ht="17.25" thickBot="1">
      <c r="A324" s="2888"/>
      <c r="B324" s="744" t="s">
        <v>465</v>
      </c>
      <c r="C324" s="745" t="s">
        <v>466</v>
      </c>
      <c r="D324" s="744" t="s">
        <v>465</v>
      </c>
      <c r="E324" s="745" t="s">
        <v>466</v>
      </c>
      <c r="F324" s="744" t="s">
        <v>465</v>
      </c>
      <c r="G324" s="745" t="s">
        <v>466</v>
      </c>
      <c r="H324" s="744" t="s">
        <v>465</v>
      </c>
      <c r="I324" s="745" t="s">
        <v>466</v>
      </c>
      <c r="J324" s="744" t="s">
        <v>465</v>
      </c>
      <c r="K324" s="745" t="s">
        <v>466</v>
      </c>
      <c r="L324" s="744" t="s">
        <v>465</v>
      </c>
      <c r="M324" s="745" t="s">
        <v>466</v>
      </c>
      <c r="N324" s="744" t="s">
        <v>465</v>
      </c>
      <c r="O324" s="745" t="s">
        <v>466</v>
      </c>
      <c r="P324" s="744" t="s">
        <v>465</v>
      </c>
      <c r="Q324" s="745" t="s">
        <v>466</v>
      </c>
      <c r="R324" s="744" t="s">
        <v>465</v>
      </c>
      <c r="S324" s="745" t="s">
        <v>466</v>
      </c>
      <c r="T324" s="744" t="s">
        <v>465</v>
      </c>
      <c r="U324" s="745" t="s">
        <v>466</v>
      </c>
      <c r="V324" s="744" t="s">
        <v>465</v>
      </c>
      <c r="W324" s="745" t="s">
        <v>466</v>
      </c>
      <c r="X324" s="744" t="s">
        <v>465</v>
      </c>
      <c r="Y324" s="745" t="s">
        <v>466</v>
      </c>
      <c r="AT324" s="712"/>
      <c r="AU324" s="1296"/>
      <c r="AV324" s="1297"/>
      <c r="AW324" s="1297"/>
      <c r="AX324" s="1297"/>
      <c r="AY324" s="1297"/>
      <c r="AZ324" s="1297"/>
      <c r="BA324" s="1297"/>
      <c r="BB324" s="1297"/>
      <c r="BC324" s="1297"/>
      <c r="BD324" s="1297"/>
      <c r="BE324" s="1297"/>
      <c r="BF324" s="1297"/>
      <c r="BG324" s="1297"/>
      <c r="BH324" s="1297"/>
      <c r="BI324" s="1297"/>
      <c r="BJ324" s="1297"/>
      <c r="BK324" s="1297"/>
      <c r="BL324" s="1297"/>
      <c r="BM324" s="1297"/>
      <c r="BN324" s="1297"/>
      <c r="BO324" s="1297"/>
      <c r="BP324" s="1297"/>
      <c r="BQ324" s="1297"/>
      <c r="BR324" s="1297"/>
      <c r="BS324" s="1297"/>
      <c r="BT324" s="712"/>
      <c r="BU324" s="712"/>
      <c r="BV324" s="712"/>
      <c r="BW324" s="712"/>
      <c r="BX324" s="712"/>
      <c r="BY324" s="712"/>
      <c r="BZ324" s="712"/>
      <c r="CA324" s="712"/>
      <c r="CB324" s="712"/>
      <c r="CC324" s="712"/>
      <c r="CD324" s="712"/>
      <c r="CE324" s="712"/>
      <c r="CF324" s="712"/>
      <c r="CG324" s="712"/>
      <c r="CH324" s="712"/>
      <c r="CI324" s="712"/>
      <c r="CJ324" s="712"/>
      <c r="CK324" s="712"/>
      <c r="CL324" s="712"/>
      <c r="CM324" s="712"/>
      <c r="CN324" s="712"/>
      <c r="CO324" s="712"/>
    </row>
    <row r="325" spans="1:93">
      <c r="A325" s="686" t="s">
        <v>6</v>
      </c>
      <c r="B325" s="741">
        <v>100</v>
      </c>
      <c r="C325" s="742">
        <f>3146.25/31</f>
        <v>101.49193548387096</v>
      </c>
      <c r="D325" s="741">
        <v>100</v>
      </c>
      <c r="E325" s="743">
        <v>102</v>
      </c>
      <c r="F325" s="741">
        <v>100</v>
      </c>
      <c r="G325" s="742">
        <v>102</v>
      </c>
      <c r="H325" s="741">
        <v>100</v>
      </c>
      <c r="I325" s="743">
        <v>99</v>
      </c>
      <c r="J325" s="741">
        <v>100</v>
      </c>
      <c r="K325" s="743">
        <v>77</v>
      </c>
      <c r="L325" s="741">
        <v>100</v>
      </c>
      <c r="M325" s="743">
        <v>85</v>
      </c>
      <c r="N325" s="741">
        <v>100</v>
      </c>
      <c r="O325" s="743">
        <v>91</v>
      </c>
      <c r="P325" s="741">
        <v>100</v>
      </c>
      <c r="Q325" s="743">
        <v>89.4</v>
      </c>
      <c r="R325" s="741">
        <v>100</v>
      </c>
      <c r="S325" s="743">
        <v>94</v>
      </c>
      <c r="T325" s="741">
        <v>100</v>
      </c>
      <c r="U325" s="743">
        <v>99</v>
      </c>
      <c r="V325" s="741">
        <v>100</v>
      </c>
      <c r="W325" s="743">
        <v>102</v>
      </c>
      <c r="X325" s="741">
        <v>100</v>
      </c>
      <c r="Y325" s="743">
        <v>87.89</v>
      </c>
      <c r="AT325" s="135"/>
      <c r="AU325" s="1298"/>
      <c r="AV325" s="1299"/>
      <c r="AW325" s="1300"/>
      <c r="AX325" s="1301"/>
      <c r="AY325" s="1302"/>
      <c r="AZ325" s="1299"/>
      <c r="BA325" s="1300"/>
      <c r="BB325" s="1303"/>
      <c r="BC325" s="1302"/>
      <c r="BD325" s="1303"/>
      <c r="BE325" s="1303"/>
      <c r="BF325" s="1303"/>
      <c r="BG325" s="1303"/>
      <c r="BH325" s="1303"/>
      <c r="BI325" s="1303"/>
      <c r="BJ325" s="1303"/>
      <c r="BK325" s="1303"/>
      <c r="BL325" s="1303"/>
      <c r="BM325" s="1303"/>
      <c r="BN325" s="1303"/>
      <c r="BO325" s="1303"/>
      <c r="BP325" s="1303"/>
      <c r="BQ325" s="1303"/>
      <c r="BR325" s="1303"/>
      <c r="BS325" s="1303"/>
      <c r="BT325" s="135"/>
      <c r="BU325" s="135"/>
      <c r="BV325" s="135"/>
      <c r="BW325" s="135"/>
      <c r="BX325" s="135"/>
      <c r="BY325" s="135"/>
      <c r="BZ325" s="135"/>
      <c r="CA325" s="135"/>
      <c r="CB325" s="135"/>
      <c r="CC325" s="135"/>
      <c r="CD325" s="135"/>
      <c r="CE325" s="135"/>
      <c r="CF325" s="135"/>
      <c r="CG325" s="135"/>
      <c r="CH325" s="135"/>
      <c r="CI325" s="135"/>
      <c r="CJ325" s="135"/>
      <c r="CK325" s="135"/>
      <c r="CL325" s="135"/>
      <c r="CM325" s="135"/>
      <c r="CN325" s="135"/>
      <c r="CO325" s="135"/>
    </row>
    <row r="326" spans="1:93" s="23" customFormat="1">
      <c r="A326" s="686" t="s">
        <v>84</v>
      </c>
      <c r="B326" s="631">
        <v>10</v>
      </c>
      <c r="C326" s="632">
        <v>12.26</v>
      </c>
      <c r="D326" s="631">
        <v>10</v>
      </c>
      <c r="E326" s="624">
        <v>12</v>
      </c>
      <c r="F326" s="631">
        <v>10</v>
      </c>
      <c r="G326" s="632">
        <f>381/31</f>
        <v>12.290322580645162</v>
      </c>
      <c r="H326" s="631">
        <v>10</v>
      </c>
      <c r="I326" s="624">
        <f>251.5/30</f>
        <v>8.3833333333333329</v>
      </c>
      <c r="J326" s="631">
        <v>10</v>
      </c>
      <c r="K326" s="624">
        <f>417.5/31</f>
        <v>13.46774193548387</v>
      </c>
      <c r="L326" s="631">
        <v>10</v>
      </c>
      <c r="M326" s="624">
        <v>12.65</v>
      </c>
      <c r="N326" s="631">
        <v>10</v>
      </c>
      <c r="O326" s="624">
        <v>13</v>
      </c>
      <c r="P326" s="631">
        <v>10</v>
      </c>
      <c r="Q326" s="624">
        <v>14.9</v>
      </c>
      <c r="R326" s="631">
        <v>10</v>
      </c>
      <c r="S326" s="624">
        <v>13</v>
      </c>
      <c r="T326" s="631">
        <v>10</v>
      </c>
      <c r="U326" s="637">
        <v>12</v>
      </c>
      <c r="V326" s="631">
        <v>10</v>
      </c>
      <c r="W326" s="625">
        <v>23</v>
      </c>
      <c r="X326" s="631">
        <v>10</v>
      </c>
      <c r="Y326" s="625">
        <v>25</v>
      </c>
      <c r="AF326" s="159"/>
      <c r="AT326" s="135"/>
      <c r="AU326" s="1298"/>
      <c r="AV326" s="1299"/>
      <c r="AW326" s="1300"/>
      <c r="AX326" s="1301"/>
      <c r="AY326" s="1302"/>
      <c r="AZ326" s="1299"/>
      <c r="BA326" s="1300"/>
      <c r="BB326" s="1303"/>
      <c r="BC326" s="1302"/>
      <c r="BD326" s="1303"/>
      <c r="BE326" s="1303"/>
      <c r="BF326" s="1303"/>
      <c r="BG326" s="1303"/>
      <c r="BH326" s="1303"/>
      <c r="BI326" s="1303"/>
      <c r="BJ326" s="1303"/>
      <c r="BK326" s="1303"/>
      <c r="BL326" s="1303"/>
      <c r="BM326" s="1303"/>
      <c r="BN326" s="1303"/>
      <c r="BO326" s="1303"/>
      <c r="BP326" s="1303"/>
      <c r="BQ326" s="1303"/>
      <c r="BR326" s="1303"/>
      <c r="BS326" s="1304"/>
      <c r="BT326" s="135"/>
      <c r="BU326" s="135"/>
      <c r="BV326" s="135"/>
      <c r="BW326" s="135"/>
      <c r="BX326" s="135"/>
      <c r="BY326" s="135"/>
      <c r="BZ326" s="135"/>
      <c r="CA326" s="135"/>
      <c r="CB326" s="135"/>
      <c r="CC326" s="135"/>
      <c r="CD326" s="135"/>
      <c r="CE326" s="135"/>
      <c r="CF326" s="135"/>
      <c r="CG326" s="135"/>
      <c r="CH326" s="135"/>
      <c r="CI326" s="135"/>
      <c r="CJ326" s="135"/>
      <c r="CK326" s="135"/>
      <c r="CL326" s="135"/>
      <c r="CM326" s="135"/>
      <c r="CN326" s="135"/>
      <c r="CO326" s="135"/>
    </row>
    <row r="327" spans="1:93">
      <c r="A327" s="686" t="s">
        <v>28</v>
      </c>
      <c r="B327" s="631">
        <v>73</v>
      </c>
      <c r="C327" s="632">
        <f>SUM(2940.52+104.18-233.98)/31</f>
        <v>90.668387096774183</v>
      </c>
      <c r="D327" s="631">
        <v>73</v>
      </c>
      <c r="E327" s="624">
        <v>73</v>
      </c>
      <c r="F327" s="631">
        <v>73</v>
      </c>
      <c r="G327" s="632">
        <f>2900.46/31</f>
        <v>93.563225806451612</v>
      </c>
      <c r="H327" s="631">
        <v>73</v>
      </c>
      <c r="I327" s="624">
        <f>2889.86/30</f>
        <v>96.328666666666678</v>
      </c>
      <c r="J327" s="631">
        <v>73</v>
      </c>
      <c r="K327" s="2368"/>
      <c r="L327" s="631">
        <v>73</v>
      </c>
      <c r="M327" s="2368"/>
      <c r="N327" s="631">
        <v>73</v>
      </c>
      <c r="O327" s="2368"/>
      <c r="P327" s="631">
        <v>73</v>
      </c>
      <c r="Q327" s="2368"/>
      <c r="R327" s="631">
        <v>73</v>
      </c>
      <c r="S327" s="2368"/>
      <c r="T327" s="631">
        <v>73</v>
      </c>
      <c r="U327" s="2368"/>
      <c r="V327" s="631">
        <v>73</v>
      </c>
      <c r="W327" s="2368"/>
      <c r="X327" s="631">
        <v>73</v>
      </c>
      <c r="Y327" s="624"/>
      <c r="AT327" s="135"/>
      <c r="AU327" s="1298"/>
      <c r="AV327" s="1299"/>
      <c r="AW327" s="1300"/>
      <c r="AX327" s="1301"/>
      <c r="AY327" s="1302"/>
      <c r="AZ327" s="1299"/>
      <c r="BA327" s="1300"/>
      <c r="BB327" s="1301"/>
      <c r="BC327" s="1303"/>
      <c r="BD327" s="1303"/>
      <c r="BE327" s="1303"/>
      <c r="BF327" s="1301"/>
      <c r="BG327" s="1303"/>
      <c r="BH327" s="1301"/>
      <c r="BI327" s="1303"/>
      <c r="BJ327" s="1301"/>
      <c r="BK327" s="1303"/>
      <c r="BL327" s="1301"/>
      <c r="BM327" s="1303"/>
      <c r="BN327" s="1301"/>
      <c r="BO327" s="1303"/>
      <c r="BP327" s="1301"/>
      <c r="BQ327" s="1303"/>
      <c r="BR327" s="1301"/>
      <c r="BS327" s="1303"/>
      <c r="BT327" s="135"/>
      <c r="BU327" s="135"/>
      <c r="BV327" s="135"/>
      <c r="BW327" s="135"/>
      <c r="BX327" s="135"/>
      <c r="BY327" s="135"/>
      <c r="BZ327" s="135"/>
      <c r="CA327" s="135"/>
      <c r="CB327" s="135"/>
      <c r="CC327" s="135"/>
      <c r="CD327" s="135"/>
      <c r="CE327" s="135"/>
      <c r="CF327" s="135"/>
      <c r="CG327" s="135"/>
      <c r="CH327" s="135"/>
      <c r="CI327" s="135"/>
      <c r="CJ327" s="135"/>
      <c r="CK327" s="135"/>
      <c r="CL327" s="135"/>
      <c r="CM327" s="135"/>
      <c r="CN327" s="135"/>
      <c r="CO327" s="135"/>
    </row>
    <row r="328" spans="1:93" s="23" customFormat="1">
      <c r="A328" s="686" t="s">
        <v>219</v>
      </c>
      <c r="B328" s="631">
        <v>8</v>
      </c>
      <c r="C328" s="1324">
        <v>8.3800000000000008</v>
      </c>
      <c r="D328" s="631">
        <v>8</v>
      </c>
      <c r="E328" s="1323">
        <v>8.5</v>
      </c>
      <c r="F328" s="631">
        <v>8</v>
      </c>
      <c r="G328" s="1324">
        <v>8.5</v>
      </c>
      <c r="H328" s="631">
        <v>8</v>
      </c>
      <c r="I328" s="624">
        <v>8.6999999999999993</v>
      </c>
      <c r="J328" s="631">
        <v>8</v>
      </c>
      <c r="K328" s="624">
        <f>265.77/31</f>
        <v>8.573225806451612</v>
      </c>
      <c r="L328" s="631">
        <v>8</v>
      </c>
      <c r="M328" s="624">
        <v>8.65</v>
      </c>
      <c r="N328" s="631">
        <v>8</v>
      </c>
      <c r="O328" s="624">
        <v>9</v>
      </c>
      <c r="P328" s="1935"/>
      <c r="Q328" s="626"/>
      <c r="R328" s="1935"/>
      <c r="S328" s="626"/>
      <c r="T328" s="1935"/>
      <c r="U328" s="2047"/>
      <c r="V328" s="1935"/>
      <c r="W328" s="2048"/>
      <c r="X328" s="1935"/>
      <c r="Y328" s="2048"/>
      <c r="Z328" s="159"/>
      <c r="AT328" s="135"/>
      <c r="AU328" s="1298"/>
      <c r="AV328" s="1299"/>
      <c r="AW328" s="1300"/>
      <c r="AX328" s="1301"/>
      <c r="AY328" s="1302"/>
      <c r="AZ328" s="1299"/>
      <c r="BA328" s="1300"/>
      <c r="BB328" s="1301"/>
      <c r="BC328" s="1302"/>
      <c r="BD328" s="1301"/>
      <c r="BE328" s="1303"/>
      <c r="BF328" s="1301"/>
      <c r="BG328" s="1303"/>
      <c r="BH328" s="1301"/>
      <c r="BI328" s="1303"/>
      <c r="BJ328" s="1301"/>
      <c r="BK328" s="1303"/>
      <c r="BL328" s="1301"/>
      <c r="BM328" s="1303"/>
      <c r="BN328" s="1301"/>
      <c r="BO328" s="1303"/>
      <c r="BP328" s="1301"/>
      <c r="BQ328" s="1303"/>
      <c r="BR328" s="1301"/>
      <c r="BS328" s="1303"/>
      <c r="BT328" s="135"/>
      <c r="BU328" s="135"/>
      <c r="BV328" s="135"/>
      <c r="BW328" s="135"/>
      <c r="BX328" s="135"/>
      <c r="BY328" s="135"/>
      <c r="BZ328" s="135"/>
      <c r="CA328" s="135"/>
      <c r="CB328" s="135"/>
      <c r="CC328" s="135"/>
      <c r="CD328" s="135"/>
      <c r="CE328" s="135"/>
      <c r="CF328" s="135"/>
      <c r="CG328" s="135"/>
      <c r="CH328" s="135"/>
      <c r="CI328" s="135"/>
      <c r="CJ328" s="135"/>
      <c r="CK328" s="135"/>
      <c r="CL328" s="135"/>
      <c r="CM328" s="135"/>
      <c r="CN328" s="135"/>
      <c r="CO328" s="135"/>
    </row>
    <row r="329" spans="1:93">
      <c r="A329" s="686" t="s">
        <v>85</v>
      </c>
      <c r="B329" s="631">
        <v>24</v>
      </c>
      <c r="C329" s="632">
        <v>24.36</v>
      </c>
      <c r="D329" s="631">
        <v>24</v>
      </c>
      <c r="E329" s="624">
        <v>24.18</v>
      </c>
      <c r="F329" s="631">
        <v>24</v>
      </c>
      <c r="G329" s="632">
        <f>792.59/31</f>
        <v>25.567419354838712</v>
      </c>
      <c r="H329" s="631">
        <v>24</v>
      </c>
      <c r="I329" s="624">
        <f>826.54/30</f>
        <v>27.551333333333332</v>
      </c>
      <c r="J329" s="631">
        <v>24</v>
      </c>
      <c r="K329" s="624">
        <f>176.28/7</f>
        <v>25.182857142857141</v>
      </c>
      <c r="L329" s="631">
        <v>24</v>
      </c>
      <c r="M329" s="624">
        <v>23</v>
      </c>
      <c r="N329" s="631">
        <v>24</v>
      </c>
      <c r="O329" s="624">
        <v>18</v>
      </c>
      <c r="P329" s="631">
        <v>24</v>
      </c>
      <c r="Q329" s="624">
        <v>19.22</v>
      </c>
      <c r="R329" s="631">
        <v>24</v>
      </c>
      <c r="S329" s="624">
        <v>18</v>
      </c>
      <c r="T329" s="631">
        <v>24</v>
      </c>
      <c r="U329" s="624">
        <v>19</v>
      </c>
      <c r="V329" s="631">
        <v>24</v>
      </c>
      <c r="W329" s="624">
        <v>22</v>
      </c>
      <c r="X329" s="631">
        <v>24</v>
      </c>
      <c r="Y329" s="624">
        <v>18.71</v>
      </c>
      <c r="AT329" s="135"/>
      <c r="AU329" s="1298"/>
      <c r="AV329" s="1299"/>
      <c r="AW329" s="1300"/>
      <c r="AX329" s="1301"/>
      <c r="AY329" s="1302"/>
      <c r="AZ329" s="1299"/>
      <c r="BA329" s="1300"/>
      <c r="BB329" s="1301"/>
      <c r="BC329" s="1302"/>
      <c r="BD329" s="1301"/>
      <c r="BE329" s="1303"/>
      <c r="BF329" s="1301"/>
      <c r="BG329" s="1303"/>
      <c r="BH329" s="1301"/>
      <c r="BI329" s="1303"/>
      <c r="BJ329" s="1301"/>
      <c r="BK329" s="1303"/>
      <c r="BL329" s="1301"/>
      <c r="BM329" s="1303"/>
      <c r="BN329" s="1301"/>
      <c r="BO329" s="1303"/>
      <c r="BP329" s="1301"/>
      <c r="BQ329" s="1303"/>
      <c r="BR329" s="1301"/>
      <c r="BS329" s="1301"/>
      <c r="BT329" s="135"/>
      <c r="BU329" s="135"/>
      <c r="BV329" s="135"/>
      <c r="BW329" s="135"/>
      <c r="BX329" s="135"/>
      <c r="BY329" s="135"/>
      <c r="BZ329" s="135"/>
      <c r="CA329" s="135"/>
      <c r="CB329" s="135"/>
      <c r="CC329" s="135"/>
      <c r="CD329" s="135"/>
      <c r="CE329" s="135"/>
      <c r="CF329" s="135"/>
      <c r="CG329" s="135"/>
      <c r="CH329" s="135"/>
      <c r="CI329" s="135"/>
      <c r="CJ329" s="135"/>
      <c r="CK329" s="135"/>
      <c r="CL329" s="135"/>
      <c r="CM329" s="135"/>
      <c r="CN329" s="135"/>
      <c r="CO329" s="135"/>
    </row>
    <row r="330" spans="1:93" s="23" customFormat="1">
      <c r="A330" s="686" t="s">
        <v>712</v>
      </c>
      <c r="B330" s="1002"/>
      <c r="C330" s="800"/>
      <c r="D330" s="800"/>
      <c r="E330" s="801"/>
      <c r="F330" s="800"/>
      <c r="G330" s="800"/>
      <c r="H330" s="800"/>
      <c r="I330" s="801"/>
      <c r="J330" s="801"/>
      <c r="K330" s="801"/>
      <c r="L330" s="801"/>
      <c r="M330" s="801"/>
      <c r="N330" s="801"/>
      <c r="O330" s="801"/>
      <c r="P330" s="801"/>
      <c r="Q330" s="801"/>
      <c r="R330" s="801"/>
      <c r="S330" s="801"/>
      <c r="T330" s="801"/>
      <c r="U330" s="801"/>
      <c r="V330" s="801"/>
      <c r="W330" s="1003"/>
      <c r="X330" s="801"/>
      <c r="Y330" s="1003"/>
      <c r="AT330" s="135"/>
      <c r="AU330" s="1298"/>
      <c r="AV330" s="1299"/>
      <c r="AW330" s="1300"/>
      <c r="AX330" s="1301"/>
      <c r="AY330" s="1302"/>
      <c r="AZ330" s="1299"/>
      <c r="BA330" s="1300"/>
      <c r="BB330" s="1301"/>
      <c r="BC330" s="1302"/>
      <c r="BD330" s="1301"/>
      <c r="BE330" s="1303"/>
      <c r="BF330" s="1301"/>
      <c r="BG330" s="1303"/>
      <c r="BH330" s="1301"/>
      <c r="BI330" s="1303"/>
      <c r="BJ330" s="1301"/>
      <c r="BK330" s="1303"/>
      <c r="BL330" s="1301"/>
      <c r="BM330" s="1303"/>
      <c r="BN330" s="1301"/>
      <c r="BO330" s="1303"/>
      <c r="BP330" s="1301"/>
      <c r="BQ330" s="1303"/>
      <c r="BR330" s="1301"/>
      <c r="BS330" s="1301"/>
      <c r="BT330" s="135"/>
      <c r="BU330" s="135"/>
      <c r="BV330" s="135"/>
      <c r="BW330" s="135"/>
      <c r="BX330" s="135"/>
      <c r="BY330" s="135"/>
      <c r="BZ330" s="135"/>
      <c r="CA330" s="135"/>
      <c r="CB330" s="135"/>
      <c r="CC330" s="135"/>
      <c r="CD330" s="135"/>
      <c r="CE330" s="135"/>
      <c r="CF330" s="135"/>
      <c r="CG330" s="135"/>
      <c r="CH330" s="135"/>
      <c r="CI330" s="135"/>
      <c r="CJ330" s="135"/>
      <c r="CK330" s="135"/>
      <c r="CL330" s="135"/>
      <c r="CM330" s="135"/>
      <c r="CN330" s="135"/>
      <c r="CO330" s="135"/>
    </row>
    <row r="331" spans="1:93" s="23" customFormat="1">
      <c r="A331" s="686" t="s">
        <v>713</v>
      </c>
      <c r="B331" s="482"/>
      <c r="C331" s="411"/>
      <c r="D331" s="411"/>
      <c r="E331" s="412"/>
      <c r="F331" s="411"/>
      <c r="G331" s="411"/>
      <c r="H331" s="411"/>
      <c r="I331" s="412"/>
      <c r="J331" s="412"/>
      <c r="K331" s="412"/>
      <c r="L331" s="412"/>
      <c r="M331" s="412"/>
      <c r="N331" s="412"/>
      <c r="O331" s="412"/>
      <c r="P331" s="412"/>
      <c r="Q331" s="412"/>
      <c r="R331" s="412"/>
      <c r="S331" s="412"/>
      <c r="T331" s="412"/>
      <c r="U331" s="412"/>
      <c r="V331" s="412"/>
      <c r="W331" s="483"/>
      <c r="X331" s="412"/>
      <c r="Y331" s="483"/>
      <c r="AT331" s="135"/>
      <c r="AU331" s="1298"/>
      <c r="AV331" s="1299"/>
      <c r="AW331" s="1300"/>
      <c r="AX331" s="1301"/>
      <c r="AY331" s="1302"/>
      <c r="AZ331" s="1299"/>
      <c r="BA331" s="1300"/>
      <c r="BB331" s="1301"/>
      <c r="BC331" s="1302"/>
      <c r="BD331" s="1301"/>
      <c r="BE331" s="1303"/>
      <c r="BF331" s="1301"/>
      <c r="BG331" s="1303"/>
      <c r="BH331" s="1301"/>
      <c r="BI331" s="1303"/>
      <c r="BJ331" s="1301"/>
      <c r="BK331" s="1303"/>
      <c r="BL331" s="1301"/>
      <c r="BM331" s="1303"/>
      <c r="BN331" s="1301"/>
      <c r="BO331" s="1303"/>
      <c r="BP331" s="1301"/>
      <c r="BQ331" s="1303"/>
      <c r="BR331" s="1301"/>
      <c r="BS331" s="1301"/>
      <c r="BT331" s="135"/>
      <c r="BU331" s="135"/>
      <c r="BV331" s="135"/>
      <c r="BW331" s="135"/>
      <c r="BX331" s="135"/>
      <c r="BY331" s="135"/>
      <c r="BZ331" s="135"/>
      <c r="CA331" s="135"/>
      <c r="CB331" s="135"/>
      <c r="CC331" s="135"/>
      <c r="CD331" s="135"/>
      <c r="CE331" s="135"/>
      <c r="CF331" s="135"/>
      <c r="CG331" s="135"/>
      <c r="CH331" s="135"/>
      <c r="CI331" s="135"/>
      <c r="CJ331" s="135"/>
      <c r="CK331" s="135"/>
      <c r="CL331" s="135"/>
      <c r="CM331" s="135"/>
      <c r="CN331" s="135"/>
      <c r="CO331" s="135"/>
    </row>
    <row r="332" spans="1:93" s="23" customFormat="1">
      <c r="A332" s="686" t="s">
        <v>376</v>
      </c>
      <c r="B332" s="631">
        <v>65</v>
      </c>
      <c r="C332" s="632">
        <v>69</v>
      </c>
      <c r="D332" s="631">
        <v>65</v>
      </c>
      <c r="E332" s="624">
        <v>67</v>
      </c>
      <c r="F332" s="631">
        <v>65</v>
      </c>
      <c r="G332" s="632">
        <f>2138.84/31</f>
        <v>68.994838709677424</v>
      </c>
      <c r="H332" s="631">
        <v>65</v>
      </c>
      <c r="I332" s="624">
        <v>53</v>
      </c>
      <c r="J332" s="631">
        <v>65</v>
      </c>
      <c r="K332" s="624">
        <f>2052/31</f>
        <v>66.193548387096769</v>
      </c>
      <c r="L332" s="631">
        <v>65</v>
      </c>
      <c r="M332" s="624">
        <v>63.38</v>
      </c>
      <c r="N332" s="631">
        <v>65</v>
      </c>
      <c r="O332" s="624">
        <v>62</v>
      </c>
      <c r="P332" s="631">
        <v>65</v>
      </c>
      <c r="Q332" s="624">
        <v>71</v>
      </c>
      <c r="R332" s="631">
        <v>65</v>
      </c>
      <c r="S332" s="624">
        <v>71</v>
      </c>
      <c r="T332" s="631">
        <v>65</v>
      </c>
      <c r="U332" s="624">
        <v>69</v>
      </c>
      <c r="V332" s="631">
        <v>65</v>
      </c>
      <c r="W332" s="624">
        <v>76</v>
      </c>
      <c r="X332" s="631">
        <v>65</v>
      </c>
      <c r="Y332" s="624">
        <v>74</v>
      </c>
      <c r="AT332" s="135"/>
      <c r="AU332" s="1298"/>
      <c r="AV332" s="1299"/>
      <c r="AW332" s="1300"/>
      <c r="AX332" s="1301"/>
      <c r="AY332" s="1302"/>
      <c r="AZ332" s="1299"/>
      <c r="BA332" s="1300"/>
      <c r="BB332" s="1301"/>
      <c r="BC332" s="1302"/>
      <c r="BD332" s="1301"/>
      <c r="BE332" s="1303"/>
      <c r="BF332" s="1301"/>
      <c r="BG332" s="1303"/>
      <c r="BH332" s="1301"/>
      <c r="BI332" s="1303"/>
      <c r="BJ332" s="1301"/>
      <c r="BK332" s="1303"/>
      <c r="BL332" s="1301"/>
      <c r="BM332" s="1303"/>
      <c r="BN332" s="1301"/>
      <c r="BO332" s="1303"/>
      <c r="BP332" s="1301"/>
      <c r="BQ332" s="1303"/>
      <c r="BR332" s="1301"/>
      <c r="BS332" s="1301"/>
      <c r="BT332" s="135"/>
      <c r="BU332" s="135"/>
      <c r="BV332" s="135"/>
      <c r="BW332" s="135"/>
      <c r="BX332" s="135"/>
      <c r="BY332" s="135"/>
      <c r="BZ332" s="135"/>
      <c r="CA332" s="135"/>
      <c r="CB332" s="135"/>
      <c r="CC332" s="135"/>
      <c r="CD332" s="135"/>
      <c r="CE332" s="135"/>
      <c r="CF332" s="135"/>
      <c r="CG332" s="135"/>
      <c r="CH332" s="135"/>
      <c r="CI332" s="135"/>
      <c r="CJ332" s="135"/>
      <c r="CK332" s="135"/>
      <c r="CL332" s="135"/>
      <c r="CM332" s="135"/>
      <c r="CN332" s="135"/>
      <c r="CO332" s="135"/>
    </row>
    <row r="333" spans="1:93" s="23" customFormat="1">
      <c r="A333" s="686" t="s">
        <v>497</v>
      </c>
      <c r="B333" s="631">
        <v>18</v>
      </c>
      <c r="C333" s="632">
        <v>13.34</v>
      </c>
      <c r="D333" s="631">
        <v>18</v>
      </c>
      <c r="E333" s="624">
        <v>19</v>
      </c>
      <c r="F333" s="631">
        <v>18</v>
      </c>
      <c r="G333" s="632">
        <f>576.63/31</f>
        <v>18.600967741935484</v>
      </c>
      <c r="H333" s="631">
        <v>18</v>
      </c>
      <c r="I333" s="624">
        <f>374.56/30</f>
        <v>12.485333333333333</v>
      </c>
      <c r="J333" s="631">
        <v>18</v>
      </c>
      <c r="K333" s="624">
        <f>517/31</f>
        <v>16.677419354838708</v>
      </c>
      <c r="L333" s="631">
        <v>18</v>
      </c>
      <c r="M333" s="624">
        <v>16.36</v>
      </c>
      <c r="N333" s="631">
        <v>18</v>
      </c>
      <c r="O333" s="624">
        <v>17</v>
      </c>
      <c r="P333" s="631">
        <v>18</v>
      </c>
      <c r="Q333" s="624">
        <v>17.5</v>
      </c>
      <c r="R333" s="631">
        <v>18</v>
      </c>
      <c r="S333" s="624">
        <v>16</v>
      </c>
      <c r="T333" s="631">
        <v>18</v>
      </c>
      <c r="U333" s="624">
        <v>15.45</v>
      </c>
      <c r="V333" s="631">
        <v>18</v>
      </c>
      <c r="W333" s="624">
        <v>16</v>
      </c>
      <c r="X333" s="631">
        <v>18</v>
      </c>
      <c r="Y333" s="624">
        <v>17</v>
      </c>
      <c r="AT333" s="135"/>
      <c r="AU333" s="1298"/>
      <c r="AV333" s="1299"/>
      <c r="AW333" s="1300"/>
      <c r="AX333" s="1301"/>
      <c r="AY333" s="1302"/>
      <c r="AZ333" s="1299"/>
      <c r="BA333" s="1300"/>
      <c r="BB333" s="1301"/>
      <c r="BC333" s="1302"/>
      <c r="BD333" s="1301"/>
      <c r="BE333" s="1303"/>
      <c r="BF333" s="1301"/>
      <c r="BG333" s="1303"/>
      <c r="BH333" s="1301"/>
      <c r="BI333" s="1303"/>
      <c r="BJ333" s="1301"/>
      <c r="BK333" s="1303"/>
      <c r="BL333" s="1301"/>
      <c r="BM333" s="1303"/>
      <c r="BN333" s="1301"/>
      <c r="BO333" s="1303"/>
      <c r="BP333" s="1301"/>
      <c r="BQ333" s="1303"/>
      <c r="BR333" s="1301"/>
      <c r="BS333" s="1301"/>
      <c r="BT333" s="135"/>
      <c r="BU333" s="135"/>
      <c r="BV333" s="135"/>
      <c r="BW333" s="135"/>
      <c r="BX333" s="135"/>
      <c r="BY333" s="135"/>
      <c r="BZ333" s="135"/>
      <c r="CA333" s="135"/>
      <c r="CB333" s="135"/>
      <c r="CC333" s="135"/>
      <c r="CD333" s="135"/>
      <c r="CE333" s="135"/>
      <c r="CF333" s="135"/>
      <c r="CG333" s="135"/>
      <c r="CH333" s="135"/>
      <c r="CI333" s="135"/>
      <c r="CJ333" s="135"/>
      <c r="CK333" s="135"/>
      <c r="CL333" s="135"/>
      <c r="CM333" s="135"/>
      <c r="CN333" s="135"/>
      <c r="CO333" s="135"/>
    </row>
    <row r="334" spans="1:93" s="23" customFormat="1">
      <c r="A334" s="686" t="s">
        <v>432</v>
      </c>
      <c r="B334" s="631">
        <v>12</v>
      </c>
      <c r="C334" s="632">
        <v>11.58</v>
      </c>
      <c r="D334" s="631">
        <f>369.04/31</f>
        <v>11.904516129032258</v>
      </c>
      <c r="E334" s="624">
        <f>314.73/29</f>
        <v>10.852758620689656</v>
      </c>
      <c r="F334" s="631">
        <v>12</v>
      </c>
      <c r="G334" s="632">
        <f>369.04/31</f>
        <v>11.904516129032258</v>
      </c>
      <c r="H334" s="631">
        <v>12</v>
      </c>
      <c r="I334" s="624">
        <f>231.7/30</f>
        <v>7.7233333333333327</v>
      </c>
      <c r="J334" s="631">
        <v>12</v>
      </c>
      <c r="K334" s="624">
        <f>372.8/31</f>
        <v>12.025806451612903</v>
      </c>
      <c r="L334" s="631">
        <v>12</v>
      </c>
      <c r="M334" s="624">
        <v>11.85</v>
      </c>
      <c r="N334" s="631">
        <v>12</v>
      </c>
      <c r="O334" s="624">
        <v>12</v>
      </c>
      <c r="P334" s="631">
        <v>12</v>
      </c>
      <c r="Q334" s="624">
        <v>11.85</v>
      </c>
      <c r="R334" s="631">
        <v>12</v>
      </c>
      <c r="S334" s="624">
        <v>12</v>
      </c>
      <c r="T334" s="631">
        <v>12</v>
      </c>
      <c r="U334" s="624">
        <v>11.29</v>
      </c>
      <c r="V334" s="631">
        <v>12</v>
      </c>
      <c r="W334" s="624">
        <v>12</v>
      </c>
      <c r="X334" s="631">
        <v>12</v>
      </c>
      <c r="Y334" s="624">
        <v>12.13</v>
      </c>
      <c r="AT334" s="135"/>
      <c r="AU334" s="1298"/>
      <c r="AV334" s="1299"/>
      <c r="AW334" s="1300"/>
      <c r="AX334" s="1301"/>
      <c r="AY334" s="1302"/>
      <c r="AZ334" s="1299"/>
      <c r="BA334" s="1300"/>
      <c r="BB334" s="1301"/>
      <c r="BC334" s="1302"/>
      <c r="BD334" s="1301"/>
      <c r="BE334" s="1303"/>
      <c r="BF334" s="1301"/>
      <c r="BG334" s="1303"/>
      <c r="BH334" s="1301"/>
      <c r="BI334" s="1303"/>
      <c r="BJ334" s="1301"/>
      <c r="BK334" s="1303"/>
      <c r="BL334" s="1301"/>
      <c r="BM334" s="1303"/>
      <c r="BN334" s="1301"/>
      <c r="BO334" s="1303"/>
      <c r="BP334" s="1301"/>
      <c r="BQ334" s="1303"/>
      <c r="BR334" s="1301"/>
      <c r="BS334" s="1301"/>
      <c r="BT334" s="135"/>
      <c r="BU334" s="135"/>
      <c r="BV334" s="135"/>
      <c r="BW334" s="135"/>
      <c r="BX334" s="135"/>
      <c r="BY334" s="135"/>
      <c r="BZ334" s="135"/>
      <c r="CA334" s="135"/>
      <c r="CB334" s="135"/>
      <c r="CC334" s="135"/>
      <c r="CD334" s="135"/>
      <c r="CE334" s="135"/>
      <c r="CF334" s="135"/>
      <c r="CG334" s="135"/>
      <c r="CH334" s="135"/>
      <c r="CI334" s="135"/>
      <c r="CJ334" s="135"/>
      <c r="CK334" s="135"/>
      <c r="CL334" s="135"/>
      <c r="CM334" s="135"/>
      <c r="CN334" s="135"/>
      <c r="CO334" s="135"/>
    </row>
    <row r="335" spans="1:93" s="23" customFormat="1">
      <c r="A335" s="686" t="s">
        <v>434</v>
      </c>
      <c r="B335" s="631">
        <v>63</v>
      </c>
      <c r="C335" s="632">
        <v>63</v>
      </c>
      <c r="D335" s="631">
        <v>63</v>
      </c>
      <c r="E335" s="632">
        <v>63</v>
      </c>
      <c r="F335" s="631">
        <v>63</v>
      </c>
      <c r="G335" s="632">
        <v>63</v>
      </c>
      <c r="H335" s="631">
        <v>63</v>
      </c>
      <c r="I335" s="624">
        <v>63</v>
      </c>
      <c r="J335" s="631">
        <v>63</v>
      </c>
      <c r="K335" s="624">
        <v>63</v>
      </c>
      <c r="L335" s="631">
        <v>63</v>
      </c>
      <c r="M335" s="624">
        <v>63</v>
      </c>
      <c r="N335" s="631">
        <v>63</v>
      </c>
      <c r="O335" s="624">
        <v>63</v>
      </c>
      <c r="P335" s="631">
        <v>63</v>
      </c>
      <c r="Q335" s="624">
        <v>63</v>
      </c>
      <c r="R335" s="631">
        <v>63</v>
      </c>
      <c r="S335" s="624">
        <v>63</v>
      </c>
      <c r="T335" s="631">
        <v>63</v>
      </c>
      <c r="U335" s="624">
        <v>63</v>
      </c>
      <c r="V335" s="631">
        <v>63</v>
      </c>
      <c r="W335" s="624">
        <v>63</v>
      </c>
      <c r="X335" s="631">
        <v>63</v>
      </c>
      <c r="Y335" s="624">
        <v>63</v>
      </c>
      <c r="AT335" s="135"/>
      <c r="AU335" s="1298"/>
      <c r="AV335" s="1299"/>
      <c r="AW335" s="1300"/>
      <c r="AX335" s="1301"/>
      <c r="AY335" s="1302"/>
      <c r="AZ335" s="1299"/>
      <c r="BA335" s="1300"/>
      <c r="BB335" s="1301"/>
      <c r="BC335" s="1302"/>
      <c r="BD335" s="1301"/>
      <c r="BE335" s="1303"/>
      <c r="BF335" s="1301"/>
      <c r="BG335" s="1303"/>
      <c r="BH335" s="1301"/>
      <c r="BI335" s="1303"/>
      <c r="BJ335" s="1301"/>
      <c r="BK335" s="1303"/>
      <c r="BL335" s="1301"/>
      <c r="BM335" s="1303"/>
      <c r="BN335" s="1301"/>
      <c r="BO335" s="1303"/>
      <c r="BP335" s="1301"/>
      <c r="BQ335" s="1303"/>
      <c r="BR335" s="1301"/>
      <c r="BS335" s="1301"/>
      <c r="BT335" s="135"/>
      <c r="BU335" s="135"/>
      <c r="BV335" s="135"/>
      <c r="BW335" s="135"/>
      <c r="BX335" s="135"/>
      <c r="BY335" s="135"/>
      <c r="BZ335" s="135"/>
      <c r="CA335" s="135"/>
      <c r="CB335" s="135"/>
      <c r="CC335" s="135"/>
      <c r="CD335" s="135"/>
      <c r="CE335" s="135"/>
      <c r="CF335" s="135"/>
      <c r="CG335" s="135"/>
      <c r="CH335" s="135"/>
      <c r="CI335" s="135"/>
      <c r="CJ335" s="135"/>
      <c r="CK335" s="135"/>
      <c r="CL335" s="135"/>
      <c r="CM335" s="135"/>
      <c r="CN335" s="135"/>
      <c r="CO335" s="135"/>
    </row>
    <row r="336" spans="1:93" s="23" customFormat="1">
      <c r="A336" s="686" t="s">
        <v>433</v>
      </c>
      <c r="B336" s="631">
        <v>39</v>
      </c>
      <c r="C336" s="632">
        <v>39</v>
      </c>
      <c r="D336" s="631">
        <v>39</v>
      </c>
      <c r="E336" s="632">
        <v>39</v>
      </c>
      <c r="F336" s="631">
        <v>39</v>
      </c>
      <c r="G336" s="632">
        <v>39</v>
      </c>
      <c r="H336" s="631">
        <v>39</v>
      </c>
      <c r="I336" s="624">
        <v>39</v>
      </c>
      <c r="J336" s="631">
        <v>39</v>
      </c>
      <c r="K336" s="624">
        <v>39</v>
      </c>
      <c r="L336" s="631">
        <v>39</v>
      </c>
      <c r="M336" s="624">
        <v>39</v>
      </c>
      <c r="N336" s="631">
        <v>39</v>
      </c>
      <c r="O336" s="624">
        <v>39</v>
      </c>
      <c r="P336" s="631">
        <v>39</v>
      </c>
      <c r="Q336" s="624">
        <v>39</v>
      </c>
      <c r="R336" s="631">
        <v>39</v>
      </c>
      <c r="S336" s="624">
        <v>39</v>
      </c>
      <c r="T336" s="631">
        <v>39</v>
      </c>
      <c r="U336" s="624">
        <v>39</v>
      </c>
      <c r="V336" s="631">
        <v>39</v>
      </c>
      <c r="W336" s="624">
        <v>39</v>
      </c>
      <c r="X336" s="631">
        <v>39</v>
      </c>
      <c r="Y336" s="624">
        <v>63</v>
      </c>
      <c r="AT336" s="135"/>
      <c r="AU336" s="1298"/>
      <c r="AV336" s="1299"/>
      <c r="AW336" s="1300"/>
      <c r="AX336" s="1301"/>
      <c r="AY336" s="1302"/>
      <c r="AZ336" s="1299"/>
      <c r="BA336" s="1300"/>
      <c r="BB336" s="1301"/>
      <c r="BC336" s="1302"/>
      <c r="BD336" s="1301"/>
      <c r="BE336" s="1303"/>
      <c r="BF336" s="1301"/>
      <c r="BG336" s="1303"/>
      <c r="BH336" s="1301"/>
      <c r="BI336" s="1303"/>
      <c r="BJ336" s="1301"/>
      <c r="BK336" s="1303"/>
      <c r="BL336" s="1301"/>
      <c r="BM336" s="1303"/>
      <c r="BN336" s="1301"/>
      <c r="BO336" s="1303"/>
      <c r="BP336" s="1301"/>
      <c r="BQ336" s="1303"/>
      <c r="BR336" s="1301"/>
      <c r="BS336" s="1301"/>
      <c r="BT336" s="135"/>
      <c r="BU336" s="135"/>
      <c r="BV336" s="135"/>
      <c r="BW336" s="135"/>
      <c r="BX336" s="135"/>
      <c r="BY336" s="135"/>
      <c r="BZ336" s="135"/>
      <c r="CA336" s="135"/>
      <c r="CB336" s="135"/>
      <c r="CC336" s="135"/>
      <c r="CD336" s="135"/>
      <c r="CE336" s="135"/>
      <c r="CF336" s="135"/>
      <c r="CG336" s="135"/>
      <c r="CH336" s="135"/>
      <c r="CI336" s="135"/>
      <c r="CJ336" s="135"/>
      <c r="CK336" s="135"/>
      <c r="CL336" s="135"/>
      <c r="CM336" s="135"/>
      <c r="CN336" s="135"/>
      <c r="CO336" s="135"/>
    </row>
    <row r="337" spans="1:93" s="23" customFormat="1">
      <c r="A337" s="686" t="s">
        <v>30</v>
      </c>
      <c r="B337" s="631">
        <v>24</v>
      </c>
      <c r="C337" s="632">
        <v>25.69</v>
      </c>
      <c r="D337" s="631">
        <v>24</v>
      </c>
      <c r="E337" s="624">
        <v>26</v>
      </c>
      <c r="F337" s="631">
        <v>24</v>
      </c>
      <c r="G337" s="632">
        <f>987.98/31</f>
        <v>31.870322580645162</v>
      </c>
      <c r="H337" s="631">
        <v>24</v>
      </c>
      <c r="I337" s="624">
        <f>749.86/30</f>
        <v>24.995333333333335</v>
      </c>
      <c r="J337" s="631">
        <v>24</v>
      </c>
      <c r="K337" s="624">
        <v>31</v>
      </c>
      <c r="L337" s="631">
        <v>24</v>
      </c>
      <c r="M337" s="624">
        <v>29.12</v>
      </c>
      <c r="N337" s="631">
        <v>24</v>
      </c>
      <c r="O337" s="624">
        <v>30</v>
      </c>
      <c r="P337" s="631">
        <v>24</v>
      </c>
      <c r="Q337" s="624">
        <v>33</v>
      </c>
      <c r="R337" s="631">
        <v>24</v>
      </c>
      <c r="S337" s="2670">
        <v>32</v>
      </c>
      <c r="T337" s="631">
        <v>24</v>
      </c>
      <c r="U337" s="624">
        <v>28</v>
      </c>
      <c r="V337" s="631">
        <v>24</v>
      </c>
      <c r="W337" s="624">
        <v>30</v>
      </c>
      <c r="X337" s="631">
        <v>24</v>
      </c>
      <c r="Y337" s="624">
        <v>31</v>
      </c>
      <c r="AT337" s="135"/>
      <c r="AU337" s="1298"/>
      <c r="AV337" s="1299"/>
      <c r="AW337" s="1300"/>
      <c r="AX337" s="1301"/>
      <c r="AY337" s="1302"/>
      <c r="AZ337" s="1299"/>
      <c r="BA337" s="1300"/>
      <c r="BB337" s="1301"/>
      <c r="BC337" s="1302"/>
      <c r="BD337" s="1301"/>
      <c r="BE337" s="1303"/>
      <c r="BF337" s="1301"/>
      <c r="BG337" s="1303"/>
      <c r="BH337" s="1301"/>
      <c r="BI337" s="1303"/>
      <c r="BJ337" s="1301"/>
      <c r="BK337" s="1303"/>
      <c r="BL337" s="1301"/>
      <c r="BM337" s="1303"/>
      <c r="BN337" s="1301"/>
      <c r="BO337" s="1303"/>
      <c r="BP337" s="1301"/>
      <c r="BQ337" s="1303"/>
      <c r="BR337" s="1301"/>
      <c r="BS337" s="1301"/>
      <c r="BT337" s="135"/>
      <c r="BU337" s="135"/>
      <c r="BV337" s="135"/>
      <c r="BW337" s="135"/>
      <c r="BX337" s="135"/>
      <c r="BY337" s="135"/>
      <c r="BZ337" s="135"/>
      <c r="CA337" s="135"/>
      <c r="CB337" s="135"/>
      <c r="CC337" s="135"/>
      <c r="CD337" s="135"/>
      <c r="CE337" s="135"/>
      <c r="CF337" s="135"/>
      <c r="CG337" s="135"/>
      <c r="CH337" s="135"/>
      <c r="CI337" s="135"/>
      <c r="CJ337" s="135"/>
      <c r="CK337" s="135"/>
      <c r="CL337" s="135"/>
      <c r="CM337" s="135"/>
      <c r="CN337" s="135"/>
      <c r="CO337" s="135"/>
    </row>
    <row r="338" spans="1:93" s="23" customFormat="1">
      <c r="A338" s="686" t="s">
        <v>40</v>
      </c>
      <c r="B338" s="633">
        <v>16</v>
      </c>
      <c r="C338" s="634">
        <v>17.809999999999999</v>
      </c>
      <c r="D338" s="633">
        <v>16</v>
      </c>
      <c r="E338" s="636">
        <v>17</v>
      </c>
      <c r="F338" s="633">
        <v>16</v>
      </c>
      <c r="G338" s="634">
        <f>531.35/31</f>
        <v>17.140322580645162</v>
      </c>
      <c r="H338" s="633">
        <v>16</v>
      </c>
      <c r="I338" s="636">
        <f>349.57/30</f>
        <v>11.652333333333333</v>
      </c>
      <c r="J338" s="633">
        <v>16</v>
      </c>
      <c r="K338" s="636">
        <f>497.6/31</f>
        <v>16.051612903225806</v>
      </c>
      <c r="L338" s="633">
        <v>16</v>
      </c>
      <c r="M338" s="636">
        <v>15.74</v>
      </c>
      <c r="N338" s="633">
        <v>16</v>
      </c>
      <c r="O338" s="636">
        <v>15</v>
      </c>
      <c r="P338" s="633">
        <v>16</v>
      </c>
      <c r="Q338" s="636">
        <v>15.8</v>
      </c>
      <c r="R338" s="633">
        <v>16</v>
      </c>
      <c r="S338" s="636">
        <v>20</v>
      </c>
      <c r="T338" s="633">
        <v>16</v>
      </c>
      <c r="U338" s="624">
        <v>16.5</v>
      </c>
      <c r="V338" s="633">
        <v>16</v>
      </c>
      <c r="W338" s="624">
        <v>16</v>
      </c>
      <c r="X338" s="633">
        <v>16</v>
      </c>
      <c r="Y338" s="624">
        <v>16</v>
      </c>
      <c r="AT338" s="135"/>
      <c r="AU338" s="1298"/>
      <c r="AV338" s="1299"/>
      <c r="AW338" s="1300"/>
      <c r="AX338" s="1301"/>
      <c r="AY338" s="1302"/>
      <c r="AZ338" s="1299"/>
      <c r="BA338" s="1300"/>
      <c r="BB338" s="1301"/>
      <c r="BC338" s="1302"/>
      <c r="BD338" s="1301"/>
      <c r="BE338" s="1303"/>
      <c r="BF338" s="1301"/>
      <c r="BG338" s="1303"/>
      <c r="BH338" s="1301"/>
      <c r="BI338" s="1303"/>
      <c r="BJ338" s="1301"/>
      <c r="BK338" s="1303"/>
      <c r="BL338" s="1301"/>
      <c r="BM338" s="1303"/>
      <c r="BN338" s="1301"/>
      <c r="BO338" s="1303"/>
      <c r="BP338" s="1301"/>
      <c r="BQ338" s="1303"/>
      <c r="BR338" s="1301"/>
      <c r="BS338" s="1301"/>
      <c r="BT338" s="135"/>
      <c r="BU338" s="135"/>
      <c r="BV338" s="135"/>
      <c r="BW338" s="135"/>
      <c r="BX338" s="135"/>
      <c r="BY338" s="135"/>
      <c r="BZ338" s="135"/>
      <c r="CA338" s="135"/>
      <c r="CB338" s="135"/>
      <c r="CC338" s="135"/>
      <c r="CD338" s="135"/>
      <c r="CE338" s="135"/>
      <c r="CF338" s="135"/>
      <c r="CG338" s="135"/>
      <c r="CH338" s="135"/>
      <c r="CI338" s="135"/>
      <c r="CJ338" s="135"/>
      <c r="CK338" s="135"/>
      <c r="CL338" s="135"/>
      <c r="CM338" s="135"/>
      <c r="CN338" s="135"/>
      <c r="CO338" s="135"/>
    </row>
    <row r="339" spans="1:93">
      <c r="A339" s="688" t="s">
        <v>58</v>
      </c>
      <c r="B339" s="482"/>
      <c r="C339" s="450"/>
      <c r="D339" s="490"/>
      <c r="E339" s="483"/>
      <c r="F339" s="482"/>
      <c r="G339" s="450"/>
      <c r="H339" s="490"/>
      <c r="I339" s="483"/>
      <c r="J339" s="490"/>
      <c r="K339" s="483"/>
      <c r="L339" s="490"/>
      <c r="M339" s="483"/>
      <c r="N339" s="490"/>
      <c r="O339" s="483"/>
      <c r="P339" s="490"/>
      <c r="Q339" s="483"/>
      <c r="R339" s="490"/>
      <c r="S339" s="483"/>
      <c r="T339" s="591"/>
      <c r="U339" s="526"/>
      <c r="V339" s="638"/>
      <c r="W339" s="626"/>
      <c r="X339" s="638"/>
      <c r="Y339" s="626"/>
      <c r="AT339" s="135"/>
      <c r="AU339" s="1305"/>
      <c r="AV339" s="1299"/>
      <c r="AW339" s="1300"/>
      <c r="AX339" s="1301"/>
      <c r="AY339" s="1302"/>
      <c r="AZ339" s="1299"/>
      <c r="BA339" s="1300"/>
      <c r="BB339" s="1301"/>
      <c r="BC339" s="1302"/>
      <c r="BD339" s="1301"/>
      <c r="BE339" s="1301"/>
      <c r="BF339" s="1301"/>
      <c r="BG339" s="1301"/>
      <c r="BH339" s="1301"/>
      <c r="BI339" s="1303"/>
      <c r="BJ339" s="1301"/>
      <c r="BK339" s="1301"/>
      <c r="BL339" s="1301"/>
      <c r="BM339" s="1301"/>
      <c r="BN339" s="1301"/>
      <c r="BO339" s="1301"/>
      <c r="BP339" s="1301"/>
      <c r="BQ339" s="1301"/>
      <c r="BR339" s="1301"/>
      <c r="BS339" s="1301"/>
      <c r="BT339" s="135"/>
      <c r="BU339" s="135"/>
      <c r="BV339" s="135"/>
      <c r="BW339" s="135"/>
      <c r="BX339" s="135"/>
      <c r="BY339" s="135"/>
      <c r="BZ339" s="135"/>
      <c r="CA339" s="135"/>
      <c r="CB339" s="135"/>
      <c r="CC339" s="135"/>
      <c r="CD339" s="135"/>
      <c r="CE339" s="135"/>
      <c r="CF339" s="135"/>
      <c r="CG339" s="135"/>
      <c r="CH339" s="135"/>
      <c r="CI339" s="135"/>
      <c r="CJ339" s="135"/>
      <c r="CK339" s="135"/>
      <c r="CL339" s="135"/>
      <c r="CM339" s="135"/>
      <c r="CN339" s="135"/>
      <c r="CO339" s="135"/>
    </row>
    <row r="340" spans="1:93" ht="15.75" thickBot="1">
      <c r="A340" s="627" t="s">
        <v>32</v>
      </c>
      <c r="B340" s="635">
        <f t="shared" ref="B340:W340" si="45">SUM(B325:B339)</f>
        <v>452</v>
      </c>
      <c r="C340" s="629">
        <f t="shared" si="45"/>
        <v>476.58032258064509</v>
      </c>
      <c r="D340" s="635">
        <f t="shared" si="45"/>
        <v>451.90451612903223</v>
      </c>
      <c r="E340" s="629">
        <f t="shared" si="45"/>
        <v>461.53275862068966</v>
      </c>
      <c r="F340" s="635">
        <f t="shared" si="45"/>
        <v>452</v>
      </c>
      <c r="G340" s="629">
        <f t="shared" si="45"/>
        <v>492.43193548387097</v>
      </c>
      <c r="H340" s="635">
        <f t="shared" si="45"/>
        <v>452</v>
      </c>
      <c r="I340" s="629">
        <f t="shared" si="45"/>
        <v>451.81966666666671</v>
      </c>
      <c r="J340" s="635">
        <f t="shared" si="45"/>
        <v>452</v>
      </c>
      <c r="K340" s="629">
        <f t="shared" si="45"/>
        <v>368.17221198156682</v>
      </c>
      <c r="L340" s="635">
        <f t="shared" si="45"/>
        <v>452</v>
      </c>
      <c r="M340" s="629">
        <f t="shared" si="45"/>
        <v>367.75</v>
      </c>
      <c r="N340" s="635">
        <f t="shared" si="45"/>
        <v>452</v>
      </c>
      <c r="O340" s="629">
        <f t="shared" si="45"/>
        <v>369</v>
      </c>
      <c r="P340" s="635">
        <f t="shared" si="45"/>
        <v>444</v>
      </c>
      <c r="Q340" s="629">
        <f t="shared" si="45"/>
        <v>374.67</v>
      </c>
      <c r="R340" s="635">
        <f t="shared" si="45"/>
        <v>444</v>
      </c>
      <c r="S340" s="629">
        <f t="shared" si="45"/>
        <v>378</v>
      </c>
      <c r="T340" s="635">
        <f t="shared" si="45"/>
        <v>444</v>
      </c>
      <c r="U340" s="629">
        <f t="shared" si="45"/>
        <v>372.24</v>
      </c>
      <c r="V340" s="635">
        <f t="shared" si="45"/>
        <v>444</v>
      </c>
      <c r="W340" s="629">
        <f t="shared" si="45"/>
        <v>399</v>
      </c>
      <c r="X340" s="635">
        <f>SUM(X325:X339)</f>
        <v>444</v>
      </c>
      <c r="Y340" s="629">
        <f>SUM(Y325:Y339)</f>
        <v>407.73</v>
      </c>
      <c r="AT340" s="135"/>
      <c r="AU340" s="1294"/>
      <c r="AV340" s="1299"/>
      <c r="AW340" s="1306"/>
      <c r="AX340" s="1306"/>
      <c r="AY340" s="1306"/>
      <c r="AZ340" s="1306"/>
      <c r="BA340" s="1306"/>
      <c r="BB340" s="1306"/>
      <c r="BC340" s="1306"/>
      <c r="BD340" s="1306"/>
      <c r="BE340" s="1306"/>
      <c r="BF340" s="1306"/>
      <c r="BG340" s="1306"/>
      <c r="BH340" s="1306"/>
      <c r="BI340" s="1306"/>
      <c r="BJ340" s="1306"/>
      <c r="BK340" s="1306"/>
      <c r="BL340" s="1306"/>
      <c r="BM340" s="1306"/>
      <c r="BN340" s="1306"/>
      <c r="BO340" s="1306"/>
      <c r="BP340" s="1306"/>
      <c r="BQ340" s="1306"/>
      <c r="BR340" s="1306"/>
      <c r="BS340" s="1306"/>
      <c r="BT340" s="135"/>
      <c r="BU340" s="135"/>
      <c r="BV340" s="135"/>
      <c r="BW340" s="135"/>
      <c r="BX340" s="135"/>
      <c r="BY340" s="135"/>
      <c r="BZ340" s="135"/>
      <c r="CA340" s="135"/>
      <c r="CB340" s="135"/>
      <c r="CC340" s="135"/>
      <c r="CD340" s="135"/>
      <c r="CE340" s="135"/>
      <c r="CF340" s="135"/>
      <c r="CG340" s="135"/>
      <c r="CH340" s="135"/>
      <c r="CI340" s="135"/>
      <c r="CJ340" s="135"/>
      <c r="CK340" s="135"/>
      <c r="CL340" s="135"/>
      <c r="CM340" s="135"/>
      <c r="CN340" s="135"/>
      <c r="CO340" s="135"/>
    </row>
    <row r="341" spans="1:93" ht="15.75" customHeight="1" thickBot="1">
      <c r="AT341" s="135"/>
      <c r="AU341" s="135"/>
      <c r="AV341" s="135"/>
      <c r="AW341" s="135"/>
      <c r="AX341" s="135"/>
      <c r="AY341" s="135"/>
      <c r="AZ341" s="135"/>
      <c r="BA341" s="135"/>
      <c r="BB341" s="135"/>
      <c r="BC341" s="135"/>
      <c r="BD341" s="135"/>
      <c r="BE341" s="135"/>
      <c r="BF341" s="135"/>
      <c r="BG341" s="135"/>
      <c r="BH341" s="135"/>
      <c r="BI341" s="135"/>
      <c r="BJ341" s="135"/>
      <c r="BK341" s="135"/>
      <c r="BL341" s="135"/>
      <c r="BM341" s="135"/>
      <c r="BN341" s="135"/>
      <c r="BO341" s="135"/>
      <c r="BP341" s="135"/>
      <c r="BQ341" s="135"/>
      <c r="BR341" s="135"/>
      <c r="BS341" s="135"/>
      <c r="BT341" s="135"/>
      <c r="BU341" s="135"/>
      <c r="BV341" s="135"/>
      <c r="BW341" s="135"/>
      <c r="BX341" s="135"/>
      <c r="BY341" s="135"/>
      <c r="BZ341" s="135"/>
      <c r="CA341" s="135"/>
      <c r="CB341" s="135"/>
      <c r="CC341" s="135"/>
      <c r="CD341" s="135"/>
      <c r="CE341" s="135"/>
      <c r="CF341" s="135"/>
      <c r="CG341" s="135"/>
      <c r="CH341" s="135"/>
      <c r="CI341" s="135"/>
      <c r="CJ341" s="135"/>
      <c r="CK341" s="135"/>
      <c r="CL341" s="135"/>
      <c r="CM341" s="135"/>
      <c r="CN341" s="135"/>
      <c r="CO341" s="135"/>
    </row>
    <row r="342" spans="1:93" s="23" customFormat="1" ht="18.75">
      <c r="A342" s="2869" t="s">
        <v>467</v>
      </c>
      <c r="B342" s="2876" t="s">
        <v>10</v>
      </c>
      <c r="C342" s="2877"/>
      <c r="D342" s="2855"/>
      <c r="E342" s="706"/>
      <c r="F342" s="707" t="s">
        <v>11</v>
      </c>
      <c r="G342" s="708"/>
      <c r="H342" s="709"/>
      <c r="I342" s="710" t="s">
        <v>12</v>
      </c>
      <c r="J342" s="711"/>
      <c r="K342" s="706"/>
      <c r="L342" s="707" t="s">
        <v>13</v>
      </c>
      <c r="M342" s="708"/>
      <c r="N342" s="709"/>
      <c r="O342" s="710" t="s">
        <v>14</v>
      </c>
      <c r="P342" s="711"/>
      <c r="Q342" s="2878" t="s">
        <v>15</v>
      </c>
      <c r="R342" s="2877"/>
      <c r="S342" s="2855"/>
      <c r="T342" s="2876" t="s">
        <v>16</v>
      </c>
      <c r="U342" s="2877"/>
      <c r="V342" s="2855"/>
      <c r="W342" s="2878" t="s">
        <v>17</v>
      </c>
      <c r="X342" s="2877"/>
      <c r="Y342" s="2855"/>
      <c r="Z342" s="2876" t="s">
        <v>18</v>
      </c>
      <c r="AA342" s="2877"/>
      <c r="AB342" s="2855"/>
      <c r="AC342" s="2878" t="s">
        <v>19</v>
      </c>
      <c r="AD342" s="2877"/>
      <c r="AE342" s="2855"/>
      <c r="AF342" s="2876" t="s">
        <v>20</v>
      </c>
      <c r="AG342" s="2877"/>
      <c r="AH342" s="2855"/>
      <c r="AI342" s="2878" t="s">
        <v>21</v>
      </c>
      <c r="AJ342" s="2877"/>
      <c r="AK342" s="2855"/>
      <c r="AT342" s="135"/>
      <c r="AU342" s="135"/>
      <c r="AV342" s="135"/>
      <c r="AW342" s="135"/>
      <c r="AX342" s="135"/>
      <c r="AY342" s="135"/>
      <c r="AZ342" s="135"/>
      <c r="BA342" s="135"/>
      <c r="BB342" s="135"/>
      <c r="BC342" s="135"/>
      <c r="BD342" s="135"/>
      <c r="BE342" s="135"/>
      <c r="BF342" s="135"/>
      <c r="BG342" s="135"/>
      <c r="BH342" s="135"/>
      <c r="BI342" s="135"/>
      <c r="BJ342" s="135"/>
      <c r="BK342" s="135"/>
      <c r="BL342" s="135"/>
      <c r="BM342" s="135"/>
      <c r="BN342" s="135"/>
      <c r="BO342" s="135"/>
      <c r="BP342" s="135"/>
      <c r="BQ342" s="135"/>
      <c r="BR342" s="135"/>
      <c r="BS342" s="135"/>
      <c r="BT342" s="135"/>
      <c r="BU342" s="135"/>
      <c r="BV342" s="135"/>
      <c r="BW342" s="135"/>
      <c r="BX342" s="135"/>
      <c r="BY342" s="135"/>
      <c r="BZ342" s="135"/>
      <c r="CA342" s="135"/>
      <c r="CB342" s="135"/>
      <c r="CC342" s="135"/>
      <c r="CD342" s="135"/>
      <c r="CE342" s="135"/>
      <c r="CF342" s="135"/>
      <c r="CG342" s="135"/>
      <c r="CH342" s="135"/>
      <c r="CI342" s="135"/>
      <c r="CJ342" s="135"/>
      <c r="CK342" s="135"/>
      <c r="CL342" s="135"/>
      <c r="CM342" s="135"/>
      <c r="CN342" s="135"/>
      <c r="CO342" s="135"/>
    </row>
    <row r="343" spans="1:93" s="23" customFormat="1" ht="50.25" thickBot="1">
      <c r="A343" s="2870"/>
      <c r="B343" s="734" t="s">
        <v>167</v>
      </c>
      <c r="C343" s="735" t="s">
        <v>166</v>
      </c>
      <c r="D343" s="736" t="s">
        <v>79</v>
      </c>
      <c r="E343" s="737" t="s">
        <v>167</v>
      </c>
      <c r="F343" s="738" t="s">
        <v>166</v>
      </c>
      <c r="G343" s="739" t="s">
        <v>79</v>
      </c>
      <c r="H343" s="734" t="s">
        <v>167</v>
      </c>
      <c r="I343" s="735" t="s">
        <v>166</v>
      </c>
      <c r="J343" s="740" t="s">
        <v>79</v>
      </c>
      <c r="K343" s="2052" t="s">
        <v>167</v>
      </c>
      <c r="L343" s="2053" t="s">
        <v>166</v>
      </c>
      <c r="M343" s="2054" t="s">
        <v>79</v>
      </c>
      <c r="N343" s="2055" t="s">
        <v>167</v>
      </c>
      <c r="O343" s="2056" t="s">
        <v>166</v>
      </c>
      <c r="P343" s="2057" t="s">
        <v>79</v>
      </c>
      <c r="Q343" s="2052" t="s">
        <v>167</v>
      </c>
      <c r="R343" s="2053" t="s">
        <v>166</v>
      </c>
      <c r="S343" s="2054" t="s">
        <v>79</v>
      </c>
      <c r="T343" s="2055" t="s">
        <v>167</v>
      </c>
      <c r="U343" s="2056" t="s">
        <v>166</v>
      </c>
      <c r="V343" s="2057" t="s">
        <v>79</v>
      </c>
      <c r="W343" s="2052" t="s">
        <v>167</v>
      </c>
      <c r="X343" s="2053" t="s">
        <v>166</v>
      </c>
      <c r="Y343" s="2054" t="s">
        <v>79</v>
      </c>
      <c r="Z343" s="2055" t="s">
        <v>167</v>
      </c>
      <c r="AA343" s="2056" t="s">
        <v>166</v>
      </c>
      <c r="AB343" s="2058" t="s">
        <v>79</v>
      </c>
      <c r="AC343" s="2052" t="s">
        <v>167</v>
      </c>
      <c r="AD343" s="2053" t="s">
        <v>166</v>
      </c>
      <c r="AE343" s="2054" t="s">
        <v>79</v>
      </c>
      <c r="AF343" s="2055" t="s">
        <v>167</v>
      </c>
      <c r="AG343" s="2056" t="s">
        <v>166</v>
      </c>
      <c r="AH343" s="2058" t="s">
        <v>79</v>
      </c>
      <c r="AI343" s="2052" t="s">
        <v>167</v>
      </c>
      <c r="AJ343" s="2053" t="s">
        <v>166</v>
      </c>
      <c r="AK343" s="2054" t="s">
        <v>79</v>
      </c>
      <c r="AT343" s="135"/>
      <c r="AU343" s="135"/>
      <c r="AV343" s="135"/>
      <c r="AW343" s="135"/>
      <c r="AX343" s="135"/>
      <c r="AY343" s="135"/>
      <c r="AZ343" s="135"/>
      <c r="BA343" s="135"/>
      <c r="BB343" s="135"/>
      <c r="BC343" s="135"/>
      <c r="BD343" s="135"/>
      <c r="BE343" s="135"/>
      <c r="BF343" s="135"/>
      <c r="BG343" s="135"/>
      <c r="BH343" s="135"/>
      <c r="BI343" s="135"/>
      <c r="BJ343" s="135"/>
      <c r="BK343" s="135"/>
      <c r="BL343" s="135"/>
      <c r="BM343" s="135"/>
      <c r="BN343" s="135"/>
      <c r="BO343" s="135"/>
      <c r="BP343" s="135"/>
      <c r="BQ343" s="135"/>
      <c r="BR343" s="135"/>
      <c r="BS343" s="135"/>
      <c r="BT343" s="135"/>
      <c r="BU343" s="135"/>
      <c r="BV343" s="135"/>
      <c r="BW343" s="135"/>
      <c r="BX343" s="135"/>
      <c r="BY343" s="135"/>
      <c r="BZ343" s="135"/>
      <c r="CA343" s="135"/>
      <c r="CB343" s="135"/>
      <c r="CC343" s="135"/>
      <c r="CD343" s="135"/>
      <c r="CE343" s="135"/>
      <c r="CF343" s="135"/>
      <c r="CG343" s="135"/>
      <c r="CH343" s="135"/>
      <c r="CI343" s="135"/>
      <c r="CJ343" s="135"/>
      <c r="CK343" s="135"/>
      <c r="CL343" s="135"/>
      <c r="CM343" s="135"/>
      <c r="CN343" s="135"/>
      <c r="CO343" s="135"/>
    </row>
    <row r="344" spans="1:93" s="23" customFormat="1">
      <c r="A344" s="686" t="s">
        <v>6</v>
      </c>
      <c r="B344" s="728">
        <v>123.47</v>
      </c>
      <c r="C344" s="729">
        <v>127.95</v>
      </c>
      <c r="D344" s="644">
        <f t="shared" ref="D344:D365" si="46">B344-C344</f>
        <v>-4.480000000000004</v>
      </c>
      <c r="E344" s="730">
        <v>128.83000000000001</v>
      </c>
      <c r="F344" s="731">
        <v>128.13</v>
      </c>
      <c r="G344" s="783">
        <f t="shared" ref="G344:G365" si="47">E344-F344</f>
        <v>0.70000000000001705</v>
      </c>
      <c r="H344" s="732">
        <v>121.33</v>
      </c>
      <c r="I344" s="733">
        <v>125.29</v>
      </c>
      <c r="J344" s="2049">
        <f t="shared" ref="J344:J365" si="48">H344-I344</f>
        <v>-3.960000000000008</v>
      </c>
      <c r="K344" s="2059"/>
      <c r="L344" s="2059"/>
      <c r="M344" s="2060"/>
      <c r="N344" s="2061"/>
      <c r="O344" s="2061"/>
      <c r="P344" s="2061"/>
      <c r="Q344" s="2059"/>
      <c r="R344" s="2059"/>
      <c r="S344" s="2060"/>
      <c r="T344" s="2061"/>
      <c r="U344" s="2061"/>
      <c r="V344" s="2061"/>
      <c r="W344" s="2061"/>
      <c r="X344" s="2061"/>
      <c r="Y344" s="2061"/>
      <c r="Z344" s="2061"/>
      <c r="AA344" s="2061"/>
      <c r="AB344" s="2061"/>
      <c r="AC344" s="2061"/>
      <c r="AD344" s="2061"/>
      <c r="AE344" s="2061"/>
      <c r="AF344" s="2061"/>
      <c r="AG344" s="2061"/>
      <c r="AH344" s="2061"/>
      <c r="AI344" s="2061"/>
      <c r="AJ344" s="2061"/>
      <c r="AK344" s="2061"/>
      <c r="AL344" s="2847" t="s">
        <v>727</v>
      </c>
      <c r="AT344" s="135"/>
      <c r="AU344" s="135"/>
      <c r="AV344" s="135"/>
      <c r="AW344" s="135"/>
      <c r="AX344" s="135"/>
      <c r="AY344" s="135"/>
      <c r="AZ344" s="135"/>
      <c r="BA344" s="135"/>
      <c r="BB344" s="135"/>
      <c r="BC344" s="135"/>
      <c r="BD344" s="135"/>
      <c r="BE344" s="135"/>
      <c r="BF344" s="135"/>
      <c r="BG344" s="135"/>
      <c r="BH344" s="135"/>
      <c r="BI344" s="135"/>
      <c r="BJ344" s="135"/>
      <c r="BK344" s="135"/>
      <c r="BL344" s="135"/>
      <c r="BM344" s="135"/>
      <c r="BN344" s="135"/>
      <c r="BO344" s="135"/>
      <c r="BP344" s="135"/>
      <c r="BQ344" s="135"/>
      <c r="BR344" s="135"/>
      <c r="BS344" s="135"/>
      <c r="BT344" s="135"/>
      <c r="BU344" s="135"/>
      <c r="BV344" s="135"/>
      <c r="BW344" s="135"/>
      <c r="BX344" s="135"/>
      <c r="BY344" s="135"/>
      <c r="BZ344" s="135"/>
      <c r="CA344" s="135"/>
      <c r="CB344" s="135"/>
      <c r="CC344" s="135"/>
      <c r="CD344" s="135"/>
      <c r="CE344" s="135"/>
      <c r="CF344" s="135"/>
      <c r="CG344" s="135"/>
      <c r="CH344" s="135"/>
      <c r="CI344" s="135"/>
      <c r="CJ344" s="135"/>
      <c r="CK344" s="135"/>
      <c r="CL344" s="135"/>
      <c r="CM344" s="135"/>
      <c r="CN344" s="135"/>
      <c r="CO344" s="135"/>
    </row>
    <row r="345" spans="1:93" s="23" customFormat="1">
      <c r="A345" s="686" t="s">
        <v>507</v>
      </c>
      <c r="B345" s="641">
        <v>147.77000000000001</v>
      </c>
      <c r="C345" s="88">
        <v>108.47</v>
      </c>
      <c r="D345" s="644">
        <f t="shared" si="46"/>
        <v>39.300000000000011</v>
      </c>
      <c r="E345" s="645">
        <v>113.69</v>
      </c>
      <c r="F345" s="92">
        <v>110.87</v>
      </c>
      <c r="G345" s="783">
        <f t="shared" si="47"/>
        <v>2.8199999999999932</v>
      </c>
      <c r="H345" s="649">
        <v>117.37</v>
      </c>
      <c r="I345" s="95">
        <v>110.4</v>
      </c>
      <c r="J345" s="2050">
        <f t="shared" si="48"/>
        <v>6.9699999999999989</v>
      </c>
      <c r="K345" s="2059"/>
      <c r="L345" s="2059"/>
      <c r="M345" s="2060"/>
      <c r="N345" s="2061"/>
      <c r="O345" s="2061"/>
      <c r="P345" s="2061"/>
      <c r="Q345" s="2059"/>
      <c r="R345" s="2059"/>
      <c r="S345" s="2060"/>
      <c r="T345" s="2061"/>
      <c r="U345" s="2061"/>
      <c r="V345" s="2061"/>
      <c r="W345" s="2061"/>
      <c r="X345" s="2061"/>
      <c r="Y345" s="2061"/>
      <c r="Z345" s="2061"/>
      <c r="AA345" s="2061"/>
      <c r="AB345" s="2061"/>
      <c r="AC345" s="2061"/>
      <c r="AD345" s="2061"/>
      <c r="AE345" s="2061"/>
      <c r="AF345" s="2062"/>
      <c r="AG345" s="2062"/>
      <c r="AH345" s="2062"/>
      <c r="AI345" s="2061"/>
      <c r="AJ345" s="2061"/>
      <c r="AK345" s="2061"/>
      <c r="AL345" s="2847"/>
      <c r="AT345" s="135"/>
      <c r="AU345" s="135"/>
      <c r="AV345" s="135"/>
      <c r="AW345" s="135"/>
      <c r="AX345" s="135"/>
      <c r="AY345" s="135"/>
      <c r="AZ345" s="135"/>
      <c r="BA345" s="135"/>
      <c r="BB345" s="135"/>
      <c r="BC345" s="135"/>
      <c r="BD345" s="135"/>
      <c r="BE345" s="135"/>
      <c r="BF345" s="135"/>
      <c r="BG345" s="135"/>
      <c r="BH345" s="135"/>
      <c r="BI345" s="135"/>
      <c r="BJ345" s="135"/>
      <c r="BK345" s="135"/>
      <c r="BL345" s="135"/>
      <c r="BM345" s="135"/>
      <c r="BN345" s="135"/>
      <c r="BO345" s="135"/>
      <c r="BP345" s="135"/>
      <c r="BQ345" s="135"/>
      <c r="BR345" s="135"/>
      <c r="BS345" s="135"/>
      <c r="BT345" s="135"/>
      <c r="BU345" s="135"/>
      <c r="BV345" s="135"/>
      <c r="BW345" s="135"/>
      <c r="BX345" s="135"/>
      <c r="BY345" s="135"/>
      <c r="BZ345" s="135"/>
      <c r="CA345" s="135"/>
      <c r="CB345" s="135"/>
      <c r="CC345" s="135"/>
      <c r="CD345" s="135"/>
      <c r="CE345" s="135"/>
      <c r="CF345" s="135"/>
      <c r="CG345" s="135"/>
      <c r="CH345" s="135"/>
      <c r="CI345" s="135"/>
      <c r="CJ345" s="135"/>
      <c r="CK345" s="135"/>
      <c r="CL345" s="135"/>
      <c r="CM345" s="135"/>
      <c r="CN345" s="135"/>
      <c r="CO345" s="135"/>
    </row>
    <row r="346" spans="1:93" s="23" customFormat="1">
      <c r="A346" s="686" t="s">
        <v>41</v>
      </c>
      <c r="B346" s="642">
        <v>239.5</v>
      </c>
      <c r="C346" s="89">
        <v>172.69</v>
      </c>
      <c r="D346" s="644">
        <f t="shared" si="46"/>
        <v>66.81</v>
      </c>
      <c r="E346" s="646">
        <v>149.1</v>
      </c>
      <c r="F346" s="93">
        <v>171.54</v>
      </c>
      <c r="G346" s="783">
        <f t="shared" si="47"/>
        <v>-22.439999999999998</v>
      </c>
      <c r="H346" s="649">
        <v>154.81</v>
      </c>
      <c r="I346" s="95">
        <v>198.35</v>
      </c>
      <c r="J346" s="2050">
        <f t="shared" si="48"/>
        <v>-43.539999999999992</v>
      </c>
      <c r="K346" s="2063"/>
      <c r="L346" s="2063"/>
      <c r="M346" s="2064"/>
      <c r="N346" s="2061"/>
      <c r="O346" s="2061"/>
      <c r="P346" s="2061"/>
      <c r="Q346" s="2063"/>
      <c r="R346" s="2063"/>
      <c r="S346" s="2064"/>
      <c r="T346" s="2061"/>
      <c r="U346" s="2061"/>
      <c r="V346" s="2061"/>
      <c r="W346" s="2061"/>
      <c r="X346" s="2061"/>
      <c r="Y346" s="2061"/>
      <c r="Z346" s="2061"/>
      <c r="AA346" s="2061"/>
      <c r="AB346" s="2061"/>
      <c r="AC346" s="2061"/>
      <c r="AD346" s="2061"/>
      <c r="AE346" s="2061"/>
      <c r="AF346" s="2061"/>
      <c r="AG346" s="2061"/>
      <c r="AH346" s="2061"/>
      <c r="AI346" s="2061"/>
      <c r="AJ346" s="2061"/>
      <c r="AK346" s="2061"/>
      <c r="AL346" s="2847"/>
    </row>
    <row r="347" spans="1:93" s="23" customFormat="1">
      <c r="A347" s="686" t="s">
        <v>545</v>
      </c>
      <c r="B347" s="641">
        <v>313.25</v>
      </c>
      <c r="C347" s="88">
        <v>304.22000000000003</v>
      </c>
      <c r="D347" s="644">
        <f t="shared" si="46"/>
        <v>9.0299999999999727</v>
      </c>
      <c r="E347" s="645">
        <v>222.7</v>
      </c>
      <c r="F347" s="92">
        <v>300.63</v>
      </c>
      <c r="G347" s="783">
        <f t="shared" si="47"/>
        <v>-77.930000000000007</v>
      </c>
      <c r="H347" s="649">
        <v>213.32</v>
      </c>
      <c r="I347" s="95">
        <v>301.68</v>
      </c>
      <c r="J347" s="2050">
        <f t="shared" si="48"/>
        <v>-88.360000000000014</v>
      </c>
      <c r="K347" s="2059"/>
      <c r="L347" s="2059"/>
      <c r="M347" s="2060"/>
      <c r="N347" s="2061"/>
      <c r="O347" s="2061"/>
      <c r="P347" s="2061"/>
      <c r="Q347" s="2059"/>
      <c r="R347" s="2059"/>
      <c r="S347" s="2060"/>
      <c r="T347" s="2061"/>
      <c r="U347" s="2061"/>
      <c r="V347" s="2061"/>
      <c r="W347" s="2061"/>
      <c r="X347" s="2061"/>
      <c r="Y347" s="2061"/>
      <c r="Z347" s="2061"/>
      <c r="AA347" s="2061"/>
      <c r="AB347" s="2061"/>
      <c r="AC347" s="2061"/>
      <c r="AD347" s="2061"/>
      <c r="AE347" s="2061"/>
      <c r="AF347" s="2061"/>
      <c r="AG347" s="2061"/>
      <c r="AH347" s="2061"/>
      <c r="AI347" s="2061"/>
      <c r="AJ347" s="2061"/>
      <c r="AK347" s="2061"/>
      <c r="AL347" s="2847"/>
    </row>
    <row r="348" spans="1:93" s="23" customFormat="1">
      <c r="A348" s="686" t="s">
        <v>82</v>
      </c>
      <c r="B348" s="641">
        <v>162.94</v>
      </c>
      <c r="C348" s="88">
        <v>125.46</v>
      </c>
      <c r="D348" s="644">
        <f t="shared" si="46"/>
        <v>37.480000000000004</v>
      </c>
      <c r="E348" s="645">
        <v>161.9</v>
      </c>
      <c r="F348" s="92">
        <v>127.84</v>
      </c>
      <c r="G348" s="783">
        <f t="shared" si="47"/>
        <v>34.06</v>
      </c>
      <c r="H348" s="649">
        <v>152.66</v>
      </c>
      <c r="I348" s="95">
        <v>127.83</v>
      </c>
      <c r="J348" s="2050">
        <f t="shared" si="48"/>
        <v>24.83</v>
      </c>
      <c r="K348" s="2059"/>
      <c r="L348" s="2059"/>
      <c r="M348" s="2060"/>
      <c r="N348" s="2061"/>
      <c r="O348" s="2061"/>
      <c r="P348" s="2061"/>
      <c r="Q348" s="2059"/>
      <c r="R348" s="2059"/>
      <c r="S348" s="2060"/>
      <c r="T348" s="2061"/>
      <c r="U348" s="2061"/>
      <c r="V348" s="2061"/>
      <c r="W348" s="2061"/>
      <c r="X348" s="2061"/>
      <c r="Y348" s="2061"/>
      <c r="Z348" s="2061"/>
      <c r="AA348" s="2061"/>
      <c r="AB348" s="2061"/>
      <c r="AC348" s="2061"/>
      <c r="AD348" s="2061"/>
      <c r="AE348" s="2061"/>
      <c r="AF348" s="2061"/>
      <c r="AG348" s="2061"/>
      <c r="AH348" s="2061"/>
      <c r="AI348" s="2061"/>
      <c r="AJ348" s="2061"/>
      <c r="AK348" s="2061"/>
      <c r="AL348" s="2847"/>
      <c r="AO348" s="159"/>
    </row>
    <row r="349" spans="1:93" s="23" customFormat="1">
      <c r="A349" s="686" t="s">
        <v>546</v>
      </c>
      <c r="B349" s="641">
        <v>280.57</v>
      </c>
      <c r="C349" s="88">
        <v>478.44</v>
      </c>
      <c r="D349" s="644">
        <f t="shared" si="46"/>
        <v>-197.87</v>
      </c>
      <c r="E349" s="645">
        <v>180.46</v>
      </c>
      <c r="F349" s="92">
        <v>259.92</v>
      </c>
      <c r="G349" s="783">
        <f t="shared" si="47"/>
        <v>-79.460000000000008</v>
      </c>
      <c r="H349" s="649">
        <v>499.14</v>
      </c>
      <c r="I349" s="95">
        <v>191.84</v>
      </c>
      <c r="J349" s="2050">
        <f t="shared" si="48"/>
        <v>307.29999999999995</v>
      </c>
      <c r="K349" s="2059"/>
      <c r="L349" s="2059"/>
      <c r="M349" s="2060"/>
      <c r="N349" s="2061"/>
      <c r="O349" s="2061"/>
      <c r="P349" s="2061"/>
      <c r="Q349" s="2059"/>
      <c r="R349" s="2059"/>
      <c r="S349" s="2060"/>
      <c r="T349" s="2061"/>
      <c r="U349" s="2061"/>
      <c r="V349" s="2061"/>
      <c r="W349" s="2061"/>
      <c r="X349" s="2061"/>
      <c r="Y349" s="2061"/>
      <c r="Z349" s="2061"/>
      <c r="AA349" s="2061"/>
      <c r="AB349" s="2061"/>
      <c r="AC349" s="2061"/>
      <c r="AD349" s="2061"/>
      <c r="AE349" s="2061"/>
      <c r="AF349" s="2061"/>
      <c r="AG349" s="2061"/>
      <c r="AH349" s="2061"/>
      <c r="AI349" s="2061"/>
      <c r="AJ349" s="2061"/>
      <c r="AK349" s="2061"/>
      <c r="AL349" s="2847"/>
      <c r="AO349" s="159"/>
    </row>
    <row r="350" spans="1:93" s="23" customFormat="1">
      <c r="A350" s="686" t="s">
        <v>28</v>
      </c>
      <c r="B350" s="641">
        <v>154.51</v>
      </c>
      <c r="C350" s="88">
        <v>137.66</v>
      </c>
      <c r="D350" s="644">
        <f t="shared" si="46"/>
        <v>16.849999999999994</v>
      </c>
      <c r="E350" s="645">
        <v>117.65</v>
      </c>
      <c r="F350" s="92">
        <v>139.46</v>
      </c>
      <c r="G350" s="783">
        <f t="shared" si="47"/>
        <v>-21.810000000000002</v>
      </c>
      <c r="H350" s="649">
        <v>158.21</v>
      </c>
      <c r="I350" s="95">
        <v>126.3</v>
      </c>
      <c r="J350" s="2050">
        <f t="shared" si="48"/>
        <v>31.910000000000011</v>
      </c>
      <c r="K350" s="2059"/>
      <c r="L350" s="2059"/>
      <c r="M350" s="2060"/>
      <c r="N350" s="2061"/>
      <c r="O350" s="2061"/>
      <c r="P350" s="2061"/>
      <c r="Q350" s="2059"/>
      <c r="R350" s="2059"/>
      <c r="S350" s="2060"/>
      <c r="T350" s="2061"/>
      <c r="U350" s="2061"/>
      <c r="V350" s="2061"/>
      <c r="W350" s="2061"/>
      <c r="X350" s="2061"/>
      <c r="Y350" s="2061"/>
      <c r="Z350" s="2061"/>
      <c r="AA350" s="2061"/>
      <c r="AB350" s="2061"/>
      <c r="AC350" s="2061"/>
      <c r="AD350" s="2061"/>
      <c r="AE350" s="2061"/>
      <c r="AF350" s="2061"/>
      <c r="AG350" s="2061"/>
      <c r="AH350" s="2061"/>
      <c r="AI350" s="2061"/>
      <c r="AJ350" s="2061"/>
      <c r="AK350" s="2061"/>
      <c r="AL350" s="2847"/>
    </row>
    <row r="351" spans="1:93" s="23" customFormat="1">
      <c r="A351" s="686" t="s">
        <v>219</v>
      </c>
      <c r="B351" s="641">
        <f>219273/975</f>
        <v>224.89538461538461</v>
      </c>
      <c r="C351" s="88">
        <v>172.63</v>
      </c>
      <c r="D351" s="644">
        <f t="shared" si="46"/>
        <v>52.265384615384619</v>
      </c>
      <c r="E351" s="645">
        <f>197350/1071</f>
        <v>184.2670401493931</v>
      </c>
      <c r="F351" s="92">
        <v>183.76</v>
      </c>
      <c r="G351" s="783">
        <f t="shared" si="47"/>
        <v>0.50704014939310582</v>
      </c>
      <c r="H351" s="649">
        <f>233532/1129</f>
        <v>206.84853852967228</v>
      </c>
      <c r="I351" s="207"/>
      <c r="J351" s="2050">
        <f t="shared" si="48"/>
        <v>206.84853852967228</v>
      </c>
      <c r="K351" s="2059"/>
      <c r="L351" s="2059"/>
      <c r="M351" s="2060"/>
      <c r="N351" s="2061"/>
      <c r="O351" s="2061"/>
      <c r="P351" s="2061"/>
      <c r="Q351" s="2059"/>
      <c r="R351" s="2059"/>
      <c r="S351" s="2060"/>
      <c r="T351" s="2061"/>
      <c r="U351" s="2061"/>
      <c r="V351" s="2061"/>
      <c r="W351" s="2061"/>
      <c r="X351" s="2061"/>
      <c r="Y351" s="2061"/>
      <c r="Z351" s="2061"/>
      <c r="AA351" s="2061"/>
      <c r="AB351" s="2061"/>
      <c r="AC351" s="2061"/>
      <c r="AD351" s="2061"/>
      <c r="AE351" s="2061"/>
      <c r="AF351" s="2061"/>
      <c r="AG351" s="2061"/>
      <c r="AH351" s="2061"/>
      <c r="AI351" s="2061"/>
      <c r="AJ351" s="2061"/>
      <c r="AK351" s="2061"/>
      <c r="AL351" s="2847"/>
    </row>
    <row r="352" spans="1:93" s="23" customFormat="1">
      <c r="A352" s="686" t="s">
        <v>372</v>
      </c>
      <c r="B352" s="641">
        <v>272.02999999999997</v>
      </c>
      <c r="C352" s="88">
        <v>200.9</v>
      </c>
      <c r="D352" s="644">
        <f t="shared" si="46"/>
        <v>71.129999999999967</v>
      </c>
      <c r="E352" s="645">
        <v>187.73</v>
      </c>
      <c r="F352" s="92">
        <v>201.46</v>
      </c>
      <c r="G352" s="783">
        <f t="shared" si="47"/>
        <v>-13.730000000000018</v>
      </c>
      <c r="H352" s="649">
        <f>244652/1020</f>
        <v>239.8549019607843</v>
      </c>
      <c r="I352" s="95">
        <f>216345/910</f>
        <v>237.74175824175825</v>
      </c>
      <c r="J352" s="2050">
        <f t="shared" si="48"/>
        <v>2.1131437190260556</v>
      </c>
      <c r="K352" s="2059"/>
      <c r="L352" s="2059"/>
      <c r="M352" s="2060"/>
      <c r="N352" s="2061"/>
      <c r="O352" s="2061"/>
      <c r="P352" s="2061"/>
      <c r="Q352" s="2059"/>
      <c r="R352" s="2059"/>
      <c r="S352" s="2060"/>
      <c r="T352" s="2061"/>
      <c r="U352" s="2061"/>
      <c r="V352" s="2061"/>
      <c r="W352" s="2061"/>
      <c r="X352" s="2061"/>
      <c r="Y352" s="2061"/>
      <c r="Z352" s="2061"/>
      <c r="AA352" s="2061"/>
      <c r="AB352" s="2061"/>
      <c r="AC352" s="2061"/>
      <c r="AD352" s="2061"/>
      <c r="AE352" s="2061"/>
      <c r="AF352" s="2061"/>
      <c r="AG352" s="2061"/>
      <c r="AH352" s="2061"/>
      <c r="AI352" s="2061"/>
      <c r="AJ352" s="2061"/>
      <c r="AK352" s="2061"/>
      <c r="AL352" s="2847"/>
    </row>
    <row r="353" spans="1:39" s="23" customFormat="1">
      <c r="A353" s="686" t="s">
        <v>30</v>
      </c>
      <c r="B353" s="641">
        <f>629794/3146</f>
        <v>200.1888111888112</v>
      </c>
      <c r="C353" s="88">
        <v>136.77000000000001</v>
      </c>
      <c r="D353" s="644">
        <f t="shared" si="46"/>
        <v>63.418811188811191</v>
      </c>
      <c r="E353" s="645">
        <f>554791/3310</f>
        <v>167.6105740181269</v>
      </c>
      <c r="F353" s="92">
        <v>134.91</v>
      </c>
      <c r="G353" s="783">
        <f t="shared" si="47"/>
        <v>32.7005740181269</v>
      </c>
      <c r="H353" s="649">
        <v>107.48</v>
      </c>
      <c r="I353" s="95">
        <v>129.66</v>
      </c>
      <c r="J353" s="2050">
        <f t="shared" si="48"/>
        <v>-22.179999999999993</v>
      </c>
      <c r="K353" s="2059"/>
      <c r="L353" s="2059"/>
      <c r="M353" s="2060"/>
      <c r="N353" s="2061"/>
      <c r="O353" s="2061"/>
      <c r="P353" s="2061"/>
      <c r="Q353" s="2059"/>
      <c r="R353" s="2059"/>
      <c r="S353" s="2060"/>
      <c r="T353" s="2061"/>
      <c r="U353" s="2061"/>
      <c r="V353" s="2061"/>
      <c r="W353" s="2061"/>
      <c r="X353" s="2061"/>
      <c r="Y353" s="2061"/>
      <c r="Z353" s="2061"/>
      <c r="AA353" s="2061"/>
      <c r="AB353" s="2061"/>
      <c r="AC353" s="2061"/>
      <c r="AD353" s="2061"/>
      <c r="AE353" s="2061"/>
      <c r="AF353" s="2061"/>
      <c r="AG353" s="2061"/>
      <c r="AH353" s="2061"/>
      <c r="AI353" s="2061"/>
      <c r="AJ353" s="2061"/>
      <c r="AK353" s="2061"/>
      <c r="AL353" s="2847"/>
    </row>
    <row r="354" spans="1:39" s="23" customFormat="1">
      <c r="A354" s="686" t="s">
        <v>314</v>
      </c>
      <c r="B354" s="641">
        <v>139.18</v>
      </c>
      <c r="C354" s="88">
        <v>116.82</v>
      </c>
      <c r="D354" s="644">
        <f t="shared" si="46"/>
        <v>22.360000000000014</v>
      </c>
      <c r="E354" s="645">
        <v>112.75</v>
      </c>
      <c r="F354" s="92">
        <v>115.92</v>
      </c>
      <c r="G354" s="783">
        <f t="shared" si="47"/>
        <v>-3.1700000000000017</v>
      </c>
      <c r="H354" s="649">
        <v>144.44</v>
      </c>
      <c r="I354" s="95">
        <v>115.85</v>
      </c>
      <c r="J354" s="2050">
        <f t="shared" si="48"/>
        <v>28.590000000000003</v>
      </c>
      <c r="K354" s="2059"/>
      <c r="L354" s="2059"/>
      <c r="M354" s="2060"/>
      <c r="N354" s="2061"/>
      <c r="O354" s="2061"/>
      <c r="P354" s="2061"/>
      <c r="Q354" s="2059"/>
      <c r="R354" s="2059"/>
      <c r="S354" s="2060"/>
      <c r="T354" s="2061"/>
      <c r="U354" s="2061"/>
      <c r="V354" s="2061"/>
      <c r="W354" s="2061"/>
      <c r="X354" s="2061"/>
      <c r="Y354" s="2061"/>
      <c r="Z354" s="2061"/>
      <c r="AA354" s="2061"/>
      <c r="AB354" s="2061"/>
      <c r="AC354" s="2061"/>
      <c r="AD354" s="2061"/>
      <c r="AE354" s="2061"/>
      <c r="AF354" s="2061"/>
      <c r="AG354" s="2061"/>
      <c r="AH354" s="2061"/>
      <c r="AI354" s="2061"/>
      <c r="AJ354" s="2061"/>
      <c r="AK354" s="2061"/>
      <c r="AL354" s="2847"/>
    </row>
    <row r="355" spans="1:39" s="23" customFormat="1">
      <c r="A355" s="686" t="s">
        <v>85</v>
      </c>
      <c r="B355" s="641">
        <v>191.92</v>
      </c>
      <c r="C355" s="88">
        <v>119.95</v>
      </c>
      <c r="D355" s="644">
        <f t="shared" si="46"/>
        <v>71.969999999999985</v>
      </c>
      <c r="E355" s="645">
        <v>116.8</v>
      </c>
      <c r="F355" s="92">
        <v>119.5</v>
      </c>
      <c r="G355" s="783">
        <f t="shared" si="47"/>
        <v>-2.7000000000000028</v>
      </c>
      <c r="H355" s="649">
        <v>101.91</v>
      </c>
      <c r="I355" s="95">
        <v>111.51</v>
      </c>
      <c r="J355" s="2050">
        <f t="shared" si="48"/>
        <v>-9.6000000000000085</v>
      </c>
      <c r="K355" s="2059"/>
      <c r="L355" s="2059"/>
      <c r="M355" s="2060"/>
      <c r="N355" s="2061"/>
      <c r="O355" s="2061"/>
      <c r="P355" s="2061"/>
      <c r="Q355" s="2059"/>
      <c r="R355" s="2059"/>
      <c r="S355" s="2060"/>
      <c r="T355" s="2061"/>
      <c r="U355" s="2061"/>
      <c r="V355" s="2061"/>
      <c r="W355" s="2061"/>
      <c r="X355" s="2061"/>
      <c r="Y355" s="2061"/>
      <c r="Z355" s="2061"/>
      <c r="AA355" s="2061"/>
      <c r="AB355" s="2061"/>
      <c r="AC355" s="2061"/>
      <c r="AD355" s="2061"/>
      <c r="AE355" s="2061"/>
      <c r="AF355" s="2061"/>
      <c r="AG355" s="2061"/>
      <c r="AH355" s="2061"/>
      <c r="AI355" s="2061"/>
      <c r="AJ355" s="2061"/>
      <c r="AK355" s="2061"/>
      <c r="AL355" s="2847"/>
      <c r="AM355" s="121"/>
    </row>
    <row r="356" spans="1:39" s="23" customFormat="1">
      <c r="A356" s="686" t="s">
        <v>251</v>
      </c>
      <c r="B356" s="641">
        <f>158747/1814</f>
        <v>87.512127894156563</v>
      </c>
      <c r="C356" s="88">
        <v>64.72</v>
      </c>
      <c r="D356" s="644">
        <f t="shared" si="46"/>
        <v>22.792127894156565</v>
      </c>
      <c r="E356" s="645">
        <f>153901/2227</f>
        <v>69.10687022900764</v>
      </c>
      <c r="F356" s="92">
        <v>63.97</v>
      </c>
      <c r="G356" s="783">
        <f t="shared" si="47"/>
        <v>5.1368702290076413</v>
      </c>
      <c r="H356" s="649">
        <f>171310/2159</f>
        <v>79.34691987031033</v>
      </c>
      <c r="I356" s="95">
        <f>182577/2310</f>
        <v>79.03766233766234</v>
      </c>
      <c r="J356" s="2050">
        <f t="shared" si="48"/>
        <v>0.30925753264799027</v>
      </c>
      <c r="K356" s="2059"/>
      <c r="L356" s="2059"/>
      <c r="M356" s="2060"/>
      <c r="N356" s="2061"/>
      <c r="O356" s="2061"/>
      <c r="P356" s="2061"/>
      <c r="Q356" s="2059"/>
      <c r="R356" s="2059"/>
      <c r="S356" s="2060"/>
      <c r="T356" s="2061"/>
      <c r="U356" s="2061"/>
      <c r="V356" s="2061"/>
      <c r="W356" s="2061"/>
      <c r="X356" s="2061"/>
      <c r="Y356" s="2061"/>
      <c r="Z356" s="2061"/>
      <c r="AA356" s="2061"/>
      <c r="AB356" s="2061"/>
      <c r="AC356" s="2061"/>
      <c r="AD356" s="2061"/>
      <c r="AE356" s="2061"/>
      <c r="AF356" s="2061"/>
      <c r="AG356" s="2061"/>
      <c r="AH356" s="2061"/>
      <c r="AI356" s="2061"/>
      <c r="AJ356" s="2061"/>
      <c r="AK356" s="2061"/>
      <c r="AL356" s="2847"/>
    </row>
    <row r="357" spans="1:39" s="23" customFormat="1">
      <c r="A357" s="686" t="s">
        <v>301</v>
      </c>
      <c r="B357" s="641">
        <v>210.67</v>
      </c>
      <c r="C357" s="88">
        <v>134.94</v>
      </c>
      <c r="D357" s="644">
        <f t="shared" si="46"/>
        <v>75.72999999999999</v>
      </c>
      <c r="E357" s="645">
        <v>77.260000000000005</v>
      </c>
      <c r="F357" s="92">
        <v>136.04</v>
      </c>
      <c r="G357" s="783">
        <f t="shared" si="47"/>
        <v>-58.779999999999987</v>
      </c>
      <c r="H357" s="649">
        <v>131.79</v>
      </c>
      <c r="I357" s="95">
        <v>119.32</v>
      </c>
      <c r="J357" s="2050">
        <f t="shared" si="48"/>
        <v>12.469999999999999</v>
      </c>
      <c r="K357" s="2059"/>
      <c r="L357" s="2059"/>
      <c r="M357" s="2060"/>
      <c r="N357" s="2061"/>
      <c r="O357" s="2061"/>
      <c r="P357" s="2061"/>
      <c r="Q357" s="2059"/>
      <c r="R357" s="2059"/>
      <c r="S357" s="2060"/>
      <c r="T357" s="2061"/>
      <c r="U357" s="2061"/>
      <c r="V357" s="2061"/>
      <c r="W357" s="2061"/>
      <c r="X357" s="2061"/>
      <c r="Y357" s="2061"/>
      <c r="Z357" s="2061"/>
      <c r="AA357" s="2061"/>
      <c r="AB357" s="2061"/>
      <c r="AC357" s="2061"/>
      <c r="AD357" s="2061"/>
      <c r="AE357" s="2061"/>
      <c r="AF357" s="2061"/>
      <c r="AG357" s="2061"/>
      <c r="AH357" s="2061"/>
      <c r="AI357" s="2061"/>
      <c r="AJ357" s="2061"/>
      <c r="AK357" s="2061"/>
      <c r="AL357" s="2847"/>
    </row>
    <row r="358" spans="1:39" s="23" customFormat="1">
      <c r="A358" s="686" t="s">
        <v>81</v>
      </c>
      <c r="B358" s="641">
        <v>160.38999999999999</v>
      </c>
      <c r="C358" s="88">
        <v>128.59</v>
      </c>
      <c r="D358" s="644">
        <f t="shared" si="46"/>
        <v>31.799999999999983</v>
      </c>
      <c r="E358" s="645">
        <v>99.05</v>
      </c>
      <c r="F358" s="92">
        <v>124.67</v>
      </c>
      <c r="G358" s="783">
        <f t="shared" si="47"/>
        <v>-25.620000000000005</v>
      </c>
      <c r="H358" s="649">
        <v>125.13</v>
      </c>
      <c r="I358" s="95">
        <v>114.63</v>
      </c>
      <c r="J358" s="2050">
        <f t="shared" si="48"/>
        <v>10.5</v>
      </c>
      <c r="K358" s="2059"/>
      <c r="L358" s="2059"/>
      <c r="M358" s="2060"/>
      <c r="N358" s="2061"/>
      <c r="O358" s="2061"/>
      <c r="P358" s="2061"/>
      <c r="Q358" s="2059"/>
      <c r="R358" s="2059"/>
      <c r="S358" s="2060"/>
      <c r="T358" s="2061"/>
      <c r="U358" s="2061"/>
      <c r="V358" s="2061"/>
      <c r="W358" s="2061"/>
      <c r="X358" s="2061"/>
      <c r="Y358" s="2061"/>
      <c r="Z358" s="2061"/>
      <c r="AA358" s="2061"/>
      <c r="AB358" s="2061"/>
      <c r="AC358" s="2061"/>
      <c r="AD358" s="2061"/>
      <c r="AE358" s="2061"/>
      <c r="AF358" s="2061"/>
      <c r="AG358" s="2061"/>
      <c r="AH358" s="2061"/>
      <c r="AI358" s="2061"/>
      <c r="AJ358" s="2061"/>
      <c r="AK358" s="2061"/>
      <c r="AL358" s="2847"/>
    </row>
    <row r="359" spans="1:39" s="23" customFormat="1">
      <c r="A359" s="686" t="s">
        <v>378</v>
      </c>
      <c r="B359" s="641">
        <v>150.21</v>
      </c>
      <c r="C359" s="88">
        <v>114.49</v>
      </c>
      <c r="D359" s="644">
        <f t="shared" si="46"/>
        <v>35.720000000000013</v>
      </c>
      <c r="E359" s="645">
        <v>117.54</v>
      </c>
      <c r="F359" s="92">
        <v>114.53</v>
      </c>
      <c r="G359" s="783">
        <f t="shared" si="47"/>
        <v>3.0100000000000051</v>
      </c>
      <c r="H359" s="649">
        <v>112.62</v>
      </c>
      <c r="I359" s="95">
        <v>114.49</v>
      </c>
      <c r="J359" s="2050">
        <f t="shared" si="48"/>
        <v>-1.8699999999999903</v>
      </c>
      <c r="K359" s="2059"/>
      <c r="L359" s="2059"/>
      <c r="M359" s="2060"/>
      <c r="N359" s="2061"/>
      <c r="O359" s="2061"/>
      <c r="P359" s="2061"/>
      <c r="Q359" s="2059"/>
      <c r="R359" s="2059"/>
      <c r="S359" s="2060"/>
      <c r="T359" s="2061"/>
      <c r="U359" s="2061"/>
      <c r="V359" s="2061"/>
      <c r="W359" s="2061"/>
      <c r="X359" s="2061"/>
      <c r="Y359" s="2061"/>
      <c r="Z359" s="2061"/>
      <c r="AA359" s="2061"/>
      <c r="AB359" s="2061"/>
      <c r="AC359" s="2061"/>
      <c r="AD359" s="2061"/>
      <c r="AE359" s="2061"/>
      <c r="AF359" s="2061"/>
      <c r="AG359" s="2061"/>
      <c r="AH359" s="2061"/>
      <c r="AI359" s="2061"/>
      <c r="AJ359" s="2061"/>
      <c r="AK359" s="2061"/>
      <c r="AL359" s="2847"/>
    </row>
    <row r="360" spans="1:39" s="23" customFormat="1">
      <c r="A360" s="686" t="s">
        <v>510</v>
      </c>
      <c r="B360" s="641">
        <v>118.16</v>
      </c>
      <c r="C360" s="88">
        <v>186.92</v>
      </c>
      <c r="D360" s="644">
        <f t="shared" si="46"/>
        <v>-68.759999999999991</v>
      </c>
      <c r="E360" s="645">
        <v>223.51</v>
      </c>
      <c r="F360" s="92">
        <v>189.07</v>
      </c>
      <c r="G360" s="783">
        <f t="shared" si="47"/>
        <v>34.44</v>
      </c>
      <c r="H360" s="649">
        <v>120.55</v>
      </c>
      <c r="I360" s="95">
        <v>186.92</v>
      </c>
      <c r="J360" s="2050">
        <f t="shared" si="48"/>
        <v>-66.36999999999999</v>
      </c>
      <c r="K360" s="2059"/>
      <c r="L360" s="2059"/>
      <c r="M360" s="2060"/>
      <c r="N360" s="2061"/>
      <c r="O360" s="2061"/>
      <c r="P360" s="2061"/>
      <c r="Q360" s="2059"/>
      <c r="R360" s="2059"/>
      <c r="S360" s="2060"/>
      <c r="T360" s="2061"/>
      <c r="U360" s="2061"/>
      <c r="V360" s="2061"/>
      <c r="W360" s="2061"/>
      <c r="X360" s="2061"/>
      <c r="Y360" s="2061"/>
      <c r="Z360" s="2061"/>
      <c r="AA360" s="2061"/>
      <c r="AB360" s="2061"/>
      <c r="AC360" s="2061"/>
      <c r="AD360" s="2061"/>
      <c r="AE360" s="2061"/>
      <c r="AF360" s="2061"/>
      <c r="AG360" s="2061"/>
      <c r="AH360" s="2061"/>
      <c r="AI360" s="2061"/>
      <c r="AJ360" s="2061"/>
      <c r="AK360" s="2061"/>
      <c r="AL360" s="2847"/>
    </row>
    <row r="361" spans="1:39" s="23" customFormat="1">
      <c r="A361" s="686" t="s">
        <v>376</v>
      </c>
      <c r="B361" s="641">
        <f>950328/5181</f>
        <v>183.4255935147655</v>
      </c>
      <c r="C361" s="88">
        <f>918340/4940</f>
        <v>185.89878542510121</v>
      </c>
      <c r="D361" s="644">
        <f t="shared" si="46"/>
        <v>-2.4731919103357143</v>
      </c>
      <c r="E361" s="645">
        <f>1196286/9974</f>
        <v>119.94044515740926</v>
      </c>
      <c r="F361" s="92">
        <f>856268/4622</f>
        <v>185.25919515361315</v>
      </c>
      <c r="G361" s="783">
        <f t="shared" si="47"/>
        <v>-65.318749996203891</v>
      </c>
      <c r="H361" s="649">
        <f>889326/9598</f>
        <v>92.657428630964787</v>
      </c>
      <c r="I361" s="95">
        <f>916789/4940</f>
        <v>185.58481781376517</v>
      </c>
      <c r="J361" s="2050">
        <f t="shared" si="48"/>
        <v>-92.927389182800383</v>
      </c>
      <c r="K361" s="2059"/>
      <c r="L361" s="2059"/>
      <c r="M361" s="2060"/>
      <c r="N361" s="2061"/>
      <c r="O361" s="2061"/>
      <c r="P361" s="2061"/>
      <c r="Q361" s="2059"/>
      <c r="R361" s="2059"/>
      <c r="S361" s="2060"/>
      <c r="T361" s="2061"/>
      <c r="U361" s="2061"/>
      <c r="V361" s="2061"/>
      <c r="W361" s="2061"/>
      <c r="X361" s="2061"/>
      <c r="Y361" s="2061"/>
      <c r="Z361" s="2061"/>
      <c r="AA361" s="2061"/>
      <c r="AB361" s="2061"/>
      <c r="AC361" s="2061"/>
      <c r="AD361" s="2061"/>
      <c r="AE361" s="2061"/>
      <c r="AF361" s="2061"/>
      <c r="AG361" s="2061"/>
      <c r="AH361" s="2061"/>
      <c r="AI361" s="2061"/>
      <c r="AJ361" s="2061"/>
      <c r="AK361" s="2061"/>
      <c r="AL361" s="2847"/>
    </row>
    <row r="362" spans="1:39" s="23" customFormat="1">
      <c r="A362" s="686" t="s">
        <v>497</v>
      </c>
      <c r="B362" s="641">
        <f>69789/509</f>
        <v>137.11001964636543</v>
      </c>
      <c r="C362" s="88">
        <f>233032/1622</f>
        <v>143.66954377311961</v>
      </c>
      <c r="D362" s="644">
        <f t="shared" si="46"/>
        <v>-6.5595241267541837</v>
      </c>
      <c r="E362" s="645">
        <f>175979/1721</f>
        <v>102.25392213829168</v>
      </c>
      <c r="F362" s="92">
        <f>218743/1517</f>
        <v>144.19446275543837</v>
      </c>
      <c r="G362" s="783">
        <f t="shared" si="47"/>
        <v>-41.940540617146681</v>
      </c>
      <c r="H362" s="649">
        <f>237980/2263</f>
        <v>105.16129032258064</v>
      </c>
      <c r="I362" s="95">
        <f>233789/1622</f>
        <v>144.13625154130702</v>
      </c>
      <c r="J362" s="2050">
        <f t="shared" si="48"/>
        <v>-38.974961218726378</v>
      </c>
      <c r="K362" s="2059"/>
      <c r="L362" s="2059"/>
      <c r="M362" s="2060"/>
      <c r="N362" s="2061"/>
      <c r="O362" s="2061"/>
      <c r="P362" s="2061"/>
      <c r="Q362" s="2059"/>
      <c r="R362" s="2059"/>
      <c r="S362" s="2060"/>
      <c r="T362" s="2061"/>
      <c r="U362" s="2061"/>
      <c r="V362" s="2061"/>
      <c r="W362" s="2061"/>
      <c r="X362" s="2061"/>
      <c r="Y362" s="2061"/>
      <c r="Z362" s="2061"/>
      <c r="AA362" s="2061"/>
      <c r="AB362" s="2061"/>
      <c r="AC362" s="2061"/>
      <c r="AD362" s="2061"/>
      <c r="AE362" s="2061"/>
      <c r="AF362" s="2061"/>
      <c r="AG362" s="2061"/>
      <c r="AH362" s="2061"/>
      <c r="AI362" s="2061"/>
      <c r="AJ362" s="2061"/>
      <c r="AK362" s="2061"/>
      <c r="AL362" s="2847"/>
    </row>
    <row r="363" spans="1:39" s="23" customFormat="1">
      <c r="A363" s="686" t="s">
        <v>432</v>
      </c>
      <c r="B363" s="641">
        <f>45519/794</f>
        <v>57.328715365239297</v>
      </c>
      <c r="C363" s="88">
        <f>323336/1990</f>
        <v>162.48040201005026</v>
      </c>
      <c r="D363" s="644">
        <f t="shared" si="46"/>
        <v>-105.15168664481095</v>
      </c>
      <c r="E363" s="645">
        <f>252461/3865</f>
        <v>65.319793014230271</v>
      </c>
      <c r="F363" s="92">
        <f>300283/1862</f>
        <v>161.26906552094522</v>
      </c>
      <c r="G363" s="783">
        <f t="shared" si="47"/>
        <v>-95.949272506714948</v>
      </c>
      <c r="H363" s="649">
        <f>302137/4313</f>
        <v>70.05263157894737</v>
      </c>
      <c r="I363" s="95">
        <f>324647/1990</f>
        <v>163.13919597989948</v>
      </c>
      <c r="J363" s="2050">
        <f t="shared" si="48"/>
        <v>-93.086564400952113</v>
      </c>
      <c r="K363" s="2059"/>
      <c r="L363" s="2059"/>
      <c r="M363" s="2060"/>
      <c r="N363" s="2061"/>
      <c r="O363" s="2061"/>
      <c r="P363" s="2061"/>
      <c r="Q363" s="2059"/>
      <c r="R363" s="2059"/>
      <c r="S363" s="2060"/>
      <c r="T363" s="2061"/>
      <c r="U363" s="2061"/>
      <c r="V363" s="2061"/>
      <c r="W363" s="2061"/>
      <c r="X363" s="2061"/>
      <c r="Y363" s="2061"/>
      <c r="Z363" s="2061"/>
      <c r="AA363" s="2061"/>
      <c r="AB363" s="2061"/>
      <c r="AC363" s="2061"/>
      <c r="AD363" s="2061"/>
      <c r="AE363" s="2061"/>
      <c r="AF363" s="2061"/>
      <c r="AG363" s="2061"/>
      <c r="AH363" s="2061"/>
      <c r="AI363" s="2061"/>
      <c r="AJ363" s="2061"/>
      <c r="AK363" s="2061"/>
      <c r="AL363" s="2847"/>
    </row>
    <row r="364" spans="1:39" s="23" customFormat="1">
      <c r="A364" s="686" t="s">
        <v>434</v>
      </c>
      <c r="B364" s="641">
        <f>1118197/7809</f>
        <v>143.19336662824946</v>
      </c>
      <c r="C364" s="88">
        <v>117.06</v>
      </c>
      <c r="D364" s="644">
        <f t="shared" si="46"/>
        <v>26.133366628249462</v>
      </c>
      <c r="E364" s="645">
        <v>169.76</v>
      </c>
      <c r="F364" s="92">
        <v>130.18</v>
      </c>
      <c r="G364" s="783">
        <f t="shared" si="47"/>
        <v>39.579999999999984</v>
      </c>
      <c r="H364" s="649">
        <v>103.56</v>
      </c>
      <c r="I364" s="95">
        <v>123.98</v>
      </c>
      <c r="J364" s="2050">
        <f t="shared" si="48"/>
        <v>-20.420000000000002</v>
      </c>
      <c r="K364" s="2059"/>
      <c r="L364" s="2059"/>
      <c r="M364" s="2060"/>
      <c r="N364" s="2061"/>
      <c r="O364" s="2061"/>
      <c r="P364" s="2061"/>
      <c r="Q364" s="2059"/>
      <c r="R364" s="2059"/>
      <c r="S364" s="2060"/>
      <c r="T364" s="2061"/>
      <c r="U364" s="2061"/>
      <c r="V364" s="2061"/>
      <c r="W364" s="2061"/>
      <c r="X364" s="2061"/>
      <c r="Y364" s="2061"/>
      <c r="Z364" s="2061"/>
      <c r="AA364" s="2061"/>
      <c r="AB364" s="2061"/>
      <c r="AC364" s="2061"/>
      <c r="AD364" s="2061"/>
      <c r="AE364" s="2061"/>
      <c r="AF364" s="2061"/>
      <c r="AG364" s="2061"/>
      <c r="AH364" s="2061"/>
      <c r="AI364" s="2061"/>
      <c r="AJ364" s="2061"/>
      <c r="AK364" s="2061"/>
      <c r="AL364" s="2847"/>
    </row>
    <row r="365" spans="1:39" s="23" customFormat="1">
      <c r="A365" s="686" t="s">
        <v>433</v>
      </c>
      <c r="B365" s="641">
        <f>1115528/4284</f>
        <v>260.39402427637719</v>
      </c>
      <c r="C365" s="88">
        <v>117.06</v>
      </c>
      <c r="D365" s="644">
        <f t="shared" si="46"/>
        <v>143.33402427637719</v>
      </c>
      <c r="E365" s="645">
        <f>333372/4144</f>
        <v>80.446911196911202</v>
      </c>
      <c r="F365" s="92">
        <v>130.18</v>
      </c>
      <c r="G365" s="783">
        <f t="shared" si="47"/>
        <v>-49.733088803088805</v>
      </c>
      <c r="H365" s="649">
        <f>941240/4585</f>
        <v>205.28680479825519</v>
      </c>
      <c r="I365" s="95">
        <f>774874/4567</f>
        <v>169.66805342675718</v>
      </c>
      <c r="J365" s="2050">
        <f t="shared" si="48"/>
        <v>35.618751371498007</v>
      </c>
      <c r="K365" s="2059"/>
      <c r="L365" s="2059"/>
      <c r="M365" s="2060"/>
      <c r="N365" s="2061"/>
      <c r="O365" s="2061"/>
      <c r="P365" s="2061"/>
      <c r="Q365" s="2059"/>
      <c r="R365" s="2059"/>
      <c r="S365" s="2060"/>
      <c r="T365" s="2061"/>
      <c r="U365" s="2061"/>
      <c r="V365" s="2061"/>
      <c r="W365" s="2061"/>
      <c r="X365" s="2061"/>
      <c r="Y365" s="2061"/>
      <c r="Z365" s="2061"/>
      <c r="AA365" s="2061"/>
      <c r="AB365" s="2061"/>
      <c r="AC365" s="2061"/>
      <c r="AD365" s="2061"/>
      <c r="AE365" s="2061"/>
      <c r="AF365" s="2061"/>
      <c r="AG365" s="2061"/>
      <c r="AH365" s="2061"/>
      <c r="AI365" s="2061"/>
      <c r="AJ365" s="2061"/>
      <c r="AK365" s="2061"/>
      <c r="AL365" s="2847"/>
    </row>
    <row r="366" spans="1:39" s="23" customFormat="1">
      <c r="A366" s="688" t="s">
        <v>58</v>
      </c>
      <c r="B366" s="572"/>
      <c r="C366" s="416"/>
      <c r="D366" s="417"/>
      <c r="E366" s="572"/>
      <c r="F366" s="416"/>
      <c r="G366" s="643"/>
      <c r="H366" s="504"/>
      <c r="I366" s="414"/>
      <c r="J366" s="414"/>
      <c r="K366" s="795"/>
      <c r="L366" s="795"/>
      <c r="M366" s="2060"/>
      <c r="N366" s="2061"/>
      <c r="O366" s="2061"/>
      <c r="P366" s="2061"/>
      <c r="Q366" s="795"/>
      <c r="R366" s="795"/>
      <c r="S366" s="2060"/>
      <c r="T366" s="2065"/>
      <c r="U366" s="2065"/>
      <c r="V366" s="2065"/>
      <c r="W366" s="2061"/>
      <c r="X366" s="2061"/>
      <c r="Y366" s="2061"/>
      <c r="Z366" s="2061"/>
      <c r="AA366" s="2061"/>
      <c r="AB366" s="2061"/>
      <c r="AC366" s="2061"/>
      <c r="AD366" s="2061"/>
      <c r="AE366" s="2061"/>
      <c r="AF366" s="2061"/>
      <c r="AG366" s="2061"/>
      <c r="AH366" s="2061"/>
      <c r="AI366" s="795"/>
      <c r="AJ366" s="795"/>
      <c r="AK366" s="2065"/>
      <c r="AL366" s="2847"/>
    </row>
    <row r="367" spans="1:39" s="23" customFormat="1" ht="15.75" thickBot="1">
      <c r="A367" s="585" t="s">
        <v>168</v>
      </c>
      <c r="B367" s="780">
        <f>'TOTAL LABOR COST'!I8</f>
        <v>166.84695284007549</v>
      </c>
      <c r="C367" s="781">
        <f>'TOTAL LABOR COST'!J8</f>
        <v>109.20528450402765</v>
      </c>
      <c r="D367" s="782">
        <f>'TOTAL LABOR COST'!K8</f>
        <v>57.641668336047843</v>
      </c>
      <c r="E367" s="647">
        <f>'TOTAL LABOR COST'!I36</f>
        <v>117.92154907889878</v>
      </c>
      <c r="F367" s="639">
        <f>'TOTAL LABOR COST'!J36</f>
        <v>130.10862369544793</v>
      </c>
      <c r="G367" s="648">
        <f>'TOTAL LABOR COST'!K36</f>
        <v>-12.187074616549154</v>
      </c>
      <c r="H367" s="650">
        <f>'TOTAL LABOR COST'!I64</f>
        <v>118.47119799845214</v>
      </c>
      <c r="I367" s="640">
        <f>'TOTAL LABOR COST'!J64</f>
        <v>130.3032408883777</v>
      </c>
      <c r="J367" s="2051">
        <f>'TOTAL LABOR COST'!K64</f>
        <v>-11.83204288992556</v>
      </c>
      <c r="K367" s="2059"/>
      <c r="L367" s="2059"/>
      <c r="M367" s="2060"/>
      <c r="N367" s="2061"/>
      <c r="O367" s="2061"/>
      <c r="P367" s="2061"/>
      <c r="Q367" s="2059"/>
      <c r="R367" s="2059"/>
      <c r="S367" s="2060"/>
      <c r="T367" s="2061"/>
      <c r="U367" s="2061"/>
      <c r="V367" s="2061"/>
      <c r="W367" s="2061"/>
      <c r="X367" s="2061"/>
      <c r="Y367" s="2061"/>
      <c r="Z367" s="2061"/>
      <c r="AA367" s="2061"/>
      <c r="AB367" s="2061"/>
      <c r="AC367" s="2061"/>
      <c r="AD367" s="2061"/>
      <c r="AE367" s="2061"/>
      <c r="AF367" s="2061"/>
      <c r="AG367" s="2061"/>
      <c r="AH367" s="2061"/>
      <c r="AI367" s="2061"/>
      <c r="AJ367" s="2061"/>
      <c r="AK367" s="2061"/>
      <c r="AL367" s="2847"/>
    </row>
    <row r="368" spans="1:39" s="23" customFormat="1" ht="15.75" thickBot="1">
      <c r="A368" s="5"/>
      <c r="F368" s="445"/>
      <c r="T368" s="147"/>
    </row>
    <row r="369" spans="1:20" s="5" customFormat="1">
      <c r="A369" s="2881" t="s">
        <v>169</v>
      </c>
      <c r="B369" s="2872" t="s">
        <v>10</v>
      </c>
      <c r="C369" s="2872" t="s">
        <v>11</v>
      </c>
      <c r="D369" s="2872" t="s">
        <v>12</v>
      </c>
      <c r="E369" s="2872" t="s">
        <v>13</v>
      </c>
      <c r="F369" s="2872" t="s">
        <v>14</v>
      </c>
      <c r="G369" s="2872" t="s">
        <v>15</v>
      </c>
      <c r="H369" s="2872" t="s">
        <v>16</v>
      </c>
      <c r="I369" s="2872" t="s">
        <v>17</v>
      </c>
      <c r="J369" s="2872" t="s">
        <v>18</v>
      </c>
      <c r="K369" s="2872" t="s">
        <v>19</v>
      </c>
      <c r="L369" s="2872" t="s">
        <v>20</v>
      </c>
      <c r="M369" s="2874" t="s">
        <v>21</v>
      </c>
      <c r="T369" s="125"/>
    </row>
    <row r="370" spans="1:20" s="5" customFormat="1" ht="15.75" thickBot="1">
      <c r="A370" s="2882"/>
      <c r="B370" s="2873"/>
      <c r="C370" s="2873"/>
      <c r="D370" s="2873"/>
      <c r="E370" s="2873"/>
      <c r="F370" s="2873"/>
      <c r="G370" s="2873"/>
      <c r="H370" s="2873"/>
      <c r="I370" s="2873"/>
      <c r="J370" s="2873"/>
      <c r="K370" s="2873"/>
      <c r="L370" s="2873"/>
      <c r="M370" s="2875"/>
      <c r="O370" s="438"/>
      <c r="T370" s="125"/>
    </row>
    <row r="371" spans="1:20" s="23" customFormat="1">
      <c r="A371" s="686" t="s">
        <v>6</v>
      </c>
      <c r="B371" s="724">
        <v>41</v>
      </c>
      <c r="C371" s="725">
        <v>112</v>
      </c>
      <c r="D371" s="724">
        <v>145</v>
      </c>
      <c r="E371" s="726">
        <v>32</v>
      </c>
      <c r="F371" s="725">
        <v>43</v>
      </c>
      <c r="G371" s="725">
        <v>35</v>
      </c>
      <c r="H371" s="725">
        <v>33</v>
      </c>
      <c r="I371" s="725">
        <v>30</v>
      </c>
      <c r="J371" s="725">
        <v>40</v>
      </c>
      <c r="K371" s="725">
        <v>63</v>
      </c>
      <c r="L371" s="725">
        <v>21</v>
      </c>
      <c r="M371" s="727">
        <v>49</v>
      </c>
      <c r="O371" s="71"/>
      <c r="T371" s="147"/>
    </row>
    <row r="372" spans="1:20" s="23" customFormat="1">
      <c r="A372" s="686" t="s">
        <v>673</v>
      </c>
      <c r="B372" s="20">
        <v>26</v>
      </c>
      <c r="C372" s="21">
        <v>22</v>
      </c>
      <c r="D372" s="20">
        <v>20</v>
      </c>
      <c r="E372" s="21">
        <v>9</v>
      </c>
      <c r="F372" s="21">
        <v>13</v>
      </c>
      <c r="G372" s="21">
        <v>10</v>
      </c>
      <c r="H372" s="21">
        <v>29</v>
      </c>
      <c r="I372" s="21">
        <v>16</v>
      </c>
      <c r="J372" s="21">
        <v>7</v>
      </c>
      <c r="K372" s="21">
        <v>4</v>
      </c>
      <c r="L372" s="21">
        <v>18</v>
      </c>
      <c r="M372" s="651">
        <v>14</v>
      </c>
      <c r="O372" s="71"/>
      <c r="T372" s="147"/>
    </row>
    <row r="373" spans="1:20" s="23" customFormat="1">
      <c r="A373" s="686" t="s">
        <v>743</v>
      </c>
      <c r="B373" s="20">
        <v>4</v>
      </c>
      <c r="C373" s="21">
        <v>1</v>
      </c>
      <c r="D373" s="20">
        <v>29</v>
      </c>
      <c r="E373" s="21">
        <v>14</v>
      </c>
      <c r="F373" s="21">
        <v>13</v>
      </c>
      <c r="G373" s="21">
        <v>7</v>
      </c>
      <c r="H373" s="21">
        <v>46</v>
      </c>
      <c r="I373" s="21">
        <v>17</v>
      </c>
      <c r="J373" s="21">
        <v>17</v>
      </c>
      <c r="K373" s="21">
        <v>14</v>
      </c>
      <c r="L373" s="21">
        <v>28</v>
      </c>
      <c r="M373" s="651">
        <v>31</v>
      </c>
      <c r="O373" s="71"/>
      <c r="T373" s="147"/>
    </row>
    <row r="374" spans="1:20" s="23" customFormat="1">
      <c r="A374" s="686" t="s">
        <v>507</v>
      </c>
      <c r="B374" s="20">
        <v>110</v>
      </c>
      <c r="C374" s="21">
        <v>212</v>
      </c>
      <c r="D374" s="20">
        <v>120</v>
      </c>
      <c r="E374" s="21">
        <v>152</v>
      </c>
      <c r="F374" s="21">
        <v>211</v>
      </c>
      <c r="G374" s="21">
        <v>192</v>
      </c>
      <c r="H374" s="21">
        <v>399</v>
      </c>
      <c r="I374" s="21">
        <v>172</v>
      </c>
      <c r="J374" s="21">
        <v>152</v>
      </c>
      <c r="K374" s="21">
        <v>122</v>
      </c>
      <c r="L374" s="21">
        <v>304</v>
      </c>
      <c r="M374" s="651">
        <v>352</v>
      </c>
      <c r="O374" s="71"/>
      <c r="T374" s="147"/>
    </row>
    <row r="375" spans="1:20" s="23" customFormat="1">
      <c r="A375" s="686" t="s">
        <v>271</v>
      </c>
      <c r="B375" s="21">
        <v>0</v>
      </c>
      <c r="C375" s="21">
        <v>0</v>
      </c>
      <c r="D375" s="2537">
        <v>1</v>
      </c>
      <c r="E375" s="21">
        <v>1</v>
      </c>
      <c r="F375" s="21">
        <v>0</v>
      </c>
      <c r="G375" s="21">
        <v>3</v>
      </c>
      <c r="H375" s="21">
        <v>1</v>
      </c>
      <c r="I375" s="21">
        <v>0</v>
      </c>
      <c r="J375" s="21">
        <v>1</v>
      </c>
      <c r="K375" s="21">
        <v>1</v>
      </c>
      <c r="L375" s="21">
        <v>4</v>
      </c>
      <c r="M375" s="651">
        <v>4</v>
      </c>
      <c r="O375" s="71"/>
      <c r="T375" s="147"/>
    </row>
    <row r="376" spans="1:20" s="23" customFormat="1">
      <c r="A376" s="686" t="s">
        <v>249</v>
      </c>
      <c r="B376" s="21">
        <v>15</v>
      </c>
      <c r="C376" s="21">
        <v>26</v>
      </c>
      <c r="D376" s="21">
        <v>10</v>
      </c>
      <c r="E376" s="21">
        <v>8</v>
      </c>
      <c r="F376" s="21">
        <v>25</v>
      </c>
      <c r="G376" s="21">
        <v>16</v>
      </c>
      <c r="H376" s="21">
        <v>29</v>
      </c>
      <c r="I376" s="21">
        <v>21</v>
      </c>
      <c r="J376" s="21">
        <v>10</v>
      </c>
      <c r="K376" s="21">
        <v>7</v>
      </c>
      <c r="L376" s="21">
        <v>7</v>
      </c>
      <c r="M376" s="651">
        <v>33</v>
      </c>
      <c r="O376" s="71"/>
      <c r="T376" s="147"/>
    </row>
    <row r="377" spans="1:20" s="23" customFormat="1">
      <c r="A377" s="686" t="s">
        <v>28</v>
      </c>
      <c r="B377" s="21">
        <v>158</v>
      </c>
      <c r="C377" s="21">
        <v>355</v>
      </c>
      <c r="D377" s="21">
        <v>196</v>
      </c>
      <c r="E377" s="21">
        <v>308</v>
      </c>
      <c r="F377" s="21">
        <v>359</v>
      </c>
      <c r="G377" s="21">
        <v>298</v>
      </c>
      <c r="H377" s="21">
        <v>449</v>
      </c>
      <c r="I377" s="21">
        <v>307</v>
      </c>
      <c r="J377" s="21">
        <v>196</v>
      </c>
      <c r="K377" s="21">
        <v>131</v>
      </c>
      <c r="L377" s="21">
        <v>344</v>
      </c>
      <c r="M377" s="651">
        <v>328</v>
      </c>
      <c r="O377" s="71"/>
      <c r="T377" s="147"/>
    </row>
    <row r="378" spans="1:20" s="23" customFormat="1">
      <c r="A378" s="686" t="s">
        <v>732</v>
      </c>
      <c r="B378" s="21">
        <v>35</v>
      </c>
      <c r="C378" s="21">
        <v>51</v>
      </c>
      <c r="D378" s="21">
        <v>29</v>
      </c>
      <c r="E378" s="21">
        <v>34</v>
      </c>
      <c r="F378" s="21">
        <v>60</v>
      </c>
      <c r="G378" s="21">
        <v>45</v>
      </c>
      <c r="H378" s="21">
        <v>41</v>
      </c>
      <c r="I378" s="437"/>
      <c r="J378" s="437"/>
      <c r="K378" s="437"/>
      <c r="L378" s="437"/>
      <c r="M378" s="653"/>
      <c r="O378" s="71"/>
      <c r="T378" s="147"/>
    </row>
    <row r="379" spans="1:20" s="23" customFormat="1">
      <c r="A379" s="686" t="s">
        <v>731</v>
      </c>
      <c r="B379" s="21">
        <v>59</v>
      </c>
      <c r="C379" s="21">
        <v>58</v>
      </c>
      <c r="D379" s="21">
        <v>20</v>
      </c>
      <c r="E379" s="21">
        <v>52</v>
      </c>
      <c r="F379" s="21">
        <v>69</v>
      </c>
      <c r="G379" s="21">
        <v>46</v>
      </c>
      <c r="H379" s="21">
        <v>57</v>
      </c>
      <c r="I379" s="21">
        <v>65</v>
      </c>
      <c r="J379" s="21">
        <v>37</v>
      </c>
      <c r="K379" s="21">
        <v>32</v>
      </c>
      <c r="L379" s="21">
        <v>68</v>
      </c>
      <c r="M379" s="651">
        <v>72</v>
      </c>
      <c r="O379" s="71"/>
      <c r="T379" s="147"/>
    </row>
    <row r="380" spans="1:20" s="23" customFormat="1">
      <c r="A380" s="686" t="s">
        <v>30</v>
      </c>
      <c r="B380" s="21">
        <v>19</v>
      </c>
      <c r="C380" s="21">
        <v>70</v>
      </c>
      <c r="D380" s="21">
        <v>10</v>
      </c>
      <c r="E380" s="21">
        <v>44</v>
      </c>
      <c r="F380" s="21">
        <v>125</v>
      </c>
      <c r="G380" s="21">
        <v>128</v>
      </c>
      <c r="H380" s="21">
        <v>323</v>
      </c>
      <c r="I380" s="21">
        <v>123</v>
      </c>
      <c r="J380" s="21">
        <v>111</v>
      </c>
      <c r="K380" s="21">
        <v>58</v>
      </c>
      <c r="L380" s="21">
        <v>124</v>
      </c>
      <c r="M380" s="651">
        <v>175</v>
      </c>
      <c r="O380" s="71"/>
      <c r="T380" s="147"/>
    </row>
    <row r="381" spans="1:20" s="23" customFormat="1">
      <c r="A381" s="686" t="s">
        <v>314</v>
      </c>
      <c r="B381" s="21">
        <v>14</v>
      </c>
      <c r="C381" s="21">
        <v>14</v>
      </c>
      <c r="D381" s="21">
        <v>22</v>
      </c>
      <c r="E381" s="21">
        <v>8</v>
      </c>
      <c r="F381" s="21">
        <v>24</v>
      </c>
      <c r="G381" s="21">
        <v>28</v>
      </c>
      <c r="H381" s="21">
        <v>35</v>
      </c>
      <c r="I381" s="21">
        <v>19</v>
      </c>
      <c r="J381" s="21">
        <v>15</v>
      </c>
      <c r="K381" s="21">
        <v>4</v>
      </c>
      <c r="L381" s="21">
        <v>21</v>
      </c>
      <c r="M381" s="651">
        <v>25</v>
      </c>
      <c r="N381" s="71"/>
      <c r="O381" s="71"/>
      <c r="T381" s="147"/>
    </row>
    <row r="382" spans="1:20" s="23" customFormat="1">
      <c r="A382" s="686" t="s">
        <v>85</v>
      </c>
      <c r="B382" s="21">
        <v>105</v>
      </c>
      <c r="C382" s="21">
        <v>141</v>
      </c>
      <c r="D382" s="21">
        <v>94</v>
      </c>
      <c r="E382" s="21">
        <v>38</v>
      </c>
      <c r="F382" s="21">
        <v>80</v>
      </c>
      <c r="G382" s="21">
        <v>70</v>
      </c>
      <c r="H382" s="21">
        <v>209</v>
      </c>
      <c r="I382" s="21">
        <v>56</v>
      </c>
      <c r="J382" s="21">
        <v>17</v>
      </c>
      <c r="K382" s="21">
        <v>8</v>
      </c>
      <c r="L382" s="21">
        <v>44</v>
      </c>
      <c r="M382" s="651">
        <v>39</v>
      </c>
      <c r="O382" s="71"/>
      <c r="T382" s="147"/>
    </row>
    <row r="383" spans="1:20" s="23" customFormat="1" ht="15.75" customHeight="1">
      <c r="A383" s="686" t="s">
        <v>241</v>
      </c>
      <c r="B383" s="21">
        <v>21</v>
      </c>
      <c r="C383" s="21">
        <v>14</v>
      </c>
      <c r="D383" s="21">
        <v>18</v>
      </c>
      <c r="E383" s="21">
        <v>57</v>
      </c>
      <c r="F383" s="21">
        <v>116</v>
      </c>
      <c r="G383" s="21">
        <v>157</v>
      </c>
      <c r="H383" s="21">
        <v>309</v>
      </c>
      <c r="I383" s="21">
        <v>124</v>
      </c>
      <c r="J383" s="21">
        <v>129</v>
      </c>
      <c r="K383" s="21">
        <v>74</v>
      </c>
      <c r="L383" s="21">
        <v>144</v>
      </c>
      <c r="M383" s="651">
        <v>91</v>
      </c>
      <c r="O383" s="71"/>
      <c r="T383" s="147"/>
    </row>
    <row r="384" spans="1:20" s="23" customFormat="1">
      <c r="A384" s="686" t="s">
        <v>272</v>
      </c>
      <c r="B384" s="21">
        <v>12</v>
      </c>
      <c r="C384" s="21">
        <v>16</v>
      </c>
      <c r="D384" s="2537">
        <v>34</v>
      </c>
      <c r="E384" s="21">
        <v>85</v>
      </c>
      <c r="F384" s="21">
        <v>110</v>
      </c>
      <c r="G384" s="21">
        <v>99</v>
      </c>
      <c r="H384" s="21">
        <v>243</v>
      </c>
      <c r="I384" s="21">
        <v>101</v>
      </c>
      <c r="J384" s="21">
        <v>85</v>
      </c>
      <c r="K384" s="21">
        <v>80</v>
      </c>
      <c r="L384" s="21">
        <v>109</v>
      </c>
      <c r="M384" s="651">
        <v>87</v>
      </c>
      <c r="O384" s="71"/>
      <c r="T384" s="147"/>
    </row>
    <row r="385" spans="1:20" s="23" customFormat="1">
      <c r="A385" s="686" t="s">
        <v>674</v>
      </c>
      <c r="B385" s="21">
        <v>179</v>
      </c>
      <c r="C385" s="21">
        <v>118</v>
      </c>
      <c r="D385" s="21">
        <v>62</v>
      </c>
      <c r="E385" s="21">
        <v>71</v>
      </c>
      <c r="F385" s="21">
        <v>123</v>
      </c>
      <c r="G385" s="21">
        <v>103</v>
      </c>
      <c r="H385" s="21">
        <v>130</v>
      </c>
      <c r="I385" s="21">
        <v>151</v>
      </c>
      <c r="J385" s="21">
        <v>107</v>
      </c>
      <c r="K385" s="21">
        <v>44</v>
      </c>
      <c r="L385" s="21">
        <v>101</v>
      </c>
      <c r="M385" s="651">
        <v>137</v>
      </c>
      <c r="O385" s="71"/>
      <c r="T385" s="147"/>
    </row>
    <row r="386" spans="1:20" s="23" customFormat="1">
      <c r="A386" s="686" t="s">
        <v>378</v>
      </c>
      <c r="B386" s="21">
        <v>196</v>
      </c>
      <c r="C386" s="21">
        <v>248</v>
      </c>
      <c r="D386" s="21">
        <v>79</v>
      </c>
      <c r="E386" s="21">
        <v>120</v>
      </c>
      <c r="F386" s="21">
        <v>165</v>
      </c>
      <c r="G386" s="21">
        <v>111</v>
      </c>
      <c r="H386" s="21">
        <v>96</v>
      </c>
      <c r="I386" s="21">
        <v>171</v>
      </c>
      <c r="J386" s="21">
        <v>34</v>
      </c>
      <c r="K386" s="21">
        <v>83</v>
      </c>
      <c r="L386" s="759"/>
      <c r="M386" s="2700"/>
      <c r="O386" s="71"/>
      <c r="T386" s="147"/>
    </row>
    <row r="387" spans="1:20" s="23" customFormat="1">
      <c r="A387" s="686" t="s">
        <v>728</v>
      </c>
      <c r="B387" s="21">
        <v>64</v>
      </c>
      <c r="C387" s="21">
        <v>80</v>
      </c>
      <c r="D387" s="21">
        <v>48</v>
      </c>
      <c r="E387" s="21">
        <v>61</v>
      </c>
      <c r="F387" s="21">
        <v>77</v>
      </c>
      <c r="G387" s="21">
        <v>77</v>
      </c>
      <c r="H387" s="21">
        <v>55</v>
      </c>
      <c r="I387" s="21">
        <v>53</v>
      </c>
      <c r="J387" s="21">
        <v>38</v>
      </c>
      <c r="K387" s="21">
        <v>9</v>
      </c>
      <c r="L387" s="759"/>
      <c r="M387" s="2700"/>
      <c r="O387" s="71"/>
      <c r="T387" s="147"/>
    </row>
    <row r="388" spans="1:20" s="23" customFormat="1">
      <c r="A388" s="686" t="s">
        <v>645</v>
      </c>
      <c r="B388" s="21">
        <v>31</v>
      </c>
      <c r="C388" s="21">
        <v>92</v>
      </c>
      <c r="D388" s="21">
        <v>27</v>
      </c>
      <c r="E388" s="21">
        <v>32</v>
      </c>
      <c r="F388" s="21">
        <v>224</v>
      </c>
      <c r="G388" s="21">
        <v>172</v>
      </c>
      <c r="H388" s="21">
        <v>250</v>
      </c>
      <c r="I388" s="21">
        <v>146</v>
      </c>
      <c r="J388" s="21">
        <v>151</v>
      </c>
      <c r="K388" s="21">
        <v>49</v>
      </c>
      <c r="L388" s="759"/>
      <c r="M388" s="651">
        <v>159</v>
      </c>
      <c r="O388" s="71"/>
      <c r="T388" s="147"/>
    </row>
    <row r="389" spans="1:20" s="23" customFormat="1">
      <c r="A389" s="686" t="s">
        <v>644</v>
      </c>
      <c r="B389" s="21">
        <v>28</v>
      </c>
      <c r="C389" s="21">
        <v>25</v>
      </c>
      <c r="D389" s="2537">
        <v>10</v>
      </c>
      <c r="E389" s="21">
        <v>6</v>
      </c>
      <c r="F389" s="21">
        <v>16</v>
      </c>
      <c r="G389" s="21">
        <v>10</v>
      </c>
      <c r="H389" s="21">
        <v>44</v>
      </c>
      <c r="I389" s="21">
        <v>13</v>
      </c>
      <c r="J389" s="21">
        <v>2</v>
      </c>
      <c r="K389" s="21">
        <v>5</v>
      </c>
      <c r="L389" s="759"/>
      <c r="M389" s="651">
        <v>6</v>
      </c>
      <c r="O389" s="71"/>
      <c r="T389" s="147"/>
    </row>
    <row r="390" spans="1:20" s="23" customFormat="1">
      <c r="A390" s="686" t="s">
        <v>432</v>
      </c>
      <c r="B390" s="21">
        <v>19</v>
      </c>
      <c r="C390" s="21">
        <v>41</v>
      </c>
      <c r="D390" s="21">
        <v>14</v>
      </c>
      <c r="E390" s="21">
        <v>67</v>
      </c>
      <c r="F390" s="21">
        <v>94</v>
      </c>
      <c r="G390" s="21">
        <v>85</v>
      </c>
      <c r="H390" s="21">
        <v>103</v>
      </c>
      <c r="I390" s="21">
        <v>57</v>
      </c>
      <c r="J390" s="21">
        <v>96</v>
      </c>
      <c r="K390" s="21">
        <v>41</v>
      </c>
      <c r="L390" s="759"/>
      <c r="M390" s="651">
        <v>57</v>
      </c>
      <c r="O390" s="71"/>
      <c r="T390" s="147"/>
    </row>
    <row r="391" spans="1:20" s="23" customFormat="1">
      <c r="A391" s="686" t="s">
        <v>434</v>
      </c>
      <c r="B391" s="759"/>
      <c r="C391" s="759"/>
      <c r="D391" s="759"/>
      <c r="E391" s="759"/>
      <c r="F391" s="759"/>
      <c r="G391" s="759"/>
      <c r="H391" s="759"/>
      <c r="I391" s="759"/>
      <c r="J391" s="759"/>
      <c r="K391" s="759"/>
      <c r="L391" s="759"/>
      <c r="M391" s="2700"/>
      <c r="O391" s="2"/>
      <c r="T391" s="147"/>
    </row>
    <row r="392" spans="1:20" s="23" customFormat="1">
      <c r="A392" s="686" t="s">
        <v>433</v>
      </c>
      <c r="B392" s="759"/>
      <c r="C392" s="759"/>
      <c r="D392" s="759"/>
      <c r="E392" s="759"/>
      <c r="F392" s="759"/>
      <c r="G392" s="759"/>
      <c r="H392" s="759"/>
      <c r="I392" s="759"/>
      <c r="J392" s="759"/>
      <c r="K392" s="759"/>
      <c r="L392" s="759"/>
      <c r="M392" s="2700"/>
      <c r="O392" s="71"/>
      <c r="T392" s="147"/>
    </row>
    <row r="393" spans="1:20" s="23" customFormat="1">
      <c r="A393" s="695" t="s">
        <v>58</v>
      </c>
      <c r="B393" s="437"/>
      <c r="C393" s="437"/>
      <c r="D393" s="437"/>
      <c r="E393" s="437"/>
      <c r="F393" s="437"/>
      <c r="G393" s="437"/>
      <c r="H393" s="437"/>
      <c r="I393" s="437"/>
      <c r="J393" s="437"/>
      <c r="K393" s="437"/>
      <c r="L393" s="437"/>
      <c r="M393" s="653"/>
      <c r="O393" s="2"/>
      <c r="T393" s="147"/>
    </row>
    <row r="394" spans="1:20" s="23" customFormat="1" ht="15" customHeight="1" thickBot="1">
      <c r="A394" s="652" t="s">
        <v>32</v>
      </c>
      <c r="B394" s="628">
        <f t="shared" ref="B394:H394" si="49">SUM(B371:B393)</f>
        <v>1136</v>
      </c>
      <c r="C394" s="628">
        <f t="shared" si="49"/>
        <v>1696</v>
      </c>
      <c r="D394" s="628">
        <f t="shared" si="49"/>
        <v>988</v>
      </c>
      <c r="E394" s="628">
        <f t="shared" si="49"/>
        <v>1199</v>
      </c>
      <c r="F394" s="628">
        <f t="shared" si="49"/>
        <v>1947</v>
      </c>
      <c r="G394" s="628">
        <f t="shared" si="49"/>
        <v>1692</v>
      </c>
      <c r="H394" s="628">
        <f t="shared" si="49"/>
        <v>2881</v>
      </c>
      <c r="I394" s="628">
        <f>SUM(I371:I393)</f>
        <v>1642</v>
      </c>
      <c r="J394" s="628">
        <f>SUM(J371:J393)</f>
        <v>1245</v>
      </c>
      <c r="K394" s="628">
        <f>SUM(K371:K393)</f>
        <v>829</v>
      </c>
      <c r="L394" s="628">
        <f>SUM(L371:L393)</f>
        <v>1337</v>
      </c>
      <c r="M394" s="629">
        <f>SUM(M371,M372,M373,M374,M376,M377,M378,M379,M380,M381,M382,M383,M385,M386,M387,M388,M390)</f>
        <v>1562</v>
      </c>
      <c r="O394" s="2"/>
      <c r="T394" s="147"/>
    </row>
    <row r="395" spans="1:20" s="23" customFormat="1" ht="15.75" thickBot="1">
      <c r="A395" s="5"/>
      <c r="T395" s="147"/>
    </row>
    <row r="396" spans="1:20" s="5" customFormat="1" ht="20.25" customHeight="1">
      <c r="A396" s="656" t="s">
        <v>381</v>
      </c>
      <c r="B396" s="703" t="s">
        <v>10</v>
      </c>
      <c r="C396" s="704" t="s">
        <v>11</v>
      </c>
      <c r="D396" s="704" t="s">
        <v>12</v>
      </c>
      <c r="E396" s="704" t="s">
        <v>13</v>
      </c>
      <c r="F396" s="704" t="s">
        <v>14</v>
      </c>
      <c r="G396" s="704" t="s">
        <v>15</v>
      </c>
      <c r="H396" s="704" t="s">
        <v>16</v>
      </c>
      <c r="I396" s="704" t="s">
        <v>17</v>
      </c>
      <c r="J396" s="704" t="s">
        <v>18</v>
      </c>
      <c r="K396" s="704" t="s">
        <v>19</v>
      </c>
      <c r="L396" s="704" t="s">
        <v>20</v>
      </c>
      <c r="M396" s="705" t="s">
        <v>21</v>
      </c>
      <c r="T396" s="125"/>
    </row>
    <row r="397" spans="1:20" s="5" customFormat="1" ht="22.5" customHeight="1">
      <c r="A397" s="696" t="s">
        <v>172</v>
      </c>
      <c r="B397" s="428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630"/>
      <c r="T397" s="125"/>
    </row>
    <row r="398" spans="1:20" s="23" customFormat="1">
      <c r="A398" s="686" t="s">
        <v>6</v>
      </c>
      <c r="B398" s="91">
        <v>0</v>
      </c>
      <c r="C398" s="22">
        <v>4</v>
      </c>
      <c r="D398" s="91">
        <v>2</v>
      </c>
      <c r="E398" s="22">
        <v>1</v>
      </c>
      <c r="F398" s="21">
        <v>1</v>
      </c>
      <c r="G398" s="21">
        <v>1</v>
      </c>
      <c r="H398" s="21">
        <v>2</v>
      </c>
      <c r="I398" s="21">
        <v>0</v>
      </c>
      <c r="J398" s="21">
        <v>2</v>
      </c>
      <c r="K398" s="21">
        <v>0</v>
      </c>
      <c r="L398" s="21">
        <v>1</v>
      </c>
      <c r="M398" s="651">
        <v>2</v>
      </c>
      <c r="T398" s="147"/>
    </row>
    <row r="399" spans="1:20" s="23" customFormat="1">
      <c r="A399" s="686" t="s">
        <v>673</v>
      </c>
      <c r="B399" s="91">
        <v>2</v>
      </c>
      <c r="C399" s="22">
        <v>1</v>
      </c>
      <c r="D399" s="91">
        <v>2</v>
      </c>
      <c r="E399" s="22">
        <v>0</v>
      </c>
      <c r="F399" s="21">
        <v>0</v>
      </c>
      <c r="G399" s="21">
        <v>1</v>
      </c>
      <c r="H399" s="21">
        <v>0</v>
      </c>
      <c r="I399" s="21">
        <v>0</v>
      </c>
      <c r="J399" s="21">
        <v>0</v>
      </c>
      <c r="K399" s="21">
        <v>1</v>
      </c>
      <c r="L399" s="21">
        <v>2</v>
      </c>
      <c r="M399" s="651">
        <v>4</v>
      </c>
      <c r="T399" s="147"/>
    </row>
    <row r="400" spans="1:20" s="23" customFormat="1">
      <c r="A400" s="686" t="s">
        <v>733</v>
      </c>
      <c r="B400" s="91">
        <v>2</v>
      </c>
      <c r="C400" s="22">
        <v>0</v>
      </c>
      <c r="D400" s="91">
        <v>1</v>
      </c>
      <c r="E400" s="22">
        <v>0</v>
      </c>
      <c r="F400" s="21">
        <v>0</v>
      </c>
      <c r="G400" s="21">
        <v>0</v>
      </c>
      <c r="H400" s="21">
        <v>1</v>
      </c>
      <c r="I400" s="21">
        <v>0</v>
      </c>
      <c r="J400" s="21">
        <v>0</v>
      </c>
      <c r="K400" s="21">
        <v>1</v>
      </c>
      <c r="L400" s="21">
        <v>6</v>
      </c>
      <c r="M400" s="651">
        <v>7</v>
      </c>
      <c r="T400" s="147"/>
    </row>
    <row r="401" spans="1:20" s="23" customFormat="1">
      <c r="A401" s="686" t="s">
        <v>507</v>
      </c>
      <c r="B401" s="91">
        <v>23</v>
      </c>
      <c r="C401" s="22">
        <v>8</v>
      </c>
      <c r="D401" s="91">
        <v>3</v>
      </c>
      <c r="E401" s="22">
        <v>4</v>
      </c>
      <c r="F401" s="21">
        <v>1</v>
      </c>
      <c r="G401" s="21">
        <v>4</v>
      </c>
      <c r="H401" s="21">
        <v>3</v>
      </c>
      <c r="I401" s="21">
        <v>3</v>
      </c>
      <c r="J401" s="21">
        <v>5</v>
      </c>
      <c r="K401" s="21">
        <v>4</v>
      </c>
      <c r="L401" s="21">
        <v>9</v>
      </c>
      <c r="M401" s="651">
        <v>11</v>
      </c>
      <c r="T401" s="147"/>
    </row>
    <row r="402" spans="1:20" s="186" customFormat="1">
      <c r="A402" s="697" t="s">
        <v>271</v>
      </c>
      <c r="B402" s="91">
        <v>0</v>
      </c>
      <c r="C402" s="22">
        <v>0</v>
      </c>
      <c r="D402" s="2538">
        <v>1</v>
      </c>
      <c r="E402" s="22">
        <v>1</v>
      </c>
      <c r="F402" s="22">
        <v>0</v>
      </c>
      <c r="G402" s="22">
        <v>0</v>
      </c>
      <c r="H402" s="22">
        <v>0</v>
      </c>
      <c r="I402" s="22">
        <v>0</v>
      </c>
      <c r="J402" s="22">
        <v>1</v>
      </c>
      <c r="K402" s="22">
        <v>0</v>
      </c>
      <c r="L402" s="22">
        <v>1</v>
      </c>
      <c r="M402" s="651">
        <v>3</v>
      </c>
      <c r="T402" s="147"/>
    </row>
    <row r="403" spans="1:20" s="186" customFormat="1">
      <c r="A403" s="697" t="s">
        <v>249</v>
      </c>
      <c r="B403" s="91">
        <v>11</v>
      </c>
      <c r="C403" s="22">
        <v>3</v>
      </c>
      <c r="D403" s="91">
        <v>2</v>
      </c>
      <c r="E403" s="22">
        <v>2</v>
      </c>
      <c r="F403" s="21">
        <v>1</v>
      </c>
      <c r="G403" s="21">
        <v>1</v>
      </c>
      <c r="H403" s="21">
        <v>3</v>
      </c>
      <c r="I403" s="21">
        <v>4</v>
      </c>
      <c r="J403" s="21">
        <v>7</v>
      </c>
      <c r="K403" s="21">
        <v>4</v>
      </c>
      <c r="L403" s="21">
        <v>0</v>
      </c>
      <c r="M403" s="651">
        <v>8</v>
      </c>
      <c r="T403" s="147"/>
    </row>
    <row r="404" spans="1:20" s="186" customFormat="1">
      <c r="A404" s="697" t="s">
        <v>28</v>
      </c>
      <c r="B404" s="91">
        <v>27</v>
      </c>
      <c r="C404" s="22">
        <v>13</v>
      </c>
      <c r="D404" s="91">
        <v>8</v>
      </c>
      <c r="E404" s="22">
        <v>3</v>
      </c>
      <c r="F404" s="21">
        <v>4</v>
      </c>
      <c r="G404" s="21">
        <v>2</v>
      </c>
      <c r="H404" s="21">
        <v>6</v>
      </c>
      <c r="I404" s="21">
        <v>3</v>
      </c>
      <c r="J404" s="21">
        <v>8</v>
      </c>
      <c r="K404" s="21">
        <v>7</v>
      </c>
      <c r="L404" s="21">
        <v>5</v>
      </c>
      <c r="M404" s="651">
        <v>5</v>
      </c>
      <c r="T404" s="147"/>
    </row>
    <row r="405" spans="1:20" s="186" customFormat="1">
      <c r="A405" s="697" t="s">
        <v>732</v>
      </c>
      <c r="B405" s="91">
        <v>15</v>
      </c>
      <c r="C405" s="22">
        <v>1</v>
      </c>
      <c r="D405" s="91">
        <v>2</v>
      </c>
      <c r="E405" s="22">
        <v>0</v>
      </c>
      <c r="F405" s="21">
        <v>7</v>
      </c>
      <c r="G405" s="21">
        <v>0</v>
      </c>
      <c r="H405" s="21">
        <v>1</v>
      </c>
      <c r="I405" s="437"/>
      <c r="J405" s="437"/>
      <c r="K405" s="437"/>
      <c r="L405" s="437"/>
      <c r="M405" s="653"/>
      <c r="T405" s="147"/>
    </row>
    <row r="406" spans="1:20" s="186" customFormat="1">
      <c r="A406" s="697" t="s">
        <v>731</v>
      </c>
      <c r="B406" s="91">
        <v>9</v>
      </c>
      <c r="C406" s="22">
        <v>8</v>
      </c>
      <c r="D406" s="22">
        <v>1</v>
      </c>
      <c r="E406" s="22">
        <v>11</v>
      </c>
      <c r="F406" s="22">
        <v>17</v>
      </c>
      <c r="G406" s="22">
        <v>7</v>
      </c>
      <c r="H406" s="22">
        <v>5</v>
      </c>
      <c r="I406" s="22">
        <v>17</v>
      </c>
      <c r="J406" s="22">
        <v>2</v>
      </c>
      <c r="K406" s="22">
        <v>3</v>
      </c>
      <c r="L406" s="22">
        <v>10</v>
      </c>
      <c r="M406" s="651">
        <v>11</v>
      </c>
      <c r="T406" s="147"/>
    </row>
    <row r="407" spans="1:20" s="186" customFormat="1">
      <c r="A407" s="697" t="s">
        <v>30</v>
      </c>
      <c r="B407" s="91">
        <v>1</v>
      </c>
      <c r="C407" s="22">
        <v>1</v>
      </c>
      <c r="D407" s="91">
        <v>0</v>
      </c>
      <c r="E407" s="22">
        <v>0</v>
      </c>
      <c r="F407" s="21">
        <v>4</v>
      </c>
      <c r="G407" s="21">
        <v>7</v>
      </c>
      <c r="H407" s="21">
        <v>9</v>
      </c>
      <c r="I407" s="21">
        <v>0</v>
      </c>
      <c r="J407" s="21">
        <v>1</v>
      </c>
      <c r="K407" s="21">
        <v>3</v>
      </c>
      <c r="L407" s="21">
        <v>4</v>
      </c>
      <c r="M407" s="651">
        <v>7</v>
      </c>
      <c r="T407" s="147"/>
    </row>
    <row r="408" spans="1:20" s="186" customFormat="1">
      <c r="A408" s="697" t="s">
        <v>314</v>
      </c>
      <c r="B408" s="91">
        <v>1</v>
      </c>
      <c r="C408" s="22">
        <v>5</v>
      </c>
      <c r="D408" s="22">
        <v>4</v>
      </c>
      <c r="E408" s="22">
        <v>5</v>
      </c>
      <c r="F408" s="22">
        <v>2</v>
      </c>
      <c r="G408" s="22">
        <v>4</v>
      </c>
      <c r="H408" s="22">
        <v>4</v>
      </c>
      <c r="I408" s="22">
        <v>0</v>
      </c>
      <c r="J408" s="22">
        <v>0</v>
      </c>
      <c r="K408" s="22">
        <v>0</v>
      </c>
      <c r="L408" s="22">
        <v>1</v>
      </c>
      <c r="M408" s="651">
        <v>1</v>
      </c>
      <c r="T408" s="147"/>
    </row>
    <row r="409" spans="1:20" s="186" customFormat="1" ht="15.75" customHeight="1">
      <c r="A409" s="697" t="s">
        <v>85</v>
      </c>
      <c r="B409" s="91">
        <v>65</v>
      </c>
      <c r="C409" s="22">
        <v>77</v>
      </c>
      <c r="D409" s="91">
        <v>52</v>
      </c>
      <c r="E409" s="22">
        <v>1</v>
      </c>
      <c r="F409" s="21">
        <v>6</v>
      </c>
      <c r="G409" s="21">
        <v>3</v>
      </c>
      <c r="H409" s="21">
        <v>6</v>
      </c>
      <c r="I409" s="21">
        <v>0</v>
      </c>
      <c r="J409" s="21">
        <v>0</v>
      </c>
      <c r="K409" s="21">
        <v>0</v>
      </c>
      <c r="L409" s="21">
        <v>1</v>
      </c>
      <c r="M409" s="651">
        <v>3</v>
      </c>
      <c r="T409" s="147"/>
    </row>
    <row r="410" spans="1:20" s="186" customFormat="1">
      <c r="A410" s="697" t="s">
        <v>241</v>
      </c>
      <c r="B410" s="91">
        <v>1</v>
      </c>
      <c r="C410" s="22">
        <v>0</v>
      </c>
      <c r="D410" s="91">
        <v>1</v>
      </c>
      <c r="E410" s="22">
        <v>2</v>
      </c>
      <c r="F410" s="21">
        <v>0</v>
      </c>
      <c r="G410" s="21">
        <v>1</v>
      </c>
      <c r="H410" s="21">
        <v>0</v>
      </c>
      <c r="I410" s="21">
        <v>0</v>
      </c>
      <c r="J410" s="21">
        <v>1</v>
      </c>
      <c r="K410" s="21">
        <v>0</v>
      </c>
      <c r="L410" s="21">
        <v>2</v>
      </c>
      <c r="M410" s="651">
        <v>0</v>
      </c>
      <c r="T410" s="147"/>
    </row>
    <row r="411" spans="1:20" s="186" customFormat="1">
      <c r="A411" s="697" t="s">
        <v>272</v>
      </c>
      <c r="B411" s="91">
        <v>0</v>
      </c>
      <c r="C411" s="22">
        <v>0</v>
      </c>
      <c r="D411" s="2539">
        <v>3</v>
      </c>
      <c r="E411" s="22">
        <v>1</v>
      </c>
      <c r="F411" s="21">
        <v>1</v>
      </c>
      <c r="G411" s="21">
        <v>1</v>
      </c>
      <c r="H411" s="21">
        <v>9</v>
      </c>
      <c r="I411" s="21">
        <v>2</v>
      </c>
      <c r="J411" s="21">
        <v>3</v>
      </c>
      <c r="K411" s="21">
        <v>1</v>
      </c>
      <c r="L411" s="21">
        <v>2</v>
      </c>
      <c r="M411" s="651">
        <v>3</v>
      </c>
      <c r="T411" s="147"/>
    </row>
    <row r="412" spans="1:20" s="186" customFormat="1">
      <c r="A412" s="697" t="s">
        <v>730</v>
      </c>
      <c r="B412" s="91">
        <v>3</v>
      </c>
      <c r="C412" s="22">
        <v>3</v>
      </c>
      <c r="D412" s="91">
        <v>1</v>
      </c>
      <c r="E412" s="22">
        <v>0</v>
      </c>
      <c r="F412" s="21">
        <v>1</v>
      </c>
      <c r="G412" s="21">
        <v>1</v>
      </c>
      <c r="H412" s="21">
        <v>1</v>
      </c>
      <c r="I412" s="21">
        <v>0</v>
      </c>
      <c r="J412" s="21">
        <v>0</v>
      </c>
      <c r="K412" s="21">
        <v>1</v>
      </c>
      <c r="L412" s="21">
        <v>6</v>
      </c>
      <c r="M412" s="651">
        <v>4</v>
      </c>
      <c r="T412" s="147"/>
    </row>
    <row r="413" spans="1:20" s="186" customFormat="1">
      <c r="A413" s="697" t="s">
        <v>378</v>
      </c>
      <c r="B413" s="91">
        <v>24</v>
      </c>
      <c r="C413" s="22">
        <v>22</v>
      </c>
      <c r="D413" s="22">
        <v>22</v>
      </c>
      <c r="E413" s="22">
        <v>38</v>
      </c>
      <c r="F413" s="22">
        <v>52</v>
      </c>
      <c r="G413" s="22">
        <v>32</v>
      </c>
      <c r="H413" s="22">
        <v>22</v>
      </c>
      <c r="I413" s="22">
        <v>67</v>
      </c>
      <c r="J413" s="22">
        <v>7</v>
      </c>
      <c r="K413" s="22">
        <v>12</v>
      </c>
      <c r="L413" s="760"/>
      <c r="M413" s="2368"/>
      <c r="T413" s="147"/>
    </row>
    <row r="414" spans="1:20" s="186" customFormat="1">
      <c r="A414" s="697" t="s">
        <v>728</v>
      </c>
      <c r="B414" s="91">
        <v>1</v>
      </c>
      <c r="C414" s="22">
        <v>2</v>
      </c>
      <c r="D414" s="22">
        <v>10</v>
      </c>
      <c r="E414" s="22">
        <v>13</v>
      </c>
      <c r="F414" s="22">
        <v>6</v>
      </c>
      <c r="G414" s="22">
        <v>4</v>
      </c>
      <c r="H414" s="22">
        <v>0</v>
      </c>
      <c r="I414" s="22">
        <v>4</v>
      </c>
      <c r="J414" s="22">
        <v>2</v>
      </c>
      <c r="K414" s="22">
        <v>0</v>
      </c>
      <c r="L414" s="760"/>
      <c r="M414" s="2368"/>
      <c r="T414" s="147"/>
    </row>
    <row r="415" spans="1:20" s="186" customFormat="1">
      <c r="A415" s="697" t="s">
        <v>795</v>
      </c>
      <c r="B415" s="91">
        <v>0</v>
      </c>
      <c r="C415" s="22">
        <v>1</v>
      </c>
      <c r="D415" s="22">
        <v>1</v>
      </c>
      <c r="E415" s="22">
        <v>1</v>
      </c>
      <c r="F415" s="22">
        <v>4</v>
      </c>
      <c r="G415" s="22">
        <v>1</v>
      </c>
      <c r="H415" s="22">
        <v>1</v>
      </c>
      <c r="I415" s="22">
        <v>0</v>
      </c>
      <c r="J415" s="22">
        <v>6</v>
      </c>
      <c r="K415" s="22">
        <v>2</v>
      </c>
      <c r="L415" s="760"/>
      <c r="M415" s="624">
        <v>5</v>
      </c>
      <c r="T415" s="147"/>
    </row>
    <row r="416" spans="1:20" s="186" customFormat="1">
      <c r="A416" s="697" t="s">
        <v>797</v>
      </c>
      <c r="B416" s="91">
        <v>3</v>
      </c>
      <c r="C416" s="1884">
        <v>20</v>
      </c>
      <c r="D416" s="2538">
        <v>0</v>
      </c>
      <c r="E416" s="22">
        <v>0</v>
      </c>
      <c r="F416" s="22">
        <v>2</v>
      </c>
      <c r="G416" s="22">
        <v>3</v>
      </c>
      <c r="H416" s="22">
        <v>1</v>
      </c>
      <c r="I416" s="22">
        <v>1</v>
      </c>
      <c r="J416" s="22">
        <v>1</v>
      </c>
      <c r="K416" s="22">
        <v>2</v>
      </c>
      <c r="L416" s="760"/>
      <c r="M416" s="624">
        <v>2</v>
      </c>
      <c r="T416" s="147"/>
    </row>
    <row r="417" spans="1:143" s="186" customFormat="1">
      <c r="A417" s="697" t="s">
        <v>432</v>
      </c>
      <c r="B417" s="91">
        <v>2</v>
      </c>
      <c r="C417" s="22">
        <v>4</v>
      </c>
      <c r="D417" s="22">
        <v>2</v>
      </c>
      <c r="E417" s="22">
        <v>0</v>
      </c>
      <c r="F417" s="22">
        <v>6</v>
      </c>
      <c r="G417" s="22">
        <v>2</v>
      </c>
      <c r="H417" s="22">
        <v>3</v>
      </c>
      <c r="I417" s="22">
        <v>0</v>
      </c>
      <c r="J417" s="22">
        <v>4</v>
      </c>
      <c r="K417" s="22">
        <v>1</v>
      </c>
      <c r="L417" s="760"/>
      <c r="M417" s="624">
        <v>5</v>
      </c>
      <c r="T417" s="147"/>
    </row>
    <row r="418" spans="1:143" s="186" customFormat="1">
      <c r="A418" s="697" t="s">
        <v>434</v>
      </c>
      <c r="B418" s="777"/>
      <c r="C418" s="760"/>
      <c r="D418" s="760"/>
      <c r="E418" s="760"/>
      <c r="F418" s="760"/>
      <c r="G418" s="760"/>
      <c r="H418" s="760"/>
      <c r="I418" s="760"/>
      <c r="J418" s="760"/>
      <c r="K418" s="760"/>
      <c r="L418" s="760"/>
      <c r="M418" s="2368"/>
      <c r="T418" s="147"/>
    </row>
    <row r="419" spans="1:143" s="186" customFormat="1">
      <c r="A419" s="697" t="s">
        <v>433</v>
      </c>
      <c r="B419" s="777"/>
      <c r="C419" s="760"/>
      <c r="D419" s="760"/>
      <c r="E419" s="760"/>
      <c r="F419" s="760"/>
      <c r="G419" s="760"/>
      <c r="H419" s="760"/>
      <c r="I419" s="760"/>
      <c r="J419" s="760"/>
      <c r="K419" s="760"/>
      <c r="L419" s="760"/>
      <c r="M419" s="2368"/>
      <c r="T419" s="147"/>
    </row>
    <row r="420" spans="1:143" s="186" customFormat="1">
      <c r="A420" s="698" t="s">
        <v>58</v>
      </c>
      <c r="B420" s="411"/>
      <c r="C420" s="412"/>
      <c r="D420" s="411"/>
      <c r="E420" s="412"/>
      <c r="F420" s="418"/>
      <c r="G420" s="418"/>
      <c r="H420" s="418"/>
      <c r="I420" s="418"/>
      <c r="J420" s="418"/>
      <c r="K420" s="418"/>
      <c r="L420" s="418"/>
      <c r="M420" s="654"/>
      <c r="T420" s="147"/>
    </row>
    <row r="421" spans="1:143" s="440" customFormat="1" ht="15.75" thickBot="1">
      <c r="A421" s="655" t="s">
        <v>32</v>
      </c>
      <c r="B421" s="628">
        <v>69</v>
      </c>
      <c r="C421" s="628">
        <v>80</v>
      </c>
      <c r="D421" s="628">
        <v>87</v>
      </c>
      <c r="E421" s="628">
        <v>54</v>
      </c>
      <c r="F421" s="628">
        <v>78</v>
      </c>
      <c r="G421" s="628">
        <v>91</v>
      </c>
      <c r="H421" s="628">
        <f t="shared" ref="H421:M421" si="50">SUM(H398:H420)</f>
        <v>77</v>
      </c>
      <c r="I421" s="628">
        <f t="shared" si="50"/>
        <v>101</v>
      </c>
      <c r="J421" s="628">
        <f t="shared" si="50"/>
        <v>50</v>
      </c>
      <c r="K421" s="628">
        <f t="shared" si="50"/>
        <v>42</v>
      </c>
      <c r="L421" s="628">
        <f t="shared" si="50"/>
        <v>50</v>
      </c>
      <c r="M421" s="629">
        <f t="shared" si="50"/>
        <v>81</v>
      </c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439"/>
      <c r="Y421" s="439"/>
      <c r="Z421" s="439"/>
      <c r="AA421" s="439"/>
    </row>
    <row r="422" spans="1:143" s="2" customFormat="1" ht="15.75" thickBot="1">
      <c r="A422" s="15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</row>
    <row r="423" spans="1:143" ht="15" customHeight="1" thickBot="1">
      <c r="A423" s="657" t="s">
        <v>78</v>
      </c>
      <c r="B423" s="2883" t="s">
        <v>569</v>
      </c>
      <c r="C423" s="2884"/>
      <c r="D423" s="2884"/>
      <c r="E423" s="2884"/>
      <c r="F423" s="2884"/>
      <c r="G423" s="2884"/>
      <c r="H423" s="2884"/>
      <c r="I423" s="2884"/>
      <c r="J423" s="2885"/>
      <c r="K423" s="2886"/>
      <c r="L423" s="2969" t="s">
        <v>570</v>
      </c>
      <c r="M423" s="2970"/>
      <c r="N423" s="2970"/>
      <c r="O423" s="2970"/>
      <c r="P423" s="2970"/>
      <c r="Q423" s="2970"/>
      <c r="R423" s="2970"/>
      <c r="S423" s="2970"/>
      <c r="T423" s="2970"/>
      <c r="U423" s="2971"/>
      <c r="V423" s="2972" t="s">
        <v>571</v>
      </c>
      <c r="W423" s="2973"/>
      <c r="X423" s="2973"/>
      <c r="Y423" s="2973"/>
      <c r="Z423" s="2973"/>
      <c r="AA423" s="2973"/>
      <c r="AB423" s="2973"/>
      <c r="AC423" s="2973"/>
      <c r="AD423" s="2974"/>
      <c r="AE423" s="2975"/>
      <c r="AF423" s="2984" t="s">
        <v>572</v>
      </c>
      <c r="AG423" s="2974"/>
      <c r="AH423" s="2974"/>
      <c r="AI423" s="2974"/>
      <c r="AJ423" s="2974"/>
      <c r="AK423" s="2974"/>
      <c r="AL423" s="2974"/>
      <c r="AM423" s="2974"/>
      <c r="AN423" s="2974"/>
      <c r="AO423" s="2975"/>
      <c r="AP423" s="2976" t="s">
        <v>574</v>
      </c>
      <c r="AQ423" s="2985"/>
      <c r="AR423" s="2985"/>
      <c r="AS423" s="2985"/>
      <c r="AT423" s="2985"/>
      <c r="AU423" s="2985"/>
      <c r="AV423" s="2985"/>
      <c r="AW423" s="2985"/>
      <c r="AX423" s="2985"/>
      <c r="AY423" s="2985"/>
      <c r="AZ423" s="2985"/>
      <c r="BA423" s="2985"/>
      <c r="BB423" s="2980" t="s">
        <v>573</v>
      </c>
      <c r="BC423" s="2977"/>
      <c r="BD423" s="2977"/>
      <c r="BE423" s="2977"/>
      <c r="BF423" s="2977"/>
      <c r="BG423" s="2977"/>
      <c r="BH423" s="2977"/>
      <c r="BI423" s="2977"/>
      <c r="BJ423" s="2977"/>
      <c r="BK423" s="2977"/>
      <c r="BL423" s="2977"/>
      <c r="BM423" s="2978"/>
      <c r="BN423" s="2976" t="s">
        <v>568</v>
      </c>
      <c r="BO423" s="2977"/>
      <c r="BP423" s="2977"/>
      <c r="BQ423" s="2977"/>
      <c r="BR423" s="2977"/>
      <c r="BS423" s="2977"/>
      <c r="BT423" s="2977"/>
      <c r="BU423" s="2977"/>
      <c r="BV423" s="2977"/>
      <c r="BW423" s="2977"/>
      <c r="BX423" s="2977"/>
      <c r="BY423" s="2978"/>
      <c r="BZ423" s="2979" t="s">
        <v>567</v>
      </c>
      <c r="CA423" s="2977"/>
      <c r="CB423" s="2977"/>
      <c r="CC423" s="2977"/>
      <c r="CD423" s="2977"/>
      <c r="CE423" s="2977"/>
      <c r="CF423" s="2977"/>
      <c r="CG423" s="2977"/>
      <c r="CH423" s="2977"/>
      <c r="CI423" s="2977"/>
      <c r="CJ423" s="2977"/>
      <c r="CK423" s="2978"/>
      <c r="CL423" s="2976" t="s">
        <v>566</v>
      </c>
      <c r="CM423" s="2977"/>
      <c r="CN423" s="2977"/>
      <c r="CO423" s="2977"/>
      <c r="CP423" s="2977"/>
      <c r="CQ423" s="2977"/>
      <c r="CR423" s="2977"/>
      <c r="CS423" s="2977"/>
      <c r="CT423" s="2977"/>
      <c r="CU423" s="2977"/>
      <c r="CV423" s="2977"/>
      <c r="CW423" s="2978"/>
      <c r="CX423" s="2979" t="s">
        <v>565</v>
      </c>
      <c r="CY423" s="2977"/>
      <c r="CZ423" s="2977"/>
      <c r="DA423" s="2977"/>
      <c r="DB423" s="2977"/>
      <c r="DC423" s="2977"/>
      <c r="DD423" s="2977"/>
      <c r="DE423" s="2977"/>
      <c r="DF423" s="2977"/>
      <c r="DG423" s="2977"/>
      <c r="DH423" s="2977"/>
      <c r="DI423" s="2978"/>
      <c r="DJ423" s="2976" t="s">
        <v>564</v>
      </c>
      <c r="DK423" s="2977"/>
      <c r="DL423" s="2977"/>
      <c r="DM423" s="2977"/>
      <c r="DN423" s="2977"/>
      <c r="DO423" s="2977"/>
      <c r="DP423" s="2977"/>
      <c r="DQ423" s="2977"/>
      <c r="DR423" s="2977"/>
      <c r="DS423" s="2977"/>
      <c r="DT423" s="2977"/>
      <c r="DU423" s="2977"/>
      <c r="DV423" s="2981" t="s">
        <v>563</v>
      </c>
      <c r="DW423" s="2982"/>
      <c r="DX423" s="2982"/>
      <c r="DY423" s="2982"/>
      <c r="DZ423" s="2982"/>
      <c r="EA423" s="2982"/>
      <c r="EB423" s="2982"/>
      <c r="EC423" s="2982"/>
      <c r="ED423" s="2982"/>
      <c r="EE423" s="2982"/>
      <c r="EF423" s="2982"/>
      <c r="EG423" s="2983"/>
    </row>
    <row r="424" spans="1:143" s="723" customFormat="1" ht="87" customHeight="1">
      <c r="A424" s="721" t="s">
        <v>633</v>
      </c>
      <c r="B424" s="807" t="s">
        <v>72</v>
      </c>
      <c r="C424" s="808" t="s">
        <v>73</v>
      </c>
      <c r="D424" s="808" t="s">
        <v>74</v>
      </c>
      <c r="E424" s="808" t="s">
        <v>75</v>
      </c>
      <c r="F424" s="808" t="s">
        <v>76</v>
      </c>
      <c r="G424" s="808" t="s">
        <v>77</v>
      </c>
      <c r="H424" s="808" t="s">
        <v>216</v>
      </c>
      <c r="I424" s="961" t="s">
        <v>217</v>
      </c>
      <c r="J424" s="961" t="s">
        <v>591</v>
      </c>
      <c r="K424" s="957" t="s">
        <v>592</v>
      </c>
      <c r="L424" s="809" t="s">
        <v>72</v>
      </c>
      <c r="M424" s="810" t="s">
        <v>73</v>
      </c>
      <c r="N424" s="810" t="s">
        <v>74</v>
      </c>
      <c r="O424" s="810" t="s">
        <v>75</v>
      </c>
      <c r="P424" s="810" t="s">
        <v>76</v>
      </c>
      <c r="Q424" s="810" t="s">
        <v>77</v>
      </c>
      <c r="R424" s="810" t="s">
        <v>216</v>
      </c>
      <c r="S424" s="967" t="s">
        <v>217</v>
      </c>
      <c r="T424" s="968" t="s">
        <v>591</v>
      </c>
      <c r="U424" s="970" t="s">
        <v>592</v>
      </c>
      <c r="V424" s="811" t="s">
        <v>72</v>
      </c>
      <c r="W424" s="808" t="s">
        <v>73</v>
      </c>
      <c r="X424" s="808" t="s">
        <v>74</v>
      </c>
      <c r="Y424" s="808" t="s">
        <v>75</v>
      </c>
      <c r="Z424" s="808" t="s">
        <v>76</v>
      </c>
      <c r="AA424" s="808" t="s">
        <v>77</v>
      </c>
      <c r="AB424" s="808" t="s">
        <v>216</v>
      </c>
      <c r="AC424" s="971" t="s">
        <v>217</v>
      </c>
      <c r="AD424" s="961" t="s">
        <v>716</v>
      </c>
      <c r="AE424" s="960" t="s">
        <v>592</v>
      </c>
      <c r="AF424" s="809" t="s">
        <v>72</v>
      </c>
      <c r="AG424" s="810" t="s">
        <v>73</v>
      </c>
      <c r="AH424" s="810" t="s">
        <v>74</v>
      </c>
      <c r="AI424" s="810" t="s">
        <v>75</v>
      </c>
      <c r="AJ424" s="810" t="s">
        <v>76</v>
      </c>
      <c r="AK424" s="810" t="s">
        <v>77</v>
      </c>
      <c r="AL424" s="810" t="s">
        <v>718</v>
      </c>
      <c r="AM424" s="810" t="s">
        <v>719</v>
      </c>
      <c r="AN424" s="2079" t="s">
        <v>720</v>
      </c>
      <c r="AO424" s="2080" t="s">
        <v>717</v>
      </c>
      <c r="AP424" s="811" t="s">
        <v>72</v>
      </c>
      <c r="AQ424" s="808" t="s">
        <v>73</v>
      </c>
      <c r="AR424" s="808" t="s">
        <v>74</v>
      </c>
      <c r="AS424" s="808" t="s">
        <v>75</v>
      </c>
      <c r="AT424" s="808" t="s">
        <v>76</v>
      </c>
      <c r="AU424" s="808" t="s">
        <v>77</v>
      </c>
      <c r="AV424" s="808" t="s">
        <v>216</v>
      </c>
      <c r="AW424" s="971" t="s">
        <v>217</v>
      </c>
      <c r="AX424" s="2105" t="s">
        <v>718</v>
      </c>
      <c r="AY424" s="2105" t="s">
        <v>719</v>
      </c>
      <c r="AZ424" s="2106" t="s">
        <v>723</v>
      </c>
      <c r="BA424" s="2114" t="s">
        <v>724</v>
      </c>
      <c r="BB424" s="809" t="s">
        <v>72</v>
      </c>
      <c r="BC424" s="810" t="s">
        <v>73</v>
      </c>
      <c r="BD424" s="810" t="s">
        <v>74</v>
      </c>
      <c r="BE424" s="810" t="s">
        <v>75</v>
      </c>
      <c r="BF424" s="810" t="s">
        <v>76</v>
      </c>
      <c r="BG424" s="810" t="s">
        <v>77</v>
      </c>
      <c r="BH424" s="810" t="s">
        <v>216</v>
      </c>
      <c r="BI424" s="967" t="s">
        <v>217</v>
      </c>
      <c r="BJ424" s="2119" t="s">
        <v>718</v>
      </c>
      <c r="BK424" s="2119" t="s">
        <v>719</v>
      </c>
      <c r="BL424" s="2120" t="s">
        <v>799</v>
      </c>
      <c r="BM424" s="2121" t="s">
        <v>798</v>
      </c>
      <c r="BN424" s="807" t="s">
        <v>72</v>
      </c>
      <c r="BO424" s="808" t="s">
        <v>73</v>
      </c>
      <c r="BP424" s="808" t="s">
        <v>74</v>
      </c>
      <c r="BQ424" s="808" t="s">
        <v>75</v>
      </c>
      <c r="BR424" s="808" t="s">
        <v>76</v>
      </c>
      <c r="BS424" s="808" t="s">
        <v>77</v>
      </c>
      <c r="BT424" s="808" t="s">
        <v>216</v>
      </c>
      <c r="BU424" s="971" t="s">
        <v>217</v>
      </c>
      <c r="BV424" s="2105" t="s">
        <v>718</v>
      </c>
      <c r="BW424" s="2105" t="s">
        <v>719</v>
      </c>
      <c r="BX424" s="2115" t="s">
        <v>805</v>
      </c>
      <c r="BY424" s="2116" t="s">
        <v>798</v>
      </c>
      <c r="BZ424" s="809" t="s">
        <v>72</v>
      </c>
      <c r="CA424" s="810" t="s">
        <v>73</v>
      </c>
      <c r="CB424" s="810" t="s">
        <v>74</v>
      </c>
      <c r="CC424" s="810" t="s">
        <v>75</v>
      </c>
      <c r="CD424" s="810" t="s">
        <v>76</v>
      </c>
      <c r="CE424" s="810" t="s">
        <v>77</v>
      </c>
      <c r="CF424" s="810" t="s">
        <v>216</v>
      </c>
      <c r="CG424" s="967" t="s">
        <v>217</v>
      </c>
      <c r="CH424" s="2119" t="s">
        <v>718</v>
      </c>
      <c r="CI424" s="2119" t="s">
        <v>719</v>
      </c>
      <c r="CJ424" s="2120" t="s">
        <v>720</v>
      </c>
      <c r="CK424" s="2121" t="s">
        <v>717</v>
      </c>
      <c r="CL424" s="807" t="s">
        <v>72</v>
      </c>
      <c r="CM424" s="808" t="s">
        <v>73</v>
      </c>
      <c r="CN424" s="808" t="s">
        <v>74</v>
      </c>
      <c r="CO424" s="808" t="s">
        <v>75</v>
      </c>
      <c r="CP424" s="808" t="s">
        <v>76</v>
      </c>
      <c r="CQ424" s="808" t="s">
        <v>77</v>
      </c>
      <c r="CR424" s="808" t="s">
        <v>216</v>
      </c>
      <c r="CS424" s="971" t="s">
        <v>217</v>
      </c>
      <c r="CT424" s="2105" t="s">
        <v>718</v>
      </c>
      <c r="CU424" s="2105" t="s">
        <v>719</v>
      </c>
      <c r="CV424" s="2115" t="s">
        <v>720</v>
      </c>
      <c r="CW424" s="2116" t="s">
        <v>717</v>
      </c>
      <c r="CX424" s="809" t="s">
        <v>72</v>
      </c>
      <c r="CY424" s="810" t="s">
        <v>73</v>
      </c>
      <c r="CZ424" s="810" t="s">
        <v>74</v>
      </c>
      <c r="DA424" s="810" t="s">
        <v>75</v>
      </c>
      <c r="DB424" s="810" t="s">
        <v>76</v>
      </c>
      <c r="DC424" s="810" t="s">
        <v>77</v>
      </c>
      <c r="DD424" s="810" t="s">
        <v>216</v>
      </c>
      <c r="DE424" s="967" t="s">
        <v>217</v>
      </c>
      <c r="DF424" s="2119" t="s">
        <v>718</v>
      </c>
      <c r="DG424" s="2119" t="s">
        <v>719</v>
      </c>
      <c r="DH424" s="2120" t="s">
        <v>720</v>
      </c>
      <c r="DI424" s="2121" t="s">
        <v>717</v>
      </c>
      <c r="DJ424" s="811" t="s">
        <v>72</v>
      </c>
      <c r="DK424" s="808" t="s">
        <v>73</v>
      </c>
      <c r="DL424" s="808" t="s">
        <v>74</v>
      </c>
      <c r="DM424" s="808" t="s">
        <v>75</v>
      </c>
      <c r="DN424" s="808" t="s">
        <v>76</v>
      </c>
      <c r="DO424" s="808" t="s">
        <v>77</v>
      </c>
      <c r="DP424" s="808" t="s">
        <v>216</v>
      </c>
      <c r="DQ424" s="971" t="s">
        <v>217</v>
      </c>
      <c r="DR424" s="2105" t="s">
        <v>718</v>
      </c>
      <c r="DS424" s="2105" t="s">
        <v>719</v>
      </c>
      <c r="DT424" s="2115" t="s">
        <v>720</v>
      </c>
      <c r="DU424" s="2131" t="s">
        <v>717</v>
      </c>
      <c r="DV424" s="809" t="s">
        <v>72</v>
      </c>
      <c r="DW424" s="810" t="s">
        <v>73</v>
      </c>
      <c r="DX424" s="810" t="s">
        <v>74</v>
      </c>
      <c r="DY424" s="810" t="s">
        <v>75</v>
      </c>
      <c r="DZ424" s="810" t="s">
        <v>76</v>
      </c>
      <c r="EA424" s="810" t="s">
        <v>77</v>
      </c>
      <c r="EB424" s="810" t="s">
        <v>216</v>
      </c>
      <c r="EC424" s="810" t="s">
        <v>217</v>
      </c>
      <c r="ED424" s="810" t="s">
        <v>718</v>
      </c>
      <c r="EE424" s="810" t="s">
        <v>719</v>
      </c>
      <c r="EF424" s="2135" t="s">
        <v>720</v>
      </c>
      <c r="EG424" s="2136" t="s">
        <v>717</v>
      </c>
      <c r="EH424" s="722"/>
      <c r="EI424" s="722"/>
      <c r="EJ424" s="722"/>
      <c r="EK424" s="722"/>
      <c r="EL424" s="722"/>
      <c r="EM424" s="722"/>
    </row>
    <row r="425" spans="1:143">
      <c r="A425" s="686" t="s">
        <v>6</v>
      </c>
      <c r="B425" s="161">
        <v>59</v>
      </c>
      <c r="C425" s="18">
        <v>62</v>
      </c>
      <c r="D425" s="18">
        <v>151</v>
      </c>
      <c r="E425" s="18">
        <v>151</v>
      </c>
      <c r="F425" s="18">
        <v>82</v>
      </c>
      <c r="G425" s="18">
        <v>85</v>
      </c>
      <c r="H425" s="18">
        <v>0</v>
      </c>
      <c r="I425" s="18">
        <v>0</v>
      </c>
      <c r="J425" s="991"/>
      <c r="K425" s="451"/>
      <c r="L425" s="165">
        <v>72</v>
      </c>
      <c r="M425" s="19">
        <v>73</v>
      </c>
      <c r="N425" s="19">
        <v>158</v>
      </c>
      <c r="O425" s="19">
        <v>158</v>
      </c>
      <c r="P425" s="19">
        <v>81</v>
      </c>
      <c r="Q425" s="19">
        <v>81</v>
      </c>
      <c r="R425" s="19">
        <v>0</v>
      </c>
      <c r="S425" s="966">
        <v>0</v>
      </c>
      <c r="T425" s="991"/>
      <c r="U425" s="451"/>
      <c r="V425" s="659">
        <v>67</v>
      </c>
      <c r="W425" s="18">
        <v>67</v>
      </c>
      <c r="X425" s="18">
        <v>214</v>
      </c>
      <c r="Y425" s="18">
        <v>214</v>
      </c>
      <c r="Z425" s="18">
        <v>108</v>
      </c>
      <c r="AA425" s="18">
        <v>109</v>
      </c>
      <c r="AB425" s="18">
        <v>0</v>
      </c>
      <c r="AC425" s="972">
        <v>0</v>
      </c>
      <c r="AD425" s="991"/>
      <c r="AE425" s="451"/>
      <c r="AF425" s="2095"/>
      <c r="AG425" s="2074"/>
      <c r="AH425" s="2074"/>
      <c r="AI425" s="2074"/>
      <c r="AJ425" s="2074"/>
      <c r="AK425" s="2075"/>
      <c r="AL425" s="19">
        <v>383</v>
      </c>
      <c r="AM425" s="19">
        <v>383</v>
      </c>
      <c r="AN425" s="2070">
        <v>6699</v>
      </c>
      <c r="AO425" s="2071">
        <v>6702</v>
      </c>
      <c r="AP425" s="419"/>
      <c r="AQ425" s="420"/>
      <c r="AR425" s="420"/>
      <c r="AS425" s="420"/>
      <c r="AT425" s="420"/>
      <c r="AU425" s="420"/>
      <c r="AV425" s="420"/>
      <c r="AW425" s="2110"/>
      <c r="AX425" s="2109">
        <v>417</v>
      </c>
      <c r="AY425" s="2109">
        <v>419</v>
      </c>
      <c r="AZ425" s="2109">
        <v>5848</v>
      </c>
      <c r="BA425" s="2132">
        <v>5856</v>
      </c>
      <c r="BB425" s="419"/>
      <c r="BC425" s="420"/>
      <c r="BD425" s="420"/>
      <c r="BE425" s="420"/>
      <c r="BF425" s="420"/>
      <c r="BG425" s="420"/>
      <c r="BH425" s="420"/>
      <c r="BI425" s="420"/>
      <c r="BJ425" s="19">
        <v>522</v>
      </c>
      <c r="BK425" s="19">
        <v>522</v>
      </c>
      <c r="BL425" s="19">
        <v>6544</v>
      </c>
      <c r="BM425" s="2117">
        <v>6559</v>
      </c>
      <c r="BN425" s="419"/>
      <c r="BO425" s="420"/>
      <c r="BP425" s="420"/>
      <c r="BQ425" s="420"/>
      <c r="BR425" s="420"/>
      <c r="BS425" s="420"/>
      <c r="BT425" s="420"/>
      <c r="BU425" s="2129"/>
      <c r="BV425" s="18">
        <v>412</v>
      </c>
      <c r="BW425" s="18">
        <v>452</v>
      </c>
      <c r="BX425" s="18">
        <v>6149</v>
      </c>
      <c r="BY425" s="2118">
        <v>6178</v>
      </c>
      <c r="BZ425" s="2133"/>
      <c r="CA425" s="421"/>
      <c r="CB425" s="421"/>
      <c r="CC425" s="421"/>
      <c r="CD425" s="421"/>
      <c r="CE425" s="421"/>
      <c r="CF425" s="420"/>
      <c r="CG425" s="2129"/>
      <c r="CH425" s="966">
        <v>432</v>
      </c>
      <c r="CI425" s="966">
        <v>435</v>
      </c>
      <c r="CJ425" s="19">
        <v>5861</v>
      </c>
      <c r="CK425" s="2122">
        <v>5861</v>
      </c>
      <c r="CL425" s="419"/>
      <c r="CM425" s="420"/>
      <c r="CN425" s="420"/>
      <c r="CO425" s="420"/>
      <c r="CP425" s="420"/>
      <c r="CQ425" s="420"/>
      <c r="CR425" s="420"/>
      <c r="CS425" s="2129"/>
      <c r="CT425" s="18">
        <v>462</v>
      </c>
      <c r="CU425" s="18">
        <v>463</v>
      </c>
      <c r="CV425" s="18">
        <v>6514</v>
      </c>
      <c r="CW425" s="2118">
        <v>6514</v>
      </c>
      <c r="CX425" s="419"/>
      <c r="CY425" s="420"/>
      <c r="CZ425" s="420"/>
      <c r="DA425" s="420"/>
      <c r="DB425" s="420"/>
      <c r="DC425" s="420"/>
      <c r="DD425" s="2125"/>
      <c r="DE425" s="2126"/>
      <c r="DF425" s="169">
        <v>455</v>
      </c>
      <c r="DG425" s="169">
        <v>455</v>
      </c>
      <c r="DH425" s="169">
        <v>6586</v>
      </c>
      <c r="DI425" s="2124">
        <v>6589</v>
      </c>
      <c r="DJ425" s="419"/>
      <c r="DK425" s="420"/>
      <c r="DL425" s="420"/>
      <c r="DM425" s="420"/>
      <c r="DN425" s="420"/>
      <c r="DO425" s="420"/>
      <c r="DP425" s="420"/>
      <c r="DQ425" s="2129"/>
      <c r="DR425" s="972">
        <v>203</v>
      </c>
      <c r="DS425" s="972">
        <v>203</v>
      </c>
      <c r="DT425" s="18">
        <v>4231</v>
      </c>
      <c r="DU425" s="972">
        <v>4239</v>
      </c>
      <c r="DV425" s="419"/>
      <c r="DW425" s="420"/>
      <c r="DX425" s="420"/>
      <c r="DY425" s="420"/>
      <c r="DZ425" s="420"/>
      <c r="EA425" s="420"/>
      <c r="EB425" s="420"/>
      <c r="EC425" s="2129"/>
      <c r="ED425" s="19"/>
      <c r="EE425" s="19"/>
      <c r="EF425" s="160"/>
      <c r="EG425" s="2117"/>
      <c r="EH425" s="166"/>
      <c r="EI425" s="166"/>
      <c r="EJ425" s="166"/>
      <c r="EK425" s="166"/>
      <c r="EL425" s="166"/>
      <c r="EM425" s="166"/>
    </row>
    <row r="426" spans="1:143">
      <c r="A426" s="686" t="s">
        <v>29</v>
      </c>
      <c r="B426" s="161">
        <v>38</v>
      </c>
      <c r="C426" s="18">
        <v>40</v>
      </c>
      <c r="D426" s="18">
        <v>120</v>
      </c>
      <c r="E426" s="18">
        <v>121</v>
      </c>
      <c r="F426" s="18">
        <v>124</v>
      </c>
      <c r="G426" s="18">
        <v>124</v>
      </c>
      <c r="H426" s="18">
        <v>521</v>
      </c>
      <c r="I426" s="18">
        <v>713</v>
      </c>
      <c r="J426" s="992"/>
      <c r="K426" s="452"/>
      <c r="L426" s="165">
        <v>60</v>
      </c>
      <c r="M426" s="19">
        <v>64</v>
      </c>
      <c r="N426" s="19">
        <v>108</v>
      </c>
      <c r="O426" s="19">
        <v>108</v>
      </c>
      <c r="P426" s="19">
        <v>119</v>
      </c>
      <c r="Q426" s="19">
        <v>119</v>
      </c>
      <c r="R426" s="19">
        <v>422</v>
      </c>
      <c r="S426" s="966">
        <v>608</v>
      </c>
      <c r="T426" s="992"/>
      <c r="U426" s="452"/>
      <c r="V426" s="659">
        <v>45</v>
      </c>
      <c r="W426" s="18">
        <v>45</v>
      </c>
      <c r="X426" s="18">
        <v>84</v>
      </c>
      <c r="Y426" s="18">
        <v>84</v>
      </c>
      <c r="Z426" s="18">
        <v>91</v>
      </c>
      <c r="AA426" s="18">
        <v>91</v>
      </c>
      <c r="AB426" s="18">
        <v>327</v>
      </c>
      <c r="AC426" s="972">
        <v>457</v>
      </c>
      <c r="AD426" s="992"/>
      <c r="AE426" s="452"/>
      <c r="AF426" s="2096"/>
      <c r="AG426" s="2076"/>
      <c r="AH426" s="2076"/>
      <c r="AI426" s="2076"/>
      <c r="AJ426" s="2076"/>
      <c r="AK426" s="2077"/>
      <c r="AL426" s="19">
        <v>330</v>
      </c>
      <c r="AM426" s="19">
        <v>330</v>
      </c>
      <c r="AN426" s="2072">
        <v>5237</v>
      </c>
      <c r="AO426" s="2073">
        <v>5267</v>
      </c>
      <c r="AP426" s="422"/>
      <c r="AQ426" s="423"/>
      <c r="AR426" s="423"/>
      <c r="AS426" s="423"/>
      <c r="AT426" s="423"/>
      <c r="AU426" s="423"/>
      <c r="AV426" s="423"/>
      <c r="AW426" s="2111"/>
      <c r="AX426" s="2109">
        <v>175</v>
      </c>
      <c r="AY426" s="2109">
        <v>175</v>
      </c>
      <c r="AZ426" s="2109">
        <v>2250</v>
      </c>
      <c r="BA426" s="2132">
        <v>2279</v>
      </c>
      <c r="BB426" s="422"/>
      <c r="BC426" s="423"/>
      <c r="BD426" s="423"/>
      <c r="BE426" s="423"/>
      <c r="BF426" s="423"/>
      <c r="BG426" s="423"/>
      <c r="BH426" s="423"/>
      <c r="BI426" s="423"/>
      <c r="BJ426" s="19">
        <v>483</v>
      </c>
      <c r="BK426" s="19">
        <v>486</v>
      </c>
      <c r="BL426" s="19">
        <v>5958</v>
      </c>
      <c r="BM426" s="2117">
        <v>6067</v>
      </c>
      <c r="BN426" s="422"/>
      <c r="BO426" s="423"/>
      <c r="BP426" s="423"/>
      <c r="BQ426" s="423"/>
      <c r="BR426" s="423"/>
      <c r="BS426" s="423"/>
      <c r="BT426" s="423"/>
      <c r="BU426" s="962"/>
      <c r="BV426" s="18">
        <v>0</v>
      </c>
      <c r="BW426" s="18">
        <v>0</v>
      </c>
      <c r="BX426" s="18">
        <v>6016</v>
      </c>
      <c r="BY426" s="2118">
        <v>6188</v>
      </c>
      <c r="BZ426" s="422"/>
      <c r="CA426" s="423"/>
      <c r="CB426" s="423"/>
      <c r="CC426" s="423"/>
      <c r="CD426" s="423"/>
      <c r="CE426" s="423"/>
      <c r="CF426" s="423"/>
      <c r="CG426" s="962"/>
      <c r="CH426" s="966">
        <v>353</v>
      </c>
      <c r="CI426" s="966">
        <v>355</v>
      </c>
      <c r="CJ426" s="19">
        <v>5739</v>
      </c>
      <c r="CK426" s="2122">
        <v>5866</v>
      </c>
      <c r="CL426" s="2130"/>
      <c r="CM426" s="2127"/>
      <c r="CN426" s="2127"/>
      <c r="CO426" s="2127"/>
      <c r="CP426" s="2127"/>
      <c r="CQ426" s="2127"/>
      <c r="CR426" s="2127"/>
      <c r="CS426" s="2128"/>
      <c r="CT426" s="167">
        <v>415</v>
      </c>
      <c r="CU426" s="167">
        <v>418</v>
      </c>
      <c r="CV426" s="167">
        <v>5725</v>
      </c>
      <c r="CW426" s="2123">
        <v>5892</v>
      </c>
      <c r="CX426" s="422"/>
      <c r="CY426" s="423"/>
      <c r="CZ426" s="423"/>
      <c r="DA426" s="423"/>
      <c r="DB426" s="423"/>
      <c r="DC426" s="423"/>
      <c r="DD426" s="2127"/>
      <c r="DE426" s="2128"/>
      <c r="DF426" s="169">
        <v>286</v>
      </c>
      <c r="DG426" s="169">
        <v>290</v>
      </c>
      <c r="DH426" s="169">
        <v>3651</v>
      </c>
      <c r="DI426" s="2124">
        <v>3730</v>
      </c>
      <c r="DJ426" s="422"/>
      <c r="DK426" s="423"/>
      <c r="DL426" s="423"/>
      <c r="DM426" s="423"/>
      <c r="DN426" s="423"/>
      <c r="DO426" s="423"/>
      <c r="DP426" s="2137"/>
      <c r="DQ426" s="2138"/>
      <c r="DR426" s="1320">
        <v>370</v>
      </c>
      <c r="DS426" s="1320">
        <v>372</v>
      </c>
      <c r="DT426" s="158">
        <v>5658</v>
      </c>
      <c r="DU426" s="1320">
        <v>5805</v>
      </c>
      <c r="DV426" s="422"/>
      <c r="DW426" s="423"/>
      <c r="DX426" s="423"/>
      <c r="DY426" s="423"/>
      <c r="DZ426" s="423"/>
      <c r="EA426" s="423"/>
      <c r="EB426" s="423"/>
      <c r="EC426" s="962"/>
      <c r="ED426" s="19"/>
      <c r="EE426" s="19"/>
      <c r="EF426" s="160"/>
      <c r="EG426" s="2117"/>
      <c r="EH426" s="166"/>
      <c r="EI426" s="166"/>
      <c r="EJ426" s="166"/>
      <c r="EK426" s="166"/>
      <c r="EL426" s="166"/>
      <c r="EM426" s="166"/>
    </row>
    <row r="427" spans="1:143" s="23" customFormat="1">
      <c r="A427" s="686" t="s">
        <v>84</v>
      </c>
      <c r="B427" s="161">
        <v>7</v>
      </c>
      <c r="C427" s="18">
        <v>7</v>
      </c>
      <c r="D427" s="18">
        <v>57</v>
      </c>
      <c r="E427" s="18">
        <v>57</v>
      </c>
      <c r="F427" s="18">
        <v>52</v>
      </c>
      <c r="G427" s="18">
        <v>52</v>
      </c>
      <c r="H427" s="18">
        <v>127</v>
      </c>
      <c r="I427" s="18">
        <v>157</v>
      </c>
      <c r="J427" s="992"/>
      <c r="K427" s="452"/>
      <c r="L427" s="165">
        <v>4</v>
      </c>
      <c r="M427" s="19">
        <v>4</v>
      </c>
      <c r="N427" s="19">
        <v>31</v>
      </c>
      <c r="O427" s="19">
        <v>31</v>
      </c>
      <c r="P427" s="19">
        <v>35</v>
      </c>
      <c r="Q427" s="19">
        <v>35</v>
      </c>
      <c r="R427" s="19">
        <v>108</v>
      </c>
      <c r="S427" s="966">
        <v>135</v>
      </c>
      <c r="T427" s="992"/>
      <c r="U427" s="452"/>
      <c r="V427" s="659">
        <v>5</v>
      </c>
      <c r="W427" s="18">
        <v>5</v>
      </c>
      <c r="X427" s="18">
        <v>34</v>
      </c>
      <c r="Y427" s="18">
        <v>34</v>
      </c>
      <c r="Z427" s="18">
        <v>43</v>
      </c>
      <c r="AA427" s="18">
        <v>43</v>
      </c>
      <c r="AB427" s="18">
        <v>118</v>
      </c>
      <c r="AC427" s="972">
        <v>137</v>
      </c>
      <c r="AD427" s="992"/>
      <c r="AE427" s="452"/>
      <c r="AF427" s="2096"/>
      <c r="AG427" s="2076"/>
      <c r="AH427" s="2076"/>
      <c r="AI427" s="2076"/>
      <c r="AJ427" s="2076"/>
      <c r="AK427" s="2077"/>
      <c r="AL427" s="19">
        <v>108</v>
      </c>
      <c r="AM427" s="19">
        <v>108</v>
      </c>
      <c r="AN427" s="2072">
        <v>2111</v>
      </c>
      <c r="AO427" s="2071">
        <v>2114</v>
      </c>
      <c r="AP427" s="422"/>
      <c r="AQ427" s="423"/>
      <c r="AR427" s="423"/>
      <c r="AS427" s="423"/>
      <c r="AT427" s="423"/>
      <c r="AU427" s="423"/>
      <c r="AV427" s="423"/>
      <c r="AW427" s="2111"/>
      <c r="AX427" s="2109">
        <v>29</v>
      </c>
      <c r="AY427" s="2109">
        <v>29</v>
      </c>
      <c r="AZ427" s="2109">
        <v>568</v>
      </c>
      <c r="BA427" s="2132">
        <v>575</v>
      </c>
      <c r="BB427" s="422"/>
      <c r="BC427" s="423"/>
      <c r="BD427" s="423"/>
      <c r="BE427" s="423"/>
      <c r="BF427" s="423"/>
      <c r="BG427" s="423"/>
      <c r="BH427" s="423"/>
      <c r="BI427" s="423"/>
      <c r="BJ427" s="19">
        <v>127</v>
      </c>
      <c r="BK427" s="19">
        <v>129</v>
      </c>
      <c r="BL427" s="19">
        <v>2274</v>
      </c>
      <c r="BM427" s="2117">
        <v>2298</v>
      </c>
      <c r="BN427" s="422"/>
      <c r="BO427" s="423"/>
      <c r="BP427" s="423"/>
      <c r="BQ427" s="423"/>
      <c r="BR427" s="423"/>
      <c r="BS427" s="423"/>
      <c r="BT427" s="423"/>
      <c r="BU427" s="962"/>
      <c r="BV427" s="18">
        <v>0</v>
      </c>
      <c r="BW427" s="18">
        <v>0</v>
      </c>
      <c r="BX427" s="18">
        <v>2334</v>
      </c>
      <c r="BY427" s="2118">
        <v>2352</v>
      </c>
      <c r="BZ427" s="2134"/>
      <c r="CA427" s="424"/>
      <c r="CB427" s="424"/>
      <c r="CC427" s="424"/>
      <c r="CD427" s="424"/>
      <c r="CE427" s="424"/>
      <c r="CF427" s="424"/>
      <c r="CG427" s="1319"/>
      <c r="CH427" s="2672">
        <v>108</v>
      </c>
      <c r="CI427" s="2672">
        <v>109</v>
      </c>
      <c r="CJ427" s="169">
        <v>2344</v>
      </c>
      <c r="CK427" s="2673">
        <v>2369</v>
      </c>
      <c r="CL427" s="2130"/>
      <c r="CM427" s="2127"/>
      <c r="CN427" s="2127"/>
      <c r="CO427" s="2127"/>
      <c r="CP427" s="2127"/>
      <c r="CQ427" s="2127"/>
      <c r="CR427" s="2127"/>
      <c r="CS427" s="2128"/>
      <c r="CT427" s="167">
        <v>94</v>
      </c>
      <c r="CU427" s="167">
        <v>95</v>
      </c>
      <c r="CV427" s="167">
        <v>2036</v>
      </c>
      <c r="CW427" s="2123">
        <v>2043</v>
      </c>
      <c r="CX427" s="422"/>
      <c r="CY427" s="423"/>
      <c r="CZ427" s="423"/>
      <c r="DA427" s="423"/>
      <c r="DB427" s="423"/>
      <c r="DC427" s="423"/>
      <c r="DD427" s="2127"/>
      <c r="DE427" s="2128"/>
      <c r="DF427" s="169">
        <v>91</v>
      </c>
      <c r="DG427" s="169">
        <v>94</v>
      </c>
      <c r="DH427" s="169">
        <v>1782</v>
      </c>
      <c r="DI427" s="2124">
        <v>1785</v>
      </c>
      <c r="DJ427" s="422"/>
      <c r="DK427" s="423"/>
      <c r="DL427" s="423"/>
      <c r="DM427" s="423"/>
      <c r="DN427" s="423"/>
      <c r="DO427" s="423"/>
      <c r="DP427" s="423"/>
      <c r="DQ427" s="962"/>
      <c r="DR427" s="972">
        <v>128</v>
      </c>
      <c r="DS427" s="972">
        <v>128</v>
      </c>
      <c r="DT427" s="18">
        <v>2303</v>
      </c>
      <c r="DU427" s="972">
        <v>2312</v>
      </c>
      <c r="DV427" s="422"/>
      <c r="DW427" s="423"/>
      <c r="DX427" s="423"/>
      <c r="DY427" s="423"/>
      <c r="DZ427" s="423"/>
      <c r="EA427" s="423"/>
      <c r="EB427" s="423"/>
      <c r="EC427" s="962"/>
      <c r="ED427" s="19"/>
      <c r="EE427" s="19"/>
      <c r="EF427" s="160"/>
      <c r="EG427" s="2117"/>
      <c r="EH427" s="166"/>
      <c r="EI427" s="166"/>
      <c r="EJ427" s="166"/>
      <c r="EK427" s="166"/>
      <c r="EL427" s="166"/>
      <c r="EM427" s="166"/>
    </row>
    <row r="428" spans="1:143">
      <c r="A428" s="686" t="s">
        <v>28</v>
      </c>
      <c r="B428" s="161">
        <v>49</v>
      </c>
      <c r="C428" s="18">
        <v>54</v>
      </c>
      <c r="D428" s="18">
        <v>150</v>
      </c>
      <c r="E428" s="18">
        <v>153</v>
      </c>
      <c r="F428" s="18">
        <v>92</v>
      </c>
      <c r="G428" s="18">
        <v>92</v>
      </c>
      <c r="H428" s="18">
        <v>251</v>
      </c>
      <c r="I428" s="18">
        <v>305</v>
      </c>
      <c r="J428" s="992"/>
      <c r="K428" s="452"/>
      <c r="L428" s="165">
        <v>43</v>
      </c>
      <c r="M428" s="19">
        <v>50</v>
      </c>
      <c r="N428" s="19">
        <v>140</v>
      </c>
      <c r="O428" s="19">
        <v>140</v>
      </c>
      <c r="P428" s="19">
        <v>83</v>
      </c>
      <c r="Q428" s="19">
        <v>83</v>
      </c>
      <c r="R428" s="19">
        <v>243</v>
      </c>
      <c r="S428" s="966">
        <v>344</v>
      </c>
      <c r="T428" s="992"/>
      <c r="U428" s="452"/>
      <c r="V428" s="659">
        <v>30</v>
      </c>
      <c r="W428" s="18">
        <v>32</v>
      </c>
      <c r="X428" s="18">
        <v>100</v>
      </c>
      <c r="Y428" s="18">
        <v>100</v>
      </c>
      <c r="Z428" s="18">
        <v>63</v>
      </c>
      <c r="AA428" s="18">
        <v>63</v>
      </c>
      <c r="AB428" s="18">
        <v>183</v>
      </c>
      <c r="AC428" s="972">
        <v>255</v>
      </c>
      <c r="AD428" s="992"/>
      <c r="AE428" s="452"/>
      <c r="AF428" s="2096"/>
      <c r="AG428" s="2076"/>
      <c r="AH428" s="2076"/>
      <c r="AI428" s="2076"/>
      <c r="AJ428" s="2076"/>
      <c r="AK428" s="2077"/>
      <c r="AL428" s="19">
        <v>189</v>
      </c>
      <c r="AM428" s="2069">
        <v>189</v>
      </c>
      <c r="AN428" s="2072">
        <v>4363</v>
      </c>
      <c r="AO428" s="2078">
        <v>4373</v>
      </c>
      <c r="AP428" s="422"/>
      <c r="AQ428" s="423"/>
      <c r="AR428" s="423"/>
      <c r="AS428" s="423"/>
      <c r="AT428" s="423"/>
      <c r="AU428" s="423"/>
      <c r="AV428" s="423"/>
      <c r="AW428" s="2111"/>
      <c r="AX428" s="2109">
        <v>89</v>
      </c>
      <c r="AY428" s="2109">
        <v>90</v>
      </c>
      <c r="AZ428" s="2109">
        <v>1843</v>
      </c>
      <c r="BA428" s="2132">
        <v>1856</v>
      </c>
      <c r="BB428" s="422"/>
      <c r="BC428" s="423"/>
      <c r="BD428" s="423"/>
      <c r="BE428" s="423"/>
      <c r="BF428" s="423"/>
      <c r="BG428" s="423"/>
      <c r="BH428" s="423"/>
      <c r="BI428" s="423"/>
      <c r="BJ428" s="19">
        <v>269</v>
      </c>
      <c r="BK428" s="19">
        <v>269</v>
      </c>
      <c r="BL428" s="19">
        <v>4980</v>
      </c>
      <c r="BM428" s="2117">
        <v>5012</v>
      </c>
      <c r="BN428" s="422"/>
      <c r="BO428" s="423"/>
      <c r="BP428" s="423"/>
      <c r="BQ428" s="423"/>
      <c r="BR428" s="423"/>
      <c r="BS428" s="423"/>
      <c r="BT428" s="423"/>
      <c r="BU428" s="962"/>
      <c r="BV428" s="18">
        <v>0</v>
      </c>
      <c r="BW428" s="18">
        <v>0</v>
      </c>
      <c r="BX428" s="18">
        <v>5163</v>
      </c>
      <c r="BY428" s="2118">
        <v>5212</v>
      </c>
      <c r="BZ428" s="422"/>
      <c r="CA428" s="423"/>
      <c r="CB428" s="423"/>
      <c r="CC428" s="423"/>
      <c r="CD428" s="423"/>
      <c r="CE428" s="423"/>
      <c r="CF428" s="423"/>
      <c r="CG428" s="962"/>
      <c r="CH428" s="966">
        <v>272</v>
      </c>
      <c r="CI428" s="966">
        <v>273</v>
      </c>
      <c r="CJ428" s="19">
        <v>5031</v>
      </c>
      <c r="CK428" s="2122">
        <v>5077</v>
      </c>
      <c r="CL428" s="2130"/>
      <c r="CM428" s="2127"/>
      <c r="CN428" s="2127"/>
      <c r="CO428" s="2127"/>
      <c r="CP428" s="2127"/>
      <c r="CQ428" s="2127"/>
      <c r="CR428" s="2127"/>
      <c r="CS428" s="2128"/>
      <c r="CT428" s="167">
        <v>283</v>
      </c>
      <c r="CU428" s="167">
        <v>287</v>
      </c>
      <c r="CV428" s="167">
        <v>4964</v>
      </c>
      <c r="CW428" s="2123">
        <v>5003</v>
      </c>
      <c r="CX428" s="422"/>
      <c r="CY428" s="423"/>
      <c r="CZ428" s="423"/>
      <c r="DA428" s="423"/>
      <c r="DB428" s="423"/>
      <c r="DC428" s="423"/>
      <c r="DD428" s="2127"/>
      <c r="DE428" s="2128"/>
      <c r="DF428" s="169">
        <v>225</v>
      </c>
      <c r="DG428" s="169">
        <v>227</v>
      </c>
      <c r="DH428" s="169">
        <v>4968</v>
      </c>
      <c r="DI428" s="2124">
        <v>4990</v>
      </c>
      <c r="DJ428" s="422"/>
      <c r="DK428" s="423"/>
      <c r="DL428" s="423"/>
      <c r="DM428" s="423"/>
      <c r="DN428" s="423"/>
      <c r="DO428" s="423"/>
      <c r="DP428" s="423"/>
      <c r="DQ428" s="962"/>
      <c r="DR428" s="972">
        <v>230</v>
      </c>
      <c r="DS428" s="972">
        <v>231</v>
      </c>
      <c r="DT428" s="18">
        <v>4526</v>
      </c>
      <c r="DU428" s="972">
        <v>4541</v>
      </c>
      <c r="DV428" s="422"/>
      <c r="DW428" s="423"/>
      <c r="DX428" s="423"/>
      <c r="DY428" s="423"/>
      <c r="DZ428" s="423"/>
      <c r="EA428" s="423"/>
      <c r="EB428" s="423"/>
      <c r="EC428" s="962"/>
      <c r="ED428" s="19"/>
      <c r="EE428" s="19"/>
      <c r="EF428" s="160"/>
      <c r="EG428" s="2117"/>
      <c r="EH428" s="166"/>
      <c r="EI428" s="166"/>
      <c r="EJ428" s="166"/>
      <c r="EK428" s="166"/>
      <c r="EL428" s="166"/>
      <c r="EM428" s="166"/>
    </row>
    <row r="429" spans="1:143">
      <c r="A429" s="686" t="s">
        <v>30</v>
      </c>
      <c r="B429" s="161">
        <v>23</v>
      </c>
      <c r="C429" s="18">
        <v>24</v>
      </c>
      <c r="D429" s="18">
        <v>76</v>
      </c>
      <c r="E429" s="18">
        <v>76</v>
      </c>
      <c r="F429" s="18">
        <v>32</v>
      </c>
      <c r="G429" s="18">
        <v>32</v>
      </c>
      <c r="H429" s="18">
        <v>111</v>
      </c>
      <c r="I429" s="18">
        <v>175</v>
      </c>
      <c r="J429" s="992"/>
      <c r="K429" s="452"/>
      <c r="L429" s="165">
        <v>20</v>
      </c>
      <c r="M429" s="19">
        <v>21</v>
      </c>
      <c r="N429" s="19">
        <v>75</v>
      </c>
      <c r="O429" s="19">
        <v>75</v>
      </c>
      <c r="P429" s="19">
        <v>19</v>
      </c>
      <c r="Q429" s="19">
        <v>20</v>
      </c>
      <c r="R429" s="19">
        <v>110</v>
      </c>
      <c r="S429" s="966">
        <v>162</v>
      </c>
      <c r="T429" s="992"/>
      <c r="U429" s="452"/>
      <c r="V429" s="659">
        <v>15</v>
      </c>
      <c r="W429" s="18">
        <v>16</v>
      </c>
      <c r="X429" s="18">
        <v>55</v>
      </c>
      <c r="Y429" s="18">
        <v>55</v>
      </c>
      <c r="Z429" s="18">
        <v>30</v>
      </c>
      <c r="AA429" s="18">
        <v>30</v>
      </c>
      <c r="AB429" s="18">
        <v>91</v>
      </c>
      <c r="AC429" s="972">
        <v>148</v>
      </c>
      <c r="AD429" s="992"/>
      <c r="AE429" s="452"/>
      <c r="AF429" s="2096"/>
      <c r="AG429" s="2076"/>
      <c r="AH429" s="2076"/>
      <c r="AI429" s="2076"/>
      <c r="AJ429" s="2076"/>
      <c r="AK429" s="2077"/>
      <c r="AL429" s="19">
        <v>125</v>
      </c>
      <c r="AM429" s="966">
        <v>125</v>
      </c>
      <c r="AN429" s="2072">
        <v>1818</v>
      </c>
      <c r="AO429" s="2071">
        <v>1832</v>
      </c>
      <c r="AP429" s="422"/>
      <c r="AQ429" s="423"/>
      <c r="AR429" s="423"/>
      <c r="AS429" s="423"/>
      <c r="AT429" s="423"/>
      <c r="AU429" s="423"/>
      <c r="AV429" s="423"/>
      <c r="AW429" s="2111"/>
      <c r="AX429" s="2109">
        <v>42</v>
      </c>
      <c r="AY429" s="2109">
        <v>42</v>
      </c>
      <c r="AZ429" s="2109">
        <v>808</v>
      </c>
      <c r="BA429" s="2132">
        <v>811</v>
      </c>
      <c r="BB429" s="422"/>
      <c r="BC429" s="423"/>
      <c r="BD429" s="423"/>
      <c r="BE429" s="423"/>
      <c r="BF429" s="423"/>
      <c r="BG429" s="423"/>
      <c r="BH429" s="423"/>
      <c r="BI429" s="423"/>
      <c r="BJ429" s="19">
        <v>192</v>
      </c>
      <c r="BK429" s="19">
        <v>193</v>
      </c>
      <c r="BL429" s="19">
        <v>3103</v>
      </c>
      <c r="BM429" s="2117">
        <v>3134</v>
      </c>
      <c r="BN429" s="422"/>
      <c r="BO429" s="423"/>
      <c r="BP429" s="423"/>
      <c r="BQ429" s="423"/>
      <c r="BR429" s="423"/>
      <c r="BS429" s="423"/>
      <c r="BT429" s="423"/>
      <c r="BU429" s="962"/>
      <c r="BV429" s="18">
        <v>0</v>
      </c>
      <c r="BW429" s="18">
        <v>0</v>
      </c>
      <c r="BX429" s="18">
        <v>3384</v>
      </c>
      <c r="BY429" s="2118">
        <v>3409</v>
      </c>
      <c r="BZ429" s="422"/>
      <c r="CA429" s="423"/>
      <c r="CB429" s="423"/>
      <c r="CC429" s="423"/>
      <c r="CD429" s="423"/>
      <c r="CE429" s="423"/>
      <c r="CF429" s="423"/>
      <c r="CG429" s="962"/>
      <c r="CH429" s="966">
        <v>210</v>
      </c>
      <c r="CI429" s="966">
        <v>210</v>
      </c>
      <c r="CJ429" s="19">
        <v>3247</v>
      </c>
      <c r="CK429" s="2122">
        <v>3288</v>
      </c>
      <c r="CL429" s="2130"/>
      <c r="CM429" s="2127"/>
      <c r="CN429" s="2127"/>
      <c r="CO429" s="2127"/>
      <c r="CP429" s="2127"/>
      <c r="CQ429" s="2127"/>
      <c r="CR429" s="2127"/>
      <c r="CS429" s="2128"/>
      <c r="CT429" s="167">
        <v>211</v>
      </c>
      <c r="CU429" s="167">
        <v>212</v>
      </c>
      <c r="CV429" s="167">
        <v>2984</v>
      </c>
      <c r="CW429" s="2123">
        <v>3032</v>
      </c>
      <c r="CX429" s="422"/>
      <c r="CY429" s="423"/>
      <c r="CZ429" s="423"/>
      <c r="DA429" s="423"/>
      <c r="DB429" s="423"/>
      <c r="DC429" s="423"/>
      <c r="DD429" s="2127"/>
      <c r="DE429" s="2128"/>
      <c r="DF429" s="169">
        <v>149</v>
      </c>
      <c r="DG429" s="169">
        <v>149</v>
      </c>
      <c r="DH429" s="169">
        <v>3099</v>
      </c>
      <c r="DI429" s="2124">
        <v>3118</v>
      </c>
      <c r="DJ429" s="422"/>
      <c r="DK429" s="423"/>
      <c r="DL429" s="423"/>
      <c r="DM429" s="423"/>
      <c r="DN429" s="423"/>
      <c r="DO429" s="423"/>
      <c r="DP429" s="423"/>
      <c r="DQ429" s="962"/>
      <c r="DR429" s="972">
        <v>132</v>
      </c>
      <c r="DS429" s="972">
        <v>134</v>
      </c>
      <c r="DT429" s="18">
        <v>2918</v>
      </c>
      <c r="DU429" s="972">
        <v>2937</v>
      </c>
      <c r="DV429" s="422"/>
      <c r="DW429" s="423"/>
      <c r="DX429" s="423"/>
      <c r="DY429" s="423"/>
      <c r="DZ429" s="423"/>
      <c r="EA429" s="423"/>
      <c r="EB429" s="423"/>
      <c r="EC429" s="962"/>
      <c r="ED429" s="19"/>
      <c r="EE429" s="19"/>
      <c r="EF429" s="160"/>
      <c r="EG429" s="2117"/>
      <c r="EH429" s="166"/>
      <c r="EI429" s="166"/>
      <c r="EJ429" s="166"/>
      <c r="EK429" s="166"/>
      <c r="EL429" s="166"/>
      <c r="EM429" s="166"/>
    </row>
    <row r="430" spans="1:143">
      <c r="A430" s="686" t="s">
        <v>31</v>
      </c>
      <c r="B430" s="161">
        <v>10</v>
      </c>
      <c r="C430" s="18">
        <v>10</v>
      </c>
      <c r="D430" s="18">
        <v>38</v>
      </c>
      <c r="E430" s="18">
        <v>38</v>
      </c>
      <c r="F430" s="18">
        <v>24</v>
      </c>
      <c r="G430" s="18">
        <v>24</v>
      </c>
      <c r="H430" s="18">
        <v>64</v>
      </c>
      <c r="I430" s="18">
        <v>109</v>
      </c>
      <c r="J430" s="992"/>
      <c r="K430" s="452"/>
      <c r="L430" s="165">
        <v>7</v>
      </c>
      <c r="M430" s="19">
        <v>8</v>
      </c>
      <c r="N430" s="19">
        <v>39</v>
      </c>
      <c r="O430" s="19">
        <v>39</v>
      </c>
      <c r="P430" s="19">
        <v>12</v>
      </c>
      <c r="Q430" s="19">
        <v>12</v>
      </c>
      <c r="R430" s="19">
        <v>61</v>
      </c>
      <c r="S430" s="966">
        <v>88</v>
      </c>
      <c r="T430" s="992"/>
      <c r="U430" s="452"/>
      <c r="V430" s="659">
        <v>9</v>
      </c>
      <c r="W430" s="18">
        <v>10</v>
      </c>
      <c r="X430" s="18">
        <v>61</v>
      </c>
      <c r="Y430" s="18">
        <v>61</v>
      </c>
      <c r="Z430" s="18">
        <v>23</v>
      </c>
      <c r="AA430" s="18">
        <v>23</v>
      </c>
      <c r="AB430" s="18">
        <v>80</v>
      </c>
      <c r="AC430" s="972">
        <v>156</v>
      </c>
      <c r="AD430" s="992"/>
      <c r="AE430" s="452"/>
      <c r="AF430" s="2096"/>
      <c r="AG430" s="2076"/>
      <c r="AH430" s="2076"/>
      <c r="AI430" s="2076"/>
      <c r="AJ430" s="2076"/>
      <c r="AK430" s="2077"/>
      <c r="AL430" s="19">
        <v>78</v>
      </c>
      <c r="AM430" s="966">
        <v>78</v>
      </c>
      <c r="AN430" s="2072">
        <v>1244</v>
      </c>
      <c r="AO430" s="2071">
        <v>1248</v>
      </c>
      <c r="AP430" s="422"/>
      <c r="AQ430" s="423"/>
      <c r="AR430" s="423"/>
      <c r="AS430" s="423"/>
      <c r="AT430" s="423"/>
      <c r="AU430" s="423"/>
      <c r="AV430" s="423"/>
      <c r="AW430" s="2111"/>
      <c r="AX430" s="2109">
        <v>54</v>
      </c>
      <c r="AY430" s="2109">
        <v>54</v>
      </c>
      <c r="AZ430" s="2109">
        <v>636</v>
      </c>
      <c r="BA430" s="2132">
        <v>655</v>
      </c>
      <c r="BB430" s="422"/>
      <c r="BC430" s="423"/>
      <c r="BD430" s="423"/>
      <c r="BE430" s="423"/>
      <c r="BF430" s="423"/>
      <c r="BG430" s="423"/>
      <c r="BH430" s="423"/>
      <c r="BI430" s="423"/>
      <c r="BJ430" s="19">
        <v>120</v>
      </c>
      <c r="BK430" s="19">
        <v>121</v>
      </c>
      <c r="BL430" s="19">
        <v>1587</v>
      </c>
      <c r="BM430" s="2117">
        <v>1607</v>
      </c>
      <c r="BN430" s="422"/>
      <c r="BO430" s="423"/>
      <c r="BP430" s="423"/>
      <c r="BQ430" s="423"/>
      <c r="BR430" s="423"/>
      <c r="BS430" s="423"/>
      <c r="BT430" s="423"/>
      <c r="BU430" s="962"/>
      <c r="BV430" s="18">
        <v>0</v>
      </c>
      <c r="BW430" s="18">
        <v>0</v>
      </c>
      <c r="BX430" s="18">
        <v>1788</v>
      </c>
      <c r="BY430" s="2118">
        <v>1791</v>
      </c>
      <c r="BZ430" s="2134"/>
      <c r="CA430" s="424"/>
      <c r="CB430" s="424"/>
      <c r="CC430" s="424"/>
      <c r="CD430" s="424"/>
      <c r="CE430" s="424"/>
      <c r="CF430" s="424"/>
      <c r="CG430" s="1319"/>
      <c r="CH430" s="2672">
        <v>118</v>
      </c>
      <c r="CI430" s="2672">
        <v>119</v>
      </c>
      <c r="CJ430" s="169">
        <v>1793</v>
      </c>
      <c r="CK430" s="2673">
        <v>1801</v>
      </c>
      <c r="CL430" s="2130"/>
      <c r="CM430" s="2127"/>
      <c r="CN430" s="2127"/>
      <c r="CO430" s="2127"/>
      <c r="CP430" s="2127"/>
      <c r="CQ430" s="2127"/>
      <c r="CR430" s="2127"/>
      <c r="CS430" s="2128"/>
      <c r="CT430" s="167">
        <v>108</v>
      </c>
      <c r="CU430" s="167">
        <v>110</v>
      </c>
      <c r="CV430" s="167">
        <v>1699</v>
      </c>
      <c r="CW430" s="2123">
        <v>1709</v>
      </c>
      <c r="CX430" s="422"/>
      <c r="CY430" s="423"/>
      <c r="CZ430" s="423"/>
      <c r="DA430" s="423"/>
      <c r="DB430" s="423"/>
      <c r="DC430" s="423"/>
      <c r="DD430" s="2127"/>
      <c r="DE430" s="2128"/>
      <c r="DF430" s="169">
        <v>96</v>
      </c>
      <c r="DG430" s="169">
        <v>100</v>
      </c>
      <c r="DH430" s="169">
        <v>1552</v>
      </c>
      <c r="DI430" s="2124">
        <v>1561</v>
      </c>
      <c r="DJ430" s="422"/>
      <c r="DK430" s="423"/>
      <c r="DL430" s="423"/>
      <c r="DM430" s="423"/>
      <c r="DN430" s="423"/>
      <c r="DO430" s="423"/>
      <c r="DP430" s="423"/>
      <c r="DQ430" s="962"/>
      <c r="DR430" s="972">
        <v>94</v>
      </c>
      <c r="DS430" s="972">
        <v>94</v>
      </c>
      <c r="DT430" s="18">
        <v>1779</v>
      </c>
      <c r="DU430" s="972">
        <v>1792</v>
      </c>
      <c r="DV430" s="422"/>
      <c r="DW430" s="423"/>
      <c r="DX430" s="423"/>
      <c r="DY430" s="423"/>
      <c r="DZ430" s="423"/>
      <c r="EA430" s="423"/>
      <c r="EB430" s="423"/>
      <c r="EC430" s="962"/>
      <c r="ED430" s="19"/>
      <c r="EE430" s="19"/>
      <c r="EF430" s="160"/>
      <c r="EG430" s="2117"/>
      <c r="EH430" s="166"/>
      <c r="EI430" s="166"/>
      <c r="EJ430" s="166"/>
      <c r="EK430" s="166"/>
      <c r="EL430" s="166"/>
      <c r="EM430" s="166"/>
    </row>
    <row r="431" spans="1:143">
      <c r="A431" s="686" t="s">
        <v>511</v>
      </c>
      <c r="B431" s="419"/>
      <c r="C431" s="420"/>
      <c r="D431" s="420"/>
      <c r="E431" s="420"/>
      <c r="F431" s="420"/>
      <c r="G431" s="420"/>
      <c r="H431" s="420"/>
      <c r="I431" s="420"/>
      <c r="J431" s="423"/>
      <c r="K431" s="452"/>
      <c r="L431" s="419"/>
      <c r="M431" s="420"/>
      <c r="N431" s="420"/>
      <c r="O431" s="420"/>
      <c r="P431" s="420"/>
      <c r="Q431" s="420"/>
      <c r="R431" s="420"/>
      <c r="S431" s="420"/>
      <c r="T431" s="423"/>
      <c r="U431" s="423"/>
      <c r="V431" s="420"/>
      <c r="W431" s="420"/>
      <c r="X431" s="420"/>
      <c r="Y431" s="420"/>
      <c r="Z431" s="420"/>
      <c r="AA431" s="420"/>
      <c r="AB431" s="420"/>
      <c r="AC431" s="420"/>
      <c r="AD431" s="423"/>
      <c r="AE431" s="452"/>
      <c r="AF431" s="422"/>
      <c r="AG431" s="423"/>
      <c r="AH431" s="423"/>
      <c r="AI431" s="423"/>
      <c r="AJ431" s="423"/>
      <c r="AK431" s="423"/>
      <c r="AL431" s="420"/>
      <c r="AM431" s="420"/>
      <c r="AN431" s="423"/>
      <c r="AO431" s="452"/>
      <c r="AP431" s="422"/>
      <c r="AQ431" s="423"/>
      <c r="AR431" s="423"/>
      <c r="AS431" s="423"/>
      <c r="AT431" s="423"/>
      <c r="AU431" s="423"/>
      <c r="AV431" s="423"/>
      <c r="AW431" s="423"/>
      <c r="AX431" s="2112"/>
      <c r="AY431" s="2112"/>
      <c r="AZ431" s="2112"/>
      <c r="BA431" s="2112"/>
      <c r="BB431" s="422"/>
      <c r="BC431" s="423"/>
      <c r="BD431" s="423"/>
      <c r="BE431" s="423"/>
      <c r="BF431" s="423"/>
      <c r="BG431" s="423"/>
      <c r="BH431" s="423"/>
      <c r="BI431" s="423"/>
      <c r="BJ431" s="423"/>
      <c r="BK431" s="423"/>
      <c r="BL431" s="423"/>
      <c r="BM431" s="452"/>
      <c r="BN431" s="422"/>
      <c r="BO431" s="423"/>
      <c r="BP431" s="423"/>
      <c r="BQ431" s="423"/>
      <c r="BR431" s="423"/>
      <c r="BS431" s="423"/>
      <c r="BT431" s="423"/>
      <c r="BU431" s="423"/>
      <c r="BV431" s="423"/>
      <c r="BW431" s="423"/>
      <c r="BX431" s="423"/>
      <c r="BY431" s="452"/>
      <c r="BZ431" s="422"/>
      <c r="CA431" s="423"/>
      <c r="CB431" s="423"/>
      <c r="CC431" s="423"/>
      <c r="CD431" s="423"/>
      <c r="CE431" s="423"/>
      <c r="CF431" s="423"/>
      <c r="CG431" s="423"/>
      <c r="CH431" s="423"/>
      <c r="CI431" s="423"/>
      <c r="CJ431" s="423"/>
      <c r="CK431" s="423"/>
      <c r="CL431" s="422"/>
      <c r="CM431" s="423"/>
      <c r="CN431" s="423"/>
      <c r="CO431" s="423"/>
      <c r="CP431" s="423"/>
      <c r="CQ431" s="423"/>
      <c r="CR431" s="423"/>
      <c r="CS431" s="423"/>
      <c r="CT431" s="423"/>
      <c r="CU431" s="423"/>
      <c r="CV431" s="423"/>
      <c r="CW431" s="423"/>
      <c r="CX431" s="422"/>
      <c r="CY431" s="423"/>
      <c r="CZ431" s="423"/>
      <c r="DA431" s="423"/>
      <c r="DB431" s="423"/>
      <c r="DC431" s="423"/>
      <c r="DD431" s="424"/>
      <c r="DE431" s="424"/>
      <c r="DF431" s="424"/>
      <c r="DG431" s="424"/>
      <c r="DH431" s="424"/>
      <c r="DI431" s="1318"/>
      <c r="DJ431" s="423"/>
      <c r="DK431" s="423"/>
      <c r="DL431" s="423"/>
      <c r="DM431" s="423"/>
      <c r="DN431" s="423"/>
      <c r="DO431" s="423"/>
      <c r="DP431" s="423"/>
      <c r="DQ431" s="423"/>
      <c r="DR431" s="423"/>
      <c r="DS431" s="423"/>
      <c r="DT431" s="423"/>
      <c r="DU431" s="423"/>
      <c r="DV431" s="422"/>
      <c r="DW431" s="423"/>
      <c r="DX431" s="423"/>
      <c r="DY431" s="423"/>
      <c r="DZ431" s="423"/>
      <c r="EA431" s="423"/>
      <c r="EB431" s="423"/>
      <c r="EC431" s="423"/>
      <c r="ED431" s="420"/>
      <c r="EE431" s="420"/>
      <c r="EF431" s="421"/>
      <c r="EG431" s="451"/>
      <c r="EH431" s="166"/>
      <c r="EI431" s="166"/>
      <c r="EJ431" s="166"/>
      <c r="EK431" s="166"/>
      <c r="EL431" s="166"/>
      <c r="EM431" s="166"/>
    </row>
    <row r="432" spans="1:143" s="23" customFormat="1">
      <c r="A432" s="686" t="s">
        <v>81</v>
      </c>
      <c r="B432" s="422"/>
      <c r="C432" s="423"/>
      <c r="D432" s="423"/>
      <c r="E432" s="423"/>
      <c r="F432" s="423"/>
      <c r="G432" s="423"/>
      <c r="H432" s="423"/>
      <c r="I432" s="423"/>
      <c r="J432" s="423"/>
      <c r="K432" s="452"/>
      <c r="L432" s="422"/>
      <c r="M432" s="423"/>
      <c r="N432" s="423"/>
      <c r="O432" s="423"/>
      <c r="P432" s="423"/>
      <c r="Q432" s="423"/>
      <c r="R432" s="423"/>
      <c r="S432" s="423"/>
      <c r="T432" s="423"/>
      <c r="U432" s="423"/>
      <c r="V432" s="423"/>
      <c r="W432" s="423"/>
      <c r="X432" s="423"/>
      <c r="Y432" s="423"/>
      <c r="Z432" s="423"/>
      <c r="AA432" s="423"/>
      <c r="AB432" s="423"/>
      <c r="AC432" s="423"/>
      <c r="AD432" s="423"/>
      <c r="AE432" s="452"/>
      <c r="AF432" s="422"/>
      <c r="AG432" s="423"/>
      <c r="AH432" s="423"/>
      <c r="AI432" s="423"/>
      <c r="AJ432" s="423"/>
      <c r="AK432" s="423"/>
      <c r="AL432" s="423"/>
      <c r="AM432" s="423"/>
      <c r="AN432" s="423"/>
      <c r="AO432" s="452"/>
      <c r="AP432" s="423"/>
      <c r="AQ432" s="423"/>
      <c r="AR432" s="423"/>
      <c r="AS432" s="423"/>
      <c r="AT432" s="423"/>
      <c r="AU432" s="423"/>
      <c r="AV432" s="423"/>
      <c r="AW432" s="423"/>
      <c r="AX432" s="423"/>
      <c r="AY432" s="423"/>
      <c r="AZ432" s="423"/>
      <c r="BA432" s="423"/>
      <c r="BB432" s="422"/>
      <c r="BC432" s="423"/>
      <c r="BD432" s="423"/>
      <c r="BE432" s="423"/>
      <c r="BF432" s="423"/>
      <c r="BG432" s="423"/>
      <c r="BH432" s="423"/>
      <c r="BI432" s="423"/>
      <c r="BJ432" s="423"/>
      <c r="BK432" s="423"/>
      <c r="BL432" s="423"/>
      <c r="BM432" s="452"/>
      <c r="BN432" s="422"/>
      <c r="BO432" s="423"/>
      <c r="BP432" s="423"/>
      <c r="BQ432" s="423"/>
      <c r="BR432" s="423"/>
      <c r="BS432" s="423"/>
      <c r="BT432" s="423"/>
      <c r="BU432" s="423"/>
      <c r="BV432" s="423"/>
      <c r="BW432" s="423"/>
      <c r="BX432" s="423"/>
      <c r="BY432" s="452"/>
      <c r="BZ432" s="422"/>
      <c r="CA432" s="423"/>
      <c r="CB432" s="423"/>
      <c r="CC432" s="423"/>
      <c r="CD432" s="423"/>
      <c r="CE432" s="423"/>
      <c r="CF432" s="423"/>
      <c r="CG432" s="423"/>
      <c r="CH432" s="423"/>
      <c r="CI432" s="423"/>
      <c r="CJ432" s="423"/>
      <c r="CK432" s="423"/>
      <c r="CL432" s="422"/>
      <c r="CM432" s="423"/>
      <c r="CN432" s="423"/>
      <c r="CO432" s="423"/>
      <c r="CP432" s="423"/>
      <c r="CQ432" s="423"/>
      <c r="CR432" s="423"/>
      <c r="CS432" s="423"/>
      <c r="CT432" s="423"/>
      <c r="CU432" s="423"/>
      <c r="CV432" s="423"/>
      <c r="CW432" s="423"/>
      <c r="CX432" s="422"/>
      <c r="CY432" s="423"/>
      <c r="CZ432" s="423"/>
      <c r="DA432" s="423"/>
      <c r="DB432" s="423"/>
      <c r="DC432" s="423"/>
      <c r="DD432" s="424"/>
      <c r="DE432" s="424"/>
      <c r="DF432" s="424"/>
      <c r="DG432" s="424"/>
      <c r="DH432" s="424"/>
      <c r="DI432" s="1318"/>
      <c r="DJ432" s="423"/>
      <c r="DK432" s="423"/>
      <c r="DL432" s="423"/>
      <c r="DM432" s="423"/>
      <c r="DN432" s="423"/>
      <c r="DO432" s="423"/>
      <c r="DP432" s="423"/>
      <c r="DQ432" s="423"/>
      <c r="DR432" s="423"/>
      <c r="DS432" s="423"/>
      <c r="DT432" s="423"/>
      <c r="DU432" s="423"/>
      <c r="DV432" s="422"/>
      <c r="DW432" s="423"/>
      <c r="DX432" s="423"/>
      <c r="DY432" s="423"/>
      <c r="DZ432" s="423"/>
      <c r="EA432" s="423"/>
      <c r="EB432" s="423"/>
      <c r="EC432" s="423"/>
      <c r="ED432" s="423"/>
      <c r="EE432" s="423"/>
      <c r="EF432" s="424"/>
      <c r="EG432" s="452"/>
      <c r="EH432" s="166"/>
      <c r="EI432" s="166"/>
      <c r="EJ432" s="166"/>
      <c r="EK432" s="166"/>
      <c r="EL432" s="166"/>
      <c r="EM432" s="166"/>
    </row>
    <row r="433" spans="1:149" s="23" customFormat="1">
      <c r="A433" s="686" t="s">
        <v>9</v>
      </c>
      <c r="B433" s="422"/>
      <c r="C433" s="423"/>
      <c r="D433" s="423"/>
      <c r="E433" s="423"/>
      <c r="F433" s="423"/>
      <c r="G433" s="423"/>
      <c r="H433" s="423"/>
      <c r="I433" s="423"/>
      <c r="J433" s="423"/>
      <c r="K433" s="452"/>
      <c r="L433" s="422"/>
      <c r="M433" s="423"/>
      <c r="N433" s="423"/>
      <c r="O433" s="423"/>
      <c r="P433" s="423"/>
      <c r="Q433" s="423"/>
      <c r="R433" s="423"/>
      <c r="S433" s="423"/>
      <c r="T433" s="423"/>
      <c r="U433" s="423"/>
      <c r="V433" s="423"/>
      <c r="W433" s="423"/>
      <c r="X433" s="423"/>
      <c r="Y433" s="423"/>
      <c r="Z433" s="423"/>
      <c r="AA433" s="423"/>
      <c r="AB433" s="423"/>
      <c r="AC433" s="423"/>
      <c r="AD433" s="423"/>
      <c r="AE433" s="452"/>
      <c r="AF433" s="422"/>
      <c r="AG433" s="423"/>
      <c r="AH433" s="423"/>
      <c r="AI433" s="423"/>
      <c r="AJ433" s="423"/>
      <c r="AK433" s="423"/>
      <c r="AL433" s="423"/>
      <c r="AM433" s="423"/>
      <c r="AN433" s="423"/>
      <c r="AO433" s="452"/>
      <c r="AP433" s="423"/>
      <c r="AQ433" s="423"/>
      <c r="AR433" s="423"/>
      <c r="AS433" s="423"/>
      <c r="AT433" s="423"/>
      <c r="AU433" s="423"/>
      <c r="AV433" s="423"/>
      <c r="AW433" s="423"/>
      <c r="AX433" s="423"/>
      <c r="AY433" s="423"/>
      <c r="AZ433" s="423"/>
      <c r="BA433" s="423"/>
      <c r="BB433" s="422"/>
      <c r="BC433" s="423"/>
      <c r="BD433" s="423"/>
      <c r="BE433" s="423"/>
      <c r="BF433" s="423"/>
      <c r="BG433" s="423"/>
      <c r="BH433" s="423"/>
      <c r="BI433" s="423"/>
      <c r="BJ433" s="423"/>
      <c r="BK433" s="423"/>
      <c r="BL433" s="423"/>
      <c r="BM433" s="452"/>
      <c r="BN433" s="422"/>
      <c r="BO433" s="423"/>
      <c r="BP433" s="423"/>
      <c r="BQ433" s="423"/>
      <c r="BR433" s="423"/>
      <c r="BS433" s="423"/>
      <c r="BT433" s="423"/>
      <c r="BU433" s="423"/>
      <c r="BV433" s="423"/>
      <c r="BW433" s="423"/>
      <c r="BX433" s="423"/>
      <c r="BY433" s="962"/>
      <c r="BZ433" s="992"/>
      <c r="CA433" s="423"/>
      <c r="CB433" s="423"/>
      <c r="CC433" s="423"/>
      <c r="CD433" s="423"/>
      <c r="CE433" s="423"/>
      <c r="CF433" s="423"/>
      <c r="CG433" s="423"/>
      <c r="CH433" s="423"/>
      <c r="CI433" s="423"/>
      <c r="CJ433" s="423"/>
      <c r="CK433" s="423"/>
      <c r="CL433" s="422"/>
      <c r="CM433" s="423"/>
      <c r="CN433" s="423"/>
      <c r="CO433" s="423"/>
      <c r="CP433" s="423"/>
      <c r="CQ433" s="423"/>
      <c r="CR433" s="423"/>
      <c r="CS433" s="423"/>
      <c r="CT433" s="423"/>
      <c r="CU433" s="423"/>
      <c r="CV433" s="423"/>
      <c r="CW433" s="423"/>
      <c r="CX433" s="422"/>
      <c r="CY433" s="423"/>
      <c r="CZ433" s="423"/>
      <c r="DA433" s="423"/>
      <c r="DB433" s="423"/>
      <c r="DC433" s="423"/>
      <c r="DD433" s="424"/>
      <c r="DE433" s="424"/>
      <c r="DF433" s="424"/>
      <c r="DG433" s="424"/>
      <c r="DH433" s="424"/>
      <c r="DI433" s="1318"/>
      <c r="DJ433" s="423"/>
      <c r="DK433" s="423"/>
      <c r="DL433" s="423"/>
      <c r="DM433" s="423"/>
      <c r="DN433" s="423"/>
      <c r="DO433" s="423"/>
      <c r="DP433" s="423"/>
      <c r="DQ433" s="423"/>
      <c r="DR433" s="423"/>
      <c r="DS433" s="423"/>
      <c r="DT433" s="423"/>
      <c r="DU433" s="423"/>
      <c r="DV433" s="422"/>
      <c r="DW433" s="423"/>
      <c r="DX433" s="423"/>
      <c r="DY433" s="423"/>
      <c r="DZ433" s="423"/>
      <c r="EA433" s="423"/>
      <c r="EB433" s="423"/>
      <c r="EC433" s="423"/>
      <c r="ED433" s="423"/>
      <c r="EE433" s="423"/>
      <c r="EF433" s="424"/>
      <c r="EG433" s="452"/>
      <c r="EH433" s="166"/>
      <c r="EI433" s="166"/>
      <c r="EJ433" s="166"/>
      <c r="EK433" s="166"/>
      <c r="EL433" s="166"/>
      <c r="EM433" s="166"/>
    </row>
    <row r="434" spans="1:149" s="23" customFormat="1">
      <c r="A434" s="686" t="s">
        <v>41</v>
      </c>
      <c r="B434" s="422"/>
      <c r="C434" s="423"/>
      <c r="D434" s="423"/>
      <c r="E434" s="423"/>
      <c r="F434" s="423"/>
      <c r="G434" s="423"/>
      <c r="H434" s="423"/>
      <c r="I434" s="423"/>
      <c r="J434" s="423"/>
      <c r="K434" s="452"/>
      <c r="L434" s="422"/>
      <c r="M434" s="423"/>
      <c r="N434" s="423"/>
      <c r="O434" s="423"/>
      <c r="P434" s="423"/>
      <c r="Q434" s="423"/>
      <c r="R434" s="423"/>
      <c r="S434" s="423"/>
      <c r="T434" s="423"/>
      <c r="U434" s="423"/>
      <c r="V434" s="423"/>
      <c r="W434" s="423"/>
      <c r="X434" s="423"/>
      <c r="Y434" s="423"/>
      <c r="Z434" s="423"/>
      <c r="AA434" s="423"/>
      <c r="AB434" s="423"/>
      <c r="AC434" s="423"/>
      <c r="AD434" s="423"/>
      <c r="AE434" s="452"/>
      <c r="AF434" s="422"/>
      <c r="AG434" s="423"/>
      <c r="AH434" s="423"/>
      <c r="AI434" s="423"/>
      <c r="AJ434" s="423"/>
      <c r="AK434" s="423"/>
      <c r="AL434" s="423"/>
      <c r="AM434" s="423"/>
      <c r="AN434" s="423"/>
      <c r="AO434" s="452"/>
      <c r="AP434" s="423"/>
      <c r="AQ434" s="423"/>
      <c r="AR434" s="423"/>
      <c r="AS434" s="423"/>
      <c r="AT434" s="423"/>
      <c r="AU434" s="423"/>
      <c r="AV434" s="423"/>
      <c r="AW434" s="423"/>
      <c r="AX434" s="423"/>
      <c r="AY434" s="423"/>
      <c r="AZ434" s="423"/>
      <c r="BA434" s="423"/>
      <c r="BB434" s="422"/>
      <c r="BC434" s="423"/>
      <c r="BD434" s="423"/>
      <c r="BE434" s="423"/>
      <c r="BF434" s="423"/>
      <c r="BG434" s="423"/>
      <c r="BH434" s="423"/>
      <c r="BI434" s="423"/>
      <c r="BJ434" s="423"/>
      <c r="BK434" s="423"/>
      <c r="BL434" s="423"/>
      <c r="BM434" s="452"/>
      <c r="BN434" s="422"/>
      <c r="BO434" s="423"/>
      <c r="BP434" s="423"/>
      <c r="BQ434" s="423"/>
      <c r="BR434" s="423"/>
      <c r="BS434" s="423"/>
      <c r="BT434" s="423"/>
      <c r="BU434" s="423"/>
      <c r="BV434" s="423"/>
      <c r="BW434" s="423"/>
      <c r="BX434" s="423"/>
      <c r="BY434" s="962"/>
      <c r="BZ434" s="992"/>
      <c r="CA434" s="423"/>
      <c r="CB434" s="423"/>
      <c r="CC434" s="423"/>
      <c r="CD434" s="423"/>
      <c r="CE434" s="423"/>
      <c r="CF434" s="423"/>
      <c r="CG434" s="423"/>
      <c r="CH434" s="423"/>
      <c r="CI434" s="423"/>
      <c r="CJ434" s="423"/>
      <c r="CK434" s="423"/>
      <c r="CL434" s="422"/>
      <c r="CM434" s="423"/>
      <c r="CN434" s="423"/>
      <c r="CO434" s="423"/>
      <c r="CP434" s="423"/>
      <c r="CQ434" s="423"/>
      <c r="CR434" s="423"/>
      <c r="CS434" s="423"/>
      <c r="CT434" s="423"/>
      <c r="CU434" s="423"/>
      <c r="CV434" s="423"/>
      <c r="CW434" s="423"/>
      <c r="CX434" s="422"/>
      <c r="CY434" s="423"/>
      <c r="CZ434" s="423"/>
      <c r="DA434" s="423"/>
      <c r="DB434" s="423"/>
      <c r="DC434" s="423"/>
      <c r="DD434" s="424"/>
      <c r="DE434" s="424"/>
      <c r="DF434" s="424"/>
      <c r="DG434" s="424"/>
      <c r="DH434" s="424"/>
      <c r="DI434" s="1318"/>
      <c r="DJ434" s="423"/>
      <c r="DK434" s="423"/>
      <c r="DL434" s="423"/>
      <c r="DM434" s="423"/>
      <c r="DN434" s="423"/>
      <c r="DO434" s="423"/>
      <c r="DP434" s="423"/>
      <c r="DQ434" s="423"/>
      <c r="DR434" s="423"/>
      <c r="DS434" s="423"/>
      <c r="DT434" s="423"/>
      <c r="DU434" s="423"/>
      <c r="DV434" s="422"/>
      <c r="DW434" s="423"/>
      <c r="DX434" s="423"/>
      <c r="DY434" s="423"/>
      <c r="DZ434" s="423"/>
      <c r="EA434" s="423"/>
      <c r="EB434" s="423"/>
      <c r="EC434" s="423"/>
      <c r="ED434" s="423"/>
      <c r="EE434" s="423"/>
      <c r="EF434" s="424"/>
      <c r="EG434" s="452"/>
      <c r="EH434" s="166"/>
      <c r="EI434" s="166"/>
      <c r="EJ434" s="166"/>
      <c r="EK434" s="166"/>
      <c r="EL434" s="166"/>
      <c r="EM434" s="166"/>
    </row>
    <row r="435" spans="1:149" s="23" customFormat="1">
      <c r="A435" s="686" t="s">
        <v>378</v>
      </c>
      <c r="B435" s="422"/>
      <c r="C435" s="423"/>
      <c r="D435" s="423"/>
      <c r="E435" s="423"/>
      <c r="F435" s="423"/>
      <c r="G435" s="423"/>
      <c r="H435" s="423"/>
      <c r="I435" s="423"/>
      <c r="J435" s="423"/>
      <c r="K435" s="452"/>
      <c r="L435" s="422"/>
      <c r="M435" s="423"/>
      <c r="N435" s="423"/>
      <c r="O435" s="423"/>
      <c r="P435" s="423"/>
      <c r="Q435" s="423"/>
      <c r="R435" s="423"/>
      <c r="S435" s="423"/>
      <c r="T435" s="423"/>
      <c r="U435" s="423"/>
      <c r="V435" s="423"/>
      <c r="W435" s="423"/>
      <c r="X435" s="423"/>
      <c r="Y435" s="423"/>
      <c r="Z435" s="423"/>
      <c r="AA435" s="423"/>
      <c r="AB435" s="423"/>
      <c r="AC435" s="423"/>
      <c r="AD435" s="423"/>
      <c r="AE435" s="452"/>
      <c r="AF435" s="422"/>
      <c r="AG435" s="423"/>
      <c r="AH435" s="423"/>
      <c r="AI435" s="423"/>
      <c r="AJ435" s="423"/>
      <c r="AK435" s="423"/>
      <c r="AL435" s="423"/>
      <c r="AM435" s="423"/>
      <c r="AN435" s="423"/>
      <c r="AO435" s="452"/>
      <c r="AP435" s="423"/>
      <c r="AQ435" s="423"/>
      <c r="AR435" s="423"/>
      <c r="AS435" s="423"/>
      <c r="AT435" s="423"/>
      <c r="AU435" s="423"/>
      <c r="AV435" s="423"/>
      <c r="AW435" s="423"/>
      <c r="AX435" s="423"/>
      <c r="AY435" s="423"/>
      <c r="AZ435" s="423"/>
      <c r="BA435" s="423"/>
      <c r="BB435" s="422"/>
      <c r="BC435" s="423"/>
      <c r="BD435" s="423"/>
      <c r="BE435" s="423"/>
      <c r="BF435" s="423"/>
      <c r="BG435" s="423"/>
      <c r="BH435" s="423"/>
      <c r="BI435" s="423"/>
      <c r="BJ435" s="423"/>
      <c r="BK435" s="423"/>
      <c r="BL435" s="423"/>
      <c r="BM435" s="452"/>
      <c r="BN435" s="422"/>
      <c r="BO435" s="423"/>
      <c r="BP435" s="423"/>
      <c r="BQ435" s="423"/>
      <c r="BR435" s="423"/>
      <c r="BS435" s="423"/>
      <c r="BT435" s="423"/>
      <c r="BU435" s="423"/>
      <c r="BV435" s="423"/>
      <c r="BW435" s="423"/>
      <c r="BX435" s="423"/>
      <c r="BY435" s="962"/>
      <c r="BZ435" s="992"/>
      <c r="CA435" s="423"/>
      <c r="CB435" s="423"/>
      <c r="CC435" s="423"/>
      <c r="CD435" s="423"/>
      <c r="CE435" s="423"/>
      <c r="CF435" s="423"/>
      <c r="CG435" s="423"/>
      <c r="CH435" s="423"/>
      <c r="CI435" s="423"/>
      <c r="CJ435" s="423"/>
      <c r="CK435" s="423"/>
      <c r="CL435" s="422"/>
      <c r="CM435" s="423"/>
      <c r="CN435" s="423"/>
      <c r="CO435" s="423"/>
      <c r="CP435" s="423"/>
      <c r="CQ435" s="423"/>
      <c r="CR435" s="423"/>
      <c r="CS435" s="423"/>
      <c r="CT435" s="423"/>
      <c r="CU435" s="423"/>
      <c r="CV435" s="423"/>
      <c r="CW435" s="423"/>
      <c r="CX435" s="422"/>
      <c r="CY435" s="423"/>
      <c r="CZ435" s="423"/>
      <c r="DA435" s="423"/>
      <c r="DB435" s="423"/>
      <c r="DC435" s="423"/>
      <c r="DD435" s="424"/>
      <c r="DE435" s="424"/>
      <c r="DF435" s="424"/>
      <c r="DG435" s="424"/>
      <c r="DH435" s="424"/>
      <c r="DI435" s="1318"/>
      <c r="DJ435" s="423"/>
      <c r="DK435" s="423"/>
      <c r="DL435" s="423"/>
      <c r="DM435" s="423"/>
      <c r="DN435" s="423"/>
      <c r="DO435" s="423"/>
      <c r="DP435" s="423"/>
      <c r="DQ435" s="423"/>
      <c r="DR435" s="423"/>
      <c r="DS435" s="423"/>
      <c r="DT435" s="423"/>
      <c r="DU435" s="423"/>
      <c r="DV435" s="422"/>
      <c r="DW435" s="423"/>
      <c r="DX435" s="423"/>
      <c r="DY435" s="423"/>
      <c r="DZ435" s="423"/>
      <c r="EA435" s="423"/>
      <c r="EB435" s="423"/>
      <c r="EC435" s="423"/>
      <c r="ED435" s="423"/>
      <c r="EE435" s="423"/>
      <c r="EF435" s="424"/>
      <c r="EG435" s="452"/>
      <c r="EH435" s="166"/>
      <c r="EI435" s="166"/>
      <c r="EJ435" s="166"/>
      <c r="EK435" s="166"/>
      <c r="EL435" s="166"/>
      <c r="EM435" s="166"/>
    </row>
    <row r="436" spans="1:149" s="23" customFormat="1">
      <c r="A436" s="686" t="s">
        <v>728</v>
      </c>
      <c r="B436" s="422"/>
      <c r="C436" s="423"/>
      <c r="D436" s="423"/>
      <c r="E436" s="423"/>
      <c r="F436" s="423"/>
      <c r="G436" s="423"/>
      <c r="H436" s="423"/>
      <c r="I436" s="423"/>
      <c r="J436" s="423"/>
      <c r="K436" s="452"/>
      <c r="L436" s="422"/>
      <c r="M436" s="423"/>
      <c r="N436" s="423"/>
      <c r="O436" s="423"/>
      <c r="P436" s="423"/>
      <c r="Q436" s="423"/>
      <c r="R436" s="423"/>
      <c r="S436" s="423"/>
      <c r="T436" s="423"/>
      <c r="U436" s="423"/>
      <c r="V436" s="423"/>
      <c r="W436" s="423"/>
      <c r="X436" s="423"/>
      <c r="Y436" s="423"/>
      <c r="Z436" s="423"/>
      <c r="AA436" s="423"/>
      <c r="AB436" s="423"/>
      <c r="AC436" s="423"/>
      <c r="AD436" s="423"/>
      <c r="AE436" s="452"/>
      <c r="AF436" s="422"/>
      <c r="AG436" s="423"/>
      <c r="AH436" s="423"/>
      <c r="AI436" s="423"/>
      <c r="AJ436" s="423"/>
      <c r="AK436" s="423"/>
      <c r="AL436" s="423"/>
      <c r="AM436" s="423"/>
      <c r="AN436" s="423"/>
      <c r="AO436" s="452"/>
      <c r="AP436" s="423"/>
      <c r="AQ436" s="423"/>
      <c r="AR436" s="423"/>
      <c r="AS436" s="423"/>
      <c r="AT436" s="423"/>
      <c r="AU436" s="423"/>
      <c r="AV436" s="423"/>
      <c r="AW436" s="423"/>
      <c r="AX436" s="423"/>
      <c r="AY436" s="423"/>
      <c r="AZ436" s="423"/>
      <c r="BA436" s="423"/>
      <c r="BB436" s="422"/>
      <c r="BC436" s="423"/>
      <c r="BD436" s="423"/>
      <c r="BE436" s="423"/>
      <c r="BF436" s="423"/>
      <c r="BG436" s="423"/>
      <c r="BH436" s="423"/>
      <c r="BI436" s="423"/>
      <c r="BJ436" s="423"/>
      <c r="BK436" s="423"/>
      <c r="BL436" s="423"/>
      <c r="BM436" s="452"/>
      <c r="BN436" s="422"/>
      <c r="BO436" s="423"/>
      <c r="BP436" s="423"/>
      <c r="BQ436" s="423"/>
      <c r="BR436" s="423"/>
      <c r="BS436" s="423"/>
      <c r="BT436" s="423"/>
      <c r="BU436" s="423"/>
      <c r="BV436" s="423"/>
      <c r="BW436" s="423"/>
      <c r="BX436" s="423"/>
      <c r="BY436" s="962"/>
      <c r="BZ436" s="992"/>
      <c r="CA436" s="423"/>
      <c r="CB436" s="423"/>
      <c r="CC436" s="423"/>
      <c r="CD436" s="423"/>
      <c r="CE436" s="423"/>
      <c r="CF436" s="423"/>
      <c r="CG436" s="423"/>
      <c r="CH436" s="423"/>
      <c r="CI436" s="423"/>
      <c r="CJ436" s="423"/>
      <c r="CK436" s="423"/>
      <c r="CL436" s="422"/>
      <c r="CM436" s="423"/>
      <c r="CN436" s="423"/>
      <c r="CO436" s="423"/>
      <c r="CP436" s="423"/>
      <c r="CQ436" s="423"/>
      <c r="CR436" s="423"/>
      <c r="CS436" s="423"/>
      <c r="CT436" s="423"/>
      <c r="CU436" s="423"/>
      <c r="CV436" s="423"/>
      <c r="CW436" s="423"/>
      <c r="CX436" s="422"/>
      <c r="CY436" s="423"/>
      <c r="CZ436" s="423"/>
      <c r="DA436" s="423"/>
      <c r="DB436" s="423"/>
      <c r="DC436" s="423"/>
      <c r="DD436" s="424"/>
      <c r="DE436" s="424"/>
      <c r="DF436" s="424"/>
      <c r="DG436" s="424"/>
      <c r="DH436" s="424"/>
      <c r="DI436" s="1318"/>
      <c r="DJ436" s="423"/>
      <c r="DK436" s="423"/>
      <c r="DL436" s="423"/>
      <c r="DM436" s="423"/>
      <c r="DN436" s="423"/>
      <c r="DO436" s="423"/>
      <c r="DP436" s="423"/>
      <c r="DQ436" s="423"/>
      <c r="DR436" s="423"/>
      <c r="DS436" s="423"/>
      <c r="DT436" s="423"/>
      <c r="DU436" s="423"/>
      <c r="DV436" s="422"/>
      <c r="DW436" s="423"/>
      <c r="DX436" s="423"/>
      <c r="DY436" s="423"/>
      <c r="DZ436" s="423"/>
      <c r="EA436" s="423"/>
      <c r="EB436" s="423"/>
      <c r="EC436" s="423"/>
      <c r="ED436" s="423"/>
      <c r="EE436" s="423"/>
      <c r="EF436" s="424"/>
      <c r="EG436" s="452"/>
      <c r="EH436" s="166"/>
      <c r="EI436" s="166"/>
      <c r="EJ436" s="166"/>
      <c r="EK436" s="166"/>
      <c r="EL436" s="166"/>
      <c r="EM436" s="166"/>
    </row>
    <row r="437" spans="1:149" s="23" customFormat="1">
      <c r="A437" s="686" t="s">
        <v>376</v>
      </c>
      <c r="B437" s="422"/>
      <c r="C437" s="423"/>
      <c r="D437" s="423"/>
      <c r="E437" s="423"/>
      <c r="F437" s="423"/>
      <c r="G437" s="423"/>
      <c r="H437" s="423"/>
      <c r="I437" s="423"/>
      <c r="J437" s="423"/>
      <c r="K437" s="452"/>
      <c r="L437" s="422"/>
      <c r="M437" s="423"/>
      <c r="N437" s="423"/>
      <c r="O437" s="423"/>
      <c r="P437" s="423"/>
      <c r="Q437" s="423"/>
      <c r="R437" s="423"/>
      <c r="S437" s="423"/>
      <c r="T437" s="423"/>
      <c r="U437" s="423"/>
      <c r="V437" s="423"/>
      <c r="W437" s="423"/>
      <c r="X437" s="423"/>
      <c r="Y437" s="423"/>
      <c r="Z437" s="423"/>
      <c r="AA437" s="423"/>
      <c r="AB437" s="423"/>
      <c r="AC437" s="423"/>
      <c r="AD437" s="423"/>
      <c r="AE437" s="452"/>
      <c r="AF437" s="422"/>
      <c r="AG437" s="423"/>
      <c r="AH437" s="423"/>
      <c r="AI437" s="423"/>
      <c r="AJ437" s="423"/>
      <c r="AK437" s="423"/>
      <c r="AL437" s="423"/>
      <c r="AM437" s="423"/>
      <c r="AN437" s="423"/>
      <c r="AO437" s="452"/>
      <c r="AP437" s="423"/>
      <c r="AQ437" s="423"/>
      <c r="AR437" s="423"/>
      <c r="AS437" s="423"/>
      <c r="AT437" s="423"/>
      <c r="AU437" s="423"/>
      <c r="AV437" s="423"/>
      <c r="AW437" s="423"/>
      <c r="AX437" s="423"/>
      <c r="AY437" s="423"/>
      <c r="AZ437" s="423"/>
      <c r="BA437" s="423"/>
      <c r="BB437" s="422"/>
      <c r="BC437" s="423"/>
      <c r="BD437" s="423"/>
      <c r="BE437" s="423"/>
      <c r="BF437" s="423"/>
      <c r="BG437" s="423"/>
      <c r="BH437" s="423"/>
      <c r="BI437" s="423"/>
      <c r="BJ437" s="423"/>
      <c r="BK437" s="423"/>
      <c r="BL437" s="423"/>
      <c r="BM437" s="452"/>
      <c r="BN437" s="422"/>
      <c r="BO437" s="423"/>
      <c r="BP437" s="423"/>
      <c r="BQ437" s="423"/>
      <c r="BR437" s="423"/>
      <c r="BS437" s="423"/>
      <c r="BT437" s="423"/>
      <c r="BU437" s="423"/>
      <c r="BV437" s="423"/>
      <c r="BW437" s="423"/>
      <c r="BX437" s="423"/>
      <c r="BY437" s="962"/>
      <c r="BZ437" s="992"/>
      <c r="CA437" s="423"/>
      <c r="CB437" s="423"/>
      <c r="CC437" s="423"/>
      <c r="CD437" s="423"/>
      <c r="CE437" s="423"/>
      <c r="CF437" s="423"/>
      <c r="CG437" s="423"/>
      <c r="CH437" s="423"/>
      <c r="CI437" s="423"/>
      <c r="CJ437" s="423"/>
      <c r="CK437" s="423"/>
      <c r="CL437" s="422"/>
      <c r="CM437" s="423"/>
      <c r="CN437" s="423"/>
      <c r="CO437" s="423"/>
      <c r="CP437" s="423"/>
      <c r="CQ437" s="423"/>
      <c r="CR437" s="423"/>
      <c r="CS437" s="423"/>
      <c r="CT437" s="423"/>
      <c r="CU437" s="423"/>
      <c r="CV437" s="423"/>
      <c r="CW437" s="423"/>
      <c r="CX437" s="422"/>
      <c r="CY437" s="423"/>
      <c r="CZ437" s="423"/>
      <c r="DA437" s="423"/>
      <c r="DB437" s="423"/>
      <c r="DC437" s="423"/>
      <c r="DD437" s="424"/>
      <c r="DE437" s="424"/>
      <c r="DF437" s="424"/>
      <c r="DG437" s="424"/>
      <c r="DH437" s="424"/>
      <c r="DI437" s="1318"/>
      <c r="DJ437" s="423"/>
      <c r="DK437" s="423"/>
      <c r="DL437" s="423"/>
      <c r="DM437" s="453"/>
      <c r="DN437" s="423"/>
      <c r="DO437" s="453"/>
      <c r="DP437" s="423"/>
      <c r="DQ437" s="423"/>
      <c r="DR437" s="423"/>
      <c r="DS437" s="423"/>
      <c r="DT437" s="423"/>
      <c r="DU437" s="423"/>
      <c r="DV437" s="422"/>
      <c r="DW437" s="423"/>
      <c r="DX437" s="423"/>
      <c r="DY437" s="423"/>
      <c r="DZ437" s="423"/>
      <c r="EA437" s="423"/>
      <c r="EB437" s="423"/>
      <c r="EC437" s="423"/>
      <c r="ED437" s="423"/>
      <c r="EE437" s="423"/>
      <c r="EF437" s="424"/>
      <c r="EG437" s="452"/>
      <c r="EH437" s="166"/>
      <c r="EI437" s="166"/>
      <c r="EJ437" s="166"/>
      <c r="EK437" s="166"/>
      <c r="EL437" s="166"/>
      <c r="EM437" s="166"/>
    </row>
    <row r="438" spans="1:149" s="23" customFormat="1">
      <c r="A438" s="686" t="s">
        <v>432</v>
      </c>
      <c r="B438" s="422"/>
      <c r="C438" s="423"/>
      <c r="D438" s="423"/>
      <c r="E438" s="423"/>
      <c r="F438" s="423"/>
      <c r="G438" s="423"/>
      <c r="H438" s="423"/>
      <c r="I438" s="423"/>
      <c r="J438" s="423"/>
      <c r="K438" s="452"/>
      <c r="L438" s="422"/>
      <c r="M438" s="423"/>
      <c r="N438" s="423"/>
      <c r="O438" s="423"/>
      <c r="P438" s="423"/>
      <c r="Q438" s="423"/>
      <c r="R438" s="423"/>
      <c r="S438" s="423"/>
      <c r="T438" s="423"/>
      <c r="U438" s="423"/>
      <c r="V438" s="423"/>
      <c r="W438" s="423"/>
      <c r="X438" s="423"/>
      <c r="Y438" s="423"/>
      <c r="Z438" s="423"/>
      <c r="AA438" s="423"/>
      <c r="AB438" s="423"/>
      <c r="AC438" s="423"/>
      <c r="AD438" s="423"/>
      <c r="AE438" s="452"/>
      <c r="AF438" s="422"/>
      <c r="AG438" s="423"/>
      <c r="AH438" s="423"/>
      <c r="AI438" s="423"/>
      <c r="AJ438" s="423"/>
      <c r="AK438" s="423"/>
      <c r="AL438" s="423"/>
      <c r="AM438" s="423"/>
      <c r="AN438" s="423"/>
      <c r="AO438" s="452"/>
      <c r="AP438" s="423"/>
      <c r="AQ438" s="423"/>
      <c r="AR438" s="423"/>
      <c r="AS438" s="423"/>
      <c r="AT438" s="423"/>
      <c r="AU438" s="423"/>
      <c r="AV438" s="423"/>
      <c r="AW438" s="423"/>
      <c r="AX438" s="423"/>
      <c r="AY438" s="423"/>
      <c r="AZ438" s="423"/>
      <c r="BA438" s="423"/>
      <c r="BB438" s="422"/>
      <c r="BC438" s="423"/>
      <c r="BD438" s="423"/>
      <c r="BE438" s="423"/>
      <c r="BF438" s="423"/>
      <c r="BG438" s="423"/>
      <c r="BH438" s="423"/>
      <c r="BI438" s="423"/>
      <c r="BJ438" s="423"/>
      <c r="BK438" s="423"/>
      <c r="BL438" s="423"/>
      <c r="BM438" s="452"/>
      <c r="BN438" s="422"/>
      <c r="BO438" s="423"/>
      <c r="BP438" s="423"/>
      <c r="BQ438" s="423"/>
      <c r="BR438" s="423"/>
      <c r="BS438" s="423"/>
      <c r="BT438" s="423"/>
      <c r="BU438" s="423"/>
      <c r="BV438" s="423"/>
      <c r="BW438" s="423"/>
      <c r="BX438" s="423"/>
      <c r="BY438" s="962"/>
      <c r="BZ438" s="992"/>
      <c r="CA438" s="423"/>
      <c r="CB438" s="423"/>
      <c r="CC438" s="423"/>
      <c r="CD438" s="423"/>
      <c r="CE438" s="423"/>
      <c r="CF438" s="423"/>
      <c r="CG438" s="423"/>
      <c r="CH438" s="423"/>
      <c r="CI438" s="423"/>
      <c r="CJ438" s="423"/>
      <c r="CK438" s="423"/>
      <c r="CL438" s="422"/>
      <c r="CM438" s="423"/>
      <c r="CN438" s="423"/>
      <c r="CO438" s="423"/>
      <c r="CP438" s="423"/>
      <c r="CQ438" s="423"/>
      <c r="CR438" s="423"/>
      <c r="CS438" s="423"/>
      <c r="CT438" s="423"/>
      <c r="CU438" s="423"/>
      <c r="CV438" s="423"/>
      <c r="CW438" s="423"/>
      <c r="CX438" s="422"/>
      <c r="CY438" s="423"/>
      <c r="CZ438" s="423"/>
      <c r="DA438" s="423"/>
      <c r="DB438" s="423"/>
      <c r="DC438" s="423"/>
      <c r="DD438" s="424"/>
      <c r="DE438" s="424"/>
      <c r="DF438" s="424"/>
      <c r="DG438" s="424"/>
      <c r="DH438" s="424"/>
      <c r="DI438" s="1318"/>
      <c r="DJ438" s="423"/>
      <c r="DK438" s="423"/>
      <c r="DL438" s="423"/>
      <c r="DM438" s="423"/>
      <c r="DN438" s="423"/>
      <c r="DO438" s="423"/>
      <c r="DP438" s="423"/>
      <c r="DQ438" s="423"/>
      <c r="DR438" s="423"/>
      <c r="DS438" s="423"/>
      <c r="DT438" s="423"/>
      <c r="DU438" s="423"/>
      <c r="DV438" s="422"/>
      <c r="DW438" s="423"/>
      <c r="DX438" s="423"/>
      <c r="DY438" s="423"/>
      <c r="DZ438" s="423"/>
      <c r="EA438" s="423"/>
      <c r="EB438" s="423"/>
      <c r="EC438" s="423"/>
      <c r="ED438" s="423"/>
      <c r="EE438" s="423"/>
      <c r="EF438" s="424"/>
      <c r="EG438" s="452"/>
      <c r="EH438" s="166"/>
      <c r="EI438" s="166"/>
      <c r="EJ438" s="166"/>
      <c r="EK438" s="166"/>
      <c r="EL438" s="166"/>
      <c r="EM438" s="166"/>
    </row>
    <row r="439" spans="1:149" s="23" customFormat="1">
      <c r="A439" s="686" t="s">
        <v>434</v>
      </c>
      <c r="B439" s="422"/>
      <c r="C439" s="423"/>
      <c r="D439" s="423"/>
      <c r="E439" s="423"/>
      <c r="F439" s="423"/>
      <c r="G439" s="423"/>
      <c r="H439" s="423"/>
      <c r="I439" s="423"/>
      <c r="J439" s="423"/>
      <c r="K439" s="452"/>
      <c r="L439" s="422"/>
      <c r="M439" s="423"/>
      <c r="N439" s="423"/>
      <c r="O439" s="423"/>
      <c r="P439" s="423"/>
      <c r="Q439" s="423"/>
      <c r="R439" s="423"/>
      <c r="S439" s="423"/>
      <c r="T439" s="423"/>
      <c r="U439" s="423"/>
      <c r="V439" s="423"/>
      <c r="W439" s="423"/>
      <c r="X439" s="423"/>
      <c r="Y439" s="423"/>
      <c r="Z439" s="423"/>
      <c r="AA439" s="423"/>
      <c r="AB439" s="423"/>
      <c r="AC439" s="423"/>
      <c r="AD439" s="423"/>
      <c r="AE439" s="452"/>
      <c r="AF439" s="422"/>
      <c r="AG439" s="423"/>
      <c r="AH439" s="423"/>
      <c r="AI439" s="423"/>
      <c r="AJ439" s="423"/>
      <c r="AK439" s="423"/>
      <c r="AL439" s="423"/>
      <c r="AM439" s="423"/>
      <c r="AN439" s="423"/>
      <c r="AO439" s="452"/>
      <c r="AP439" s="423"/>
      <c r="AQ439" s="423"/>
      <c r="AR439" s="423"/>
      <c r="AS439" s="423"/>
      <c r="AT439" s="423"/>
      <c r="AU439" s="423"/>
      <c r="AV439" s="423"/>
      <c r="AW439" s="423"/>
      <c r="AX439" s="423"/>
      <c r="AY439" s="423"/>
      <c r="AZ439" s="423"/>
      <c r="BA439" s="423"/>
      <c r="BB439" s="422"/>
      <c r="BC439" s="423"/>
      <c r="BD439" s="423"/>
      <c r="BE439" s="423"/>
      <c r="BF439" s="423"/>
      <c r="BG439" s="423"/>
      <c r="BH439" s="423"/>
      <c r="BI439" s="423"/>
      <c r="BJ439" s="423"/>
      <c r="BK439" s="423"/>
      <c r="BL439" s="423"/>
      <c r="BM439" s="452"/>
      <c r="BN439" s="422"/>
      <c r="BO439" s="423"/>
      <c r="BP439" s="423"/>
      <c r="BQ439" s="423"/>
      <c r="BR439" s="423"/>
      <c r="BS439" s="423"/>
      <c r="BT439" s="423"/>
      <c r="BU439" s="423"/>
      <c r="BV439" s="423"/>
      <c r="BW439" s="423"/>
      <c r="BX439" s="423"/>
      <c r="BY439" s="962"/>
      <c r="BZ439" s="992"/>
      <c r="CA439" s="423"/>
      <c r="CB439" s="423"/>
      <c r="CC439" s="423"/>
      <c r="CD439" s="423"/>
      <c r="CE439" s="423"/>
      <c r="CF439" s="423"/>
      <c r="CG439" s="423"/>
      <c r="CH439" s="423"/>
      <c r="CI439" s="423"/>
      <c r="CJ439" s="423"/>
      <c r="CK439" s="423"/>
      <c r="CL439" s="422"/>
      <c r="CM439" s="423"/>
      <c r="CN439" s="423"/>
      <c r="CO439" s="423"/>
      <c r="CP439" s="423"/>
      <c r="CQ439" s="423"/>
      <c r="CR439" s="423"/>
      <c r="CS439" s="423"/>
      <c r="CT439" s="423"/>
      <c r="CU439" s="423"/>
      <c r="CV439" s="423"/>
      <c r="CW439" s="423"/>
      <c r="CX439" s="422"/>
      <c r="CY439" s="423"/>
      <c r="CZ439" s="423"/>
      <c r="DA439" s="423"/>
      <c r="DB439" s="423"/>
      <c r="DC439" s="423"/>
      <c r="DD439" s="424"/>
      <c r="DE439" s="424"/>
      <c r="DF439" s="424"/>
      <c r="DG439" s="424"/>
      <c r="DH439" s="424"/>
      <c r="DI439" s="1318"/>
      <c r="DJ439" s="423"/>
      <c r="DK439" s="423"/>
      <c r="DL439" s="423"/>
      <c r="DM439" s="423"/>
      <c r="DN439" s="423"/>
      <c r="DO439" s="423"/>
      <c r="DP439" s="423"/>
      <c r="DQ439" s="423"/>
      <c r="DR439" s="423"/>
      <c r="DS439" s="423"/>
      <c r="DT439" s="423"/>
      <c r="DU439" s="423"/>
      <c r="DV439" s="422"/>
      <c r="DW439" s="423"/>
      <c r="DX439" s="423"/>
      <c r="DY439" s="423"/>
      <c r="DZ439" s="423"/>
      <c r="EA439" s="423"/>
      <c r="EB439" s="423"/>
      <c r="EC439" s="423"/>
      <c r="ED439" s="423"/>
      <c r="EE439" s="423"/>
      <c r="EF439" s="424"/>
      <c r="EG439" s="452"/>
      <c r="EH439" s="166"/>
      <c r="EI439" s="166"/>
      <c r="EJ439" s="166"/>
      <c r="EK439" s="166"/>
      <c r="EL439" s="166"/>
      <c r="EM439" s="166"/>
    </row>
    <row r="440" spans="1:149" s="23" customFormat="1">
      <c r="A440" s="686" t="s">
        <v>433</v>
      </c>
      <c r="B440" s="422"/>
      <c r="C440" s="423"/>
      <c r="D440" s="423"/>
      <c r="E440" s="423"/>
      <c r="F440" s="423"/>
      <c r="G440" s="423"/>
      <c r="H440" s="423"/>
      <c r="I440" s="423"/>
      <c r="J440" s="423"/>
      <c r="K440" s="452"/>
      <c r="L440" s="422"/>
      <c r="M440" s="423"/>
      <c r="N440" s="423"/>
      <c r="O440" s="423"/>
      <c r="P440" s="423"/>
      <c r="Q440" s="423"/>
      <c r="R440" s="423"/>
      <c r="S440" s="423"/>
      <c r="T440" s="423"/>
      <c r="U440" s="423"/>
      <c r="V440" s="423"/>
      <c r="W440" s="423"/>
      <c r="X440" s="423"/>
      <c r="Y440" s="423"/>
      <c r="Z440" s="423"/>
      <c r="AA440" s="423"/>
      <c r="AB440" s="423"/>
      <c r="AC440" s="423"/>
      <c r="AD440" s="423"/>
      <c r="AE440" s="452"/>
      <c r="AF440" s="422"/>
      <c r="AG440" s="423"/>
      <c r="AH440" s="423"/>
      <c r="AI440" s="423"/>
      <c r="AJ440" s="423"/>
      <c r="AK440" s="423"/>
      <c r="AL440" s="423"/>
      <c r="AM440" s="423"/>
      <c r="AN440" s="423"/>
      <c r="AO440" s="452"/>
      <c r="AP440" s="423"/>
      <c r="AQ440" s="423"/>
      <c r="AR440" s="423"/>
      <c r="AS440" s="423"/>
      <c r="AT440" s="423"/>
      <c r="AU440" s="423"/>
      <c r="AV440" s="423"/>
      <c r="AW440" s="423"/>
      <c r="AX440" s="423"/>
      <c r="AY440" s="423"/>
      <c r="AZ440" s="423"/>
      <c r="BA440" s="423"/>
      <c r="BB440" s="422"/>
      <c r="BC440" s="423"/>
      <c r="BD440" s="423"/>
      <c r="BE440" s="423"/>
      <c r="BF440" s="423"/>
      <c r="BG440" s="423"/>
      <c r="BH440" s="423"/>
      <c r="BI440" s="423"/>
      <c r="BJ440" s="423"/>
      <c r="BK440" s="423"/>
      <c r="BL440" s="423"/>
      <c r="BM440" s="452"/>
      <c r="BN440" s="422"/>
      <c r="BO440" s="423"/>
      <c r="BP440" s="423"/>
      <c r="BQ440" s="423"/>
      <c r="BR440" s="423"/>
      <c r="BS440" s="423"/>
      <c r="BT440" s="423"/>
      <c r="BU440" s="423"/>
      <c r="BV440" s="423"/>
      <c r="BW440" s="423"/>
      <c r="BX440" s="423"/>
      <c r="BY440" s="962"/>
      <c r="BZ440" s="992"/>
      <c r="CA440" s="423"/>
      <c r="CB440" s="423"/>
      <c r="CC440" s="423"/>
      <c r="CD440" s="423"/>
      <c r="CE440" s="423"/>
      <c r="CF440" s="423"/>
      <c r="CG440" s="423"/>
      <c r="CH440" s="423"/>
      <c r="CI440" s="423"/>
      <c r="CJ440" s="423"/>
      <c r="CK440" s="452"/>
      <c r="CL440" s="422"/>
      <c r="CM440" s="423"/>
      <c r="CN440" s="423"/>
      <c r="CO440" s="423"/>
      <c r="CP440" s="423"/>
      <c r="CQ440" s="423"/>
      <c r="CR440" s="423"/>
      <c r="CS440" s="423"/>
      <c r="CT440" s="423"/>
      <c r="CU440" s="423"/>
      <c r="CV440" s="423"/>
      <c r="CW440" s="423"/>
      <c r="CX440" s="422"/>
      <c r="CY440" s="423"/>
      <c r="CZ440" s="423"/>
      <c r="DA440" s="423"/>
      <c r="DB440" s="423"/>
      <c r="DC440" s="423"/>
      <c r="DD440" s="424"/>
      <c r="DE440" s="424"/>
      <c r="DF440" s="424"/>
      <c r="DG440" s="424"/>
      <c r="DH440" s="424"/>
      <c r="DI440" s="1318"/>
      <c r="DJ440" s="423"/>
      <c r="DK440" s="423"/>
      <c r="DL440" s="423"/>
      <c r="DM440" s="423"/>
      <c r="DN440" s="423"/>
      <c r="DO440" s="423"/>
      <c r="DP440" s="423"/>
      <c r="DQ440" s="423"/>
      <c r="DR440" s="423"/>
      <c r="DS440" s="423"/>
      <c r="DT440" s="423"/>
      <c r="DU440" s="423"/>
      <c r="DV440" s="422"/>
      <c r="DW440" s="423"/>
      <c r="DX440" s="423"/>
      <c r="DY440" s="423"/>
      <c r="DZ440" s="423"/>
      <c r="EA440" s="423"/>
      <c r="EB440" s="423"/>
      <c r="EC440" s="423"/>
      <c r="ED440" s="423"/>
      <c r="EE440" s="423"/>
      <c r="EF440" s="424"/>
      <c r="EG440" s="452"/>
      <c r="EH440" s="166"/>
      <c r="EI440" s="166"/>
      <c r="EJ440" s="166"/>
      <c r="EK440" s="166"/>
      <c r="EL440" s="166"/>
      <c r="EM440" s="166"/>
    </row>
    <row r="441" spans="1:149" s="23" customFormat="1">
      <c r="A441" s="686" t="s">
        <v>734</v>
      </c>
      <c r="B441" s="422"/>
      <c r="C441" s="423"/>
      <c r="D441" s="423"/>
      <c r="E441" s="423"/>
      <c r="F441" s="423"/>
      <c r="G441" s="423"/>
      <c r="H441" s="423"/>
      <c r="I441" s="962"/>
      <c r="J441" s="955">
        <v>96</v>
      </c>
      <c r="K441" s="958">
        <v>99.3</v>
      </c>
      <c r="L441" s="422"/>
      <c r="M441" s="423"/>
      <c r="N441" s="423"/>
      <c r="O441" s="423"/>
      <c r="P441" s="423"/>
      <c r="Q441" s="423"/>
      <c r="R441" s="423"/>
      <c r="S441" s="962"/>
      <c r="T441" s="956">
        <v>96.1</v>
      </c>
      <c r="U441" s="965">
        <v>99.3</v>
      </c>
      <c r="V441" s="422"/>
      <c r="W441" s="423"/>
      <c r="X441" s="423"/>
      <c r="Y441" s="423"/>
      <c r="Z441" s="423"/>
      <c r="AA441" s="423"/>
      <c r="AB441" s="423"/>
      <c r="AC441" s="962"/>
      <c r="AD441" s="955">
        <v>96.1</v>
      </c>
      <c r="AE441" s="1307">
        <v>99.3</v>
      </c>
      <c r="AF441" s="422"/>
      <c r="AG441" s="423"/>
      <c r="AH441" s="423"/>
      <c r="AI441" s="423"/>
      <c r="AJ441" s="423"/>
      <c r="AK441" s="423"/>
      <c r="AL441" s="423"/>
      <c r="AM441" s="423"/>
      <c r="AN441" s="423"/>
      <c r="AO441" s="452"/>
      <c r="AP441" s="422"/>
      <c r="AQ441" s="423"/>
      <c r="AR441" s="423"/>
      <c r="AS441" s="423"/>
      <c r="AT441" s="423"/>
      <c r="AU441" s="423"/>
      <c r="AV441" s="423"/>
      <c r="AW441" s="423"/>
      <c r="AX441" s="423"/>
      <c r="AY441" s="423"/>
      <c r="AZ441" s="423"/>
      <c r="BA441" s="423"/>
      <c r="BB441" s="422"/>
      <c r="BC441" s="423"/>
      <c r="BD441" s="423"/>
      <c r="BE441" s="423"/>
      <c r="BF441" s="423"/>
      <c r="BG441" s="423"/>
      <c r="BH441" s="423"/>
      <c r="BI441" s="423"/>
      <c r="BJ441" s="423"/>
      <c r="BK441" s="423"/>
      <c r="BL441" s="423"/>
      <c r="BM441" s="452"/>
      <c r="BN441" s="422"/>
      <c r="BO441" s="423"/>
      <c r="BP441" s="423"/>
      <c r="BQ441" s="423"/>
      <c r="BR441" s="423"/>
      <c r="BS441" s="423"/>
      <c r="BT441" s="423"/>
      <c r="BU441" s="423"/>
      <c r="BV441" s="423"/>
      <c r="BW441" s="423"/>
      <c r="BX441" s="423"/>
      <c r="BY441" s="962"/>
      <c r="BZ441" s="992"/>
      <c r="CA441" s="423"/>
      <c r="CB441" s="423"/>
      <c r="CC441" s="423"/>
      <c r="CD441" s="423"/>
      <c r="CE441" s="423"/>
      <c r="CF441" s="423"/>
      <c r="CG441" s="423"/>
      <c r="CH441" s="423"/>
      <c r="CI441" s="423"/>
      <c r="CJ441" s="423"/>
      <c r="CK441" s="452"/>
      <c r="CL441" s="422"/>
      <c r="CM441" s="423"/>
      <c r="CN441" s="423"/>
      <c r="CO441" s="423"/>
      <c r="CP441" s="423"/>
      <c r="CQ441" s="423"/>
      <c r="CR441" s="423"/>
      <c r="CS441" s="423"/>
      <c r="CT441" s="423"/>
      <c r="CU441" s="423"/>
      <c r="CV441" s="423"/>
      <c r="CW441" s="452"/>
      <c r="CX441" s="422"/>
      <c r="CY441" s="423"/>
      <c r="CZ441" s="423"/>
      <c r="DA441" s="423"/>
      <c r="DB441" s="423"/>
      <c r="DC441" s="423"/>
      <c r="DD441" s="424"/>
      <c r="DE441" s="424"/>
      <c r="DF441" s="424"/>
      <c r="DG441" s="424"/>
      <c r="DH441" s="424"/>
      <c r="DI441" s="1318"/>
      <c r="DJ441" s="423"/>
      <c r="DK441" s="423"/>
      <c r="DL441" s="423"/>
      <c r="DM441" s="423"/>
      <c r="DN441" s="423"/>
      <c r="DO441" s="423"/>
      <c r="DP441" s="423"/>
      <c r="DQ441" s="423"/>
      <c r="DR441" s="423"/>
      <c r="DS441" s="423"/>
      <c r="DT441" s="423"/>
      <c r="DU441" s="423"/>
      <c r="DV441" s="422"/>
      <c r="DW441" s="423"/>
      <c r="DX441" s="423"/>
      <c r="DY441" s="423"/>
      <c r="DZ441" s="423"/>
      <c r="EA441" s="423"/>
      <c r="EB441" s="423"/>
      <c r="EC441" s="423"/>
      <c r="ED441" s="423"/>
      <c r="EE441" s="423"/>
      <c r="EF441" s="424"/>
      <c r="EG441" s="452"/>
      <c r="EH441" s="166"/>
      <c r="EI441" s="166"/>
      <c r="EJ441" s="166"/>
      <c r="EK441" s="166"/>
      <c r="EL441" s="166"/>
      <c r="EM441" s="166"/>
    </row>
    <row r="442" spans="1:149">
      <c r="A442" s="688" t="s">
        <v>58</v>
      </c>
      <c r="B442" s="482"/>
      <c r="C442" s="411"/>
      <c r="D442" s="411"/>
      <c r="E442" s="411"/>
      <c r="F442" s="411"/>
      <c r="G442" s="411"/>
      <c r="H442" s="411"/>
      <c r="I442" s="963"/>
      <c r="J442" s="964"/>
      <c r="K442" s="411"/>
      <c r="L442" s="482"/>
      <c r="M442" s="411"/>
      <c r="N442" s="411"/>
      <c r="O442" s="411"/>
      <c r="P442" s="411"/>
      <c r="Q442" s="411"/>
      <c r="R442" s="411"/>
      <c r="S442" s="411"/>
      <c r="T442" s="411"/>
      <c r="U442" s="411"/>
      <c r="V442" s="411"/>
      <c r="W442" s="411"/>
      <c r="X442" s="411"/>
      <c r="Y442" s="411"/>
      <c r="Z442" s="411"/>
      <c r="AA442" s="411"/>
      <c r="AB442" s="411"/>
      <c r="AC442" s="411"/>
      <c r="AD442" s="411"/>
      <c r="AE442" s="450"/>
      <c r="AF442" s="482"/>
      <c r="AG442" s="411"/>
      <c r="AH442" s="411"/>
      <c r="AI442" s="411"/>
      <c r="AJ442" s="411"/>
      <c r="AK442" s="411"/>
      <c r="AL442" s="411"/>
      <c r="AM442" s="411"/>
      <c r="AN442" s="411"/>
      <c r="AO442" s="450"/>
      <c r="AP442" s="411"/>
      <c r="AQ442" s="411"/>
      <c r="AR442" s="411"/>
      <c r="AS442" s="411"/>
      <c r="AT442" s="411"/>
      <c r="AU442" s="411"/>
      <c r="AV442" s="411"/>
      <c r="AW442" s="411"/>
      <c r="AX442" s="2113"/>
      <c r="AY442" s="2113"/>
      <c r="AZ442" s="2113"/>
      <c r="BA442" s="2113"/>
      <c r="BB442" s="482"/>
      <c r="BC442" s="411"/>
      <c r="BD442" s="411"/>
      <c r="BE442" s="411"/>
      <c r="BF442" s="411"/>
      <c r="BG442" s="411"/>
      <c r="BH442" s="411"/>
      <c r="BI442" s="411"/>
      <c r="BJ442" s="411"/>
      <c r="BK442" s="411"/>
      <c r="BL442" s="411"/>
      <c r="BM442" s="450"/>
      <c r="BN442" s="482"/>
      <c r="BO442" s="411"/>
      <c r="BP442" s="411"/>
      <c r="BQ442" s="411"/>
      <c r="BR442" s="411"/>
      <c r="BS442" s="411"/>
      <c r="BT442" s="411"/>
      <c r="BU442" s="411"/>
      <c r="BV442" s="411"/>
      <c r="BW442" s="411"/>
      <c r="BX442" s="411"/>
      <c r="BY442" s="963"/>
      <c r="BZ442" s="1008"/>
      <c r="CA442" s="411"/>
      <c r="CB442" s="411"/>
      <c r="CC442" s="411"/>
      <c r="CD442" s="411"/>
      <c r="CE442" s="411"/>
      <c r="CF442" s="411"/>
      <c r="CG442" s="411"/>
      <c r="CH442" s="411"/>
      <c r="CI442" s="411"/>
      <c r="CJ442" s="411"/>
      <c r="CK442" s="450"/>
      <c r="CL442" s="482"/>
      <c r="CM442" s="411"/>
      <c r="CN442" s="411"/>
      <c r="CO442" s="411"/>
      <c r="CP442" s="411"/>
      <c r="CQ442" s="411"/>
      <c r="CR442" s="411"/>
      <c r="CS442" s="411"/>
      <c r="CT442" s="411"/>
      <c r="CU442" s="411"/>
      <c r="CV442" s="411"/>
      <c r="CW442" s="450"/>
      <c r="CX442" s="482"/>
      <c r="CY442" s="411"/>
      <c r="CZ442" s="411"/>
      <c r="DA442" s="411"/>
      <c r="DB442" s="411"/>
      <c r="DC442" s="411"/>
      <c r="DD442" s="425"/>
      <c r="DE442" s="425"/>
      <c r="DF442" s="425"/>
      <c r="DG442" s="425"/>
      <c r="DH442" s="425"/>
      <c r="DI442" s="1322"/>
      <c r="DJ442" s="411"/>
      <c r="DK442" s="411"/>
      <c r="DL442" s="411"/>
      <c r="DM442" s="411"/>
      <c r="DN442" s="411"/>
      <c r="DO442" s="411"/>
      <c r="DP442" s="411"/>
      <c r="DQ442" s="411"/>
      <c r="DR442" s="411"/>
      <c r="DS442" s="411"/>
      <c r="DT442" s="411"/>
      <c r="DU442" s="411"/>
      <c r="DV442" s="482"/>
      <c r="DW442" s="411"/>
      <c r="DX442" s="411"/>
      <c r="DY442" s="411"/>
      <c r="DZ442" s="411"/>
      <c r="EA442" s="411"/>
      <c r="EB442" s="411"/>
      <c r="EC442" s="411"/>
      <c r="ED442" s="411"/>
      <c r="EE442" s="411"/>
      <c r="EF442" s="425"/>
      <c r="EG442" s="450"/>
      <c r="EH442" s="150"/>
      <c r="EI442" s="150"/>
      <c r="EJ442" s="150"/>
      <c r="EK442" s="150"/>
      <c r="EL442" s="150"/>
      <c r="EM442" s="150"/>
      <c r="EN442" s="23"/>
      <c r="EO442" s="23"/>
      <c r="EP442" s="23"/>
      <c r="EQ442" s="23"/>
      <c r="ER442" s="23"/>
      <c r="ES442" s="23"/>
    </row>
    <row r="443" spans="1:149" ht="15.75" thickBot="1">
      <c r="A443" s="658" t="s">
        <v>32</v>
      </c>
      <c r="B443" s="1310">
        <f>SUM(B425:B430)</f>
        <v>186</v>
      </c>
      <c r="C443" s="1311">
        <f>SUM(C425:C430)</f>
        <v>197</v>
      </c>
      <c r="D443" s="1311">
        <f t="shared" ref="D443:BA443" si="51">SUM(D425:D442)</f>
        <v>592</v>
      </c>
      <c r="E443" s="1311">
        <f t="shared" si="51"/>
        <v>596</v>
      </c>
      <c r="F443" s="1311">
        <f t="shared" si="51"/>
        <v>406</v>
      </c>
      <c r="G443" s="1311">
        <f t="shared" si="51"/>
        <v>409</v>
      </c>
      <c r="H443" s="1311">
        <f t="shared" si="51"/>
        <v>1074</v>
      </c>
      <c r="I443" s="1311">
        <f t="shared" si="51"/>
        <v>1459</v>
      </c>
      <c r="J443" s="1311">
        <f t="shared" si="51"/>
        <v>96</v>
      </c>
      <c r="K443" s="1312">
        <f t="shared" si="51"/>
        <v>99.3</v>
      </c>
      <c r="L443" s="1308">
        <f t="shared" si="51"/>
        <v>206</v>
      </c>
      <c r="M443" s="1309">
        <f t="shared" si="51"/>
        <v>220</v>
      </c>
      <c r="N443" s="1309">
        <f t="shared" si="51"/>
        <v>551</v>
      </c>
      <c r="O443" s="1309">
        <f>SUM(O425:O442)</f>
        <v>551</v>
      </c>
      <c r="P443" s="1309">
        <f>SUM(P425:P442)</f>
        <v>349</v>
      </c>
      <c r="Q443" s="1309">
        <f>SUM(Q425:Q442)</f>
        <v>350</v>
      </c>
      <c r="R443" s="1309">
        <f t="shared" si="51"/>
        <v>944</v>
      </c>
      <c r="S443" s="1313">
        <f t="shared" si="51"/>
        <v>1337</v>
      </c>
      <c r="T443" s="1309">
        <f t="shared" si="51"/>
        <v>96.1</v>
      </c>
      <c r="U443" s="1314">
        <f t="shared" si="51"/>
        <v>99.3</v>
      </c>
      <c r="V443" s="1315">
        <f t="shared" si="51"/>
        <v>171</v>
      </c>
      <c r="W443" s="1311">
        <f t="shared" si="51"/>
        <v>175</v>
      </c>
      <c r="X443" s="1311">
        <f t="shared" si="51"/>
        <v>548</v>
      </c>
      <c r="Y443" s="1311">
        <f t="shared" si="51"/>
        <v>548</v>
      </c>
      <c r="Z443" s="1311">
        <f t="shared" si="51"/>
        <v>358</v>
      </c>
      <c r="AA443" s="1311">
        <f t="shared" si="51"/>
        <v>359</v>
      </c>
      <c r="AB443" s="1311">
        <f t="shared" si="51"/>
        <v>799</v>
      </c>
      <c r="AC443" s="1316">
        <f t="shared" si="51"/>
        <v>1153</v>
      </c>
      <c r="AD443" s="1311">
        <f t="shared" si="51"/>
        <v>96.1</v>
      </c>
      <c r="AE443" s="1312">
        <f t="shared" si="51"/>
        <v>99.3</v>
      </c>
      <c r="AF443" s="1308">
        <f t="shared" si="51"/>
        <v>0</v>
      </c>
      <c r="AG443" s="1309">
        <f t="shared" si="51"/>
        <v>0</v>
      </c>
      <c r="AH443" s="1309">
        <f t="shared" si="51"/>
        <v>0</v>
      </c>
      <c r="AI443" s="1309">
        <f t="shared" si="51"/>
        <v>0</v>
      </c>
      <c r="AJ443" s="1309">
        <f t="shared" si="51"/>
        <v>0</v>
      </c>
      <c r="AK443" s="1309">
        <f t="shared" si="51"/>
        <v>0</v>
      </c>
      <c r="AL443" s="1309">
        <f t="shared" si="51"/>
        <v>1213</v>
      </c>
      <c r="AM443" s="1313">
        <f t="shared" si="51"/>
        <v>1213</v>
      </c>
      <c r="AN443" s="1309">
        <f t="shared" si="51"/>
        <v>21472</v>
      </c>
      <c r="AO443" s="1317">
        <f t="shared" si="51"/>
        <v>21536</v>
      </c>
      <c r="AP443" s="1310">
        <f t="shared" si="51"/>
        <v>0</v>
      </c>
      <c r="AQ443" s="1311">
        <f t="shared" si="51"/>
        <v>0</v>
      </c>
      <c r="AR443" s="1311">
        <f t="shared" si="51"/>
        <v>0</v>
      </c>
      <c r="AS443" s="1311">
        <f t="shared" si="51"/>
        <v>0</v>
      </c>
      <c r="AT443" s="1311">
        <f t="shared" si="51"/>
        <v>0</v>
      </c>
      <c r="AU443" s="1311">
        <f t="shared" si="51"/>
        <v>0</v>
      </c>
      <c r="AV443" s="1311">
        <f t="shared" si="51"/>
        <v>0</v>
      </c>
      <c r="AW443" s="1316">
        <f t="shared" si="51"/>
        <v>0</v>
      </c>
      <c r="AX443" s="2107">
        <f t="shared" si="51"/>
        <v>806</v>
      </c>
      <c r="AY443" s="2107">
        <f t="shared" si="51"/>
        <v>809</v>
      </c>
      <c r="AZ443" s="2107">
        <f t="shared" si="51"/>
        <v>11953</v>
      </c>
      <c r="BA443" s="2108">
        <f t="shared" si="51"/>
        <v>12032</v>
      </c>
      <c r="BB443" s="1308">
        <f t="shared" ref="BB443:BG443" si="52">SUM(AR425:AR442)</f>
        <v>0</v>
      </c>
      <c r="BC443" s="1309">
        <f t="shared" si="52"/>
        <v>0</v>
      </c>
      <c r="BD443" s="1309">
        <f t="shared" si="52"/>
        <v>0</v>
      </c>
      <c r="BE443" s="1309">
        <f t="shared" si="52"/>
        <v>0</v>
      </c>
      <c r="BF443" s="1309">
        <f t="shared" si="52"/>
        <v>0</v>
      </c>
      <c r="BG443" s="1309">
        <f t="shared" si="52"/>
        <v>0</v>
      </c>
      <c r="BH443" s="1309">
        <f>SUM(BB425:BB442)</f>
        <v>0</v>
      </c>
      <c r="BI443" s="1313">
        <f>SUM(BC425:BC442)</f>
        <v>0</v>
      </c>
      <c r="BJ443" s="1313">
        <f>SUM(BJ425:BJ430)</f>
        <v>1713</v>
      </c>
      <c r="BK443" s="1313">
        <f>SUM(BK425:BK430)</f>
        <v>1720</v>
      </c>
      <c r="BL443" s="1313">
        <f>SUM(BL425:BL430)</f>
        <v>24446</v>
      </c>
      <c r="BM443" s="1317">
        <f>SUM(BM425:BM430)</f>
        <v>24677</v>
      </c>
      <c r="BN443" s="162">
        <f t="shared" ref="BN443:BS443" si="53">SUM(BD425:BD442)</f>
        <v>0</v>
      </c>
      <c r="BO443" s="163">
        <f t="shared" si="53"/>
        <v>0</v>
      </c>
      <c r="BP443" s="163">
        <f t="shared" si="53"/>
        <v>0</v>
      </c>
      <c r="BQ443" s="163">
        <f t="shared" si="53"/>
        <v>0</v>
      </c>
      <c r="BR443" s="163">
        <f t="shared" si="53"/>
        <v>0</v>
      </c>
      <c r="BS443" s="163">
        <f t="shared" si="53"/>
        <v>0</v>
      </c>
      <c r="BT443" s="163">
        <f>SUM(BN425:BN442)</f>
        <v>0</v>
      </c>
      <c r="BU443" s="969">
        <f>SUM(BO425:BO442)</f>
        <v>0</v>
      </c>
      <c r="BV443" s="969">
        <f>SUM(BV425:BV442)</f>
        <v>412</v>
      </c>
      <c r="BW443" s="969">
        <f>SUM(BW425:BW442)</f>
        <v>452</v>
      </c>
      <c r="BX443" s="969">
        <f>SUM(BX425:BX442)</f>
        <v>24834</v>
      </c>
      <c r="BY443" s="969">
        <f>SUM(BY425:BY442)</f>
        <v>25130</v>
      </c>
      <c r="BZ443" s="162">
        <f t="shared" ref="BZ443:CE443" si="54">SUM(BP425:BP442)</f>
        <v>0</v>
      </c>
      <c r="CA443" s="163">
        <f t="shared" si="54"/>
        <v>0</v>
      </c>
      <c r="CB443" s="163">
        <f t="shared" si="54"/>
        <v>0</v>
      </c>
      <c r="CC443" s="163">
        <f t="shared" si="54"/>
        <v>0</v>
      </c>
      <c r="CD443" s="163">
        <f t="shared" si="54"/>
        <v>0</v>
      </c>
      <c r="CE443" s="163">
        <f t="shared" si="54"/>
        <v>0</v>
      </c>
      <c r="CF443" s="163">
        <f>SUM(BZ425:BZ442)</f>
        <v>0</v>
      </c>
      <c r="CG443" s="969">
        <f>SUM(CA425:CA442)</f>
        <v>0</v>
      </c>
      <c r="CH443" s="969">
        <f>SUM(CH425:CH442)</f>
        <v>1493</v>
      </c>
      <c r="CI443" s="969">
        <f>SUM(CI425:CI442)</f>
        <v>1501</v>
      </c>
      <c r="CJ443" s="969">
        <f>SUM(CJ425:CJ442)</f>
        <v>24015</v>
      </c>
      <c r="CK443" s="969">
        <f>SUM(CK425:CK442)</f>
        <v>24262</v>
      </c>
      <c r="CL443" s="162">
        <f t="shared" ref="CL443:CQ443" si="55">SUM(CB425:CB442)</f>
        <v>0</v>
      </c>
      <c r="CM443" s="163">
        <f t="shared" si="55"/>
        <v>0</v>
      </c>
      <c r="CN443" s="163">
        <f t="shared" si="55"/>
        <v>0</v>
      </c>
      <c r="CO443" s="163">
        <f t="shared" si="55"/>
        <v>0</v>
      </c>
      <c r="CP443" s="163">
        <f t="shared" si="55"/>
        <v>0</v>
      </c>
      <c r="CQ443" s="163">
        <f t="shared" si="55"/>
        <v>0</v>
      </c>
      <c r="CR443" s="163">
        <f>SUM(CL425:CL442)</f>
        <v>0</v>
      </c>
      <c r="CS443" s="969">
        <f>SUM(CM425:CM442)</f>
        <v>0</v>
      </c>
      <c r="CT443" s="969">
        <f>SUM(CT425:CT430)</f>
        <v>1573</v>
      </c>
      <c r="CU443" s="969">
        <f>SUM(CU425:CU430)</f>
        <v>1585</v>
      </c>
      <c r="CV443" s="163">
        <f>SUM(CV425:CV430)</f>
        <v>23922</v>
      </c>
      <c r="CW443" s="959">
        <f>SUM(CW425:CW430)</f>
        <v>24193</v>
      </c>
      <c r="CX443" s="162">
        <f t="shared" ref="CX443:DC443" si="56">SUM(CN425:CN442)</f>
        <v>0</v>
      </c>
      <c r="CY443" s="163">
        <f t="shared" si="56"/>
        <v>0</v>
      </c>
      <c r="CZ443" s="163">
        <f t="shared" si="56"/>
        <v>0</v>
      </c>
      <c r="DA443" s="163">
        <f t="shared" si="56"/>
        <v>0</v>
      </c>
      <c r="DB443" s="163">
        <f t="shared" si="56"/>
        <v>0</v>
      </c>
      <c r="DC443" s="163">
        <f t="shared" si="56"/>
        <v>0</v>
      </c>
      <c r="DD443" s="163">
        <f>SUM(CX425:CX442)</f>
        <v>0</v>
      </c>
      <c r="DE443" s="969">
        <f>SUM(CY425:CY442)</f>
        <v>0</v>
      </c>
      <c r="DF443" s="969">
        <f>SUM(DF425:DF430)</f>
        <v>1302</v>
      </c>
      <c r="DG443" s="164">
        <f>SUM(DG425:DG430)</f>
        <v>1315</v>
      </c>
      <c r="DH443" s="1315">
        <f>SUM(DH425:DH430)</f>
        <v>21638</v>
      </c>
      <c r="DI443" s="1311">
        <f>SUM(DI425:DI430)</f>
        <v>21773</v>
      </c>
      <c r="DJ443" s="1311">
        <f>SUM(DB425:DB442)</f>
        <v>0</v>
      </c>
      <c r="DK443" s="1311">
        <f>SUM(DC425:DC442)</f>
        <v>0</v>
      </c>
      <c r="DL443" s="1321">
        <f>SUM(DD425:DD442)</f>
        <v>0</v>
      </c>
      <c r="DM443" s="1321">
        <f>SUM(DE425:DE442)</f>
        <v>0</v>
      </c>
      <c r="DN443" s="1311">
        <f>SUM(DJ425:DJ442)</f>
        <v>0</v>
      </c>
      <c r="DO443" s="1316">
        <f>SUM(DK425:DK442)</f>
        <v>0</v>
      </c>
      <c r="DP443" s="1311">
        <v>0</v>
      </c>
      <c r="DQ443" s="1311">
        <v>0</v>
      </c>
      <c r="DR443" s="1311">
        <f>SUM(DR425:DR430)</f>
        <v>1157</v>
      </c>
      <c r="DS443" s="1311">
        <f>SUM(DS425:DS430)</f>
        <v>1162</v>
      </c>
      <c r="DT443" s="1311">
        <f>SUM(DT425:DT430)</f>
        <v>21415</v>
      </c>
      <c r="DU443" s="1316">
        <f>SUM(DU425:DU430)</f>
        <v>21626</v>
      </c>
      <c r="DV443" s="1308">
        <f>SUM(DN425:DN442)</f>
        <v>0</v>
      </c>
      <c r="DW443" s="1309">
        <f>SUM(DO425:DO442)</f>
        <v>0</v>
      </c>
      <c r="DX443" s="1309">
        <f>SUM(DP425:DP442)</f>
        <v>0</v>
      </c>
      <c r="DY443" s="1309">
        <f>SUM(DQ425:DQ442)</f>
        <v>0</v>
      </c>
      <c r="DZ443" s="1309">
        <f t="shared" ref="DZ443:EG443" si="57">SUM(DV425:DV442)</f>
        <v>0</v>
      </c>
      <c r="EA443" s="1309">
        <f t="shared" si="57"/>
        <v>0</v>
      </c>
      <c r="EB443" s="1309">
        <f t="shared" si="57"/>
        <v>0</v>
      </c>
      <c r="EC443" s="1309">
        <f t="shared" si="57"/>
        <v>0</v>
      </c>
      <c r="ED443" s="1309">
        <f t="shared" si="57"/>
        <v>0</v>
      </c>
      <c r="EE443" s="1309">
        <f t="shared" si="57"/>
        <v>0</v>
      </c>
      <c r="EF443" s="1309">
        <f t="shared" si="57"/>
        <v>0</v>
      </c>
      <c r="EG443" s="1309">
        <f t="shared" si="57"/>
        <v>0</v>
      </c>
      <c r="EH443" s="150"/>
      <c r="EI443" s="150"/>
      <c r="EJ443" s="150"/>
      <c r="EK443" s="150"/>
      <c r="EL443" s="150"/>
      <c r="EM443" s="150"/>
      <c r="EN443" s="150"/>
      <c r="EO443" s="150"/>
      <c r="EP443" s="150"/>
      <c r="EQ443" s="150"/>
    </row>
    <row r="444" spans="1:149">
      <c r="B444" s="90"/>
      <c r="AZ444" s="90"/>
      <c r="BT444" s="2"/>
      <c r="BU444" s="2"/>
      <c r="BV444" s="2"/>
      <c r="BW444" s="2"/>
      <c r="BX444" s="2"/>
      <c r="BY444" s="2"/>
      <c r="BZ444" s="2"/>
      <c r="CA444" s="2"/>
    </row>
    <row r="445" spans="1:149" ht="19.5" thickBot="1">
      <c r="B445" s="661"/>
      <c r="C445" s="661"/>
      <c r="D445" s="661"/>
      <c r="E445" s="661"/>
      <c r="F445" s="661"/>
      <c r="G445" s="661"/>
      <c r="H445" s="661"/>
      <c r="I445" s="661"/>
      <c r="J445" s="661"/>
      <c r="K445" s="661"/>
      <c r="L445" s="661"/>
      <c r="M445" s="661"/>
      <c r="N445" s="661"/>
      <c r="O445" s="661"/>
      <c r="P445" s="661"/>
      <c r="Q445" s="661"/>
      <c r="R445" s="661"/>
      <c r="S445" s="661"/>
      <c r="T445" s="662"/>
      <c r="U445" s="661"/>
      <c r="V445" s="661"/>
      <c r="W445" s="661"/>
    </row>
    <row r="446" spans="1:149" ht="18.75">
      <c r="A446" s="2879" t="s">
        <v>3</v>
      </c>
      <c r="B446" s="2857" t="s">
        <v>10</v>
      </c>
      <c r="C446" s="2858"/>
      <c r="D446" s="2859" t="s">
        <v>11</v>
      </c>
      <c r="E446" s="2860"/>
      <c r="F446" s="2857" t="s">
        <v>12</v>
      </c>
      <c r="G446" s="2858"/>
      <c r="H446" s="2859" t="s">
        <v>13</v>
      </c>
      <c r="I446" s="2860"/>
      <c r="J446" s="2857" t="s">
        <v>14</v>
      </c>
      <c r="K446" s="2858"/>
      <c r="L446" s="2859" t="s">
        <v>15</v>
      </c>
      <c r="M446" s="2860"/>
      <c r="N446" s="2857" t="s">
        <v>16</v>
      </c>
      <c r="O446" s="2858"/>
      <c r="P446" s="2859" t="s">
        <v>17</v>
      </c>
      <c r="Q446" s="2871"/>
      <c r="R446" s="2857" t="s">
        <v>18</v>
      </c>
      <c r="S446" s="2858"/>
      <c r="T446" s="2859" t="s">
        <v>19</v>
      </c>
      <c r="U446" s="2860"/>
      <c r="V446" s="2857" t="s">
        <v>20</v>
      </c>
      <c r="W446" s="2858"/>
      <c r="X446" s="2859" t="s">
        <v>21</v>
      </c>
      <c r="Y446" s="2860"/>
      <c r="AA446" s="2039"/>
      <c r="CI446"/>
      <c r="CJ446"/>
      <c r="CK446" s="23"/>
      <c r="CL446" s="23"/>
    </row>
    <row r="447" spans="1:149" s="718" customFormat="1" ht="19.5" thickBot="1">
      <c r="A447" s="2880"/>
      <c r="B447" s="714" t="s">
        <v>34</v>
      </c>
      <c r="C447" s="715" t="s">
        <v>4</v>
      </c>
      <c r="D447" s="716" t="s">
        <v>34</v>
      </c>
      <c r="E447" s="717" t="s">
        <v>4</v>
      </c>
      <c r="F447" s="714" t="s">
        <v>34</v>
      </c>
      <c r="G447" s="715" t="s">
        <v>4</v>
      </c>
      <c r="H447" s="716" t="s">
        <v>34</v>
      </c>
      <c r="I447" s="717" t="s">
        <v>4</v>
      </c>
      <c r="J447" s="714" t="s">
        <v>34</v>
      </c>
      <c r="K447" s="715" t="s">
        <v>4</v>
      </c>
      <c r="L447" s="716" t="s">
        <v>34</v>
      </c>
      <c r="M447" s="717" t="s">
        <v>4</v>
      </c>
      <c r="N447" s="714" t="s">
        <v>34</v>
      </c>
      <c r="O447" s="715" t="s">
        <v>4</v>
      </c>
      <c r="P447" s="716" t="s">
        <v>34</v>
      </c>
      <c r="Q447" s="717" t="s">
        <v>4</v>
      </c>
      <c r="R447" s="714" t="s">
        <v>34</v>
      </c>
      <c r="S447" s="715" t="s">
        <v>4</v>
      </c>
      <c r="T447" s="716" t="s">
        <v>34</v>
      </c>
      <c r="U447" s="717" t="s">
        <v>4</v>
      </c>
      <c r="V447" s="714" t="s">
        <v>34</v>
      </c>
      <c r="W447" s="715" t="s">
        <v>4</v>
      </c>
      <c r="X447" s="716" t="s">
        <v>34</v>
      </c>
      <c r="Y447" s="717" t="s">
        <v>4</v>
      </c>
      <c r="AA447" s="2038"/>
      <c r="AB447" s="11"/>
      <c r="BN447" s="719"/>
      <c r="BO447" s="719"/>
      <c r="BP447" s="719"/>
      <c r="BQ447" s="719"/>
      <c r="BR447" s="719"/>
      <c r="BS447" s="719"/>
      <c r="BT447" s="719"/>
      <c r="BU447" s="719"/>
      <c r="BV447" s="720"/>
      <c r="BW447" s="720"/>
      <c r="BX447" s="720"/>
      <c r="BY447" s="720"/>
      <c r="BZ447" s="720"/>
      <c r="CA447" s="720"/>
      <c r="CB447" s="720"/>
      <c r="CC447" s="720"/>
      <c r="CD447" s="720"/>
    </row>
    <row r="448" spans="1:149" ht="16.5">
      <c r="A448" s="686" t="s">
        <v>6</v>
      </c>
      <c r="B448" s="676"/>
      <c r="C448" s="1894"/>
      <c r="D448" s="1894"/>
      <c r="E448" s="1894"/>
      <c r="F448" s="1894"/>
      <c r="G448" s="1894"/>
      <c r="H448" s="1894"/>
      <c r="I448" s="1894"/>
      <c r="J448" s="1894"/>
      <c r="K448" s="1894"/>
      <c r="L448" s="1894"/>
      <c r="M448" s="1894"/>
      <c r="N448" s="1894"/>
      <c r="O448" s="1894"/>
      <c r="P448" s="1894"/>
      <c r="Q448" s="1894"/>
      <c r="R448" s="1894"/>
      <c r="S448" s="1894"/>
      <c r="T448" s="1894"/>
      <c r="U448" s="1894"/>
      <c r="V448" s="1894"/>
      <c r="W448" s="1894"/>
      <c r="X448" s="1895"/>
      <c r="Y448" s="534"/>
      <c r="AA448" s="2038"/>
      <c r="AB448" s="11"/>
      <c r="CI448"/>
      <c r="CJ448"/>
      <c r="CK448" s="23"/>
      <c r="CL448" s="23"/>
    </row>
    <row r="449" spans="1:90" ht="16.5">
      <c r="A449" s="686" t="s">
        <v>735</v>
      </c>
      <c r="B449" s="680">
        <v>409</v>
      </c>
      <c r="C449" s="569">
        <v>200</v>
      </c>
      <c r="D449" s="570">
        <v>347</v>
      </c>
      <c r="E449" s="547">
        <v>183</v>
      </c>
      <c r="F449" s="680">
        <v>405</v>
      </c>
      <c r="G449" s="569">
        <v>187</v>
      </c>
      <c r="H449" s="570">
        <v>389</v>
      </c>
      <c r="I449" s="547">
        <v>166</v>
      </c>
      <c r="J449" s="680">
        <v>358</v>
      </c>
      <c r="K449" s="569">
        <v>190</v>
      </c>
      <c r="L449" s="570">
        <v>411</v>
      </c>
      <c r="M449" s="547">
        <v>196</v>
      </c>
      <c r="N449" s="680">
        <v>390</v>
      </c>
      <c r="O449" s="569">
        <v>196</v>
      </c>
      <c r="P449" s="570">
        <v>376</v>
      </c>
      <c r="Q449" s="547">
        <v>186</v>
      </c>
      <c r="R449" s="680">
        <v>405</v>
      </c>
      <c r="S449" s="569">
        <v>197</v>
      </c>
      <c r="T449" s="570">
        <v>355</v>
      </c>
      <c r="U449" s="547">
        <v>185</v>
      </c>
      <c r="V449" s="680">
        <v>375</v>
      </c>
      <c r="W449" s="569">
        <v>190</v>
      </c>
      <c r="X449" s="682">
        <v>423</v>
      </c>
      <c r="Y449" s="547">
        <v>248</v>
      </c>
      <c r="AA449" s="2038"/>
      <c r="AB449" s="11"/>
      <c r="BU449" s="121"/>
      <c r="CI449"/>
      <c r="CJ449"/>
      <c r="CK449" s="23"/>
      <c r="CL449" s="23"/>
    </row>
    <row r="450" spans="1:90">
      <c r="A450" s="686" t="s">
        <v>736</v>
      </c>
      <c r="B450" s="680">
        <v>23</v>
      </c>
      <c r="C450" s="569">
        <v>4</v>
      </c>
      <c r="D450" s="570">
        <v>25</v>
      </c>
      <c r="E450" s="547">
        <v>0</v>
      </c>
      <c r="F450" s="680">
        <v>26</v>
      </c>
      <c r="G450" s="569">
        <v>1</v>
      </c>
      <c r="H450" s="570">
        <v>23</v>
      </c>
      <c r="I450" s="547">
        <v>4</v>
      </c>
      <c r="J450" s="680">
        <v>18</v>
      </c>
      <c r="K450" s="569">
        <v>3</v>
      </c>
      <c r="L450" s="570">
        <v>26</v>
      </c>
      <c r="M450" s="547">
        <v>5</v>
      </c>
      <c r="N450" s="680">
        <v>22</v>
      </c>
      <c r="O450" s="569">
        <v>3</v>
      </c>
      <c r="P450" s="570">
        <v>14</v>
      </c>
      <c r="Q450" s="547">
        <v>2</v>
      </c>
      <c r="R450" s="680">
        <v>19</v>
      </c>
      <c r="S450" s="569">
        <v>3</v>
      </c>
      <c r="T450" s="570">
        <v>23</v>
      </c>
      <c r="U450" s="547">
        <v>3</v>
      </c>
      <c r="V450" s="680">
        <v>27</v>
      </c>
      <c r="W450" s="569">
        <v>8</v>
      </c>
      <c r="X450" s="570">
        <v>42</v>
      </c>
      <c r="Y450" s="547">
        <v>9</v>
      </c>
      <c r="AA450" s="454"/>
      <c r="CI450"/>
      <c r="CJ450"/>
      <c r="CK450" s="23"/>
      <c r="CL450" s="23"/>
    </row>
    <row r="451" spans="1:90">
      <c r="A451" s="686" t="s">
        <v>737</v>
      </c>
      <c r="B451" s="680">
        <v>15</v>
      </c>
      <c r="C451" s="569">
        <v>2</v>
      </c>
      <c r="D451" s="570">
        <v>10</v>
      </c>
      <c r="E451" s="547">
        <v>0</v>
      </c>
      <c r="F451" s="680">
        <v>10</v>
      </c>
      <c r="G451" s="569">
        <v>0</v>
      </c>
      <c r="H451" s="570">
        <v>9</v>
      </c>
      <c r="I451" s="547">
        <v>0</v>
      </c>
      <c r="J451" s="680">
        <v>7</v>
      </c>
      <c r="K451" s="569">
        <v>0</v>
      </c>
      <c r="L451" s="570">
        <v>13</v>
      </c>
      <c r="M451" s="547">
        <v>1</v>
      </c>
      <c r="N451" s="680">
        <v>6</v>
      </c>
      <c r="O451" s="569">
        <v>0</v>
      </c>
      <c r="P451" s="570">
        <v>4</v>
      </c>
      <c r="Q451" s="547">
        <v>0</v>
      </c>
      <c r="R451" s="680">
        <v>4</v>
      </c>
      <c r="S451" s="569">
        <v>0</v>
      </c>
      <c r="T451" s="570">
        <v>13</v>
      </c>
      <c r="U451" s="547">
        <v>0</v>
      </c>
      <c r="V451" s="680">
        <v>5</v>
      </c>
      <c r="W451" s="569">
        <v>0</v>
      </c>
      <c r="X451" s="570">
        <v>17</v>
      </c>
      <c r="Y451" s="547">
        <v>3</v>
      </c>
      <c r="AA451" s="90"/>
      <c r="CI451"/>
      <c r="CJ451"/>
      <c r="CK451" s="23"/>
      <c r="CL451" s="23"/>
    </row>
    <row r="452" spans="1:90" s="23" customFormat="1">
      <c r="A452" s="686" t="s">
        <v>84</v>
      </c>
      <c r="B452" s="680">
        <v>171</v>
      </c>
      <c r="C452" s="569">
        <v>35</v>
      </c>
      <c r="D452" s="570">
        <v>95</v>
      </c>
      <c r="E452" s="547">
        <v>27</v>
      </c>
      <c r="F452" s="680">
        <v>126</v>
      </c>
      <c r="G452" s="569">
        <v>29</v>
      </c>
      <c r="H452" s="570">
        <v>58</v>
      </c>
      <c r="I452" s="547">
        <v>25</v>
      </c>
      <c r="J452" s="680">
        <v>47</v>
      </c>
      <c r="K452" s="569">
        <v>22</v>
      </c>
      <c r="L452" s="570">
        <v>56</v>
      </c>
      <c r="M452" s="547">
        <v>27</v>
      </c>
      <c r="N452" s="680">
        <v>58</v>
      </c>
      <c r="O452" s="569">
        <v>27</v>
      </c>
      <c r="P452" s="570">
        <v>62</v>
      </c>
      <c r="Q452" s="547">
        <v>19</v>
      </c>
      <c r="R452" s="680">
        <v>119</v>
      </c>
      <c r="S452" s="569">
        <v>39</v>
      </c>
      <c r="T452" s="570">
        <v>60</v>
      </c>
      <c r="U452" s="547">
        <v>27</v>
      </c>
      <c r="V452" s="680">
        <v>61</v>
      </c>
      <c r="W452" s="569">
        <v>28</v>
      </c>
      <c r="X452" s="570">
        <v>106</v>
      </c>
      <c r="Y452" s="547">
        <v>39</v>
      </c>
      <c r="AA452" s="779"/>
      <c r="AC452" s="151"/>
      <c r="AD452" s="120"/>
    </row>
    <row r="453" spans="1:90">
      <c r="A453" s="686" t="s">
        <v>738</v>
      </c>
      <c r="B453" s="680">
        <v>235</v>
      </c>
      <c r="C453" s="569">
        <v>64</v>
      </c>
      <c r="D453" s="570">
        <v>231</v>
      </c>
      <c r="E453" s="547">
        <v>60</v>
      </c>
      <c r="F453" s="680">
        <v>255</v>
      </c>
      <c r="G453" s="569">
        <v>66</v>
      </c>
      <c r="H453" s="570">
        <v>231</v>
      </c>
      <c r="I453" s="547">
        <v>64</v>
      </c>
      <c r="J453" s="680">
        <v>261</v>
      </c>
      <c r="K453" s="569">
        <v>71</v>
      </c>
      <c r="L453" s="570">
        <v>226</v>
      </c>
      <c r="M453" s="547">
        <v>58</v>
      </c>
      <c r="N453" s="680">
        <v>225</v>
      </c>
      <c r="O453" s="569">
        <v>67</v>
      </c>
      <c r="P453" s="570">
        <v>209</v>
      </c>
      <c r="Q453" s="547">
        <v>51</v>
      </c>
      <c r="R453" s="680">
        <v>225</v>
      </c>
      <c r="S453" s="569">
        <v>60</v>
      </c>
      <c r="T453" s="570">
        <v>196</v>
      </c>
      <c r="U453" s="547">
        <v>62</v>
      </c>
      <c r="V453" s="680">
        <v>202</v>
      </c>
      <c r="W453" s="569">
        <v>51</v>
      </c>
      <c r="X453" s="570">
        <v>218</v>
      </c>
      <c r="Y453" s="547">
        <v>29</v>
      </c>
      <c r="AC453" s="151"/>
      <c r="CI453"/>
      <c r="CJ453"/>
      <c r="CK453" s="23"/>
      <c r="CL453" s="23"/>
    </row>
    <row r="454" spans="1:90" s="23" customFormat="1">
      <c r="A454" s="686" t="s">
        <v>739</v>
      </c>
      <c r="B454" s="680">
        <v>112</v>
      </c>
      <c r="C454" s="569">
        <v>15</v>
      </c>
      <c r="D454" s="570">
        <v>134</v>
      </c>
      <c r="E454" s="547">
        <v>13</v>
      </c>
      <c r="F454" s="680">
        <v>182</v>
      </c>
      <c r="G454" s="569">
        <v>6</v>
      </c>
      <c r="H454" s="570">
        <v>147</v>
      </c>
      <c r="I454" s="547">
        <v>12</v>
      </c>
      <c r="J454" s="680">
        <v>128</v>
      </c>
      <c r="K454" s="569">
        <v>11</v>
      </c>
      <c r="L454" s="570">
        <v>100</v>
      </c>
      <c r="M454" s="547">
        <v>10</v>
      </c>
      <c r="N454" s="680">
        <v>70</v>
      </c>
      <c r="O454" s="569">
        <v>5</v>
      </c>
      <c r="P454" s="570">
        <v>84</v>
      </c>
      <c r="Q454" s="547">
        <v>8</v>
      </c>
      <c r="R454" s="680">
        <v>103</v>
      </c>
      <c r="S454" s="569">
        <v>7</v>
      </c>
      <c r="T454" s="570">
        <v>65</v>
      </c>
      <c r="U454" s="547">
        <v>4</v>
      </c>
      <c r="V454" s="680">
        <v>110</v>
      </c>
      <c r="W454" s="569">
        <v>10</v>
      </c>
      <c r="X454" s="570">
        <v>100</v>
      </c>
      <c r="Y454" s="547">
        <v>9</v>
      </c>
      <c r="AC454" s="151"/>
    </row>
    <row r="455" spans="1:90" s="23" customFormat="1">
      <c r="A455" s="686" t="s">
        <v>219</v>
      </c>
      <c r="B455" s="2045"/>
      <c r="C455" s="2046"/>
      <c r="D455" s="2045"/>
      <c r="E455" s="2046"/>
      <c r="F455" s="2045"/>
      <c r="G455" s="2046"/>
      <c r="H455" s="2045"/>
      <c r="I455" s="2046"/>
      <c r="J455" s="2045"/>
      <c r="K455" s="2046"/>
      <c r="L455" s="2045"/>
      <c r="M455" s="2046"/>
      <c r="N455" s="2045"/>
      <c r="O455" s="2046"/>
      <c r="P455" s="2045"/>
      <c r="Q455" s="2046"/>
      <c r="R455" s="2045"/>
      <c r="S455" s="2046"/>
      <c r="T455" s="2045"/>
      <c r="U455" s="2046"/>
      <c r="V455" s="2045"/>
      <c r="W455" s="2046"/>
      <c r="X455" s="2045"/>
      <c r="Y455" s="2046"/>
      <c r="AC455" s="151"/>
    </row>
    <row r="456" spans="1:90" s="23" customFormat="1">
      <c r="A456" s="686" t="s">
        <v>372</v>
      </c>
      <c r="B456" s="680">
        <v>26</v>
      </c>
      <c r="C456" s="569">
        <v>2</v>
      </c>
      <c r="D456" s="570">
        <v>21</v>
      </c>
      <c r="E456" s="547">
        <v>0</v>
      </c>
      <c r="F456" s="680">
        <v>33</v>
      </c>
      <c r="G456" s="569">
        <v>1</v>
      </c>
      <c r="H456" s="570">
        <v>18</v>
      </c>
      <c r="I456" s="547">
        <v>0</v>
      </c>
      <c r="J456" s="680">
        <v>23</v>
      </c>
      <c r="K456" s="569">
        <v>0</v>
      </c>
      <c r="L456" s="570">
        <v>24</v>
      </c>
      <c r="M456" s="547">
        <v>0</v>
      </c>
      <c r="N456" s="680">
        <v>20</v>
      </c>
      <c r="O456" s="569">
        <v>0</v>
      </c>
      <c r="P456" s="570">
        <v>25</v>
      </c>
      <c r="Q456" s="547">
        <v>0</v>
      </c>
      <c r="R456" s="1026"/>
      <c r="S456" s="1027"/>
      <c r="T456" s="1026"/>
      <c r="U456" s="1027"/>
      <c r="V456" s="1026">
        <v>0</v>
      </c>
      <c r="W456" s="1027">
        <v>0</v>
      </c>
      <c r="X456" s="2694"/>
      <c r="Y456" s="1027"/>
      <c r="AC456" s="151"/>
    </row>
    <row r="457" spans="1:90">
      <c r="A457" s="686" t="s">
        <v>802</v>
      </c>
      <c r="B457" s="680">
        <v>101</v>
      </c>
      <c r="C457" s="569">
        <v>4</v>
      </c>
      <c r="D457" s="570">
        <v>82</v>
      </c>
      <c r="E457" s="547">
        <v>1</v>
      </c>
      <c r="F457" s="680">
        <v>113</v>
      </c>
      <c r="G457" s="569">
        <v>4</v>
      </c>
      <c r="H457" s="570">
        <v>122</v>
      </c>
      <c r="I457" s="547">
        <v>2</v>
      </c>
      <c r="J457" s="680">
        <v>196</v>
      </c>
      <c r="K457" s="569">
        <v>48</v>
      </c>
      <c r="L457" s="570">
        <v>181</v>
      </c>
      <c r="M457" s="547">
        <v>39</v>
      </c>
      <c r="N457" s="680">
        <v>194</v>
      </c>
      <c r="O457" s="569">
        <v>46</v>
      </c>
      <c r="P457" s="570">
        <v>192</v>
      </c>
      <c r="Q457" s="547">
        <v>44</v>
      </c>
      <c r="R457" s="680">
        <v>192</v>
      </c>
      <c r="S457" s="569">
        <v>41</v>
      </c>
      <c r="T457" s="570">
        <v>197</v>
      </c>
      <c r="U457" s="547">
        <v>44</v>
      </c>
      <c r="V457" s="680">
        <v>169</v>
      </c>
      <c r="W457" s="569">
        <v>40</v>
      </c>
      <c r="X457" s="570">
        <v>32</v>
      </c>
      <c r="Y457" s="547">
        <v>2</v>
      </c>
      <c r="AC457" s="151"/>
      <c r="CI457"/>
      <c r="CJ457"/>
      <c r="CK457" s="23"/>
      <c r="CL457" s="23"/>
    </row>
    <row r="458" spans="1:90" s="23" customFormat="1">
      <c r="A458" s="686" t="s">
        <v>314</v>
      </c>
      <c r="B458" s="680">
        <v>51</v>
      </c>
      <c r="C458" s="569">
        <v>11</v>
      </c>
      <c r="D458" s="570">
        <v>60</v>
      </c>
      <c r="E458" s="547">
        <v>15</v>
      </c>
      <c r="F458" s="680">
        <v>57</v>
      </c>
      <c r="G458" s="569">
        <v>16</v>
      </c>
      <c r="H458" s="570">
        <v>53</v>
      </c>
      <c r="I458" s="547">
        <v>19</v>
      </c>
      <c r="J458" s="680">
        <v>51</v>
      </c>
      <c r="K458" s="569">
        <v>13</v>
      </c>
      <c r="L458" s="570">
        <v>92</v>
      </c>
      <c r="M458" s="547">
        <v>19</v>
      </c>
      <c r="N458" s="680">
        <v>72</v>
      </c>
      <c r="O458" s="569">
        <v>15</v>
      </c>
      <c r="P458" s="570">
        <v>76</v>
      </c>
      <c r="Q458" s="547">
        <v>19</v>
      </c>
      <c r="R458" s="680">
        <v>52</v>
      </c>
      <c r="S458" s="569">
        <v>10</v>
      </c>
      <c r="T458" s="570">
        <v>57</v>
      </c>
      <c r="U458" s="547">
        <v>14</v>
      </c>
      <c r="V458" s="680">
        <v>61</v>
      </c>
      <c r="W458" s="569">
        <v>13</v>
      </c>
      <c r="X458" s="682">
        <v>73</v>
      </c>
      <c r="Y458" s="547">
        <v>13</v>
      </c>
      <c r="AC458" s="151"/>
    </row>
    <row r="459" spans="1:90">
      <c r="A459" s="686" t="s">
        <v>511</v>
      </c>
      <c r="B459" s="680">
        <v>72</v>
      </c>
      <c r="C459" s="569">
        <v>15</v>
      </c>
      <c r="D459" s="570">
        <v>61</v>
      </c>
      <c r="E459" s="547">
        <v>12</v>
      </c>
      <c r="F459" s="680">
        <v>76</v>
      </c>
      <c r="G459" s="569">
        <v>17</v>
      </c>
      <c r="H459" s="570">
        <v>58</v>
      </c>
      <c r="I459" s="547">
        <v>8</v>
      </c>
      <c r="J459" s="680">
        <v>62</v>
      </c>
      <c r="K459" s="569">
        <v>19</v>
      </c>
      <c r="L459" s="570">
        <v>70</v>
      </c>
      <c r="M459" s="547">
        <v>16</v>
      </c>
      <c r="N459" s="680">
        <v>90</v>
      </c>
      <c r="O459" s="569">
        <v>20</v>
      </c>
      <c r="P459" s="570">
        <v>80</v>
      </c>
      <c r="Q459" s="547">
        <v>15</v>
      </c>
      <c r="R459" s="680">
        <v>81</v>
      </c>
      <c r="S459" s="569">
        <v>20</v>
      </c>
      <c r="T459" s="570">
        <v>100</v>
      </c>
      <c r="U459" s="547">
        <v>19</v>
      </c>
      <c r="V459" s="680">
        <v>74</v>
      </c>
      <c r="W459" s="569">
        <v>17</v>
      </c>
      <c r="X459" s="570">
        <v>82</v>
      </c>
      <c r="Y459" s="547">
        <v>19</v>
      </c>
      <c r="AC459" s="151"/>
      <c r="CI459"/>
      <c r="CJ459"/>
      <c r="CK459" s="23"/>
      <c r="CL459" s="23"/>
    </row>
    <row r="460" spans="1:90" s="23" customFormat="1">
      <c r="A460" s="686" t="s">
        <v>801</v>
      </c>
      <c r="B460" s="680">
        <v>127</v>
      </c>
      <c r="C460" s="569">
        <v>9</v>
      </c>
      <c r="D460" s="570">
        <v>119</v>
      </c>
      <c r="E460" s="547">
        <v>11</v>
      </c>
      <c r="F460" s="680">
        <v>163</v>
      </c>
      <c r="G460" s="569">
        <v>7</v>
      </c>
      <c r="H460" s="570">
        <v>129</v>
      </c>
      <c r="I460" s="547">
        <v>5</v>
      </c>
      <c r="J460" s="680">
        <v>166</v>
      </c>
      <c r="K460" s="569">
        <v>23</v>
      </c>
      <c r="L460" s="570">
        <v>164</v>
      </c>
      <c r="M460" s="547">
        <v>28</v>
      </c>
      <c r="N460" s="680">
        <v>151</v>
      </c>
      <c r="O460" s="569">
        <v>29</v>
      </c>
      <c r="P460" s="570">
        <v>158</v>
      </c>
      <c r="Q460" s="547">
        <v>33</v>
      </c>
      <c r="R460" s="680">
        <v>178</v>
      </c>
      <c r="S460" s="569">
        <v>30</v>
      </c>
      <c r="T460" s="570">
        <v>159</v>
      </c>
      <c r="U460" s="547">
        <v>33</v>
      </c>
      <c r="V460" s="680">
        <v>178</v>
      </c>
      <c r="W460" s="569">
        <v>40</v>
      </c>
      <c r="X460" s="570">
        <v>31</v>
      </c>
      <c r="Y460" s="547">
        <v>3</v>
      </c>
      <c r="AC460" s="151"/>
    </row>
    <row r="461" spans="1:90" s="23" customFormat="1">
      <c r="A461" s="686" t="s">
        <v>81</v>
      </c>
      <c r="B461" s="680">
        <v>28</v>
      </c>
      <c r="C461" s="569">
        <v>15</v>
      </c>
      <c r="D461" s="570">
        <v>43</v>
      </c>
      <c r="E461" s="547">
        <v>22</v>
      </c>
      <c r="F461" s="680">
        <v>36</v>
      </c>
      <c r="G461" s="569">
        <v>18</v>
      </c>
      <c r="H461" s="570">
        <v>35</v>
      </c>
      <c r="I461" s="547">
        <v>25</v>
      </c>
      <c r="J461" s="680">
        <v>26</v>
      </c>
      <c r="K461" s="569">
        <v>4</v>
      </c>
      <c r="L461" s="570">
        <v>22</v>
      </c>
      <c r="M461" s="547">
        <v>3</v>
      </c>
      <c r="N461" s="680">
        <v>18</v>
      </c>
      <c r="O461" s="569">
        <v>5</v>
      </c>
      <c r="P461" s="570">
        <v>24</v>
      </c>
      <c r="Q461" s="547">
        <v>5</v>
      </c>
      <c r="R461" s="680">
        <v>24</v>
      </c>
      <c r="S461" s="569">
        <v>9</v>
      </c>
      <c r="T461" s="570">
        <v>23</v>
      </c>
      <c r="U461" s="547">
        <v>5</v>
      </c>
      <c r="V461" s="680">
        <v>15</v>
      </c>
      <c r="W461" s="569">
        <v>2</v>
      </c>
      <c r="X461" s="570">
        <v>26</v>
      </c>
      <c r="Y461" s="547">
        <v>8</v>
      </c>
      <c r="AC461" s="151"/>
    </row>
    <row r="462" spans="1:90" s="23" customFormat="1">
      <c r="A462" s="686" t="s">
        <v>378</v>
      </c>
      <c r="B462" s="1026"/>
      <c r="C462" s="1027"/>
      <c r="D462" s="1026"/>
      <c r="E462" s="1027"/>
      <c r="F462" s="1026"/>
      <c r="G462" s="1027"/>
      <c r="H462" s="1026"/>
      <c r="I462" s="1027"/>
      <c r="J462" s="1026"/>
      <c r="K462" s="1027"/>
      <c r="L462" s="1026"/>
      <c r="M462" s="1027"/>
      <c r="N462" s="1026"/>
      <c r="O462" s="1027"/>
      <c r="P462" s="1026"/>
      <c r="Q462" s="1027"/>
      <c r="R462" s="1026"/>
      <c r="S462" s="1027"/>
      <c r="T462" s="1026"/>
      <c r="U462" s="1027"/>
      <c r="V462" s="1026"/>
      <c r="W462" s="1027"/>
      <c r="X462" s="2694"/>
      <c r="Y462" s="1027"/>
      <c r="AC462" s="151"/>
    </row>
    <row r="463" spans="1:90" s="23" customFormat="1">
      <c r="A463" s="686" t="s">
        <v>508</v>
      </c>
      <c r="B463" s="1026"/>
      <c r="C463" s="1027"/>
      <c r="D463" s="1026"/>
      <c r="E463" s="1027"/>
      <c r="F463" s="1026"/>
      <c r="G463" s="1027"/>
      <c r="H463" s="1026"/>
      <c r="I463" s="1027"/>
      <c r="J463" s="1026"/>
      <c r="K463" s="1027"/>
      <c r="L463" s="1026"/>
      <c r="M463" s="1027"/>
      <c r="N463" s="1026"/>
      <c r="O463" s="1027"/>
      <c r="P463" s="1026"/>
      <c r="Q463" s="1027"/>
      <c r="R463" s="1026"/>
      <c r="S463" s="1027"/>
      <c r="T463" s="1026"/>
      <c r="U463" s="1027"/>
      <c r="V463" s="1026"/>
      <c r="W463" s="1027"/>
      <c r="X463" s="2694"/>
      <c r="Y463" s="1027"/>
      <c r="AC463" s="151"/>
    </row>
    <row r="464" spans="1:90" s="23" customFormat="1">
      <c r="A464" s="686" t="s">
        <v>740</v>
      </c>
      <c r="B464" s="680">
        <v>333</v>
      </c>
      <c r="C464" s="569">
        <v>125</v>
      </c>
      <c r="D464" s="570">
        <v>334</v>
      </c>
      <c r="E464" s="547">
        <v>126</v>
      </c>
      <c r="F464" s="680">
        <v>340</v>
      </c>
      <c r="G464" s="569">
        <v>124</v>
      </c>
      <c r="H464" s="570">
        <v>316</v>
      </c>
      <c r="I464" s="547">
        <v>109</v>
      </c>
      <c r="J464" s="680">
        <v>327</v>
      </c>
      <c r="K464" s="569">
        <v>129</v>
      </c>
      <c r="L464" s="570">
        <v>312</v>
      </c>
      <c r="M464" s="547">
        <v>106</v>
      </c>
      <c r="N464" s="680">
        <v>337</v>
      </c>
      <c r="O464" s="569">
        <v>137</v>
      </c>
      <c r="P464" s="570">
        <v>317</v>
      </c>
      <c r="Q464" s="547">
        <v>135</v>
      </c>
      <c r="R464" s="680">
        <v>276</v>
      </c>
      <c r="S464" s="569">
        <v>113</v>
      </c>
      <c r="T464" s="570">
        <v>314</v>
      </c>
      <c r="U464" s="547">
        <v>124</v>
      </c>
      <c r="V464" s="680">
        <v>203</v>
      </c>
      <c r="W464" s="569">
        <v>59</v>
      </c>
      <c r="X464" s="682">
        <v>228</v>
      </c>
      <c r="Y464" s="547">
        <v>63</v>
      </c>
      <c r="Z464" s="72"/>
      <c r="AA464" s="72"/>
      <c r="AC464" s="151"/>
    </row>
    <row r="465" spans="1:90" s="23" customFormat="1">
      <c r="A465" s="686" t="s">
        <v>769</v>
      </c>
      <c r="B465" s="2045"/>
      <c r="C465" s="2046"/>
      <c r="D465" s="2045"/>
      <c r="E465" s="2046"/>
      <c r="F465" s="2045"/>
      <c r="G465" s="2046"/>
      <c r="H465" s="2045"/>
      <c r="I465" s="2046"/>
      <c r="J465" s="2045"/>
      <c r="K465" s="2046"/>
      <c r="L465" s="2045"/>
      <c r="M465" s="2046"/>
      <c r="N465" s="2045"/>
      <c r="O465" s="2046"/>
      <c r="P465" s="2045"/>
      <c r="Q465" s="2046"/>
      <c r="R465" s="2045"/>
      <c r="S465" s="2046"/>
      <c r="T465" s="2045"/>
      <c r="U465" s="2046"/>
      <c r="V465" s="2045"/>
      <c r="W465" s="2046"/>
      <c r="X465" s="2351"/>
      <c r="Y465" s="2046"/>
      <c r="Z465" s="72"/>
      <c r="AA465" s="72"/>
      <c r="AC465" s="151"/>
    </row>
    <row r="466" spans="1:90" s="23" customFormat="1">
      <c r="A466" s="686" t="s">
        <v>741</v>
      </c>
      <c r="B466" s="680">
        <v>71</v>
      </c>
      <c r="C466" s="569">
        <v>13</v>
      </c>
      <c r="D466" s="570">
        <v>95</v>
      </c>
      <c r="E466" s="547">
        <v>9</v>
      </c>
      <c r="F466" s="680">
        <v>93</v>
      </c>
      <c r="G466" s="569">
        <v>10</v>
      </c>
      <c r="H466" s="570">
        <v>76</v>
      </c>
      <c r="I466" s="547">
        <v>9</v>
      </c>
      <c r="J466" s="680">
        <v>97</v>
      </c>
      <c r="K466" s="569">
        <v>7</v>
      </c>
      <c r="L466" s="570">
        <v>68</v>
      </c>
      <c r="M466" s="547">
        <v>10</v>
      </c>
      <c r="N466" s="680">
        <v>88</v>
      </c>
      <c r="O466" s="569">
        <v>14</v>
      </c>
      <c r="P466" s="570">
        <v>65</v>
      </c>
      <c r="Q466" s="547">
        <v>8</v>
      </c>
      <c r="R466" s="680">
        <v>81</v>
      </c>
      <c r="S466" s="569">
        <v>11</v>
      </c>
      <c r="T466" s="570">
        <v>81</v>
      </c>
      <c r="U466" s="547">
        <v>6</v>
      </c>
      <c r="V466" s="680">
        <v>77</v>
      </c>
      <c r="W466" s="569">
        <v>11</v>
      </c>
      <c r="X466" s="682">
        <v>61</v>
      </c>
      <c r="Y466" s="547">
        <v>6</v>
      </c>
      <c r="AC466" s="151"/>
    </row>
    <row r="467" spans="1:90" s="23" customFormat="1">
      <c r="A467" s="686" t="s">
        <v>434</v>
      </c>
      <c r="B467" s="680">
        <v>28</v>
      </c>
      <c r="C467" s="569">
        <v>7</v>
      </c>
      <c r="D467" s="570">
        <v>18</v>
      </c>
      <c r="E467" s="547">
        <v>3</v>
      </c>
      <c r="F467" s="680">
        <v>43</v>
      </c>
      <c r="G467" s="569">
        <v>13</v>
      </c>
      <c r="H467" s="570">
        <v>47</v>
      </c>
      <c r="I467" s="547">
        <v>14</v>
      </c>
      <c r="J467" s="680">
        <v>31</v>
      </c>
      <c r="K467" s="569">
        <v>9</v>
      </c>
      <c r="L467" s="570">
        <v>37</v>
      </c>
      <c r="M467" s="547">
        <v>12</v>
      </c>
      <c r="N467" s="680">
        <v>28</v>
      </c>
      <c r="O467" s="569">
        <v>11</v>
      </c>
      <c r="P467" s="570">
        <v>29</v>
      </c>
      <c r="Q467" s="547">
        <v>8</v>
      </c>
      <c r="R467" s="680">
        <v>22</v>
      </c>
      <c r="S467" s="569">
        <v>10</v>
      </c>
      <c r="T467" s="570">
        <v>24</v>
      </c>
      <c r="U467" s="547">
        <v>6</v>
      </c>
      <c r="V467" s="680">
        <v>23</v>
      </c>
      <c r="W467" s="569">
        <v>7</v>
      </c>
      <c r="X467" s="682">
        <v>15</v>
      </c>
      <c r="Y467" s="547">
        <v>4</v>
      </c>
      <c r="AC467" s="151"/>
    </row>
    <row r="468" spans="1:90" s="23" customFormat="1">
      <c r="A468" s="686" t="s">
        <v>433</v>
      </c>
      <c r="B468" s="680">
        <v>33</v>
      </c>
      <c r="C468" s="569">
        <v>14</v>
      </c>
      <c r="D468" s="570">
        <v>30</v>
      </c>
      <c r="E468" s="547">
        <v>15</v>
      </c>
      <c r="F468" s="680">
        <v>28</v>
      </c>
      <c r="G468" s="569">
        <v>9</v>
      </c>
      <c r="H468" s="570">
        <v>36</v>
      </c>
      <c r="I468" s="547">
        <v>10</v>
      </c>
      <c r="J468" s="680">
        <v>23</v>
      </c>
      <c r="K468" s="569">
        <v>7</v>
      </c>
      <c r="L468" s="570">
        <v>20</v>
      </c>
      <c r="M468" s="547">
        <v>6</v>
      </c>
      <c r="N468" s="680">
        <v>16</v>
      </c>
      <c r="O468" s="569">
        <v>4</v>
      </c>
      <c r="P468" s="570">
        <v>22</v>
      </c>
      <c r="Q468" s="547">
        <v>7</v>
      </c>
      <c r="R468" s="680">
        <v>20</v>
      </c>
      <c r="S468" s="569">
        <v>4</v>
      </c>
      <c r="T468" s="570">
        <v>11</v>
      </c>
      <c r="U468" s="547">
        <v>1</v>
      </c>
      <c r="V468" s="680">
        <v>13</v>
      </c>
      <c r="W468" s="569">
        <v>4</v>
      </c>
      <c r="X468" s="682">
        <v>9</v>
      </c>
      <c r="Y468" s="547">
        <v>4</v>
      </c>
      <c r="AA468" s="232"/>
      <c r="AC468" s="151"/>
    </row>
    <row r="469" spans="1:90" ht="15.75" thickBot="1">
      <c r="A469" s="688" t="s">
        <v>58</v>
      </c>
      <c r="B469" s="533"/>
      <c r="C469" s="552"/>
      <c r="D469" s="533"/>
      <c r="E469" s="552"/>
      <c r="F469" s="533"/>
      <c r="G469" s="552"/>
      <c r="H469" s="533"/>
      <c r="I469" s="552"/>
      <c r="J469" s="533"/>
      <c r="K469" s="552"/>
      <c r="L469" s="533"/>
      <c r="M469" s="552"/>
      <c r="N469" s="533"/>
      <c r="O469" s="552"/>
      <c r="P469" s="533"/>
      <c r="Q469" s="552"/>
      <c r="R469" s="668"/>
      <c r="S469" s="669"/>
      <c r="T469" s="533"/>
      <c r="U469" s="552"/>
      <c r="V469" s="533"/>
      <c r="W469" s="552"/>
      <c r="X469" s="683"/>
      <c r="Y469" s="554"/>
      <c r="AC469" s="151"/>
      <c r="CI469"/>
      <c r="CJ469"/>
      <c r="CK469" s="23"/>
      <c r="CL469" s="23"/>
    </row>
    <row r="470" spans="1:90" ht="15.75" thickBot="1">
      <c r="A470" s="548" t="s">
        <v>32</v>
      </c>
      <c r="B470" s="681">
        <f>SUM(B448:B469)</f>
        <v>1835</v>
      </c>
      <c r="C470" s="660">
        <f t="shared" ref="C470:W470" si="58">SUM(C448:C469)</f>
        <v>535</v>
      </c>
      <c r="D470" s="681">
        <f t="shared" si="58"/>
        <v>1705</v>
      </c>
      <c r="E470" s="660">
        <f t="shared" si="58"/>
        <v>497</v>
      </c>
      <c r="F470" s="681">
        <f t="shared" si="58"/>
        <v>1986</v>
      </c>
      <c r="G470" s="660">
        <f t="shared" si="58"/>
        <v>508</v>
      </c>
      <c r="H470" s="681">
        <f t="shared" si="58"/>
        <v>1747</v>
      </c>
      <c r="I470" s="660">
        <f t="shared" si="58"/>
        <v>472</v>
      </c>
      <c r="J470" s="681">
        <f t="shared" si="58"/>
        <v>1821</v>
      </c>
      <c r="K470" s="660">
        <f t="shared" si="58"/>
        <v>556</v>
      </c>
      <c r="L470" s="681">
        <f t="shared" si="58"/>
        <v>1822</v>
      </c>
      <c r="M470" s="660">
        <f t="shared" si="58"/>
        <v>536</v>
      </c>
      <c r="N470" s="681">
        <f t="shared" si="58"/>
        <v>1785</v>
      </c>
      <c r="O470" s="660">
        <f t="shared" si="58"/>
        <v>579</v>
      </c>
      <c r="P470" s="681">
        <f t="shared" si="58"/>
        <v>1737</v>
      </c>
      <c r="Q470" s="660">
        <f t="shared" si="58"/>
        <v>540</v>
      </c>
      <c r="R470" s="677">
        <f t="shared" si="58"/>
        <v>1801</v>
      </c>
      <c r="S470" s="678">
        <f t="shared" si="58"/>
        <v>554</v>
      </c>
      <c r="T470" s="681">
        <f t="shared" si="58"/>
        <v>1678</v>
      </c>
      <c r="U470" s="660">
        <f t="shared" si="58"/>
        <v>533</v>
      </c>
      <c r="V470" s="681">
        <f t="shared" si="58"/>
        <v>1593</v>
      </c>
      <c r="W470" s="660">
        <f t="shared" si="58"/>
        <v>480</v>
      </c>
      <c r="X470" s="677">
        <f>SUM(X448:X461,X464)</f>
        <v>1378</v>
      </c>
      <c r="Y470" s="679">
        <f>SUM(Y448:Y461,Y464)</f>
        <v>445</v>
      </c>
      <c r="AC470" s="151"/>
      <c r="CI470"/>
      <c r="CJ470"/>
      <c r="CK470" s="23"/>
      <c r="CL470" s="23"/>
    </row>
    <row r="471" spans="1:90" ht="15.75" thickBot="1">
      <c r="A471" s="684" t="s">
        <v>33</v>
      </c>
      <c r="B471" s="2861"/>
      <c r="C471" s="2862"/>
      <c r="D471" s="2862"/>
      <c r="E471" s="2862"/>
      <c r="F471" s="2862"/>
      <c r="G471" s="2865"/>
      <c r="H471" s="2866"/>
      <c r="I471" s="2867"/>
      <c r="J471" s="2867"/>
      <c r="K471" s="2867"/>
      <c r="L471" s="2867"/>
      <c r="M471" s="2868"/>
      <c r="N471" s="2866"/>
      <c r="O471" s="2862"/>
      <c r="P471" s="2862"/>
      <c r="Q471" s="2862"/>
      <c r="R471" s="2863"/>
      <c r="S471" s="2863"/>
      <c r="T471" s="2861"/>
      <c r="U471" s="2862"/>
      <c r="V471" s="2862"/>
      <c r="W471" s="2862"/>
      <c r="X471" s="2863"/>
      <c r="Y471" s="2864"/>
      <c r="AC471" s="151"/>
      <c r="CI471"/>
      <c r="CJ471"/>
      <c r="CK471" s="23"/>
      <c r="CL471" s="23"/>
    </row>
    <row r="472" spans="1:90">
      <c r="Y472" s="159"/>
      <c r="AA472" s="151"/>
    </row>
    <row r="473" spans="1:90" ht="15.75" thickBot="1">
      <c r="AA473" s="151"/>
    </row>
    <row r="474" spans="1:90" ht="18.75">
      <c r="A474" s="2852" t="s">
        <v>537</v>
      </c>
      <c r="B474" s="2854" t="s">
        <v>10</v>
      </c>
      <c r="C474" s="2855"/>
      <c r="D474" s="2856" t="s">
        <v>11</v>
      </c>
      <c r="E474" s="2855"/>
      <c r="F474" s="2854" t="s">
        <v>12</v>
      </c>
      <c r="G474" s="2855"/>
      <c r="H474" s="2856" t="s">
        <v>13</v>
      </c>
      <c r="I474" s="2855"/>
      <c r="J474" s="2854" t="s">
        <v>14</v>
      </c>
      <c r="K474" s="2855"/>
      <c r="L474" s="2856" t="s">
        <v>15</v>
      </c>
      <c r="M474" s="2855"/>
      <c r="N474" s="2856" t="s">
        <v>16</v>
      </c>
      <c r="O474" s="2855"/>
      <c r="P474" s="2856" t="s">
        <v>17</v>
      </c>
      <c r="Q474" s="2855"/>
      <c r="R474" s="2854" t="s">
        <v>18</v>
      </c>
      <c r="S474" s="2855"/>
      <c r="T474" s="2856" t="s">
        <v>19</v>
      </c>
      <c r="U474" s="2855"/>
      <c r="V474" s="2854" t="s">
        <v>20</v>
      </c>
      <c r="W474" s="2855"/>
      <c r="X474" s="2856" t="s">
        <v>21</v>
      </c>
      <c r="Y474" s="2855"/>
      <c r="AA474" s="159"/>
      <c r="AC474" s="151"/>
      <c r="CI474"/>
      <c r="CJ474"/>
      <c r="CK474" s="23"/>
      <c r="CL474" s="23"/>
    </row>
    <row r="475" spans="1:90" s="5" customFormat="1" ht="15.75" thickBot="1">
      <c r="A475" s="2853"/>
      <c r="B475" s="699" t="s">
        <v>34</v>
      </c>
      <c r="C475" s="700" t="s">
        <v>63</v>
      </c>
      <c r="D475" s="701" t="s">
        <v>34</v>
      </c>
      <c r="E475" s="702" t="s">
        <v>63</v>
      </c>
      <c r="F475" s="699" t="s">
        <v>34</v>
      </c>
      <c r="G475" s="700" t="s">
        <v>63</v>
      </c>
      <c r="H475" s="701" t="s">
        <v>34</v>
      </c>
      <c r="I475" s="702" t="s">
        <v>63</v>
      </c>
      <c r="J475" s="699" t="s">
        <v>34</v>
      </c>
      <c r="K475" s="700" t="s">
        <v>63</v>
      </c>
      <c r="L475" s="701" t="s">
        <v>34</v>
      </c>
      <c r="M475" s="702" t="s">
        <v>63</v>
      </c>
      <c r="N475" s="701" t="s">
        <v>34</v>
      </c>
      <c r="O475" s="702" t="s">
        <v>63</v>
      </c>
      <c r="P475" s="701" t="s">
        <v>34</v>
      </c>
      <c r="Q475" s="702" t="s">
        <v>63</v>
      </c>
      <c r="R475" s="699" t="s">
        <v>34</v>
      </c>
      <c r="S475" s="700" t="s">
        <v>63</v>
      </c>
      <c r="T475" s="701" t="s">
        <v>34</v>
      </c>
      <c r="U475" s="702" t="s">
        <v>63</v>
      </c>
      <c r="V475" s="699" t="s">
        <v>34</v>
      </c>
      <c r="W475" s="700" t="s">
        <v>63</v>
      </c>
      <c r="X475" s="701" t="s">
        <v>34</v>
      </c>
      <c r="Y475" s="702" t="s">
        <v>63</v>
      </c>
      <c r="AC475" s="180"/>
    </row>
    <row r="476" spans="1:90">
      <c r="A476" s="686" t="s">
        <v>6</v>
      </c>
      <c r="B476" s="670">
        <v>14</v>
      </c>
      <c r="C476" s="671">
        <v>0</v>
      </c>
      <c r="D476" s="667">
        <v>11</v>
      </c>
      <c r="E476" s="663">
        <v>0</v>
      </c>
      <c r="F476" s="670">
        <v>5</v>
      </c>
      <c r="G476" s="671">
        <v>0</v>
      </c>
      <c r="H476" s="667">
        <v>8</v>
      </c>
      <c r="I476" s="663">
        <v>0</v>
      </c>
      <c r="J476" s="670">
        <v>6</v>
      </c>
      <c r="K476" s="671">
        <v>0</v>
      </c>
      <c r="L476" s="667">
        <v>6</v>
      </c>
      <c r="M476" s="663">
        <v>0</v>
      </c>
      <c r="N476" s="670">
        <v>7</v>
      </c>
      <c r="O476" s="671">
        <v>0</v>
      </c>
      <c r="P476" s="667">
        <v>5</v>
      </c>
      <c r="Q476" s="663">
        <v>0</v>
      </c>
      <c r="R476" s="670">
        <v>4</v>
      </c>
      <c r="S476" s="671">
        <v>0</v>
      </c>
      <c r="T476" s="667">
        <v>9</v>
      </c>
      <c r="U476" s="663">
        <v>0</v>
      </c>
      <c r="V476" s="1026">
        <v>0</v>
      </c>
      <c r="W476" s="1027">
        <v>0</v>
      </c>
      <c r="X476" s="1026">
        <v>0</v>
      </c>
      <c r="Y476" s="1027">
        <v>0</v>
      </c>
      <c r="AA476" s="159"/>
      <c r="AC476" s="151"/>
      <c r="CI476"/>
      <c r="CJ476"/>
      <c r="CK476" s="23"/>
      <c r="CL476" s="23"/>
    </row>
    <row r="477" spans="1:90">
      <c r="A477" s="686" t="s">
        <v>507</v>
      </c>
      <c r="B477" s="670">
        <v>15</v>
      </c>
      <c r="C477" s="671">
        <v>0</v>
      </c>
      <c r="D477" s="667">
        <v>13</v>
      </c>
      <c r="E477" s="663">
        <v>0</v>
      </c>
      <c r="F477" s="670">
        <v>13</v>
      </c>
      <c r="G477" s="671">
        <v>0</v>
      </c>
      <c r="H477" s="667">
        <v>11</v>
      </c>
      <c r="I477" s="663">
        <v>0</v>
      </c>
      <c r="J477" s="670">
        <v>8</v>
      </c>
      <c r="K477" s="671">
        <v>0</v>
      </c>
      <c r="L477" s="667">
        <v>5</v>
      </c>
      <c r="M477" s="663">
        <v>0</v>
      </c>
      <c r="N477" s="670">
        <v>13</v>
      </c>
      <c r="O477" s="671">
        <v>0</v>
      </c>
      <c r="P477" s="667">
        <v>7</v>
      </c>
      <c r="Q477" s="663">
        <v>0</v>
      </c>
      <c r="R477" s="670">
        <v>14</v>
      </c>
      <c r="S477" s="671">
        <v>0</v>
      </c>
      <c r="T477" s="667">
        <v>16</v>
      </c>
      <c r="U477" s="663">
        <v>0</v>
      </c>
      <c r="V477" s="670">
        <v>14</v>
      </c>
      <c r="W477" s="671">
        <v>0</v>
      </c>
      <c r="X477" s="667">
        <v>18</v>
      </c>
      <c r="Y477" s="663">
        <v>0</v>
      </c>
      <c r="AC477" s="151"/>
      <c r="CI477"/>
      <c r="CJ477"/>
      <c r="CK477" s="23"/>
      <c r="CL477" s="23"/>
    </row>
    <row r="478" spans="1:90" s="23" customFormat="1">
      <c r="A478" s="686" t="s">
        <v>84</v>
      </c>
      <c r="B478" s="670">
        <v>4</v>
      </c>
      <c r="C478" s="671">
        <v>0</v>
      </c>
      <c r="D478" s="667">
        <v>5</v>
      </c>
      <c r="E478" s="663">
        <v>0</v>
      </c>
      <c r="F478" s="670">
        <v>1</v>
      </c>
      <c r="G478" s="671">
        <v>0</v>
      </c>
      <c r="H478" s="667">
        <v>3</v>
      </c>
      <c r="I478" s="663">
        <v>0</v>
      </c>
      <c r="J478" s="670">
        <v>2</v>
      </c>
      <c r="K478" s="671">
        <v>0</v>
      </c>
      <c r="L478" s="667">
        <v>6</v>
      </c>
      <c r="M478" s="663">
        <v>0</v>
      </c>
      <c r="N478" s="670">
        <v>0</v>
      </c>
      <c r="O478" s="671">
        <v>0</v>
      </c>
      <c r="P478" s="667">
        <v>3</v>
      </c>
      <c r="Q478" s="663">
        <v>0</v>
      </c>
      <c r="R478" s="1026">
        <v>0</v>
      </c>
      <c r="S478" s="671">
        <v>0</v>
      </c>
      <c r="T478" s="667">
        <v>3</v>
      </c>
      <c r="U478" s="663">
        <v>0</v>
      </c>
      <c r="V478" s="670">
        <v>4</v>
      </c>
      <c r="W478" s="671">
        <v>0</v>
      </c>
      <c r="X478" s="1026"/>
      <c r="Y478" s="1027"/>
      <c r="AA478" s="159"/>
      <c r="AC478" s="151"/>
    </row>
    <row r="479" spans="1:90">
      <c r="A479" s="686" t="s">
        <v>28</v>
      </c>
      <c r="B479" s="670">
        <v>12</v>
      </c>
      <c r="C479" s="671">
        <v>0</v>
      </c>
      <c r="D479" s="667">
        <v>19</v>
      </c>
      <c r="E479" s="663">
        <v>0</v>
      </c>
      <c r="F479" s="670">
        <v>15</v>
      </c>
      <c r="G479" s="671">
        <v>0</v>
      </c>
      <c r="H479" s="667">
        <v>15</v>
      </c>
      <c r="I479" s="663">
        <v>0</v>
      </c>
      <c r="J479" s="670">
        <v>12</v>
      </c>
      <c r="K479" s="2349">
        <v>1</v>
      </c>
      <c r="L479" s="667">
        <v>15</v>
      </c>
      <c r="M479" s="663">
        <v>0</v>
      </c>
      <c r="N479" s="670">
        <v>17</v>
      </c>
      <c r="O479" s="671">
        <v>0</v>
      </c>
      <c r="P479" s="667">
        <v>12</v>
      </c>
      <c r="Q479" s="663">
        <v>0</v>
      </c>
      <c r="R479" s="670">
        <v>12</v>
      </c>
      <c r="S479" s="671">
        <v>0</v>
      </c>
      <c r="T479" s="667">
        <v>12</v>
      </c>
      <c r="U479" s="663">
        <v>0</v>
      </c>
      <c r="V479" s="670">
        <v>15</v>
      </c>
      <c r="W479" s="671">
        <v>0</v>
      </c>
      <c r="X479" s="667">
        <v>16</v>
      </c>
      <c r="Y479" s="663">
        <v>0</v>
      </c>
      <c r="AA479" s="159"/>
      <c r="AC479" s="151"/>
      <c r="CI479"/>
      <c r="CJ479"/>
      <c r="CK479" s="23"/>
      <c r="CL479" s="23"/>
    </row>
    <row r="480" spans="1:90" s="23" customFormat="1">
      <c r="A480" s="686" t="s">
        <v>219</v>
      </c>
      <c r="B480" s="2045">
        <v>2</v>
      </c>
      <c r="C480" s="2046">
        <v>0</v>
      </c>
      <c r="D480" s="2045"/>
      <c r="E480" s="2046"/>
      <c r="F480" s="2045"/>
      <c r="G480" s="2046"/>
      <c r="H480" s="2045"/>
      <c r="I480" s="2046"/>
      <c r="J480" s="2045"/>
      <c r="K480" s="2046"/>
      <c r="L480" s="2045"/>
      <c r="M480" s="2046"/>
      <c r="N480" s="2045"/>
      <c r="O480" s="2046"/>
      <c r="P480" s="2045"/>
      <c r="Q480" s="2046"/>
      <c r="R480" s="2045"/>
      <c r="S480" s="2046"/>
      <c r="T480" s="2045"/>
      <c r="U480" s="2046"/>
      <c r="V480" s="2045"/>
      <c r="W480" s="2046"/>
      <c r="X480" s="2045"/>
      <c r="Y480" s="2046"/>
      <c r="AA480" s="159"/>
      <c r="AB480" s="72"/>
      <c r="AC480" s="72"/>
    </row>
    <row r="481" spans="1:90" s="23" customFormat="1">
      <c r="A481" s="686" t="s">
        <v>372</v>
      </c>
      <c r="B481" s="670">
        <v>0</v>
      </c>
      <c r="C481" s="671">
        <v>0</v>
      </c>
      <c r="D481" s="667">
        <v>0</v>
      </c>
      <c r="E481" s="663">
        <v>0</v>
      </c>
      <c r="F481" s="670">
        <v>1</v>
      </c>
      <c r="G481" s="671">
        <v>0</v>
      </c>
      <c r="H481" s="667">
        <v>0</v>
      </c>
      <c r="I481" s="663">
        <v>0</v>
      </c>
      <c r="J481" s="670">
        <v>0</v>
      </c>
      <c r="K481" s="671">
        <v>0</v>
      </c>
      <c r="L481" s="667">
        <v>0</v>
      </c>
      <c r="M481" s="663">
        <v>0</v>
      </c>
      <c r="N481" s="670">
        <v>0</v>
      </c>
      <c r="O481" s="671">
        <v>0</v>
      </c>
      <c r="P481" s="667">
        <v>1</v>
      </c>
      <c r="Q481" s="663">
        <v>0</v>
      </c>
      <c r="R481" s="1026">
        <v>0</v>
      </c>
      <c r="S481" s="671">
        <v>0</v>
      </c>
      <c r="T481" s="1026">
        <v>0</v>
      </c>
      <c r="U481" s="663">
        <v>0</v>
      </c>
      <c r="V481" s="670">
        <v>0</v>
      </c>
      <c r="W481" s="671">
        <v>0</v>
      </c>
      <c r="X481" s="667">
        <v>0</v>
      </c>
      <c r="Y481" s="663">
        <v>0</v>
      </c>
      <c r="AA481" s="159"/>
      <c r="AC481" s="151"/>
    </row>
    <row r="482" spans="1:90">
      <c r="A482" s="686" t="s">
        <v>35</v>
      </c>
      <c r="B482" s="670">
        <v>7</v>
      </c>
      <c r="C482" s="671">
        <v>0</v>
      </c>
      <c r="D482" s="667">
        <v>4</v>
      </c>
      <c r="E482" s="663">
        <v>0</v>
      </c>
      <c r="F482" s="670">
        <v>0</v>
      </c>
      <c r="G482" s="671">
        <v>0</v>
      </c>
      <c r="H482" s="667">
        <v>4</v>
      </c>
      <c r="I482" s="2349">
        <v>1</v>
      </c>
      <c r="J482" s="670">
        <v>1</v>
      </c>
      <c r="K482" s="671">
        <v>0</v>
      </c>
      <c r="L482" s="667">
        <v>6</v>
      </c>
      <c r="M482" s="663">
        <v>0</v>
      </c>
      <c r="N482" s="670">
        <v>3</v>
      </c>
      <c r="O482" s="671">
        <v>0</v>
      </c>
      <c r="P482" s="667">
        <v>5</v>
      </c>
      <c r="Q482" s="663">
        <v>0</v>
      </c>
      <c r="R482" s="1026">
        <v>0</v>
      </c>
      <c r="S482" s="671">
        <v>0</v>
      </c>
      <c r="T482" s="667">
        <v>4</v>
      </c>
      <c r="U482" s="663">
        <v>0</v>
      </c>
      <c r="V482" s="670">
        <v>5</v>
      </c>
      <c r="W482" s="671">
        <v>0</v>
      </c>
      <c r="X482" s="667">
        <v>0</v>
      </c>
      <c r="Y482" s="663">
        <v>0</v>
      </c>
      <c r="AA482" s="159"/>
      <c r="CI482"/>
      <c r="CJ482"/>
      <c r="CK482" s="23"/>
      <c r="CL482" s="23"/>
    </row>
    <row r="483" spans="1:90" s="23" customFormat="1">
      <c r="A483" s="686" t="s">
        <v>314</v>
      </c>
      <c r="B483" s="670">
        <v>1</v>
      </c>
      <c r="C483" s="671">
        <v>0</v>
      </c>
      <c r="D483" s="667">
        <v>1</v>
      </c>
      <c r="E483" s="663">
        <v>0</v>
      </c>
      <c r="F483" s="670">
        <v>2</v>
      </c>
      <c r="G483" s="671">
        <v>0</v>
      </c>
      <c r="H483" s="667">
        <v>0</v>
      </c>
      <c r="I483" s="663">
        <v>0</v>
      </c>
      <c r="J483" s="670">
        <v>0</v>
      </c>
      <c r="K483" s="671">
        <v>0</v>
      </c>
      <c r="L483" s="667">
        <v>2</v>
      </c>
      <c r="M483" s="663">
        <v>0</v>
      </c>
      <c r="N483" s="670">
        <v>2</v>
      </c>
      <c r="O483" s="671">
        <v>0</v>
      </c>
      <c r="P483" s="667">
        <v>0</v>
      </c>
      <c r="Q483" s="663">
        <v>0</v>
      </c>
      <c r="R483" s="670">
        <v>1</v>
      </c>
      <c r="S483" s="671">
        <v>0</v>
      </c>
      <c r="T483" s="667">
        <v>0</v>
      </c>
      <c r="U483" s="663">
        <v>0</v>
      </c>
      <c r="V483" s="670">
        <v>1</v>
      </c>
      <c r="W483" s="671">
        <v>0</v>
      </c>
      <c r="X483" s="667">
        <v>5</v>
      </c>
      <c r="Y483" s="663">
        <v>0</v>
      </c>
      <c r="AA483" s="159"/>
    </row>
    <row r="484" spans="1:90">
      <c r="A484" s="686" t="s">
        <v>85</v>
      </c>
      <c r="B484" s="670">
        <v>2</v>
      </c>
      <c r="C484" s="671">
        <v>0</v>
      </c>
      <c r="D484" s="667">
        <v>4</v>
      </c>
      <c r="E484" s="663">
        <v>0</v>
      </c>
      <c r="F484" s="670">
        <v>1</v>
      </c>
      <c r="G484" s="671">
        <v>0</v>
      </c>
      <c r="H484" s="667">
        <v>1</v>
      </c>
      <c r="I484" s="663">
        <v>0</v>
      </c>
      <c r="J484" s="670">
        <v>4</v>
      </c>
      <c r="K484" s="671">
        <v>0</v>
      </c>
      <c r="L484" s="667">
        <v>3</v>
      </c>
      <c r="M484" s="663">
        <v>0</v>
      </c>
      <c r="N484" s="670">
        <v>3</v>
      </c>
      <c r="O484" s="671">
        <v>0</v>
      </c>
      <c r="P484" s="667">
        <v>3</v>
      </c>
      <c r="Q484" s="663">
        <v>0</v>
      </c>
      <c r="R484" s="670">
        <v>3</v>
      </c>
      <c r="S484" s="671">
        <v>0</v>
      </c>
      <c r="T484" s="667">
        <v>5</v>
      </c>
      <c r="U484" s="663">
        <v>0</v>
      </c>
      <c r="V484" s="670">
        <v>5</v>
      </c>
      <c r="W484" s="671">
        <v>0</v>
      </c>
      <c r="X484" s="667">
        <v>4</v>
      </c>
      <c r="Y484" s="663">
        <v>0</v>
      </c>
      <c r="AA484" s="159"/>
      <c r="CI484"/>
      <c r="CJ484"/>
      <c r="CK484" s="23"/>
      <c r="CL484" s="23"/>
    </row>
    <row r="485" spans="1:90" s="23" customFormat="1">
      <c r="A485" s="686" t="s">
        <v>81</v>
      </c>
      <c r="B485" s="670">
        <v>0</v>
      </c>
      <c r="C485" s="671">
        <v>0</v>
      </c>
      <c r="D485" s="667">
        <v>0</v>
      </c>
      <c r="E485" s="663">
        <v>0</v>
      </c>
      <c r="F485" s="670">
        <v>2</v>
      </c>
      <c r="G485" s="2349">
        <v>1</v>
      </c>
      <c r="H485" s="667">
        <v>0</v>
      </c>
      <c r="I485" s="663">
        <v>0</v>
      </c>
      <c r="J485" s="670">
        <v>0</v>
      </c>
      <c r="K485" s="671">
        <v>0</v>
      </c>
      <c r="L485" s="667">
        <v>0</v>
      </c>
      <c r="M485" s="663">
        <v>0</v>
      </c>
      <c r="N485" s="670">
        <v>1</v>
      </c>
      <c r="O485" s="671">
        <v>0</v>
      </c>
      <c r="P485" s="667">
        <v>0</v>
      </c>
      <c r="Q485" s="663">
        <v>0</v>
      </c>
      <c r="R485" s="670">
        <v>1</v>
      </c>
      <c r="S485" s="671">
        <v>0</v>
      </c>
      <c r="T485" s="667">
        <v>1</v>
      </c>
      <c r="U485" s="663">
        <v>0</v>
      </c>
      <c r="V485" s="670">
        <v>1</v>
      </c>
      <c r="W485" s="671">
        <v>0</v>
      </c>
      <c r="X485" s="667">
        <v>0</v>
      </c>
      <c r="Y485" s="663">
        <v>0</v>
      </c>
      <c r="AA485" s="159"/>
    </row>
    <row r="486" spans="1:90" s="23" customFormat="1">
      <c r="A486" s="686" t="s">
        <v>378</v>
      </c>
      <c r="B486" s="670">
        <v>6</v>
      </c>
      <c r="C486" s="671">
        <v>0</v>
      </c>
      <c r="D486" s="667">
        <v>5</v>
      </c>
      <c r="E486" s="663">
        <v>0</v>
      </c>
      <c r="F486" s="670">
        <v>11</v>
      </c>
      <c r="G486" s="671">
        <v>0</v>
      </c>
      <c r="H486" s="667">
        <v>9</v>
      </c>
      <c r="I486" s="663">
        <v>0</v>
      </c>
      <c r="J486" s="670">
        <v>9</v>
      </c>
      <c r="K486" s="671">
        <v>0</v>
      </c>
      <c r="L486" s="667">
        <v>6</v>
      </c>
      <c r="M486" s="663">
        <v>0</v>
      </c>
      <c r="N486" s="670">
        <v>7</v>
      </c>
      <c r="O486" s="671">
        <v>0</v>
      </c>
      <c r="P486" s="667">
        <v>5</v>
      </c>
      <c r="Q486" s="663">
        <v>0</v>
      </c>
      <c r="R486" s="670">
        <v>4</v>
      </c>
      <c r="S486" s="671">
        <v>0</v>
      </c>
      <c r="T486" s="667">
        <v>9</v>
      </c>
      <c r="U486" s="663">
        <v>0</v>
      </c>
      <c r="V486" s="670">
        <v>5</v>
      </c>
      <c r="W486" s="671">
        <v>0</v>
      </c>
      <c r="X486" s="1026"/>
      <c r="Y486" s="663">
        <v>0</v>
      </c>
    </row>
    <row r="487" spans="1:90" s="23" customFormat="1">
      <c r="A487" s="686" t="s">
        <v>508</v>
      </c>
      <c r="B487" s="670">
        <v>1</v>
      </c>
      <c r="C487" s="671">
        <v>0</v>
      </c>
      <c r="D487" s="667">
        <v>1</v>
      </c>
      <c r="E487" s="663">
        <v>0</v>
      </c>
      <c r="F487" s="670">
        <v>1</v>
      </c>
      <c r="G487" s="671">
        <v>0</v>
      </c>
      <c r="H487" s="667">
        <v>0</v>
      </c>
      <c r="I487" s="663">
        <v>0</v>
      </c>
      <c r="J487" s="670">
        <v>0</v>
      </c>
      <c r="K487" s="671">
        <v>0</v>
      </c>
      <c r="L487" s="667">
        <v>1</v>
      </c>
      <c r="M487" s="663">
        <v>0</v>
      </c>
      <c r="N487" s="670">
        <v>0</v>
      </c>
      <c r="O487" s="671">
        <v>0</v>
      </c>
      <c r="P487" s="667">
        <v>2</v>
      </c>
      <c r="Q487" s="663">
        <v>0</v>
      </c>
      <c r="R487" s="670">
        <v>1</v>
      </c>
      <c r="S487" s="671">
        <v>0</v>
      </c>
      <c r="T487" s="667">
        <v>0</v>
      </c>
      <c r="U487" s="663">
        <v>0</v>
      </c>
      <c r="V487" s="670">
        <v>0</v>
      </c>
      <c r="W487" s="671">
        <v>0</v>
      </c>
      <c r="X487" s="1026"/>
      <c r="Y487" s="663">
        <v>0</v>
      </c>
    </row>
    <row r="488" spans="1:90" s="23" customFormat="1">
      <c r="A488" s="686" t="s">
        <v>376</v>
      </c>
      <c r="B488" s="1026"/>
      <c r="C488" s="1027"/>
      <c r="D488" s="1026"/>
      <c r="E488" s="1027"/>
      <c r="F488" s="1026"/>
      <c r="G488" s="1027"/>
      <c r="H488" s="1026"/>
      <c r="I488" s="1027"/>
      <c r="J488" s="1026"/>
      <c r="K488" s="1027"/>
      <c r="L488" s="1026"/>
      <c r="M488" s="1027"/>
      <c r="N488" s="1026"/>
      <c r="O488" s="1027"/>
      <c r="P488" s="1026"/>
      <c r="Q488" s="1027"/>
      <c r="R488" s="1026"/>
      <c r="S488" s="1027"/>
      <c r="T488" s="667">
        <v>9</v>
      </c>
      <c r="U488" s="663">
        <v>0</v>
      </c>
      <c r="V488" s="670">
        <v>10</v>
      </c>
      <c r="W488" s="671">
        <v>0</v>
      </c>
      <c r="X488" s="667">
        <v>13</v>
      </c>
      <c r="Y488" s="663">
        <v>0</v>
      </c>
    </row>
    <row r="489" spans="1:90" s="23" customFormat="1">
      <c r="A489" s="686" t="s">
        <v>432</v>
      </c>
      <c r="B489" s="1026"/>
      <c r="C489" s="1027"/>
      <c r="D489" s="1026"/>
      <c r="E489" s="1027"/>
      <c r="F489" s="1026"/>
      <c r="G489" s="1027"/>
      <c r="H489" s="1026"/>
      <c r="I489" s="1027"/>
      <c r="J489" s="1026"/>
      <c r="K489" s="1027"/>
      <c r="L489" s="1026"/>
      <c r="M489" s="1027"/>
      <c r="N489" s="1026"/>
      <c r="O489" s="1027"/>
      <c r="P489" s="1026"/>
      <c r="Q489" s="1027"/>
      <c r="R489" s="1026"/>
      <c r="S489" s="1027"/>
      <c r="T489" s="667">
        <v>1</v>
      </c>
      <c r="U489" s="663">
        <v>0</v>
      </c>
      <c r="V489" s="670">
        <v>1</v>
      </c>
      <c r="W489" s="671">
        <v>0</v>
      </c>
      <c r="X489" s="667">
        <v>2</v>
      </c>
      <c r="Y489" s="663">
        <v>0</v>
      </c>
    </row>
    <row r="490" spans="1:90" s="23" customFormat="1">
      <c r="A490" s="686" t="s">
        <v>434</v>
      </c>
      <c r="B490" s="670">
        <v>9</v>
      </c>
      <c r="C490" s="671">
        <v>0</v>
      </c>
      <c r="D490" s="667">
        <v>10</v>
      </c>
      <c r="E490" s="663">
        <v>0</v>
      </c>
      <c r="F490" s="670">
        <v>9</v>
      </c>
      <c r="G490" s="671">
        <v>0</v>
      </c>
      <c r="H490" s="667">
        <v>9</v>
      </c>
      <c r="I490" s="663">
        <v>0</v>
      </c>
      <c r="J490" s="670">
        <v>13</v>
      </c>
      <c r="K490" s="671">
        <v>0</v>
      </c>
      <c r="L490" s="667">
        <v>9</v>
      </c>
      <c r="M490" s="663">
        <v>0</v>
      </c>
      <c r="N490" s="670">
        <v>3</v>
      </c>
      <c r="O490" s="671">
        <v>0</v>
      </c>
      <c r="P490" s="667">
        <v>6</v>
      </c>
      <c r="Q490" s="663">
        <v>0</v>
      </c>
      <c r="R490" s="670">
        <v>6</v>
      </c>
      <c r="S490" s="671">
        <v>0</v>
      </c>
      <c r="T490" s="667">
        <v>4</v>
      </c>
      <c r="U490" s="663">
        <v>0</v>
      </c>
      <c r="V490" s="670">
        <v>10</v>
      </c>
      <c r="W490" s="671">
        <v>0</v>
      </c>
      <c r="X490" s="667">
        <v>6</v>
      </c>
      <c r="Y490" s="663">
        <v>0</v>
      </c>
    </row>
    <row r="491" spans="1:90" s="23" customFormat="1">
      <c r="A491" s="686" t="s">
        <v>433</v>
      </c>
      <c r="B491" s="670">
        <v>5</v>
      </c>
      <c r="C491" s="671">
        <v>0</v>
      </c>
      <c r="D491" s="667">
        <v>2</v>
      </c>
      <c r="E491" s="663">
        <v>0</v>
      </c>
      <c r="F491" s="670">
        <v>7</v>
      </c>
      <c r="G491" s="671">
        <v>0</v>
      </c>
      <c r="H491" s="667">
        <v>0</v>
      </c>
      <c r="I491" s="663">
        <v>0</v>
      </c>
      <c r="J491" s="670">
        <v>1</v>
      </c>
      <c r="K491" s="671">
        <v>0</v>
      </c>
      <c r="L491" s="667">
        <v>4</v>
      </c>
      <c r="M491" s="663">
        <v>0</v>
      </c>
      <c r="N491" s="670">
        <v>4</v>
      </c>
      <c r="O491" s="671">
        <v>0</v>
      </c>
      <c r="P491" s="667">
        <v>2</v>
      </c>
      <c r="Q491" s="663">
        <v>0</v>
      </c>
      <c r="R491" s="670">
        <v>5</v>
      </c>
      <c r="S491" s="671">
        <v>0</v>
      </c>
      <c r="T491" s="667">
        <v>3</v>
      </c>
      <c r="U491" s="663">
        <v>0</v>
      </c>
      <c r="V491" s="670">
        <v>3</v>
      </c>
      <c r="W491" s="671">
        <v>0</v>
      </c>
      <c r="X491" s="667">
        <v>5</v>
      </c>
      <c r="Y491" s="663">
        <v>0</v>
      </c>
    </row>
    <row r="492" spans="1:90" ht="15.75" thickBot="1">
      <c r="A492" s="688" t="s">
        <v>58</v>
      </c>
      <c r="B492" s="533"/>
      <c r="C492" s="552"/>
      <c r="D492" s="533"/>
      <c r="E492" s="552"/>
      <c r="F492" s="533"/>
      <c r="G492" s="552"/>
      <c r="H492" s="533"/>
      <c r="I492" s="552"/>
      <c r="J492" s="668"/>
      <c r="K492" s="669"/>
      <c r="L492" s="533"/>
      <c r="M492" s="552"/>
      <c r="N492" s="668"/>
      <c r="O492" s="669"/>
      <c r="P492" s="533"/>
      <c r="Q492" s="552"/>
      <c r="R492" s="533"/>
      <c r="S492" s="552"/>
      <c r="T492" s="533"/>
      <c r="U492" s="552"/>
      <c r="V492" s="533"/>
      <c r="W492" s="552"/>
      <c r="X492" s="676"/>
      <c r="Y492" s="534"/>
      <c r="CI492"/>
      <c r="CJ492"/>
      <c r="CK492" s="23"/>
      <c r="CL492" s="23"/>
    </row>
    <row r="493" spans="1:90" ht="15.75" thickBot="1">
      <c r="A493" s="664" t="s">
        <v>32</v>
      </c>
      <c r="B493" s="673">
        <f>SUM(B476:B492)</f>
        <v>78</v>
      </c>
      <c r="C493" s="665">
        <f t="shared" ref="C493:W493" si="59">SUM(C476:C492)</f>
        <v>0</v>
      </c>
      <c r="D493" s="673">
        <f t="shared" si="59"/>
        <v>75</v>
      </c>
      <c r="E493" s="665">
        <f t="shared" si="59"/>
        <v>0</v>
      </c>
      <c r="F493" s="673">
        <f t="shared" si="59"/>
        <v>68</v>
      </c>
      <c r="G493" s="665">
        <f t="shared" si="59"/>
        <v>1</v>
      </c>
      <c r="H493" s="673">
        <f t="shared" si="59"/>
        <v>60</v>
      </c>
      <c r="I493" s="665">
        <f t="shared" si="59"/>
        <v>1</v>
      </c>
      <c r="J493" s="672">
        <f t="shared" si="59"/>
        <v>56</v>
      </c>
      <c r="K493" s="666">
        <f t="shared" si="59"/>
        <v>1</v>
      </c>
      <c r="L493" s="673">
        <f t="shared" si="59"/>
        <v>63</v>
      </c>
      <c r="M493" s="665">
        <f t="shared" si="59"/>
        <v>0</v>
      </c>
      <c r="N493" s="674">
        <f>SUM(N476:N492)</f>
        <v>60</v>
      </c>
      <c r="O493" s="675">
        <f>SUM(O476:O492)</f>
        <v>0</v>
      </c>
      <c r="P493" s="673">
        <f t="shared" si="59"/>
        <v>51</v>
      </c>
      <c r="Q493" s="665">
        <f t="shared" si="59"/>
        <v>0</v>
      </c>
      <c r="R493" s="673">
        <f t="shared" si="59"/>
        <v>51</v>
      </c>
      <c r="S493" s="665">
        <f t="shared" si="59"/>
        <v>0</v>
      </c>
      <c r="T493" s="673">
        <f t="shared" si="59"/>
        <v>76</v>
      </c>
      <c r="U493" s="665">
        <f t="shared" si="59"/>
        <v>0</v>
      </c>
      <c r="V493" s="673">
        <f t="shared" si="59"/>
        <v>74</v>
      </c>
      <c r="W493" s="665">
        <f t="shared" si="59"/>
        <v>0</v>
      </c>
      <c r="X493" s="673">
        <f>SUM(X476:X492)</f>
        <v>69</v>
      </c>
      <c r="Y493" s="665">
        <f>SUM(Y476:Y492)</f>
        <v>0</v>
      </c>
      <c r="CI493"/>
      <c r="CJ493"/>
      <c r="CK493" s="23"/>
      <c r="CL493" s="23"/>
    </row>
    <row r="496" spans="1:90">
      <c r="D496" s="121"/>
      <c r="G496" s="121"/>
    </row>
    <row r="497" spans="19:19">
      <c r="S497" s="227"/>
    </row>
  </sheetData>
  <sheetProtection formatCells="0" formatColumns="0" formatRows="0" insertColumns="0" insertRows="0" insertHyperlinks="0" deleteColumns="0" deleteRows="0" sort="0" autoFilter="0" pivotTables="0"/>
  <mergeCells count="251">
    <mergeCell ref="BN423:BY423"/>
    <mergeCell ref="BZ423:CK423"/>
    <mergeCell ref="CL423:CW423"/>
    <mergeCell ref="CX423:DI423"/>
    <mergeCell ref="BB423:BM423"/>
    <mergeCell ref="DJ423:DU423"/>
    <mergeCell ref="DV423:EG423"/>
    <mergeCell ref="AF423:AO423"/>
    <mergeCell ref="AP423:BA423"/>
    <mergeCell ref="N43:N44"/>
    <mergeCell ref="X446:Y446"/>
    <mergeCell ref="T446:U446"/>
    <mergeCell ref="V446:W446"/>
    <mergeCell ref="Q174:S174"/>
    <mergeCell ref="T174:V174"/>
    <mergeCell ref="W174:Y174"/>
    <mergeCell ref="Z174:AB174"/>
    <mergeCell ref="T323:U323"/>
    <mergeCell ref="V323:W323"/>
    <mergeCell ref="R323:S323"/>
    <mergeCell ref="V228:Y228"/>
    <mergeCell ref="T202:V202"/>
    <mergeCell ref="W202:Y202"/>
    <mergeCell ref="T342:V342"/>
    <mergeCell ref="W342:Y342"/>
    <mergeCell ref="L423:U423"/>
    <mergeCell ref="V423:AE423"/>
    <mergeCell ref="X323:Y323"/>
    <mergeCell ref="AT250:AW250"/>
    <mergeCell ref="AC174:AE174"/>
    <mergeCell ref="AF174:AH174"/>
    <mergeCell ref="AI174:AK174"/>
    <mergeCell ref="AT228:AW228"/>
    <mergeCell ref="AC342:AE342"/>
    <mergeCell ref="AF342:AH342"/>
    <mergeCell ref="AI342:AK342"/>
    <mergeCell ref="AF202:AH202"/>
    <mergeCell ref="AI202:AK202"/>
    <mergeCell ref="Z228:AC228"/>
    <mergeCell ref="Z202:AB202"/>
    <mergeCell ref="AC202:AE202"/>
    <mergeCell ref="Z342:AB342"/>
    <mergeCell ref="B8:D8"/>
    <mergeCell ref="H16:J16"/>
    <mergeCell ref="H18:J18"/>
    <mergeCell ref="B16:D16"/>
    <mergeCell ref="E16:G16"/>
    <mergeCell ref="H20:J20"/>
    <mergeCell ref="B18:D18"/>
    <mergeCell ref="B12:D12"/>
    <mergeCell ref="B13:D13"/>
    <mergeCell ref="E12:G12"/>
    <mergeCell ref="E13:G13"/>
    <mergeCell ref="E8:G8"/>
    <mergeCell ref="E18:G18"/>
    <mergeCell ref="E20:G20"/>
    <mergeCell ref="K18:M18"/>
    <mergeCell ref="K20:M20"/>
    <mergeCell ref="H12:J12"/>
    <mergeCell ref="H8:J8"/>
    <mergeCell ref="K33:M33"/>
    <mergeCell ref="K8:M8"/>
    <mergeCell ref="K12:M12"/>
    <mergeCell ref="K13:M13"/>
    <mergeCell ref="H13:J13"/>
    <mergeCell ref="K16:M16"/>
    <mergeCell ref="K35:M35"/>
    <mergeCell ref="K40:M40"/>
    <mergeCell ref="B20:D20"/>
    <mergeCell ref="B33:D33"/>
    <mergeCell ref="B35:D35"/>
    <mergeCell ref="E35:G35"/>
    <mergeCell ref="H35:J35"/>
    <mergeCell ref="E33:G33"/>
    <mergeCell ref="H33:J33"/>
    <mergeCell ref="B30:D30"/>
    <mergeCell ref="E30:G30"/>
    <mergeCell ref="H30:J30"/>
    <mergeCell ref="K30:M30"/>
    <mergeCell ref="B40:D40"/>
    <mergeCell ref="E40:G40"/>
    <mergeCell ref="H40:J40"/>
    <mergeCell ref="E22:G22"/>
    <mergeCell ref="E24:G24"/>
    <mergeCell ref="I43:I44"/>
    <mergeCell ref="J43:J44"/>
    <mergeCell ref="K43:K44"/>
    <mergeCell ref="H71:H72"/>
    <mergeCell ref="I71:I72"/>
    <mergeCell ref="J71:J72"/>
    <mergeCell ref="K71:K72"/>
    <mergeCell ref="L71:L72"/>
    <mergeCell ref="B43:B44"/>
    <mergeCell ref="C43:C44"/>
    <mergeCell ref="D43:D44"/>
    <mergeCell ref="E43:E44"/>
    <mergeCell ref="F43:F44"/>
    <mergeCell ref="K99:K100"/>
    <mergeCell ref="L99:L100"/>
    <mergeCell ref="M99:M100"/>
    <mergeCell ref="A1:J2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J99:J100"/>
    <mergeCell ref="L43:L44"/>
    <mergeCell ref="M43:M44"/>
    <mergeCell ref="B71:B72"/>
    <mergeCell ref="C71:C72"/>
    <mergeCell ref="D71:D72"/>
    <mergeCell ref="E71:E72"/>
    <mergeCell ref="F71:F72"/>
    <mergeCell ref="G71:G72"/>
    <mergeCell ref="M71:M72"/>
    <mergeCell ref="G43:G44"/>
    <mergeCell ref="H43:H44"/>
    <mergeCell ref="B174:D174"/>
    <mergeCell ref="E174:G174"/>
    <mergeCell ref="H174:J174"/>
    <mergeCell ref="K174:M174"/>
    <mergeCell ref="N174:P174"/>
    <mergeCell ref="H299:J299"/>
    <mergeCell ref="K299:M299"/>
    <mergeCell ref="B202:D202"/>
    <mergeCell ref="F228:I228"/>
    <mergeCell ref="J228:M228"/>
    <mergeCell ref="N228:Q228"/>
    <mergeCell ref="N202:P202"/>
    <mergeCell ref="Q202:S202"/>
    <mergeCell ref="E202:G202"/>
    <mergeCell ref="H202:J202"/>
    <mergeCell ref="K202:M202"/>
    <mergeCell ref="A250:A251"/>
    <mergeCell ref="A271:A272"/>
    <mergeCell ref="A299:A300"/>
    <mergeCell ref="B299:D299"/>
    <mergeCell ref="E299:G299"/>
    <mergeCell ref="AD228:AG228"/>
    <mergeCell ref="AH228:AK228"/>
    <mergeCell ref="AL228:AO228"/>
    <mergeCell ref="AP228:AS228"/>
    <mergeCell ref="B250:E250"/>
    <mergeCell ref="F250:I250"/>
    <mergeCell ref="J250:M250"/>
    <mergeCell ref="N250:Q250"/>
    <mergeCell ref="R250:U250"/>
    <mergeCell ref="V250:Y250"/>
    <mergeCell ref="Z250:AC250"/>
    <mergeCell ref="AD250:AG250"/>
    <mergeCell ref="AH250:AK250"/>
    <mergeCell ref="AL250:AO250"/>
    <mergeCell ref="AP250:AS250"/>
    <mergeCell ref="AI271:AK271"/>
    <mergeCell ref="W299:Y299"/>
    <mergeCell ref="Z299:AB299"/>
    <mergeCell ref="B228:E228"/>
    <mergeCell ref="A174:A175"/>
    <mergeCell ref="A146:A147"/>
    <mergeCell ref="A120:A121"/>
    <mergeCell ref="B120:B121"/>
    <mergeCell ref="C120:C121"/>
    <mergeCell ref="AC299:AE299"/>
    <mergeCell ref="AF299:AH299"/>
    <mergeCell ref="AI299:AK299"/>
    <mergeCell ref="A228:A229"/>
    <mergeCell ref="A202:A203"/>
    <mergeCell ref="B271:D271"/>
    <mergeCell ref="E271:G271"/>
    <mergeCell ref="H271:J271"/>
    <mergeCell ref="K271:M271"/>
    <mergeCell ref="N271:P271"/>
    <mergeCell ref="Q271:S271"/>
    <mergeCell ref="T271:V271"/>
    <mergeCell ref="W271:Y271"/>
    <mergeCell ref="Z271:AB271"/>
    <mergeCell ref="AC271:AE271"/>
    <mergeCell ref="AF271:AH271"/>
    <mergeCell ref="N299:P299"/>
    <mergeCell ref="Q299:S299"/>
    <mergeCell ref="T299:V299"/>
    <mergeCell ref="I120:I121"/>
    <mergeCell ref="J120:J121"/>
    <mergeCell ref="K120:K121"/>
    <mergeCell ref="L120:L121"/>
    <mergeCell ref="M120:M121"/>
    <mergeCell ref="D120:D121"/>
    <mergeCell ref="E120:E121"/>
    <mergeCell ref="F120:F121"/>
    <mergeCell ref="G120:G121"/>
    <mergeCell ref="H120:H121"/>
    <mergeCell ref="A323:A324"/>
    <mergeCell ref="B323:C323"/>
    <mergeCell ref="D323:E323"/>
    <mergeCell ref="F323:G323"/>
    <mergeCell ref="H323:I323"/>
    <mergeCell ref="J323:K323"/>
    <mergeCell ref="L323:M323"/>
    <mergeCell ref="N323:O323"/>
    <mergeCell ref="P323:Q323"/>
    <mergeCell ref="R474:S474"/>
    <mergeCell ref="A342:A343"/>
    <mergeCell ref="R446:S446"/>
    <mergeCell ref="N446:O446"/>
    <mergeCell ref="P446:Q446"/>
    <mergeCell ref="N471:S471"/>
    <mergeCell ref="J369:J370"/>
    <mergeCell ref="K369:K370"/>
    <mergeCell ref="L369:L370"/>
    <mergeCell ref="M369:M370"/>
    <mergeCell ref="B342:D342"/>
    <mergeCell ref="Q342:S342"/>
    <mergeCell ref="A446:A447"/>
    <mergeCell ref="A369:A370"/>
    <mergeCell ref="B369:B370"/>
    <mergeCell ref="C369:C370"/>
    <mergeCell ref="D369:D370"/>
    <mergeCell ref="E369:E370"/>
    <mergeCell ref="F369:F370"/>
    <mergeCell ref="G369:G370"/>
    <mergeCell ref="H369:H370"/>
    <mergeCell ref="I369:I370"/>
    <mergeCell ref="B423:K423"/>
    <mergeCell ref="AL344:AL367"/>
    <mergeCell ref="AX250:AX269"/>
    <mergeCell ref="AL202:AL226"/>
    <mergeCell ref="A474:A475"/>
    <mergeCell ref="B474:C474"/>
    <mergeCell ref="D474:E474"/>
    <mergeCell ref="F474:G474"/>
    <mergeCell ref="B446:C446"/>
    <mergeCell ref="D446:E446"/>
    <mergeCell ref="J446:K446"/>
    <mergeCell ref="L446:M446"/>
    <mergeCell ref="F446:G446"/>
    <mergeCell ref="H446:I446"/>
    <mergeCell ref="T471:Y471"/>
    <mergeCell ref="T474:U474"/>
    <mergeCell ref="V474:W474"/>
    <mergeCell ref="X474:Y474"/>
    <mergeCell ref="P474:Q474"/>
    <mergeCell ref="B471:G471"/>
    <mergeCell ref="H471:M471"/>
    <mergeCell ref="H474:I474"/>
    <mergeCell ref="J474:K474"/>
    <mergeCell ref="L474:M474"/>
    <mergeCell ref="N474:O474"/>
  </mergeCells>
  <printOptions horizontalCentered="1"/>
  <pageMargins left="0" right="0" top="0.5" bottom="0" header="0.3" footer="0.3"/>
  <pageSetup fitToHeight="0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U468"/>
  <sheetViews>
    <sheetView zoomScale="90" zoomScaleNormal="90" workbookViewId="0">
      <pane xSplit="1" ySplit="1" topLeftCell="B121" activePane="bottomRight" state="frozen"/>
      <selection activeCell="N26" sqref="N26"/>
      <selection pane="topRight" activeCell="N26" sqref="N26"/>
      <selection pane="bottomLeft" activeCell="N26" sqref="N26"/>
      <selection pane="bottomRight" activeCell="N26" sqref="N26"/>
    </sheetView>
  </sheetViews>
  <sheetFormatPr defaultColWidth="9.140625" defaultRowHeight="15"/>
  <cols>
    <col min="1" max="1" width="59" style="23" customWidth="1"/>
    <col min="2" max="2" width="10.7109375" style="147" customWidth="1"/>
    <col min="3" max="13" width="10.7109375" style="23" customWidth="1"/>
    <col min="14" max="14" width="7.7109375" style="23" bestFit="1" customWidth="1"/>
    <col min="15" max="16384" width="9.140625" style="23"/>
  </cols>
  <sheetData>
    <row r="1" spans="1:13" s="455" customFormat="1" ht="18">
      <c r="A1" s="1115"/>
      <c r="B1" s="1910">
        <v>42370</v>
      </c>
      <c r="C1" s="1910">
        <v>42401</v>
      </c>
      <c r="D1" s="1910">
        <v>42430</v>
      </c>
      <c r="E1" s="1910">
        <v>42461</v>
      </c>
      <c r="F1" s="1910">
        <v>42491</v>
      </c>
      <c r="G1" s="1910">
        <v>42522</v>
      </c>
      <c r="H1" s="1910">
        <v>42552</v>
      </c>
      <c r="I1" s="1910">
        <v>42583</v>
      </c>
      <c r="J1" s="1910">
        <v>42614</v>
      </c>
      <c r="K1" s="1910">
        <v>42644</v>
      </c>
      <c r="L1" s="1910">
        <v>42675</v>
      </c>
      <c r="M1" s="1910">
        <v>42705</v>
      </c>
    </row>
    <row r="2" spans="1:13" s="455" customFormat="1" ht="18">
      <c r="A2" s="1115"/>
      <c r="B2" s="1116"/>
      <c r="C2" s="1116"/>
      <c r="D2" s="1116"/>
      <c r="E2" s="1116"/>
      <c r="F2" s="1116"/>
      <c r="G2" s="1116"/>
      <c r="H2" s="1116"/>
      <c r="I2" s="1116"/>
      <c r="J2" s="1116"/>
      <c r="K2" s="1116"/>
      <c r="L2" s="1116"/>
      <c r="M2" s="1116"/>
    </row>
    <row r="3" spans="1:13" ht="16.5">
      <c r="A3" s="2986" t="s">
        <v>771</v>
      </c>
      <c r="B3" s="1117"/>
      <c r="C3" s="1117"/>
      <c r="D3" s="1117"/>
      <c r="E3" s="1117"/>
      <c r="F3" s="1117"/>
      <c r="G3" s="1117"/>
      <c r="H3" s="1117"/>
      <c r="I3" s="1117"/>
      <c r="J3" s="1117"/>
      <c r="K3" s="1117"/>
      <c r="L3" s="1117"/>
      <c r="M3" s="1117"/>
    </row>
    <row r="4" spans="1:13" ht="16.5">
      <c r="A4" s="2987"/>
      <c r="B4" s="1117"/>
      <c r="C4" s="1117"/>
      <c r="D4" s="1117"/>
      <c r="E4" s="1117"/>
      <c r="F4" s="1117"/>
      <c r="G4" s="1117"/>
      <c r="H4" s="1117"/>
      <c r="I4" s="1117"/>
      <c r="J4" s="1117"/>
      <c r="K4" s="1117"/>
      <c r="L4" s="1117"/>
      <c r="M4" s="1117"/>
    </row>
    <row r="5" spans="1:13">
      <c r="A5" s="23" t="s">
        <v>624</v>
      </c>
      <c r="B5" s="147">
        <v>7558</v>
      </c>
      <c r="C5" s="129">
        <v>7752</v>
      </c>
      <c r="D5" s="129">
        <v>8404</v>
      </c>
      <c r="E5" s="147">
        <v>7545</v>
      </c>
      <c r="F5" s="129">
        <v>7782</v>
      </c>
      <c r="G5" s="129">
        <v>6870</v>
      </c>
      <c r="H5" s="147">
        <v>7066</v>
      </c>
      <c r="I5" s="147">
        <v>6820</v>
      </c>
      <c r="J5" s="147">
        <v>7417</v>
      </c>
      <c r="K5" s="147">
        <v>7061</v>
      </c>
      <c r="L5" s="129">
        <v>7058</v>
      </c>
      <c r="M5" s="147">
        <v>7664</v>
      </c>
    </row>
    <row r="6" spans="1:13">
      <c r="A6" s="23" t="s">
        <v>418</v>
      </c>
      <c r="B6" s="85">
        <v>16</v>
      </c>
      <c r="C6" s="148">
        <v>16</v>
      </c>
      <c r="D6" s="148">
        <v>11</v>
      </c>
      <c r="E6" s="85">
        <v>9</v>
      </c>
      <c r="F6" s="148">
        <v>8</v>
      </c>
      <c r="G6" s="148">
        <v>6</v>
      </c>
      <c r="H6" s="85">
        <v>6</v>
      </c>
      <c r="I6" s="85">
        <v>5</v>
      </c>
      <c r="J6" s="85">
        <v>6</v>
      </c>
      <c r="K6" s="85">
        <v>6</v>
      </c>
      <c r="L6" s="148">
        <v>7</v>
      </c>
      <c r="M6" s="85">
        <v>9</v>
      </c>
    </row>
    <row r="7" spans="1:13">
      <c r="A7" s="23" t="s">
        <v>160</v>
      </c>
      <c r="B7" s="147">
        <v>143</v>
      </c>
      <c r="C7" s="129">
        <v>171</v>
      </c>
      <c r="D7" s="129">
        <v>142</v>
      </c>
      <c r="E7" s="147">
        <v>177</v>
      </c>
      <c r="F7" s="129">
        <v>133</v>
      </c>
      <c r="G7" s="129">
        <v>80</v>
      </c>
      <c r="H7" s="147">
        <v>58</v>
      </c>
      <c r="I7" s="147">
        <v>62</v>
      </c>
      <c r="J7" s="85">
        <v>94</v>
      </c>
      <c r="K7" s="85">
        <v>74</v>
      </c>
      <c r="L7" s="129">
        <v>54</v>
      </c>
      <c r="M7" s="147">
        <v>90</v>
      </c>
    </row>
    <row r="8" spans="1:13">
      <c r="A8" s="171" t="s">
        <v>161</v>
      </c>
      <c r="B8" s="173">
        <f>B7/B5</f>
        <v>1.8920349298756283E-2</v>
      </c>
      <c r="C8" s="173">
        <f>IFERROR(C7/C5,0)</f>
        <v>2.2058823529411766E-2</v>
      </c>
      <c r="D8" s="173">
        <f t="shared" ref="D8:M8" si="0">IFERROR(D7/D5,0)</f>
        <v>1.6896715849595432E-2</v>
      </c>
      <c r="E8" s="173">
        <f t="shared" si="0"/>
        <v>2.3459244532803181E-2</v>
      </c>
      <c r="F8" s="173">
        <f t="shared" si="0"/>
        <v>1.7090722179388333E-2</v>
      </c>
      <c r="G8" s="173">
        <f t="shared" si="0"/>
        <v>1.1644832605531296E-2</v>
      </c>
      <c r="H8" s="173">
        <f t="shared" si="0"/>
        <v>8.2083215397679033E-3</v>
      </c>
      <c r="I8" s="173">
        <f t="shared" si="0"/>
        <v>9.0909090909090905E-3</v>
      </c>
      <c r="J8" s="173">
        <f t="shared" si="0"/>
        <v>1.267358770392342E-2</v>
      </c>
      <c r="K8" s="173">
        <f t="shared" si="0"/>
        <v>1.0480101968559695E-2</v>
      </c>
      <c r="L8" s="173">
        <f t="shared" si="0"/>
        <v>7.6508926041371494E-3</v>
      </c>
      <c r="M8" s="173">
        <f t="shared" si="0"/>
        <v>1.174321503131524E-2</v>
      </c>
    </row>
    <row r="9" spans="1:13">
      <c r="A9" s="23" t="s">
        <v>622</v>
      </c>
      <c r="B9" s="147">
        <v>1599</v>
      </c>
      <c r="C9" s="129">
        <v>1326</v>
      </c>
      <c r="D9" s="129">
        <v>1773</v>
      </c>
      <c r="E9" s="147">
        <v>1631</v>
      </c>
      <c r="F9" s="129">
        <v>1846</v>
      </c>
      <c r="G9" s="129">
        <v>1725</v>
      </c>
      <c r="H9" s="147">
        <v>1811</v>
      </c>
      <c r="I9" s="147">
        <v>1777</v>
      </c>
      <c r="J9" s="147">
        <v>1564</v>
      </c>
      <c r="K9" s="147">
        <v>1789</v>
      </c>
      <c r="L9" s="129">
        <v>1841</v>
      </c>
      <c r="M9" s="147">
        <v>1763</v>
      </c>
    </row>
    <row r="10" spans="1:13">
      <c r="A10" s="171" t="s">
        <v>621</v>
      </c>
      <c r="B10" s="173">
        <f>B9/B5</f>
        <v>0.21156390579518392</v>
      </c>
      <c r="C10" s="173">
        <f>IFERROR(C9/C5,0)</f>
        <v>0.17105263157894737</v>
      </c>
      <c r="D10" s="173">
        <f t="shared" ref="D10:M10" si="1">IFERROR(D9/D5,0)</f>
        <v>0.2109709662065683</v>
      </c>
      <c r="E10" s="173">
        <f t="shared" si="1"/>
        <v>0.21616964877402253</v>
      </c>
      <c r="F10" s="173">
        <f t="shared" si="1"/>
        <v>0.23721408378308917</v>
      </c>
      <c r="G10" s="173">
        <f t="shared" si="1"/>
        <v>0.25109170305676853</v>
      </c>
      <c r="H10" s="173">
        <f t="shared" si="1"/>
        <v>0.25629776393999432</v>
      </c>
      <c r="I10" s="173">
        <f t="shared" si="1"/>
        <v>0.26055718475073314</v>
      </c>
      <c r="J10" s="173">
        <f t="shared" si="1"/>
        <v>0.21086692732910881</v>
      </c>
      <c r="K10" s="173">
        <f t="shared" si="1"/>
        <v>0.25336354623990937</v>
      </c>
      <c r="L10" s="173">
        <f t="shared" si="1"/>
        <v>0.26083876452252763</v>
      </c>
      <c r="M10" s="173">
        <f t="shared" si="1"/>
        <v>0.23003653444676408</v>
      </c>
    </row>
    <row r="11" spans="1:13">
      <c r="A11" s="23" t="s">
        <v>539</v>
      </c>
      <c r="B11" s="85">
        <v>459</v>
      </c>
      <c r="C11" s="148">
        <v>448</v>
      </c>
      <c r="D11" s="148">
        <v>362</v>
      </c>
      <c r="E11" s="85">
        <v>381</v>
      </c>
      <c r="F11" s="148">
        <v>296</v>
      </c>
      <c r="G11" s="148">
        <v>274</v>
      </c>
      <c r="H11" s="85">
        <v>261</v>
      </c>
      <c r="I11" s="85">
        <v>284</v>
      </c>
      <c r="J11" s="85">
        <v>323</v>
      </c>
      <c r="K11" s="85">
        <v>297</v>
      </c>
      <c r="L11" s="148">
        <v>293</v>
      </c>
      <c r="M11" s="85">
        <v>314</v>
      </c>
    </row>
    <row r="12" spans="1:13">
      <c r="A12" s="171" t="s">
        <v>528</v>
      </c>
      <c r="B12" s="172">
        <f>B13/B5</f>
        <v>0.78843609420481608</v>
      </c>
      <c r="C12" s="173">
        <f>IFERROR(C13/C5,0)</f>
        <v>0.82894736842105265</v>
      </c>
      <c r="D12" s="173">
        <f t="shared" ref="D12:M12" si="2">IFERROR(D13/D5,0)</f>
        <v>0.7890290337934317</v>
      </c>
      <c r="E12" s="173">
        <f t="shared" si="2"/>
        <v>0.78383035122597744</v>
      </c>
      <c r="F12" s="173">
        <f t="shared" si="2"/>
        <v>0.76278591621691083</v>
      </c>
      <c r="G12" s="173">
        <f t="shared" si="2"/>
        <v>0.74890829694323147</v>
      </c>
      <c r="H12" s="173">
        <f t="shared" si="2"/>
        <v>0.70987829040475514</v>
      </c>
      <c r="I12" s="173">
        <f t="shared" si="2"/>
        <v>0.69618768328445746</v>
      </c>
      <c r="J12" s="173">
        <f t="shared" si="2"/>
        <v>0.70891195901307802</v>
      </c>
      <c r="K12" s="173">
        <f t="shared" si="2"/>
        <v>0.70174196289477409</v>
      </c>
      <c r="L12" s="173">
        <f t="shared" si="2"/>
        <v>0.70204023802776994</v>
      </c>
      <c r="M12" s="173">
        <f t="shared" si="2"/>
        <v>0.72325156576200422</v>
      </c>
    </row>
    <row r="13" spans="1:13">
      <c r="A13" s="171" t="s">
        <v>623</v>
      </c>
      <c r="B13" s="750">
        <f t="shared" ref="B13:G13" si="3">B5-B9</f>
        <v>5959</v>
      </c>
      <c r="C13" s="750">
        <f t="shared" si="3"/>
        <v>6426</v>
      </c>
      <c r="D13" s="750">
        <f t="shared" si="3"/>
        <v>6631</v>
      </c>
      <c r="E13" s="750">
        <f t="shared" si="3"/>
        <v>5914</v>
      </c>
      <c r="F13" s="750">
        <f t="shared" si="3"/>
        <v>5936</v>
      </c>
      <c r="G13" s="750">
        <f t="shared" si="3"/>
        <v>5145</v>
      </c>
      <c r="H13" s="750">
        <v>5016</v>
      </c>
      <c r="I13" s="750">
        <v>4748</v>
      </c>
      <c r="J13" s="750">
        <v>5258</v>
      </c>
      <c r="K13" s="750">
        <v>4955</v>
      </c>
      <c r="L13" s="750">
        <v>4955</v>
      </c>
      <c r="M13" s="750">
        <v>5543</v>
      </c>
    </row>
    <row r="14" spans="1:13">
      <c r="A14" s="23" t="s">
        <v>637</v>
      </c>
      <c r="B14" s="85">
        <v>186</v>
      </c>
      <c r="C14" s="148">
        <v>194</v>
      </c>
      <c r="D14" s="148">
        <v>173</v>
      </c>
      <c r="E14" s="85">
        <v>170</v>
      </c>
      <c r="F14" s="148">
        <v>152</v>
      </c>
      <c r="G14" s="148">
        <v>142</v>
      </c>
      <c r="H14" s="85">
        <v>130</v>
      </c>
      <c r="I14" s="85">
        <v>132</v>
      </c>
      <c r="J14" s="85">
        <v>143</v>
      </c>
      <c r="K14" s="85">
        <v>143</v>
      </c>
      <c r="L14" s="148">
        <v>136</v>
      </c>
      <c r="M14" s="85">
        <v>152</v>
      </c>
    </row>
    <row r="15" spans="1:13">
      <c r="A15" s="23" t="s">
        <v>383</v>
      </c>
      <c r="B15" s="147">
        <f>3+284</f>
        <v>287</v>
      </c>
      <c r="C15" s="129">
        <v>305</v>
      </c>
      <c r="D15" s="129">
        <v>146</v>
      </c>
      <c r="E15" s="147">
        <v>173</v>
      </c>
      <c r="F15" s="129">
        <v>95</v>
      </c>
      <c r="G15" s="129">
        <v>32</v>
      </c>
      <c r="H15" s="147">
        <v>48</v>
      </c>
      <c r="I15" s="147">
        <v>47</v>
      </c>
      <c r="J15" s="147">
        <v>37</v>
      </c>
      <c r="K15" s="147">
        <v>28</v>
      </c>
      <c r="L15" s="129">
        <v>33</v>
      </c>
      <c r="M15" s="129">
        <v>89</v>
      </c>
    </row>
    <row r="16" spans="1:13">
      <c r="A16" s="174" t="s">
        <v>421</v>
      </c>
      <c r="B16" s="173">
        <f>B15/B5</f>
        <v>3.7973008732468908E-2</v>
      </c>
      <c r="C16" s="173">
        <f>IFERROR(C15/C5,0)</f>
        <v>3.9344685242518058E-2</v>
      </c>
      <c r="D16" s="173">
        <f t="shared" ref="D16:M16" si="4">IFERROR(D15/D5,0)</f>
        <v>1.7372679676344597E-2</v>
      </c>
      <c r="E16" s="173">
        <f t="shared" si="4"/>
        <v>2.2929092113982769E-2</v>
      </c>
      <c r="F16" s="173">
        <f t="shared" si="4"/>
        <v>1.2207658699563095E-2</v>
      </c>
      <c r="G16" s="173">
        <f t="shared" si="4"/>
        <v>4.6579330422125186E-3</v>
      </c>
      <c r="H16" s="173">
        <f t="shared" si="4"/>
        <v>6.7930936880837818E-3</v>
      </c>
      <c r="I16" s="173">
        <f t="shared" si="4"/>
        <v>6.8914956011730203E-3</v>
      </c>
      <c r="J16" s="173">
        <f t="shared" si="4"/>
        <v>4.9885398409060264E-3</v>
      </c>
      <c r="K16" s="173">
        <f t="shared" si="4"/>
        <v>3.9654439881036683E-3</v>
      </c>
      <c r="L16" s="173">
        <f t="shared" si="4"/>
        <v>4.675545480306036E-3</v>
      </c>
      <c r="M16" s="173">
        <f t="shared" si="4"/>
        <v>1.1612734864300627E-2</v>
      </c>
    </row>
    <row r="17" spans="1:13">
      <c r="A17" s="748" t="s">
        <v>1</v>
      </c>
      <c r="B17" s="147">
        <v>54</v>
      </c>
      <c r="C17" s="129">
        <v>47</v>
      </c>
      <c r="D17" s="129">
        <v>55</v>
      </c>
      <c r="E17" s="147">
        <v>57</v>
      </c>
      <c r="F17" s="129">
        <v>53</v>
      </c>
      <c r="G17" s="129">
        <v>44</v>
      </c>
      <c r="H17" s="147">
        <v>39</v>
      </c>
      <c r="I17" s="147">
        <v>49</v>
      </c>
      <c r="J17" s="147">
        <v>59</v>
      </c>
      <c r="K17" s="147">
        <v>55</v>
      </c>
      <c r="L17" s="129">
        <v>40</v>
      </c>
      <c r="M17" s="147">
        <v>60</v>
      </c>
    </row>
    <row r="18" spans="1:13">
      <c r="A18" s="174" t="s">
        <v>422</v>
      </c>
      <c r="B18" s="173">
        <f>B17/B5</f>
        <v>7.1447472876422337E-3</v>
      </c>
      <c r="C18" s="173">
        <f>IFERROR(C17/C5,0)</f>
        <v>6.0629514963880292E-3</v>
      </c>
      <c r="D18" s="173">
        <f t="shared" ref="D18:M18" si="5">IFERROR(D17/D5,0)</f>
        <v>6.5445026178010471E-3</v>
      </c>
      <c r="E18" s="173">
        <f t="shared" si="5"/>
        <v>7.5546719681908545E-3</v>
      </c>
      <c r="F18" s="173">
        <f t="shared" si="5"/>
        <v>6.8105885376509891E-3</v>
      </c>
      <c r="G18" s="173">
        <f t="shared" si="5"/>
        <v>6.4046579330422123E-3</v>
      </c>
      <c r="H18" s="173">
        <f t="shared" si="5"/>
        <v>5.5193886215680723E-3</v>
      </c>
      <c r="I18" s="173">
        <f t="shared" si="5"/>
        <v>7.1847507331378301E-3</v>
      </c>
      <c r="J18" s="173">
        <f t="shared" si="5"/>
        <v>7.9546986652285299E-3</v>
      </c>
      <c r="K18" s="173">
        <f t="shared" si="5"/>
        <v>7.7892649766322054E-3</v>
      </c>
      <c r="L18" s="173">
        <f t="shared" si="5"/>
        <v>5.6673278549164065E-3</v>
      </c>
      <c r="M18" s="173">
        <f t="shared" si="5"/>
        <v>7.8288100208768266E-3</v>
      </c>
    </row>
    <row r="19" spans="1:13">
      <c r="A19" s="748" t="s">
        <v>529</v>
      </c>
      <c r="B19" s="130">
        <v>0.75800000000000001</v>
      </c>
      <c r="C19" s="130">
        <v>0.61299999999999999</v>
      </c>
      <c r="D19" s="130">
        <v>0.65200000000000002</v>
      </c>
      <c r="E19" s="130">
        <v>0.73299999999999998</v>
      </c>
      <c r="F19" s="130">
        <v>0.68</v>
      </c>
      <c r="G19" s="130">
        <v>0.71499999999999997</v>
      </c>
      <c r="H19" s="130">
        <v>0.78900000000000003</v>
      </c>
      <c r="I19" s="130">
        <v>0.80200000000000005</v>
      </c>
      <c r="J19" s="130">
        <v>0.749</v>
      </c>
      <c r="K19" s="130">
        <v>0.70699999999999996</v>
      </c>
      <c r="L19" s="130">
        <v>0.76500000000000001</v>
      </c>
      <c r="M19" s="130"/>
    </row>
    <row r="20" spans="1:13">
      <c r="A20" s="748" t="s">
        <v>288</v>
      </c>
      <c r="B20" s="1122"/>
      <c r="C20" s="1122"/>
      <c r="D20" s="1122"/>
      <c r="E20" s="1122"/>
      <c r="F20" s="1122"/>
      <c r="G20" s="1122"/>
      <c r="H20" s="1122"/>
      <c r="I20" s="1122"/>
      <c r="J20" s="1122"/>
      <c r="K20" s="1122"/>
      <c r="L20" s="1122"/>
      <c r="M20" s="1122"/>
    </row>
    <row r="21" spans="1:13">
      <c r="A21" s="748" t="s">
        <v>289</v>
      </c>
      <c r="B21" s="1122"/>
      <c r="C21" s="1523"/>
      <c r="D21" s="1122"/>
      <c r="E21" s="1122"/>
      <c r="F21" s="1122"/>
      <c r="G21" s="1122"/>
      <c r="H21" s="1122"/>
      <c r="I21" s="1122"/>
      <c r="J21" s="1122"/>
      <c r="K21" s="1122"/>
      <c r="L21" s="1122"/>
      <c r="M21" s="1122"/>
    </row>
    <row r="22" spans="1:13">
      <c r="A22" s="748" t="s">
        <v>290</v>
      </c>
      <c r="B22" s="1122">
        <v>0.5</v>
      </c>
      <c r="C22" s="1122">
        <v>0.64</v>
      </c>
      <c r="D22" s="1122"/>
      <c r="E22" s="1122"/>
      <c r="F22" s="1122"/>
      <c r="G22" s="1122"/>
      <c r="H22" s="1122"/>
      <c r="I22" s="1122"/>
      <c r="J22" s="1122"/>
      <c r="K22" s="1122"/>
      <c r="L22" s="1122"/>
      <c r="M22" s="1122"/>
    </row>
    <row r="23" spans="1:13" ht="16.5">
      <c r="A23" s="2986" t="s">
        <v>803</v>
      </c>
      <c r="B23" s="1117"/>
      <c r="C23" s="1117"/>
      <c r="D23" s="1117"/>
      <c r="E23" s="1117"/>
      <c r="F23" s="1117"/>
      <c r="G23" s="1117"/>
      <c r="H23" s="1117"/>
      <c r="I23" s="1117"/>
      <c r="J23" s="1117"/>
      <c r="K23" s="1117"/>
      <c r="L23" s="1117"/>
      <c r="M23" s="1117"/>
    </row>
    <row r="24" spans="1:13" ht="16.5">
      <c r="A24" s="2987"/>
      <c r="B24" s="1117"/>
      <c r="C24" s="1117"/>
      <c r="D24" s="1117"/>
      <c r="E24" s="1117"/>
      <c r="F24" s="1117"/>
      <c r="G24" s="1117"/>
      <c r="H24" s="1117"/>
      <c r="I24" s="1117"/>
      <c r="J24" s="1117"/>
      <c r="K24" s="1117"/>
      <c r="L24" s="1117"/>
      <c r="M24" s="1117"/>
    </row>
    <row r="25" spans="1:13">
      <c r="A25" s="23" t="s">
        <v>530</v>
      </c>
      <c r="B25" s="1104"/>
      <c r="C25" s="1104"/>
      <c r="D25" s="1104"/>
      <c r="E25" s="1104"/>
      <c r="F25" s="1104"/>
      <c r="G25" s="1104"/>
      <c r="H25" s="1104"/>
      <c r="I25" s="1104"/>
      <c r="J25" s="1104"/>
      <c r="K25" s="1104"/>
      <c r="L25" s="1104"/>
      <c r="M25" s="1104"/>
    </row>
    <row r="26" spans="1:13">
      <c r="A26" s="23" t="s">
        <v>418</v>
      </c>
      <c r="B26" s="1120"/>
      <c r="C26" s="1120"/>
      <c r="D26" s="1120"/>
      <c r="E26" s="1120"/>
      <c r="F26" s="1120"/>
      <c r="G26" s="1120"/>
      <c r="H26" s="1120"/>
      <c r="I26" s="1120"/>
      <c r="J26" s="1120"/>
      <c r="K26" s="1120"/>
      <c r="L26" s="1120"/>
      <c r="M26" s="1120"/>
    </row>
    <row r="27" spans="1:13">
      <c r="A27" s="23" t="s">
        <v>160</v>
      </c>
      <c r="B27" s="1104"/>
      <c r="C27" s="1104"/>
      <c r="D27" s="1104"/>
      <c r="E27" s="1104"/>
      <c r="F27" s="1104"/>
      <c r="G27" s="1104"/>
      <c r="H27" s="1104"/>
      <c r="I27" s="1104"/>
      <c r="J27" s="1120"/>
      <c r="K27" s="1120"/>
      <c r="L27" s="1104"/>
      <c r="M27" s="1104"/>
    </row>
    <row r="28" spans="1:13">
      <c r="A28" s="171" t="s">
        <v>161</v>
      </c>
      <c r="B28" s="1121"/>
      <c r="C28" s="1121"/>
      <c r="D28" s="1121"/>
      <c r="E28" s="1121"/>
      <c r="F28" s="1121"/>
      <c r="G28" s="1121"/>
      <c r="H28" s="1121"/>
      <c r="I28" s="1121"/>
      <c r="J28" s="1121"/>
      <c r="K28" s="1121"/>
      <c r="L28" s="1121"/>
      <c r="M28" s="1121"/>
    </row>
    <row r="29" spans="1:13">
      <c r="A29" s="23" t="s">
        <v>622</v>
      </c>
      <c r="B29" s="1104"/>
      <c r="C29" s="1104"/>
      <c r="D29" s="1104"/>
      <c r="E29" s="1104"/>
      <c r="F29" s="1104"/>
      <c r="G29" s="1104"/>
      <c r="H29" s="1104"/>
      <c r="I29" s="1104"/>
      <c r="J29" s="1104"/>
      <c r="K29" s="1104"/>
      <c r="L29" s="1104"/>
      <c r="M29" s="1104"/>
    </row>
    <row r="30" spans="1:13">
      <c r="A30" s="171" t="s">
        <v>621</v>
      </c>
      <c r="B30" s="1121"/>
      <c r="C30" s="1121"/>
      <c r="D30" s="1121"/>
      <c r="E30" s="1121"/>
      <c r="F30" s="1121"/>
      <c r="G30" s="1121"/>
      <c r="H30" s="1121"/>
      <c r="I30" s="1121"/>
      <c r="J30" s="1121"/>
      <c r="K30" s="1121"/>
      <c r="L30" s="1121"/>
      <c r="M30" s="1121"/>
    </row>
    <row r="31" spans="1:13">
      <c r="A31" s="23" t="s">
        <v>539</v>
      </c>
      <c r="B31" s="1120"/>
      <c r="C31" s="1120"/>
      <c r="D31" s="1120"/>
      <c r="E31" s="1120"/>
      <c r="F31" s="1120"/>
      <c r="G31" s="1120"/>
      <c r="H31" s="1120"/>
      <c r="I31" s="1120"/>
      <c r="J31" s="1120"/>
      <c r="K31" s="1120"/>
      <c r="L31" s="1120"/>
      <c r="M31" s="1120"/>
    </row>
    <row r="32" spans="1:13">
      <c r="A32" s="171" t="s">
        <v>528</v>
      </c>
      <c r="B32" s="1122"/>
      <c r="C32" s="1121"/>
      <c r="D32" s="1121"/>
      <c r="E32" s="1121"/>
      <c r="F32" s="1121"/>
      <c r="G32" s="1121"/>
      <c r="H32" s="1121"/>
      <c r="I32" s="1121"/>
      <c r="J32" s="1121"/>
      <c r="K32" s="1121"/>
      <c r="L32" s="1121"/>
      <c r="M32" s="1121"/>
    </row>
    <row r="33" spans="1:13">
      <c r="A33" s="171" t="s">
        <v>39</v>
      </c>
      <c r="B33" s="1104"/>
      <c r="C33" s="1104"/>
      <c r="D33" s="1104"/>
      <c r="E33" s="1104"/>
      <c r="F33" s="1104"/>
      <c r="G33" s="1104"/>
      <c r="H33" s="1104"/>
      <c r="I33" s="1104"/>
      <c r="J33" s="1104"/>
      <c r="K33" s="1104"/>
      <c r="L33" s="1104"/>
      <c r="M33" s="1104"/>
    </row>
    <row r="34" spans="1:13">
      <c r="A34" s="23" t="s">
        <v>637</v>
      </c>
      <c r="B34" s="1120"/>
      <c r="C34" s="1120"/>
      <c r="D34" s="1120"/>
      <c r="E34" s="1120"/>
      <c r="F34" s="1120"/>
      <c r="G34" s="1120"/>
      <c r="H34" s="1120"/>
      <c r="I34" s="1120"/>
      <c r="J34" s="1120"/>
      <c r="K34" s="1120"/>
      <c r="L34" s="1120"/>
      <c r="M34" s="1120"/>
    </row>
    <row r="35" spans="1:13">
      <c r="A35" s="23" t="s">
        <v>383</v>
      </c>
      <c r="B35" s="1104"/>
      <c r="C35" s="1104"/>
      <c r="D35" s="1104"/>
      <c r="E35" s="1104"/>
      <c r="F35" s="1104"/>
      <c r="G35" s="1104"/>
      <c r="H35" s="1104"/>
      <c r="I35" s="1104"/>
      <c r="J35" s="1104"/>
      <c r="K35" s="1104"/>
      <c r="L35" s="1104"/>
      <c r="M35" s="1104"/>
    </row>
    <row r="36" spans="1:13">
      <c r="A36" s="174" t="s">
        <v>421</v>
      </c>
      <c r="B36" s="1121"/>
      <c r="C36" s="1121"/>
      <c r="D36" s="1121"/>
      <c r="E36" s="1121"/>
      <c r="F36" s="1121"/>
      <c r="G36" s="1121"/>
      <c r="H36" s="1121"/>
      <c r="I36" s="1121"/>
      <c r="J36" s="1121"/>
      <c r="K36" s="1121"/>
      <c r="L36" s="1121"/>
      <c r="M36" s="1121"/>
    </row>
    <row r="37" spans="1:13">
      <c r="A37" s="973" t="s">
        <v>1</v>
      </c>
      <c r="B37" s="1104"/>
      <c r="C37" s="1104"/>
      <c r="D37" s="1104"/>
      <c r="E37" s="1104"/>
      <c r="F37" s="1104"/>
      <c r="G37" s="1104"/>
      <c r="H37" s="1104"/>
      <c r="I37" s="1104"/>
      <c r="J37" s="1104"/>
      <c r="K37" s="1104"/>
      <c r="L37" s="1104"/>
      <c r="M37" s="1104"/>
    </row>
    <row r="38" spans="1:13">
      <c r="A38" s="174" t="s">
        <v>422</v>
      </c>
      <c r="B38" s="1121"/>
      <c r="C38" s="1121"/>
      <c r="D38" s="1121"/>
      <c r="E38" s="1121"/>
      <c r="F38" s="1121"/>
      <c r="G38" s="1121"/>
      <c r="H38" s="1121"/>
      <c r="I38" s="1121"/>
      <c r="J38" s="1121"/>
      <c r="K38" s="1121"/>
      <c r="L38" s="1121"/>
      <c r="M38" s="1121"/>
    </row>
    <row r="39" spans="1:13">
      <c r="A39" s="973" t="s">
        <v>529</v>
      </c>
      <c r="B39" s="1121"/>
      <c r="C39" s="1121"/>
      <c r="D39" s="1121"/>
      <c r="E39" s="1121"/>
      <c r="F39" s="1121"/>
      <c r="G39" s="1121"/>
      <c r="H39" s="1121"/>
      <c r="I39" s="1121"/>
      <c r="J39" s="1121"/>
      <c r="K39" s="1121"/>
      <c r="L39" s="1121"/>
      <c r="M39" s="1121"/>
    </row>
    <row r="40" spans="1:13">
      <c r="A40" s="973" t="s">
        <v>288</v>
      </c>
      <c r="B40" s="1122"/>
      <c r="C40" s="1122"/>
      <c r="D40" s="1122"/>
      <c r="E40" s="1122"/>
      <c r="F40" s="1122"/>
      <c r="G40" s="1122"/>
      <c r="H40" s="1122"/>
      <c r="I40" s="1122"/>
      <c r="J40" s="1122"/>
      <c r="K40" s="1122"/>
      <c r="L40" s="1122"/>
      <c r="M40" s="1122"/>
    </row>
    <row r="41" spans="1:13">
      <c r="A41" s="973" t="s">
        <v>289</v>
      </c>
      <c r="B41" s="1122"/>
      <c r="C41" s="1523"/>
      <c r="D41" s="1122"/>
      <c r="E41" s="1122"/>
      <c r="F41" s="1122"/>
      <c r="G41" s="1122"/>
      <c r="H41" s="1122"/>
      <c r="I41" s="1122"/>
      <c r="J41" s="1122"/>
      <c r="K41" s="1122"/>
      <c r="L41" s="1122"/>
      <c r="M41" s="1122"/>
    </row>
    <row r="42" spans="1:13">
      <c r="A42" s="973" t="s">
        <v>290</v>
      </c>
      <c r="B42" s="1122"/>
      <c r="C42" s="1122"/>
      <c r="D42" s="1122"/>
      <c r="E42" s="1122"/>
      <c r="F42" s="1122"/>
      <c r="G42" s="1122"/>
      <c r="H42" s="1122"/>
      <c r="I42" s="1122"/>
      <c r="J42" s="1122"/>
      <c r="K42" s="1122"/>
      <c r="L42" s="1122"/>
      <c r="M42" s="1122"/>
    </row>
    <row r="43" spans="1:13" ht="16.5">
      <c r="A43" s="2986" t="s">
        <v>772</v>
      </c>
      <c r="B43" s="1118"/>
      <c r="C43" s="1118"/>
      <c r="D43" s="1118"/>
      <c r="E43" s="1118"/>
      <c r="F43" s="1118"/>
      <c r="G43" s="1118"/>
      <c r="H43" s="1118"/>
      <c r="I43" s="1118"/>
      <c r="J43" s="1118"/>
      <c r="K43" s="1118"/>
      <c r="L43" s="1118"/>
      <c r="M43" s="1118"/>
    </row>
    <row r="44" spans="1:13" ht="16.5">
      <c r="A44" s="2987"/>
      <c r="B44" s="1118"/>
      <c r="C44" s="1118"/>
      <c r="D44" s="1118"/>
      <c r="E44" s="1118"/>
      <c r="F44" s="1118"/>
      <c r="G44" s="1118"/>
      <c r="H44" s="1118"/>
      <c r="I44" s="1118"/>
      <c r="J44" s="1118"/>
      <c r="K44" s="1118"/>
      <c r="L44" s="1118"/>
      <c r="M44" s="1118"/>
    </row>
    <row r="45" spans="1:13">
      <c r="A45" s="23" t="s">
        <v>530</v>
      </c>
      <c r="B45" s="147">
        <v>7515</v>
      </c>
      <c r="C45" s="129">
        <v>7460</v>
      </c>
      <c r="D45" s="129">
        <v>8153</v>
      </c>
      <c r="E45" s="147">
        <v>7404</v>
      </c>
      <c r="F45" s="129">
        <v>7247</v>
      </c>
      <c r="G45" s="129">
        <v>7064</v>
      </c>
      <c r="H45" s="147">
        <v>7151</v>
      </c>
      <c r="I45" s="147">
        <v>7062</v>
      </c>
      <c r="J45" s="147">
        <v>7175</v>
      </c>
      <c r="K45" s="147">
        <v>7101</v>
      </c>
      <c r="L45" s="129">
        <v>6893</v>
      </c>
      <c r="M45" s="147">
        <v>7295</v>
      </c>
    </row>
    <row r="46" spans="1:13">
      <c r="A46" s="23" t="s">
        <v>418</v>
      </c>
      <c r="B46" s="85">
        <v>10</v>
      </c>
      <c r="C46" s="148">
        <v>9</v>
      </c>
      <c r="D46" s="148">
        <v>10</v>
      </c>
      <c r="E46" s="85">
        <v>7</v>
      </c>
      <c r="F46" s="148">
        <v>9</v>
      </c>
      <c r="G46" s="148">
        <v>8</v>
      </c>
      <c r="H46" s="85">
        <v>6</v>
      </c>
      <c r="I46" s="85">
        <v>7</v>
      </c>
      <c r="J46" s="85">
        <v>8</v>
      </c>
      <c r="K46" s="85">
        <v>8</v>
      </c>
      <c r="L46" s="148">
        <v>7</v>
      </c>
      <c r="M46" s="85">
        <v>8</v>
      </c>
    </row>
    <row r="47" spans="1:13">
      <c r="A47" s="23" t="s">
        <v>160</v>
      </c>
      <c r="B47" s="147">
        <v>303</v>
      </c>
      <c r="C47" s="129">
        <v>308</v>
      </c>
      <c r="D47" s="129">
        <v>143</v>
      </c>
      <c r="E47" s="147">
        <v>153</v>
      </c>
      <c r="F47" s="129">
        <v>223</v>
      </c>
      <c r="G47" s="129">
        <v>180</v>
      </c>
      <c r="H47" s="147">
        <v>179</v>
      </c>
      <c r="I47" s="147">
        <v>243</v>
      </c>
      <c r="J47" s="85">
        <v>236</v>
      </c>
      <c r="K47" s="85">
        <v>135</v>
      </c>
      <c r="L47" s="129">
        <v>208</v>
      </c>
      <c r="M47" s="147">
        <v>174</v>
      </c>
    </row>
    <row r="48" spans="1:13">
      <c r="A48" s="171" t="s">
        <v>161</v>
      </c>
      <c r="B48" s="173">
        <f>B47/B45</f>
        <v>4.0319361277445107E-2</v>
      </c>
      <c r="C48" s="173">
        <f>IFERROR(C47/C45,0)</f>
        <v>4.1286863270777477E-2</v>
      </c>
      <c r="D48" s="173">
        <f t="shared" ref="D48:M48" si="6">IFERROR(D47/D45,0)</f>
        <v>1.7539555991659513E-2</v>
      </c>
      <c r="E48" s="173">
        <f t="shared" si="6"/>
        <v>2.0664505672609402E-2</v>
      </c>
      <c r="F48" s="173">
        <f t="shared" si="6"/>
        <v>3.0771353663584931E-2</v>
      </c>
      <c r="G48" s="173">
        <f t="shared" si="6"/>
        <v>2.5481313703284259E-2</v>
      </c>
      <c r="H48" s="173">
        <f t="shared" si="6"/>
        <v>2.5031464130890784E-2</v>
      </c>
      <c r="I48" s="173">
        <f t="shared" si="6"/>
        <v>3.4409515717926935E-2</v>
      </c>
      <c r="J48" s="173">
        <f t="shared" si="6"/>
        <v>3.2891986062717773E-2</v>
      </c>
      <c r="K48" s="173">
        <f t="shared" si="6"/>
        <v>1.9011406844106463E-2</v>
      </c>
      <c r="L48" s="173">
        <f t="shared" si="6"/>
        <v>3.0175540403307704E-2</v>
      </c>
      <c r="M48" s="173">
        <f t="shared" si="6"/>
        <v>2.385195339273475E-2</v>
      </c>
    </row>
    <row r="49" spans="1:13">
      <c r="A49" s="23" t="s">
        <v>622</v>
      </c>
      <c r="B49" s="147">
        <v>3008</v>
      </c>
      <c r="C49" s="129">
        <v>2853</v>
      </c>
      <c r="D49" s="129">
        <v>3055</v>
      </c>
      <c r="E49" s="147">
        <v>2776</v>
      </c>
      <c r="F49" s="129">
        <v>2795</v>
      </c>
      <c r="G49" s="129">
        <v>2694</v>
      </c>
      <c r="H49" s="147">
        <v>2677</v>
      </c>
      <c r="I49" s="147">
        <v>2708</v>
      </c>
      <c r="J49" s="147">
        <v>2721</v>
      </c>
      <c r="K49" s="147">
        <v>2640</v>
      </c>
      <c r="L49" s="129">
        <v>2660</v>
      </c>
      <c r="M49" s="147">
        <v>2859</v>
      </c>
    </row>
    <row r="50" spans="1:13">
      <c r="A50" s="171" t="s">
        <v>620</v>
      </c>
      <c r="B50" s="173">
        <f>B49/B45</f>
        <v>0.4002661343978709</v>
      </c>
      <c r="C50" s="173">
        <f>IFERROR(C49/C45,0)</f>
        <v>0.38243967828418229</v>
      </c>
      <c r="D50" s="173">
        <f t="shared" ref="D50:M50" si="7">IFERROR(D49/D45,0)</f>
        <v>0.37470869618545322</v>
      </c>
      <c r="E50" s="173">
        <f t="shared" si="7"/>
        <v>0.37493246893571042</v>
      </c>
      <c r="F50" s="173">
        <f t="shared" si="7"/>
        <v>0.38567683179246587</v>
      </c>
      <c r="G50" s="173">
        <f t="shared" si="7"/>
        <v>0.38137032842582108</v>
      </c>
      <c r="H50" s="173">
        <f t="shared" si="7"/>
        <v>0.37435323730946723</v>
      </c>
      <c r="I50" s="173">
        <f t="shared" si="7"/>
        <v>0.38346077598414047</v>
      </c>
      <c r="J50" s="173">
        <f t="shared" si="7"/>
        <v>0.37923344947735194</v>
      </c>
      <c r="K50" s="173">
        <f t="shared" si="7"/>
        <v>0.3717786227291931</v>
      </c>
      <c r="L50" s="173">
        <f t="shared" si="7"/>
        <v>0.38589873784999273</v>
      </c>
      <c r="M50" s="173">
        <f t="shared" si="7"/>
        <v>0.39191226867717616</v>
      </c>
    </row>
    <row r="51" spans="1:13">
      <c r="A51" s="23" t="s">
        <v>539</v>
      </c>
      <c r="B51" s="85">
        <v>352</v>
      </c>
      <c r="C51" s="148">
        <v>392</v>
      </c>
      <c r="D51" s="148">
        <v>367</v>
      </c>
      <c r="E51" s="85">
        <v>290</v>
      </c>
      <c r="F51" s="148">
        <v>267</v>
      </c>
      <c r="G51" s="148">
        <v>296</v>
      </c>
      <c r="H51" s="85">
        <v>276</v>
      </c>
      <c r="I51" s="85">
        <v>293</v>
      </c>
      <c r="J51" s="85">
        <v>307</v>
      </c>
      <c r="K51" s="85">
        <v>347</v>
      </c>
      <c r="L51" s="148">
        <v>320</v>
      </c>
      <c r="M51" s="85">
        <v>327</v>
      </c>
    </row>
    <row r="52" spans="1:13">
      <c r="A52" s="171" t="s">
        <v>528</v>
      </c>
      <c r="B52" s="172">
        <f>B53/B45</f>
        <v>0.59973386560212905</v>
      </c>
      <c r="C52" s="173">
        <f>IFERROR(C53/C45,0)</f>
        <v>0.61756032171581765</v>
      </c>
      <c r="D52" s="173">
        <f t="shared" ref="D52:M52" si="8">IFERROR(D53/D45,0)</f>
        <v>0.62529130381454678</v>
      </c>
      <c r="E52" s="173">
        <f t="shared" si="8"/>
        <v>0.62506753106428958</v>
      </c>
      <c r="F52" s="173">
        <f t="shared" si="8"/>
        <v>0.61432316820753419</v>
      </c>
      <c r="G52" s="173">
        <f t="shared" si="8"/>
        <v>0.61862967157417892</v>
      </c>
      <c r="H52" s="173">
        <f t="shared" si="8"/>
        <v>0.62047266116627042</v>
      </c>
      <c r="I52" s="173">
        <f t="shared" si="8"/>
        <v>0.6090342679127726</v>
      </c>
      <c r="J52" s="173">
        <f t="shared" si="8"/>
        <v>0.61226480836236929</v>
      </c>
      <c r="K52" s="173">
        <f t="shared" si="8"/>
        <v>0.60653429094493738</v>
      </c>
      <c r="L52" s="173">
        <f t="shared" si="8"/>
        <v>0.59683737124619174</v>
      </c>
      <c r="M52" s="173">
        <f t="shared" si="8"/>
        <v>0.58725154215215902</v>
      </c>
    </row>
    <row r="53" spans="1:13">
      <c r="A53" s="171" t="s">
        <v>39</v>
      </c>
      <c r="B53" s="750">
        <f t="shared" ref="B53:G53" si="9">B45-B49</f>
        <v>4507</v>
      </c>
      <c r="C53" s="750">
        <f t="shared" si="9"/>
        <v>4607</v>
      </c>
      <c r="D53" s="750">
        <f t="shared" si="9"/>
        <v>5098</v>
      </c>
      <c r="E53" s="750">
        <f t="shared" si="9"/>
        <v>4628</v>
      </c>
      <c r="F53" s="750">
        <f t="shared" si="9"/>
        <v>4452</v>
      </c>
      <c r="G53" s="750">
        <f t="shared" si="9"/>
        <v>4370</v>
      </c>
      <c r="H53" s="750">
        <v>4437</v>
      </c>
      <c r="I53" s="750">
        <v>4301</v>
      </c>
      <c r="J53" s="750">
        <v>4393</v>
      </c>
      <c r="K53" s="750">
        <v>4307</v>
      </c>
      <c r="L53" s="750">
        <v>4114</v>
      </c>
      <c r="M53" s="750">
        <v>4284</v>
      </c>
    </row>
    <row r="54" spans="1:13">
      <c r="A54" s="23" t="s">
        <v>637</v>
      </c>
      <c r="B54" s="85">
        <v>165</v>
      </c>
      <c r="C54" s="148">
        <v>175</v>
      </c>
      <c r="D54" s="148">
        <v>177</v>
      </c>
      <c r="E54" s="85">
        <v>159</v>
      </c>
      <c r="F54" s="148">
        <v>161</v>
      </c>
      <c r="G54" s="148">
        <v>164</v>
      </c>
      <c r="H54" s="85">
        <v>157</v>
      </c>
      <c r="I54" s="85">
        <v>152</v>
      </c>
      <c r="J54" s="85">
        <v>155</v>
      </c>
      <c r="K54" s="85">
        <v>157</v>
      </c>
      <c r="L54" s="148">
        <v>152</v>
      </c>
      <c r="M54" s="85">
        <v>155</v>
      </c>
    </row>
    <row r="55" spans="1:13">
      <c r="A55" s="23" t="s">
        <v>383</v>
      </c>
      <c r="B55" s="147">
        <f>3+88</f>
        <v>91</v>
      </c>
      <c r="C55" s="129">
        <v>180</v>
      </c>
      <c r="D55" s="129">
        <v>304</v>
      </c>
      <c r="E55" s="147">
        <v>102</v>
      </c>
      <c r="F55" s="129">
        <v>49</v>
      </c>
      <c r="G55" s="129">
        <v>112</v>
      </c>
      <c r="H55" s="147">
        <v>78</v>
      </c>
      <c r="I55" s="147">
        <v>58</v>
      </c>
      <c r="J55" s="147">
        <v>43</v>
      </c>
      <c r="K55" s="147">
        <v>18</v>
      </c>
      <c r="L55" s="129">
        <v>9</v>
      </c>
      <c r="M55" s="129">
        <v>11</v>
      </c>
    </row>
    <row r="56" spans="1:13">
      <c r="A56" s="174" t="s">
        <v>421</v>
      </c>
      <c r="B56" s="173">
        <f>B55/B45</f>
        <v>1.210911510312708E-2</v>
      </c>
      <c r="C56" s="173">
        <f>IFERROR(C55/C45,0)</f>
        <v>2.4128686327077747E-2</v>
      </c>
      <c r="D56" s="173">
        <f t="shared" ref="D56:M56" si="10">IFERROR(D55/D45,0)</f>
        <v>3.7286888261989455E-2</v>
      </c>
      <c r="E56" s="173">
        <f t="shared" si="10"/>
        <v>1.3776337115072933E-2</v>
      </c>
      <c r="F56" s="173">
        <f t="shared" si="10"/>
        <v>6.7614185180074511E-3</v>
      </c>
      <c r="G56" s="173">
        <f t="shared" si="10"/>
        <v>1.5855039637599093E-2</v>
      </c>
      <c r="H56" s="173">
        <f t="shared" si="10"/>
        <v>1.0907565375471962E-2</v>
      </c>
      <c r="I56" s="173">
        <f t="shared" si="10"/>
        <v>8.2129708297932601E-3</v>
      </c>
      <c r="J56" s="173">
        <f t="shared" si="10"/>
        <v>5.9930313588850174E-3</v>
      </c>
      <c r="K56" s="173">
        <f t="shared" si="10"/>
        <v>2.5348542458808617E-3</v>
      </c>
      <c r="L56" s="173">
        <f t="shared" si="10"/>
        <v>1.3056724212969679E-3</v>
      </c>
      <c r="M56" s="173">
        <f t="shared" si="10"/>
        <v>1.5078821110349554E-3</v>
      </c>
    </row>
    <row r="57" spans="1:13">
      <c r="A57" s="748" t="s">
        <v>1</v>
      </c>
      <c r="B57" s="147">
        <v>129</v>
      </c>
      <c r="C57" s="129">
        <v>177</v>
      </c>
      <c r="D57" s="129">
        <v>155</v>
      </c>
      <c r="E57" s="147">
        <v>125</v>
      </c>
      <c r="F57" s="129">
        <v>125</v>
      </c>
      <c r="G57" s="129">
        <v>122</v>
      </c>
      <c r="H57" s="147">
        <v>111</v>
      </c>
      <c r="I57" s="147">
        <v>122</v>
      </c>
      <c r="J57" s="147">
        <v>144</v>
      </c>
      <c r="K57" s="147">
        <v>159</v>
      </c>
      <c r="L57" s="129">
        <v>159</v>
      </c>
      <c r="M57" s="147">
        <v>153</v>
      </c>
    </row>
    <row r="58" spans="1:13">
      <c r="A58" s="174" t="s">
        <v>422</v>
      </c>
      <c r="B58" s="173">
        <f>B57/B45</f>
        <v>1.716566866267465E-2</v>
      </c>
      <c r="C58" s="173">
        <f>IFERROR(C57/C45,0)</f>
        <v>2.3726541554959787E-2</v>
      </c>
      <c r="D58" s="173">
        <f t="shared" ref="D58:M58" si="11">IFERROR(D57/D45,0)</f>
        <v>1.9011406844106463E-2</v>
      </c>
      <c r="E58" s="173">
        <f t="shared" si="11"/>
        <v>1.68827660723933E-2</v>
      </c>
      <c r="F58" s="173">
        <f t="shared" si="11"/>
        <v>1.7248516627570029E-2</v>
      </c>
      <c r="G58" s="173">
        <f t="shared" si="11"/>
        <v>1.7270668176670442E-2</v>
      </c>
      <c r="H58" s="173">
        <f t="shared" si="11"/>
        <v>1.5522304572787023E-2</v>
      </c>
      <c r="I58" s="173">
        <f t="shared" si="11"/>
        <v>1.7275559331634098E-2</v>
      </c>
      <c r="J58" s="173">
        <f t="shared" si="11"/>
        <v>2.0069686411149826E-2</v>
      </c>
      <c r="K58" s="173">
        <f t="shared" si="11"/>
        <v>2.2391212505280946E-2</v>
      </c>
      <c r="L58" s="173">
        <f t="shared" si="11"/>
        <v>2.30668794429131E-2</v>
      </c>
      <c r="M58" s="173">
        <f t="shared" si="11"/>
        <v>2.0973269362577106E-2</v>
      </c>
    </row>
    <row r="59" spans="1:13">
      <c r="A59" s="748" t="s">
        <v>529</v>
      </c>
      <c r="B59" s="130">
        <v>0.57699999999999996</v>
      </c>
      <c r="C59" s="130">
        <v>0.56200000000000006</v>
      </c>
      <c r="D59" s="130">
        <v>0.50700000000000001</v>
      </c>
      <c r="E59" s="130">
        <v>0.69899999999999995</v>
      </c>
      <c r="F59" s="130">
        <v>0.58799999999999997</v>
      </c>
      <c r="G59" s="130">
        <v>0.59899999999999998</v>
      </c>
      <c r="H59" s="130">
        <v>0.59799999999999998</v>
      </c>
      <c r="I59" s="130">
        <v>0.58499999999999996</v>
      </c>
      <c r="J59" s="130">
        <v>0.59599999999999997</v>
      </c>
      <c r="K59" s="130">
        <v>0.60799999999999998</v>
      </c>
      <c r="L59" s="130">
        <v>0.56000000000000005</v>
      </c>
      <c r="M59" s="130"/>
    </row>
    <row r="60" spans="1:13">
      <c r="A60" s="748" t="s">
        <v>288</v>
      </c>
      <c r="B60" s="1122"/>
      <c r="C60" s="1122"/>
      <c r="D60" s="1122"/>
      <c r="E60" s="1122"/>
      <c r="F60" s="1122"/>
      <c r="G60" s="1122"/>
      <c r="H60" s="1122"/>
      <c r="I60" s="1122"/>
      <c r="J60" s="1122"/>
      <c r="K60" s="1122"/>
      <c r="L60" s="1122"/>
      <c r="M60" s="1122"/>
    </row>
    <row r="61" spans="1:13">
      <c r="A61" s="748" t="s">
        <v>289</v>
      </c>
      <c r="B61" s="1122"/>
      <c r="C61" s="1523"/>
      <c r="D61" s="1122"/>
      <c r="E61" s="1122"/>
      <c r="F61" s="1122"/>
      <c r="G61" s="1122"/>
      <c r="H61" s="1122"/>
      <c r="I61" s="1122"/>
      <c r="J61" s="1122"/>
      <c r="K61" s="1122"/>
      <c r="L61" s="1122"/>
      <c r="M61" s="1122"/>
    </row>
    <row r="62" spans="1:13">
      <c r="A62" s="748" t="s">
        <v>290</v>
      </c>
      <c r="B62" s="1122">
        <v>0.45</v>
      </c>
      <c r="C62" s="1122">
        <v>0.44500000000000001</v>
      </c>
      <c r="D62" s="1122"/>
      <c r="E62" s="1122"/>
      <c r="F62" s="1122"/>
      <c r="G62" s="1122"/>
      <c r="H62" s="1122"/>
      <c r="I62" s="1122"/>
      <c r="J62" s="1122"/>
      <c r="K62" s="1122"/>
      <c r="L62" s="1122"/>
      <c r="M62" s="1122"/>
    </row>
    <row r="63" spans="1:13">
      <c r="A63" s="2986" t="s">
        <v>773</v>
      </c>
      <c r="B63" s="1104"/>
      <c r="C63" s="1104"/>
      <c r="D63" s="1104"/>
      <c r="E63" s="1104"/>
      <c r="F63" s="1104"/>
      <c r="G63" s="1104"/>
      <c r="H63" s="1104"/>
      <c r="I63" s="1104"/>
      <c r="J63" s="1104"/>
      <c r="K63" s="1104"/>
      <c r="L63" s="1104"/>
      <c r="M63" s="1104"/>
    </row>
    <row r="64" spans="1:13" ht="16.5">
      <c r="A64" s="2987"/>
      <c r="B64" s="1118"/>
      <c r="C64" s="1118"/>
      <c r="D64" s="1118"/>
      <c r="E64" s="1118"/>
      <c r="F64" s="1118"/>
      <c r="G64" s="1118"/>
      <c r="H64" s="1118"/>
      <c r="I64" s="1118"/>
      <c r="J64" s="1118"/>
      <c r="K64" s="1118"/>
      <c r="L64" s="1118"/>
      <c r="M64" s="1118"/>
    </row>
    <row r="65" spans="1:13">
      <c r="A65" s="23" t="s">
        <v>530</v>
      </c>
      <c r="B65" s="147">
        <v>863</v>
      </c>
      <c r="C65" s="129">
        <v>827</v>
      </c>
      <c r="D65" s="129">
        <v>806</v>
      </c>
      <c r="E65" s="147">
        <v>732</v>
      </c>
      <c r="F65" s="129">
        <v>611</v>
      </c>
      <c r="G65" s="129">
        <v>594</v>
      </c>
      <c r="H65" s="147">
        <v>571</v>
      </c>
      <c r="I65" s="147">
        <v>584</v>
      </c>
      <c r="J65" s="147">
        <v>554</v>
      </c>
      <c r="K65" s="147">
        <v>623</v>
      </c>
      <c r="L65" s="129">
        <v>790</v>
      </c>
      <c r="M65" s="147">
        <v>831</v>
      </c>
    </row>
    <row r="66" spans="1:13">
      <c r="A66" s="23" t="s">
        <v>418</v>
      </c>
      <c r="B66" s="85">
        <v>9</v>
      </c>
      <c r="C66" s="148">
        <v>9</v>
      </c>
      <c r="D66" s="148">
        <v>8</v>
      </c>
      <c r="E66" s="85">
        <v>5</v>
      </c>
      <c r="F66" s="148">
        <v>6</v>
      </c>
      <c r="G66" s="148">
        <v>6</v>
      </c>
      <c r="H66" s="85">
        <v>5</v>
      </c>
      <c r="I66" s="85">
        <v>5</v>
      </c>
      <c r="J66" s="85">
        <v>4</v>
      </c>
      <c r="K66" s="85">
        <v>5</v>
      </c>
      <c r="L66" s="148">
        <v>5</v>
      </c>
      <c r="M66" s="85">
        <v>6</v>
      </c>
    </row>
    <row r="67" spans="1:13">
      <c r="A67" s="23" t="s">
        <v>160</v>
      </c>
      <c r="B67" s="147">
        <v>26</v>
      </c>
      <c r="C67" s="129">
        <v>20</v>
      </c>
      <c r="D67" s="129">
        <v>10</v>
      </c>
      <c r="E67" s="147">
        <v>12</v>
      </c>
      <c r="F67" s="129">
        <v>8</v>
      </c>
      <c r="G67" s="129">
        <v>6</v>
      </c>
      <c r="H67" s="147">
        <v>2</v>
      </c>
      <c r="I67" s="147">
        <v>11</v>
      </c>
      <c r="J67" s="85">
        <v>2</v>
      </c>
      <c r="K67" s="85">
        <v>10</v>
      </c>
      <c r="L67" s="129">
        <v>37</v>
      </c>
      <c r="M67" s="147">
        <v>39</v>
      </c>
    </row>
    <row r="68" spans="1:13">
      <c r="A68" s="171" t="s">
        <v>161</v>
      </c>
      <c r="B68" s="173">
        <f>B67/B65</f>
        <v>3.0127462340672075E-2</v>
      </c>
      <c r="C68" s="173">
        <f>IFERROR(C67/C65,0)</f>
        <v>2.4183796856106408E-2</v>
      </c>
      <c r="D68" s="173">
        <f t="shared" ref="D68:M68" si="12">IFERROR(D67/D65,0)</f>
        <v>1.2406947890818859E-2</v>
      </c>
      <c r="E68" s="173">
        <f t="shared" si="12"/>
        <v>1.6393442622950821E-2</v>
      </c>
      <c r="F68" s="173">
        <f t="shared" si="12"/>
        <v>1.3093289689034371E-2</v>
      </c>
      <c r="G68" s="173">
        <f t="shared" si="12"/>
        <v>1.0101010101010102E-2</v>
      </c>
      <c r="H68" s="173">
        <f t="shared" si="12"/>
        <v>3.5026269702276708E-3</v>
      </c>
      <c r="I68" s="173">
        <f t="shared" si="12"/>
        <v>1.8835616438356163E-2</v>
      </c>
      <c r="J68" s="173">
        <f t="shared" si="12"/>
        <v>3.6101083032490976E-3</v>
      </c>
      <c r="K68" s="173">
        <f t="shared" si="12"/>
        <v>1.6051364365971106E-2</v>
      </c>
      <c r="L68" s="173">
        <f t="shared" si="12"/>
        <v>4.6835443037974683E-2</v>
      </c>
      <c r="M68" s="173">
        <f t="shared" si="12"/>
        <v>4.6931407942238268E-2</v>
      </c>
    </row>
    <row r="69" spans="1:13">
      <c r="A69" s="23" t="s">
        <v>622</v>
      </c>
      <c r="B69" s="147">
        <v>100</v>
      </c>
      <c r="C69" s="129">
        <v>88</v>
      </c>
      <c r="D69" s="129">
        <v>74</v>
      </c>
      <c r="E69" s="147">
        <v>77</v>
      </c>
      <c r="F69" s="129">
        <v>53</v>
      </c>
      <c r="G69" s="129">
        <v>51</v>
      </c>
      <c r="H69" s="147">
        <v>67</v>
      </c>
      <c r="I69" s="147">
        <v>76</v>
      </c>
      <c r="J69" s="147">
        <v>67</v>
      </c>
      <c r="K69" s="147">
        <v>62</v>
      </c>
      <c r="L69" s="129">
        <v>65</v>
      </c>
      <c r="M69" s="147">
        <v>72</v>
      </c>
    </row>
    <row r="70" spans="1:13">
      <c r="A70" s="171" t="s">
        <v>620</v>
      </c>
      <c r="B70" s="173">
        <f>B69/B65</f>
        <v>0.11587485515643106</v>
      </c>
      <c r="C70" s="173">
        <f>IFERROR(C69/C65,0)</f>
        <v>0.10640870616686819</v>
      </c>
      <c r="D70" s="173">
        <f t="shared" ref="D70:M70" si="13">IFERROR(D69/D65,0)</f>
        <v>9.1811414392059559E-2</v>
      </c>
      <c r="E70" s="173">
        <f t="shared" si="13"/>
        <v>0.1051912568306011</v>
      </c>
      <c r="F70" s="173">
        <f t="shared" si="13"/>
        <v>8.6743044189852694E-2</v>
      </c>
      <c r="G70" s="173">
        <f t="shared" si="13"/>
        <v>8.5858585858585856E-2</v>
      </c>
      <c r="H70" s="173">
        <f t="shared" si="13"/>
        <v>0.11733800350262696</v>
      </c>
      <c r="I70" s="173">
        <f t="shared" si="13"/>
        <v>0.13013698630136986</v>
      </c>
      <c r="J70" s="173">
        <f t="shared" si="13"/>
        <v>0.12093862815884476</v>
      </c>
      <c r="K70" s="173">
        <f t="shared" si="13"/>
        <v>9.9518459069020862E-2</v>
      </c>
      <c r="L70" s="173">
        <f t="shared" si="13"/>
        <v>8.2278481012658222E-2</v>
      </c>
      <c r="M70" s="173">
        <f t="shared" si="13"/>
        <v>8.6642599277978335E-2</v>
      </c>
    </row>
    <row r="71" spans="1:13">
      <c r="A71" s="23" t="s">
        <v>539</v>
      </c>
      <c r="B71" s="85">
        <v>269</v>
      </c>
      <c r="C71" s="148">
        <v>270</v>
      </c>
      <c r="D71" s="148">
        <v>279</v>
      </c>
      <c r="E71" s="85">
        <v>247</v>
      </c>
      <c r="F71" s="148">
        <v>248</v>
      </c>
      <c r="G71" s="148">
        <v>252</v>
      </c>
      <c r="H71" s="85">
        <v>258</v>
      </c>
      <c r="I71" s="85">
        <v>260</v>
      </c>
      <c r="J71" s="85">
        <v>252</v>
      </c>
      <c r="K71" s="85">
        <v>294</v>
      </c>
      <c r="L71" s="148">
        <v>319</v>
      </c>
      <c r="M71" s="85">
        <v>319</v>
      </c>
    </row>
    <row r="72" spans="1:13">
      <c r="A72" s="171" t="s">
        <v>528</v>
      </c>
      <c r="B72" s="172">
        <f>B73/B65</f>
        <v>0.88412514484356897</v>
      </c>
      <c r="C72" s="173">
        <f>IFERROR(C73/C65,0)</f>
        <v>0.89359129383313185</v>
      </c>
      <c r="D72" s="173">
        <f t="shared" ref="D72:M72" si="14">IFERROR(D73/D65,0)</f>
        <v>0.90818858560794047</v>
      </c>
      <c r="E72" s="173">
        <f t="shared" si="14"/>
        <v>0.89480874316939896</v>
      </c>
      <c r="F72" s="173">
        <f t="shared" si="14"/>
        <v>0.91325695581014732</v>
      </c>
      <c r="G72" s="173">
        <f t="shared" si="14"/>
        <v>0.91414141414141414</v>
      </c>
      <c r="H72" s="173">
        <f t="shared" si="14"/>
        <v>0.88091068301225917</v>
      </c>
      <c r="I72" s="173">
        <f t="shared" si="14"/>
        <v>0.86472602739726023</v>
      </c>
      <c r="J72" s="173">
        <f t="shared" si="14"/>
        <v>0.87003610108303253</v>
      </c>
      <c r="K72" s="173">
        <f t="shared" si="14"/>
        <v>0.88764044943820219</v>
      </c>
      <c r="L72" s="173">
        <f t="shared" si="14"/>
        <v>0.90759493670886071</v>
      </c>
      <c r="M72" s="173">
        <f t="shared" si="14"/>
        <v>0.90252707581227432</v>
      </c>
    </row>
    <row r="73" spans="1:13">
      <c r="A73" s="171" t="s">
        <v>39</v>
      </c>
      <c r="B73" s="750">
        <f t="shared" ref="B73:G73" si="15">B65-B69</f>
        <v>763</v>
      </c>
      <c r="C73" s="750">
        <f t="shared" si="15"/>
        <v>739</v>
      </c>
      <c r="D73" s="750">
        <f t="shared" si="15"/>
        <v>732</v>
      </c>
      <c r="E73" s="750">
        <f t="shared" si="15"/>
        <v>655</v>
      </c>
      <c r="F73" s="750">
        <f t="shared" si="15"/>
        <v>558</v>
      </c>
      <c r="G73" s="750">
        <f t="shared" si="15"/>
        <v>543</v>
      </c>
      <c r="H73" s="750">
        <v>503</v>
      </c>
      <c r="I73" s="750">
        <v>505</v>
      </c>
      <c r="J73" s="750">
        <v>482</v>
      </c>
      <c r="K73" s="750">
        <v>553</v>
      </c>
      <c r="L73" s="750">
        <v>717</v>
      </c>
      <c r="M73" s="750">
        <v>750</v>
      </c>
    </row>
    <row r="74" spans="1:13">
      <c r="A74" s="23" t="s">
        <v>637</v>
      </c>
      <c r="B74" s="85">
        <v>92</v>
      </c>
      <c r="C74" s="148">
        <v>98</v>
      </c>
      <c r="D74" s="148">
        <v>99</v>
      </c>
      <c r="E74" s="85">
        <v>95</v>
      </c>
      <c r="F74" s="148">
        <v>84</v>
      </c>
      <c r="G74" s="148">
        <v>87</v>
      </c>
      <c r="H74" s="85">
        <v>86</v>
      </c>
      <c r="I74" s="85">
        <v>91</v>
      </c>
      <c r="J74" s="85">
        <v>94</v>
      </c>
      <c r="K74" s="85">
        <v>96</v>
      </c>
      <c r="L74" s="148">
        <v>98</v>
      </c>
      <c r="M74" s="85">
        <v>98</v>
      </c>
    </row>
    <row r="75" spans="1:13">
      <c r="A75" s="23" t="s">
        <v>383</v>
      </c>
      <c r="B75" s="147">
        <f>3+1</f>
        <v>4</v>
      </c>
      <c r="C75" s="129">
        <v>0</v>
      </c>
      <c r="D75" s="129">
        <v>4</v>
      </c>
      <c r="E75" s="147">
        <v>0</v>
      </c>
      <c r="F75" s="129">
        <v>1</v>
      </c>
      <c r="G75" s="129">
        <v>1</v>
      </c>
      <c r="H75" s="147">
        <v>1</v>
      </c>
      <c r="I75" s="147">
        <v>1</v>
      </c>
      <c r="J75" s="147">
        <v>1</v>
      </c>
      <c r="K75" s="147">
        <v>0</v>
      </c>
      <c r="L75" s="129">
        <v>0</v>
      </c>
      <c r="M75" s="129">
        <v>1</v>
      </c>
    </row>
    <row r="76" spans="1:13">
      <c r="A76" s="174" t="s">
        <v>421</v>
      </c>
      <c r="B76" s="173">
        <f>B75/B65</f>
        <v>4.6349942062572421E-3</v>
      </c>
      <c r="C76" s="173">
        <f>IFERROR(C75/C65,0)</f>
        <v>0</v>
      </c>
      <c r="D76" s="173">
        <f t="shared" ref="D76:M76" si="16">IFERROR(D75/D65,0)</f>
        <v>4.9627791563275434E-3</v>
      </c>
      <c r="E76" s="173">
        <f t="shared" si="16"/>
        <v>0</v>
      </c>
      <c r="F76" s="173">
        <f t="shared" si="16"/>
        <v>1.6366612111292963E-3</v>
      </c>
      <c r="G76" s="173">
        <f t="shared" si="16"/>
        <v>1.6835016835016834E-3</v>
      </c>
      <c r="H76" s="173">
        <f t="shared" si="16"/>
        <v>1.7513134851138354E-3</v>
      </c>
      <c r="I76" s="173">
        <f t="shared" si="16"/>
        <v>1.7123287671232876E-3</v>
      </c>
      <c r="J76" s="173">
        <f t="shared" si="16"/>
        <v>1.8050541516245488E-3</v>
      </c>
      <c r="K76" s="173">
        <f t="shared" si="16"/>
        <v>0</v>
      </c>
      <c r="L76" s="173">
        <f t="shared" si="16"/>
        <v>0</v>
      </c>
      <c r="M76" s="173">
        <f t="shared" si="16"/>
        <v>1.2033694344163659E-3</v>
      </c>
    </row>
    <row r="77" spans="1:13">
      <c r="A77" s="748" t="s">
        <v>1</v>
      </c>
      <c r="B77" s="147">
        <v>9</v>
      </c>
      <c r="C77" s="129">
        <v>9</v>
      </c>
      <c r="D77" s="129">
        <v>11</v>
      </c>
      <c r="E77" s="147">
        <v>9</v>
      </c>
      <c r="F77" s="129">
        <v>9</v>
      </c>
      <c r="G77" s="129">
        <v>11</v>
      </c>
      <c r="H77" s="147">
        <v>7</v>
      </c>
      <c r="I77" s="147">
        <v>11</v>
      </c>
      <c r="J77" s="147">
        <v>7</v>
      </c>
      <c r="K77" s="147">
        <v>16</v>
      </c>
      <c r="L77" s="129">
        <v>14</v>
      </c>
      <c r="M77" s="147">
        <v>15</v>
      </c>
    </row>
    <row r="78" spans="1:13">
      <c r="A78" s="174" t="s">
        <v>422</v>
      </c>
      <c r="B78" s="173">
        <f>B77/B65</f>
        <v>1.0428736964078795E-2</v>
      </c>
      <c r="C78" s="173">
        <f>IFERROR(C77/C65,0)</f>
        <v>1.0882708585247884E-2</v>
      </c>
      <c r="D78" s="173">
        <f t="shared" ref="D78:M78" si="17">IFERROR(D77/D65,0)</f>
        <v>1.3647642679900745E-2</v>
      </c>
      <c r="E78" s="173">
        <f t="shared" si="17"/>
        <v>1.2295081967213115E-2</v>
      </c>
      <c r="F78" s="173">
        <f t="shared" si="17"/>
        <v>1.4729950900163666E-2</v>
      </c>
      <c r="G78" s="173">
        <f t="shared" si="17"/>
        <v>1.8518518518518517E-2</v>
      </c>
      <c r="H78" s="173">
        <f t="shared" si="17"/>
        <v>1.2259194395796848E-2</v>
      </c>
      <c r="I78" s="173">
        <f t="shared" si="17"/>
        <v>1.8835616438356163E-2</v>
      </c>
      <c r="J78" s="173">
        <f t="shared" si="17"/>
        <v>1.263537906137184E-2</v>
      </c>
      <c r="K78" s="173">
        <f t="shared" si="17"/>
        <v>2.5682182985553772E-2</v>
      </c>
      <c r="L78" s="173">
        <f t="shared" si="17"/>
        <v>1.7721518987341773E-2</v>
      </c>
      <c r="M78" s="173">
        <f t="shared" si="17"/>
        <v>1.8050541516245487E-2</v>
      </c>
    </row>
    <row r="79" spans="1:13">
      <c r="A79" s="748" t="s">
        <v>529</v>
      </c>
      <c r="B79" s="130">
        <v>0.87</v>
      </c>
      <c r="C79" s="130">
        <v>0.83199999999999996</v>
      </c>
      <c r="D79" s="130">
        <v>0.81399999999999995</v>
      </c>
      <c r="E79" s="130">
        <v>0.78300000000000003</v>
      </c>
      <c r="F79" s="130">
        <v>0.92200000000000004</v>
      </c>
      <c r="G79" s="130">
        <v>0.83699999999999997</v>
      </c>
      <c r="H79" s="130">
        <v>0.78800000000000003</v>
      </c>
      <c r="I79" s="130">
        <v>0.88200000000000001</v>
      </c>
      <c r="J79" s="130">
        <v>0.82899999999999996</v>
      </c>
      <c r="K79" s="130">
        <v>0.66900000000000004</v>
      </c>
      <c r="L79" s="130">
        <v>0.84899999999999998</v>
      </c>
      <c r="M79" s="130"/>
    </row>
    <row r="80" spans="1:13">
      <c r="A80" s="748" t="s">
        <v>288</v>
      </c>
      <c r="B80" s="1122"/>
      <c r="C80" s="1122"/>
      <c r="D80" s="1122"/>
      <c r="E80" s="1122"/>
      <c r="F80" s="1122"/>
      <c r="G80" s="1122"/>
      <c r="H80" s="1122"/>
      <c r="I80" s="1122"/>
      <c r="J80" s="1122"/>
      <c r="K80" s="1122"/>
      <c r="L80" s="1122"/>
      <c r="M80" s="1122"/>
    </row>
    <row r="81" spans="1:13">
      <c r="A81" s="748" t="s">
        <v>289</v>
      </c>
      <c r="B81" s="1122"/>
      <c r="C81" s="1523"/>
      <c r="D81" s="1122"/>
      <c r="E81" s="1122"/>
      <c r="F81" s="1122"/>
      <c r="G81" s="1122"/>
      <c r="H81" s="1122"/>
      <c r="I81" s="1122"/>
      <c r="J81" s="1122"/>
      <c r="K81" s="1122"/>
      <c r="L81" s="1122"/>
      <c r="M81" s="1122"/>
    </row>
    <row r="82" spans="1:13">
      <c r="A82" s="748" t="s">
        <v>290</v>
      </c>
      <c r="B82" s="1122"/>
      <c r="C82" s="1122"/>
      <c r="D82" s="1122"/>
      <c r="E82" s="1122"/>
      <c r="F82" s="1122"/>
      <c r="G82" s="1122"/>
      <c r="H82" s="1122"/>
      <c r="I82" s="1122"/>
      <c r="J82" s="1122"/>
      <c r="K82" s="1122"/>
      <c r="L82" s="1122"/>
      <c r="M82" s="1122"/>
    </row>
    <row r="83" spans="1:13">
      <c r="A83" s="2986" t="s">
        <v>9</v>
      </c>
      <c r="B83" s="1104"/>
      <c r="C83" s="1104"/>
      <c r="D83" s="1104"/>
      <c r="E83" s="1104"/>
      <c r="F83" s="1104"/>
      <c r="G83" s="1104"/>
      <c r="H83" s="1104"/>
      <c r="I83" s="1104"/>
      <c r="J83" s="1104"/>
      <c r="K83" s="1104"/>
      <c r="L83" s="1104"/>
      <c r="M83" s="1104"/>
    </row>
    <row r="84" spans="1:13" ht="16.5">
      <c r="A84" s="2987"/>
      <c r="B84" s="1118"/>
      <c r="C84" s="1118"/>
      <c r="D84" s="1118"/>
      <c r="E84" s="1118"/>
      <c r="F84" s="1118"/>
      <c r="G84" s="1118"/>
      <c r="H84" s="1118"/>
      <c r="I84" s="1118"/>
      <c r="J84" s="1118"/>
      <c r="K84" s="1118"/>
      <c r="L84" s="1118"/>
      <c r="M84" s="1118"/>
    </row>
    <row r="85" spans="1:13">
      <c r="A85" s="23" t="s">
        <v>530</v>
      </c>
      <c r="B85" s="147">
        <v>469</v>
      </c>
      <c r="C85" s="129">
        <v>502</v>
      </c>
      <c r="D85" s="129">
        <v>571</v>
      </c>
      <c r="E85" s="147">
        <v>432</v>
      </c>
      <c r="F85" s="129">
        <v>336</v>
      </c>
      <c r="G85" s="129">
        <v>308</v>
      </c>
      <c r="H85" s="147">
        <v>306</v>
      </c>
      <c r="I85" s="147">
        <v>277</v>
      </c>
      <c r="J85" s="147">
        <v>276</v>
      </c>
      <c r="K85" s="147">
        <v>344</v>
      </c>
      <c r="L85" s="129">
        <v>472</v>
      </c>
      <c r="M85" s="147">
        <v>493</v>
      </c>
    </row>
    <row r="86" spans="1:13">
      <c r="A86" s="23" t="s">
        <v>418</v>
      </c>
      <c r="B86" s="85">
        <v>6</v>
      </c>
      <c r="C86" s="148">
        <v>7</v>
      </c>
      <c r="D86" s="148">
        <v>7</v>
      </c>
      <c r="E86" s="85">
        <v>6</v>
      </c>
      <c r="F86" s="148">
        <v>6</v>
      </c>
      <c r="G86" s="148">
        <v>6</v>
      </c>
      <c r="H86" s="85">
        <v>5</v>
      </c>
      <c r="I86" s="85">
        <v>6</v>
      </c>
      <c r="J86" s="85">
        <v>5</v>
      </c>
      <c r="K86" s="85">
        <v>5</v>
      </c>
      <c r="L86" s="148">
        <v>5</v>
      </c>
      <c r="M86" s="85">
        <v>5</v>
      </c>
    </row>
    <row r="87" spans="1:13">
      <c r="A87" s="23" t="s">
        <v>160</v>
      </c>
      <c r="B87" s="147">
        <v>8</v>
      </c>
      <c r="C87" s="129">
        <v>2</v>
      </c>
      <c r="D87" s="129">
        <v>4</v>
      </c>
      <c r="E87" s="147">
        <v>0</v>
      </c>
      <c r="F87" s="129">
        <v>0</v>
      </c>
      <c r="G87" s="129">
        <v>2</v>
      </c>
      <c r="H87" s="147">
        <v>0</v>
      </c>
      <c r="I87" s="147">
        <v>4</v>
      </c>
      <c r="J87" s="85">
        <v>0</v>
      </c>
      <c r="K87" s="85">
        <v>8</v>
      </c>
      <c r="L87" s="129">
        <v>4</v>
      </c>
      <c r="M87" s="147">
        <v>4</v>
      </c>
    </row>
    <row r="88" spans="1:13">
      <c r="A88" s="171" t="s">
        <v>161</v>
      </c>
      <c r="B88" s="173">
        <f>B87/B85</f>
        <v>1.7057569296375266E-2</v>
      </c>
      <c r="C88" s="173">
        <f>IFERROR(C87/C85,0)</f>
        <v>3.9840637450199202E-3</v>
      </c>
      <c r="D88" s="173">
        <f t="shared" ref="D88:M88" si="18">IFERROR(D87/D85,0)</f>
        <v>7.0052539404553416E-3</v>
      </c>
      <c r="E88" s="173">
        <f t="shared" si="18"/>
        <v>0</v>
      </c>
      <c r="F88" s="173">
        <f t="shared" si="18"/>
        <v>0</v>
      </c>
      <c r="G88" s="173">
        <f t="shared" si="18"/>
        <v>6.4935064935064939E-3</v>
      </c>
      <c r="H88" s="173">
        <f t="shared" si="18"/>
        <v>0</v>
      </c>
      <c r="I88" s="173">
        <f t="shared" si="18"/>
        <v>1.444043321299639E-2</v>
      </c>
      <c r="J88" s="173">
        <f t="shared" si="18"/>
        <v>0</v>
      </c>
      <c r="K88" s="173">
        <f t="shared" si="18"/>
        <v>2.3255813953488372E-2</v>
      </c>
      <c r="L88" s="173">
        <f t="shared" si="18"/>
        <v>8.4745762711864406E-3</v>
      </c>
      <c r="M88" s="173">
        <f t="shared" si="18"/>
        <v>8.1135902636916835E-3</v>
      </c>
    </row>
    <row r="89" spans="1:13">
      <c r="A89" s="23" t="s">
        <v>622</v>
      </c>
      <c r="B89" s="147">
        <v>13</v>
      </c>
      <c r="C89" s="129">
        <v>1</v>
      </c>
      <c r="D89" s="129">
        <v>8</v>
      </c>
      <c r="E89" s="147">
        <v>5</v>
      </c>
      <c r="F89" s="129">
        <v>9</v>
      </c>
      <c r="G89" s="129">
        <v>8</v>
      </c>
      <c r="H89" s="147">
        <v>5</v>
      </c>
      <c r="I89" s="147">
        <v>10</v>
      </c>
      <c r="J89" s="147">
        <v>4</v>
      </c>
      <c r="K89" s="147">
        <v>1</v>
      </c>
      <c r="L89" s="129">
        <v>9</v>
      </c>
      <c r="M89" s="147">
        <v>9</v>
      </c>
    </row>
    <row r="90" spans="1:13">
      <c r="A90" s="171" t="s">
        <v>540</v>
      </c>
      <c r="B90" s="173">
        <f>B89/B85</f>
        <v>2.7718550106609809E-2</v>
      </c>
      <c r="C90" s="173">
        <f>IFERROR(C89/C85,0)</f>
        <v>1.9920318725099601E-3</v>
      </c>
      <c r="D90" s="173">
        <f t="shared" ref="D90:M90" si="19">IFERROR(D89/D85,0)</f>
        <v>1.4010507880910683E-2</v>
      </c>
      <c r="E90" s="173">
        <f t="shared" si="19"/>
        <v>1.1574074074074073E-2</v>
      </c>
      <c r="F90" s="173">
        <f t="shared" si="19"/>
        <v>2.6785714285714284E-2</v>
      </c>
      <c r="G90" s="173">
        <f t="shared" si="19"/>
        <v>2.5974025974025976E-2</v>
      </c>
      <c r="H90" s="173">
        <f t="shared" si="19"/>
        <v>1.6339869281045753E-2</v>
      </c>
      <c r="I90" s="173">
        <f t="shared" si="19"/>
        <v>3.6101083032490974E-2</v>
      </c>
      <c r="J90" s="173">
        <f t="shared" si="19"/>
        <v>1.4492753623188406E-2</v>
      </c>
      <c r="K90" s="173">
        <f t="shared" si="19"/>
        <v>2.9069767441860465E-3</v>
      </c>
      <c r="L90" s="173">
        <f t="shared" si="19"/>
        <v>1.9067796610169493E-2</v>
      </c>
      <c r="M90" s="173">
        <f t="shared" si="19"/>
        <v>1.8255578093306288E-2</v>
      </c>
    </row>
    <row r="91" spans="1:13">
      <c r="A91" s="23" t="s">
        <v>539</v>
      </c>
      <c r="B91" s="85">
        <v>261</v>
      </c>
      <c r="C91" s="148">
        <v>204</v>
      </c>
      <c r="D91" s="148">
        <v>275</v>
      </c>
      <c r="E91" s="85">
        <v>195</v>
      </c>
      <c r="F91" s="148">
        <v>245</v>
      </c>
      <c r="G91" s="148">
        <v>306</v>
      </c>
      <c r="H91" s="85">
        <v>213</v>
      </c>
      <c r="I91" s="85">
        <v>186</v>
      </c>
      <c r="J91" s="85">
        <v>154</v>
      </c>
      <c r="K91" s="85">
        <v>99</v>
      </c>
      <c r="L91" s="148">
        <v>216</v>
      </c>
      <c r="M91" s="85">
        <v>216</v>
      </c>
    </row>
    <row r="92" spans="1:13">
      <c r="A92" s="171" t="s">
        <v>528</v>
      </c>
      <c r="B92" s="172">
        <f>B93/B85</f>
        <v>0.97228144989339016</v>
      </c>
      <c r="C92" s="173">
        <f>IFERROR(C93/C85,0)</f>
        <v>0.99800796812749004</v>
      </c>
      <c r="D92" s="173">
        <f t="shared" ref="D92:M92" si="20">IFERROR(D93/D85,0)</f>
        <v>0.98598949211908937</v>
      </c>
      <c r="E92" s="173">
        <f t="shared" si="20"/>
        <v>0.98842592592592593</v>
      </c>
      <c r="F92" s="173">
        <f t="shared" si="20"/>
        <v>0.9732142857142857</v>
      </c>
      <c r="G92" s="173">
        <f t="shared" si="20"/>
        <v>0.97402597402597402</v>
      </c>
      <c r="H92" s="173">
        <f t="shared" si="20"/>
        <v>0.98039215686274506</v>
      </c>
      <c r="I92" s="173">
        <f t="shared" si="20"/>
        <v>0.96389891696750907</v>
      </c>
      <c r="J92" s="173">
        <f t="shared" si="20"/>
        <v>0.98550724637681164</v>
      </c>
      <c r="K92" s="173">
        <f t="shared" si="20"/>
        <v>0.9941860465116279</v>
      </c>
      <c r="L92" s="173">
        <f t="shared" si="20"/>
        <v>0.98093220338983056</v>
      </c>
      <c r="M92" s="173">
        <f t="shared" si="20"/>
        <v>0.97971602434077076</v>
      </c>
    </row>
    <row r="93" spans="1:13">
      <c r="A93" s="171" t="s">
        <v>39</v>
      </c>
      <c r="B93" s="750">
        <f t="shared" ref="B93:L93" si="21">B85-B89</f>
        <v>456</v>
      </c>
      <c r="C93" s="750">
        <f t="shared" si="21"/>
        <v>501</v>
      </c>
      <c r="D93" s="750">
        <f t="shared" si="21"/>
        <v>563</v>
      </c>
      <c r="E93" s="750">
        <f t="shared" si="21"/>
        <v>427</v>
      </c>
      <c r="F93" s="750">
        <f t="shared" si="21"/>
        <v>327</v>
      </c>
      <c r="G93" s="750">
        <f t="shared" si="21"/>
        <v>300</v>
      </c>
      <c r="H93" s="750">
        <v>300</v>
      </c>
      <c r="I93" s="750">
        <f t="shared" si="21"/>
        <v>267</v>
      </c>
      <c r="J93" s="750">
        <f t="shared" si="21"/>
        <v>272</v>
      </c>
      <c r="K93" s="750">
        <v>342</v>
      </c>
      <c r="L93" s="750">
        <f t="shared" si="21"/>
        <v>463</v>
      </c>
      <c r="M93" s="750">
        <v>483</v>
      </c>
    </row>
    <row r="94" spans="1:13">
      <c r="A94" s="23" t="s">
        <v>637</v>
      </c>
      <c r="B94" s="85">
        <v>77</v>
      </c>
      <c r="C94" s="148">
        <v>88</v>
      </c>
      <c r="D94" s="148">
        <v>93</v>
      </c>
      <c r="E94" s="85">
        <v>78</v>
      </c>
      <c r="F94" s="148">
        <v>80</v>
      </c>
      <c r="G94" s="148">
        <v>85</v>
      </c>
      <c r="H94" s="85">
        <v>84</v>
      </c>
      <c r="I94" s="85">
        <v>87</v>
      </c>
      <c r="J94" s="85">
        <v>85</v>
      </c>
      <c r="K94" s="85">
        <v>88</v>
      </c>
      <c r="L94" s="148">
        <v>91</v>
      </c>
      <c r="M94" s="85">
        <v>90</v>
      </c>
    </row>
    <row r="95" spans="1:13">
      <c r="A95" s="23" t="s">
        <v>383</v>
      </c>
      <c r="B95" s="147">
        <f>0+1</f>
        <v>1</v>
      </c>
      <c r="C95" s="129">
        <v>0</v>
      </c>
      <c r="D95" s="129">
        <v>1</v>
      </c>
      <c r="E95" s="147">
        <v>0</v>
      </c>
      <c r="F95" s="129">
        <v>0</v>
      </c>
      <c r="G95" s="129">
        <v>1</v>
      </c>
      <c r="H95" s="147">
        <v>1</v>
      </c>
      <c r="I95" s="147">
        <v>1</v>
      </c>
      <c r="J95" s="147">
        <v>0</v>
      </c>
      <c r="K95" s="147">
        <v>0</v>
      </c>
      <c r="L95" s="129">
        <v>0</v>
      </c>
      <c r="M95" s="129">
        <v>0</v>
      </c>
    </row>
    <row r="96" spans="1:13">
      <c r="A96" s="174" t="s">
        <v>421</v>
      </c>
      <c r="B96" s="173">
        <f>B95/B85</f>
        <v>2.1321961620469083E-3</v>
      </c>
      <c r="C96" s="173">
        <f>IFERROR(C95/C85,0)</f>
        <v>0</v>
      </c>
      <c r="D96" s="173">
        <f t="shared" ref="D96:M96" si="22">IFERROR(D95/D85,0)</f>
        <v>1.7513134851138354E-3</v>
      </c>
      <c r="E96" s="173">
        <f t="shared" si="22"/>
        <v>0</v>
      </c>
      <c r="F96" s="173">
        <f t="shared" si="22"/>
        <v>0</v>
      </c>
      <c r="G96" s="173">
        <f t="shared" si="22"/>
        <v>3.246753246753247E-3</v>
      </c>
      <c r="H96" s="173">
        <f t="shared" si="22"/>
        <v>3.2679738562091504E-3</v>
      </c>
      <c r="I96" s="173">
        <f t="shared" si="22"/>
        <v>3.6101083032490976E-3</v>
      </c>
      <c r="J96" s="173">
        <f t="shared" si="22"/>
        <v>0</v>
      </c>
      <c r="K96" s="173">
        <f t="shared" si="22"/>
        <v>0</v>
      </c>
      <c r="L96" s="173">
        <f t="shared" si="22"/>
        <v>0</v>
      </c>
      <c r="M96" s="173">
        <f t="shared" si="22"/>
        <v>0</v>
      </c>
    </row>
    <row r="97" spans="1:13">
      <c r="A97" s="748" t="s">
        <v>1</v>
      </c>
      <c r="B97" s="147">
        <v>5</v>
      </c>
      <c r="C97" s="129">
        <v>7</v>
      </c>
      <c r="D97" s="129">
        <v>6</v>
      </c>
      <c r="E97" s="147">
        <v>4</v>
      </c>
      <c r="F97" s="129">
        <v>6</v>
      </c>
      <c r="G97" s="129">
        <v>2</v>
      </c>
      <c r="H97" s="147">
        <v>3</v>
      </c>
      <c r="I97" s="147">
        <v>3</v>
      </c>
      <c r="J97" s="147">
        <v>6</v>
      </c>
      <c r="K97" s="147">
        <v>3</v>
      </c>
      <c r="L97" s="129">
        <v>4</v>
      </c>
      <c r="M97" s="147">
        <v>4</v>
      </c>
    </row>
    <row r="98" spans="1:13">
      <c r="A98" s="174" t="s">
        <v>422</v>
      </c>
      <c r="B98" s="173">
        <f>B97/B85</f>
        <v>1.0660980810234541E-2</v>
      </c>
      <c r="C98" s="173">
        <f>IFERROR(C97/C85,0)</f>
        <v>1.3944223107569721E-2</v>
      </c>
      <c r="D98" s="173">
        <f t="shared" ref="D98:M98" si="23">IFERROR(D97/D85,0)</f>
        <v>1.0507880910683012E-2</v>
      </c>
      <c r="E98" s="173">
        <f t="shared" si="23"/>
        <v>9.2592592592592587E-3</v>
      </c>
      <c r="F98" s="173">
        <f t="shared" si="23"/>
        <v>1.7857142857142856E-2</v>
      </c>
      <c r="G98" s="173">
        <f t="shared" si="23"/>
        <v>6.4935064935064939E-3</v>
      </c>
      <c r="H98" s="173">
        <f t="shared" si="23"/>
        <v>9.8039215686274508E-3</v>
      </c>
      <c r="I98" s="173">
        <f t="shared" si="23"/>
        <v>1.0830324909747292E-2</v>
      </c>
      <c r="J98" s="173">
        <f t="shared" si="23"/>
        <v>2.1739130434782608E-2</v>
      </c>
      <c r="K98" s="173">
        <f t="shared" si="23"/>
        <v>8.7209302325581394E-3</v>
      </c>
      <c r="L98" s="173">
        <f t="shared" si="23"/>
        <v>8.4745762711864406E-3</v>
      </c>
      <c r="M98" s="173">
        <f t="shared" si="23"/>
        <v>8.1135902636916835E-3</v>
      </c>
    </row>
    <row r="99" spans="1:13">
      <c r="A99" s="748" t="s">
        <v>529</v>
      </c>
      <c r="B99" s="130">
        <v>0.84499999999999997</v>
      </c>
      <c r="C99" s="130">
        <v>0.86299999999999999</v>
      </c>
      <c r="D99" s="130">
        <v>0.86</v>
      </c>
      <c r="E99" s="130">
        <v>0.86499999999999999</v>
      </c>
      <c r="F99" s="130">
        <v>0.875</v>
      </c>
      <c r="G99" s="130">
        <v>0.86599999999999999</v>
      </c>
      <c r="H99" s="130">
        <v>0.98399999999999999</v>
      </c>
      <c r="I99" s="130">
        <v>0.85899999999999999</v>
      </c>
      <c r="J99" s="130">
        <v>0.83799999999999997</v>
      </c>
      <c r="K99" s="130">
        <v>0.85499999999999998</v>
      </c>
      <c r="L99" s="130">
        <v>0.90200000000000002</v>
      </c>
      <c r="M99" s="130"/>
    </row>
    <row r="100" spans="1:13">
      <c r="A100" s="748" t="s">
        <v>288</v>
      </c>
      <c r="B100" s="1121"/>
      <c r="C100" s="1122"/>
      <c r="D100" s="1122"/>
      <c r="E100" s="1122"/>
      <c r="F100" s="1122"/>
      <c r="G100" s="1122"/>
      <c r="H100" s="1122"/>
      <c r="I100" s="1122"/>
      <c r="J100" s="1122"/>
      <c r="K100" s="1122"/>
      <c r="L100" s="1122"/>
      <c r="M100" s="1122"/>
    </row>
    <row r="101" spans="1:13">
      <c r="A101" s="748" t="s">
        <v>289</v>
      </c>
      <c r="B101" s="1122"/>
      <c r="C101" s="1523"/>
      <c r="D101" s="1122"/>
      <c r="E101" s="1122"/>
      <c r="F101" s="1122"/>
      <c r="G101" s="1122"/>
      <c r="H101" s="1122"/>
      <c r="I101" s="1122"/>
      <c r="J101" s="1122"/>
      <c r="K101" s="1122"/>
      <c r="L101" s="1122"/>
      <c r="M101" s="1122"/>
    </row>
    <row r="102" spans="1:13">
      <c r="A102" s="748" t="s">
        <v>290</v>
      </c>
      <c r="B102" s="1122"/>
      <c r="C102" s="1122"/>
      <c r="D102" s="1122"/>
      <c r="E102" s="1122"/>
      <c r="F102" s="1122"/>
      <c r="G102" s="1122"/>
      <c r="H102" s="1122"/>
      <c r="I102" s="1122"/>
      <c r="J102" s="1122"/>
      <c r="K102" s="1122"/>
      <c r="L102" s="1122"/>
      <c r="M102" s="1122"/>
    </row>
    <row r="103" spans="1:13">
      <c r="A103" s="2986" t="s">
        <v>30</v>
      </c>
      <c r="B103" s="1104"/>
      <c r="C103" s="1112"/>
      <c r="D103" s="1112"/>
      <c r="E103" s="1112"/>
      <c r="F103" s="1112"/>
      <c r="G103" s="1112"/>
      <c r="H103" s="1112"/>
      <c r="I103" s="1112"/>
      <c r="J103" s="1112"/>
      <c r="K103" s="1112"/>
      <c r="L103" s="1112"/>
      <c r="M103" s="1112"/>
    </row>
    <row r="104" spans="1:13" ht="16.5">
      <c r="A104" s="2987"/>
      <c r="B104" s="1118"/>
      <c r="C104" s="1118"/>
      <c r="D104" s="1118"/>
      <c r="E104" s="1118"/>
      <c r="F104" s="1118"/>
      <c r="G104" s="1118"/>
      <c r="H104" s="1118"/>
      <c r="I104" s="1118"/>
      <c r="J104" s="1118"/>
      <c r="K104" s="1118"/>
      <c r="L104" s="1118"/>
      <c r="M104" s="1118"/>
    </row>
    <row r="105" spans="1:13">
      <c r="A105" s="23" t="s">
        <v>382</v>
      </c>
      <c r="B105" s="147">
        <v>3927</v>
      </c>
      <c r="C105" s="129">
        <v>3763</v>
      </c>
      <c r="D105" s="129">
        <v>4248</v>
      </c>
      <c r="E105" s="128">
        <v>3890</v>
      </c>
      <c r="F105" s="129">
        <v>3850</v>
      </c>
      <c r="G105" s="129">
        <v>3659</v>
      </c>
      <c r="H105" s="128">
        <v>3912</v>
      </c>
      <c r="I105" s="69">
        <v>3875</v>
      </c>
      <c r="J105" s="69">
        <v>3939</v>
      </c>
      <c r="K105" s="69">
        <v>3972</v>
      </c>
      <c r="L105" s="129">
        <v>4019</v>
      </c>
      <c r="M105" s="69">
        <v>4154</v>
      </c>
    </row>
    <row r="106" spans="1:13">
      <c r="A106" s="23" t="s">
        <v>418</v>
      </c>
      <c r="B106" s="85">
        <v>6</v>
      </c>
      <c r="C106" s="148">
        <v>6</v>
      </c>
      <c r="D106" s="148">
        <v>7</v>
      </c>
      <c r="E106" s="85">
        <v>6</v>
      </c>
      <c r="F106" s="148">
        <v>5</v>
      </c>
      <c r="G106" s="148">
        <v>5</v>
      </c>
      <c r="H106" s="85">
        <v>4</v>
      </c>
      <c r="I106" s="85">
        <v>5</v>
      </c>
      <c r="J106" s="85">
        <v>5</v>
      </c>
      <c r="K106" s="85">
        <v>5</v>
      </c>
      <c r="L106" s="148">
        <v>6</v>
      </c>
      <c r="M106" s="85">
        <v>6</v>
      </c>
    </row>
    <row r="107" spans="1:13">
      <c r="A107" s="23" t="s">
        <v>160</v>
      </c>
      <c r="B107" s="147">
        <v>85</v>
      </c>
      <c r="C107" s="129">
        <v>64</v>
      </c>
      <c r="D107" s="129">
        <v>74</v>
      </c>
      <c r="E107" s="128">
        <v>84</v>
      </c>
      <c r="F107" s="129">
        <v>87</v>
      </c>
      <c r="G107" s="129">
        <v>56</v>
      </c>
      <c r="H107" s="128">
        <v>102</v>
      </c>
      <c r="I107" s="69">
        <v>77</v>
      </c>
      <c r="J107" s="85">
        <v>71</v>
      </c>
      <c r="K107" s="85">
        <v>79</v>
      </c>
      <c r="L107" s="129">
        <v>60</v>
      </c>
      <c r="M107" s="69">
        <v>60</v>
      </c>
    </row>
    <row r="108" spans="1:13">
      <c r="A108" s="171" t="s">
        <v>161</v>
      </c>
      <c r="B108" s="173">
        <f>B107/B105</f>
        <v>2.1645021645021644E-2</v>
      </c>
      <c r="C108" s="173">
        <f>IFERROR(C107/C105,0)</f>
        <v>1.7007706617060855E-2</v>
      </c>
      <c r="D108" s="173">
        <f t="shared" ref="D108:M108" si="24">IFERROR(D107/D105,0)</f>
        <v>1.7419962335216574E-2</v>
      </c>
      <c r="E108" s="173">
        <f t="shared" si="24"/>
        <v>2.1593830334190232E-2</v>
      </c>
      <c r="F108" s="173">
        <f t="shared" si="24"/>
        <v>2.2597402597402599E-2</v>
      </c>
      <c r="G108" s="173">
        <f t="shared" si="24"/>
        <v>1.5304728067778082E-2</v>
      </c>
      <c r="H108" s="173">
        <f t="shared" si="24"/>
        <v>2.6073619631901839E-2</v>
      </c>
      <c r="I108" s="173">
        <f t="shared" si="24"/>
        <v>1.9870967741935485E-2</v>
      </c>
      <c r="J108" s="173">
        <f t="shared" si="24"/>
        <v>1.8024879411018026E-2</v>
      </c>
      <c r="K108" s="173">
        <f t="shared" si="24"/>
        <v>1.9889224572004028E-2</v>
      </c>
      <c r="L108" s="173">
        <f t="shared" si="24"/>
        <v>1.4929086837521772E-2</v>
      </c>
      <c r="M108" s="173">
        <f t="shared" si="24"/>
        <v>1.4443909484833895E-2</v>
      </c>
    </row>
    <row r="109" spans="1:13">
      <c r="A109" s="23" t="s">
        <v>622</v>
      </c>
      <c r="B109" s="147">
        <v>1022</v>
      </c>
      <c r="C109" s="129">
        <v>1030</v>
      </c>
      <c r="D109" s="129">
        <v>1107</v>
      </c>
      <c r="E109" s="128">
        <v>1019</v>
      </c>
      <c r="F109" s="129">
        <v>1014</v>
      </c>
      <c r="G109" s="129">
        <v>1012</v>
      </c>
      <c r="H109" s="128">
        <v>987</v>
      </c>
      <c r="I109" s="69">
        <v>993</v>
      </c>
      <c r="J109" s="69">
        <v>1027</v>
      </c>
      <c r="K109" s="69">
        <v>1084</v>
      </c>
      <c r="L109" s="129">
        <v>1091</v>
      </c>
      <c r="M109" s="69">
        <v>1132</v>
      </c>
    </row>
    <row r="110" spans="1:13">
      <c r="A110" s="171" t="s">
        <v>425</v>
      </c>
      <c r="B110" s="173">
        <f>B109/B105</f>
        <v>0.26024955436720143</v>
      </c>
      <c r="C110" s="173">
        <f>IFERROR(C109/C105,0)</f>
        <v>0.27371777836832317</v>
      </c>
      <c r="D110" s="173">
        <f t="shared" ref="D110:M110" si="25">IFERROR(D109/D105,0)</f>
        <v>0.26059322033898308</v>
      </c>
      <c r="E110" s="173">
        <f t="shared" si="25"/>
        <v>0.26195372750642676</v>
      </c>
      <c r="F110" s="173">
        <f t="shared" si="25"/>
        <v>0.26337662337662338</v>
      </c>
      <c r="G110" s="173">
        <f t="shared" si="25"/>
        <v>0.27657830008198964</v>
      </c>
      <c r="H110" s="173">
        <f t="shared" si="25"/>
        <v>0.2523006134969325</v>
      </c>
      <c r="I110" s="173">
        <f t="shared" si="25"/>
        <v>0.25625806451612904</v>
      </c>
      <c r="J110" s="173">
        <f t="shared" si="25"/>
        <v>0.26072607260726072</v>
      </c>
      <c r="K110" s="173">
        <f t="shared" si="25"/>
        <v>0.27291037260825779</v>
      </c>
      <c r="L110" s="173">
        <f t="shared" si="25"/>
        <v>0.27146056232893756</v>
      </c>
      <c r="M110" s="173">
        <f t="shared" si="25"/>
        <v>0.27250842561386618</v>
      </c>
    </row>
    <row r="111" spans="1:13">
      <c r="A111" s="23" t="s">
        <v>539</v>
      </c>
      <c r="B111" s="85">
        <v>438</v>
      </c>
      <c r="C111" s="148">
        <v>398</v>
      </c>
      <c r="D111" s="148">
        <v>483</v>
      </c>
      <c r="E111" s="85">
        <v>331</v>
      </c>
      <c r="F111" s="148">
        <v>307</v>
      </c>
      <c r="G111" s="148">
        <v>325</v>
      </c>
      <c r="H111" s="85">
        <v>266</v>
      </c>
      <c r="I111" s="85">
        <v>247</v>
      </c>
      <c r="J111" s="85">
        <v>222</v>
      </c>
      <c r="K111" s="85">
        <v>243</v>
      </c>
      <c r="L111" s="148">
        <v>304</v>
      </c>
      <c r="M111" s="85">
        <v>303</v>
      </c>
    </row>
    <row r="112" spans="1:13">
      <c r="A112" s="171" t="s">
        <v>528</v>
      </c>
      <c r="B112" s="172">
        <f>B113/B105</f>
        <v>0.73975044563279857</v>
      </c>
      <c r="C112" s="173">
        <f>IFERROR(C113/C105,0)</f>
        <v>0.72628222163167688</v>
      </c>
      <c r="D112" s="173">
        <f t="shared" ref="D112:M112" si="26">IFERROR(D113/D105,0)</f>
        <v>0.73940677966101698</v>
      </c>
      <c r="E112" s="173">
        <f t="shared" si="26"/>
        <v>0.73804627249357324</v>
      </c>
      <c r="F112" s="173">
        <f t="shared" si="26"/>
        <v>0.73662337662337662</v>
      </c>
      <c r="G112" s="173">
        <f t="shared" si="26"/>
        <v>0.72342169991801042</v>
      </c>
      <c r="H112" s="173">
        <f t="shared" si="26"/>
        <v>0.73159509202453987</v>
      </c>
      <c r="I112" s="173">
        <f t="shared" si="26"/>
        <v>0.72490322580645161</v>
      </c>
      <c r="J112" s="173">
        <f t="shared" si="26"/>
        <v>0.73292713886773297</v>
      </c>
      <c r="K112" s="173">
        <f t="shared" si="26"/>
        <v>0.72004028197381675</v>
      </c>
      <c r="L112" s="173">
        <f t="shared" si="26"/>
        <v>0.72157253048021897</v>
      </c>
      <c r="M112" s="173">
        <f t="shared" si="26"/>
        <v>0.72026961964371694</v>
      </c>
    </row>
    <row r="113" spans="1:13">
      <c r="A113" s="171" t="s">
        <v>39</v>
      </c>
      <c r="B113" s="750">
        <f t="shared" ref="B113:G113" si="27">B105-B109</f>
        <v>2905</v>
      </c>
      <c r="C113" s="750">
        <f t="shared" si="27"/>
        <v>2733</v>
      </c>
      <c r="D113" s="750">
        <f t="shared" si="27"/>
        <v>3141</v>
      </c>
      <c r="E113" s="750">
        <f t="shared" si="27"/>
        <v>2871</v>
      </c>
      <c r="F113" s="750">
        <f t="shared" si="27"/>
        <v>2836</v>
      </c>
      <c r="G113" s="750">
        <f t="shared" si="27"/>
        <v>2647</v>
      </c>
      <c r="H113" s="750">
        <v>2862</v>
      </c>
      <c r="I113" s="750">
        <v>2809</v>
      </c>
      <c r="J113" s="750">
        <v>2887</v>
      </c>
      <c r="K113" s="750">
        <v>2860</v>
      </c>
      <c r="L113" s="750">
        <v>2900</v>
      </c>
      <c r="M113" s="750">
        <v>2992</v>
      </c>
    </row>
    <row r="114" spans="1:13">
      <c r="A114" s="23" t="s">
        <v>637</v>
      </c>
      <c r="B114" s="85">
        <v>169</v>
      </c>
      <c r="C114" s="148">
        <v>167</v>
      </c>
      <c r="D114" s="148">
        <v>168</v>
      </c>
      <c r="E114" s="85">
        <v>152</v>
      </c>
      <c r="F114" s="148">
        <v>142</v>
      </c>
      <c r="G114" s="148">
        <v>143</v>
      </c>
      <c r="H114" s="85">
        <v>134</v>
      </c>
      <c r="I114" s="85">
        <v>139</v>
      </c>
      <c r="J114" s="85">
        <v>137</v>
      </c>
      <c r="K114" s="85">
        <v>137</v>
      </c>
      <c r="L114" s="148">
        <v>148</v>
      </c>
      <c r="M114" s="85">
        <v>147</v>
      </c>
    </row>
    <row r="115" spans="1:13">
      <c r="A115" s="23" t="s">
        <v>383</v>
      </c>
      <c r="B115" s="147">
        <f>16+18</f>
        <v>34</v>
      </c>
      <c r="C115" s="129">
        <v>43</v>
      </c>
      <c r="D115" s="129">
        <v>62</v>
      </c>
      <c r="E115" s="128">
        <v>44</v>
      </c>
      <c r="F115" s="129">
        <v>32</v>
      </c>
      <c r="G115" s="129">
        <v>14</v>
      </c>
      <c r="H115" s="128">
        <v>26</v>
      </c>
      <c r="I115" s="69">
        <v>27</v>
      </c>
      <c r="J115" s="69">
        <v>28</v>
      </c>
      <c r="K115" s="69">
        <v>30</v>
      </c>
      <c r="L115" s="129">
        <v>63</v>
      </c>
      <c r="M115" s="129">
        <v>63</v>
      </c>
    </row>
    <row r="116" spans="1:13">
      <c r="A116" s="174" t="s">
        <v>421</v>
      </c>
      <c r="B116" s="173">
        <f>B115/B105</f>
        <v>8.658008658008658E-3</v>
      </c>
      <c r="C116" s="173">
        <f>IFERROR(C115/C105,0)</f>
        <v>1.1427052883337762E-2</v>
      </c>
      <c r="D116" s="173">
        <f>IFERROR(D115/D105,0)</f>
        <v>1.4595103578154425E-2</v>
      </c>
      <c r="E116" s="173">
        <f t="shared" ref="E116:M116" si="28">IFERROR(E115/E105,0)</f>
        <v>1.1311053984575836E-2</v>
      </c>
      <c r="F116" s="173">
        <f t="shared" si="28"/>
        <v>8.3116883116883117E-3</v>
      </c>
      <c r="G116" s="173">
        <f t="shared" si="28"/>
        <v>3.8261820169445205E-3</v>
      </c>
      <c r="H116" s="173">
        <f t="shared" si="28"/>
        <v>6.6462167689161555E-3</v>
      </c>
      <c r="I116" s="173">
        <f t="shared" si="28"/>
        <v>6.9677419354838713E-3</v>
      </c>
      <c r="J116" s="173">
        <f t="shared" si="28"/>
        <v>7.1084031480071084E-3</v>
      </c>
      <c r="K116" s="173">
        <f t="shared" si="28"/>
        <v>7.5528700906344415E-3</v>
      </c>
      <c r="L116" s="173">
        <f t="shared" si="28"/>
        <v>1.5675541179397859E-2</v>
      </c>
      <c r="M116" s="173">
        <f t="shared" si="28"/>
        <v>1.5166104959075589E-2</v>
      </c>
    </row>
    <row r="117" spans="1:13">
      <c r="A117" s="4" t="s">
        <v>1</v>
      </c>
      <c r="B117" s="147">
        <v>108</v>
      </c>
      <c r="C117" s="129">
        <v>97</v>
      </c>
      <c r="D117" s="129">
        <v>142</v>
      </c>
      <c r="E117" s="128">
        <v>78</v>
      </c>
      <c r="F117" s="129">
        <v>67</v>
      </c>
      <c r="G117" s="129">
        <v>72</v>
      </c>
      <c r="H117" s="128">
        <v>59</v>
      </c>
      <c r="I117" s="69">
        <v>56</v>
      </c>
      <c r="J117" s="69">
        <v>72</v>
      </c>
      <c r="K117" s="69">
        <v>54</v>
      </c>
      <c r="L117" s="129">
        <v>81</v>
      </c>
      <c r="M117" s="69">
        <v>83</v>
      </c>
    </row>
    <row r="118" spans="1:13">
      <c r="A118" s="174" t="s">
        <v>422</v>
      </c>
      <c r="B118" s="173">
        <f>B117/B105</f>
        <v>2.7501909854851032E-2</v>
      </c>
      <c r="C118" s="173">
        <f>IFERROR(C117/C105,0)</f>
        <v>2.577730534148286E-2</v>
      </c>
      <c r="D118" s="173">
        <f t="shared" ref="D118:M118" si="29">IFERROR(D117/D105,0)</f>
        <v>3.3427495291902073E-2</v>
      </c>
      <c r="E118" s="173">
        <f t="shared" si="29"/>
        <v>2.0051413881748071E-2</v>
      </c>
      <c r="F118" s="173">
        <f t="shared" si="29"/>
        <v>1.7402597402597402E-2</v>
      </c>
      <c r="G118" s="173">
        <f t="shared" si="29"/>
        <v>1.9677507515714676E-2</v>
      </c>
      <c r="H118" s="173">
        <f t="shared" si="29"/>
        <v>1.5081799591002046E-2</v>
      </c>
      <c r="I118" s="173">
        <f t="shared" si="29"/>
        <v>1.4451612903225806E-2</v>
      </c>
      <c r="J118" s="173">
        <f t="shared" si="29"/>
        <v>1.827875095201828E-2</v>
      </c>
      <c r="K118" s="173">
        <f t="shared" si="29"/>
        <v>1.3595166163141994E-2</v>
      </c>
      <c r="L118" s="173">
        <f t="shared" si="29"/>
        <v>2.0154267230654391E-2</v>
      </c>
      <c r="M118" s="173">
        <f t="shared" si="29"/>
        <v>1.9980741454020221E-2</v>
      </c>
    </row>
    <row r="119" spans="1:13">
      <c r="A119" s="4" t="s">
        <v>529</v>
      </c>
      <c r="B119" s="2043">
        <v>0.56899999999999995</v>
      </c>
      <c r="C119" s="130">
        <v>0.52500000000000002</v>
      </c>
      <c r="D119" s="130">
        <v>0.45900000000000002</v>
      </c>
      <c r="E119" s="130">
        <v>0.59299999999999997</v>
      </c>
      <c r="F119" s="130">
        <v>0.67</v>
      </c>
      <c r="G119" s="130">
        <v>0.64200000000000002</v>
      </c>
      <c r="H119" s="130">
        <v>0.60899999999999999</v>
      </c>
      <c r="I119" s="130">
        <v>0.55000000000000004</v>
      </c>
      <c r="J119" s="130">
        <v>0.55200000000000005</v>
      </c>
      <c r="K119" s="130">
        <v>0.71899999999999997</v>
      </c>
      <c r="L119" s="130">
        <v>0.66700000000000004</v>
      </c>
      <c r="M119" s="130">
        <v>0.64200000000000002</v>
      </c>
    </row>
    <row r="120" spans="1:13">
      <c r="A120" s="4" t="s">
        <v>288</v>
      </c>
      <c r="B120" s="1122"/>
      <c r="C120" s="1122"/>
      <c r="D120" s="1122"/>
      <c r="E120" s="1122"/>
      <c r="F120" s="1122"/>
      <c r="G120" s="1122"/>
      <c r="H120" s="1122"/>
      <c r="I120" s="1122"/>
      <c r="J120" s="1122"/>
      <c r="K120" s="1122"/>
      <c r="L120" s="1122"/>
      <c r="M120" s="1122"/>
    </row>
    <row r="121" spans="1:13">
      <c r="A121" s="4" t="s">
        <v>289</v>
      </c>
      <c r="B121" s="1122"/>
      <c r="C121" s="1523"/>
      <c r="D121" s="1122"/>
      <c r="E121" s="1122"/>
      <c r="F121" s="1122"/>
      <c r="G121" s="1122"/>
      <c r="H121" s="1122"/>
      <c r="I121" s="1122"/>
      <c r="J121" s="1122"/>
      <c r="K121" s="1122"/>
      <c r="L121" s="1122"/>
      <c r="M121" s="1122"/>
    </row>
    <row r="122" spans="1:13">
      <c r="A122" s="4" t="s">
        <v>290</v>
      </c>
      <c r="B122" s="1122"/>
      <c r="C122" s="1122"/>
      <c r="D122" s="1122"/>
      <c r="E122" s="1122"/>
      <c r="F122" s="1122"/>
      <c r="G122" s="1122"/>
      <c r="H122" s="1122"/>
      <c r="I122" s="1122"/>
      <c r="J122" s="1122"/>
      <c r="K122" s="1122"/>
      <c r="L122" s="1122"/>
      <c r="M122" s="1122"/>
    </row>
    <row r="123" spans="1:13">
      <c r="A123" s="2986" t="s">
        <v>40</v>
      </c>
      <c r="B123" s="1104"/>
      <c r="C123" s="1104"/>
      <c r="D123" s="1104"/>
      <c r="E123" s="1104"/>
      <c r="F123" s="1104"/>
      <c r="G123" s="1104"/>
      <c r="H123" s="1104"/>
      <c r="I123" s="1104"/>
      <c r="J123" s="1104"/>
      <c r="K123" s="1104"/>
      <c r="L123" s="1104"/>
      <c r="M123" s="1104"/>
    </row>
    <row r="124" spans="1:13" ht="16.5">
      <c r="A124" s="2987"/>
      <c r="B124" s="1118"/>
      <c r="C124" s="1118"/>
      <c r="D124" s="1118"/>
      <c r="E124" s="1118"/>
      <c r="F124" s="1118"/>
      <c r="G124" s="1118"/>
      <c r="H124" s="1118"/>
      <c r="I124" s="1118"/>
      <c r="J124" s="1118"/>
      <c r="K124" s="1118"/>
      <c r="L124" s="1118"/>
      <c r="M124" s="1118"/>
    </row>
    <row r="125" spans="1:13" s="2" customFormat="1">
      <c r="A125" s="23" t="s">
        <v>530</v>
      </c>
      <c r="B125" s="147">
        <v>4250</v>
      </c>
      <c r="C125" s="129">
        <v>4244</v>
      </c>
      <c r="D125" s="129">
        <v>4799</v>
      </c>
      <c r="E125" s="147">
        <v>4351</v>
      </c>
      <c r="F125" s="129">
        <v>4066</v>
      </c>
      <c r="G125" s="129">
        <v>3778</v>
      </c>
      <c r="H125" s="147">
        <v>3951</v>
      </c>
      <c r="I125" s="147">
        <v>4087</v>
      </c>
      <c r="J125" s="147">
        <v>4092</v>
      </c>
      <c r="K125" s="147">
        <v>3986</v>
      </c>
      <c r="L125" s="129">
        <v>4223</v>
      </c>
      <c r="M125" s="147">
        <v>4346</v>
      </c>
    </row>
    <row r="126" spans="1:13" s="2" customFormat="1">
      <c r="A126" s="23" t="s">
        <v>418</v>
      </c>
      <c r="B126" s="85">
        <v>8</v>
      </c>
      <c r="C126" s="148">
        <v>9</v>
      </c>
      <c r="D126" s="148">
        <v>9</v>
      </c>
      <c r="E126" s="85">
        <v>7</v>
      </c>
      <c r="F126" s="148">
        <v>7</v>
      </c>
      <c r="G126" s="148">
        <v>6</v>
      </c>
      <c r="H126" s="85">
        <v>6</v>
      </c>
      <c r="I126" s="85">
        <v>6</v>
      </c>
      <c r="J126" s="85">
        <v>7</v>
      </c>
      <c r="K126" s="85">
        <v>6</v>
      </c>
      <c r="L126" s="148">
        <v>7</v>
      </c>
      <c r="M126" s="85">
        <v>7</v>
      </c>
    </row>
    <row r="127" spans="1:13" s="2" customFormat="1">
      <c r="A127" s="23" t="s">
        <v>160</v>
      </c>
      <c r="B127" s="147">
        <v>78</v>
      </c>
      <c r="C127" s="129">
        <v>119</v>
      </c>
      <c r="D127" s="129">
        <v>156</v>
      </c>
      <c r="E127" s="147">
        <v>82</v>
      </c>
      <c r="F127" s="129">
        <v>67</v>
      </c>
      <c r="G127" s="129">
        <v>60</v>
      </c>
      <c r="H127" s="147">
        <v>72</v>
      </c>
      <c r="I127" s="147">
        <v>107</v>
      </c>
      <c r="J127" s="85">
        <v>100</v>
      </c>
      <c r="K127" s="85">
        <v>60</v>
      </c>
      <c r="L127" s="129">
        <v>129</v>
      </c>
      <c r="M127" s="147">
        <v>129</v>
      </c>
    </row>
    <row r="128" spans="1:13" s="2" customFormat="1">
      <c r="A128" s="171" t="s">
        <v>161</v>
      </c>
      <c r="B128" s="173">
        <f>B127/B125</f>
        <v>1.8352941176470589E-2</v>
      </c>
      <c r="C128" s="173">
        <f>IFERROR(C127/C125,0)</f>
        <v>2.8039585296889727E-2</v>
      </c>
      <c r="D128" s="173">
        <f t="shared" ref="D128:M128" si="30">IFERROR(D127/D125,0)</f>
        <v>3.2506772244217545E-2</v>
      </c>
      <c r="E128" s="173">
        <f t="shared" si="30"/>
        <v>1.8846242243162493E-2</v>
      </c>
      <c r="F128" s="173">
        <f t="shared" si="30"/>
        <v>1.6478111165764881E-2</v>
      </c>
      <c r="G128" s="173">
        <f t="shared" si="30"/>
        <v>1.5881418740074114E-2</v>
      </c>
      <c r="H128" s="173">
        <f t="shared" si="30"/>
        <v>1.8223234624145785E-2</v>
      </c>
      <c r="I128" s="173">
        <f t="shared" si="30"/>
        <v>2.6180572547100562E-2</v>
      </c>
      <c r="J128" s="173">
        <f t="shared" si="30"/>
        <v>2.4437927663734114E-2</v>
      </c>
      <c r="K128" s="173">
        <f t="shared" si="30"/>
        <v>1.5052684395383844E-2</v>
      </c>
      <c r="L128" s="173">
        <f t="shared" si="30"/>
        <v>3.0547004499171207E-2</v>
      </c>
      <c r="M128" s="173">
        <f t="shared" si="30"/>
        <v>2.9682466635987115E-2</v>
      </c>
    </row>
    <row r="129" spans="1:13" s="2" customFormat="1">
      <c r="A129" s="23" t="s">
        <v>622</v>
      </c>
      <c r="B129" s="147">
        <v>539</v>
      </c>
      <c r="C129" s="129">
        <v>496</v>
      </c>
      <c r="D129" s="129">
        <v>563</v>
      </c>
      <c r="E129" s="147">
        <v>571</v>
      </c>
      <c r="F129" s="129">
        <v>538</v>
      </c>
      <c r="G129" s="129">
        <v>551</v>
      </c>
      <c r="H129" s="147">
        <v>643</v>
      </c>
      <c r="I129" s="147">
        <v>611</v>
      </c>
      <c r="J129" s="147">
        <v>588</v>
      </c>
      <c r="K129" s="147">
        <v>647</v>
      </c>
      <c r="L129" s="129">
        <v>661</v>
      </c>
      <c r="M129" s="147">
        <v>681</v>
      </c>
    </row>
    <row r="130" spans="1:13" s="2" customFormat="1">
      <c r="A130" s="171" t="s">
        <v>540</v>
      </c>
      <c r="B130" s="173">
        <f>B129/B125</f>
        <v>0.1268235294117647</v>
      </c>
      <c r="C130" s="173">
        <f>IFERROR(C129/C125,0)</f>
        <v>0.11687087653157399</v>
      </c>
      <c r="D130" s="173">
        <f t="shared" ref="D130:M130" si="31">IFERROR(D129/D125,0)</f>
        <v>0.1173161075224005</v>
      </c>
      <c r="E130" s="173">
        <f t="shared" si="31"/>
        <v>0.13123419903470468</v>
      </c>
      <c r="F130" s="173">
        <f t="shared" si="31"/>
        <v>0.132316773241515</v>
      </c>
      <c r="G130" s="173">
        <f t="shared" si="31"/>
        <v>0.14584436209634727</v>
      </c>
      <c r="H130" s="173">
        <f t="shared" si="31"/>
        <v>0.16274360921285749</v>
      </c>
      <c r="I130" s="173">
        <f t="shared" si="31"/>
        <v>0.14949840959138733</v>
      </c>
      <c r="J130" s="173">
        <f t="shared" si="31"/>
        <v>0.14369501466275661</v>
      </c>
      <c r="K130" s="173">
        <f t="shared" si="31"/>
        <v>0.16231811339688912</v>
      </c>
      <c r="L130" s="173">
        <f t="shared" si="31"/>
        <v>0.15652379824769122</v>
      </c>
      <c r="M130" s="173">
        <f t="shared" si="31"/>
        <v>0.15669581224114129</v>
      </c>
    </row>
    <row r="131" spans="1:13" s="2" customFormat="1">
      <c r="A131" s="23" t="s">
        <v>539</v>
      </c>
      <c r="B131" s="85">
        <v>551</v>
      </c>
      <c r="C131" s="148">
        <v>592</v>
      </c>
      <c r="D131" s="148">
        <v>599</v>
      </c>
      <c r="E131" s="85">
        <v>411</v>
      </c>
      <c r="F131" s="148">
        <v>423</v>
      </c>
      <c r="G131" s="148">
        <v>453</v>
      </c>
      <c r="H131" s="85">
        <v>399</v>
      </c>
      <c r="I131" s="85">
        <v>444</v>
      </c>
      <c r="J131" s="85">
        <v>389</v>
      </c>
      <c r="K131" s="85">
        <v>384</v>
      </c>
      <c r="L131" s="148">
        <v>412</v>
      </c>
      <c r="M131" s="85">
        <v>412</v>
      </c>
    </row>
    <row r="132" spans="1:13" s="2" customFormat="1">
      <c r="A132" s="171" t="s">
        <v>528</v>
      </c>
      <c r="B132" s="172">
        <f>B133/B125</f>
        <v>0.87317647058823533</v>
      </c>
      <c r="C132" s="173">
        <f>IFERROR(C133/C125,0)</f>
        <v>0.88312912346842598</v>
      </c>
      <c r="D132" s="173">
        <f t="shared" ref="D132:M132" si="32">IFERROR(D133/D125,0)</f>
        <v>0.88268389247759949</v>
      </c>
      <c r="E132" s="173">
        <f t="shared" si="32"/>
        <v>0.86876580096529532</v>
      </c>
      <c r="F132" s="173">
        <f t="shared" si="32"/>
        <v>0.86768322675848497</v>
      </c>
      <c r="G132" s="173">
        <f t="shared" si="32"/>
        <v>0.85415563790365268</v>
      </c>
      <c r="H132" s="173">
        <f t="shared" si="32"/>
        <v>0.83092887876486965</v>
      </c>
      <c r="I132" s="173">
        <f t="shared" si="32"/>
        <v>0.83631025201859555</v>
      </c>
      <c r="J132" s="173">
        <f t="shared" si="32"/>
        <v>0.8472629521016618</v>
      </c>
      <c r="K132" s="173">
        <f t="shared" si="32"/>
        <v>0.82915203211239341</v>
      </c>
      <c r="L132" s="173">
        <f t="shared" si="32"/>
        <v>0.83684584418659724</v>
      </c>
      <c r="M132" s="173">
        <f t="shared" si="32"/>
        <v>0.83640128854118734</v>
      </c>
    </row>
    <row r="133" spans="1:13" s="2" customFormat="1">
      <c r="A133" s="171" t="s">
        <v>39</v>
      </c>
      <c r="B133" s="750">
        <f t="shared" ref="B133:G133" si="33">B125-B129</f>
        <v>3711</v>
      </c>
      <c r="C133" s="750">
        <f t="shared" si="33"/>
        <v>3748</v>
      </c>
      <c r="D133" s="750">
        <f t="shared" si="33"/>
        <v>4236</v>
      </c>
      <c r="E133" s="750">
        <f t="shared" si="33"/>
        <v>3780</v>
      </c>
      <c r="F133" s="750">
        <f t="shared" si="33"/>
        <v>3528</v>
      </c>
      <c r="G133" s="750">
        <f t="shared" si="33"/>
        <v>3227</v>
      </c>
      <c r="H133" s="750">
        <v>3283</v>
      </c>
      <c r="I133" s="750">
        <v>3418</v>
      </c>
      <c r="J133" s="750">
        <v>3467</v>
      </c>
      <c r="K133" s="750">
        <v>3305</v>
      </c>
      <c r="L133" s="750">
        <v>3534</v>
      </c>
      <c r="M133" s="750">
        <v>3635</v>
      </c>
    </row>
    <row r="134" spans="1:13" s="2" customFormat="1">
      <c r="A134" s="23" t="s">
        <v>637</v>
      </c>
      <c r="B134" s="85">
        <v>146</v>
      </c>
      <c r="C134" s="148">
        <v>159</v>
      </c>
      <c r="D134" s="148">
        <v>153</v>
      </c>
      <c r="E134" s="85">
        <v>139</v>
      </c>
      <c r="F134" s="148">
        <v>130</v>
      </c>
      <c r="G134" s="148">
        <v>133</v>
      </c>
      <c r="H134" s="85">
        <v>131</v>
      </c>
      <c r="I134" s="85">
        <v>129</v>
      </c>
      <c r="J134" s="85">
        <v>133</v>
      </c>
      <c r="K134" s="85">
        <v>130</v>
      </c>
      <c r="L134" s="148">
        <v>136</v>
      </c>
      <c r="M134" s="85">
        <v>137</v>
      </c>
    </row>
    <row r="135" spans="1:13" s="2" customFormat="1">
      <c r="A135" s="23" t="s">
        <v>383</v>
      </c>
      <c r="B135" s="147">
        <f>53+28</f>
        <v>81</v>
      </c>
      <c r="C135" s="129">
        <f>35+48</f>
        <v>83</v>
      </c>
      <c r="D135" s="129">
        <v>113</v>
      </c>
      <c r="E135" s="147">
        <f>SUM(37+39)</f>
        <v>76</v>
      </c>
      <c r="F135" s="129">
        <v>19</v>
      </c>
      <c r="G135" s="129">
        <v>19</v>
      </c>
      <c r="H135" s="147">
        <v>34</v>
      </c>
      <c r="I135" s="147">
        <v>14</v>
      </c>
      <c r="J135" s="147">
        <v>27</v>
      </c>
      <c r="K135" s="147">
        <v>17</v>
      </c>
      <c r="L135" s="129">
        <v>25</v>
      </c>
      <c r="M135" s="129">
        <v>26</v>
      </c>
    </row>
    <row r="136" spans="1:13" s="2" customFormat="1">
      <c r="A136" s="174" t="s">
        <v>421</v>
      </c>
      <c r="B136" s="173">
        <f>B135/B125</f>
        <v>1.9058823529411763E-2</v>
      </c>
      <c r="C136" s="173">
        <f>IFERROR(C135/C125,0)</f>
        <v>1.9557021677662583E-2</v>
      </c>
      <c r="D136" s="173">
        <f t="shared" ref="D136:M136" si="34">IFERROR(D135/D125,0)</f>
        <v>2.3546572202542197E-2</v>
      </c>
      <c r="E136" s="173">
        <f t="shared" si="34"/>
        <v>1.7467248908296942E-2</v>
      </c>
      <c r="F136" s="173">
        <f t="shared" si="34"/>
        <v>4.6728971962616819E-3</v>
      </c>
      <c r="G136" s="173">
        <f t="shared" si="34"/>
        <v>5.0291159343568027E-3</v>
      </c>
      <c r="H136" s="173">
        <f t="shared" si="34"/>
        <v>8.6054163502910664E-3</v>
      </c>
      <c r="I136" s="173">
        <f t="shared" si="34"/>
        <v>3.4254954734524103E-3</v>
      </c>
      <c r="J136" s="173">
        <f t="shared" si="34"/>
        <v>6.5982404692082114E-3</v>
      </c>
      <c r="K136" s="173">
        <f t="shared" si="34"/>
        <v>4.2649272453587558E-3</v>
      </c>
      <c r="L136" s="173">
        <f t="shared" si="34"/>
        <v>5.9199621122424818E-3</v>
      </c>
      <c r="M136" s="173">
        <f t="shared" si="34"/>
        <v>5.9825126553152324E-3</v>
      </c>
    </row>
    <row r="137" spans="1:13" s="2" customFormat="1">
      <c r="A137" s="748" t="s">
        <v>1</v>
      </c>
      <c r="B137" s="147">
        <v>95</v>
      </c>
      <c r="C137" s="129">
        <v>147</v>
      </c>
      <c r="D137" s="129">
        <v>178</v>
      </c>
      <c r="E137" s="147">
        <v>78</v>
      </c>
      <c r="F137" s="129">
        <v>56</v>
      </c>
      <c r="G137" s="129">
        <v>69</v>
      </c>
      <c r="H137" s="147">
        <v>67</v>
      </c>
      <c r="I137" s="147">
        <v>58</v>
      </c>
      <c r="J137" s="147">
        <v>55</v>
      </c>
      <c r="K137" s="147">
        <v>59</v>
      </c>
      <c r="L137" s="129">
        <v>80</v>
      </c>
      <c r="M137" s="147">
        <v>87</v>
      </c>
    </row>
    <row r="138" spans="1:13" s="2" customFormat="1">
      <c r="A138" s="174" t="s">
        <v>422</v>
      </c>
      <c r="B138" s="173">
        <f>B137/B125</f>
        <v>2.2352941176470589E-2</v>
      </c>
      <c r="C138" s="173">
        <f>IFERROR(C137/C125,0)</f>
        <v>3.4637134778510839E-2</v>
      </c>
      <c r="D138" s="173">
        <f t="shared" ref="D138:M138" si="35">IFERROR(D137/D125,0)</f>
        <v>3.7091060637632838E-2</v>
      </c>
      <c r="E138" s="173">
        <f t="shared" si="35"/>
        <v>1.7926913353252125E-2</v>
      </c>
      <c r="F138" s="173">
        <f t="shared" si="35"/>
        <v>1.3772749631087064E-2</v>
      </c>
      <c r="G138" s="173">
        <f t="shared" si="35"/>
        <v>1.8263631551085232E-2</v>
      </c>
      <c r="H138" s="173">
        <f t="shared" si="35"/>
        <v>1.6957732219691216E-2</v>
      </c>
      <c r="I138" s="173">
        <f t="shared" si="35"/>
        <v>1.4191338390017127E-2</v>
      </c>
      <c r="J138" s="173">
        <f t="shared" si="35"/>
        <v>1.3440860215053764E-2</v>
      </c>
      <c r="K138" s="173">
        <f t="shared" si="35"/>
        <v>1.4801806322127445E-2</v>
      </c>
      <c r="L138" s="173">
        <f t="shared" si="35"/>
        <v>1.8943878759175942E-2</v>
      </c>
      <c r="M138" s="173">
        <f t="shared" si="35"/>
        <v>2.0018407731247124E-2</v>
      </c>
    </row>
    <row r="139" spans="1:13" s="2" customFormat="1">
      <c r="A139" s="748" t="s">
        <v>529</v>
      </c>
      <c r="B139" s="130">
        <v>0.56100000000000005</v>
      </c>
      <c r="C139" s="130">
        <v>0.58299999999999996</v>
      </c>
      <c r="D139" s="130">
        <v>0.45800000000000002</v>
      </c>
      <c r="E139" s="130">
        <v>0.59099999999999997</v>
      </c>
      <c r="F139" s="130">
        <v>0.69499999999999995</v>
      </c>
      <c r="G139" s="130">
        <v>0.76900000000000002</v>
      </c>
      <c r="H139" s="130">
        <v>0.74399999999999999</v>
      </c>
      <c r="I139" s="130">
        <v>0.66200000000000003</v>
      </c>
      <c r="J139" s="130">
        <v>0.66700000000000004</v>
      </c>
      <c r="K139" s="130">
        <v>0.61599999999999999</v>
      </c>
      <c r="L139" s="130">
        <v>0.68899999999999995</v>
      </c>
      <c r="M139" s="130">
        <v>0.63400000000000001</v>
      </c>
    </row>
    <row r="140" spans="1:13" s="2" customFormat="1">
      <c r="A140" s="748" t="s">
        <v>288</v>
      </c>
      <c r="B140" s="1122"/>
      <c r="C140" s="1122"/>
      <c r="D140" s="1122"/>
      <c r="E140" s="1122"/>
      <c r="F140" s="1122"/>
      <c r="G140" s="1122"/>
      <c r="H140" s="1122"/>
      <c r="I140" s="1122"/>
      <c r="J140" s="1122"/>
      <c r="K140" s="1122"/>
      <c r="L140" s="1122"/>
      <c r="M140" s="1122"/>
    </row>
    <row r="141" spans="1:13" s="2" customFormat="1">
      <c r="A141" s="748" t="s">
        <v>289</v>
      </c>
      <c r="B141" s="1122"/>
      <c r="C141" s="1523"/>
      <c r="D141" s="1122"/>
      <c r="E141" s="1122"/>
      <c r="F141" s="1122"/>
      <c r="G141" s="1122"/>
      <c r="H141" s="1122"/>
      <c r="I141" s="1122"/>
      <c r="J141" s="1122"/>
      <c r="K141" s="1122"/>
      <c r="L141" s="1122"/>
      <c r="M141" s="1122"/>
    </row>
    <row r="142" spans="1:13" s="2" customFormat="1">
      <c r="A142" s="748" t="s">
        <v>290</v>
      </c>
      <c r="B142" s="1122"/>
      <c r="C142" s="1122"/>
      <c r="D142" s="1122"/>
      <c r="E142" s="1122"/>
      <c r="F142" s="1122"/>
      <c r="G142" s="1122"/>
      <c r="H142" s="1122"/>
      <c r="I142" s="1122"/>
      <c r="J142" s="1122"/>
      <c r="K142" s="1122"/>
      <c r="L142" s="1122"/>
      <c r="M142" s="1122"/>
    </row>
    <row r="143" spans="1:13">
      <c r="A143" s="2988" t="s">
        <v>85</v>
      </c>
      <c r="B143" s="1104"/>
      <c r="C143" s="1104"/>
      <c r="D143" s="1104"/>
      <c r="E143" s="1104"/>
      <c r="F143" s="1104"/>
      <c r="G143" s="1104"/>
      <c r="H143" s="1104"/>
      <c r="I143" s="1104"/>
      <c r="J143" s="1104"/>
      <c r="K143" s="1104"/>
      <c r="L143" s="1104"/>
      <c r="M143" s="1104"/>
    </row>
    <row r="144" spans="1:13" ht="16.5">
      <c r="A144" s="2987"/>
      <c r="B144" s="1119"/>
      <c r="C144" s="1119"/>
      <c r="D144" s="1119"/>
      <c r="E144" s="1119"/>
      <c r="F144" s="1119"/>
      <c r="G144" s="1119"/>
      <c r="H144" s="1119"/>
      <c r="I144" s="1119"/>
      <c r="J144" s="1119"/>
      <c r="K144" s="1119"/>
      <c r="L144" s="1119"/>
      <c r="M144" s="1119"/>
    </row>
    <row r="145" spans="1:14">
      <c r="A145" s="23" t="s">
        <v>530</v>
      </c>
      <c r="B145" s="147">
        <v>2065</v>
      </c>
      <c r="C145" s="147">
        <v>2187</v>
      </c>
      <c r="D145" s="129">
        <v>2298</v>
      </c>
      <c r="E145" s="129">
        <v>2187</v>
      </c>
      <c r="F145" s="129">
        <v>2186</v>
      </c>
      <c r="G145" s="129">
        <v>2193</v>
      </c>
      <c r="H145" s="147">
        <v>2202</v>
      </c>
      <c r="I145" s="147">
        <v>2396</v>
      </c>
      <c r="J145" s="147">
        <v>2269</v>
      </c>
      <c r="K145" s="147">
        <v>2271</v>
      </c>
      <c r="L145" s="129">
        <v>2210</v>
      </c>
      <c r="M145" s="147">
        <v>2306</v>
      </c>
      <c r="N145" s="135"/>
    </row>
    <row r="146" spans="1:14">
      <c r="A146" s="23" t="s">
        <v>793</v>
      </c>
      <c r="B146" s="85">
        <v>12</v>
      </c>
      <c r="C146" s="85">
        <v>14</v>
      </c>
      <c r="D146" s="148">
        <v>17</v>
      </c>
      <c r="E146" s="85">
        <v>14</v>
      </c>
      <c r="F146" s="148">
        <v>12</v>
      </c>
      <c r="G146" s="148">
        <v>11</v>
      </c>
      <c r="H146" s="85">
        <v>12</v>
      </c>
      <c r="I146" s="85">
        <v>14</v>
      </c>
      <c r="J146" s="85">
        <v>15</v>
      </c>
      <c r="K146" s="85">
        <v>13</v>
      </c>
      <c r="L146" s="148">
        <v>12</v>
      </c>
      <c r="M146" s="85">
        <v>14</v>
      </c>
      <c r="N146" s="135"/>
    </row>
    <row r="147" spans="1:14">
      <c r="A147" s="23" t="s">
        <v>160</v>
      </c>
      <c r="B147" s="1104"/>
      <c r="C147" s="1104"/>
      <c r="D147" s="1104"/>
      <c r="E147" s="1104"/>
      <c r="F147" s="1104"/>
      <c r="G147" s="1104"/>
      <c r="H147" s="1104"/>
      <c r="I147" s="1104"/>
      <c r="J147" s="1120"/>
      <c r="K147" s="1120"/>
      <c r="L147" s="1104"/>
      <c r="M147" s="1104"/>
      <c r="N147" s="135"/>
    </row>
    <row r="148" spans="1:14">
      <c r="A148" s="171" t="s">
        <v>161</v>
      </c>
      <c r="B148" s="1121"/>
      <c r="C148" s="1121"/>
      <c r="D148" s="1121"/>
      <c r="E148" s="1121"/>
      <c r="F148" s="1121"/>
      <c r="G148" s="1121"/>
      <c r="H148" s="1121"/>
      <c r="I148" s="1121"/>
      <c r="J148" s="1121"/>
      <c r="K148" s="1121"/>
      <c r="L148" s="1121"/>
      <c r="M148" s="1121"/>
      <c r="N148" s="135"/>
    </row>
    <row r="149" spans="1:14">
      <c r="A149" s="23" t="s">
        <v>622</v>
      </c>
      <c r="B149" s="147">
        <v>384</v>
      </c>
      <c r="C149" s="147">
        <v>403</v>
      </c>
      <c r="D149" s="129">
        <v>443</v>
      </c>
      <c r="E149" s="129">
        <v>383</v>
      </c>
      <c r="F149" s="129">
        <v>408</v>
      </c>
      <c r="G149" s="129">
        <v>403</v>
      </c>
      <c r="H149" s="147">
        <v>391</v>
      </c>
      <c r="I149" s="147">
        <v>407</v>
      </c>
      <c r="J149" s="147">
        <v>390</v>
      </c>
      <c r="K149" s="147">
        <v>404</v>
      </c>
      <c r="L149" s="129">
        <v>390</v>
      </c>
      <c r="M149" s="147">
        <v>392</v>
      </c>
      <c r="N149" s="135"/>
    </row>
    <row r="150" spans="1:14">
      <c r="A150" s="171" t="s">
        <v>425</v>
      </c>
      <c r="B150" s="173">
        <f>B149/B145</f>
        <v>0.18595641646489103</v>
      </c>
      <c r="C150" s="173">
        <f t="shared" ref="C150:M150" si="36">IFERROR(C149/C145,0)</f>
        <v>0.18427069044352995</v>
      </c>
      <c r="D150" s="173">
        <f t="shared" si="36"/>
        <v>0.19277632724107921</v>
      </c>
      <c r="E150" s="173">
        <f t="shared" si="36"/>
        <v>0.17512574302697759</v>
      </c>
      <c r="F150" s="173">
        <f t="shared" si="36"/>
        <v>0.18664226898444647</v>
      </c>
      <c r="G150" s="173">
        <f t="shared" si="36"/>
        <v>0.18376652986776107</v>
      </c>
      <c r="H150" s="173">
        <f t="shared" si="36"/>
        <v>0.17756584922797458</v>
      </c>
      <c r="I150" s="173">
        <f t="shared" si="36"/>
        <v>0.16986644407345575</v>
      </c>
      <c r="J150" s="173">
        <f t="shared" si="36"/>
        <v>0.17188188629352139</v>
      </c>
      <c r="K150" s="173">
        <f t="shared" si="36"/>
        <v>0.17789520035226772</v>
      </c>
      <c r="L150" s="173">
        <f t="shared" si="36"/>
        <v>0.17647058823529413</v>
      </c>
      <c r="M150" s="173">
        <f t="shared" si="36"/>
        <v>0.16999132697311362</v>
      </c>
      <c r="N150" s="135"/>
    </row>
    <row r="151" spans="1:14">
      <c r="A151" s="23" t="s">
        <v>790</v>
      </c>
      <c r="B151" s="85">
        <v>222</v>
      </c>
      <c r="C151" s="85">
        <v>286</v>
      </c>
      <c r="D151" s="148">
        <v>272</v>
      </c>
      <c r="E151" s="85">
        <v>260</v>
      </c>
      <c r="F151" s="148">
        <v>239</v>
      </c>
      <c r="G151" s="148">
        <v>215</v>
      </c>
      <c r="H151" s="85">
        <v>241</v>
      </c>
      <c r="I151" s="85">
        <v>223</v>
      </c>
      <c r="J151" s="85">
        <v>254</v>
      </c>
      <c r="K151" s="85">
        <v>240</v>
      </c>
      <c r="L151" s="148">
        <v>247</v>
      </c>
      <c r="M151" s="85">
        <v>230</v>
      </c>
      <c r="N151" s="135"/>
    </row>
    <row r="152" spans="1:14">
      <c r="A152" s="171" t="s">
        <v>528</v>
      </c>
      <c r="B152" s="172">
        <f>B153/B145</f>
        <v>0.81404358353510897</v>
      </c>
      <c r="C152" s="173">
        <f t="shared" ref="C152:M152" si="37">IFERROR(C153/C145,0)</f>
        <v>0.81572930955647005</v>
      </c>
      <c r="D152" s="173">
        <f t="shared" si="37"/>
        <v>0.80722367275892082</v>
      </c>
      <c r="E152" s="173">
        <f t="shared" si="37"/>
        <v>0.82487425697302241</v>
      </c>
      <c r="F152" s="173">
        <f t="shared" si="37"/>
        <v>0.81335773101555353</v>
      </c>
      <c r="G152" s="173">
        <f t="shared" si="37"/>
        <v>0.8162334701322389</v>
      </c>
      <c r="H152" s="173">
        <f t="shared" si="37"/>
        <v>0.82243415077202542</v>
      </c>
      <c r="I152" s="173">
        <f t="shared" si="37"/>
        <v>0.79048414023372282</v>
      </c>
      <c r="J152" s="173">
        <f t="shared" si="37"/>
        <v>0.79991185544292642</v>
      </c>
      <c r="K152" s="173">
        <f t="shared" si="37"/>
        <v>0.78907970057243504</v>
      </c>
      <c r="L152" s="173">
        <f t="shared" si="37"/>
        <v>0.79140271493212666</v>
      </c>
      <c r="M152" s="173">
        <f t="shared" si="37"/>
        <v>0.79575021682567215</v>
      </c>
      <c r="N152" s="135"/>
    </row>
    <row r="153" spans="1:14">
      <c r="A153" s="171" t="s">
        <v>39</v>
      </c>
      <c r="B153" s="750">
        <f t="shared" ref="B153:H153" si="38">B145-B149</f>
        <v>1681</v>
      </c>
      <c r="C153" s="750">
        <f t="shared" si="38"/>
        <v>1784</v>
      </c>
      <c r="D153" s="750">
        <f t="shared" si="38"/>
        <v>1855</v>
      </c>
      <c r="E153" s="750">
        <f t="shared" si="38"/>
        <v>1804</v>
      </c>
      <c r="F153" s="750">
        <f t="shared" si="38"/>
        <v>1778</v>
      </c>
      <c r="G153" s="750">
        <f t="shared" si="38"/>
        <v>1790</v>
      </c>
      <c r="H153" s="750">
        <f t="shared" si="38"/>
        <v>1811</v>
      </c>
      <c r="I153" s="750">
        <v>1894</v>
      </c>
      <c r="J153" s="750">
        <v>1815</v>
      </c>
      <c r="K153" s="750">
        <v>1792</v>
      </c>
      <c r="L153" s="750">
        <v>1749</v>
      </c>
      <c r="M153" s="750">
        <v>1835</v>
      </c>
      <c r="N153" s="135"/>
    </row>
    <row r="154" spans="1:14">
      <c r="A154" s="23" t="s">
        <v>791</v>
      </c>
      <c r="B154" s="85">
        <v>113</v>
      </c>
      <c r="C154" s="85">
        <v>118</v>
      </c>
      <c r="D154" s="148">
        <v>120</v>
      </c>
      <c r="E154" s="85">
        <v>112</v>
      </c>
      <c r="F154" s="148">
        <v>109</v>
      </c>
      <c r="G154" s="148">
        <v>105</v>
      </c>
      <c r="H154" s="85">
        <v>105</v>
      </c>
      <c r="I154" s="85">
        <v>109</v>
      </c>
      <c r="J154" s="85">
        <v>108</v>
      </c>
      <c r="K154" s="85">
        <v>111</v>
      </c>
      <c r="L154" s="148">
        <v>107</v>
      </c>
      <c r="M154" s="85">
        <v>109</v>
      </c>
      <c r="N154" s="135"/>
    </row>
    <row r="155" spans="1:14">
      <c r="A155" s="23" t="s">
        <v>792</v>
      </c>
      <c r="B155" s="147">
        <v>4</v>
      </c>
      <c r="C155" s="147">
        <v>9</v>
      </c>
      <c r="D155" s="129">
        <v>14</v>
      </c>
      <c r="E155" s="147">
        <v>12</v>
      </c>
      <c r="F155" s="129">
        <v>14</v>
      </c>
      <c r="G155" s="129">
        <v>13</v>
      </c>
      <c r="H155" s="147">
        <v>6</v>
      </c>
      <c r="I155" s="147">
        <v>24</v>
      </c>
      <c r="J155" s="147">
        <v>13</v>
      </c>
      <c r="K155" s="147">
        <v>16</v>
      </c>
      <c r="L155" s="129">
        <v>11</v>
      </c>
      <c r="M155" s="129">
        <v>15</v>
      </c>
      <c r="N155" s="135"/>
    </row>
    <row r="156" spans="1:14">
      <c r="A156" s="174" t="s">
        <v>421</v>
      </c>
      <c r="B156" s="173">
        <f>B155/B145</f>
        <v>1.937046004842615E-3</v>
      </c>
      <c r="C156" s="173">
        <f t="shared" ref="C156:M156" si="39">IFERROR(C155/C145,0)</f>
        <v>4.11522633744856E-3</v>
      </c>
      <c r="D156" s="173">
        <f t="shared" si="39"/>
        <v>6.0922541340295913E-3</v>
      </c>
      <c r="E156" s="173">
        <f t="shared" si="39"/>
        <v>5.4869684499314125E-3</v>
      </c>
      <c r="F156" s="173">
        <f t="shared" si="39"/>
        <v>6.4043915827996338E-3</v>
      </c>
      <c r="G156" s="173">
        <f t="shared" si="39"/>
        <v>5.9279525763793889E-3</v>
      </c>
      <c r="H156" s="173">
        <f t="shared" si="39"/>
        <v>2.7247956403269754E-3</v>
      </c>
      <c r="I156" s="173">
        <f t="shared" si="39"/>
        <v>1.001669449081803E-2</v>
      </c>
      <c r="J156" s="173">
        <f t="shared" si="39"/>
        <v>5.7293962097840455E-3</v>
      </c>
      <c r="K156" s="173">
        <f t="shared" si="39"/>
        <v>7.0453544693967413E-3</v>
      </c>
      <c r="L156" s="173">
        <f t="shared" si="39"/>
        <v>4.9773755656108594E-3</v>
      </c>
      <c r="M156" s="173">
        <f t="shared" si="39"/>
        <v>6.5047701647875109E-3</v>
      </c>
      <c r="N156" s="135"/>
    </row>
    <row r="157" spans="1:14">
      <c r="A157" s="749" t="s">
        <v>1</v>
      </c>
      <c r="B157" s="147">
        <v>18</v>
      </c>
      <c r="C157" s="147">
        <v>18</v>
      </c>
      <c r="D157" s="129">
        <v>22</v>
      </c>
      <c r="E157" s="147">
        <v>19</v>
      </c>
      <c r="F157" s="129">
        <v>22</v>
      </c>
      <c r="G157" s="129">
        <v>20</v>
      </c>
      <c r="H157" s="147">
        <v>23</v>
      </c>
      <c r="I157" s="147">
        <v>20</v>
      </c>
      <c r="J157" s="147">
        <v>9</v>
      </c>
      <c r="K157" s="147">
        <v>20</v>
      </c>
      <c r="L157" s="129">
        <v>16</v>
      </c>
      <c r="M157" s="147">
        <v>14</v>
      </c>
      <c r="N157" s="135"/>
    </row>
    <row r="158" spans="1:14">
      <c r="A158" s="174" t="s">
        <v>422</v>
      </c>
      <c r="B158" s="173">
        <f>B157/B145</f>
        <v>8.7167070217917669E-3</v>
      </c>
      <c r="C158" s="173">
        <f t="shared" ref="C158:M158" si="40">IFERROR(C157/C145,0)</f>
        <v>8.23045267489712E-3</v>
      </c>
      <c r="D158" s="173">
        <f t="shared" si="40"/>
        <v>9.5735422106179285E-3</v>
      </c>
      <c r="E158" s="173">
        <f t="shared" si="40"/>
        <v>8.6877000457247378E-3</v>
      </c>
      <c r="F158" s="173">
        <f t="shared" si="40"/>
        <v>1.0064043915827997E-2</v>
      </c>
      <c r="G158" s="173">
        <f t="shared" si="40"/>
        <v>9.1199270405836752E-3</v>
      </c>
      <c r="H158" s="173">
        <f t="shared" si="40"/>
        <v>1.0445049954586739E-2</v>
      </c>
      <c r="I158" s="173">
        <f t="shared" si="40"/>
        <v>8.3472454090150246E-3</v>
      </c>
      <c r="J158" s="173">
        <f t="shared" si="40"/>
        <v>3.9665050683120318E-3</v>
      </c>
      <c r="K158" s="173">
        <f t="shared" si="40"/>
        <v>8.8066930867459273E-3</v>
      </c>
      <c r="L158" s="173">
        <f t="shared" si="40"/>
        <v>7.2398190045248872E-3</v>
      </c>
      <c r="M158" s="173">
        <f t="shared" si="40"/>
        <v>6.0711188204683438E-3</v>
      </c>
      <c r="N158" s="135"/>
    </row>
    <row r="159" spans="1:14">
      <c r="A159" s="749" t="s">
        <v>529</v>
      </c>
      <c r="B159" s="130">
        <v>0.71899999999999997</v>
      </c>
      <c r="C159" s="130">
        <v>0.6</v>
      </c>
      <c r="D159" s="130">
        <v>1</v>
      </c>
      <c r="E159" s="130">
        <v>0.88900000000000001</v>
      </c>
      <c r="F159" s="130">
        <v>0.83299999999999996</v>
      </c>
      <c r="G159" s="130">
        <v>0.65900000000000003</v>
      </c>
      <c r="H159" s="130">
        <v>0.83299999999999996</v>
      </c>
      <c r="I159" s="130">
        <v>0.63300000000000001</v>
      </c>
      <c r="J159" s="130">
        <v>0.70599999999999996</v>
      </c>
      <c r="K159" s="130">
        <v>0.90900000000000003</v>
      </c>
      <c r="L159" s="130">
        <v>0.63600000000000001</v>
      </c>
      <c r="M159" s="130">
        <v>0.94</v>
      </c>
    </row>
    <row r="160" spans="1:14">
      <c r="A160" s="749" t="s">
        <v>288</v>
      </c>
      <c r="B160" s="1122"/>
      <c r="C160" s="1122"/>
      <c r="D160" s="1122"/>
      <c r="E160" s="1122"/>
      <c r="F160" s="1122"/>
      <c r="G160" s="1122"/>
      <c r="H160" s="1122"/>
      <c r="I160" s="1122"/>
      <c r="J160" s="1122"/>
      <c r="K160" s="1122"/>
      <c r="L160" s="1122"/>
      <c r="M160" s="1122"/>
    </row>
    <row r="161" spans="1:13">
      <c r="A161" s="749" t="s">
        <v>289</v>
      </c>
      <c r="B161" s="1122"/>
      <c r="C161" s="1523"/>
      <c r="D161" s="1122"/>
      <c r="E161" s="1122"/>
      <c r="F161" s="1122"/>
      <c r="G161" s="1122"/>
      <c r="H161" s="1122"/>
      <c r="I161" s="1122"/>
      <c r="J161" s="1122"/>
      <c r="K161" s="1122"/>
      <c r="L161" s="1122"/>
      <c r="M161" s="1122"/>
    </row>
    <row r="162" spans="1:13">
      <c r="A162" s="749" t="s">
        <v>290</v>
      </c>
      <c r="B162" s="1122"/>
      <c r="C162" s="1122"/>
      <c r="D162" s="1122"/>
      <c r="E162" s="1122"/>
      <c r="F162" s="1122"/>
      <c r="G162" s="1122"/>
      <c r="H162" s="1122"/>
      <c r="I162" s="1122"/>
      <c r="J162" s="1122"/>
      <c r="K162" s="1122"/>
      <c r="L162" s="1122"/>
      <c r="M162" s="1122"/>
    </row>
    <row r="163" spans="1:13">
      <c r="A163" s="2986" t="s">
        <v>84</v>
      </c>
      <c r="B163" s="1104"/>
      <c r="C163" s="1104"/>
      <c r="D163" s="1104"/>
      <c r="E163" s="1104"/>
      <c r="F163" s="1104"/>
      <c r="G163" s="1104"/>
      <c r="H163" s="1104"/>
      <c r="I163" s="1104"/>
      <c r="J163" s="1104"/>
      <c r="K163" s="1104"/>
      <c r="L163" s="1104"/>
      <c r="M163" s="1104"/>
    </row>
    <row r="164" spans="1:13" ht="16.5">
      <c r="A164" s="2987"/>
      <c r="B164" s="1118"/>
      <c r="C164" s="1118"/>
      <c r="D164" s="1118"/>
      <c r="E164" s="1118"/>
      <c r="F164" s="1118"/>
      <c r="G164" s="1118"/>
      <c r="H164" s="1118"/>
      <c r="I164" s="1118"/>
      <c r="J164" s="1118"/>
      <c r="K164" s="1118"/>
      <c r="L164" s="1118"/>
      <c r="M164" s="1118"/>
    </row>
    <row r="165" spans="1:13">
      <c r="A165" s="23" t="s">
        <v>530</v>
      </c>
      <c r="B165" s="147">
        <v>3272</v>
      </c>
      <c r="C165" s="147">
        <v>3349</v>
      </c>
      <c r="D165" s="147">
        <v>3716</v>
      </c>
      <c r="E165" s="129">
        <v>3056</v>
      </c>
      <c r="F165" s="129">
        <v>2976</v>
      </c>
      <c r="G165" s="129">
        <v>2824</v>
      </c>
      <c r="H165" s="147">
        <v>2791</v>
      </c>
      <c r="I165" s="147">
        <v>2811</v>
      </c>
      <c r="J165" s="147">
        <v>2728</v>
      </c>
      <c r="K165" s="147">
        <v>2782</v>
      </c>
      <c r="L165" s="129">
        <v>3058</v>
      </c>
      <c r="M165" s="147">
        <v>3463</v>
      </c>
    </row>
    <row r="166" spans="1:13">
      <c r="A166" s="23" t="s">
        <v>418</v>
      </c>
      <c r="B166" s="85">
        <v>23</v>
      </c>
      <c r="C166" s="85">
        <v>48</v>
      </c>
      <c r="D166" s="85">
        <v>42</v>
      </c>
      <c r="E166" s="148">
        <v>42</v>
      </c>
      <c r="F166" s="148">
        <v>24</v>
      </c>
      <c r="G166" s="148">
        <v>31</v>
      </c>
      <c r="H166" s="85">
        <v>40</v>
      </c>
      <c r="I166" s="85">
        <v>13</v>
      </c>
      <c r="J166" s="85">
        <v>14</v>
      </c>
      <c r="K166" s="85">
        <v>15</v>
      </c>
      <c r="L166" s="148">
        <v>23</v>
      </c>
      <c r="M166" s="85">
        <v>14</v>
      </c>
    </row>
    <row r="167" spans="1:13">
      <c r="A167" s="23" t="s">
        <v>160</v>
      </c>
      <c r="B167" s="1104"/>
      <c r="C167" s="1104"/>
      <c r="D167" s="1104"/>
      <c r="E167" s="1104"/>
      <c r="F167" s="1104"/>
      <c r="G167" s="1104"/>
      <c r="H167" s="1104"/>
      <c r="I167" s="1104"/>
      <c r="J167" s="1120"/>
      <c r="K167" s="1120"/>
      <c r="L167" s="1104"/>
      <c r="M167" s="1104"/>
    </row>
    <row r="168" spans="1:13">
      <c r="A168" s="171" t="s">
        <v>161</v>
      </c>
      <c r="B168" s="1121"/>
      <c r="C168" s="1121"/>
      <c r="D168" s="1121"/>
      <c r="E168" s="1121"/>
      <c r="F168" s="1121"/>
      <c r="G168" s="1121"/>
      <c r="H168" s="1121"/>
      <c r="I168" s="1121"/>
      <c r="J168" s="1121"/>
      <c r="K168" s="1121"/>
      <c r="L168" s="1121"/>
      <c r="M168" s="1121"/>
    </row>
    <row r="169" spans="1:13">
      <c r="A169" s="23" t="s">
        <v>622</v>
      </c>
      <c r="B169" s="147">
        <v>640</v>
      </c>
      <c r="C169" s="147">
        <v>578</v>
      </c>
      <c r="D169" s="147">
        <v>668</v>
      </c>
      <c r="E169" s="129">
        <v>644</v>
      </c>
      <c r="F169" s="129">
        <v>552</v>
      </c>
      <c r="G169" s="129">
        <v>540</v>
      </c>
      <c r="H169" s="147">
        <v>476</v>
      </c>
      <c r="I169" s="147">
        <v>517</v>
      </c>
      <c r="J169" s="147">
        <v>743</v>
      </c>
      <c r="K169" s="147">
        <v>527</v>
      </c>
      <c r="L169" s="129">
        <v>602</v>
      </c>
      <c r="M169" s="147">
        <v>679</v>
      </c>
    </row>
    <row r="170" spans="1:13">
      <c r="A170" s="171" t="s">
        <v>540</v>
      </c>
      <c r="B170" s="173">
        <f>B169/B165</f>
        <v>0.19559902200488999</v>
      </c>
      <c r="C170" s="173">
        <f t="shared" ref="C170:M170" si="41">IFERROR(C169/C165,0)</f>
        <v>0.17258883248730963</v>
      </c>
      <c r="D170" s="173">
        <f t="shared" si="41"/>
        <v>0.17976318622174381</v>
      </c>
      <c r="E170" s="173">
        <f>IFERROR(E169/E165,0)</f>
        <v>0.2107329842931937</v>
      </c>
      <c r="F170" s="173">
        <f>IFERROR(F169/F165,0)</f>
        <v>0.18548387096774194</v>
      </c>
      <c r="G170" s="173">
        <f t="shared" si="41"/>
        <v>0.19121813031161472</v>
      </c>
      <c r="H170" s="173">
        <f t="shared" si="41"/>
        <v>0.17054819061268361</v>
      </c>
      <c r="I170" s="173">
        <f t="shared" si="41"/>
        <v>0.18392031305585202</v>
      </c>
      <c r="J170" s="173">
        <f t="shared" si="41"/>
        <v>0.2723607038123167</v>
      </c>
      <c r="K170" s="173">
        <f t="shared" si="41"/>
        <v>0.18943206326383896</v>
      </c>
      <c r="L170" s="173">
        <f t="shared" si="41"/>
        <v>0.19686069326357097</v>
      </c>
      <c r="M170" s="173">
        <f t="shared" si="41"/>
        <v>0.19607276927519493</v>
      </c>
    </row>
    <row r="171" spans="1:13">
      <c r="A171" s="23" t="s">
        <v>539</v>
      </c>
      <c r="B171" s="85">
        <v>371</v>
      </c>
      <c r="C171" s="85">
        <v>392</v>
      </c>
      <c r="D171" s="85">
        <v>397</v>
      </c>
      <c r="E171" s="761"/>
      <c r="F171" s="761"/>
      <c r="G171" s="761"/>
      <c r="H171" s="761"/>
      <c r="I171" s="761"/>
      <c r="J171" s="85">
        <v>323</v>
      </c>
      <c r="K171" s="85">
        <v>310</v>
      </c>
      <c r="L171" s="148">
        <v>357</v>
      </c>
      <c r="M171" s="85">
        <v>299</v>
      </c>
    </row>
    <row r="172" spans="1:13">
      <c r="A172" s="171" t="s">
        <v>619</v>
      </c>
      <c r="B172" s="172">
        <f>B173/B165</f>
        <v>0.80440097799511001</v>
      </c>
      <c r="C172" s="173">
        <f>C173/C165</f>
        <v>0.82741116751269039</v>
      </c>
      <c r="D172" s="173">
        <f>D173/D165</f>
        <v>0.82023681377825619</v>
      </c>
      <c r="E172" s="173">
        <f>E173/E165</f>
        <v>0.78926701570680624</v>
      </c>
      <c r="F172" s="173">
        <f t="shared" ref="F172:M172" si="42">IFERROR(F173/F165,0)</f>
        <v>0.792002688172043</v>
      </c>
      <c r="G172" s="173">
        <f t="shared" si="42"/>
        <v>0.78718130311614731</v>
      </c>
      <c r="H172" s="173">
        <f t="shared" si="42"/>
        <v>0.82945180938731633</v>
      </c>
      <c r="I172" s="173">
        <f t="shared" si="42"/>
        <v>0.79615795090715047</v>
      </c>
      <c r="J172" s="173">
        <f t="shared" si="42"/>
        <v>0.77162756598240467</v>
      </c>
      <c r="K172" s="173">
        <f t="shared" si="42"/>
        <v>0.84902947519769945</v>
      </c>
      <c r="L172" s="173">
        <f t="shared" si="42"/>
        <v>0.78253760627861346</v>
      </c>
      <c r="M172" s="173">
        <f t="shared" si="42"/>
        <v>0.79237655212243718</v>
      </c>
    </row>
    <row r="173" spans="1:13">
      <c r="A173" s="171" t="s">
        <v>541</v>
      </c>
      <c r="B173" s="750">
        <f>B165-B169</f>
        <v>2632</v>
      </c>
      <c r="C173" s="750">
        <f>C165-C169</f>
        <v>2771</v>
      </c>
      <c r="D173" s="750">
        <f>D165-D169</f>
        <v>3048</v>
      </c>
      <c r="E173" s="750">
        <v>2412</v>
      </c>
      <c r="F173" s="750">
        <v>2357</v>
      </c>
      <c r="G173" s="750">
        <v>2223</v>
      </c>
      <c r="H173" s="750">
        <f>H165-H169</f>
        <v>2315</v>
      </c>
      <c r="I173" s="750">
        <v>2238</v>
      </c>
      <c r="J173" s="750">
        <v>2105</v>
      </c>
      <c r="K173" s="750">
        <v>2362</v>
      </c>
      <c r="L173" s="750">
        <v>2393</v>
      </c>
      <c r="M173" s="750">
        <v>2744</v>
      </c>
    </row>
    <row r="174" spans="1:13">
      <c r="A174" s="23" t="s">
        <v>637</v>
      </c>
      <c r="B174" s="85">
        <v>139</v>
      </c>
      <c r="C174" s="85">
        <v>245</v>
      </c>
      <c r="D174" s="85">
        <v>202</v>
      </c>
      <c r="E174" s="761"/>
      <c r="F174" s="761"/>
      <c r="G174" s="761"/>
      <c r="H174" s="761"/>
      <c r="I174" s="761"/>
      <c r="J174" s="85">
        <v>136</v>
      </c>
      <c r="K174" s="85">
        <v>148</v>
      </c>
      <c r="L174" s="148">
        <v>162</v>
      </c>
      <c r="M174" s="85">
        <v>131</v>
      </c>
    </row>
    <row r="175" spans="1:13">
      <c r="A175" s="23" t="s">
        <v>383</v>
      </c>
      <c r="B175" s="147">
        <v>17</v>
      </c>
      <c r="C175" s="147">
        <v>74</v>
      </c>
      <c r="D175" s="147">
        <v>88</v>
      </c>
      <c r="E175" s="147">
        <v>35</v>
      </c>
      <c r="F175" s="129">
        <v>23</v>
      </c>
      <c r="G175" s="129">
        <v>33</v>
      </c>
      <c r="H175" s="147">
        <v>12</v>
      </c>
      <c r="I175" s="147">
        <v>1</v>
      </c>
      <c r="J175" s="147">
        <v>8</v>
      </c>
      <c r="K175" s="147">
        <v>15</v>
      </c>
      <c r="L175" s="129">
        <v>14</v>
      </c>
      <c r="M175" s="129">
        <v>17</v>
      </c>
    </row>
    <row r="176" spans="1:13">
      <c r="A176" s="174" t="s">
        <v>421</v>
      </c>
      <c r="B176" s="173">
        <f>B175/B165</f>
        <v>5.1955990220048896E-3</v>
      </c>
      <c r="C176" s="173">
        <f t="shared" ref="C176:M176" si="43">IFERROR(C175/C165,0)</f>
        <v>2.2096148103911615E-2</v>
      </c>
      <c r="D176" s="173">
        <f t="shared" si="43"/>
        <v>2.3681377825618945E-2</v>
      </c>
      <c r="E176" s="173">
        <f t="shared" si="43"/>
        <v>1.1452879581151832E-2</v>
      </c>
      <c r="F176" s="173">
        <f t="shared" si="43"/>
        <v>7.7284946236559141E-3</v>
      </c>
      <c r="G176" s="173">
        <f t="shared" si="43"/>
        <v>1.1685552407932011E-2</v>
      </c>
      <c r="H176" s="173">
        <f t="shared" si="43"/>
        <v>4.2995342171264781E-3</v>
      </c>
      <c r="I176" s="173">
        <f t="shared" si="43"/>
        <v>3.5574528637495552E-4</v>
      </c>
      <c r="J176" s="173">
        <f t="shared" si="43"/>
        <v>2.9325513196480938E-3</v>
      </c>
      <c r="K176" s="173">
        <f t="shared" si="43"/>
        <v>5.3918044572250183E-3</v>
      </c>
      <c r="L176" s="173">
        <f t="shared" si="43"/>
        <v>4.5781556572923477E-3</v>
      </c>
      <c r="M176" s="173">
        <f t="shared" si="43"/>
        <v>4.9090384060063528E-3</v>
      </c>
    </row>
    <row r="177" spans="1:13">
      <c r="A177" s="754" t="s">
        <v>1</v>
      </c>
      <c r="B177" s="147">
        <v>34</v>
      </c>
      <c r="C177" s="147">
        <v>62</v>
      </c>
      <c r="D177" s="147">
        <v>45</v>
      </c>
      <c r="E177" s="147">
        <v>50</v>
      </c>
      <c r="F177" s="129">
        <v>29</v>
      </c>
      <c r="G177" s="129">
        <v>43</v>
      </c>
      <c r="H177" s="129">
        <v>31</v>
      </c>
      <c r="I177" s="147">
        <v>29</v>
      </c>
      <c r="J177" s="147">
        <v>26</v>
      </c>
      <c r="K177" s="147">
        <v>38</v>
      </c>
      <c r="L177" s="129">
        <v>52</v>
      </c>
      <c r="M177" s="147">
        <v>43</v>
      </c>
    </row>
    <row r="178" spans="1:13">
      <c r="A178" s="174" t="s">
        <v>422</v>
      </c>
      <c r="B178" s="173">
        <f>B177/B165</f>
        <v>1.0391198044009779E-2</v>
      </c>
      <c r="C178" s="173">
        <f t="shared" ref="C178:M178" si="44">IFERROR(C177/C165,0)</f>
        <v>1.8512988951925949E-2</v>
      </c>
      <c r="D178" s="173">
        <f t="shared" si="44"/>
        <v>1.2109795479009687E-2</v>
      </c>
      <c r="E178" s="173">
        <f t="shared" si="44"/>
        <v>1.6361256544502618E-2</v>
      </c>
      <c r="F178" s="173">
        <f t="shared" si="44"/>
        <v>9.7446236559139785E-3</v>
      </c>
      <c r="G178" s="173">
        <f t="shared" si="44"/>
        <v>1.5226628895184136E-2</v>
      </c>
      <c r="H178" s="173">
        <f t="shared" si="44"/>
        <v>1.1107130060910068E-2</v>
      </c>
      <c r="I178" s="173">
        <f t="shared" si="44"/>
        <v>1.031661330487371E-2</v>
      </c>
      <c r="J178" s="173">
        <f t="shared" si="44"/>
        <v>9.5307917888563052E-3</v>
      </c>
      <c r="K178" s="173">
        <f t="shared" si="44"/>
        <v>1.3659237958303379E-2</v>
      </c>
      <c r="L178" s="173">
        <f t="shared" si="44"/>
        <v>1.7004578155657292E-2</v>
      </c>
      <c r="M178" s="173">
        <f t="shared" si="44"/>
        <v>1.241697949754548E-2</v>
      </c>
    </row>
    <row r="179" spans="1:13" ht="15" customHeight="1">
      <c r="A179" s="754" t="s">
        <v>171</v>
      </c>
      <c r="B179" s="199">
        <v>0.77</v>
      </c>
      <c r="C179" s="199">
        <v>0.85599999999999998</v>
      </c>
      <c r="D179" s="199">
        <v>0.73699999999999999</v>
      </c>
      <c r="E179" s="199">
        <v>0.84299999999999997</v>
      </c>
      <c r="F179" s="199">
        <v>0.80500000000000005</v>
      </c>
      <c r="G179" s="199">
        <v>0.86099999999999999</v>
      </c>
      <c r="H179" s="170">
        <v>0.84299999999999997</v>
      </c>
      <c r="I179" s="170">
        <v>0.94499999999999995</v>
      </c>
      <c r="J179" s="156">
        <v>0.79800000000000004</v>
      </c>
      <c r="K179" s="199">
        <v>0.83099999999999996</v>
      </c>
      <c r="L179" s="199">
        <v>0.90400000000000003</v>
      </c>
      <c r="M179" s="199">
        <v>0.94</v>
      </c>
    </row>
    <row r="180" spans="1:13">
      <c r="A180" s="754" t="s">
        <v>288</v>
      </c>
      <c r="B180" s="131">
        <v>1</v>
      </c>
      <c r="C180" s="131">
        <v>1</v>
      </c>
      <c r="D180" s="131">
        <v>1</v>
      </c>
      <c r="E180" s="1122"/>
      <c r="F180" s="1122"/>
      <c r="G180" s="1122"/>
      <c r="H180" s="1122"/>
      <c r="I180" s="1122"/>
      <c r="J180" s="1122"/>
      <c r="K180" s="1122"/>
      <c r="L180" s="1122"/>
      <c r="M180" s="1122"/>
    </row>
    <row r="181" spans="1:13">
      <c r="A181" s="754" t="s">
        <v>289</v>
      </c>
      <c r="B181" s="131">
        <v>1</v>
      </c>
      <c r="C181" s="131">
        <v>0</v>
      </c>
      <c r="D181" s="131">
        <v>1</v>
      </c>
      <c r="E181" s="1122"/>
      <c r="F181" s="1122"/>
      <c r="G181" s="1122"/>
      <c r="H181" s="1122"/>
      <c r="I181" s="1122"/>
      <c r="J181" s="1122"/>
      <c r="K181" s="1122"/>
      <c r="L181" s="1122"/>
      <c r="M181" s="1122"/>
    </row>
    <row r="182" spans="1:13">
      <c r="A182" s="754" t="s">
        <v>290</v>
      </c>
      <c r="B182" s="155">
        <v>70</v>
      </c>
      <c r="C182" s="155">
        <v>76</v>
      </c>
      <c r="D182" s="155">
        <v>78</v>
      </c>
      <c r="E182" s="1526"/>
      <c r="F182" s="1526"/>
      <c r="G182" s="1526"/>
      <c r="H182" s="1526"/>
      <c r="I182" s="1526"/>
      <c r="J182" s="1526"/>
      <c r="K182" s="1526"/>
      <c r="L182" s="1526"/>
      <c r="M182" s="1526"/>
    </row>
    <row r="183" spans="1:13">
      <c r="A183" s="2986" t="s">
        <v>81</v>
      </c>
      <c r="B183" s="1104"/>
      <c r="C183" s="1104"/>
      <c r="D183" s="1104"/>
      <c r="E183" s="1104"/>
      <c r="F183" s="1104"/>
      <c r="G183" s="1104"/>
      <c r="H183" s="1104"/>
      <c r="I183" s="1104"/>
      <c r="J183" s="1104"/>
      <c r="K183" s="1104"/>
      <c r="L183" s="1104"/>
      <c r="M183" s="1104"/>
    </row>
    <row r="184" spans="1:13" ht="16.5">
      <c r="A184" s="2987"/>
      <c r="B184" s="1118"/>
      <c r="C184" s="1118"/>
      <c r="D184" s="1118"/>
      <c r="E184" s="1118"/>
      <c r="F184" s="1118"/>
      <c r="G184" s="1118"/>
      <c r="H184" s="1118"/>
      <c r="I184" s="1118"/>
      <c r="J184" s="1118"/>
      <c r="K184" s="1118"/>
      <c r="L184" s="1118"/>
      <c r="M184" s="1118"/>
    </row>
    <row r="185" spans="1:13">
      <c r="A185" s="23" t="s">
        <v>530</v>
      </c>
      <c r="B185" s="2167">
        <v>1000</v>
      </c>
      <c r="C185" s="2168">
        <v>1029</v>
      </c>
      <c r="D185" s="2168">
        <v>1001</v>
      </c>
      <c r="E185" s="2169">
        <v>955</v>
      </c>
      <c r="F185" s="2168">
        <v>911</v>
      </c>
      <c r="G185" s="2170">
        <v>833</v>
      </c>
      <c r="H185" s="147">
        <v>773</v>
      </c>
      <c r="I185" s="147">
        <v>839</v>
      </c>
      <c r="J185" s="147">
        <v>811</v>
      </c>
      <c r="K185" s="147">
        <v>797</v>
      </c>
      <c r="L185" s="129">
        <v>756</v>
      </c>
      <c r="M185" s="147">
        <v>885</v>
      </c>
    </row>
    <row r="186" spans="1:13">
      <c r="A186" s="23" t="s">
        <v>418</v>
      </c>
      <c r="B186" s="2171">
        <v>28.29</v>
      </c>
      <c r="C186" s="2172">
        <v>24</v>
      </c>
      <c r="D186" s="2173">
        <v>23.32</v>
      </c>
      <c r="E186" s="2172">
        <v>23.33</v>
      </c>
      <c r="F186" s="2172">
        <v>20.010000000000002</v>
      </c>
      <c r="G186" s="2341">
        <v>15</v>
      </c>
      <c r="H186" s="85">
        <v>20.11</v>
      </c>
      <c r="I186" s="85">
        <v>25</v>
      </c>
      <c r="J186" s="85">
        <v>27.22</v>
      </c>
      <c r="K186" s="85">
        <v>21.75</v>
      </c>
      <c r="L186" s="148">
        <v>26</v>
      </c>
      <c r="M186" s="85">
        <v>23.11</v>
      </c>
    </row>
    <row r="187" spans="1:13">
      <c r="A187" s="23" t="s">
        <v>160</v>
      </c>
      <c r="B187" s="1104"/>
      <c r="C187" s="1104"/>
      <c r="D187" s="1104"/>
      <c r="E187" s="1104"/>
      <c r="F187" s="1104"/>
      <c r="G187" s="1104"/>
      <c r="H187" s="1104"/>
      <c r="I187" s="1104"/>
      <c r="J187" s="1120"/>
      <c r="K187" s="1120"/>
      <c r="L187" s="1104"/>
      <c r="M187" s="1104"/>
    </row>
    <row r="188" spans="1:13">
      <c r="A188" s="171" t="s">
        <v>161</v>
      </c>
      <c r="B188" s="1121"/>
      <c r="C188" s="1121"/>
      <c r="D188" s="1121"/>
      <c r="E188" s="1121"/>
      <c r="F188" s="1121"/>
      <c r="G188" s="1121"/>
      <c r="H188" s="1121"/>
      <c r="I188" s="1121"/>
      <c r="J188" s="1121"/>
      <c r="K188" s="1121"/>
      <c r="L188" s="1121"/>
      <c r="M188" s="1121"/>
    </row>
    <row r="189" spans="1:13">
      <c r="A189" s="23" t="s">
        <v>622</v>
      </c>
      <c r="B189" s="2174">
        <v>521</v>
      </c>
      <c r="C189" s="2175">
        <v>518</v>
      </c>
      <c r="D189" s="2176">
        <v>506</v>
      </c>
      <c r="E189" s="2177">
        <v>475</v>
      </c>
      <c r="F189" s="2176">
        <v>454</v>
      </c>
      <c r="G189" s="2178">
        <v>456</v>
      </c>
      <c r="H189" s="147">
        <v>407</v>
      </c>
      <c r="I189" s="147">
        <v>459</v>
      </c>
      <c r="J189" s="147">
        <v>402</v>
      </c>
      <c r="K189" s="147">
        <v>423</v>
      </c>
      <c r="L189" s="129">
        <v>406</v>
      </c>
      <c r="M189" s="147">
        <v>456</v>
      </c>
    </row>
    <row r="190" spans="1:13">
      <c r="A190" s="171" t="s">
        <v>540</v>
      </c>
      <c r="B190" s="821">
        <f t="shared" ref="B190:G190" si="45">B189/B185</f>
        <v>0.52100000000000002</v>
      </c>
      <c r="C190" s="821">
        <f t="shared" si="45"/>
        <v>0.50340136054421769</v>
      </c>
      <c r="D190" s="821">
        <f t="shared" si="45"/>
        <v>0.50549450549450547</v>
      </c>
      <c r="E190" s="821">
        <f t="shared" si="45"/>
        <v>0.49738219895287961</v>
      </c>
      <c r="F190" s="821">
        <f t="shared" si="45"/>
        <v>0.49835345773874862</v>
      </c>
      <c r="G190" s="821">
        <f t="shared" si="45"/>
        <v>0.54741896758703479</v>
      </c>
      <c r="H190" s="173">
        <f t="shared" ref="H190:M190" si="46">IFERROR(H189/H185,0)</f>
        <v>0.52652005174644245</v>
      </c>
      <c r="I190" s="173">
        <f t="shared" si="46"/>
        <v>0.54707985697258643</v>
      </c>
      <c r="J190" s="173">
        <f t="shared" si="46"/>
        <v>0.49568434032059189</v>
      </c>
      <c r="K190" s="173">
        <f t="shared" si="46"/>
        <v>0.53074027603513174</v>
      </c>
      <c r="L190" s="173">
        <f t="shared" si="46"/>
        <v>0.53703703703703709</v>
      </c>
      <c r="M190" s="173">
        <f t="shared" si="46"/>
        <v>0.51525423728813557</v>
      </c>
    </row>
    <row r="191" spans="1:13">
      <c r="A191" s="23" t="s">
        <v>539</v>
      </c>
      <c r="B191" s="2179">
        <v>546</v>
      </c>
      <c r="C191" s="2180">
        <v>382.19</v>
      </c>
      <c r="D191" s="2181">
        <v>308</v>
      </c>
      <c r="E191" s="2180">
        <v>315</v>
      </c>
      <c r="F191" s="2180">
        <v>304</v>
      </c>
      <c r="G191" s="2182">
        <v>333</v>
      </c>
      <c r="H191" s="85">
        <v>305</v>
      </c>
      <c r="I191" s="85">
        <v>331</v>
      </c>
      <c r="J191" s="85">
        <v>343</v>
      </c>
      <c r="K191" s="85">
        <v>359</v>
      </c>
      <c r="L191" s="148">
        <v>319</v>
      </c>
      <c r="M191" s="85">
        <v>397</v>
      </c>
    </row>
    <row r="192" spans="1:13">
      <c r="A192" s="171" t="s">
        <v>619</v>
      </c>
      <c r="B192" s="172">
        <f t="shared" ref="B192:M192" si="47">IFERROR(B193/B185,0)</f>
        <v>0.47899999999999998</v>
      </c>
      <c r="C192" s="173">
        <f t="shared" si="47"/>
        <v>0.39941690962099125</v>
      </c>
      <c r="D192" s="173">
        <f t="shared" si="47"/>
        <v>0.49450549450549453</v>
      </c>
      <c r="E192" s="173">
        <f t="shared" si="47"/>
        <v>0.50261780104712039</v>
      </c>
      <c r="F192" s="173">
        <f t="shared" si="47"/>
        <v>0.50164654226125138</v>
      </c>
      <c r="G192" s="173">
        <f t="shared" si="47"/>
        <v>0.45258103241296521</v>
      </c>
      <c r="H192" s="173">
        <f t="shared" si="47"/>
        <v>0.41785252263906858</v>
      </c>
      <c r="I192" s="173">
        <f t="shared" si="47"/>
        <v>0.40286054827175211</v>
      </c>
      <c r="J192" s="173">
        <f t="shared" si="47"/>
        <v>0.44143033292231815</v>
      </c>
      <c r="K192" s="173">
        <f t="shared" si="47"/>
        <v>0.41530740276035133</v>
      </c>
      <c r="L192" s="173">
        <f t="shared" si="47"/>
        <v>0.41269841269841268</v>
      </c>
      <c r="M192" s="173">
        <f t="shared" si="47"/>
        <v>0.40790960451977404</v>
      </c>
    </row>
    <row r="193" spans="1:13">
      <c r="A193" s="171" t="s">
        <v>541</v>
      </c>
      <c r="B193" s="750">
        <f>B185-B189</f>
        <v>479</v>
      </c>
      <c r="C193" s="750">
        <v>411</v>
      </c>
      <c r="D193" s="750">
        <f>D185-D189</f>
        <v>495</v>
      </c>
      <c r="E193" s="750">
        <f>E185-E189</f>
        <v>480</v>
      </c>
      <c r="F193" s="750">
        <f>F185-F189</f>
        <v>457</v>
      </c>
      <c r="G193" s="750">
        <f>G185-G189</f>
        <v>377</v>
      </c>
      <c r="H193" s="750">
        <v>323</v>
      </c>
      <c r="I193" s="750">
        <v>338</v>
      </c>
      <c r="J193" s="750">
        <v>358</v>
      </c>
      <c r="K193" s="750">
        <v>331</v>
      </c>
      <c r="L193" s="750">
        <v>312</v>
      </c>
      <c r="M193" s="750">
        <v>361</v>
      </c>
    </row>
    <row r="194" spans="1:13">
      <c r="A194" s="23" t="s">
        <v>637</v>
      </c>
      <c r="B194" s="2183">
        <v>204</v>
      </c>
      <c r="C194" s="2184">
        <v>221.06</v>
      </c>
      <c r="D194" s="2185">
        <v>256</v>
      </c>
      <c r="E194" s="2186">
        <v>261</v>
      </c>
      <c r="F194" s="2185">
        <v>255</v>
      </c>
      <c r="G194" s="2187">
        <v>262</v>
      </c>
      <c r="H194" s="85">
        <v>178</v>
      </c>
      <c r="I194" s="85">
        <v>213</v>
      </c>
      <c r="J194" s="85">
        <v>222</v>
      </c>
      <c r="K194" s="85">
        <v>223</v>
      </c>
      <c r="L194" s="148">
        <v>198</v>
      </c>
      <c r="M194" s="85">
        <v>207</v>
      </c>
    </row>
    <row r="195" spans="1:13">
      <c r="A195" s="23" t="s">
        <v>383</v>
      </c>
      <c r="B195" s="2188">
        <v>6</v>
      </c>
      <c r="C195" s="2189">
        <v>15</v>
      </c>
      <c r="D195" s="2190">
        <v>9</v>
      </c>
      <c r="E195" s="2191">
        <v>4</v>
      </c>
      <c r="F195" s="2190">
        <v>2</v>
      </c>
      <c r="G195" s="2192">
        <v>2</v>
      </c>
      <c r="H195" s="147">
        <v>1</v>
      </c>
      <c r="I195" s="147">
        <v>1</v>
      </c>
      <c r="J195" s="147">
        <v>7</v>
      </c>
      <c r="K195" s="147">
        <v>0</v>
      </c>
      <c r="L195" s="129">
        <v>6</v>
      </c>
      <c r="M195" s="129">
        <v>1</v>
      </c>
    </row>
    <row r="196" spans="1:13">
      <c r="A196" s="174" t="s">
        <v>421</v>
      </c>
      <c r="B196" s="821">
        <f t="shared" ref="B196:M196" si="48">IFERROR(B195/B185,0)</f>
        <v>6.0000000000000001E-3</v>
      </c>
      <c r="C196" s="821">
        <f t="shared" si="48"/>
        <v>1.4577259475218658E-2</v>
      </c>
      <c r="D196" s="821">
        <f t="shared" si="48"/>
        <v>8.9910089910089919E-3</v>
      </c>
      <c r="E196" s="173">
        <f t="shared" si="48"/>
        <v>4.1884816753926706E-3</v>
      </c>
      <c r="F196" s="173">
        <f t="shared" si="48"/>
        <v>2.1953896816684962E-3</v>
      </c>
      <c r="G196" s="173">
        <f t="shared" si="48"/>
        <v>2.4009603841536613E-3</v>
      </c>
      <c r="H196" s="173">
        <f t="shared" si="48"/>
        <v>1.29366106080207E-3</v>
      </c>
      <c r="I196" s="173">
        <f t="shared" si="48"/>
        <v>1.1918951132300357E-3</v>
      </c>
      <c r="J196" s="173">
        <f t="shared" si="48"/>
        <v>8.6313193588162754E-3</v>
      </c>
      <c r="K196" s="173">
        <f t="shared" si="48"/>
        <v>0</v>
      </c>
      <c r="L196" s="173">
        <f t="shared" si="48"/>
        <v>7.9365079365079361E-3</v>
      </c>
      <c r="M196" s="173">
        <f t="shared" si="48"/>
        <v>1.1299435028248588E-3</v>
      </c>
    </row>
    <row r="197" spans="1:13">
      <c r="A197" s="754" t="s">
        <v>1</v>
      </c>
      <c r="B197" s="2174">
        <v>13</v>
      </c>
      <c r="C197" s="2175">
        <v>11</v>
      </c>
      <c r="D197" s="2176">
        <v>9</v>
      </c>
      <c r="E197" s="2177">
        <v>14</v>
      </c>
      <c r="F197" s="2176">
        <v>13</v>
      </c>
      <c r="G197" s="2178">
        <v>11</v>
      </c>
      <c r="H197" s="147">
        <v>15</v>
      </c>
      <c r="I197" s="147">
        <v>15</v>
      </c>
      <c r="J197" s="147">
        <v>19</v>
      </c>
      <c r="K197" s="147">
        <v>15</v>
      </c>
      <c r="L197" s="129">
        <v>11</v>
      </c>
      <c r="M197" s="147">
        <v>18</v>
      </c>
    </row>
    <row r="198" spans="1:13">
      <c r="A198" s="174" t="s">
        <v>422</v>
      </c>
      <c r="B198" s="821">
        <f t="shared" ref="B198:M198" si="49">IFERROR(B197/B185,0)</f>
        <v>1.2999999999999999E-2</v>
      </c>
      <c r="C198" s="821">
        <f t="shared" si="49"/>
        <v>1.0689990281827016E-2</v>
      </c>
      <c r="D198" s="821">
        <f t="shared" si="49"/>
        <v>8.9910089910089919E-3</v>
      </c>
      <c r="E198" s="173">
        <f t="shared" si="49"/>
        <v>1.4659685863874346E-2</v>
      </c>
      <c r="F198" s="173">
        <f t="shared" si="49"/>
        <v>1.4270032930845226E-2</v>
      </c>
      <c r="G198" s="173">
        <f t="shared" si="49"/>
        <v>1.3205282112845138E-2</v>
      </c>
      <c r="H198" s="173">
        <f t="shared" si="49"/>
        <v>1.9404915912031046E-2</v>
      </c>
      <c r="I198" s="173">
        <f t="shared" si="49"/>
        <v>1.7878426698450536E-2</v>
      </c>
      <c r="J198" s="173">
        <f t="shared" si="49"/>
        <v>2.3427866831072751E-2</v>
      </c>
      <c r="K198" s="173">
        <f t="shared" si="49"/>
        <v>1.8820577164366373E-2</v>
      </c>
      <c r="L198" s="173">
        <f t="shared" si="49"/>
        <v>1.4550264550264549E-2</v>
      </c>
      <c r="M198" s="173">
        <f t="shared" si="49"/>
        <v>2.0338983050847456E-2</v>
      </c>
    </row>
    <row r="199" spans="1:13">
      <c r="A199" s="754" t="s">
        <v>171</v>
      </c>
      <c r="B199" s="1104"/>
      <c r="C199" s="1104"/>
      <c r="D199" s="1104"/>
      <c r="E199" s="1104"/>
      <c r="F199" s="1104"/>
      <c r="G199" s="1104"/>
      <c r="H199" s="1104"/>
      <c r="I199" s="1104"/>
      <c r="J199" s="1104"/>
      <c r="K199" s="1104"/>
      <c r="L199" s="1104"/>
      <c r="M199" s="1104"/>
    </row>
    <row r="200" spans="1:13">
      <c r="A200" s="754" t="s">
        <v>288</v>
      </c>
      <c r="B200" s="1122"/>
      <c r="C200" s="1122"/>
      <c r="D200" s="1122"/>
      <c r="E200" s="1122"/>
      <c r="F200" s="1122"/>
      <c r="G200" s="1122"/>
      <c r="H200" s="1122"/>
      <c r="I200" s="1122"/>
      <c r="J200" s="1122"/>
      <c r="K200" s="1122"/>
      <c r="L200" s="1122"/>
      <c r="M200" s="1122"/>
    </row>
    <row r="201" spans="1:13">
      <c r="A201" s="754" t="s">
        <v>289</v>
      </c>
      <c r="B201" s="1122"/>
      <c r="C201" s="1122"/>
      <c r="D201" s="1122"/>
      <c r="E201" s="1122"/>
      <c r="F201" s="1122"/>
      <c r="G201" s="1122"/>
      <c r="H201" s="1122"/>
      <c r="I201" s="1122"/>
      <c r="J201" s="1122"/>
      <c r="K201" s="1122"/>
      <c r="L201" s="1122"/>
      <c r="M201" s="1122"/>
    </row>
    <row r="202" spans="1:13">
      <c r="A202" s="754" t="s">
        <v>290</v>
      </c>
      <c r="B202" s="1122"/>
      <c r="C202" s="1122"/>
      <c r="D202" s="1122"/>
      <c r="E202" s="1122"/>
      <c r="F202" s="1122"/>
      <c r="G202" s="1122"/>
      <c r="H202" s="1122"/>
      <c r="I202" s="1122"/>
      <c r="J202" s="1122"/>
      <c r="K202" s="1122"/>
      <c r="L202" s="1122"/>
      <c r="M202" s="1122"/>
    </row>
    <row r="203" spans="1:13">
      <c r="A203" s="2986" t="s">
        <v>6</v>
      </c>
      <c r="B203" s="1104"/>
      <c r="C203" s="1104"/>
      <c r="D203" s="1104"/>
      <c r="E203" s="1104"/>
      <c r="F203" s="1104"/>
      <c r="G203" s="1104"/>
      <c r="H203" s="1104"/>
      <c r="I203" s="1104"/>
      <c r="J203" s="1104"/>
      <c r="K203" s="1104"/>
      <c r="L203" s="1104"/>
      <c r="M203" s="1104"/>
    </row>
    <row r="204" spans="1:13" ht="16.5">
      <c r="A204" s="2987"/>
      <c r="B204" s="1118"/>
      <c r="C204" s="1118"/>
      <c r="D204" s="1118"/>
      <c r="E204" s="1118"/>
      <c r="F204" s="1118"/>
      <c r="G204" s="1118"/>
      <c r="H204" s="1118"/>
      <c r="I204" s="1118"/>
      <c r="J204" s="1118"/>
      <c r="K204" s="1118"/>
      <c r="L204" s="1118"/>
      <c r="M204" s="1118"/>
    </row>
    <row r="205" spans="1:13" s="2" customFormat="1">
      <c r="A205" s="23" t="s">
        <v>530</v>
      </c>
      <c r="B205" s="147">
        <v>7677</v>
      </c>
      <c r="C205" s="129">
        <v>7187</v>
      </c>
      <c r="D205" s="129">
        <v>7938</v>
      </c>
      <c r="E205" s="147">
        <v>7299</v>
      </c>
      <c r="F205" s="129">
        <v>7460</v>
      </c>
      <c r="G205" s="147">
        <v>7160</v>
      </c>
      <c r="H205" s="147">
        <v>7323</v>
      </c>
      <c r="I205" s="147">
        <v>7190</v>
      </c>
      <c r="J205" s="147">
        <v>7215</v>
      </c>
      <c r="K205" s="129">
        <v>7167</v>
      </c>
      <c r="L205" s="126"/>
      <c r="M205" s="147"/>
    </row>
    <row r="206" spans="1:13" s="2" customFormat="1">
      <c r="A206" s="23" t="s">
        <v>418</v>
      </c>
      <c r="B206" s="85">
        <v>114</v>
      </c>
      <c r="C206" s="148">
        <v>118</v>
      </c>
      <c r="D206" s="148">
        <v>162</v>
      </c>
      <c r="E206" s="85">
        <v>135</v>
      </c>
      <c r="F206" s="148">
        <v>129</v>
      </c>
      <c r="G206" s="148">
        <v>152</v>
      </c>
      <c r="H206" s="148">
        <v>86</v>
      </c>
      <c r="I206" s="761"/>
      <c r="J206" s="761"/>
      <c r="K206" s="761"/>
      <c r="L206" s="761"/>
      <c r="M206" s="85"/>
    </row>
    <row r="207" spans="1:13" s="2" customFormat="1">
      <c r="A207" s="23" t="s">
        <v>160</v>
      </c>
      <c r="B207" s="1104"/>
      <c r="C207" s="1104"/>
      <c r="D207" s="1104"/>
      <c r="E207" s="1104"/>
      <c r="F207" s="1104"/>
      <c r="G207" s="1104"/>
      <c r="H207" s="1104"/>
      <c r="I207" s="1104"/>
      <c r="J207" s="1120"/>
      <c r="K207" s="1120"/>
      <c r="L207" s="1104"/>
      <c r="M207" s="1104"/>
    </row>
    <row r="208" spans="1:13" s="2" customFormat="1">
      <c r="A208" s="171" t="s">
        <v>161</v>
      </c>
      <c r="B208" s="1121"/>
      <c r="C208" s="1121"/>
      <c r="D208" s="1121"/>
      <c r="E208" s="1121"/>
      <c r="F208" s="1121"/>
      <c r="G208" s="1121"/>
      <c r="H208" s="1121"/>
      <c r="I208" s="1121"/>
      <c r="J208" s="1121"/>
      <c r="K208" s="1121"/>
      <c r="L208" s="1121"/>
      <c r="M208" s="1121"/>
    </row>
    <row r="209" spans="1:15" s="2" customFormat="1">
      <c r="A209" s="23" t="s">
        <v>622</v>
      </c>
      <c r="B209" s="129">
        <v>2980</v>
      </c>
      <c r="C209" s="129">
        <v>2683</v>
      </c>
      <c r="D209" s="129">
        <v>2870</v>
      </c>
      <c r="E209" s="129">
        <v>2734</v>
      </c>
      <c r="F209" s="129">
        <v>2762</v>
      </c>
      <c r="G209" s="129">
        <v>2768</v>
      </c>
      <c r="H209" s="147">
        <v>2801</v>
      </c>
      <c r="I209" s="147">
        <v>2805</v>
      </c>
      <c r="J209" s="147">
        <v>2795</v>
      </c>
      <c r="K209" s="147">
        <v>2714</v>
      </c>
      <c r="L209" s="126"/>
      <c r="M209" s="147"/>
    </row>
    <row r="210" spans="1:15" s="2" customFormat="1">
      <c r="A210" s="171" t="s">
        <v>540</v>
      </c>
      <c r="B210" s="173">
        <f>B209/B205</f>
        <v>0.38817246320177151</v>
      </c>
      <c r="C210" s="173">
        <f>IFERROR(C209/C205,0)</f>
        <v>0.37331292611659944</v>
      </c>
      <c r="D210" s="173">
        <f t="shared" ref="D210:M210" si="50">IFERROR(D209/D205,0)</f>
        <v>0.36155202821869487</v>
      </c>
      <c r="E210" s="173">
        <f t="shared" si="50"/>
        <v>0.37457185915878888</v>
      </c>
      <c r="F210" s="173">
        <f t="shared" si="50"/>
        <v>0.37024128686327079</v>
      </c>
      <c r="G210" s="173">
        <f t="shared" si="50"/>
        <v>0.3865921787709497</v>
      </c>
      <c r="H210" s="173">
        <f t="shared" si="50"/>
        <v>0.38249351358732758</v>
      </c>
      <c r="I210" s="173">
        <f t="shared" si="50"/>
        <v>0.390125173852573</v>
      </c>
      <c r="J210" s="173">
        <f t="shared" si="50"/>
        <v>0.38738738738738737</v>
      </c>
      <c r="K210" s="173">
        <f t="shared" si="50"/>
        <v>0.37868006139249338</v>
      </c>
      <c r="L210" s="173">
        <f t="shared" si="50"/>
        <v>0</v>
      </c>
      <c r="M210" s="173">
        <f t="shared" si="50"/>
        <v>0</v>
      </c>
    </row>
    <row r="211" spans="1:15" s="2" customFormat="1">
      <c r="A211" s="23" t="s">
        <v>538</v>
      </c>
      <c r="B211" s="148">
        <v>632</v>
      </c>
      <c r="C211" s="148">
        <v>607</v>
      </c>
      <c r="D211" s="988">
        <v>565</v>
      </c>
      <c r="E211" s="85">
        <v>550</v>
      </c>
      <c r="F211" s="148">
        <v>567</v>
      </c>
      <c r="G211" s="148">
        <v>534</v>
      </c>
      <c r="H211" s="85">
        <v>563</v>
      </c>
      <c r="I211" s="85">
        <v>511</v>
      </c>
      <c r="J211" s="85">
        <v>492</v>
      </c>
      <c r="K211" s="85">
        <v>400</v>
      </c>
      <c r="L211" s="761"/>
      <c r="M211" s="85"/>
    </row>
    <row r="212" spans="1:15" s="2" customFormat="1">
      <c r="A212" s="171" t="s">
        <v>619</v>
      </c>
      <c r="B212" s="173">
        <f>B213/B205</f>
        <v>0.61182753679822843</v>
      </c>
      <c r="C212" s="173">
        <f>IFERROR(C213/C205,0)</f>
        <v>0.62668707388340061</v>
      </c>
      <c r="D212" s="173">
        <f t="shared" ref="D212:M212" si="51">IFERROR(D213/D205,0)</f>
        <v>0.60405643738977077</v>
      </c>
      <c r="E212" s="173">
        <f t="shared" si="51"/>
        <v>0.58775174681463216</v>
      </c>
      <c r="F212" s="173">
        <f t="shared" si="51"/>
        <v>0.59410187667560321</v>
      </c>
      <c r="G212" s="173">
        <f t="shared" si="51"/>
        <v>0.58533519553072622</v>
      </c>
      <c r="H212" s="173">
        <f t="shared" si="51"/>
        <v>0.59756930219855253</v>
      </c>
      <c r="I212" s="173">
        <f t="shared" si="51"/>
        <v>0.58789986091794155</v>
      </c>
      <c r="J212" s="173">
        <f t="shared" si="51"/>
        <v>0.59611919611919617</v>
      </c>
      <c r="K212" s="173">
        <f t="shared" si="51"/>
        <v>0.60053020789730716</v>
      </c>
      <c r="L212" s="173">
        <f t="shared" si="51"/>
        <v>0</v>
      </c>
      <c r="M212" s="173">
        <f t="shared" si="51"/>
        <v>0</v>
      </c>
    </row>
    <row r="213" spans="1:15" s="2" customFormat="1">
      <c r="A213" s="171" t="s">
        <v>541</v>
      </c>
      <c r="B213" s="750">
        <f>B205-B209</f>
        <v>4697</v>
      </c>
      <c r="C213" s="750">
        <f>C205-C209</f>
        <v>4504</v>
      </c>
      <c r="D213" s="750">
        <v>4795</v>
      </c>
      <c r="E213" s="750">
        <v>4290</v>
      </c>
      <c r="F213" s="750">
        <v>4432</v>
      </c>
      <c r="G213" s="750">
        <v>4191</v>
      </c>
      <c r="H213" s="750">
        <v>4376</v>
      </c>
      <c r="I213" s="750">
        <v>4227</v>
      </c>
      <c r="J213" s="750">
        <v>4301</v>
      </c>
      <c r="K213" s="750">
        <v>4304</v>
      </c>
      <c r="L213" s="750">
        <f>L205-L209</f>
        <v>0</v>
      </c>
      <c r="M213" s="750">
        <f>M205-M209</f>
        <v>0</v>
      </c>
    </row>
    <row r="214" spans="1:15" s="2" customFormat="1">
      <c r="A214" s="23" t="s">
        <v>637</v>
      </c>
      <c r="B214" s="148">
        <v>321</v>
      </c>
      <c r="C214" s="148">
        <v>314</v>
      </c>
      <c r="D214" s="148">
        <v>317</v>
      </c>
      <c r="E214" s="85">
        <v>300</v>
      </c>
      <c r="F214" s="148">
        <v>300</v>
      </c>
      <c r="G214" s="148">
        <v>303</v>
      </c>
      <c r="H214" s="85">
        <v>227</v>
      </c>
      <c r="I214" s="85">
        <v>278</v>
      </c>
      <c r="J214" s="85">
        <v>278</v>
      </c>
      <c r="K214" s="85">
        <v>286</v>
      </c>
      <c r="L214" s="761"/>
      <c r="M214" s="85"/>
      <c r="O214" s="1005"/>
    </row>
    <row r="215" spans="1:15" s="2" customFormat="1">
      <c r="A215" s="23" t="s">
        <v>383</v>
      </c>
      <c r="B215" s="147">
        <v>284</v>
      </c>
      <c r="C215" s="129">
        <v>208</v>
      </c>
      <c r="D215" s="129">
        <v>246</v>
      </c>
      <c r="E215" s="147">
        <v>218</v>
      </c>
      <c r="F215" s="129">
        <v>185</v>
      </c>
      <c r="G215" s="147">
        <v>127</v>
      </c>
      <c r="H215" s="147">
        <v>118</v>
      </c>
      <c r="I215" s="147">
        <v>112</v>
      </c>
      <c r="J215" s="147">
        <v>120</v>
      </c>
      <c r="K215" s="129">
        <v>149</v>
      </c>
      <c r="L215" s="126"/>
      <c r="M215" s="129"/>
    </row>
    <row r="216" spans="1:15" s="2" customFormat="1">
      <c r="A216" s="174" t="s">
        <v>421</v>
      </c>
      <c r="B216" s="173">
        <f>B215/B205</f>
        <v>3.6993617298423861E-2</v>
      </c>
      <c r="C216" s="173">
        <f>IFERROR(C215/C205,0)</f>
        <v>2.894114373173786E-2</v>
      </c>
      <c r="D216" s="173">
        <f t="shared" ref="D216:M216" si="52">IFERROR(D215/D205,0)</f>
        <v>3.0990173847316706E-2</v>
      </c>
      <c r="E216" s="173">
        <f t="shared" si="52"/>
        <v>2.9867105082888066E-2</v>
      </c>
      <c r="F216" s="173">
        <f t="shared" si="52"/>
        <v>2.4798927613941018E-2</v>
      </c>
      <c r="G216" s="173">
        <f t="shared" si="52"/>
        <v>1.7737430167597764E-2</v>
      </c>
      <c r="H216" s="173">
        <f t="shared" si="52"/>
        <v>1.611361463880923E-2</v>
      </c>
      <c r="I216" s="173">
        <f t="shared" si="52"/>
        <v>1.5577190542420028E-2</v>
      </c>
      <c r="J216" s="173">
        <f t="shared" si="52"/>
        <v>1.6632016632016633E-2</v>
      </c>
      <c r="K216" s="173">
        <f t="shared" si="52"/>
        <v>2.0789730710199527E-2</v>
      </c>
      <c r="L216" s="173">
        <f t="shared" si="52"/>
        <v>0</v>
      </c>
      <c r="M216" s="173">
        <f t="shared" si="52"/>
        <v>0</v>
      </c>
    </row>
    <row r="217" spans="1:15" s="2" customFormat="1">
      <c r="A217" s="754" t="s">
        <v>1</v>
      </c>
      <c r="B217" s="147">
        <v>65</v>
      </c>
      <c r="C217" s="129">
        <v>64</v>
      </c>
      <c r="D217" s="129">
        <v>69</v>
      </c>
      <c r="E217" s="147">
        <v>53</v>
      </c>
      <c r="F217" s="129">
        <v>68</v>
      </c>
      <c r="G217" s="147">
        <v>68</v>
      </c>
      <c r="H217" s="147">
        <v>53</v>
      </c>
      <c r="I217" s="147">
        <v>66</v>
      </c>
      <c r="J217" s="147">
        <v>60</v>
      </c>
      <c r="K217" s="129">
        <v>57</v>
      </c>
      <c r="L217" s="126"/>
      <c r="M217" s="147"/>
    </row>
    <row r="218" spans="1:15" s="2" customFormat="1">
      <c r="A218" s="174" t="s">
        <v>422</v>
      </c>
      <c r="B218" s="173">
        <f>B217/B205</f>
        <v>8.4668490295688424E-3</v>
      </c>
      <c r="C218" s="173">
        <f>IFERROR(C217/C205,0)</f>
        <v>8.9049673020731874E-3</v>
      </c>
      <c r="D218" s="173">
        <f t="shared" ref="D218:M218" si="53">IFERROR(D217/D205,0)</f>
        <v>8.6923658352229781E-3</v>
      </c>
      <c r="E218" s="173">
        <f t="shared" si="53"/>
        <v>7.2612686669406767E-3</v>
      </c>
      <c r="F218" s="173">
        <f t="shared" si="53"/>
        <v>9.1152815013404824E-3</v>
      </c>
      <c r="G218" s="173">
        <f t="shared" si="53"/>
        <v>9.4972067039106149E-3</v>
      </c>
      <c r="H218" s="173">
        <f t="shared" si="53"/>
        <v>7.2374709818380442E-3</v>
      </c>
      <c r="I218" s="173">
        <f t="shared" si="53"/>
        <v>9.1794158553546584E-3</v>
      </c>
      <c r="J218" s="173">
        <f t="shared" si="53"/>
        <v>8.3160083160083165E-3</v>
      </c>
      <c r="K218" s="173">
        <f t="shared" si="53"/>
        <v>7.9531184596065303E-3</v>
      </c>
      <c r="L218" s="173">
        <f t="shared" si="53"/>
        <v>0</v>
      </c>
      <c r="M218" s="173">
        <f t="shared" si="53"/>
        <v>0</v>
      </c>
    </row>
    <row r="219" spans="1:15">
      <c r="A219" s="754" t="s">
        <v>171</v>
      </c>
      <c r="B219" s="990">
        <v>0.86</v>
      </c>
      <c r="C219" s="990">
        <v>0.84</v>
      </c>
      <c r="D219" s="130">
        <v>0.86</v>
      </c>
      <c r="E219" s="130">
        <v>0.84</v>
      </c>
      <c r="F219" s="130">
        <v>0.82</v>
      </c>
      <c r="G219" s="990">
        <v>0.86</v>
      </c>
      <c r="H219" s="130">
        <v>0.83</v>
      </c>
      <c r="I219" s="130">
        <v>0.85</v>
      </c>
      <c r="J219" s="75">
        <v>0.877</v>
      </c>
      <c r="K219" s="2671"/>
      <c r="L219" s="2671"/>
      <c r="M219" s="435"/>
    </row>
    <row r="220" spans="1:15">
      <c r="A220" s="754" t="s">
        <v>288</v>
      </c>
      <c r="B220" s="1122"/>
      <c r="C220" s="1122"/>
      <c r="D220" s="1122"/>
      <c r="E220" s="1122"/>
      <c r="F220" s="1122"/>
      <c r="G220" s="1122"/>
      <c r="H220" s="1122"/>
      <c r="I220" s="1122"/>
      <c r="J220" s="1524"/>
      <c r="K220" s="1524"/>
      <c r="L220" s="1524"/>
      <c r="M220" s="1525"/>
    </row>
    <row r="221" spans="1:15">
      <c r="A221" s="754" t="s">
        <v>289</v>
      </c>
      <c r="B221" s="1122"/>
      <c r="C221" s="1122"/>
      <c r="D221" s="1122"/>
      <c r="E221" s="1122"/>
      <c r="F221" s="1122"/>
      <c r="G221" s="1122"/>
      <c r="H221" s="1122"/>
      <c r="I221" s="1122"/>
      <c r="J221" s="1524"/>
      <c r="K221" s="1524"/>
      <c r="L221" s="1524"/>
      <c r="M221" s="1525"/>
    </row>
    <row r="222" spans="1:15">
      <c r="A222" s="754" t="s">
        <v>290</v>
      </c>
      <c r="B222" s="2540">
        <v>46</v>
      </c>
      <c r="C222" s="2540">
        <v>37</v>
      </c>
      <c r="D222" s="2540">
        <v>44</v>
      </c>
      <c r="E222" s="2540">
        <v>45</v>
      </c>
      <c r="F222" s="2540"/>
      <c r="G222" s="2540"/>
      <c r="H222" s="2540"/>
      <c r="I222" s="2540"/>
      <c r="J222" s="2541"/>
      <c r="K222" s="2541"/>
      <c r="L222" s="2541"/>
      <c r="M222" s="2542"/>
    </row>
    <row r="223" spans="1:15">
      <c r="A223" s="2986" t="s">
        <v>219</v>
      </c>
      <c r="B223" s="1104"/>
      <c r="C223" s="1104"/>
      <c r="D223" s="1104"/>
      <c r="E223" s="1104"/>
      <c r="F223" s="1104"/>
      <c r="G223" s="1104"/>
      <c r="H223" s="1104"/>
      <c r="I223" s="1104"/>
      <c r="J223" s="1104"/>
      <c r="K223" s="1104"/>
      <c r="L223" s="1104"/>
      <c r="M223" s="1104"/>
    </row>
    <row r="224" spans="1:15" ht="16.5">
      <c r="A224" s="2987"/>
      <c r="B224" s="1118"/>
      <c r="C224" s="1118"/>
      <c r="D224" s="1118"/>
      <c r="E224" s="1118"/>
      <c r="F224" s="1118"/>
      <c r="G224" s="1118"/>
      <c r="H224" s="1118"/>
      <c r="I224" s="1118"/>
      <c r="J224" s="1118"/>
      <c r="K224" s="1118"/>
      <c r="L224" s="1118"/>
      <c r="M224" s="1118"/>
    </row>
    <row r="225" spans="1:13">
      <c r="A225" s="23" t="s">
        <v>530</v>
      </c>
      <c r="B225" s="147">
        <v>985</v>
      </c>
      <c r="C225" s="129">
        <v>1006</v>
      </c>
      <c r="D225" s="129">
        <v>1113</v>
      </c>
      <c r="E225" s="129">
        <v>1110</v>
      </c>
      <c r="F225" s="129">
        <v>1089</v>
      </c>
      <c r="G225" s="147">
        <v>1024</v>
      </c>
      <c r="H225" s="1104"/>
      <c r="I225" s="1104"/>
      <c r="J225" s="1104"/>
      <c r="K225" s="1104"/>
      <c r="L225" s="1104"/>
      <c r="M225" s="1104"/>
    </row>
    <row r="226" spans="1:13">
      <c r="A226" s="23" t="s">
        <v>418</v>
      </c>
      <c r="B226" s="85">
        <v>19</v>
      </c>
      <c r="C226" s="148">
        <v>22</v>
      </c>
      <c r="D226" s="148">
        <v>19</v>
      </c>
      <c r="E226" s="85">
        <v>16</v>
      </c>
      <c r="F226" s="148">
        <v>18</v>
      </c>
      <c r="G226" s="85">
        <v>18</v>
      </c>
      <c r="H226" s="1120"/>
      <c r="I226" s="1120"/>
      <c r="J226" s="1120"/>
      <c r="K226" s="1120"/>
      <c r="L226" s="1120"/>
      <c r="M226" s="1120"/>
    </row>
    <row r="227" spans="1:13">
      <c r="A227" s="23" t="s">
        <v>160</v>
      </c>
      <c r="B227" s="1104"/>
      <c r="C227" s="1104"/>
      <c r="D227" s="1104"/>
      <c r="E227" s="1104"/>
      <c r="F227" s="1104"/>
      <c r="G227" s="1104"/>
      <c r="H227" s="1104"/>
      <c r="I227" s="1104"/>
      <c r="J227" s="1120"/>
      <c r="K227" s="1120"/>
      <c r="L227" s="1104"/>
      <c r="M227" s="1104"/>
    </row>
    <row r="228" spans="1:13">
      <c r="A228" s="171" t="s">
        <v>161</v>
      </c>
      <c r="B228" s="1121"/>
      <c r="C228" s="1121"/>
      <c r="D228" s="1121"/>
      <c r="E228" s="1121"/>
      <c r="F228" s="1121"/>
      <c r="G228" s="1121"/>
      <c r="H228" s="1121"/>
      <c r="I228" s="1121"/>
      <c r="J228" s="1121"/>
      <c r="K228" s="1121"/>
      <c r="L228" s="1121"/>
      <c r="M228" s="1121"/>
    </row>
    <row r="229" spans="1:13">
      <c r="A229" s="23" t="s">
        <v>622</v>
      </c>
      <c r="B229" s="147">
        <v>118</v>
      </c>
      <c r="C229" s="129">
        <v>125</v>
      </c>
      <c r="D229" s="129">
        <v>134</v>
      </c>
      <c r="E229" s="129">
        <v>128</v>
      </c>
      <c r="F229" s="129">
        <v>121</v>
      </c>
      <c r="G229" s="147">
        <v>124</v>
      </c>
      <c r="H229" s="1104"/>
      <c r="I229" s="1104"/>
      <c r="J229" s="1104"/>
      <c r="K229" s="1104"/>
      <c r="L229" s="1104"/>
      <c r="M229" s="1104"/>
    </row>
    <row r="230" spans="1:13">
      <c r="A230" s="171" t="s">
        <v>540</v>
      </c>
      <c r="B230" s="173">
        <f>B229/B225</f>
        <v>0.11979695431472082</v>
      </c>
      <c r="C230" s="173">
        <f t="shared" ref="C230:H230" si="54">IFERROR(C229/C225,0)</f>
        <v>0.1242544731610338</v>
      </c>
      <c r="D230" s="173">
        <f t="shared" si="54"/>
        <v>0.12039532794249776</v>
      </c>
      <c r="E230" s="173">
        <f t="shared" si="54"/>
        <v>0.11531531531531532</v>
      </c>
      <c r="F230" s="173">
        <f t="shared" si="54"/>
        <v>0.1111111111111111</v>
      </c>
      <c r="G230" s="173">
        <f t="shared" si="54"/>
        <v>0.12109375</v>
      </c>
      <c r="H230" s="1121">
        <f t="shared" si="54"/>
        <v>0</v>
      </c>
      <c r="I230" s="1121"/>
      <c r="J230" s="1121"/>
      <c r="K230" s="1121"/>
      <c r="L230" s="1121"/>
      <c r="M230" s="1121"/>
    </row>
    <row r="231" spans="1:13">
      <c r="A231" s="23" t="s">
        <v>538</v>
      </c>
      <c r="B231" s="85">
        <v>202</v>
      </c>
      <c r="C231" s="148">
        <v>218</v>
      </c>
      <c r="D231" s="148">
        <v>221</v>
      </c>
      <c r="E231" s="148">
        <v>213</v>
      </c>
      <c r="F231" s="148">
        <v>196</v>
      </c>
      <c r="G231" s="85">
        <v>200</v>
      </c>
      <c r="H231" s="1120"/>
      <c r="I231" s="1120"/>
      <c r="J231" s="1120"/>
      <c r="K231" s="1120"/>
      <c r="L231" s="1120"/>
      <c r="M231" s="1120"/>
    </row>
    <row r="232" spans="1:13">
      <c r="A232" s="171" t="s">
        <v>619</v>
      </c>
      <c r="B232" s="172">
        <f>B233/B225</f>
        <v>0.88020304568527918</v>
      </c>
      <c r="C232" s="173">
        <f t="shared" ref="C232:H232" si="55">IFERROR(C233/C225,0)</f>
        <v>0.87574552683896623</v>
      </c>
      <c r="D232" s="173">
        <f t="shared" si="55"/>
        <v>0.87960467205750226</v>
      </c>
      <c r="E232" s="173">
        <f t="shared" si="55"/>
        <v>0.88468468468468464</v>
      </c>
      <c r="F232" s="173">
        <f t="shared" si="55"/>
        <v>0.88888888888888884</v>
      </c>
      <c r="G232" s="173">
        <f t="shared" si="55"/>
        <v>0.87890625</v>
      </c>
      <c r="H232" s="1121">
        <f t="shared" si="55"/>
        <v>0</v>
      </c>
      <c r="I232" s="1121"/>
      <c r="J232" s="1121"/>
      <c r="K232" s="1121"/>
      <c r="L232" s="1121"/>
      <c r="M232" s="1121"/>
    </row>
    <row r="233" spans="1:13">
      <c r="A233" s="171" t="s">
        <v>541</v>
      </c>
      <c r="B233" s="750">
        <f t="shared" ref="B233:H233" si="56">B225-B229</f>
        <v>867</v>
      </c>
      <c r="C233" s="750">
        <f t="shared" si="56"/>
        <v>881</v>
      </c>
      <c r="D233" s="750">
        <f t="shared" si="56"/>
        <v>979</v>
      </c>
      <c r="E233" s="750">
        <f t="shared" si="56"/>
        <v>982</v>
      </c>
      <c r="F233" s="750">
        <f t="shared" si="56"/>
        <v>968</v>
      </c>
      <c r="G233" s="750">
        <f t="shared" si="56"/>
        <v>900</v>
      </c>
      <c r="H233" s="1104">
        <f t="shared" si="56"/>
        <v>0</v>
      </c>
      <c r="I233" s="1104"/>
      <c r="J233" s="1104"/>
      <c r="K233" s="1104"/>
      <c r="L233" s="1104"/>
      <c r="M233" s="1104"/>
    </row>
    <row r="234" spans="1:13">
      <c r="A234" s="23" t="s">
        <v>637</v>
      </c>
      <c r="B234" s="148">
        <v>127</v>
      </c>
      <c r="C234" s="148">
        <v>130</v>
      </c>
      <c r="D234" s="148">
        <v>124</v>
      </c>
      <c r="E234" s="148">
        <v>124</v>
      </c>
      <c r="F234" s="148">
        <v>115</v>
      </c>
      <c r="G234" s="85">
        <v>117</v>
      </c>
      <c r="H234" s="1120"/>
      <c r="I234" s="1120"/>
      <c r="J234" s="1120"/>
      <c r="K234" s="1120"/>
      <c r="L234" s="1120"/>
      <c r="M234" s="1120"/>
    </row>
    <row r="235" spans="1:13">
      <c r="A235" s="23" t="s">
        <v>383</v>
      </c>
      <c r="B235" s="147">
        <v>5</v>
      </c>
      <c r="C235" s="129">
        <v>28</v>
      </c>
      <c r="D235" s="129">
        <v>38</v>
      </c>
      <c r="E235" s="129">
        <v>20</v>
      </c>
      <c r="F235" s="129">
        <v>22</v>
      </c>
      <c r="G235" s="147">
        <v>40</v>
      </c>
      <c r="H235" s="1104"/>
      <c r="I235" s="1104"/>
      <c r="J235" s="1104"/>
      <c r="K235" s="1104"/>
      <c r="L235" s="1104"/>
      <c r="M235" s="1104"/>
    </row>
    <row r="236" spans="1:13">
      <c r="A236" s="174" t="s">
        <v>421</v>
      </c>
      <c r="B236" s="173">
        <f>B235/B225</f>
        <v>5.076142131979695E-3</v>
      </c>
      <c r="C236" s="173">
        <f>C235/C225</f>
        <v>2.7833001988071572E-2</v>
      </c>
      <c r="D236" s="173">
        <f>D235/D225</f>
        <v>3.4141958670260555E-2</v>
      </c>
      <c r="E236" s="173">
        <f>IFERROR(E235/E225,0)</f>
        <v>1.8018018018018018E-2</v>
      </c>
      <c r="F236" s="173">
        <f>IFERROR(F235/F225,0)</f>
        <v>2.0202020202020204E-2</v>
      </c>
      <c r="G236" s="173">
        <f>IFERROR(G235/G225,0)</f>
        <v>3.90625E-2</v>
      </c>
      <c r="H236" s="1121">
        <f>IFERROR(H235/H225,0)</f>
        <v>0</v>
      </c>
      <c r="I236" s="1121"/>
      <c r="J236" s="1121"/>
      <c r="K236" s="1121"/>
      <c r="L236" s="1121"/>
      <c r="M236" s="1121"/>
    </row>
    <row r="237" spans="1:13">
      <c r="A237" s="754" t="s">
        <v>1</v>
      </c>
      <c r="B237" s="129">
        <v>2</v>
      </c>
      <c r="C237" s="129">
        <v>6</v>
      </c>
      <c r="D237" s="129">
        <v>9</v>
      </c>
      <c r="E237" s="129">
        <v>3</v>
      </c>
      <c r="F237" s="129">
        <v>10</v>
      </c>
      <c r="G237" s="147">
        <v>4</v>
      </c>
      <c r="H237" s="1104"/>
      <c r="I237" s="1104"/>
      <c r="J237" s="1104"/>
      <c r="K237" s="1104"/>
      <c r="L237" s="1104"/>
      <c r="M237" s="1104"/>
    </row>
    <row r="238" spans="1:13">
      <c r="A238" s="174" t="s">
        <v>422</v>
      </c>
      <c r="B238" s="173">
        <f>B237/B225</f>
        <v>2.0304568527918783E-3</v>
      </c>
      <c r="C238" s="173">
        <f>C237/C225</f>
        <v>5.9642147117296221E-3</v>
      </c>
      <c r="D238" s="173">
        <f>D237/D225</f>
        <v>8.0862533692722376E-3</v>
      </c>
      <c r="E238" s="173">
        <f>IFERROR(E237/E225,0)</f>
        <v>2.7027027027027029E-3</v>
      </c>
      <c r="F238" s="173">
        <f>IFERROR(F237/F225,0)</f>
        <v>9.1827364554637279E-3</v>
      </c>
      <c r="G238" s="173">
        <f>IFERROR(G237/G225,0)</f>
        <v>3.90625E-3</v>
      </c>
      <c r="H238" s="1121">
        <f>IFERROR(H237/H225,0)</f>
        <v>0</v>
      </c>
      <c r="I238" s="1121"/>
      <c r="J238" s="1121"/>
      <c r="K238" s="1121"/>
      <c r="L238" s="1121"/>
      <c r="M238" s="1121"/>
    </row>
    <row r="239" spans="1:13">
      <c r="A239" s="754" t="s">
        <v>529</v>
      </c>
      <c r="B239" s="130">
        <v>0.85299999999999998</v>
      </c>
      <c r="C239" s="130">
        <v>0.85299999999999998</v>
      </c>
      <c r="D239" s="130">
        <v>0.85299999999999998</v>
      </c>
      <c r="E239" s="751"/>
      <c r="F239" s="751"/>
      <c r="G239" s="751"/>
      <c r="H239" s="1121"/>
      <c r="I239" s="1121"/>
      <c r="J239" s="1121"/>
      <c r="K239" s="1121"/>
      <c r="L239" s="1121"/>
      <c r="M239" s="1121"/>
    </row>
    <row r="240" spans="1:13">
      <c r="A240" s="754" t="s">
        <v>288</v>
      </c>
      <c r="B240" s="1122"/>
      <c r="C240" s="1122"/>
      <c r="D240" s="1122"/>
      <c r="E240" s="1122"/>
      <c r="F240" s="1122"/>
      <c r="G240" s="1122"/>
      <c r="H240" s="1122"/>
      <c r="I240" s="1122"/>
      <c r="J240" s="1122"/>
      <c r="K240" s="1122"/>
      <c r="L240" s="1122"/>
      <c r="M240" s="1122"/>
    </row>
    <row r="241" spans="1:13">
      <c r="A241" s="754" t="s">
        <v>289</v>
      </c>
      <c r="B241" s="1122"/>
      <c r="C241" s="1523"/>
      <c r="D241" s="1122"/>
      <c r="E241" s="1122"/>
      <c r="F241" s="1122"/>
      <c r="G241" s="1122"/>
      <c r="H241" s="1122"/>
      <c r="I241" s="1122"/>
      <c r="J241" s="1122"/>
      <c r="K241" s="1122"/>
      <c r="L241" s="1122"/>
      <c r="M241" s="1122"/>
    </row>
    <row r="242" spans="1:13" ht="15" customHeight="1">
      <c r="A242" s="754" t="s">
        <v>290</v>
      </c>
      <c r="B242" s="1122"/>
      <c r="C242" s="1122"/>
      <c r="D242" s="1122"/>
      <c r="E242" s="1122"/>
      <c r="F242" s="1122"/>
      <c r="G242" s="1122"/>
      <c r="H242" s="1122"/>
      <c r="I242" s="1122"/>
      <c r="J242" s="1122"/>
      <c r="K242" s="1122"/>
      <c r="L242" s="1122"/>
      <c r="M242" s="1122"/>
    </row>
    <row r="243" spans="1:13" ht="15" customHeight="1">
      <c r="A243" s="2986" t="s">
        <v>314</v>
      </c>
      <c r="B243" s="1104"/>
      <c r="C243" s="1104"/>
      <c r="D243" s="1104"/>
      <c r="E243" s="1104"/>
      <c r="F243" s="1104"/>
      <c r="G243" s="1104"/>
      <c r="H243" s="1104"/>
      <c r="I243" s="1104"/>
      <c r="J243" s="1104"/>
      <c r="K243" s="1104"/>
      <c r="L243" s="1104"/>
      <c r="M243" s="1104"/>
    </row>
    <row r="244" spans="1:13" ht="15" customHeight="1">
      <c r="A244" s="2987"/>
      <c r="B244" s="1118"/>
      <c r="C244" s="1118"/>
      <c r="D244" s="1118"/>
      <c r="E244" s="1118"/>
      <c r="F244" s="1118"/>
      <c r="G244" s="1118"/>
      <c r="H244" s="1118"/>
      <c r="I244" s="1118"/>
      <c r="J244" s="1118"/>
      <c r="K244" s="1118"/>
      <c r="L244" s="1118"/>
      <c r="M244" s="1118"/>
    </row>
    <row r="245" spans="1:13" ht="15" customHeight="1">
      <c r="A245" s="2352" t="s">
        <v>530</v>
      </c>
      <c r="B245" s="2353">
        <v>1538</v>
      </c>
      <c r="C245" s="2353">
        <v>1476</v>
      </c>
      <c r="D245" s="2354">
        <v>1548</v>
      </c>
      <c r="E245" s="2356">
        <v>1375</v>
      </c>
      <c r="F245" s="2356">
        <v>1589</v>
      </c>
      <c r="G245" s="2356">
        <v>1569</v>
      </c>
      <c r="H245" s="2355">
        <v>1602</v>
      </c>
      <c r="I245" s="2355">
        <v>1569</v>
      </c>
      <c r="J245" s="2355">
        <v>1504</v>
      </c>
      <c r="K245" s="2355">
        <v>1488</v>
      </c>
      <c r="L245" s="2356">
        <v>1440</v>
      </c>
      <c r="M245" s="2355">
        <v>1674</v>
      </c>
    </row>
    <row r="246" spans="1:13" ht="15" customHeight="1">
      <c r="A246" s="2352" t="s">
        <v>418</v>
      </c>
      <c r="B246" s="2353">
        <v>21</v>
      </c>
      <c r="C246" s="2353">
        <v>20</v>
      </c>
      <c r="D246" s="2357">
        <v>18</v>
      </c>
      <c r="E246" s="2358">
        <v>16</v>
      </c>
      <c r="F246" s="2358">
        <v>16</v>
      </c>
      <c r="G246" s="2358">
        <v>16</v>
      </c>
      <c r="H246" s="2357">
        <v>17</v>
      </c>
      <c r="I246" s="2357">
        <v>17</v>
      </c>
      <c r="J246" s="2357">
        <v>12</v>
      </c>
      <c r="K246" s="2357">
        <v>12</v>
      </c>
      <c r="L246" s="2358">
        <v>13</v>
      </c>
      <c r="M246" s="2357">
        <v>18</v>
      </c>
    </row>
    <row r="247" spans="1:13" ht="15" customHeight="1">
      <c r="A247" s="23" t="s">
        <v>160</v>
      </c>
      <c r="B247" s="1104"/>
      <c r="C247" s="1104"/>
      <c r="D247" s="1104"/>
      <c r="E247" s="1104"/>
      <c r="F247" s="1104"/>
      <c r="G247" s="1104"/>
      <c r="H247" s="1104"/>
      <c r="I247" s="1104"/>
      <c r="J247" s="1120"/>
      <c r="K247" s="1120"/>
      <c r="L247" s="1104"/>
      <c r="M247" s="1104"/>
    </row>
    <row r="248" spans="1:13" ht="15" customHeight="1">
      <c r="A248" s="171" t="s">
        <v>161</v>
      </c>
      <c r="B248" s="1121"/>
      <c r="C248" s="1121"/>
      <c r="D248" s="1121"/>
      <c r="E248" s="1121"/>
      <c r="F248" s="1121"/>
      <c r="G248" s="1121"/>
      <c r="H248" s="1121"/>
      <c r="I248" s="1121"/>
      <c r="J248" s="1121"/>
      <c r="K248" s="1121"/>
      <c r="L248" s="1121"/>
      <c r="M248" s="1121"/>
    </row>
    <row r="249" spans="1:13" ht="15" customHeight="1">
      <c r="A249" s="2352" t="s">
        <v>622</v>
      </c>
      <c r="B249" s="2353">
        <v>298</v>
      </c>
      <c r="C249" s="2353">
        <v>290</v>
      </c>
      <c r="D249" s="2354">
        <v>279</v>
      </c>
      <c r="E249" s="2356">
        <v>258</v>
      </c>
      <c r="F249" s="2356">
        <v>279</v>
      </c>
      <c r="G249" s="2356">
        <v>283</v>
      </c>
      <c r="H249" s="2355">
        <v>282</v>
      </c>
      <c r="I249" s="2355">
        <v>278</v>
      </c>
      <c r="J249" s="2355">
        <v>280</v>
      </c>
      <c r="K249" s="2355">
        <v>277</v>
      </c>
      <c r="L249" s="2356">
        <v>258</v>
      </c>
      <c r="M249" s="2355">
        <v>323</v>
      </c>
    </row>
    <row r="250" spans="1:13">
      <c r="A250" s="2359" t="s">
        <v>540</v>
      </c>
      <c r="B250" s="2360">
        <f>B249/B245</f>
        <v>0.19375812743823148</v>
      </c>
      <c r="C250" s="2360">
        <f>IFERROR(C249/C245,0)</f>
        <v>0.19647696476964768</v>
      </c>
      <c r="D250" s="2360">
        <f t="shared" ref="D250:M250" si="57">IFERROR(D249/D245,0)</f>
        <v>0.18023255813953487</v>
      </c>
      <c r="E250" s="2360">
        <f t="shared" si="57"/>
        <v>0.18763636363636363</v>
      </c>
      <c r="F250" s="2360">
        <f t="shared" si="57"/>
        <v>0.17558212712397733</v>
      </c>
      <c r="G250" s="2360">
        <f t="shared" si="57"/>
        <v>0.18036966220522627</v>
      </c>
      <c r="H250" s="2360">
        <f t="shared" si="57"/>
        <v>0.17602996254681649</v>
      </c>
      <c r="I250" s="2360">
        <f t="shared" si="57"/>
        <v>0.17718291905672404</v>
      </c>
      <c r="J250" s="2360">
        <f t="shared" si="57"/>
        <v>0.18617021276595744</v>
      </c>
      <c r="K250" s="2360">
        <f t="shared" si="57"/>
        <v>0.18615591397849462</v>
      </c>
      <c r="L250" s="2360">
        <f t="shared" si="57"/>
        <v>0.17916666666666667</v>
      </c>
      <c r="M250" s="2360">
        <f t="shared" si="57"/>
        <v>0.19295101553166069</v>
      </c>
    </row>
    <row r="251" spans="1:13">
      <c r="A251" s="2352" t="s">
        <v>538</v>
      </c>
      <c r="B251" s="2353">
        <v>252</v>
      </c>
      <c r="C251" s="2353">
        <v>221</v>
      </c>
      <c r="D251" s="2361">
        <v>220</v>
      </c>
      <c r="E251" s="2358">
        <v>206</v>
      </c>
      <c r="F251" s="2358">
        <v>203</v>
      </c>
      <c r="G251" s="2358">
        <v>208</v>
      </c>
      <c r="H251" s="2357">
        <v>227</v>
      </c>
      <c r="I251" s="2357">
        <v>216</v>
      </c>
      <c r="J251" s="2357">
        <v>218</v>
      </c>
      <c r="K251" s="2357">
        <v>217</v>
      </c>
      <c r="L251" s="2358">
        <v>212</v>
      </c>
      <c r="M251" s="2357">
        <v>231.7</v>
      </c>
    </row>
    <row r="252" spans="1:13" s="2" customFormat="1">
      <c r="A252" s="2359" t="s">
        <v>619</v>
      </c>
      <c r="B252" s="2362">
        <f>B253/B245</f>
        <v>0.80624187256176849</v>
      </c>
      <c r="C252" s="2360">
        <f>IFERROR(C253/C245,0)</f>
        <v>0.80352303523035229</v>
      </c>
      <c r="D252" s="2360">
        <f t="shared" ref="D252:M252" si="58">IFERROR(D253/D245,0)</f>
        <v>0.81976744186046513</v>
      </c>
      <c r="E252" s="2360">
        <f t="shared" si="58"/>
        <v>0.80727272727272725</v>
      </c>
      <c r="F252" s="2360">
        <f t="shared" si="58"/>
        <v>0.81812460667086218</v>
      </c>
      <c r="G252" s="2360">
        <f t="shared" si="58"/>
        <v>0.81516889738687059</v>
      </c>
      <c r="H252" s="2360">
        <f t="shared" si="58"/>
        <v>0.8146067415730337</v>
      </c>
      <c r="I252" s="2360">
        <f t="shared" si="58"/>
        <v>0.81771829190567236</v>
      </c>
      <c r="J252" s="2360">
        <f t="shared" si="58"/>
        <v>0.80784574468085102</v>
      </c>
      <c r="K252" s="2360">
        <f t="shared" si="58"/>
        <v>0.80510752688172038</v>
      </c>
      <c r="L252" s="2360">
        <f t="shared" si="58"/>
        <v>0.80694444444444446</v>
      </c>
      <c r="M252" s="2360">
        <f t="shared" si="58"/>
        <v>0.78733572281959374</v>
      </c>
    </row>
    <row r="253" spans="1:13" s="2" customFormat="1">
      <c r="A253" s="2359" t="s">
        <v>541</v>
      </c>
      <c r="B253" s="2363">
        <f>B245-B249</f>
        <v>1240</v>
      </c>
      <c r="C253" s="2363">
        <f>C245-C249</f>
        <v>1186</v>
      </c>
      <c r="D253" s="2363">
        <f>D245-D249</f>
        <v>1269</v>
      </c>
      <c r="E253" s="2363">
        <v>1110</v>
      </c>
      <c r="F253" s="2363">
        <v>1300</v>
      </c>
      <c r="G253" s="2363">
        <v>1279</v>
      </c>
      <c r="H253" s="2363">
        <v>1305</v>
      </c>
      <c r="I253" s="2363">
        <v>1283</v>
      </c>
      <c r="J253" s="2363">
        <v>1215</v>
      </c>
      <c r="K253" s="2363">
        <v>1198</v>
      </c>
      <c r="L253" s="2363">
        <v>1162</v>
      </c>
      <c r="M253" s="2363">
        <v>1318</v>
      </c>
    </row>
    <row r="254" spans="1:13" s="2" customFormat="1">
      <c r="A254" s="2352" t="s">
        <v>637</v>
      </c>
      <c r="B254" s="2353">
        <v>142</v>
      </c>
      <c r="C254" s="2353">
        <v>137</v>
      </c>
      <c r="D254" s="2361">
        <v>139</v>
      </c>
      <c r="E254" s="2358">
        <v>142</v>
      </c>
      <c r="F254" s="2358">
        <v>133</v>
      </c>
      <c r="G254" s="2358">
        <v>133</v>
      </c>
      <c r="H254" s="2357">
        <v>141</v>
      </c>
      <c r="I254" s="2357">
        <v>137</v>
      </c>
      <c r="J254" s="2357">
        <v>138</v>
      </c>
      <c r="K254" s="2357">
        <v>137</v>
      </c>
      <c r="L254" s="2358">
        <v>133</v>
      </c>
      <c r="M254" s="2357">
        <v>140.5</v>
      </c>
    </row>
    <row r="255" spans="1:13" s="2" customFormat="1">
      <c r="A255" s="2352" t="s">
        <v>383</v>
      </c>
      <c r="B255" s="2353">
        <v>13</v>
      </c>
      <c r="C255" s="2353">
        <v>3</v>
      </c>
      <c r="D255" s="2354">
        <v>8</v>
      </c>
      <c r="E255" s="2356">
        <v>6</v>
      </c>
      <c r="F255" s="2356">
        <v>7</v>
      </c>
      <c r="G255" s="2356">
        <v>3</v>
      </c>
      <c r="H255" s="2355">
        <v>7</v>
      </c>
      <c r="I255" s="2355">
        <v>2</v>
      </c>
      <c r="J255" s="2355">
        <v>4</v>
      </c>
      <c r="K255" s="2355">
        <v>8</v>
      </c>
      <c r="L255" s="2356">
        <v>14</v>
      </c>
      <c r="M255" s="2356">
        <v>24</v>
      </c>
    </row>
    <row r="256" spans="1:13" s="2" customFormat="1">
      <c r="A256" s="2364" t="s">
        <v>421</v>
      </c>
      <c r="B256" s="2360">
        <f>B255/B245</f>
        <v>8.4525357607282189E-3</v>
      </c>
      <c r="C256" s="2360">
        <f>IFERROR(C255/C245,0)</f>
        <v>2.0325203252032522E-3</v>
      </c>
      <c r="D256" s="2360">
        <f t="shared" ref="D256:M256" si="59">IFERROR(D255/D245,0)</f>
        <v>5.1679586563307496E-3</v>
      </c>
      <c r="E256" s="2360">
        <f t="shared" si="59"/>
        <v>4.3636363636363638E-3</v>
      </c>
      <c r="F256" s="2360">
        <f t="shared" si="59"/>
        <v>4.4052863436123352E-3</v>
      </c>
      <c r="G256" s="2360">
        <f t="shared" si="59"/>
        <v>1.9120458891013384E-3</v>
      </c>
      <c r="H256" s="2360">
        <f t="shared" si="59"/>
        <v>4.3695380774032462E-3</v>
      </c>
      <c r="I256" s="2360">
        <f t="shared" si="59"/>
        <v>1.2746972594008922E-3</v>
      </c>
      <c r="J256" s="2360">
        <f t="shared" si="59"/>
        <v>2.6595744680851063E-3</v>
      </c>
      <c r="K256" s="2360">
        <f t="shared" si="59"/>
        <v>5.3763440860215058E-3</v>
      </c>
      <c r="L256" s="2360">
        <f t="shared" si="59"/>
        <v>9.7222222222222224E-3</v>
      </c>
      <c r="M256" s="2360">
        <f t="shared" si="59"/>
        <v>1.4336917562724014E-2</v>
      </c>
    </row>
    <row r="257" spans="1:13" s="2" customFormat="1">
      <c r="A257" s="2365" t="s">
        <v>1</v>
      </c>
      <c r="B257" s="2366">
        <v>7</v>
      </c>
      <c r="C257" s="2355">
        <v>3</v>
      </c>
      <c r="D257" s="2355">
        <v>5</v>
      </c>
      <c r="E257" s="2356">
        <v>1</v>
      </c>
      <c r="F257" s="2356">
        <v>3</v>
      </c>
      <c r="G257" s="2356">
        <v>2</v>
      </c>
      <c r="H257" s="2355">
        <v>5</v>
      </c>
      <c r="I257" s="2355">
        <v>6</v>
      </c>
      <c r="J257" s="2355">
        <v>4</v>
      </c>
      <c r="K257" s="2355">
        <v>5</v>
      </c>
      <c r="L257" s="2356">
        <v>5</v>
      </c>
      <c r="M257" s="2355">
        <v>4</v>
      </c>
    </row>
    <row r="258" spans="1:13" s="2" customFormat="1">
      <c r="A258" s="2364" t="s">
        <v>422</v>
      </c>
      <c r="B258" s="2360">
        <f>B257/B245</f>
        <v>4.5513654096228867E-3</v>
      </c>
      <c r="C258" s="2360">
        <f>IFERROR(C257/C245,0)</f>
        <v>2.0325203252032522E-3</v>
      </c>
      <c r="D258" s="2360">
        <f t="shared" ref="D258:M258" si="60">IFERROR(D257/D245,0)</f>
        <v>3.2299741602067182E-3</v>
      </c>
      <c r="E258" s="2360">
        <f t="shared" si="60"/>
        <v>7.2727272727272723E-4</v>
      </c>
      <c r="F258" s="2360">
        <f t="shared" si="60"/>
        <v>1.8879798615481435E-3</v>
      </c>
      <c r="G258" s="2360">
        <f t="shared" si="60"/>
        <v>1.2746972594008922E-3</v>
      </c>
      <c r="H258" s="2360">
        <f t="shared" si="60"/>
        <v>3.1210986267166041E-3</v>
      </c>
      <c r="I258" s="2360">
        <f t="shared" si="60"/>
        <v>3.8240917782026767E-3</v>
      </c>
      <c r="J258" s="2360">
        <f t="shared" si="60"/>
        <v>2.6595744680851063E-3</v>
      </c>
      <c r="K258" s="2360">
        <f t="shared" si="60"/>
        <v>3.3602150537634409E-3</v>
      </c>
      <c r="L258" s="2360">
        <f t="shared" si="60"/>
        <v>3.472222222222222E-3</v>
      </c>
      <c r="M258" s="2360">
        <f t="shared" si="60"/>
        <v>2.3894862604540022E-3</v>
      </c>
    </row>
    <row r="259" spans="1:13" s="2" customFormat="1">
      <c r="A259" s="2365" t="s">
        <v>542</v>
      </c>
      <c r="B259" s="2367">
        <v>0.93200000000000005</v>
      </c>
      <c r="C259" s="2367">
        <v>0.82699999999999996</v>
      </c>
      <c r="D259" s="2367">
        <v>0.78</v>
      </c>
      <c r="E259" s="2367">
        <v>0.84699999999999998</v>
      </c>
      <c r="F259" s="2367">
        <v>0.81200000000000006</v>
      </c>
      <c r="G259" s="2367">
        <v>0.76600000000000001</v>
      </c>
      <c r="H259" s="2367">
        <v>0.753</v>
      </c>
      <c r="I259" s="2367">
        <v>0.96</v>
      </c>
      <c r="J259" s="2367">
        <v>0.88600000000000001</v>
      </c>
      <c r="K259" s="2367">
        <v>0.871</v>
      </c>
      <c r="L259" s="2367">
        <v>0.78400000000000003</v>
      </c>
      <c r="M259" s="2367"/>
    </row>
    <row r="260" spans="1:13" s="2" customFormat="1">
      <c r="A260" s="754" t="s">
        <v>288</v>
      </c>
      <c r="B260" s="1122"/>
      <c r="C260" s="1122"/>
      <c r="D260" s="1122"/>
      <c r="E260" s="1122"/>
      <c r="F260" s="1122"/>
      <c r="G260" s="1122"/>
      <c r="H260" s="1122"/>
      <c r="I260" s="1122"/>
      <c r="J260" s="1122"/>
      <c r="K260" s="1122"/>
      <c r="L260" s="1122"/>
      <c r="M260" s="1122"/>
    </row>
    <row r="261" spans="1:13" s="2" customFormat="1">
      <c r="A261" s="754" t="s">
        <v>289</v>
      </c>
      <c r="B261" s="1122"/>
      <c r="C261" s="1523"/>
      <c r="D261" s="1122"/>
      <c r="E261" s="1122"/>
      <c r="F261" s="1122"/>
      <c r="G261" s="1122"/>
      <c r="H261" s="1122"/>
      <c r="I261" s="1122"/>
      <c r="J261" s="1122"/>
      <c r="K261" s="1122"/>
      <c r="L261" s="1122"/>
      <c r="M261" s="1122"/>
    </row>
    <row r="262" spans="1:13" s="2" customFormat="1">
      <c r="A262" s="4" t="s">
        <v>290</v>
      </c>
      <c r="B262" s="1523"/>
      <c r="C262" s="1523"/>
      <c r="D262" s="1523"/>
      <c r="E262" s="1122"/>
      <c r="F262" s="1122"/>
      <c r="G262" s="1526"/>
      <c r="H262" s="1526"/>
      <c r="I262" s="1526"/>
      <c r="J262" s="1122"/>
      <c r="K262" s="1122"/>
      <c r="L262" s="1122"/>
      <c r="M262" s="1122"/>
    </row>
    <row r="263" spans="1:13" s="2" customFormat="1">
      <c r="A263" s="2986" t="s">
        <v>372</v>
      </c>
      <c r="B263" s="1122"/>
      <c r="C263" s="1122"/>
      <c r="D263" s="1122"/>
      <c r="E263" s="1122"/>
      <c r="F263" s="1122"/>
      <c r="G263" s="1122"/>
      <c r="H263" s="1122"/>
      <c r="I263" s="1122"/>
      <c r="J263" s="1122"/>
      <c r="K263" s="1122"/>
      <c r="L263" s="1122"/>
      <c r="M263" s="1122"/>
    </row>
    <row r="264" spans="1:13" s="2" customFormat="1" ht="16.5">
      <c r="A264" s="2987"/>
      <c r="B264" s="1118"/>
      <c r="C264" s="1118"/>
      <c r="D264" s="1118"/>
      <c r="E264" s="1118"/>
      <c r="F264" s="1118"/>
      <c r="G264" s="1118"/>
      <c r="H264" s="1118"/>
      <c r="I264" s="1118"/>
      <c r="J264" s="1118"/>
      <c r="K264" s="1118"/>
      <c r="L264" s="1118"/>
      <c r="M264" s="1118"/>
    </row>
    <row r="265" spans="1:13" s="2" customFormat="1">
      <c r="A265" s="23" t="s">
        <v>530</v>
      </c>
      <c r="B265" s="147">
        <v>891</v>
      </c>
      <c r="C265" s="147">
        <v>865</v>
      </c>
      <c r="D265" s="147">
        <v>1001</v>
      </c>
      <c r="E265" s="129">
        <v>1029</v>
      </c>
      <c r="F265" s="129">
        <v>936</v>
      </c>
      <c r="G265" s="129">
        <v>969</v>
      </c>
      <c r="H265" s="147">
        <v>965</v>
      </c>
      <c r="I265" s="147">
        <v>1017</v>
      </c>
      <c r="J265" s="147">
        <v>1057</v>
      </c>
      <c r="K265" s="147">
        <v>938</v>
      </c>
      <c r="L265" s="129"/>
      <c r="M265" s="147"/>
    </row>
    <row r="266" spans="1:13" s="2" customFormat="1">
      <c r="A266" s="23" t="s">
        <v>418</v>
      </c>
      <c r="B266" s="85">
        <v>25</v>
      </c>
      <c r="C266" s="85">
        <v>25</v>
      </c>
      <c r="D266" s="85">
        <v>35</v>
      </c>
      <c r="E266" s="85">
        <v>38</v>
      </c>
      <c r="F266" s="148">
        <v>32</v>
      </c>
      <c r="G266" s="148">
        <v>32</v>
      </c>
      <c r="H266" s="85">
        <v>35</v>
      </c>
      <c r="I266" s="85">
        <v>28</v>
      </c>
      <c r="J266" s="85">
        <v>34</v>
      </c>
      <c r="K266" s="85">
        <v>24</v>
      </c>
      <c r="L266" s="148"/>
      <c r="M266" s="85"/>
    </row>
    <row r="267" spans="1:13" s="2" customFormat="1">
      <c r="A267" s="23" t="s">
        <v>160</v>
      </c>
      <c r="B267" s="1104"/>
      <c r="C267" s="1104"/>
      <c r="D267" s="1104"/>
      <c r="E267" s="1104"/>
      <c r="F267" s="1104"/>
      <c r="G267" s="1104"/>
      <c r="H267" s="1104"/>
      <c r="I267" s="1104"/>
      <c r="J267" s="1120"/>
      <c r="K267" s="1120"/>
      <c r="L267" s="1104"/>
      <c r="M267" s="1104"/>
    </row>
    <row r="268" spans="1:13" s="2" customFormat="1">
      <c r="A268" s="171" t="s">
        <v>161</v>
      </c>
      <c r="B268" s="1121"/>
      <c r="C268" s="1121"/>
      <c r="D268" s="1121"/>
      <c r="E268" s="1121"/>
      <c r="F268" s="1121"/>
      <c r="G268" s="1121"/>
      <c r="H268" s="1121"/>
      <c r="I268" s="1121"/>
      <c r="J268" s="1121"/>
      <c r="K268" s="1121"/>
      <c r="L268" s="1121"/>
      <c r="M268" s="1121"/>
    </row>
    <row r="269" spans="1:13">
      <c r="A269" s="23" t="s">
        <v>622</v>
      </c>
      <c r="B269" s="147">
        <v>73</v>
      </c>
      <c r="C269" s="147">
        <v>75</v>
      </c>
      <c r="D269" s="147">
        <v>67</v>
      </c>
      <c r="E269" s="129">
        <v>85</v>
      </c>
      <c r="F269" s="129">
        <v>71</v>
      </c>
      <c r="G269" s="129">
        <v>90</v>
      </c>
      <c r="H269" s="147">
        <v>75</v>
      </c>
      <c r="I269" s="147">
        <v>75</v>
      </c>
      <c r="J269" s="147">
        <v>85</v>
      </c>
      <c r="K269" s="147">
        <v>75</v>
      </c>
      <c r="L269" s="129"/>
      <c r="M269" s="147"/>
    </row>
    <row r="270" spans="1:13">
      <c r="A270" s="171" t="s">
        <v>540</v>
      </c>
      <c r="B270" s="173">
        <f>B269/B265</f>
        <v>8.1930415263748599E-2</v>
      </c>
      <c r="C270" s="173">
        <f>IFERROR(C269/C265,0)</f>
        <v>8.6705202312138727E-2</v>
      </c>
      <c r="D270" s="173">
        <f t="shared" ref="D270:M270" si="61">IFERROR(D269/D265,0)</f>
        <v>6.6933066933066929E-2</v>
      </c>
      <c r="E270" s="173">
        <f t="shared" si="61"/>
        <v>8.2604470359572399E-2</v>
      </c>
      <c r="F270" s="173">
        <f t="shared" si="61"/>
        <v>7.5854700854700849E-2</v>
      </c>
      <c r="G270" s="173">
        <f t="shared" si="61"/>
        <v>9.2879256965944276E-2</v>
      </c>
      <c r="H270" s="173">
        <f t="shared" si="61"/>
        <v>7.7720207253886009E-2</v>
      </c>
      <c r="I270" s="173">
        <f t="shared" si="61"/>
        <v>7.3746312684365781E-2</v>
      </c>
      <c r="J270" s="173">
        <f t="shared" si="61"/>
        <v>8.0416272469252606E-2</v>
      </c>
      <c r="K270" s="173">
        <f t="shared" si="61"/>
        <v>7.9957356076759065E-2</v>
      </c>
      <c r="L270" s="173">
        <f t="shared" si="61"/>
        <v>0</v>
      </c>
      <c r="M270" s="173">
        <f t="shared" si="61"/>
        <v>0</v>
      </c>
    </row>
    <row r="271" spans="1:13">
      <c r="A271" s="23" t="s">
        <v>539</v>
      </c>
      <c r="B271" s="85">
        <v>404</v>
      </c>
      <c r="C271" s="85">
        <v>352</v>
      </c>
      <c r="D271" s="148">
        <v>340</v>
      </c>
      <c r="E271" s="85">
        <v>407</v>
      </c>
      <c r="F271" s="148">
        <v>438</v>
      </c>
      <c r="G271" s="148">
        <v>419</v>
      </c>
      <c r="H271" s="85">
        <v>408</v>
      </c>
      <c r="I271" s="85">
        <v>346</v>
      </c>
      <c r="J271" s="85">
        <v>359</v>
      </c>
      <c r="K271" s="85">
        <v>328</v>
      </c>
      <c r="L271" s="148"/>
      <c r="M271" s="85"/>
    </row>
    <row r="272" spans="1:13">
      <c r="A272" s="171" t="s">
        <v>619</v>
      </c>
      <c r="B272" s="172">
        <f>B273/B265</f>
        <v>0.91806958473625144</v>
      </c>
      <c r="C272" s="173">
        <f>IFERROR(C273/C265,0)</f>
        <v>0.91329479768786126</v>
      </c>
      <c r="D272" s="173">
        <f t="shared" ref="D272:M272" si="62">IFERROR(D273/D265,0)</f>
        <v>0.93306693306693311</v>
      </c>
      <c r="E272" s="173">
        <f t="shared" si="62"/>
        <v>0.91739552964042759</v>
      </c>
      <c r="F272" s="173">
        <f t="shared" si="62"/>
        <v>0.92414529914529919</v>
      </c>
      <c r="G272" s="173">
        <f t="shared" si="62"/>
        <v>0.86171310629514963</v>
      </c>
      <c r="H272" s="173">
        <f t="shared" si="62"/>
        <v>0.85284974093264254</v>
      </c>
      <c r="I272" s="173">
        <f t="shared" si="62"/>
        <v>0.86430678466076694</v>
      </c>
      <c r="J272" s="173">
        <f t="shared" si="62"/>
        <v>0.84673604541154213</v>
      </c>
      <c r="K272" s="173">
        <f t="shared" si="62"/>
        <v>0.89232409381663114</v>
      </c>
      <c r="L272" s="173">
        <f t="shared" si="62"/>
        <v>0</v>
      </c>
      <c r="M272" s="173">
        <f t="shared" si="62"/>
        <v>0</v>
      </c>
    </row>
    <row r="273" spans="1:13">
      <c r="A273" s="171" t="s">
        <v>541</v>
      </c>
      <c r="B273" s="750">
        <f t="shared" ref="B273:M273" si="63">B265-B269</f>
        <v>818</v>
      </c>
      <c r="C273" s="750">
        <f t="shared" si="63"/>
        <v>790</v>
      </c>
      <c r="D273" s="750">
        <f t="shared" si="63"/>
        <v>934</v>
      </c>
      <c r="E273" s="750">
        <f t="shared" si="63"/>
        <v>944</v>
      </c>
      <c r="F273" s="750">
        <f t="shared" si="63"/>
        <v>865</v>
      </c>
      <c r="G273" s="750">
        <v>835</v>
      </c>
      <c r="H273" s="750">
        <v>823</v>
      </c>
      <c r="I273" s="750">
        <v>879</v>
      </c>
      <c r="J273" s="750">
        <v>895</v>
      </c>
      <c r="K273" s="750">
        <v>837</v>
      </c>
      <c r="L273" s="750">
        <f t="shared" si="63"/>
        <v>0</v>
      </c>
      <c r="M273" s="750">
        <f t="shared" si="63"/>
        <v>0</v>
      </c>
    </row>
    <row r="274" spans="1:13">
      <c r="A274" s="23" t="s">
        <v>637</v>
      </c>
      <c r="B274" s="85">
        <v>353</v>
      </c>
      <c r="C274" s="85">
        <v>420</v>
      </c>
      <c r="D274" s="148">
        <v>320</v>
      </c>
      <c r="E274" s="85">
        <v>252</v>
      </c>
      <c r="F274" s="148">
        <v>215</v>
      </c>
      <c r="G274" s="148">
        <v>226</v>
      </c>
      <c r="H274" s="85">
        <v>215</v>
      </c>
      <c r="I274" s="85">
        <v>206</v>
      </c>
      <c r="J274" s="85">
        <v>219</v>
      </c>
      <c r="K274" s="85">
        <v>153</v>
      </c>
      <c r="L274" s="148"/>
      <c r="M274" s="85"/>
    </row>
    <row r="275" spans="1:13">
      <c r="A275" s="23" t="s">
        <v>646</v>
      </c>
      <c r="B275" s="147">
        <v>11</v>
      </c>
      <c r="C275" s="147">
        <v>13</v>
      </c>
      <c r="D275" s="129">
        <v>24</v>
      </c>
      <c r="E275" s="129">
        <v>35</v>
      </c>
      <c r="F275" s="129">
        <v>19</v>
      </c>
      <c r="G275" s="129">
        <v>23</v>
      </c>
      <c r="H275" s="147">
        <v>17</v>
      </c>
      <c r="I275" s="147">
        <v>13</v>
      </c>
      <c r="J275" s="147">
        <v>28</v>
      </c>
      <c r="K275" s="147">
        <v>14</v>
      </c>
      <c r="L275" s="129"/>
      <c r="M275" s="129"/>
    </row>
    <row r="276" spans="1:13">
      <c r="A276" s="174" t="s">
        <v>647</v>
      </c>
      <c r="B276" s="173">
        <f>B275/B265</f>
        <v>1.2345679012345678E-2</v>
      </c>
      <c r="C276" s="173">
        <f>IFERROR(C275/C265,0)</f>
        <v>1.5028901734104046E-2</v>
      </c>
      <c r="D276" s="173">
        <f t="shared" ref="D276:M276" si="64">IFERROR(D275/D265,0)</f>
        <v>2.3976023976023976E-2</v>
      </c>
      <c r="E276" s="173">
        <f t="shared" si="64"/>
        <v>3.4013605442176874E-2</v>
      </c>
      <c r="F276" s="173">
        <f t="shared" si="64"/>
        <v>2.02991452991453E-2</v>
      </c>
      <c r="G276" s="173">
        <f t="shared" si="64"/>
        <v>2.3735810113519093E-2</v>
      </c>
      <c r="H276" s="173">
        <f t="shared" si="64"/>
        <v>1.7616580310880828E-2</v>
      </c>
      <c r="I276" s="173">
        <f t="shared" si="64"/>
        <v>1.2782694198623401E-2</v>
      </c>
      <c r="J276" s="173">
        <f t="shared" si="64"/>
        <v>2.6490066225165563E-2</v>
      </c>
      <c r="K276" s="173">
        <f t="shared" si="64"/>
        <v>1.4925373134328358E-2</v>
      </c>
      <c r="L276" s="173">
        <f t="shared" si="64"/>
        <v>0</v>
      </c>
      <c r="M276" s="173">
        <f t="shared" si="64"/>
        <v>0</v>
      </c>
    </row>
    <row r="277" spans="1:13">
      <c r="A277" s="749" t="s">
        <v>1</v>
      </c>
      <c r="B277" s="147">
        <v>12</v>
      </c>
      <c r="C277" s="147">
        <v>8</v>
      </c>
      <c r="D277" s="147">
        <v>11</v>
      </c>
      <c r="E277" s="129">
        <v>17</v>
      </c>
      <c r="F277" s="129">
        <v>12</v>
      </c>
      <c r="G277" s="129">
        <v>25</v>
      </c>
      <c r="H277" s="147">
        <v>14</v>
      </c>
      <c r="I277" s="147">
        <v>24</v>
      </c>
      <c r="J277" s="147">
        <v>29</v>
      </c>
      <c r="K277" s="147">
        <v>13</v>
      </c>
      <c r="L277" s="129"/>
      <c r="M277" s="147"/>
    </row>
    <row r="278" spans="1:13">
      <c r="A278" s="174" t="s">
        <v>422</v>
      </c>
      <c r="B278" s="173">
        <f>B277/B265</f>
        <v>1.3468013468013467E-2</v>
      </c>
      <c r="C278" s="173">
        <f>IFERROR(C277/C265,0)</f>
        <v>9.2485549132947983E-3</v>
      </c>
      <c r="D278" s="173">
        <f t="shared" ref="D278:M278" si="65">IFERROR(D277/D265,0)</f>
        <v>1.098901098901099E-2</v>
      </c>
      <c r="E278" s="173">
        <f t="shared" si="65"/>
        <v>1.6520894071914479E-2</v>
      </c>
      <c r="F278" s="173">
        <f t="shared" si="65"/>
        <v>1.282051282051282E-2</v>
      </c>
      <c r="G278" s="173">
        <f t="shared" si="65"/>
        <v>2.5799793601651185E-2</v>
      </c>
      <c r="H278" s="173">
        <f t="shared" si="65"/>
        <v>1.4507772020725389E-2</v>
      </c>
      <c r="I278" s="173">
        <f t="shared" si="65"/>
        <v>2.359882005899705E-2</v>
      </c>
      <c r="J278" s="173">
        <f t="shared" si="65"/>
        <v>2.7436140018921477E-2</v>
      </c>
      <c r="K278" s="173">
        <f t="shared" si="65"/>
        <v>1.3859275053304905E-2</v>
      </c>
      <c r="L278" s="173">
        <f t="shared" si="65"/>
        <v>0</v>
      </c>
      <c r="M278" s="173">
        <f t="shared" si="65"/>
        <v>0</v>
      </c>
    </row>
    <row r="279" spans="1:13" ht="15" customHeight="1">
      <c r="A279" s="749" t="s">
        <v>767</v>
      </c>
      <c r="B279" s="130">
        <v>0.79269999999999996</v>
      </c>
      <c r="C279" s="130">
        <v>0.79269999999999996</v>
      </c>
      <c r="D279" s="130">
        <v>0.79269999999999996</v>
      </c>
      <c r="E279" s="130">
        <v>0.627</v>
      </c>
      <c r="F279" s="130">
        <v>0.78300000000000003</v>
      </c>
      <c r="G279" s="130">
        <v>0.61099999999999999</v>
      </c>
      <c r="H279" s="130">
        <v>0.76200000000000001</v>
      </c>
      <c r="I279" s="130">
        <v>0.63200000000000001</v>
      </c>
      <c r="J279" s="130">
        <v>0.63300000000000001</v>
      </c>
      <c r="K279" s="751"/>
      <c r="L279" s="130"/>
      <c r="M279" s="130"/>
    </row>
    <row r="280" spans="1:13">
      <c r="A280" s="749" t="s">
        <v>288</v>
      </c>
      <c r="B280" s="1122"/>
      <c r="C280" s="1122"/>
      <c r="D280" s="1122"/>
      <c r="E280" s="1122"/>
      <c r="F280" s="1122"/>
      <c r="G280" s="1122"/>
      <c r="H280" s="1122"/>
      <c r="I280" s="1122"/>
      <c r="J280" s="1122"/>
      <c r="K280" s="1122"/>
      <c r="L280" s="1122"/>
      <c r="M280" s="1122"/>
    </row>
    <row r="281" spans="1:13">
      <c r="A281" s="749" t="s">
        <v>289</v>
      </c>
      <c r="B281" s="1122"/>
      <c r="C281" s="1523"/>
      <c r="D281" s="1122"/>
      <c r="E281" s="1122"/>
      <c r="F281" s="1122"/>
      <c r="G281" s="1122"/>
      <c r="H281" s="1122"/>
      <c r="I281" s="1122"/>
      <c r="J281" s="1122"/>
      <c r="K281" s="1122"/>
      <c r="L281" s="1122"/>
      <c r="M281" s="1122"/>
    </row>
    <row r="282" spans="1:13">
      <c r="A282" s="749" t="s">
        <v>639</v>
      </c>
      <c r="B282" s="2543">
        <v>0.65790000000000004</v>
      </c>
      <c r="C282" s="2543">
        <v>0.65790000000000004</v>
      </c>
      <c r="D282" s="2543">
        <v>0.65790000000000004</v>
      </c>
      <c r="E282" s="2543"/>
      <c r="F282" s="2543"/>
      <c r="G282" s="2543"/>
      <c r="H282" s="2543"/>
      <c r="I282" s="2543"/>
      <c r="J282" s="2543"/>
      <c r="K282" s="2543"/>
      <c r="L282" s="2543"/>
      <c r="M282" s="2543"/>
    </row>
    <row r="283" spans="1:13">
      <c r="A283" s="2986" t="s">
        <v>378</v>
      </c>
      <c r="B283" s="1121"/>
      <c r="C283" s="1121"/>
      <c r="D283" s="1121"/>
      <c r="E283" s="1121"/>
      <c r="F283" s="1121"/>
      <c r="G283" s="1121"/>
      <c r="H283" s="1121"/>
      <c r="I283" s="1121"/>
      <c r="J283" s="1121"/>
      <c r="K283" s="1121"/>
      <c r="L283" s="1121"/>
      <c r="M283" s="1121"/>
    </row>
    <row r="284" spans="1:13" ht="16.5">
      <c r="A284" s="2987"/>
      <c r="B284" s="1118"/>
      <c r="C284" s="1118"/>
      <c r="D284" s="1118"/>
      <c r="E284" s="1118"/>
      <c r="F284" s="1118"/>
      <c r="G284" s="1118"/>
      <c r="H284" s="1118"/>
      <c r="I284" s="1118"/>
      <c r="J284" s="1118"/>
      <c r="K284" s="1118"/>
      <c r="L284" s="1118"/>
      <c r="M284" s="1118"/>
    </row>
    <row r="285" spans="1:13">
      <c r="A285" s="23" t="s">
        <v>530</v>
      </c>
      <c r="B285" s="147">
        <v>3023</v>
      </c>
      <c r="C285" s="129">
        <v>2810</v>
      </c>
      <c r="D285" s="129">
        <v>2721</v>
      </c>
      <c r="E285" s="147">
        <v>3139</v>
      </c>
      <c r="F285" s="129">
        <v>3026</v>
      </c>
      <c r="G285" s="129">
        <v>2988</v>
      </c>
      <c r="H285" s="147">
        <v>3148</v>
      </c>
      <c r="I285" s="147">
        <v>3142</v>
      </c>
      <c r="J285" s="147">
        <v>3106</v>
      </c>
      <c r="K285" s="147">
        <v>3176</v>
      </c>
      <c r="L285" s="129">
        <v>3024</v>
      </c>
      <c r="M285" s="147"/>
    </row>
    <row r="286" spans="1:13">
      <c r="A286" s="23" t="s">
        <v>418</v>
      </c>
      <c r="B286" s="85">
        <v>15</v>
      </c>
      <c r="C286" s="148">
        <v>13</v>
      </c>
      <c r="D286" s="148">
        <v>15</v>
      </c>
      <c r="E286" s="85">
        <v>17</v>
      </c>
      <c r="F286" s="148">
        <v>14</v>
      </c>
      <c r="G286" s="148">
        <v>12</v>
      </c>
      <c r="H286" s="85">
        <v>14</v>
      </c>
      <c r="I286" s="85">
        <v>15</v>
      </c>
      <c r="J286" s="85">
        <v>17</v>
      </c>
      <c r="K286" s="85">
        <v>22</v>
      </c>
      <c r="L286" s="148">
        <v>18</v>
      </c>
      <c r="M286" s="85"/>
    </row>
    <row r="287" spans="1:13">
      <c r="A287" s="23" t="s">
        <v>160</v>
      </c>
      <c r="B287" s="1104"/>
      <c r="C287" s="1104"/>
      <c r="D287" s="1104"/>
      <c r="E287" s="1104"/>
      <c r="F287" s="1104"/>
      <c r="G287" s="1104"/>
      <c r="H287" s="1104"/>
      <c r="I287" s="1104"/>
      <c r="J287" s="1120"/>
      <c r="K287" s="1120"/>
      <c r="L287" s="1104"/>
      <c r="M287" s="1104"/>
    </row>
    <row r="288" spans="1:13">
      <c r="A288" s="171" t="s">
        <v>161</v>
      </c>
      <c r="B288" s="1121"/>
      <c r="C288" s="1121"/>
      <c r="D288" s="1121"/>
      <c r="E288" s="1121"/>
      <c r="F288" s="1121"/>
      <c r="G288" s="1121"/>
      <c r="H288" s="1121"/>
      <c r="I288" s="1121"/>
      <c r="J288" s="1121"/>
      <c r="K288" s="1121"/>
      <c r="L288" s="1121"/>
      <c r="M288" s="1121"/>
    </row>
    <row r="289" spans="1:13">
      <c r="A289" s="23" t="s">
        <v>622</v>
      </c>
      <c r="B289" s="129">
        <v>653</v>
      </c>
      <c r="C289" s="129">
        <v>611</v>
      </c>
      <c r="D289" s="129">
        <v>537</v>
      </c>
      <c r="E289" s="147">
        <v>642</v>
      </c>
      <c r="F289" s="129">
        <v>593</v>
      </c>
      <c r="G289" s="129">
        <v>684</v>
      </c>
      <c r="H289" s="147">
        <v>672</v>
      </c>
      <c r="I289" s="147">
        <v>671</v>
      </c>
      <c r="J289" s="147">
        <v>653</v>
      </c>
      <c r="K289" s="147">
        <v>696</v>
      </c>
      <c r="L289" s="129">
        <v>630</v>
      </c>
      <c r="M289" s="147"/>
    </row>
    <row r="290" spans="1:13">
      <c r="A290" s="171" t="s">
        <v>540</v>
      </c>
      <c r="B290" s="173">
        <f>IFERROR(B289/B285,0)</f>
        <v>0.21601058551108171</v>
      </c>
      <c r="C290" s="173">
        <f>IFERROR(C289/C285,0)</f>
        <v>0.21743772241992881</v>
      </c>
      <c r="D290" s="173">
        <f t="shared" ref="D290:M290" si="66">IFERROR(D289/D285,0)</f>
        <v>0.19735391400220506</v>
      </c>
      <c r="E290" s="173">
        <f t="shared" si="66"/>
        <v>0.2045237336731443</v>
      </c>
      <c r="F290" s="173">
        <f t="shared" si="66"/>
        <v>0.19596827495042962</v>
      </c>
      <c r="G290" s="173">
        <f t="shared" si="66"/>
        <v>0.2289156626506024</v>
      </c>
      <c r="H290" s="173">
        <f t="shared" si="66"/>
        <v>0.21346886912325286</v>
      </c>
      <c r="I290" s="173">
        <f t="shared" si="66"/>
        <v>0.21355824315722469</v>
      </c>
      <c r="J290" s="173">
        <f t="shared" si="66"/>
        <v>0.21023824855119125</v>
      </c>
      <c r="K290" s="173">
        <f t="shared" si="66"/>
        <v>0.21914357682619648</v>
      </c>
      <c r="L290" s="173">
        <f t="shared" si="66"/>
        <v>0.20833333333333334</v>
      </c>
      <c r="M290" s="173">
        <f t="shared" si="66"/>
        <v>0</v>
      </c>
    </row>
    <row r="291" spans="1:13">
      <c r="A291" s="23" t="s">
        <v>538</v>
      </c>
      <c r="B291" s="148"/>
      <c r="C291" s="148"/>
      <c r="D291" s="148"/>
      <c r="E291" s="148"/>
      <c r="F291" s="148"/>
      <c r="G291" s="148"/>
      <c r="H291" s="85"/>
      <c r="I291" s="85"/>
      <c r="J291" s="85"/>
      <c r="K291" s="85"/>
      <c r="L291" s="148"/>
      <c r="M291" s="85"/>
    </row>
    <row r="292" spans="1:13">
      <c r="A292" s="171" t="s">
        <v>619</v>
      </c>
      <c r="B292" s="173">
        <f>IFERROR(B293/B285,0)</f>
        <v>0.78398941448891835</v>
      </c>
      <c r="C292" s="173">
        <f>IFERROR(C293/C285,0)</f>
        <v>0.78256227758007113</v>
      </c>
      <c r="D292" s="173">
        <f t="shared" ref="D292:M292" si="67">IFERROR(D293/D285,0)</f>
        <v>0.80264608599779497</v>
      </c>
      <c r="E292" s="173">
        <f t="shared" si="67"/>
        <v>0.79547626632685564</v>
      </c>
      <c r="F292" s="173">
        <f t="shared" si="67"/>
        <v>0.80403172504957043</v>
      </c>
      <c r="G292" s="173">
        <f t="shared" si="67"/>
        <v>0.77108433734939763</v>
      </c>
      <c r="H292" s="173">
        <f t="shared" si="67"/>
        <v>0.78653113087674709</v>
      </c>
      <c r="I292" s="173">
        <f t="shared" si="67"/>
        <v>0.78644175684277529</v>
      </c>
      <c r="J292" s="173">
        <f t="shared" si="67"/>
        <v>0.78976175144880878</v>
      </c>
      <c r="K292" s="173">
        <f t="shared" si="67"/>
        <v>0.77802267002518888</v>
      </c>
      <c r="L292" s="173">
        <f t="shared" si="67"/>
        <v>0.79166666666666663</v>
      </c>
      <c r="M292" s="173">
        <f t="shared" si="67"/>
        <v>0</v>
      </c>
    </row>
    <row r="293" spans="1:13">
      <c r="A293" s="171" t="s">
        <v>541</v>
      </c>
      <c r="B293" s="750">
        <v>2370</v>
      </c>
      <c r="C293" s="750">
        <f t="shared" ref="C293:M293" si="68">C285-C289</f>
        <v>2199</v>
      </c>
      <c r="D293" s="750">
        <f t="shared" si="68"/>
        <v>2184</v>
      </c>
      <c r="E293" s="750">
        <f t="shared" si="68"/>
        <v>2497</v>
      </c>
      <c r="F293" s="750">
        <f t="shared" si="68"/>
        <v>2433</v>
      </c>
      <c r="G293" s="750">
        <f t="shared" si="68"/>
        <v>2304</v>
      </c>
      <c r="H293" s="750">
        <f t="shared" si="68"/>
        <v>2476</v>
      </c>
      <c r="I293" s="750">
        <f t="shared" si="68"/>
        <v>2471</v>
      </c>
      <c r="J293" s="750">
        <f t="shared" si="68"/>
        <v>2453</v>
      </c>
      <c r="K293" s="750">
        <v>2471</v>
      </c>
      <c r="L293" s="750">
        <f t="shared" si="68"/>
        <v>2394</v>
      </c>
      <c r="M293" s="750">
        <f t="shared" si="68"/>
        <v>0</v>
      </c>
    </row>
    <row r="294" spans="1:13">
      <c r="A294" s="23" t="s">
        <v>637</v>
      </c>
      <c r="B294" s="148">
        <v>235</v>
      </c>
      <c r="C294" s="148">
        <v>226</v>
      </c>
      <c r="D294" s="148">
        <v>228</v>
      </c>
      <c r="E294" s="85">
        <v>235</v>
      </c>
      <c r="F294" s="148">
        <v>226</v>
      </c>
      <c r="G294" s="148">
        <v>229</v>
      </c>
      <c r="H294" s="85">
        <v>229</v>
      </c>
      <c r="I294" s="85">
        <v>226</v>
      </c>
      <c r="J294" s="85">
        <v>231</v>
      </c>
      <c r="K294" s="85">
        <v>245</v>
      </c>
      <c r="L294" s="148">
        <v>230</v>
      </c>
      <c r="M294" s="85"/>
    </row>
    <row r="295" spans="1:13">
      <c r="A295" s="23" t="s">
        <v>383</v>
      </c>
      <c r="B295" s="129">
        <v>5</v>
      </c>
      <c r="C295" s="129">
        <v>14</v>
      </c>
      <c r="D295" s="129">
        <v>48</v>
      </c>
      <c r="E295" s="147">
        <v>45</v>
      </c>
      <c r="F295" s="129">
        <v>35</v>
      </c>
      <c r="G295" s="129">
        <v>27</v>
      </c>
      <c r="H295" s="147">
        <v>35</v>
      </c>
      <c r="I295" s="147">
        <v>42</v>
      </c>
      <c r="J295" s="147">
        <v>75</v>
      </c>
      <c r="K295" s="147">
        <v>92</v>
      </c>
      <c r="L295" s="129">
        <v>42</v>
      </c>
      <c r="M295" s="129"/>
    </row>
    <row r="296" spans="1:13">
      <c r="A296" s="174" t="s">
        <v>421</v>
      </c>
      <c r="B296" s="173">
        <f>IFERROR(B295/B285,0)</f>
        <v>1.6539861065167053E-3</v>
      </c>
      <c r="C296" s="173">
        <f>IFERROR(C295/C285,0)</f>
        <v>4.9822064056939501E-3</v>
      </c>
      <c r="D296" s="173">
        <f t="shared" ref="D296:M296" si="69">IFERROR(D295/D285,0)</f>
        <v>1.7640573318632856E-2</v>
      </c>
      <c r="E296" s="173">
        <f t="shared" si="69"/>
        <v>1.4335775724753107E-2</v>
      </c>
      <c r="F296" s="173">
        <f t="shared" si="69"/>
        <v>1.1566424322538004E-2</v>
      </c>
      <c r="G296" s="173">
        <f t="shared" si="69"/>
        <v>9.0361445783132526E-3</v>
      </c>
      <c r="H296" s="173">
        <f t="shared" si="69"/>
        <v>1.1118170266836086E-2</v>
      </c>
      <c r="I296" s="173">
        <f t="shared" si="69"/>
        <v>1.336728198599618E-2</v>
      </c>
      <c r="J296" s="173">
        <f t="shared" si="69"/>
        <v>2.4146812620734062E-2</v>
      </c>
      <c r="K296" s="173">
        <f t="shared" si="69"/>
        <v>2.8967254408060455E-2</v>
      </c>
      <c r="L296" s="173">
        <f t="shared" si="69"/>
        <v>1.3888888888888888E-2</v>
      </c>
      <c r="M296" s="173">
        <f t="shared" si="69"/>
        <v>0</v>
      </c>
    </row>
    <row r="297" spans="1:13">
      <c r="A297" s="754" t="s">
        <v>1</v>
      </c>
      <c r="B297" s="129">
        <v>11</v>
      </c>
      <c r="C297" s="129">
        <v>13</v>
      </c>
      <c r="D297" s="129">
        <v>20</v>
      </c>
      <c r="E297" s="147">
        <v>34</v>
      </c>
      <c r="F297" s="129">
        <v>23</v>
      </c>
      <c r="G297" s="129">
        <v>17</v>
      </c>
      <c r="H297" s="147">
        <v>31</v>
      </c>
      <c r="I297" s="147">
        <v>30</v>
      </c>
      <c r="J297" s="147">
        <v>33</v>
      </c>
      <c r="K297" s="147">
        <v>29</v>
      </c>
      <c r="L297" s="129">
        <v>21</v>
      </c>
      <c r="M297" s="147"/>
    </row>
    <row r="298" spans="1:13">
      <c r="A298" s="174" t="s">
        <v>422</v>
      </c>
      <c r="B298" s="173">
        <f>IFERROR(B297/B285,0)</f>
        <v>3.6387694343367515E-3</v>
      </c>
      <c r="C298" s="173">
        <f>IFERROR(C297/C285,0)</f>
        <v>4.6263345195729534E-3</v>
      </c>
      <c r="D298" s="173">
        <f t="shared" ref="D298:M298" si="70">IFERROR(D297/D285,0)</f>
        <v>7.3502388827636897E-3</v>
      </c>
      <c r="E298" s="173">
        <f t="shared" si="70"/>
        <v>1.083147499203568E-2</v>
      </c>
      <c r="F298" s="173">
        <f t="shared" si="70"/>
        <v>7.6007931262392602E-3</v>
      </c>
      <c r="G298" s="173">
        <f t="shared" si="70"/>
        <v>5.6894243641231589E-3</v>
      </c>
      <c r="H298" s="173">
        <f t="shared" si="70"/>
        <v>9.8475222363405331E-3</v>
      </c>
      <c r="I298" s="173">
        <f t="shared" si="70"/>
        <v>9.5480585614258432E-3</v>
      </c>
      <c r="J298" s="173">
        <f t="shared" si="70"/>
        <v>1.0624597553122988E-2</v>
      </c>
      <c r="K298" s="173">
        <f t="shared" si="70"/>
        <v>9.130982367758186E-3</v>
      </c>
      <c r="L298" s="173">
        <f t="shared" si="70"/>
        <v>6.9444444444444441E-3</v>
      </c>
      <c r="M298" s="173">
        <f t="shared" si="70"/>
        <v>0</v>
      </c>
    </row>
    <row r="299" spans="1:13">
      <c r="A299" s="754" t="s">
        <v>171</v>
      </c>
      <c r="B299" s="130">
        <v>0.6</v>
      </c>
      <c r="C299" s="130">
        <v>0.53300000000000003</v>
      </c>
      <c r="D299" s="130">
        <v>0.55600000000000005</v>
      </c>
      <c r="E299" s="130">
        <v>0.52800000000000002</v>
      </c>
      <c r="F299" s="130">
        <v>0.84199999999999997</v>
      </c>
      <c r="G299" s="130">
        <v>0.57699999999999996</v>
      </c>
      <c r="H299" s="130">
        <v>0.65900000000000003</v>
      </c>
      <c r="I299" s="130">
        <v>0.70599999999999996</v>
      </c>
      <c r="J299" s="75">
        <v>0.53100000000000003</v>
      </c>
      <c r="K299" s="75">
        <v>0.54800000000000004</v>
      </c>
      <c r="L299" s="2671"/>
      <c r="M299" s="435"/>
    </row>
    <row r="300" spans="1:13">
      <c r="A300" s="754" t="s">
        <v>288</v>
      </c>
      <c r="B300" s="1122"/>
      <c r="C300" s="1122"/>
      <c r="D300" s="1122"/>
      <c r="E300" s="1122"/>
      <c r="F300" s="1122"/>
      <c r="G300" s="1122"/>
      <c r="H300" s="1122"/>
      <c r="I300" s="1122"/>
      <c r="J300" s="1524"/>
      <c r="K300" s="1524"/>
      <c r="L300" s="1524"/>
      <c r="M300" s="1525"/>
    </row>
    <row r="301" spans="1:13">
      <c r="A301" s="754" t="s">
        <v>289</v>
      </c>
      <c r="B301" s="1122"/>
      <c r="C301" s="1122"/>
      <c r="D301" s="1122"/>
      <c r="E301" s="1122"/>
      <c r="F301" s="1122"/>
      <c r="G301" s="1122"/>
      <c r="H301" s="1122"/>
      <c r="I301" s="1122"/>
      <c r="J301" s="1524"/>
      <c r="K301" s="1524"/>
      <c r="L301" s="1524"/>
      <c r="M301" s="1525"/>
    </row>
    <row r="302" spans="1:13">
      <c r="A302" s="754" t="s">
        <v>290</v>
      </c>
      <c r="B302" s="2540">
        <v>44</v>
      </c>
      <c r="C302" s="2540">
        <v>335</v>
      </c>
      <c r="D302" s="1526"/>
      <c r="E302" s="1526"/>
      <c r="F302" s="1526"/>
      <c r="G302" s="1526"/>
      <c r="H302" s="1526"/>
      <c r="I302" s="1526"/>
      <c r="J302" s="1527"/>
      <c r="K302" s="1527"/>
      <c r="L302" s="1527"/>
      <c r="M302" s="1528"/>
    </row>
    <row r="303" spans="1:13">
      <c r="A303" s="2986" t="s">
        <v>500</v>
      </c>
      <c r="B303" s="1121"/>
      <c r="C303" s="1121"/>
      <c r="D303" s="1121"/>
      <c r="E303" s="1121"/>
      <c r="F303" s="1121"/>
      <c r="G303" s="1121"/>
      <c r="H303" s="1121"/>
      <c r="I303" s="1121"/>
      <c r="J303" s="1121"/>
      <c r="K303" s="1121"/>
      <c r="L303" s="1121"/>
      <c r="M303" s="1529"/>
    </row>
    <row r="304" spans="1:13" ht="16.5">
      <c r="A304" s="2987"/>
      <c r="B304" s="1118"/>
      <c r="C304" s="1118"/>
      <c r="D304" s="1118"/>
      <c r="E304" s="1118"/>
      <c r="F304" s="1118"/>
      <c r="G304" s="1118"/>
      <c r="H304" s="1118"/>
      <c r="I304" s="1118"/>
      <c r="J304" s="1118"/>
      <c r="K304" s="1118"/>
      <c r="L304" s="1118"/>
      <c r="M304" s="1118"/>
    </row>
    <row r="305" spans="1:13">
      <c r="A305" s="23" t="s">
        <v>530</v>
      </c>
      <c r="B305" s="147">
        <v>799</v>
      </c>
      <c r="C305" s="129">
        <v>853</v>
      </c>
      <c r="D305" s="129">
        <v>906</v>
      </c>
      <c r="E305" s="147">
        <v>830</v>
      </c>
      <c r="F305" s="129">
        <v>889</v>
      </c>
      <c r="G305" s="129">
        <v>917</v>
      </c>
      <c r="H305" s="147">
        <v>923</v>
      </c>
      <c r="I305" s="147">
        <v>956</v>
      </c>
      <c r="J305" s="147">
        <v>974</v>
      </c>
      <c r="K305" s="147">
        <v>1050</v>
      </c>
      <c r="L305" s="129">
        <v>941</v>
      </c>
      <c r="M305" s="147"/>
    </row>
    <row r="306" spans="1:13">
      <c r="A306" s="23" t="s">
        <v>418</v>
      </c>
      <c r="B306" s="85">
        <v>17</v>
      </c>
      <c r="C306" s="148">
        <v>7</v>
      </c>
      <c r="D306" s="148">
        <v>8</v>
      </c>
      <c r="E306" s="85">
        <v>14</v>
      </c>
      <c r="F306" s="148">
        <v>9</v>
      </c>
      <c r="G306" s="148">
        <v>9</v>
      </c>
      <c r="H306" s="85">
        <v>8</v>
      </c>
      <c r="I306" s="85">
        <v>8</v>
      </c>
      <c r="J306" s="85">
        <v>8</v>
      </c>
      <c r="K306" s="85">
        <v>11</v>
      </c>
      <c r="L306" s="148">
        <v>10</v>
      </c>
      <c r="M306" s="85"/>
    </row>
    <row r="307" spans="1:13">
      <c r="A307" s="23" t="s">
        <v>160</v>
      </c>
      <c r="B307" s="1104"/>
      <c r="C307" s="1104"/>
      <c r="D307" s="1104"/>
      <c r="E307" s="1104"/>
      <c r="F307" s="1104"/>
      <c r="G307" s="1104"/>
      <c r="H307" s="1104"/>
      <c r="I307" s="1104"/>
      <c r="J307" s="1120"/>
      <c r="K307" s="1120"/>
      <c r="L307" s="1104"/>
      <c r="M307" s="1104"/>
    </row>
    <row r="308" spans="1:13">
      <c r="A308" s="171" t="s">
        <v>161</v>
      </c>
      <c r="B308" s="1121"/>
      <c r="C308" s="1121"/>
      <c r="D308" s="1121"/>
      <c r="E308" s="1121"/>
      <c r="F308" s="1121"/>
      <c r="G308" s="1121"/>
      <c r="H308" s="1121"/>
      <c r="I308" s="1121"/>
      <c r="J308" s="1121"/>
      <c r="K308" s="1121"/>
      <c r="L308" s="1121"/>
      <c r="M308" s="1121"/>
    </row>
    <row r="309" spans="1:13">
      <c r="A309" s="23" t="s">
        <v>622</v>
      </c>
      <c r="B309" s="129">
        <v>101</v>
      </c>
      <c r="C309" s="129">
        <v>127</v>
      </c>
      <c r="D309" s="129">
        <v>115</v>
      </c>
      <c r="E309" s="147">
        <v>89</v>
      </c>
      <c r="F309" s="129">
        <v>111</v>
      </c>
      <c r="G309" s="129">
        <v>126</v>
      </c>
      <c r="H309" s="147">
        <v>128</v>
      </c>
      <c r="I309" s="147">
        <v>91</v>
      </c>
      <c r="J309" s="147">
        <v>84</v>
      </c>
      <c r="K309" s="147">
        <v>118</v>
      </c>
      <c r="L309" s="129">
        <v>110</v>
      </c>
      <c r="M309" s="147"/>
    </row>
    <row r="310" spans="1:13" s="2" customFormat="1">
      <c r="A310" s="171" t="s">
        <v>540</v>
      </c>
      <c r="B310" s="173">
        <f>IFERROR(B309/B305,0)</f>
        <v>0.12640801001251564</v>
      </c>
      <c r="C310" s="173">
        <f>IFERROR(C309/C305,0)</f>
        <v>0.1488862837045721</v>
      </c>
      <c r="D310" s="173">
        <f t="shared" ref="D310:M310" si="71">IFERROR(D309/D305,0)</f>
        <v>0.12693156732891833</v>
      </c>
      <c r="E310" s="173">
        <f t="shared" si="71"/>
        <v>0.10722891566265061</v>
      </c>
      <c r="F310" s="173">
        <f t="shared" si="71"/>
        <v>0.12485939257592801</v>
      </c>
      <c r="G310" s="173">
        <f t="shared" si="71"/>
        <v>0.13740458015267176</v>
      </c>
      <c r="H310" s="173">
        <f t="shared" si="71"/>
        <v>0.13867822318526543</v>
      </c>
      <c r="I310" s="173">
        <f t="shared" si="71"/>
        <v>9.518828451882845E-2</v>
      </c>
      <c r="J310" s="173">
        <f t="shared" si="71"/>
        <v>8.6242299794661192E-2</v>
      </c>
      <c r="K310" s="173">
        <f t="shared" si="71"/>
        <v>0.11238095238095239</v>
      </c>
      <c r="L310" s="173">
        <f t="shared" si="71"/>
        <v>0.11689691817215728</v>
      </c>
      <c r="M310" s="173">
        <f t="shared" si="71"/>
        <v>0</v>
      </c>
    </row>
    <row r="311" spans="1:13" s="2" customFormat="1">
      <c r="A311" s="23" t="s">
        <v>538</v>
      </c>
      <c r="B311" s="148"/>
      <c r="C311" s="148"/>
      <c r="D311" s="148"/>
      <c r="E311" s="85"/>
      <c r="F311" s="148"/>
      <c r="G311" s="148"/>
      <c r="H311" s="85"/>
      <c r="I311" s="85"/>
      <c r="J311" s="85"/>
      <c r="K311" s="85"/>
      <c r="L311" s="148"/>
      <c r="M311" s="85"/>
    </row>
    <row r="312" spans="1:13" s="2" customFormat="1">
      <c r="A312" s="171" t="s">
        <v>619</v>
      </c>
      <c r="B312" s="173">
        <f>IFERROR(B313/B305,0)</f>
        <v>0.87359198998748433</v>
      </c>
      <c r="C312" s="173">
        <f>IFERROR(C313/C305,0)</f>
        <v>0.85111371629542787</v>
      </c>
      <c r="D312" s="173">
        <f t="shared" ref="D312:M312" si="72">IFERROR(D313/D305,0)</f>
        <v>0.8730684326710817</v>
      </c>
      <c r="E312" s="173">
        <f t="shared" si="72"/>
        <v>0.89277108433734942</v>
      </c>
      <c r="F312" s="173">
        <f t="shared" si="72"/>
        <v>0.87514060742407196</v>
      </c>
      <c r="G312" s="173">
        <f t="shared" si="72"/>
        <v>0.86259541984732824</v>
      </c>
      <c r="H312" s="173">
        <f t="shared" si="72"/>
        <v>0.86132177681473454</v>
      </c>
      <c r="I312" s="173">
        <f t="shared" si="72"/>
        <v>0.90481171548117156</v>
      </c>
      <c r="J312" s="173">
        <f t="shared" si="72"/>
        <v>0.91375770020533886</v>
      </c>
      <c r="K312" s="173">
        <f t="shared" si="72"/>
        <v>0.88761904761904764</v>
      </c>
      <c r="L312" s="173">
        <f t="shared" si="72"/>
        <v>0.8831030818278427</v>
      </c>
      <c r="M312" s="173">
        <f t="shared" si="72"/>
        <v>0</v>
      </c>
    </row>
    <row r="313" spans="1:13" s="2" customFormat="1">
      <c r="A313" s="171" t="s">
        <v>541</v>
      </c>
      <c r="B313" s="750">
        <v>698</v>
      </c>
      <c r="C313" s="750">
        <f t="shared" ref="C313:M313" si="73">C305-C309</f>
        <v>726</v>
      </c>
      <c r="D313" s="750">
        <f t="shared" si="73"/>
        <v>791</v>
      </c>
      <c r="E313" s="750">
        <f t="shared" si="73"/>
        <v>741</v>
      </c>
      <c r="F313" s="750">
        <f t="shared" si="73"/>
        <v>778</v>
      </c>
      <c r="G313" s="750">
        <f t="shared" si="73"/>
        <v>791</v>
      </c>
      <c r="H313" s="750">
        <f t="shared" si="73"/>
        <v>795</v>
      </c>
      <c r="I313" s="750">
        <f t="shared" si="73"/>
        <v>865</v>
      </c>
      <c r="J313" s="750">
        <f t="shared" si="73"/>
        <v>890</v>
      </c>
      <c r="K313" s="750">
        <f t="shared" si="73"/>
        <v>932</v>
      </c>
      <c r="L313" s="750">
        <f t="shared" si="73"/>
        <v>831</v>
      </c>
      <c r="M313" s="750">
        <f t="shared" si="73"/>
        <v>0</v>
      </c>
    </row>
    <row r="314" spans="1:13" s="2" customFormat="1">
      <c r="A314" s="23" t="s">
        <v>637</v>
      </c>
      <c r="B314" s="148">
        <v>217</v>
      </c>
      <c r="C314" s="148">
        <v>223</v>
      </c>
      <c r="D314" s="148">
        <v>503</v>
      </c>
      <c r="E314" s="85">
        <v>221</v>
      </c>
      <c r="F314" s="148">
        <v>206</v>
      </c>
      <c r="G314" s="148">
        <v>205</v>
      </c>
      <c r="H314" s="85">
        <v>158</v>
      </c>
      <c r="I314" s="85">
        <v>154</v>
      </c>
      <c r="J314" s="85">
        <v>150</v>
      </c>
      <c r="K314" s="85">
        <v>155</v>
      </c>
      <c r="L314" s="148">
        <v>151</v>
      </c>
      <c r="M314" s="85"/>
    </row>
    <row r="315" spans="1:13" s="2" customFormat="1">
      <c r="A315" s="23" t="s">
        <v>383</v>
      </c>
      <c r="B315" s="129">
        <v>0</v>
      </c>
      <c r="C315" s="129">
        <v>0</v>
      </c>
      <c r="D315" s="129">
        <v>0</v>
      </c>
      <c r="E315" s="147">
        <v>0</v>
      </c>
      <c r="F315" s="129">
        <v>0</v>
      </c>
      <c r="G315" s="129">
        <v>0</v>
      </c>
      <c r="H315" s="147">
        <v>0</v>
      </c>
      <c r="I315" s="147">
        <v>0</v>
      </c>
      <c r="J315" s="147">
        <v>0</v>
      </c>
      <c r="K315" s="147">
        <v>1</v>
      </c>
      <c r="L315" s="129">
        <v>0</v>
      </c>
      <c r="M315" s="129"/>
    </row>
    <row r="316" spans="1:13" s="2" customFormat="1">
      <c r="A316" s="174" t="s">
        <v>421</v>
      </c>
      <c r="B316" s="173">
        <f>IFERROR(B315/B305,0)</f>
        <v>0</v>
      </c>
      <c r="C316" s="173">
        <f>IFERROR(C315/C305,0)</f>
        <v>0</v>
      </c>
      <c r="D316" s="173">
        <f t="shared" ref="D316:M316" si="74">IFERROR(D315/D305,0)</f>
        <v>0</v>
      </c>
      <c r="E316" s="173">
        <f t="shared" si="74"/>
        <v>0</v>
      </c>
      <c r="F316" s="173">
        <f t="shared" si="74"/>
        <v>0</v>
      </c>
      <c r="G316" s="173">
        <f t="shared" si="74"/>
        <v>0</v>
      </c>
      <c r="H316" s="173">
        <f t="shared" si="74"/>
        <v>0</v>
      </c>
      <c r="I316" s="173">
        <f t="shared" si="74"/>
        <v>0</v>
      </c>
      <c r="J316" s="173">
        <f t="shared" si="74"/>
        <v>0</v>
      </c>
      <c r="K316" s="173">
        <f t="shared" si="74"/>
        <v>9.5238095238095238E-4</v>
      </c>
      <c r="L316" s="173">
        <f t="shared" si="74"/>
        <v>0</v>
      </c>
      <c r="M316" s="173">
        <f t="shared" si="74"/>
        <v>0</v>
      </c>
    </row>
    <row r="317" spans="1:13" s="2" customFormat="1">
      <c r="A317" s="754" t="s">
        <v>1</v>
      </c>
      <c r="B317" s="147">
        <v>1</v>
      </c>
      <c r="C317" s="129">
        <v>0</v>
      </c>
      <c r="D317" s="129">
        <v>0</v>
      </c>
      <c r="E317" s="147">
        <v>0</v>
      </c>
      <c r="F317" s="129">
        <v>0</v>
      </c>
      <c r="G317" s="129">
        <v>0</v>
      </c>
      <c r="H317" s="147">
        <v>0</v>
      </c>
      <c r="I317" s="147">
        <v>0</v>
      </c>
      <c r="J317" s="147">
        <v>0</v>
      </c>
      <c r="K317" s="147">
        <v>0</v>
      </c>
      <c r="L317" s="129">
        <v>0</v>
      </c>
      <c r="M317" s="147"/>
    </row>
    <row r="318" spans="1:13" s="2" customFormat="1">
      <c r="A318" s="174" t="s">
        <v>422</v>
      </c>
      <c r="B318" s="173">
        <f>IFERROR(B317/B305,0)</f>
        <v>1.2515644555694619E-3</v>
      </c>
      <c r="C318" s="173">
        <f>IFERROR(C317/C305,0)</f>
        <v>0</v>
      </c>
      <c r="D318" s="173">
        <f t="shared" ref="D318:M318" si="75">IFERROR(D317/D305,0)</f>
        <v>0</v>
      </c>
      <c r="E318" s="173">
        <f t="shared" si="75"/>
        <v>0</v>
      </c>
      <c r="F318" s="173">
        <f t="shared" si="75"/>
        <v>0</v>
      </c>
      <c r="G318" s="173">
        <f t="shared" si="75"/>
        <v>0</v>
      </c>
      <c r="H318" s="173">
        <f t="shared" si="75"/>
        <v>0</v>
      </c>
      <c r="I318" s="173">
        <f t="shared" si="75"/>
        <v>0</v>
      </c>
      <c r="J318" s="173">
        <f t="shared" si="75"/>
        <v>0</v>
      </c>
      <c r="K318" s="173">
        <f t="shared" si="75"/>
        <v>0</v>
      </c>
      <c r="L318" s="173">
        <f t="shared" si="75"/>
        <v>0</v>
      </c>
      <c r="M318" s="173">
        <f t="shared" si="75"/>
        <v>0</v>
      </c>
    </row>
    <row r="319" spans="1:13" s="2" customFormat="1">
      <c r="A319" s="754" t="s">
        <v>171</v>
      </c>
      <c r="B319" s="130">
        <v>1</v>
      </c>
      <c r="C319" s="130">
        <v>0.47099999999999997</v>
      </c>
      <c r="D319" s="130">
        <v>0.6</v>
      </c>
      <c r="E319" s="130">
        <v>0.69199999999999995</v>
      </c>
      <c r="F319" s="130">
        <v>0.876</v>
      </c>
      <c r="G319" s="130">
        <v>0.83299999999999996</v>
      </c>
      <c r="H319" s="130">
        <v>0.61799999999999999</v>
      </c>
      <c r="I319" s="130">
        <v>0.61899999999999999</v>
      </c>
      <c r="J319" s="75">
        <v>0.68799999999999994</v>
      </c>
      <c r="K319" s="75">
        <v>0.629</v>
      </c>
      <c r="L319" s="2671"/>
      <c r="M319" s="435"/>
    </row>
    <row r="320" spans="1:13" s="2" customFormat="1">
      <c r="A320" s="754" t="s">
        <v>288</v>
      </c>
      <c r="B320" s="1122"/>
      <c r="C320" s="1122"/>
      <c r="D320" s="1122"/>
      <c r="E320" s="1122"/>
      <c r="F320" s="1122"/>
      <c r="G320" s="1122"/>
      <c r="H320" s="1122"/>
      <c r="I320" s="1122"/>
      <c r="J320" s="1524"/>
      <c r="K320" s="1524"/>
      <c r="L320" s="1524"/>
      <c r="M320" s="1525"/>
    </row>
    <row r="321" spans="1:13" s="2" customFormat="1">
      <c r="A321" s="754" t="s">
        <v>289</v>
      </c>
      <c r="B321" s="1122"/>
      <c r="C321" s="1122"/>
      <c r="D321" s="1122"/>
      <c r="E321" s="1122"/>
      <c r="F321" s="1122"/>
      <c r="G321" s="1122"/>
      <c r="H321" s="1122"/>
      <c r="I321" s="1122"/>
      <c r="J321" s="1524"/>
      <c r="K321" s="1524"/>
      <c r="L321" s="1524"/>
      <c r="M321" s="1525"/>
    </row>
    <row r="322" spans="1:13" s="2" customFormat="1">
      <c r="A322" s="754" t="s">
        <v>290</v>
      </c>
      <c r="B322" s="1526"/>
      <c r="C322" s="1526"/>
      <c r="D322" s="1526"/>
      <c r="E322" s="1526"/>
      <c r="F322" s="1526"/>
      <c r="G322" s="1526"/>
      <c r="H322" s="1526"/>
      <c r="I322" s="1526"/>
      <c r="J322" s="1527"/>
      <c r="K322" s="1527"/>
      <c r="L322" s="1527"/>
      <c r="M322" s="1528"/>
    </row>
    <row r="323" spans="1:13" s="2" customFormat="1">
      <c r="A323" s="2986" t="s">
        <v>376</v>
      </c>
      <c r="B323" s="1121"/>
      <c r="C323" s="1121"/>
      <c r="D323" s="1121"/>
      <c r="E323" s="1121"/>
      <c r="F323" s="1121"/>
      <c r="G323" s="1121"/>
      <c r="H323" s="1121"/>
      <c r="I323" s="1121"/>
      <c r="J323" s="1121"/>
      <c r="K323" s="1121"/>
      <c r="L323" s="1121"/>
      <c r="M323" s="1529"/>
    </row>
    <row r="324" spans="1:13" s="2" customFormat="1" ht="16.5">
      <c r="A324" s="2987"/>
      <c r="B324" s="1118"/>
      <c r="C324" s="1118"/>
      <c r="D324" s="1118"/>
      <c r="E324" s="1118"/>
      <c r="F324" s="1118"/>
      <c r="G324" s="1118"/>
      <c r="H324" s="1118"/>
      <c r="I324" s="1118"/>
      <c r="J324" s="1118"/>
      <c r="K324" s="1118"/>
      <c r="L324" s="1118"/>
      <c r="M324" s="1118"/>
    </row>
    <row r="325" spans="1:13" s="2" customFormat="1">
      <c r="A325" s="23" t="s">
        <v>530</v>
      </c>
      <c r="B325" s="147">
        <v>5181</v>
      </c>
      <c r="C325" s="129">
        <v>5257</v>
      </c>
      <c r="D325" s="129">
        <v>5580</v>
      </c>
      <c r="E325" s="147">
        <v>5108</v>
      </c>
      <c r="F325" s="129">
        <v>4961</v>
      </c>
      <c r="G325" s="129">
        <v>4583</v>
      </c>
      <c r="H325" s="147">
        <v>4685</v>
      </c>
      <c r="I325" s="147">
        <v>4740</v>
      </c>
      <c r="J325" s="147">
        <v>4478</v>
      </c>
      <c r="K325" s="147">
        <v>4324</v>
      </c>
      <c r="L325" s="129">
        <v>4489</v>
      </c>
      <c r="M325" s="147">
        <v>4619</v>
      </c>
    </row>
    <row r="326" spans="1:13" s="2" customFormat="1">
      <c r="A326" s="23" t="s">
        <v>418</v>
      </c>
      <c r="B326" s="85">
        <v>8</v>
      </c>
      <c r="C326" s="148">
        <v>13</v>
      </c>
      <c r="D326" s="148">
        <v>13</v>
      </c>
      <c r="E326" s="85">
        <v>12</v>
      </c>
      <c r="F326" s="148">
        <v>12</v>
      </c>
      <c r="G326" s="148">
        <v>11</v>
      </c>
      <c r="H326" s="85">
        <v>11</v>
      </c>
      <c r="I326" s="85">
        <v>12</v>
      </c>
      <c r="J326" s="85">
        <v>10</v>
      </c>
      <c r="K326" s="85">
        <v>10</v>
      </c>
      <c r="L326" s="148">
        <v>13</v>
      </c>
      <c r="M326" s="85">
        <v>13</v>
      </c>
    </row>
    <row r="327" spans="1:13" s="2" customFormat="1">
      <c r="A327" s="23" t="s">
        <v>160</v>
      </c>
      <c r="B327" s="147">
        <v>50</v>
      </c>
      <c r="C327" s="129">
        <v>38</v>
      </c>
      <c r="D327" s="129">
        <v>66</v>
      </c>
      <c r="E327" s="147">
        <v>52</v>
      </c>
      <c r="F327" s="129">
        <v>50</v>
      </c>
      <c r="G327" s="129">
        <v>61</v>
      </c>
      <c r="H327" s="147">
        <v>42</v>
      </c>
      <c r="I327" s="147">
        <v>45</v>
      </c>
      <c r="J327" s="85">
        <v>47</v>
      </c>
      <c r="K327" s="85">
        <v>40</v>
      </c>
      <c r="L327" s="129">
        <v>48</v>
      </c>
      <c r="M327" s="147">
        <v>48</v>
      </c>
    </row>
    <row r="328" spans="1:13" s="2" customFormat="1">
      <c r="A328" s="171" t="s">
        <v>161</v>
      </c>
      <c r="B328" s="173">
        <f>B327/B325</f>
        <v>9.6506465933217534E-3</v>
      </c>
      <c r="C328" s="173">
        <f>IFERROR(C327/C325,0)</f>
        <v>7.2284572950351914E-3</v>
      </c>
      <c r="D328" s="173">
        <f t="shared" ref="D328:M328" si="76">IFERROR(D327/D325,0)</f>
        <v>1.1827956989247311E-2</v>
      </c>
      <c r="E328" s="173">
        <f t="shared" si="76"/>
        <v>1.0180109631949883E-2</v>
      </c>
      <c r="F328" s="173">
        <f t="shared" si="76"/>
        <v>1.0078613182826043E-2</v>
      </c>
      <c r="G328" s="173">
        <f t="shared" si="76"/>
        <v>1.3310058913375519E-2</v>
      </c>
      <c r="H328" s="173">
        <f t="shared" si="76"/>
        <v>8.9647812166488792E-3</v>
      </c>
      <c r="I328" s="173">
        <f t="shared" si="76"/>
        <v>9.4936708860759497E-3</v>
      </c>
      <c r="J328" s="173">
        <f t="shared" si="76"/>
        <v>1.0495757034390353E-2</v>
      </c>
      <c r="K328" s="173">
        <f t="shared" si="76"/>
        <v>9.2506938020351526E-3</v>
      </c>
      <c r="L328" s="173">
        <f t="shared" si="76"/>
        <v>1.0692804633548674E-2</v>
      </c>
      <c r="M328" s="173">
        <f t="shared" si="76"/>
        <v>1.0391859709893916E-2</v>
      </c>
    </row>
    <row r="329" spans="1:13" s="2" customFormat="1">
      <c r="A329" s="23" t="s">
        <v>622</v>
      </c>
      <c r="B329" s="147">
        <v>1401</v>
      </c>
      <c r="C329" s="129">
        <v>1270</v>
      </c>
      <c r="D329" s="129">
        <v>1418</v>
      </c>
      <c r="E329" s="147">
        <v>1383</v>
      </c>
      <c r="F329" s="129">
        <v>1402</v>
      </c>
      <c r="G329" s="129">
        <v>1377</v>
      </c>
      <c r="H329" s="147">
        <v>1484</v>
      </c>
      <c r="I329" s="147">
        <v>1564</v>
      </c>
      <c r="J329" s="147">
        <v>1339</v>
      </c>
      <c r="K329" s="147">
        <v>1401</v>
      </c>
      <c r="L329" s="129">
        <v>1400</v>
      </c>
      <c r="M329" s="147">
        <v>1449</v>
      </c>
    </row>
    <row r="330" spans="1:13" s="2" customFormat="1">
      <c r="A330" s="171" t="s">
        <v>532</v>
      </c>
      <c r="B330" s="173">
        <f>B329/B325</f>
        <v>0.27041111754487551</v>
      </c>
      <c r="C330" s="173">
        <f>IFERROR(C329/C325,0)</f>
        <v>0.24158265170249191</v>
      </c>
      <c r="D330" s="173">
        <f t="shared" ref="D330:M330" si="77">IFERROR(D329/D325,0)</f>
        <v>0.25412186379928314</v>
      </c>
      <c r="E330" s="173">
        <f t="shared" si="77"/>
        <v>0.27075176194205169</v>
      </c>
      <c r="F330" s="173">
        <f t="shared" si="77"/>
        <v>0.28260431364644223</v>
      </c>
      <c r="G330" s="173">
        <f t="shared" si="77"/>
        <v>0.30045821514291948</v>
      </c>
      <c r="H330" s="173">
        <f t="shared" si="77"/>
        <v>0.31675560298826039</v>
      </c>
      <c r="I330" s="173">
        <f t="shared" si="77"/>
        <v>0.329957805907173</v>
      </c>
      <c r="J330" s="173">
        <f t="shared" si="77"/>
        <v>0.29901741849039748</v>
      </c>
      <c r="K330" s="173">
        <f t="shared" si="77"/>
        <v>0.32400555041628121</v>
      </c>
      <c r="L330" s="173">
        <f t="shared" si="77"/>
        <v>0.311873468478503</v>
      </c>
      <c r="M330" s="173">
        <f t="shared" si="77"/>
        <v>0.3137042649924226</v>
      </c>
    </row>
    <row r="331" spans="1:13" s="2" customFormat="1">
      <c r="A331" s="23" t="s">
        <v>538</v>
      </c>
      <c r="B331" s="85">
        <v>482</v>
      </c>
      <c r="C331" s="148">
        <v>553</v>
      </c>
      <c r="D331" s="148">
        <v>467</v>
      </c>
      <c r="E331" s="85">
        <v>473</v>
      </c>
      <c r="F331" s="148">
        <v>480</v>
      </c>
      <c r="G331" s="148">
        <v>505</v>
      </c>
      <c r="H331" s="85">
        <v>405</v>
      </c>
      <c r="I331" s="85">
        <v>416</v>
      </c>
      <c r="J331" s="85">
        <v>469</v>
      </c>
      <c r="K331" s="85">
        <v>453</v>
      </c>
      <c r="L331" s="148">
        <v>441</v>
      </c>
      <c r="M331" s="85">
        <v>437</v>
      </c>
    </row>
    <row r="332" spans="1:13" s="2" customFormat="1">
      <c r="A332" s="171" t="s">
        <v>528</v>
      </c>
      <c r="B332" s="172">
        <f>B333/B325</f>
        <v>0.72958888245512454</v>
      </c>
      <c r="C332" s="173">
        <f>IFERROR(C333/C325,0)</f>
        <v>0.75841734829750806</v>
      </c>
      <c r="D332" s="173">
        <f t="shared" ref="D332:M332" si="78">IFERROR(D333/D325,0)</f>
        <v>0.74587813620071686</v>
      </c>
      <c r="E332" s="173">
        <f t="shared" si="78"/>
        <v>0.72924823805794836</v>
      </c>
      <c r="F332" s="173">
        <f t="shared" si="78"/>
        <v>0.71739568635355777</v>
      </c>
      <c r="G332" s="173">
        <f t="shared" si="78"/>
        <v>0.69954178485708052</v>
      </c>
      <c r="H332" s="173">
        <f t="shared" si="78"/>
        <v>0.6458911419423693</v>
      </c>
      <c r="I332" s="173">
        <f t="shared" si="78"/>
        <v>0.61751054852320675</v>
      </c>
      <c r="J332" s="173">
        <f t="shared" si="78"/>
        <v>0.60897722197409554</v>
      </c>
      <c r="K332" s="173">
        <f t="shared" si="78"/>
        <v>0.61840888066604993</v>
      </c>
      <c r="L332" s="173">
        <f t="shared" si="78"/>
        <v>0.6373357095121408</v>
      </c>
      <c r="M332" s="173">
        <f t="shared" si="78"/>
        <v>0.63541892184455506</v>
      </c>
    </row>
    <row r="333" spans="1:13" s="2" customFormat="1">
      <c r="A333" s="171" t="s">
        <v>39</v>
      </c>
      <c r="B333" s="750">
        <f t="shared" ref="B333:G333" si="79">B325-B329</f>
        <v>3780</v>
      </c>
      <c r="C333" s="750">
        <f t="shared" si="79"/>
        <v>3987</v>
      </c>
      <c r="D333" s="750">
        <f t="shared" si="79"/>
        <v>4162</v>
      </c>
      <c r="E333" s="750">
        <f t="shared" si="79"/>
        <v>3725</v>
      </c>
      <c r="F333" s="750">
        <f t="shared" si="79"/>
        <v>3559</v>
      </c>
      <c r="G333" s="750">
        <f t="shared" si="79"/>
        <v>3206</v>
      </c>
      <c r="H333" s="750">
        <v>3026</v>
      </c>
      <c r="I333" s="750">
        <v>2927</v>
      </c>
      <c r="J333" s="750">
        <v>2727</v>
      </c>
      <c r="K333" s="750">
        <v>2674</v>
      </c>
      <c r="L333" s="750">
        <v>2861</v>
      </c>
      <c r="M333" s="750">
        <v>2935</v>
      </c>
    </row>
    <row r="334" spans="1:13" s="2" customFormat="1">
      <c r="A334" s="23" t="s">
        <v>637</v>
      </c>
      <c r="B334" s="85">
        <v>168</v>
      </c>
      <c r="C334" s="148">
        <v>175</v>
      </c>
      <c r="D334" s="148">
        <v>182</v>
      </c>
      <c r="E334" s="85">
        <v>191</v>
      </c>
      <c r="F334" s="148">
        <v>190</v>
      </c>
      <c r="G334" s="148">
        <v>174</v>
      </c>
      <c r="H334" s="85">
        <v>179</v>
      </c>
      <c r="I334" s="85">
        <v>187</v>
      </c>
      <c r="J334" s="85">
        <v>186</v>
      </c>
      <c r="K334" s="85">
        <v>174</v>
      </c>
      <c r="L334" s="148">
        <v>171</v>
      </c>
      <c r="M334" s="85">
        <v>170</v>
      </c>
    </row>
    <row r="335" spans="1:13" s="2" customFormat="1">
      <c r="A335" s="23" t="s">
        <v>383</v>
      </c>
      <c r="B335" s="147">
        <f>66+7</f>
        <v>73</v>
      </c>
      <c r="C335" s="129">
        <v>79</v>
      </c>
      <c r="D335" s="129">
        <v>33</v>
      </c>
      <c r="E335" s="147">
        <v>17</v>
      </c>
      <c r="F335" s="129">
        <v>9</v>
      </c>
      <c r="G335" s="129">
        <v>13</v>
      </c>
      <c r="H335" s="147">
        <v>29</v>
      </c>
      <c r="I335" s="147">
        <v>24</v>
      </c>
      <c r="J335" s="147">
        <v>15</v>
      </c>
      <c r="K335" s="147">
        <v>1</v>
      </c>
      <c r="L335" s="129">
        <v>13</v>
      </c>
      <c r="M335" s="129">
        <v>13</v>
      </c>
    </row>
    <row r="336" spans="1:13" s="2" customFormat="1">
      <c r="A336" s="174" t="s">
        <v>421</v>
      </c>
      <c r="B336" s="173">
        <f>B335/B325</f>
        <v>1.4089944026249759E-2</v>
      </c>
      <c r="C336" s="173">
        <f>IFERROR(C335/C325,0)</f>
        <v>1.5027582271257372E-2</v>
      </c>
      <c r="D336" s="173">
        <f t="shared" ref="D336:M336" si="80">IFERROR(D335/D325,0)</f>
        <v>5.9139784946236557E-3</v>
      </c>
      <c r="E336" s="173">
        <f t="shared" si="80"/>
        <v>3.3281127642913076E-3</v>
      </c>
      <c r="F336" s="173">
        <f t="shared" si="80"/>
        <v>1.8141503729086877E-3</v>
      </c>
      <c r="G336" s="173">
        <f t="shared" si="80"/>
        <v>2.8365699323587169E-3</v>
      </c>
      <c r="H336" s="173">
        <f t="shared" si="80"/>
        <v>6.1899679829242266E-3</v>
      </c>
      <c r="I336" s="173">
        <f t="shared" si="80"/>
        <v>5.0632911392405064E-3</v>
      </c>
      <c r="J336" s="173">
        <f t="shared" si="80"/>
        <v>3.3497096918267085E-3</v>
      </c>
      <c r="K336" s="173">
        <f t="shared" si="80"/>
        <v>2.3126734505087883E-4</v>
      </c>
      <c r="L336" s="173">
        <f t="shared" si="80"/>
        <v>2.8959679215860993E-3</v>
      </c>
      <c r="M336" s="173">
        <f t="shared" si="80"/>
        <v>2.8144620047629355E-3</v>
      </c>
    </row>
    <row r="337" spans="1:13" s="2" customFormat="1">
      <c r="A337" s="748" t="s">
        <v>1</v>
      </c>
      <c r="B337" s="147">
        <v>150</v>
      </c>
      <c r="C337" s="129">
        <v>234</v>
      </c>
      <c r="D337" s="129">
        <v>201</v>
      </c>
      <c r="E337" s="147">
        <v>190</v>
      </c>
      <c r="F337" s="129">
        <v>187</v>
      </c>
      <c r="G337" s="129">
        <v>146</v>
      </c>
      <c r="H337" s="147">
        <v>156</v>
      </c>
      <c r="I337" s="147">
        <v>145</v>
      </c>
      <c r="J337" s="147">
        <v>176</v>
      </c>
      <c r="K337" s="147">
        <v>112</v>
      </c>
      <c r="L337" s="129">
        <v>128</v>
      </c>
      <c r="M337" s="147">
        <v>129</v>
      </c>
    </row>
    <row r="338" spans="1:13" s="2" customFormat="1">
      <c r="A338" s="174" t="s">
        <v>422</v>
      </c>
      <c r="B338" s="173">
        <f>B337/B325</f>
        <v>2.8951939779965258E-2</v>
      </c>
      <c r="C338" s="173">
        <f>IFERROR(C337/C325,0)</f>
        <v>4.4512079132585126E-2</v>
      </c>
      <c r="D338" s="173">
        <f t="shared" ref="D338:M338" si="81">IFERROR(D337/D325,0)</f>
        <v>3.6021505376344083E-2</v>
      </c>
      <c r="E338" s="173">
        <f t="shared" si="81"/>
        <v>3.719655442443226E-2</v>
      </c>
      <c r="F338" s="173">
        <f t="shared" si="81"/>
        <v>3.7694013303769404E-2</v>
      </c>
      <c r="G338" s="173">
        <f t="shared" si="81"/>
        <v>3.1856862317259434E-2</v>
      </c>
      <c r="H338" s="173">
        <f t="shared" si="81"/>
        <v>3.3297758804695834E-2</v>
      </c>
      <c r="I338" s="173">
        <f t="shared" si="81"/>
        <v>3.059071729957806E-2</v>
      </c>
      <c r="J338" s="173">
        <f t="shared" si="81"/>
        <v>3.9303260384100043E-2</v>
      </c>
      <c r="K338" s="173">
        <f t="shared" si="81"/>
        <v>2.5901942645698426E-2</v>
      </c>
      <c r="L338" s="173">
        <f t="shared" si="81"/>
        <v>2.8514145689463134E-2</v>
      </c>
      <c r="M338" s="173">
        <f t="shared" si="81"/>
        <v>2.7928122970339902E-2</v>
      </c>
    </row>
    <row r="339" spans="1:13" s="2" customFormat="1">
      <c r="A339" s="748" t="s">
        <v>529</v>
      </c>
      <c r="B339" s="130">
        <v>0.52800000000000002</v>
      </c>
      <c r="C339" s="130">
        <v>0.54</v>
      </c>
      <c r="D339" s="130">
        <v>0.54400000000000004</v>
      </c>
      <c r="E339" s="130">
        <v>0.64100000000000001</v>
      </c>
      <c r="F339" s="130">
        <v>0.58099999999999996</v>
      </c>
      <c r="G339" s="130">
        <v>0.6</v>
      </c>
      <c r="H339" s="130">
        <v>0.59599999999999997</v>
      </c>
      <c r="I339" s="130">
        <v>0.72399999999999998</v>
      </c>
      <c r="J339" s="130">
        <v>0.69299999999999995</v>
      </c>
      <c r="K339" s="130">
        <v>0.61199999999999999</v>
      </c>
      <c r="L339" s="751">
        <v>0.59599999999999997</v>
      </c>
      <c r="M339" s="130"/>
    </row>
    <row r="340" spans="1:13" s="2" customFormat="1">
      <c r="A340" s="748" t="s">
        <v>288</v>
      </c>
      <c r="B340" s="1122"/>
      <c r="C340" s="1122"/>
      <c r="D340" s="1122"/>
      <c r="E340" s="1122"/>
      <c r="F340" s="1122"/>
      <c r="G340" s="1122"/>
      <c r="H340" s="1122"/>
      <c r="I340" s="1122"/>
      <c r="J340" s="1122"/>
      <c r="K340" s="1122"/>
      <c r="L340" s="1122"/>
      <c r="M340" s="1122"/>
    </row>
    <row r="341" spans="1:13" s="2" customFormat="1">
      <c r="A341" s="748" t="s">
        <v>289</v>
      </c>
      <c r="B341" s="1122"/>
      <c r="C341" s="1523"/>
      <c r="D341" s="1122"/>
      <c r="E341" s="1122"/>
      <c r="F341" s="1122"/>
      <c r="G341" s="1122"/>
      <c r="H341" s="1122"/>
      <c r="I341" s="1122"/>
      <c r="J341" s="1122"/>
      <c r="K341" s="1122"/>
      <c r="L341" s="1122"/>
      <c r="M341" s="1122"/>
    </row>
    <row r="342" spans="1:13" s="2" customFormat="1">
      <c r="A342" s="748" t="s">
        <v>290</v>
      </c>
      <c r="B342" s="1122"/>
      <c r="C342" s="1122"/>
      <c r="D342" s="1122"/>
      <c r="E342" s="1122"/>
      <c r="F342" s="1122"/>
      <c r="G342" s="1122"/>
      <c r="H342" s="1122"/>
      <c r="I342" s="1122"/>
      <c r="J342" s="1122"/>
      <c r="K342" s="1122"/>
      <c r="L342" s="1122"/>
      <c r="M342" s="1122"/>
    </row>
    <row r="343" spans="1:13" s="2" customFormat="1">
      <c r="A343" s="2986" t="s">
        <v>531</v>
      </c>
      <c r="B343" s="1121"/>
      <c r="C343" s="1121"/>
      <c r="D343" s="1121"/>
      <c r="E343" s="1121"/>
      <c r="F343" s="1121"/>
      <c r="G343" s="1121"/>
      <c r="H343" s="1121"/>
      <c r="I343" s="1121"/>
      <c r="J343" s="1121"/>
      <c r="K343" s="1121"/>
      <c r="L343" s="1121"/>
      <c r="M343" s="1121"/>
    </row>
    <row r="344" spans="1:13" s="2" customFormat="1" ht="16.5">
      <c r="A344" s="2987"/>
      <c r="B344" s="1118"/>
      <c r="C344" s="1118"/>
      <c r="D344" s="1118"/>
      <c r="E344" s="1118"/>
      <c r="F344" s="1118"/>
      <c r="G344" s="1118"/>
      <c r="H344" s="1118"/>
      <c r="I344" s="1118"/>
      <c r="J344" s="1118"/>
      <c r="K344" s="1118"/>
      <c r="L344" s="1118"/>
      <c r="M344" s="1118"/>
    </row>
    <row r="345" spans="1:13" s="2" customFormat="1">
      <c r="A345" s="23" t="s">
        <v>530</v>
      </c>
      <c r="B345" s="147">
        <v>1109</v>
      </c>
      <c r="C345" s="129">
        <v>1219</v>
      </c>
      <c r="D345" s="129">
        <v>1085</v>
      </c>
      <c r="E345" s="147">
        <v>1067</v>
      </c>
      <c r="F345" s="129">
        <v>1035</v>
      </c>
      <c r="G345" s="129">
        <v>824</v>
      </c>
      <c r="H345" s="147">
        <v>734</v>
      </c>
      <c r="I345" s="147">
        <v>949</v>
      </c>
      <c r="J345" s="147">
        <v>1025</v>
      </c>
      <c r="K345" s="147">
        <v>1013</v>
      </c>
      <c r="L345" s="129">
        <v>989</v>
      </c>
      <c r="M345" s="147">
        <v>1018</v>
      </c>
    </row>
    <row r="346" spans="1:13" s="2" customFormat="1">
      <c r="A346" s="23" t="s">
        <v>418</v>
      </c>
      <c r="B346" s="85">
        <v>8</v>
      </c>
      <c r="C346" s="148">
        <v>9</v>
      </c>
      <c r="D346" s="148">
        <v>10</v>
      </c>
      <c r="E346" s="85">
        <v>9</v>
      </c>
      <c r="F346" s="148">
        <v>9</v>
      </c>
      <c r="G346" s="148">
        <v>5</v>
      </c>
      <c r="H346" s="85">
        <v>5</v>
      </c>
      <c r="I346" s="85">
        <v>6</v>
      </c>
      <c r="J346" s="85">
        <v>6</v>
      </c>
      <c r="K346" s="85">
        <v>6</v>
      </c>
      <c r="L346" s="148">
        <v>9</v>
      </c>
      <c r="M346" s="85">
        <v>9</v>
      </c>
    </row>
    <row r="347" spans="1:13" s="2" customFormat="1">
      <c r="A347" s="23" t="s">
        <v>160</v>
      </c>
      <c r="B347" s="147">
        <v>12</v>
      </c>
      <c r="C347" s="129">
        <v>16</v>
      </c>
      <c r="D347" s="129">
        <v>12</v>
      </c>
      <c r="E347" s="147">
        <v>18</v>
      </c>
      <c r="F347" s="129">
        <v>14</v>
      </c>
      <c r="G347" s="129">
        <v>6</v>
      </c>
      <c r="H347" s="147">
        <v>2</v>
      </c>
      <c r="I347" s="147">
        <v>8</v>
      </c>
      <c r="J347" s="85">
        <v>18</v>
      </c>
      <c r="K347" s="85">
        <v>6</v>
      </c>
      <c r="L347" s="129">
        <v>8</v>
      </c>
      <c r="M347" s="147">
        <v>8</v>
      </c>
    </row>
    <row r="348" spans="1:13" s="2" customFormat="1">
      <c r="A348" s="171" t="s">
        <v>161</v>
      </c>
      <c r="B348" s="173">
        <f>B347/B345</f>
        <v>1.0820559062218215E-2</v>
      </c>
      <c r="C348" s="173">
        <f>IFERROR(C347/C345,0)</f>
        <v>1.3125512715340444E-2</v>
      </c>
      <c r="D348" s="173">
        <f t="shared" ref="D348:M348" si="82">IFERROR(D347/D345,0)</f>
        <v>1.1059907834101382E-2</v>
      </c>
      <c r="E348" s="173">
        <f t="shared" si="82"/>
        <v>1.6869728209934397E-2</v>
      </c>
      <c r="F348" s="173">
        <f t="shared" si="82"/>
        <v>1.3526570048309179E-2</v>
      </c>
      <c r="G348" s="173">
        <f t="shared" si="82"/>
        <v>7.2815533980582527E-3</v>
      </c>
      <c r="H348" s="173">
        <f t="shared" si="82"/>
        <v>2.7247956403269754E-3</v>
      </c>
      <c r="I348" s="173">
        <f t="shared" si="82"/>
        <v>8.4299262381454156E-3</v>
      </c>
      <c r="J348" s="173">
        <f t="shared" si="82"/>
        <v>1.7560975609756099E-2</v>
      </c>
      <c r="K348" s="173">
        <f t="shared" si="82"/>
        <v>5.9230009871668312E-3</v>
      </c>
      <c r="L348" s="173">
        <f t="shared" si="82"/>
        <v>8.0889787664307385E-3</v>
      </c>
      <c r="M348" s="173">
        <f t="shared" si="82"/>
        <v>7.8585461689587421E-3</v>
      </c>
    </row>
    <row r="349" spans="1:13">
      <c r="A349" s="23" t="s">
        <v>622</v>
      </c>
      <c r="B349" s="147">
        <v>28</v>
      </c>
      <c r="C349" s="129">
        <v>36</v>
      </c>
      <c r="D349" s="129">
        <v>12</v>
      </c>
      <c r="E349" s="147">
        <v>18</v>
      </c>
      <c r="F349" s="129">
        <v>18</v>
      </c>
      <c r="G349" s="129">
        <v>25</v>
      </c>
      <c r="H349" s="147">
        <v>25</v>
      </c>
      <c r="I349" s="147">
        <v>38</v>
      </c>
      <c r="J349" s="147">
        <v>53</v>
      </c>
      <c r="K349" s="147">
        <v>65</v>
      </c>
      <c r="L349" s="129">
        <v>52</v>
      </c>
      <c r="M349" s="147">
        <v>56</v>
      </c>
    </row>
    <row r="350" spans="1:13">
      <c r="A350" s="171" t="s">
        <v>532</v>
      </c>
      <c r="B350" s="173">
        <f>B349/B345</f>
        <v>2.5247971145175834E-2</v>
      </c>
      <c r="C350" s="173">
        <f>IFERROR(C349/C345,0)</f>
        <v>2.9532403609515995E-2</v>
      </c>
      <c r="D350" s="173">
        <f t="shared" ref="D350:M350" si="83">IFERROR(D349/D345,0)</f>
        <v>1.1059907834101382E-2</v>
      </c>
      <c r="E350" s="173">
        <f t="shared" si="83"/>
        <v>1.6869728209934397E-2</v>
      </c>
      <c r="F350" s="173">
        <f t="shared" si="83"/>
        <v>1.7391304347826087E-2</v>
      </c>
      <c r="G350" s="173">
        <f t="shared" si="83"/>
        <v>3.0339805825242719E-2</v>
      </c>
      <c r="H350" s="173">
        <f t="shared" si="83"/>
        <v>3.4059945504087197E-2</v>
      </c>
      <c r="I350" s="173">
        <f t="shared" si="83"/>
        <v>4.0042149631190724E-2</v>
      </c>
      <c r="J350" s="173">
        <f t="shared" si="83"/>
        <v>5.1707317073170729E-2</v>
      </c>
      <c r="K350" s="173">
        <f t="shared" si="83"/>
        <v>6.4165844027640667E-2</v>
      </c>
      <c r="L350" s="173">
        <f t="shared" si="83"/>
        <v>5.2578361981799798E-2</v>
      </c>
      <c r="M350" s="173">
        <f t="shared" si="83"/>
        <v>5.50098231827112E-2</v>
      </c>
    </row>
    <row r="351" spans="1:13">
      <c r="A351" s="23" t="s">
        <v>533</v>
      </c>
      <c r="B351" s="85">
        <v>291</v>
      </c>
      <c r="C351" s="148">
        <v>369</v>
      </c>
      <c r="D351" s="148">
        <v>305</v>
      </c>
      <c r="E351" s="85">
        <v>371</v>
      </c>
      <c r="F351" s="148">
        <v>310</v>
      </c>
      <c r="G351" s="148">
        <v>325</v>
      </c>
      <c r="H351" s="85">
        <v>238</v>
      </c>
      <c r="I351" s="85">
        <v>252</v>
      </c>
      <c r="J351" s="85">
        <v>382</v>
      </c>
      <c r="K351" s="85">
        <v>315</v>
      </c>
      <c r="L351" s="148">
        <v>323</v>
      </c>
      <c r="M351" s="85">
        <v>311</v>
      </c>
    </row>
    <row r="352" spans="1:13">
      <c r="A352" s="171" t="s">
        <v>528</v>
      </c>
      <c r="B352" s="172">
        <f>B353/B345</f>
        <v>0.97475202885482415</v>
      </c>
      <c r="C352" s="173">
        <f>IFERROR(C353/C345,0)</f>
        <v>0.97046759639048397</v>
      </c>
      <c r="D352" s="173">
        <f t="shared" ref="D352:M352" si="84">IFERROR(D353/D345,0)</f>
        <v>0.98894009216589862</v>
      </c>
      <c r="E352" s="173">
        <f t="shared" si="84"/>
        <v>0.98313027179006562</v>
      </c>
      <c r="F352" s="173">
        <f t="shared" si="84"/>
        <v>0.9826086956521739</v>
      </c>
      <c r="G352" s="173">
        <f t="shared" si="84"/>
        <v>0.96966019417475724</v>
      </c>
      <c r="H352" s="173">
        <f t="shared" si="84"/>
        <v>0.9536784741144414</v>
      </c>
      <c r="I352" s="173">
        <f t="shared" si="84"/>
        <v>0.94731296101159113</v>
      </c>
      <c r="J352" s="173">
        <f t="shared" si="84"/>
        <v>0.92975609756097566</v>
      </c>
      <c r="K352" s="173">
        <f t="shared" si="84"/>
        <v>0.92300098716683121</v>
      </c>
      <c r="L352" s="173">
        <f t="shared" si="84"/>
        <v>0.92719919110212334</v>
      </c>
      <c r="M352" s="173">
        <f t="shared" si="84"/>
        <v>0.92436149312377214</v>
      </c>
    </row>
    <row r="353" spans="1:13">
      <c r="A353" s="171" t="s">
        <v>39</v>
      </c>
      <c r="B353" s="750">
        <f t="shared" ref="B353:G353" si="85">B345-B349</f>
        <v>1081</v>
      </c>
      <c r="C353" s="750">
        <f t="shared" si="85"/>
        <v>1183</v>
      </c>
      <c r="D353" s="750">
        <f t="shared" si="85"/>
        <v>1073</v>
      </c>
      <c r="E353" s="750">
        <f t="shared" si="85"/>
        <v>1049</v>
      </c>
      <c r="F353" s="750">
        <f t="shared" si="85"/>
        <v>1017</v>
      </c>
      <c r="G353" s="750">
        <f t="shared" si="85"/>
        <v>799</v>
      </c>
      <c r="H353" s="750">
        <v>700</v>
      </c>
      <c r="I353" s="750">
        <v>899</v>
      </c>
      <c r="J353" s="750">
        <v>953</v>
      </c>
      <c r="K353" s="750">
        <v>935</v>
      </c>
      <c r="L353" s="750">
        <v>917</v>
      </c>
      <c r="M353" s="750">
        <v>941</v>
      </c>
    </row>
    <row r="354" spans="1:13">
      <c r="A354" s="23" t="s">
        <v>637</v>
      </c>
      <c r="B354" s="85">
        <v>118</v>
      </c>
      <c r="C354" s="148">
        <v>130</v>
      </c>
      <c r="D354" s="148">
        <v>127</v>
      </c>
      <c r="E354" s="85">
        <v>129</v>
      </c>
      <c r="F354" s="148">
        <v>120</v>
      </c>
      <c r="G354" s="148">
        <v>112</v>
      </c>
      <c r="H354" s="85">
        <v>106</v>
      </c>
      <c r="I354" s="85">
        <v>118</v>
      </c>
      <c r="J354" s="85">
        <v>118</v>
      </c>
      <c r="K354" s="85">
        <v>121</v>
      </c>
      <c r="L354" s="148">
        <v>107</v>
      </c>
      <c r="M354" s="85">
        <v>106</v>
      </c>
    </row>
    <row r="355" spans="1:13">
      <c r="A355" s="23" t="s">
        <v>383</v>
      </c>
      <c r="B355" s="147">
        <v>4</v>
      </c>
      <c r="C355" s="129">
        <v>11</v>
      </c>
      <c r="D355" s="129">
        <v>2</v>
      </c>
      <c r="E355" s="147">
        <v>2</v>
      </c>
      <c r="F355" s="129">
        <v>1</v>
      </c>
      <c r="G355" s="129">
        <v>0</v>
      </c>
      <c r="H355" s="147">
        <v>1</v>
      </c>
      <c r="I355" s="147">
        <v>2</v>
      </c>
      <c r="J355" s="147">
        <v>0</v>
      </c>
      <c r="K355" s="147">
        <v>0</v>
      </c>
      <c r="L355" s="129">
        <v>0</v>
      </c>
      <c r="M355" s="129">
        <v>0</v>
      </c>
    </row>
    <row r="356" spans="1:13">
      <c r="A356" s="174" t="s">
        <v>421</v>
      </c>
      <c r="B356" s="173">
        <f>B355/B345</f>
        <v>3.6068530207394047E-3</v>
      </c>
      <c r="C356" s="173">
        <f>IFERROR(C355/C345,0)</f>
        <v>9.0237899917965554E-3</v>
      </c>
      <c r="D356" s="173">
        <f t="shared" ref="D356:M356" si="86">IFERROR(D355/D345,0)</f>
        <v>1.8433179723502304E-3</v>
      </c>
      <c r="E356" s="173">
        <f t="shared" si="86"/>
        <v>1.8744142455482662E-3</v>
      </c>
      <c r="F356" s="173">
        <f t="shared" si="86"/>
        <v>9.6618357487922703E-4</v>
      </c>
      <c r="G356" s="173">
        <f t="shared" si="86"/>
        <v>0</v>
      </c>
      <c r="H356" s="173">
        <f t="shared" si="86"/>
        <v>1.3623978201634877E-3</v>
      </c>
      <c r="I356" s="173">
        <f t="shared" si="86"/>
        <v>2.1074815595363539E-3</v>
      </c>
      <c r="J356" s="173">
        <f t="shared" si="86"/>
        <v>0</v>
      </c>
      <c r="K356" s="173">
        <f t="shared" si="86"/>
        <v>0</v>
      </c>
      <c r="L356" s="173">
        <f t="shared" si="86"/>
        <v>0</v>
      </c>
      <c r="M356" s="173">
        <f t="shared" si="86"/>
        <v>0</v>
      </c>
    </row>
    <row r="357" spans="1:13">
      <c r="A357" s="748" t="s">
        <v>1</v>
      </c>
      <c r="B357" s="147">
        <v>4</v>
      </c>
      <c r="C357" s="129">
        <v>3</v>
      </c>
      <c r="D357" s="129">
        <v>5</v>
      </c>
      <c r="E357" s="147">
        <v>9</v>
      </c>
      <c r="F357" s="129">
        <v>3</v>
      </c>
      <c r="G357" s="129">
        <v>5</v>
      </c>
      <c r="H357" s="147">
        <v>0</v>
      </c>
      <c r="I357" s="147">
        <v>3</v>
      </c>
      <c r="J357" s="147">
        <v>3</v>
      </c>
      <c r="K357" s="147">
        <v>2</v>
      </c>
      <c r="L357" s="129">
        <v>2</v>
      </c>
      <c r="M357" s="147">
        <v>2</v>
      </c>
    </row>
    <row r="358" spans="1:13">
      <c r="A358" s="174" t="s">
        <v>422</v>
      </c>
      <c r="B358" s="173">
        <f>B357/B345</f>
        <v>3.6068530207394047E-3</v>
      </c>
      <c r="C358" s="173">
        <f>IFERROR(C357/C345,0)</f>
        <v>2.4610336341263331E-3</v>
      </c>
      <c r="D358" s="173">
        <f t="shared" ref="D358:M358" si="87">IFERROR(D357/D345,0)</f>
        <v>4.608294930875576E-3</v>
      </c>
      <c r="E358" s="173">
        <f t="shared" si="87"/>
        <v>8.4348641049671984E-3</v>
      </c>
      <c r="F358" s="173">
        <f t="shared" si="87"/>
        <v>2.8985507246376812E-3</v>
      </c>
      <c r="G358" s="173">
        <f t="shared" si="87"/>
        <v>6.0679611650485436E-3</v>
      </c>
      <c r="H358" s="173">
        <f t="shared" si="87"/>
        <v>0</v>
      </c>
      <c r="I358" s="173">
        <f t="shared" si="87"/>
        <v>3.1612223393045311E-3</v>
      </c>
      <c r="J358" s="173">
        <f t="shared" si="87"/>
        <v>2.9268292682926829E-3</v>
      </c>
      <c r="K358" s="173">
        <f t="shared" si="87"/>
        <v>1.9743336623889436E-3</v>
      </c>
      <c r="L358" s="173">
        <f t="shared" si="87"/>
        <v>2.0222446916076846E-3</v>
      </c>
      <c r="M358" s="173">
        <f t="shared" si="87"/>
        <v>1.9646365422396855E-3</v>
      </c>
    </row>
    <row r="359" spans="1:13">
      <c r="A359" s="748" t="s">
        <v>711</v>
      </c>
      <c r="B359" s="1121"/>
      <c r="C359" s="1121"/>
      <c r="D359" s="1121"/>
      <c r="E359" s="1121"/>
      <c r="F359" s="1121"/>
      <c r="G359" s="1121"/>
      <c r="H359" s="1121"/>
      <c r="I359" s="1121"/>
      <c r="J359" s="1121"/>
      <c r="K359" s="1121"/>
      <c r="L359" s="1121"/>
      <c r="M359" s="1121"/>
    </row>
    <row r="360" spans="1:13">
      <c r="A360" s="748" t="s">
        <v>288</v>
      </c>
      <c r="B360" s="1122"/>
      <c r="C360" s="1122"/>
      <c r="D360" s="1122"/>
      <c r="E360" s="1122"/>
      <c r="F360" s="1122"/>
      <c r="G360" s="1122"/>
      <c r="H360" s="1122"/>
      <c r="I360" s="1122"/>
      <c r="J360" s="1122"/>
      <c r="K360" s="1122"/>
      <c r="L360" s="1122"/>
      <c r="M360" s="1122"/>
    </row>
    <row r="361" spans="1:13">
      <c r="A361" s="748" t="s">
        <v>289</v>
      </c>
      <c r="B361" s="1122"/>
      <c r="C361" s="1523"/>
      <c r="D361" s="1122"/>
      <c r="E361" s="1122"/>
      <c r="F361" s="1122"/>
      <c r="G361" s="1122"/>
      <c r="H361" s="1122"/>
      <c r="I361" s="1122"/>
      <c r="J361" s="1122"/>
      <c r="K361" s="1122"/>
      <c r="L361" s="1122"/>
      <c r="M361" s="1122"/>
    </row>
    <row r="362" spans="1:13">
      <c r="A362" s="748" t="s">
        <v>290</v>
      </c>
      <c r="B362" s="1122"/>
      <c r="C362" s="1122"/>
      <c r="D362" s="1122"/>
      <c r="E362" s="1122"/>
      <c r="F362" s="1122"/>
      <c r="G362" s="1122"/>
      <c r="H362" s="1122"/>
      <c r="I362" s="1122"/>
      <c r="J362" s="1122"/>
      <c r="K362" s="1122"/>
      <c r="L362" s="1122"/>
      <c r="M362" s="1122"/>
    </row>
    <row r="363" spans="1:13">
      <c r="A363" s="2986" t="s">
        <v>432</v>
      </c>
      <c r="B363" s="1121"/>
      <c r="C363" s="1121"/>
      <c r="D363" s="1121"/>
      <c r="E363" s="1121"/>
      <c r="F363" s="1121"/>
      <c r="G363" s="1121"/>
      <c r="H363" s="1121"/>
      <c r="I363" s="1121"/>
      <c r="J363" s="1121"/>
      <c r="K363" s="1121"/>
      <c r="L363" s="1121"/>
      <c r="M363" s="1121"/>
    </row>
    <row r="364" spans="1:13" ht="16.5">
      <c r="A364" s="2987"/>
      <c r="B364" s="1118"/>
      <c r="C364" s="1118"/>
      <c r="D364" s="1118"/>
      <c r="E364" s="1118"/>
      <c r="F364" s="1118"/>
      <c r="G364" s="1118"/>
      <c r="H364" s="1118"/>
      <c r="I364" s="1118"/>
      <c r="J364" s="1118"/>
      <c r="K364" s="1118"/>
      <c r="L364" s="1103"/>
      <c r="M364" s="1103"/>
    </row>
    <row r="365" spans="1:13" s="1049" customFormat="1">
      <c r="A365" s="1049" t="s">
        <v>530</v>
      </c>
      <c r="B365" s="183">
        <v>2098</v>
      </c>
      <c r="C365" s="235">
        <v>2452</v>
      </c>
      <c r="D365" s="235">
        <v>2657</v>
      </c>
      <c r="E365" s="183">
        <v>2244</v>
      </c>
      <c r="F365" s="235">
        <v>2267</v>
      </c>
      <c r="G365" s="235">
        <v>1995</v>
      </c>
      <c r="H365" s="183">
        <v>2001</v>
      </c>
      <c r="I365" s="183">
        <v>2024</v>
      </c>
      <c r="J365" s="183">
        <v>2052</v>
      </c>
      <c r="K365" s="183">
        <v>1932</v>
      </c>
      <c r="L365" s="235">
        <v>1936</v>
      </c>
      <c r="M365" s="183">
        <v>2010</v>
      </c>
    </row>
    <row r="366" spans="1:13" s="1049" customFormat="1">
      <c r="A366" s="1049" t="s">
        <v>418</v>
      </c>
      <c r="B366" s="2152">
        <v>8</v>
      </c>
      <c r="C366" s="236">
        <v>15</v>
      </c>
      <c r="D366" s="236">
        <v>10</v>
      </c>
      <c r="E366" s="2152">
        <v>8</v>
      </c>
      <c r="F366" s="236">
        <v>7</v>
      </c>
      <c r="G366" s="236">
        <v>6</v>
      </c>
      <c r="H366" s="2152">
        <v>7</v>
      </c>
      <c r="I366" s="2152">
        <v>6</v>
      </c>
      <c r="J366" s="2152">
        <v>7</v>
      </c>
      <c r="K366" s="2152">
        <v>7</v>
      </c>
      <c r="L366" s="236">
        <v>7</v>
      </c>
      <c r="M366" s="2152">
        <v>7</v>
      </c>
    </row>
    <row r="367" spans="1:13" s="1049" customFormat="1">
      <c r="A367" s="1049" t="s">
        <v>160</v>
      </c>
      <c r="B367" s="183">
        <v>52</v>
      </c>
      <c r="C367" s="235">
        <v>76</v>
      </c>
      <c r="D367" s="235">
        <v>110</v>
      </c>
      <c r="E367" s="183">
        <v>72</v>
      </c>
      <c r="F367" s="235">
        <v>56</v>
      </c>
      <c r="G367" s="235">
        <v>48</v>
      </c>
      <c r="H367" s="183">
        <v>76</v>
      </c>
      <c r="I367" s="183">
        <v>28</v>
      </c>
      <c r="J367" s="2152">
        <v>22</v>
      </c>
      <c r="K367" s="2152">
        <v>39</v>
      </c>
      <c r="L367" s="235">
        <v>24</v>
      </c>
      <c r="M367" s="183">
        <v>24</v>
      </c>
    </row>
    <row r="368" spans="1:13" s="1049" customFormat="1">
      <c r="A368" s="2153" t="s">
        <v>161</v>
      </c>
      <c r="B368" s="2154">
        <f>B367/B365</f>
        <v>2.4785510009532889E-2</v>
      </c>
      <c r="C368" s="2154">
        <f>IFERROR(C367/C365,0)</f>
        <v>3.0995106035889071E-2</v>
      </c>
      <c r="D368" s="2154">
        <f t="shared" ref="D368:M368" si="88">IFERROR(D367/D365,0)</f>
        <v>4.1400075272864136E-2</v>
      </c>
      <c r="E368" s="2154">
        <f t="shared" si="88"/>
        <v>3.2085561497326207E-2</v>
      </c>
      <c r="F368" s="2154">
        <f t="shared" si="88"/>
        <v>2.4702249669166298E-2</v>
      </c>
      <c r="G368" s="2154">
        <f t="shared" si="88"/>
        <v>2.4060150375939851E-2</v>
      </c>
      <c r="H368" s="2154">
        <f t="shared" si="88"/>
        <v>3.7981009495252377E-2</v>
      </c>
      <c r="I368" s="2154">
        <f t="shared" si="88"/>
        <v>1.383399209486166E-2</v>
      </c>
      <c r="J368" s="2154">
        <f t="shared" si="88"/>
        <v>1.0721247563352826E-2</v>
      </c>
      <c r="K368" s="2154">
        <f t="shared" si="88"/>
        <v>2.0186335403726708E-2</v>
      </c>
      <c r="L368" s="2154">
        <f t="shared" si="88"/>
        <v>1.2396694214876033E-2</v>
      </c>
      <c r="M368" s="2154">
        <f t="shared" si="88"/>
        <v>1.1940298507462687E-2</v>
      </c>
    </row>
    <row r="369" spans="1:13" s="1049" customFormat="1">
      <c r="A369" s="1049" t="s">
        <v>622</v>
      </c>
      <c r="B369" s="183">
        <v>117</v>
      </c>
      <c r="C369" s="235">
        <v>129</v>
      </c>
      <c r="D369" s="235">
        <v>176</v>
      </c>
      <c r="E369" s="183">
        <v>130</v>
      </c>
      <c r="F369" s="235">
        <v>123</v>
      </c>
      <c r="G369" s="235">
        <v>157</v>
      </c>
      <c r="H369" s="183">
        <v>147</v>
      </c>
      <c r="I369" s="183">
        <v>140</v>
      </c>
      <c r="J369" s="183">
        <v>130</v>
      </c>
      <c r="K369" s="183">
        <v>113</v>
      </c>
      <c r="L369" s="235">
        <v>118</v>
      </c>
      <c r="M369" s="183">
        <v>123</v>
      </c>
    </row>
    <row r="370" spans="1:13" s="1049" customFormat="1" ht="15" customHeight="1">
      <c r="A370" s="2153" t="s">
        <v>532</v>
      </c>
      <c r="B370" s="2154">
        <f>B369/B365</f>
        <v>5.5767397521448998E-2</v>
      </c>
      <c r="C370" s="2154">
        <f>IFERROR(C369/C365,0)</f>
        <v>5.2610114192495921E-2</v>
      </c>
      <c r="D370" s="2154">
        <f t="shared" ref="D370:M370" si="89">IFERROR(D369/D365,0)</f>
        <v>6.6240120436582617E-2</v>
      </c>
      <c r="E370" s="2154">
        <f t="shared" si="89"/>
        <v>5.7932263814616754E-2</v>
      </c>
      <c r="F370" s="2154">
        <f t="shared" si="89"/>
        <v>5.4256726951918834E-2</v>
      </c>
      <c r="G370" s="2154">
        <f t="shared" si="89"/>
        <v>7.8696741854636598E-2</v>
      </c>
      <c r="H370" s="2154">
        <f t="shared" si="89"/>
        <v>7.3463268365817097E-2</v>
      </c>
      <c r="I370" s="2154">
        <f t="shared" si="89"/>
        <v>6.9169960474308304E-2</v>
      </c>
      <c r="J370" s="2154">
        <f t="shared" si="89"/>
        <v>6.3352826510721244E-2</v>
      </c>
      <c r="K370" s="2154">
        <f t="shared" si="89"/>
        <v>5.848861283643892E-2</v>
      </c>
      <c r="L370" s="2154">
        <f t="shared" si="89"/>
        <v>6.0950413223140494E-2</v>
      </c>
      <c r="M370" s="2154">
        <f t="shared" si="89"/>
        <v>6.1194029850746269E-2</v>
      </c>
    </row>
    <row r="371" spans="1:13" s="1049" customFormat="1">
      <c r="A371" s="1049" t="s">
        <v>533</v>
      </c>
      <c r="B371" s="2152">
        <v>365</v>
      </c>
      <c r="C371" s="236">
        <v>377</v>
      </c>
      <c r="D371" s="236">
        <v>328</v>
      </c>
      <c r="E371" s="2152">
        <v>328</v>
      </c>
      <c r="F371" s="236">
        <v>402</v>
      </c>
      <c r="G371" s="236">
        <v>340</v>
      </c>
      <c r="H371" s="2152">
        <v>312</v>
      </c>
      <c r="I371" s="2152">
        <v>314</v>
      </c>
      <c r="J371" s="2152">
        <v>371</v>
      </c>
      <c r="K371" s="2152">
        <v>392</v>
      </c>
      <c r="L371" s="236">
        <v>353</v>
      </c>
      <c r="M371" s="2152">
        <v>351</v>
      </c>
    </row>
    <row r="372" spans="1:13" s="1049" customFormat="1">
      <c r="A372" s="2153" t="s">
        <v>528</v>
      </c>
      <c r="B372" s="2155">
        <f>B373/B365</f>
        <v>0.94423260247855101</v>
      </c>
      <c r="C372" s="2154">
        <f>IFERROR(C373/C365,0)</f>
        <v>0.94738988580750405</v>
      </c>
      <c r="D372" s="2154">
        <f t="shared" ref="D372:M372" si="90">IFERROR(D373/D365,0)</f>
        <v>0.93375987956341744</v>
      </c>
      <c r="E372" s="2154">
        <f t="shared" si="90"/>
        <v>0.9420677361853832</v>
      </c>
      <c r="F372" s="2154">
        <f t="shared" si="90"/>
        <v>0.94574327304808115</v>
      </c>
      <c r="G372" s="2154">
        <f t="shared" si="90"/>
        <v>0.9213032581453634</v>
      </c>
      <c r="H372" s="2154">
        <f t="shared" si="90"/>
        <v>0.92253873063468261</v>
      </c>
      <c r="I372" s="2154">
        <f t="shared" si="90"/>
        <v>0.92588932806324109</v>
      </c>
      <c r="J372" s="2154">
        <f t="shared" si="90"/>
        <v>0.92543859649122806</v>
      </c>
      <c r="K372" s="2154">
        <f t="shared" si="90"/>
        <v>0.92805383022774324</v>
      </c>
      <c r="L372" s="2154">
        <f t="shared" si="90"/>
        <v>0.92820247933884292</v>
      </c>
      <c r="M372" s="2154">
        <f t="shared" si="90"/>
        <v>0.92686567164179101</v>
      </c>
    </row>
    <row r="373" spans="1:13" s="1049" customFormat="1">
      <c r="A373" s="2153" t="s">
        <v>39</v>
      </c>
      <c r="B373" s="2156">
        <f t="shared" ref="B373:G373" si="91">B365-B369</f>
        <v>1981</v>
      </c>
      <c r="C373" s="2156">
        <f t="shared" si="91"/>
        <v>2323</v>
      </c>
      <c r="D373" s="2156">
        <f t="shared" si="91"/>
        <v>2481</v>
      </c>
      <c r="E373" s="2156">
        <f t="shared" si="91"/>
        <v>2114</v>
      </c>
      <c r="F373" s="2156">
        <f t="shared" si="91"/>
        <v>2144</v>
      </c>
      <c r="G373" s="2156">
        <f t="shared" si="91"/>
        <v>1838</v>
      </c>
      <c r="H373" s="2156">
        <v>1846</v>
      </c>
      <c r="I373" s="2156">
        <v>1874</v>
      </c>
      <c r="J373" s="2156">
        <v>1899</v>
      </c>
      <c r="K373" s="2156">
        <v>1793</v>
      </c>
      <c r="L373" s="2156">
        <v>1797</v>
      </c>
      <c r="M373" s="2156">
        <v>1863</v>
      </c>
    </row>
    <row r="374" spans="1:13" s="1049" customFormat="1">
      <c r="A374" s="1049" t="s">
        <v>637</v>
      </c>
      <c r="B374" s="2152">
        <v>112</v>
      </c>
      <c r="C374" s="236">
        <v>125</v>
      </c>
      <c r="D374" s="236">
        <v>113</v>
      </c>
      <c r="E374" s="2152">
        <v>126</v>
      </c>
      <c r="F374" s="236">
        <v>121</v>
      </c>
      <c r="G374" s="236">
        <v>116</v>
      </c>
      <c r="H374" s="2152">
        <v>115</v>
      </c>
      <c r="I374" s="2152">
        <v>107</v>
      </c>
      <c r="J374" s="2152">
        <v>113</v>
      </c>
      <c r="K374" s="2152">
        <v>105</v>
      </c>
      <c r="L374" s="236">
        <v>117</v>
      </c>
      <c r="M374" s="2152">
        <v>116</v>
      </c>
    </row>
    <row r="375" spans="1:13" s="1049" customFormat="1">
      <c r="A375" s="1049" t="s">
        <v>383</v>
      </c>
      <c r="B375" s="183">
        <f>1+13</f>
        <v>14</v>
      </c>
      <c r="C375" s="235">
        <v>27</v>
      </c>
      <c r="D375" s="235">
        <v>21</v>
      </c>
      <c r="E375" s="183">
        <v>15</v>
      </c>
      <c r="F375" s="235">
        <v>17</v>
      </c>
      <c r="G375" s="235">
        <v>5</v>
      </c>
      <c r="H375" s="183">
        <v>5</v>
      </c>
      <c r="I375" s="183">
        <v>7</v>
      </c>
      <c r="J375" s="183">
        <v>1</v>
      </c>
      <c r="K375" s="183">
        <v>4</v>
      </c>
      <c r="L375" s="235">
        <v>16</v>
      </c>
      <c r="M375" s="235">
        <v>16</v>
      </c>
    </row>
    <row r="376" spans="1:13" s="1049" customFormat="1">
      <c r="A376" s="2157" t="s">
        <v>421</v>
      </c>
      <c r="B376" s="2154">
        <f>B375/B365</f>
        <v>6.6730219256434702E-3</v>
      </c>
      <c r="C376" s="2154">
        <f>IFERROR(C375/C365,0)</f>
        <v>1.101141924959217E-2</v>
      </c>
      <c r="D376" s="2154">
        <f t="shared" ref="D376:M376" si="92">IFERROR(D375/D365,0)</f>
        <v>7.9036507339104254E-3</v>
      </c>
      <c r="E376" s="2154">
        <f t="shared" si="92"/>
        <v>6.6844919786096255E-3</v>
      </c>
      <c r="F376" s="2154">
        <f t="shared" si="92"/>
        <v>7.4988972209969126E-3</v>
      </c>
      <c r="G376" s="2154">
        <v>0.32</v>
      </c>
      <c r="H376" s="2154">
        <f t="shared" si="92"/>
        <v>2.4987506246876563E-3</v>
      </c>
      <c r="I376" s="2154">
        <f t="shared" si="92"/>
        <v>3.458498023715415E-3</v>
      </c>
      <c r="J376" s="2154">
        <f t="shared" si="92"/>
        <v>4.8732943469785572E-4</v>
      </c>
      <c r="K376" s="2154">
        <f t="shared" si="92"/>
        <v>2.070393374741201E-3</v>
      </c>
      <c r="L376" s="2154">
        <f t="shared" si="92"/>
        <v>8.2644628099173556E-3</v>
      </c>
      <c r="M376" s="2154">
        <f t="shared" si="92"/>
        <v>7.9601990049751239E-3</v>
      </c>
    </row>
    <row r="377" spans="1:13" s="1049" customFormat="1">
      <c r="A377" s="223" t="s">
        <v>1</v>
      </c>
      <c r="B377" s="183">
        <v>42</v>
      </c>
      <c r="C377" s="235">
        <v>40</v>
      </c>
      <c r="D377" s="235">
        <v>51</v>
      </c>
      <c r="E377" s="183">
        <v>38</v>
      </c>
      <c r="F377" s="235">
        <v>44</v>
      </c>
      <c r="G377" s="235">
        <v>32</v>
      </c>
      <c r="H377" s="183">
        <v>38</v>
      </c>
      <c r="I377" s="183">
        <v>26</v>
      </c>
      <c r="J377" s="183">
        <v>30</v>
      </c>
      <c r="K377" s="183">
        <v>30</v>
      </c>
      <c r="L377" s="235">
        <v>36</v>
      </c>
      <c r="M377" s="183">
        <v>40</v>
      </c>
    </row>
    <row r="378" spans="1:13" s="1049" customFormat="1">
      <c r="A378" s="2157" t="s">
        <v>422</v>
      </c>
      <c r="B378" s="2154">
        <f>B377/B365</f>
        <v>2.0019065776930411E-2</v>
      </c>
      <c r="C378" s="2154">
        <f>IFERROR(C377/C365,0)</f>
        <v>1.6313213703099509E-2</v>
      </c>
      <c r="D378" s="2154">
        <f t="shared" ref="D378:M378" si="93">IFERROR(D377/D365,0)</f>
        <v>1.9194580353782461E-2</v>
      </c>
      <c r="E378" s="2154">
        <f t="shared" si="93"/>
        <v>1.6934046345811051E-2</v>
      </c>
      <c r="F378" s="2154">
        <f t="shared" si="93"/>
        <v>1.9408910454344949E-2</v>
      </c>
      <c r="G378" s="2154">
        <f t="shared" si="93"/>
        <v>1.6040100250626566E-2</v>
      </c>
      <c r="H378" s="2154">
        <f t="shared" si="93"/>
        <v>1.8990504747626188E-2</v>
      </c>
      <c r="I378" s="2154">
        <f t="shared" si="93"/>
        <v>1.2845849802371542E-2</v>
      </c>
      <c r="J378" s="2154">
        <f t="shared" si="93"/>
        <v>1.4619883040935672E-2</v>
      </c>
      <c r="K378" s="2154">
        <f t="shared" si="93"/>
        <v>1.5527950310559006E-2</v>
      </c>
      <c r="L378" s="2154">
        <f t="shared" si="93"/>
        <v>1.859504132231405E-2</v>
      </c>
      <c r="M378" s="2154">
        <f t="shared" si="93"/>
        <v>1.9900497512437811E-2</v>
      </c>
    </row>
    <row r="379" spans="1:13" s="1049" customFormat="1">
      <c r="A379" s="223" t="s">
        <v>529</v>
      </c>
      <c r="B379" s="2158">
        <v>0.67900000000000005</v>
      </c>
      <c r="C379" s="2158">
        <v>0.75</v>
      </c>
      <c r="D379" s="2158">
        <v>0.73099999999999998</v>
      </c>
      <c r="E379" s="2158">
        <v>0.71199999999999997</v>
      </c>
      <c r="F379" s="2158">
        <v>0.76400000000000001</v>
      </c>
      <c r="G379" s="2158">
        <v>0.77800000000000002</v>
      </c>
      <c r="H379" s="2158">
        <v>0.80100000000000005</v>
      </c>
      <c r="I379" s="2158">
        <v>0.80100000000000005</v>
      </c>
      <c r="J379" s="2158">
        <v>0.621</v>
      </c>
      <c r="K379" s="2158">
        <v>0.76600000000000001</v>
      </c>
      <c r="L379" s="2691">
        <v>0.76100000000000001</v>
      </c>
      <c r="M379" s="2158"/>
    </row>
    <row r="380" spans="1:13">
      <c r="A380" s="748" t="s">
        <v>288</v>
      </c>
      <c r="B380" s="1122"/>
      <c r="C380" s="1122"/>
      <c r="D380" s="1122"/>
      <c r="E380" s="1122"/>
      <c r="F380" s="1122"/>
      <c r="G380" s="1122"/>
      <c r="H380" s="1122"/>
      <c r="I380" s="1122"/>
      <c r="J380" s="1122"/>
      <c r="K380" s="1122"/>
      <c r="L380" s="1122"/>
      <c r="M380" s="1122"/>
    </row>
    <row r="381" spans="1:13">
      <c r="A381" s="748" t="s">
        <v>289</v>
      </c>
      <c r="B381" s="1122"/>
      <c r="C381" s="1523"/>
      <c r="D381" s="1122"/>
      <c r="E381" s="1122"/>
      <c r="F381" s="1122"/>
      <c r="G381" s="1122"/>
      <c r="H381" s="1122"/>
      <c r="I381" s="1122"/>
      <c r="J381" s="1122"/>
      <c r="K381" s="1122"/>
      <c r="L381" s="1122"/>
      <c r="M381" s="1122"/>
    </row>
    <row r="382" spans="1:13">
      <c r="A382" s="748" t="s">
        <v>290</v>
      </c>
      <c r="B382" s="1122"/>
      <c r="C382" s="1122"/>
      <c r="D382" s="1122"/>
      <c r="E382" s="1122"/>
      <c r="F382" s="1122"/>
      <c r="G382" s="1122"/>
      <c r="H382" s="1122"/>
      <c r="I382" s="1122"/>
      <c r="J382" s="1122"/>
      <c r="K382" s="1122"/>
      <c r="L382" s="1122"/>
      <c r="M382" s="1122"/>
    </row>
    <row r="383" spans="1:13">
      <c r="A383" s="2986" t="s">
        <v>446</v>
      </c>
      <c r="B383" s="1121"/>
      <c r="C383" s="1121"/>
      <c r="D383" s="1121"/>
      <c r="E383" s="1121"/>
      <c r="F383" s="1121"/>
      <c r="G383" s="1121"/>
      <c r="H383" s="1121"/>
      <c r="I383" s="1121"/>
      <c r="J383" s="1121"/>
      <c r="K383" s="1121"/>
      <c r="L383" s="1121"/>
      <c r="M383" s="1121"/>
    </row>
    <row r="384" spans="1:13" ht="16.5">
      <c r="A384" s="2987"/>
      <c r="B384" s="1118"/>
      <c r="C384" s="1118"/>
      <c r="D384" s="1118"/>
      <c r="E384" s="1118"/>
      <c r="F384" s="1118"/>
      <c r="G384" s="1118"/>
      <c r="H384" s="1118"/>
      <c r="I384" s="1118"/>
      <c r="J384" s="1118"/>
      <c r="K384" s="1118"/>
      <c r="L384" s="1103"/>
      <c r="M384" s="1103"/>
    </row>
    <row r="385" spans="1:15">
      <c r="A385" s="23" t="s">
        <v>530</v>
      </c>
      <c r="B385" s="147">
        <v>6842</v>
      </c>
      <c r="C385" s="129">
        <v>7138</v>
      </c>
      <c r="D385" s="129">
        <v>7156</v>
      </c>
      <c r="E385" s="147">
        <v>6618</v>
      </c>
      <c r="F385" s="129">
        <v>6796</v>
      </c>
      <c r="G385" s="989">
        <v>6320</v>
      </c>
      <c r="H385" s="129">
        <v>6412</v>
      </c>
      <c r="I385" s="147">
        <v>6697</v>
      </c>
      <c r="J385" s="147">
        <v>6419</v>
      </c>
      <c r="K385" s="147">
        <v>6380</v>
      </c>
      <c r="L385" s="129">
        <v>6334</v>
      </c>
      <c r="M385" s="129">
        <v>6514</v>
      </c>
      <c r="N385" s="131"/>
    </row>
    <row r="386" spans="1:15">
      <c r="A386" s="23" t="s">
        <v>418</v>
      </c>
      <c r="B386" s="148">
        <v>19.7</v>
      </c>
      <c r="C386" s="148">
        <v>24.5</v>
      </c>
      <c r="D386" s="148">
        <v>23.6</v>
      </c>
      <c r="E386" s="148">
        <v>19.2</v>
      </c>
      <c r="F386" s="148">
        <v>18.2</v>
      </c>
      <c r="G386" s="148">
        <v>15.8</v>
      </c>
      <c r="H386" s="148">
        <v>16.2</v>
      </c>
      <c r="I386" s="148">
        <v>17.399999999999999</v>
      </c>
      <c r="J386" s="148">
        <v>18.8</v>
      </c>
      <c r="K386" s="148">
        <v>17.399999999999999</v>
      </c>
      <c r="L386" s="148">
        <v>17.399999999999999</v>
      </c>
      <c r="M386" s="85">
        <v>17.399999999999999</v>
      </c>
    </row>
    <row r="387" spans="1:15">
      <c r="A387" s="23" t="s">
        <v>160</v>
      </c>
      <c r="B387" s="1104"/>
      <c r="C387" s="1104"/>
      <c r="D387" s="1104"/>
      <c r="E387" s="1104"/>
      <c r="F387" s="1104"/>
      <c r="G387" s="1104"/>
      <c r="H387" s="1104"/>
      <c r="I387" s="1104"/>
      <c r="J387" s="1120"/>
      <c r="K387" s="1120"/>
      <c r="L387" s="1104"/>
      <c r="M387" s="1104"/>
    </row>
    <row r="388" spans="1:15">
      <c r="A388" s="171" t="s">
        <v>161</v>
      </c>
      <c r="B388" s="1121"/>
      <c r="C388" s="1121"/>
      <c r="D388" s="1121"/>
      <c r="E388" s="1121"/>
      <c r="F388" s="1121"/>
      <c r="G388" s="1121"/>
      <c r="H388" s="1121"/>
      <c r="I388" s="1121"/>
      <c r="J388" s="1121"/>
      <c r="K388" s="1121"/>
      <c r="L388" s="1121"/>
      <c r="M388" s="1121"/>
    </row>
    <row r="389" spans="1:15">
      <c r="A389" s="23" t="s">
        <v>622</v>
      </c>
      <c r="B389" s="129">
        <v>1984</v>
      </c>
      <c r="C389" s="129">
        <v>1927</v>
      </c>
      <c r="D389" s="129">
        <v>2004</v>
      </c>
      <c r="E389" s="129">
        <v>1853</v>
      </c>
      <c r="F389" s="129">
        <v>1835</v>
      </c>
      <c r="G389" s="129">
        <v>1704</v>
      </c>
      <c r="H389" s="129">
        <v>1722</v>
      </c>
      <c r="I389" s="129">
        <v>1697</v>
      </c>
      <c r="J389" s="129">
        <v>1772</v>
      </c>
      <c r="K389" s="129">
        <v>1828</v>
      </c>
      <c r="L389" s="129">
        <v>1750</v>
      </c>
      <c r="M389" s="129">
        <v>1824</v>
      </c>
    </row>
    <row r="390" spans="1:15">
      <c r="A390" s="171" t="s">
        <v>620</v>
      </c>
      <c r="B390" s="173">
        <v>0.28999999999999998</v>
      </c>
      <c r="C390" s="173">
        <v>0.27</v>
      </c>
      <c r="D390" s="173">
        <v>0.28000000000000003</v>
      </c>
      <c r="E390" s="173">
        <v>0.28000000000000003</v>
      </c>
      <c r="F390" s="173">
        <v>0.27</v>
      </c>
      <c r="G390" s="173">
        <v>0.27</v>
      </c>
      <c r="H390" s="173">
        <v>0.27</v>
      </c>
      <c r="I390" s="173">
        <v>0.27</v>
      </c>
      <c r="J390" s="173">
        <v>0.28000000000000003</v>
      </c>
      <c r="K390" s="173">
        <v>0.28999999999999998</v>
      </c>
      <c r="L390" s="173">
        <v>0.28000000000000003</v>
      </c>
      <c r="M390" s="173">
        <v>0.28000000000000003</v>
      </c>
    </row>
    <row r="391" spans="1:15">
      <c r="A391" s="23" t="s">
        <v>538</v>
      </c>
      <c r="B391" s="85">
        <v>372</v>
      </c>
      <c r="C391" s="148">
        <v>402</v>
      </c>
      <c r="D391" s="148">
        <v>408</v>
      </c>
      <c r="E391" s="148">
        <v>372</v>
      </c>
      <c r="F391" s="148">
        <v>330</v>
      </c>
      <c r="G391" s="148">
        <v>306</v>
      </c>
      <c r="H391" s="148">
        <v>330</v>
      </c>
      <c r="I391" s="148">
        <v>306</v>
      </c>
      <c r="J391" s="85">
        <v>324</v>
      </c>
      <c r="K391" s="85">
        <v>312</v>
      </c>
      <c r="L391" s="148">
        <v>300</v>
      </c>
      <c r="M391" s="85">
        <v>306</v>
      </c>
    </row>
    <row r="392" spans="1:15">
      <c r="A392" s="171" t="s">
        <v>528</v>
      </c>
      <c r="B392" s="172">
        <f>B393/B385</f>
        <v>0.7100263080970477</v>
      </c>
      <c r="C392" s="173">
        <f>IFERROR(C393/C385,0)</f>
        <v>0.73003642476884278</v>
      </c>
      <c r="D392" s="173">
        <f t="shared" ref="D392:M392" si="94">IFERROR(D393/D385,0)</f>
        <v>0.71995528228060368</v>
      </c>
      <c r="E392" s="173">
        <f t="shared" si="94"/>
        <v>0.72000604412209124</v>
      </c>
      <c r="F392" s="173">
        <f t="shared" si="94"/>
        <v>0.72998822836962918</v>
      </c>
      <c r="G392" s="173">
        <f t="shared" si="94"/>
        <v>0.73037974683544304</v>
      </c>
      <c r="H392" s="173">
        <f t="shared" si="94"/>
        <v>0.73144104803493448</v>
      </c>
      <c r="I392" s="173">
        <f t="shared" si="94"/>
        <v>0.74660295654770792</v>
      </c>
      <c r="J392" s="173">
        <f t="shared" si="94"/>
        <v>0.72394453964792027</v>
      </c>
      <c r="K392" s="173">
        <f t="shared" si="94"/>
        <v>0.7134796238244514</v>
      </c>
      <c r="L392" s="173">
        <f t="shared" si="94"/>
        <v>0.72371329333754342</v>
      </c>
      <c r="M392" s="173">
        <f t="shared" si="94"/>
        <v>0.71998771875959466</v>
      </c>
    </row>
    <row r="393" spans="1:15">
      <c r="A393" s="171" t="s">
        <v>39</v>
      </c>
      <c r="B393" s="750">
        <f t="shared" ref="B393:M393" si="95">B385-B389</f>
        <v>4858</v>
      </c>
      <c r="C393" s="750">
        <f t="shared" si="95"/>
        <v>5211</v>
      </c>
      <c r="D393" s="750">
        <f t="shared" si="95"/>
        <v>5152</v>
      </c>
      <c r="E393" s="750">
        <f t="shared" si="95"/>
        <v>4765</v>
      </c>
      <c r="F393" s="750">
        <f t="shared" si="95"/>
        <v>4961</v>
      </c>
      <c r="G393" s="750">
        <f t="shared" si="95"/>
        <v>4616</v>
      </c>
      <c r="H393" s="750">
        <f t="shared" si="95"/>
        <v>4690</v>
      </c>
      <c r="I393" s="750">
        <f t="shared" si="95"/>
        <v>5000</v>
      </c>
      <c r="J393" s="750">
        <f t="shared" si="95"/>
        <v>4647</v>
      </c>
      <c r="K393" s="750">
        <f t="shared" si="95"/>
        <v>4552</v>
      </c>
      <c r="L393" s="750">
        <f t="shared" si="95"/>
        <v>4584</v>
      </c>
      <c r="M393" s="750">
        <f t="shared" si="95"/>
        <v>4690</v>
      </c>
    </row>
    <row r="394" spans="1:15">
      <c r="A394" s="23" t="s">
        <v>637</v>
      </c>
      <c r="B394" s="148">
        <v>208.9</v>
      </c>
      <c r="C394" s="148">
        <v>219.7</v>
      </c>
      <c r="D394" s="148">
        <v>227.5</v>
      </c>
      <c r="E394" s="148">
        <v>219.6</v>
      </c>
      <c r="F394" s="148">
        <v>214.6</v>
      </c>
      <c r="G394" s="148">
        <v>199.7</v>
      </c>
      <c r="H394" s="148">
        <v>208.7</v>
      </c>
      <c r="I394" s="85">
        <v>203.6</v>
      </c>
      <c r="J394" s="85">
        <v>210.1</v>
      </c>
      <c r="K394" s="85">
        <v>210.6</v>
      </c>
      <c r="L394" s="148">
        <v>210.8</v>
      </c>
      <c r="M394" s="85">
        <v>208.4</v>
      </c>
    </row>
    <row r="395" spans="1:15">
      <c r="A395" s="23" t="s">
        <v>383</v>
      </c>
      <c r="B395" s="129">
        <v>47</v>
      </c>
      <c r="C395" s="129">
        <v>83</v>
      </c>
      <c r="D395" s="129">
        <v>85</v>
      </c>
      <c r="E395" s="129">
        <v>44</v>
      </c>
      <c r="F395" s="129">
        <v>21</v>
      </c>
      <c r="G395" s="129">
        <v>26</v>
      </c>
      <c r="H395" s="129">
        <v>27</v>
      </c>
      <c r="I395" s="147">
        <v>29</v>
      </c>
      <c r="J395" s="147">
        <v>37</v>
      </c>
      <c r="K395" s="129">
        <v>32</v>
      </c>
      <c r="L395" s="129">
        <v>22</v>
      </c>
      <c r="M395" s="129">
        <v>24</v>
      </c>
      <c r="O395" s="90"/>
    </row>
    <row r="396" spans="1:15">
      <c r="A396" s="174" t="s">
        <v>421</v>
      </c>
      <c r="B396" s="173">
        <f t="shared" ref="B396:I396" si="96">B395/B385</f>
        <v>6.8693364513300204E-3</v>
      </c>
      <c r="C396" s="173">
        <f t="shared" si="96"/>
        <v>1.1627906976744186E-2</v>
      </c>
      <c r="D396" s="173">
        <f t="shared" si="96"/>
        <v>1.1878144214645054E-2</v>
      </c>
      <c r="E396" s="173">
        <f t="shared" si="96"/>
        <v>6.6485343003928679E-3</v>
      </c>
      <c r="F396" s="173">
        <f t="shared" si="96"/>
        <v>3.0900529723366685E-3</v>
      </c>
      <c r="G396" s="173">
        <f t="shared" si="96"/>
        <v>4.1139240506329116E-3</v>
      </c>
      <c r="H396" s="173">
        <f t="shared" si="96"/>
        <v>4.2108546475358704E-3</v>
      </c>
      <c r="I396" s="173">
        <f t="shared" si="96"/>
        <v>4.3302971479767059E-3</v>
      </c>
      <c r="J396" s="173">
        <v>5.0000000000000001E-3</v>
      </c>
      <c r="K396" s="173">
        <f>K395/K385</f>
        <v>5.0156739811912229E-3</v>
      </c>
      <c r="L396" s="173">
        <f>L395/L385</f>
        <v>3.4733185980423114E-3</v>
      </c>
      <c r="M396" s="173">
        <f>IFERROR(M395/M385,0)</f>
        <v>3.68437212158428E-3</v>
      </c>
    </row>
    <row r="397" spans="1:15">
      <c r="A397" s="754" t="s">
        <v>1</v>
      </c>
      <c r="B397" s="129">
        <v>58</v>
      </c>
      <c r="C397" s="129">
        <v>50</v>
      </c>
      <c r="D397" s="129">
        <v>59</v>
      </c>
      <c r="E397" s="129">
        <v>46</v>
      </c>
      <c r="F397" s="129">
        <v>42</v>
      </c>
      <c r="G397" s="129">
        <v>35</v>
      </c>
      <c r="H397" s="129">
        <v>47</v>
      </c>
      <c r="I397" s="129">
        <v>37</v>
      </c>
      <c r="J397" s="129">
        <v>46</v>
      </c>
      <c r="K397" s="147">
        <v>49</v>
      </c>
      <c r="L397" s="129">
        <v>46</v>
      </c>
      <c r="M397" s="147">
        <v>45</v>
      </c>
      <c r="O397" s="90"/>
    </row>
    <row r="398" spans="1:15">
      <c r="A398" s="174" t="s">
        <v>422</v>
      </c>
      <c r="B398" s="173">
        <f>B397/B385</f>
        <v>8.4770534931306631E-3</v>
      </c>
      <c r="C398" s="173">
        <f>IFERROR(C397/C385,0)</f>
        <v>7.0047632390025216E-3</v>
      </c>
      <c r="D398" s="173">
        <f t="shared" ref="D398:M398" si="97">IFERROR(D397/D385,0)</f>
        <v>8.2448295136948024E-3</v>
      </c>
      <c r="E398" s="173">
        <f t="shared" si="97"/>
        <v>6.9507404049561801E-3</v>
      </c>
      <c r="F398" s="173">
        <f t="shared" si="97"/>
        <v>6.1801059446733369E-3</v>
      </c>
      <c r="G398" s="173">
        <f t="shared" si="97"/>
        <v>5.5379746835443038E-3</v>
      </c>
      <c r="H398" s="173">
        <f t="shared" si="97"/>
        <v>7.3300062383031819E-3</v>
      </c>
      <c r="I398" s="173">
        <v>8.9999999999999993E-3</v>
      </c>
      <c r="J398" s="173">
        <f t="shared" si="97"/>
        <v>7.1662252687334478E-3</v>
      </c>
      <c r="K398" s="173">
        <v>1.2E-2</v>
      </c>
      <c r="L398" s="173">
        <v>1.2E-2</v>
      </c>
      <c r="M398" s="173">
        <f t="shared" si="97"/>
        <v>6.9081977279705246E-3</v>
      </c>
    </row>
    <row r="399" spans="1:15" ht="15" customHeight="1">
      <c r="A399" s="754" t="s">
        <v>710</v>
      </c>
      <c r="B399" s="990">
        <v>0.81940000000000002</v>
      </c>
      <c r="C399" s="990">
        <v>0.90159999999999996</v>
      </c>
      <c r="D399" s="990">
        <v>0.85360000000000003</v>
      </c>
      <c r="E399" s="990">
        <v>0.87270000000000003</v>
      </c>
      <c r="F399" s="990">
        <v>0.87719999999999998</v>
      </c>
      <c r="G399" s="990">
        <v>0.89219999999999999</v>
      </c>
      <c r="H399" s="751"/>
      <c r="I399" s="751"/>
      <c r="J399" s="751"/>
      <c r="K399" s="751"/>
      <c r="L399" s="130"/>
      <c r="M399" s="130"/>
    </row>
    <row r="400" spans="1:15">
      <c r="A400" s="754" t="s">
        <v>288</v>
      </c>
      <c r="B400" s="1122"/>
      <c r="C400" s="1122"/>
      <c r="D400" s="1122"/>
      <c r="E400" s="1122"/>
      <c r="F400" s="1122"/>
      <c r="G400" s="1122"/>
      <c r="H400" s="1122"/>
      <c r="I400" s="1122"/>
      <c r="J400" s="1122"/>
      <c r="K400" s="1122"/>
      <c r="L400" s="1122"/>
      <c r="M400" s="1122"/>
    </row>
    <row r="401" spans="1:15">
      <c r="A401" s="754" t="s">
        <v>289</v>
      </c>
      <c r="B401" s="1122"/>
      <c r="C401" s="1523"/>
      <c r="D401" s="1122"/>
      <c r="E401" s="1122"/>
      <c r="F401" s="1122"/>
      <c r="G401" s="1122"/>
      <c r="H401" s="1122"/>
      <c r="I401" s="1122"/>
      <c r="J401" s="1122"/>
      <c r="K401" s="1122"/>
      <c r="L401" s="1122"/>
      <c r="M401" s="1122"/>
    </row>
    <row r="402" spans="1:15">
      <c r="A402" s="1050" t="s">
        <v>290</v>
      </c>
      <c r="B402" s="2543"/>
      <c r="C402" s="2543"/>
      <c r="D402" s="2543"/>
      <c r="E402" s="2543"/>
      <c r="F402" s="2543"/>
      <c r="G402" s="1122"/>
      <c r="H402" s="1122"/>
      <c r="I402" s="1122"/>
      <c r="J402" s="1122"/>
      <c r="K402" s="1122"/>
      <c r="L402" s="1122"/>
      <c r="M402" s="1122"/>
    </row>
    <row r="403" spans="1:15">
      <c r="A403" s="2986" t="s">
        <v>433</v>
      </c>
      <c r="B403" s="1121"/>
      <c r="C403" s="1121"/>
      <c r="D403" s="1121"/>
      <c r="E403" s="1121"/>
      <c r="F403" s="1121"/>
      <c r="G403" s="1121"/>
      <c r="H403" s="1121"/>
      <c r="I403" s="1121"/>
      <c r="J403" s="1121"/>
      <c r="K403" s="1121"/>
      <c r="L403" s="1121"/>
      <c r="M403" s="1121"/>
    </row>
    <row r="404" spans="1:15" ht="16.5">
      <c r="A404" s="2987"/>
      <c r="B404" s="1118"/>
      <c r="C404" s="1118"/>
      <c r="D404" s="1118"/>
      <c r="E404" s="1118"/>
      <c r="F404" s="1118"/>
      <c r="G404" s="1118"/>
      <c r="H404" s="1118"/>
      <c r="I404" s="1118"/>
      <c r="J404" s="1118"/>
      <c r="K404" s="1118"/>
      <c r="L404" s="1103"/>
      <c r="M404" s="1103"/>
    </row>
    <row r="405" spans="1:15">
      <c r="A405" s="23" t="s">
        <v>530</v>
      </c>
      <c r="B405" s="147">
        <v>4084</v>
      </c>
      <c r="C405" s="129">
        <v>4333</v>
      </c>
      <c r="D405" s="989">
        <v>4499</v>
      </c>
      <c r="E405" s="147">
        <v>4234</v>
      </c>
      <c r="F405" s="129">
        <v>4210</v>
      </c>
      <c r="G405" s="129">
        <v>3734</v>
      </c>
      <c r="H405" s="129">
        <v>3853</v>
      </c>
      <c r="I405" s="147">
        <v>4012</v>
      </c>
      <c r="J405" s="147">
        <v>3936</v>
      </c>
      <c r="K405" s="147">
        <v>3896</v>
      </c>
      <c r="L405" s="129">
        <v>3789</v>
      </c>
      <c r="M405" s="129">
        <v>3873</v>
      </c>
    </row>
    <row r="406" spans="1:15">
      <c r="A406" s="23" t="s">
        <v>418</v>
      </c>
      <c r="B406" s="148">
        <v>22.9</v>
      </c>
      <c r="C406" s="148">
        <v>30</v>
      </c>
      <c r="D406" s="148">
        <v>27.6</v>
      </c>
      <c r="E406" s="148">
        <v>27.5</v>
      </c>
      <c r="F406" s="148">
        <v>23</v>
      </c>
      <c r="G406" s="148">
        <v>18.8</v>
      </c>
      <c r="H406" s="148">
        <v>20.7</v>
      </c>
      <c r="I406" s="148">
        <v>21.8</v>
      </c>
      <c r="J406" s="148">
        <v>23.2</v>
      </c>
      <c r="K406" s="148">
        <v>22.1</v>
      </c>
      <c r="L406" s="148">
        <v>20.8</v>
      </c>
      <c r="M406" s="148">
        <v>21.3</v>
      </c>
    </row>
    <row r="407" spans="1:15">
      <c r="A407" s="23" t="s">
        <v>160</v>
      </c>
      <c r="B407" s="1104"/>
      <c r="C407" s="1104"/>
      <c r="D407" s="1104"/>
      <c r="E407" s="1104"/>
      <c r="F407" s="1104"/>
      <c r="G407" s="1104"/>
      <c r="H407" s="1104"/>
      <c r="I407" s="1104"/>
      <c r="J407" s="1120"/>
      <c r="K407" s="1120"/>
      <c r="L407" s="1104"/>
      <c r="M407" s="1104"/>
    </row>
    <row r="408" spans="1:15">
      <c r="A408" s="171" t="s">
        <v>161</v>
      </c>
      <c r="B408" s="1121"/>
      <c r="C408" s="1121"/>
      <c r="D408" s="1121"/>
      <c r="E408" s="1121"/>
      <c r="F408" s="1121"/>
      <c r="G408" s="1121"/>
      <c r="H408" s="1121"/>
      <c r="I408" s="1121"/>
      <c r="J408" s="1121"/>
      <c r="K408" s="1121"/>
      <c r="L408" s="1121"/>
      <c r="M408" s="1121"/>
    </row>
    <row r="409" spans="1:15">
      <c r="A409" s="23" t="s">
        <v>622</v>
      </c>
      <c r="B409" s="147">
        <v>1144</v>
      </c>
      <c r="C409" s="989">
        <v>1170</v>
      </c>
      <c r="D409" s="989">
        <v>1169</v>
      </c>
      <c r="E409" s="147">
        <v>1059</v>
      </c>
      <c r="F409" s="129">
        <v>968</v>
      </c>
      <c r="G409" s="129">
        <v>896</v>
      </c>
      <c r="H409" s="129">
        <v>923</v>
      </c>
      <c r="I409" s="147">
        <v>939</v>
      </c>
      <c r="J409" s="147">
        <v>979</v>
      </c>
      <c r="K409" s="147">
        <v>968</v>
      </c>
      <c r="L409" s="129">
        <v>933</v>
      </c>
      <c r="M409" s="147">
        <v>1007</v>
      </c>
    </row>
    <row r="410" spans="1:15">
      <c r="A410" s="171" t="s">
        <v>620</v>
      </c>
      <c r="B410" s="173">
        <f>B409/B405</f>
        <v>0.2801175318315377</v>
      </c>
      <c r="C410" s="173">
        <f t="shared" ref="C410:I410" si="98">C409/C405</f>
        <v>0.27002077082852527</v>
      </c>
      <c r="D410" s="173">
        <f t="shared" si="98"/>
        <v>0.25983551900422314</v>
      </c>
      <c r="E410" s="173">
        <f t="shared" si="98"/>
        <v>0.25011809163911197</v>
      </c>
      <c r="F410" s="173">
        <f t="shared" si="98"/>
        <v>0.22992874109263658</v>
      </c>
      <c r="G410" s="173">
        <f t="shared" si="98"/>
        <v>0.2399571505088377</v>
      </c>
      <c r="H410" s="173">
        <f t="shared" si="98"/>
        <v>0.23955359460160913</v>
      </c>
      <c r="I410" s="173">
        <f t="shared" si="98"/>
        <v>0.23404785643070788</v>
      </c>
      <c r="J410" s="173">
        <v>0.25</v>
      </c>
      <c r="K410" s="173">
        <v>0.25</v>
      </c>
      <c r="L410" s="173">
        <v>0.25</v>
      </c>
      <c r="M410" s="173">
        <v>0.26</v>
      </c>
    </row>
    <row r="411" spans="1:15">
      <c r="A411" s="23" t="s">
        <v>538</v>
      </c>
      <c r="B411" s="85">
        <v>360</v>
      </c>
      <c r="C411" s="148">
        <v>408</v>
      </c>
      <c r="D411" s="148">
        <v>378</v>
      </c>
      <c r="E411" s="148">
        <v>318</v>
      </c>
      <c r="F411" s="148">
        <v>288</v>
      </c>
      <c r="G411" s="148">
        <v>270</v>
      </c>
      <c r="H411" s="148">
        <v>288</v>
      </c>
      <c r="I411" s="148">
        <v>288</v>
      </c>
      <c r="J411" s="148">
        <v>330</v>
      </c>
      <c r="K411" s="85">
        <v>300</v>
      </c>
      <c r="L411" s="148">
        <v>294</v>
      </c>
      <c r="M411" s="85">
        <v>306</v>
      </c>
    </row>
    <row r="412" spans="1:15">
      <c r="A412" s="171" t="s">
        <v>528</v>
      </c>
      <c r="B412" s="172">
        <f>B413/B405</f>
        <v>0.71988246816846224</v>
      </c>
      <c r="C412" s="173">
        <f>IFERROR(C413/C405,0)</f>
        <v>0.72997922917147473</v>
      </c>
      <c r="D412" s="173">
        <f t="shared" ref="D412:M412" si="99">IFERROR(D413/D405,0)</f>
        <v>0.74016448099577681</v>
      </c>
      <c r="E412" s="173">
        <f t="shared" si="99"/>
        <v>0.74988190836088808</v>
      </c>
      <c r="F412" s="173">
        <f t="shared" si="99"/>
        <v>0.77007125890736339</v>
      </c>
      <c r="G412" s="173">
        <f t="shared" si="99"/>
        <v>0.7600428494911623</v>
      </c>
      <c r="H412" s="173">
        <f t="shared" si="99"/>
        <v>0.76044640539839081</v>
      </c>
      <c r="I412" s="173">
        <f t="shared" si="99"/>
        <v>0.76595214356929209</v>
      </c>
      <c r="J412" s="173">
        <f t="shared" si="99"/>
        <v>0.75127032520325199</v>
      </c>
      <c r="K412" s="173">
        <f t="shared" si="99"/>
        <v>0.75154004106776184</v>
      </c>
      <c r="L412" s="173">
        <f t="shared" si="99"/>
        <v>0.75376088677751385</v>
      </c>
      <c r="M412" s="173">
        <f t="shared" si="99"/>
        <v>0.73999483604440996</v>
      </c>
    </row>
    <row r="413" spans="1:15">
      <c r="A413" s="171" t="s">
        <v>39</v>
      </c>
      <c r="B413" s="750">
        <f t="shared" ref="B413:M413" si="100">B405-B409</f>
        <v>2940</v>
      </c>
      <c r="C413" s="750">
        <f t="shared" si="100"/>
        <v>3163</v>
      </c>
      <c r="D413" s="750">
        <f t="shared" si="100"/>
        <v>3330</v>
      </c>
      <c r="E413" s="750">
        <f t="shared" si="100"/>
        <v>3175</v>
      </c>
      <c r="F413" s="750">
        <f t="shared" si="100"/>
        <v>3242</v>
      </c>
      <c r="G413" s="750">
        <f t="shared" si="100"/>
        <v>2838</v>
      </c>
      <c r="H413" s="750">
        <f t="shared" si="100"/>
        <v>2930</v>
      </c>
      <c r="I413" s="750">
        <f t="shared" si="100"/>
        <v>3073</v>
      </c>
      <c r="J413" s="750">
        <f t="shared" si="100"/>
        <v>2957</v>
      </c>
      <c r="K413" s="750">
        <f t="shared" si="100"/>
        <v>2928</v>
      </c>
      <c r="L413" s="750">
        <f t="shared" si="100"/>
        <v>2856</v>
      </c>
      <c r="M413" s="750">
        <f t="shared" si="100"/>
        <v>2866</v>
      </c>
    </row>
    <row r="414" spans="1:15">
      <c r="A414" s="23" t="s">
        <v>637</v>
      </c>
      <c r="B414" s="148">
        <v>200</v>
      </c>
      <c r="C414" s="148">
        <v>208.5</v>
      </c>
      <c r="D414" s="148">
        <v>215.2</v>
      </c>
      <c r="E414" s="148">
        <v>215.8</v>
      </c>
      <c r="F414" s="148">
        <v>205.4</v>
      </c>
      <c r="G414" s="148">
        <v>197.1</v>
      </c>
      <c r="H414" s="148">
        <v>201.8</v>
      </c>
      <c r="I414" s="148">
        <v>201.6</v>
      </c>
      <c r="J414" s="85">
        <v>202.9</v>
      </c>
      <c r="K414" s="85">
        <v>195.6</v>
      </c>
      <c r="L414" s="148">
        <v>197.8</v>
      </c>
      <c r="M414" s="85">
        <v>198.6</v>
      </c>
    </row>
    <row r="415" spans="1:15">
      <c r="A415" s="23" t="s">
        <v>383</v>
      </c>
      <c r="B415" s="129">
        <v>34</v>
      </c>
      <c r="C415" s="129">
        <v>62</v>
      </c>
      <c r="D415" s="129">
        <v>51</v>
      </c>
      <c r="E415" s="129">
        <v>55</v>
      </c>
      <c r="F415" s="129">
        <v>33</v>
      </c>
      <c r="G415" s="129">
        <v>17</v>
      </c>
      <c r="H415" s="129">
        <v>25</v>
      </c>
      <c r="I415" s="129">
        <v>24</v>
      </c>
      <c r="J415" s="147">
        <v>25</v>
      </c>
      <c r="K415" s="147">
        <v>20</v>
      </c>
      <c r="L415" s="129">
        <v>22</v>
      </c>
      <c r="M415" s="129">
        <v>41</v>
      </c>
      <c r="O415" s="120"/>
    </row>
    <row r="416" spans="1:15">
      <c r="A416" s="174" t="s">
        <v>421</v>
      </c>
      <c r="B416" s="173">
        <f t="shared" ref="B416:I416" si="101">B415/B405</f>
        <v>8.3251714005876595E-3</v>
      </c>
      <c r="C416" s="173">
        <f t="shared" si="101"/>
        <v>1.4308792984075698E-2</v>
      </c>
      <c r="D416" s="173">
        <f t="shared" si="101"/>
        <v>1.1335852411647033E-2</v>
      </c>
      <c r="E416" s="173">
        <f t="shared" si="101"/>
        <v>1.2990080302314596E-2</v>
      </c>
      <c r="F416" s="173">
        <f t="shared" si="101"/>
        <v>7.8384798099762464E-3</v>
      </c>
      <c r="G416" s="173">
        <f t="shared" si="101"/>
        <v>4.5527584359935725E-3</v>
      </c>
      <c r="H416" s="173">
        <f t="shared" si="101"/>
        <v>6.4884505580067482E-3</v>
      </c>
      <c r="I416" s="173">
        <f t="shared" si="101"/>
        <v>5.9820538384845467E-3</v>
      </c>
      <c r="J416" s="173">
        <v>6.0000000000000001E-3</v>
      </c>
      <c r="K416" s="173">
        <f>IFERROR(K415/K405,0)</f>
        <v>5.1334702258726897E-3</v>
      </c>
      <c r="L416" s="173">
        <f>IFERROR(L415/L405,0)</f>
        <v>5.8062813407231458E-3</v>
      </c>
      <c r="M416" s="173">
        <f>IFERROR(M415/M405,0)</f>
        <v>1.0586108959462949E-2</v>
      </c>
    </row>
    <row r="417" spans="1:14">
      <c r="A417" s="754" t="s">
        <v>1</v>
      </c>
      <c r="B417" s="129">
        <v>19</v>
      </c>
      <c r="C417" s="129">
        <v>24</v>
      </c>
      <c r="D417" s="129">
        <v>22</v>
      </c>
      <c r="E417" s="129">
        <v>23</v>
      </c>
      <c r="F417" s="129">
        <v>21</v>
      </c>
      <c r="G417" s="129">
        <v>17</v>
      </c>
      <c r="H417" s="129">
        <v>25</v>
      </c>
      <c r="I417" s="129">
        <v>21</v>
      </c>
      <c r="J417" s="129">
        <v>25</v>
      </c>
      <c r="K417" s="129">
        <v>20</v>
      </c>
      <c r="L417" s="129">
        <v>16</v>
      </c>
      <c r="M417" s="129">
        <v>16</v>
      </c>
    </row>
    <row r="418" spans="1:14">
      <c r="A418" s="174" t="s">
        <v>422</v>
      </c>
      <c r="B418" s="173">
        <f>B417/B405</f>
        <v>4.6523016650342804E-3</v>
      </c>
      <c r="C418" s="173">
        <f>C417/C405</f>
        <v>5.5388876067389795E-3</v>
      </c>
      <c r="D418" s="173">
        <f t="shared" ref="D418:M418" si="102">IFERROR(D417/D405,0)</f>
        <v>4.8899755501222494E-3</v>
      </c>
      <c r="E418" s="173">
        <f t="shared" si="102"/>
        <v>5.43221539914974E-3</v>
      </c>
      <c r="F418" s="173">
        <f t="shared" si="102"/>
        <v>4.9881235154394295E-3</v>
      </c>
      <c r="G418" s="173">
        <f t="shared" si="102"/>
        <v>4.5527584359935725E-3</v>
      </c>
      <c r="H418" s="173">
        <f t="shared" si="102"/>
        <v>6.4884505580067482E-3</v>
      </c>
      <c r="I418" s="173">
        <f>I417/I405</f>
        <v>5.2342971086739784E-3</v>
      </c>
      <c r="J418" s="173">
        <f t="shared" si="102"/>
        <v>6.3516260162601625E-3</v>
      </c>
      <c r="K418" s="173">
        <v>1.0999999999999999E-2</v>
      </c>
      <c r="L418" s="173">
        <v>8.9999999999999993E-3</v>
      </c>
      <c r="M418" s="173">
        <f t="shared" si="102"/>
        <v>4.1311644719855406E-3</v>
      </c>
    </row>
    <row r="419" spans="1:14">
      <c r="A419" s="754" t="s">
        <v>534</v>
      </c>
      <c r="B419" s="990">
        <v>0.91569999999999996</v>
      </c>
      <c r="C419" s="990">
        <v>0.8629</v>
      </c>
      <c r="D419" s="990">
        <v>0.88639999999999997</v>
      </c>
      <c r="E419" s="990">
        <v>0.81010000000000004</v>
      </c>
      <c r="F419" s="990">
        <v>0.87109999999999999</v>
      </c>
      <c r="G419" s="130">
        <v>0.84</v>
      </c>
      <c r="H419" s="751"/>
      <c r="I419" s="751"/>
      <c r="J419" s="751"/>
      <c r="K419" s="751"/>
      <c r="L419" s="130"/>
      <c r="M419" s="130"/>
    </row>
    <row r="420" spans="1:14">
      <c r="A420" s="754" t="s">
        <v>288</v>
      </c>
      <c r="B420" s="1122"/>
      <c r="C420" s="1122"/>
      <c r="D420" s="1122"/>
      <c r="E420" s="1122"/>
      <c r="F420" s="1122"/>
      <c r="G420" s="1122"/>
      <c r="H420" s="1122"/>
      <c r="I420" s="1122"/>
      <c r="J420" s="1122"/>
      <c r="K420" s="1122"/>
      <c r="L420" s="1122"/>
      <c r="M420" s="1122"/>
    </row>
    <row r="421" spans="1:14">
      <c r="A421" s="754" t="s">
        <v>289</v>
      </c>
      <c r="B421" s="1122"/>
      <c r="C421" s="1523"/>
      <c r="D421" s="1122"/>
      <c r="E421" s="1122"/>
      <c r="F421" s="1122"/>
      <c r="G421" s="1122"/>
      <c r="H421" s="1122"/>
      <c r="I421" s="1122"/>
      <c r="J421" s="1122"/>
      <c r="K421" s="1122"/>
      <c r="L421" s="1122"/>
      <c r="M421" s="1122"/>
    </row>
    <row r="422" spans="1:14">
      <c r="A422" s="754" t="s">
        <v>290</v>
      </c>
      <c r="B422" s="2543">
        <v>0.83889999999999998</v>
      </c>
      <c r="C422" s="2543">
        <v>0.75770000000000004</v>
      </c>
      <c r="D422" s="2543">
        <v>0.83930000000000005</v>
      </c>
      <c r="E422" s="2543">
        <v>0.85360000000000003</v>
      </c>
      <c r="F422" s="2543">
        <v>0.80520000000000003</v>
      </c>
      <c r="G422" s="1122"/>
      <c r="H422" s="1122"/>
      <c r="I422" s="1122"/>
      <c r="J422" s="1122"/>
      <c r="K422" s="1122"/>
      <c r="L422" s="1122"/>
      <c r="M422" s="1122"/>
      <c r="N422" s="129"/>
    </row>
    <row r="423" spans="1:14" ht="6.75" customHeight="1">
      <c r="A423" s="1123"/>
      <c r="B423" s="1122"/>
      <c r="C423" s="1122"/>
      <c r="D423" s="1122"/>
      <c r="E423" s="1122"/>
      <c r="F423" s="1122"/>
      <c r="G423" s="1122"/>
      <c r="H423" s="1122"/>
      <c r="I423" s="1122"/>
      <c r="J423" s="1122"/>
      <c r="K423" s="1122"/>
      <c r="L423" s="1122"/>
      <c r="M423" s="1122"/>
      <c r="N423" s="129"/>
    </row>
    <row r="424" spans="1:14" ht="6.75" customHeight="1">
      <c r="A424" s="1123"/>
      <c r="B424" s="1122"/>
      <c r="C424" s="1122"/>
      <c r="D424" s="1122"/>
      <c r="E424" s="1122"/>
      <c r="F424" s="1122"/>
      <c r="G424" s="1122"/>
      <c r="H424" s="1122"/>
      <c r="I424" s="1122"/>
      <c r="J424" s="1122"/>
      <c r="K424" s="1122"/>
      <c r="L424" s="1122"/>
      <c r="M424" s="1122"/>
      <c r="N424" s="129"/>
    </row>
    <row r="425" spans="1:14">
      <c r="A425" s="762" t="s">
        <v>543</v>
      </c>
      <c r="B425" s="2990"/>
      <c r="C425" s="2991"/>
      <c r="D425" s="2991"/>
      <c r="E425" s="2991"/>
      <c r="F425" s="2991"/>
      <c r="G425" s="2991"/>
      <c r="H425" s="2991"/>
      <c r="I425" s="2991"/>
      <c r="J425" s="2991"/>
      <c r="K425" s="2991"/>
      <c r="L425" s="2991"/>
      <c r="M425" s="763"/>
    </row>
    <row r="426" spans="1:14">
      <c r="A426" s="764" t="s">
        <v>384</v>
      </c>
      <c r="B426" s="2989" t="s">
        <v>385</v>
      </c>
      <c r="C426" s="2989"/>
      <c r="D426" s="2989"/>
      <c r="E426" s="2989"/>
      <c r="F426" s="2989"/>
      <c r="G426" s="2989"/>
      <c r="H426" s="2989"/>
      <c r="I426" s="2989"/>
      <c r="J426" s="2989"/>
      <c r="K426" s="2989"/>
      <c r="L426" s="2989"/>
      <c r="M426" s="763"/>
    </row>
    <row r="427" spans="1:14">
      <c r="A427" s="764" t="s">
        <v>386</v>
      </c>
      <c r="B427" s="2989" t="s">
        <v>387</v>
      </c>
      <c r="C427" s="2989" t="s">
        <v>387</v>
      </c>
      <c r="D427" s="2989" t="s">
        <v>387</v>
      </c>
      <c r="E427" s="2989" t="s">
        <v>387</v>
      </c>
      <c r="F427" s="2989" t="s">
        <v>387</v>
      </c>
      <c r="G427" s="2989" t="s">
        <v>387</v>
      </c>
      <c r="H427" s="2989" t="s">
        <v>387</v>
      </c>
      <c r="I427" s="2989" t="s">
        <v>387</v>
      </c>
      <c r="J427" s="2989" t="s">
        <v>387</v>
      </c>
      <c r="K427" s="2989" t="s">
        <v>387</v>
      </c>
      <c r="L427" s="2989" t="s">
        <v>387</v>
      </c>
      <c r="M427" s="763"/>
    </row>
    <row r="428" spans="1:14">
      <c r="A428" s="764" t="s">
        <v>388</v>
      </c>
      <c r="B428" s="2989" t="s">
        <v>389</v>
      </c>
      <c r="C428" s="2989" t="s">
        <v>389</v>
      </c>
      <c r="D428" s="2989" t="s">
        <v>389</v>
      </c>
      <c r="E428" s="2989" t="s">
        <v>389</v>
      </c>
      <c r="F428" s="2989" t="s">
        <v>389</v>
      </c>
      <c r="G428" s="2989" t="s">
        <v>389</v>
      </c>
      <c r="H428" s="2989" t="s">
        <v>389</v>
      </c>
      <c r="I428" s="2989" t="s">
        <v>389</v>
      </c>
      <c r="J428" s="2989" t="s">
        <v>389</v>
      </c>
      <c r="K428" s="2989" t="s">
        <v>389</v>
      </c>
      <c r="L428" s="2989" t="s">
        <v>389</v>
      </c>
      <c r="M428" s="763"/>
    </row>
    <row r="429" spans="1:14">
      <c r="A429" s="764" t="s">
        <v>390</v>
      </c>
      <c r="B429" s="2989" t="s">
        <v>391</v>
      </c>
      <c r="C429" s="2989" t="s">
        <v>391</v>
      </c>
      <c r="D429" s="2989" t="s">
        <v>391</v>
      </c>
      <c r="E429" s="2989" t="s">
        <v>391</v>
      </c>
      <c r="F429" s="2989" t="s">
        <v>391</v>
      </c>
      <c r="G429" s="2989" t="s">
        <v>391</v>
      </c>
      <c r="H429" s="2989" t="s">
        <v>391</v>
      </c>
      <c r="I429" s="2989" t="s">
        <v>391</v>
      </c>
      <c r="J429" s="2989" t="s">
        <v>391</v>
      </c>
      <c r="K429" s="2989" t="s">
        <v>391</v>
      </c>
      <c r="L429" s="2989" t="s">
        <v>391</v>
      </c>
      <c r="M429" s="763"/>
    </row>
    <row r="430" spans="1:14">
      <c r="A430" s="764" t="s">
        <v>392</v>
      </c>
      <c r="B430" s="2989" t="s">
        <v>393</v>
      </c>
      <c r="C430" s="2989" t="s">
        <v>393</v>
      </c>
      <c r="D430" s="2989" t="s">
        <v>393</v>
      </c>
      <c r="E430" s="2989" t="s">
        <v>393</v>
      </c>
      <c r="F430" s="2989" t="s">
        <v>393</v>
      </c>
      <c r="G430" s="2989" t="s">
        <v>393</v>
      </c>
      <c r="H430" s="2989" t="s">
        <v>393</v>
      </c>
      <c r="I430" s="2989" t="s">
        <v>393</v>
      </c>
      <c r="J430" s="2989" t="s">
        <v>393</v>
      </c>
      <c r="K430" s="2989" t="s">
        <v>393</v>
      </c>
      <c r="L430" s="2989" t="s">
        <v>393</v>
      </c>
      <c r="M430" s="763"/>
    </row>
    <row r="431" spans="1:14">
      <c r="A431" s="764" t="s">
        <v>394</v>
      </c>
      <c r="B431" s="2989" t="s">
        <v>395</v>
      </c>
      <c r="C431" s="2989" t="s">
        <v>395</v>
      </c>
      <c r="D431" s="2989" t="s">
        <v>395</v>
      </c>
      <c r="E431" s="2989" t="s">
        <v>395</v>
      </c>
      <c r="F431" s="2989" t="s">
        <v>395</v>
      </c>
      <c r="G431" s="2989" t="s">
        <v>395</v>
      </c>
      <c r="H431" s="2989" t="s">
        <v>395</v>
      </c>
      <c r="I431" s="2989" t="s">
        <v>395</v>
      </c>
      <c r="J431" s="2989" t="s">
        <v>395</v>
      </c>
      <c r="K431" s="2989" t="s">
        <v>395</v>
      </c>
      <c r="L431" s="2989" t="s">
        <v>395</v>
      </c>
      <c r="M431" s="763"/>
    </row>
    <row r="432" spans="1:14">
      <c r="A432" s="764" t="s">
        <v>396</v>
      </c>
      <c r="B432" s="2989" t="s">
        <v>397</v>
      </c>
      <c r="C432" s="2989" t="s">
        <v>397</v>
      </c>
      <c r="D432" s="2989" t="s">
        <v>397</v>
      </c>
      <c r="E432" s="2989" t="s">
        <v>397</v>
      </c>
      <c r="F432" s="2989" t="s">
        <v>397</v>
      </c>
      <c r="G432" s="2989" t="s">
        <v>397</v>
      </c>
      <c r="H432" s="2989" t="s">
        <v>397</v>
      </c>
      <c r="I432" s="2989" t="s">
        <v>397</v>
      </c>
      <c r="J432" s="2989" t="s">
        <v>397</v>
      </c>
      <c r="K432" s="2989" t="s">
        <v>397</v>
      </c>
      <c r="L432" s="2989" t="s">
        <v>397</v>
      </c>
      <c r="M432" s="763"/>
    </row>
    <row r="433" spans="1:21">
      <c r="A433" s="764" t="s">
        <v>398</v>
      </c>
      <c r="B433" s="2989" t="s">
        <v>399</v>
      </c>
      <c r="C433" s="2989" t="s">
        <v>399</v>
      </c>
      <c r="D433" s="2989" t="s">
        <v>399</v>
      </c>
      <c r="E433" s="2989" t="s">
        <v>399</v>
      </c>
      <c r="F433" s="2989" t="s">
        <v>399</v>
      </c>
      <c r="G433" s="2989" t="s">
        <v>399</v>
      </c>
      <c r="H433" s="2989" t="s">
        <v>399</v>
      </c>
      <c r="I433" s="2989" t="s">
        <v>399</v>
      </c>
      <c r="J433" s="2989" t="s">
        <v>399</v>
      </c>
      <c r="K433" s="2989" t="s">
        <v>399</v>
      </c>
      <c r="L433" s="2989" t="s">
        <v>399</v>
      </c>
      <c r="M433" s="763"/>
    </row>
    <row r="434" spans="1:21">
      <c r="A434" s="764" t="s">
        <v>400</v>
      </c>
      <c r="B434" s="2989" t="s">
        <v>401</v>
      </c>
      <c r="C434" s="2989" t="s">
        <v>401</v>
      </c>
      <c r="D434" s="2989" t="s">
        <v>401</v>
      </c>
      <c r="E434" s="2989" t="s">
        <v>401</v>
      </c>
      <c r="F434" s="2989" t="s">
        <v>401</v>
      </c>
      <c r="G434" s="2989" t="s">
        <v>401</v>
      </c>
      <c r="H434" s="2989" t="s">
        <v>401</v>
      </c>
      <c r="I434" s="2989" t="s">
        <v>401</v>
      </c>
      <c r="J434" s="2989" t="s">
        <v>401</v>
      </c>
      <c r="K434" s="2989" t="s">
        <v>401</v>
      </c>
      <c r="L434" s="2989" t="s">
        <v>401</v>
      </c>
      <c r="M434" s="763"/>
    </row>
    <row r="435" spans="1:21">
      <c r="A435" s="764" t="s">
        <v>402</v>
      </c>
      <c r="B435" s="2989" t="s">
        <v>403</v>
      </c>
      <c r="C435" s="2989" t="s">
        <v>403</v>
      </c>
      <c r="D435" s="2989" t="s">
        <v>403</v>
      </c>
      <c r="E435" s="2989" t="s">
        <v>403</v>
      </c>
      <c r="F435" s="2989" t="s">
        <v>403</v>
      </c>
      <c r="G435" s="2989" t="s">
        <v>403</v>
      </c>
      <c r="H435" s="2989" t="s">
        <v>403</v>
      </c>
      <c r="I435" s="2989" t="s">
        <v>403</v>
      </c>
      <c r="J435" s="2989" t="s">
        <v>403</v>
      </c>
      <c r="K435" s="2989" t="s">
        <v>403</v>
      </c>
      <c r="L435" s="2989" t="s">
        <v>403</v>
      </c>
      <c r="M435" s="763"/>
    </row>
    <row r="436" spans="1:21">
      <c r="A436" s="764" t="s">
        <v>404</v>
      </c>
      <c r="B436" s="2989" t="s">
        <v>405</v>
      </c>
      <c r="C436" s="2989" t="s">
        <v>405</v>
      </c>
      <c r="D436" s="2989" t="s">
        <v>405</v>
      </c>
      <c r="E436" s="2989" t="s">
        <v>405</v>
      </c>
      <c r="F436" s="2989" t="s">
        <v>405</v>
      </c>
      <c r="G436" s="2989" t="s">
        <v>405</v>
      </c>
      <c r="H436" s="2989" t="s">
        <v>405</v>
      </c>
      <c r="I436" s="2989" t="s">
        <v>405</v>
      </c>
      <c r="J436" s="2989" t="s">
        <v>405</v>
      </c>
      <c r="K436" s="2989" t="s">
        <v>405</v>
      </c>
      <c r="L436" s="2989" t="s">
        <v>405</v>
      </c>
      <c r="M436" s="763"/>
    </row>
    <row r="437" spans="1:21">
      <c r="A437" s="764" t="s">
        <v>406</v>
      </c>
      <c r="B437" s="2989" t="s">
        <v>407</v>
      </c>
      <c r="C437" s="2989" t="s">
        <v>407</v>
      </c>
      <c r="D437" s="2989" t="s">
        <v>407</v>
      </c>
      <c r="E437" s="2989" t="s">
        <v>407</v>
      </c>
      <c r="F437" s="2989" t="s">
        <v>407</v>
      </c>
      <c r="G437" s="2989" t="s">
        <v>407</v>
      </c>
      <c r="H437" s="2989" t="s">
        <v>407</v>
      </c>
      <c r="I437" s="2989" t="s">
        <v>407</v>
      </c>
      <c r="J437" s="2989" t="s">
        <v>407</v>
      </c>
      <c r="K437" s="2989" t="s">
        <v>407</v>
      </c>
      <c r="L437" s="2989" t="s">
        <v>407</v>
      </c>
      <c r="M437" s="763"/>
    </row>
    <row r="438" spans="1:21">
      <c r="A438" s="764" t="s">
        <v>408</v>
      </c>
      <c r="B438" s="2989" t="s">
        <v>429</v>
      </c>
      <c r="C438" s="2989" t="s">
        <v>429</v>
      </c>
      <c r="D438" s="2989" t="s">
        <v>429</v>
      </c>
      <c r="E438" s="2989" t="s">
        <v>429</v>
      </c>
      <c r="F438" s="2989" t="s">
        <v>429</v>
      </c>
      <c r="G438" s="2989" t="s">
        <v>429</v>
      </c>
      <c r="H438" s="2989" t="s">
        <v>429</v>
      </c>
      <c r="I438" s="2989" t="s">
        <v>429</v>
      </c>
      <c r="J438" s="2989" t="s">
        <v>429</v>
      </c>
      <c r="K438" s="2989" t="s">
        <v>429</v>
      </c>
      <c r="L438" s="2989" t="s">
        <v>429</v>
      </c>
      <c r="M438" s="763"/>
    </row>
    <row r="439" spans="1:21">
      <c r="A439" s="764" t="s">
        <v>409</v>
      </c>
      <c r="B439" s="2989" t="s">
        <v>430</v>
      </c>
      <c r="C439" s="2989" t="s">
        <v>430</v>
      </c>
      <c r="D439" s="2989" t="s">
        <v>430</v>
      </c>
      <c r="E439" s="2989" t="s">
        <v>430</v>
      </c>
      <c r="F439" s="2989" t="s">
        <v>430</v>
      </c>
      <c r="G439" s="2989" t="s">
        <v>430</v>
      </c>
      <c r="H439" s="2989" t="s">
        <v>430</v>
      </c>
      <c r="I439" s="2989" t="s">
        <v>430</v>
      </c>
      <c r="J439" s="2989" t="s">
        <v>430</v>
      </c>
      <c r="K439" s="2989" t="s">
        <v>430</v>
      </c>
      <c r="L439" s="2989" t="s">
        <v>430</v>
      </c>
      <c r="M439" s="763"/>
    </row>
    <row r="440" spans="1:21">
      <c r="A440" s="764" t="s">
        <v>410</v>
      </c>
      <c r="B440" s="2989" t="s">
        <v>431</v>
      </c>
      <c r="C440" s="2989" t="s">
        <v>431</v>
      </c>
      <c r="D440" s="2989" t="s">
        <v>431</v>
      </c>
      <c r="E440" s="2989" t="s">
        <v>431</v>
      </c>
      <c r="F440" s="2989" t="s">
        <v>431</v>
      </c>
      <c r="G440" s="2989" t="s">
        <v>431</v>
      </c>
      <c r="H440" s="2989" t="s">
        <v>431</v>
      </c>
      <c r="I440" s="2989" t="s">
        <v>431</v>
      </c>
      <c r="J440" s="2989" t="s">
        <v>431</v>
      </c>
      <c r="K440" s="2989" t="s">
        <v>431</v>
      </c>
      <c r="L440" s="2989" t="s">
        <v>431</v>
      </c>
      <c r="M440" s="763"/>
    </row>
    <row r="441" spans="1:21">
      <c r="A441" s="764" t="s">
        <v>411</v>
      </c>
      <c r="B441" s="2989" t="s">
        <v>412</v>
      </c>
      <c r="C441" s="2989" t="s">
        <v>412</v>
      </c>
      <c r="D441" s="2989" t="s">
        <v>412</v>
      </c>
      <c r="E441" s="2989" t="s">
        <v>412</v>
      </c>
      <c r="F441" s="2989" t="s">
        <v>412</v>
      </c>
      <c r="G441" s="2989" t="s">
        <v>412</v>
      </c>
      <c r="H441" s="2989" t="s">
        <v>412</v>
      </c>
      <c r="I441" s="2989" t="s">
        <v>412</v>
      </c>
      <c r="J441" s="2989" t="s">
        <v>412</v>
      </c>
      <c r="K441" s="2989" t="s">
        <v>412</v>
      </c>
      <c r="L441" s="2989" t="s">
        <v>412</v>
      </c>
      <c r="M441" s="763"/>
    </row>
    <row r="442" spans="1:21">
      <c r="A442" s="764" t="s">
        <v>413</v>
      </c>
      <c r="B442" s="2989" t="s">
        <v>414</v>
      </c>
      <c r="C442" s="2989" t="s">
        <v>414</v>
      </c>
      <c r="D442" s="2989" t="s">
        <v>414</v>
      </c>
      <c r="E442" s="2989" t="s">
        <v>414</v>
      </c>
      <c r="F442" s="2989" t="s">
        <v>414</v>
      </c>
      <c r="G442" s="2989" t="s">
        <v>414</v>
      </c>
      <c r="H442" s="2989" t="s">
        <v>414</v>
      </c>
      <c r="I442" s="2989" t="s">
        <v>414</v>
      </c>
      <c r="J442" s="2989" t="s">
        <v>414</v>
      </c>
      <c r="K442" s="2989" t="s">
        <v>414</v>
      </c>
      <c r="L442" s="2989" t="s">
        <v>414</v>
      </c>
      <c r="M442" s="763"/>
    </row>
    <row r="443" spans="1:21" ht="6.75" customHeight="1">
      <c r="A443" s="1530"/>
      <c r="B443" s="1531"/>
      <c r="C443" s="1531"/>
      <c r="D443" s="1531"/>
      <c r="E443" s="1531"/>
      <c r="F443" s="1531"/>
      <c r="G443" s="1531"/>
      <c r="H443" s="1531"/>
      <c r="I443" s="1531"/>
      <c r="J443" s="1531"/>
      <c r="K443" s="1531"/>
      <c r="L443" s="1531"/>
      <c r="M443" s="1112"/>
    </row>
    <row r="444" spans="1:21" ht="6.75" customHeight="1">
      <c r="A444" s="1112"/>
      <c r="B444" s="1104"/>
      <c r="C444" s="1112"/>
      <c r="D444" s="1112"/>
      <c r="E444" s="1112"/>
      <c r="F444" s="1112"/>
      <c r="G444" s="1112"/>
      <c r="H444" s="1112"/>
      <c r="I444" s="1112"/>
      <c r="J444" s="1112"/>
      <c r="K444" s="1532"/>
      <c r="L444" s="1533"/>
      <c r="M444" s="1533"/>
      <c r="N444" s="186"/>
      <c r="O444" s="186"/>
      <c r="P444" s="186"/>
      <c r="Q444" s="186"/>
      <c r="R444" s="186"/>
      <c r="S444" s="186"/>
      <c r="T444" s="186"/>
      <c r="U444" s="186"/>
    </row>
    <row r="445" spans="1:21"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</row>
    <row r="466" spans="1:14" s="5" customFormat="1">
      <c r="A466" s="23"/>
      <c r="B466" s="147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</row>
    <row r="468" spans="1:14" s="2" customFormat="1">
      <c r="A468" s="23"/>
      <c r="B468" s="147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</row>
  </sheetData>
  <sheetProtection formatCells="0" formatColumns="0" formatRows="0" insertColumns="0" insertRows="0" insertHyperlinks="0" deleteColumns="0" deleteRows="0" sort="0" autoFilter="0" pivotTables="0"/>
  <mergeCells count="39">
    <mergeCell ref="B440:L440"/>
    <mergeCell ref="B441:L441"/>
    <mergeCell ref="B442:L442"/>
    <mergeCell ref="B435:L435"/>
    <mergeCell ref="B436:L436"/>
    <mergeCell ref="B437:L437"/>
    <mergeCell ref="B438:L438"/>
    <mergeCell ref="B439:L439"/>
    <mergeCell ref="B430:L430"/>
    <mergeCell ref="B431:L431"/>
    <mergeCell ref="B432:L432"/>
    <mergeCell ref="B433:L433"/>
    <mergeCell ref="B434:L434"/>
    <mergeCell ref="B426:L426"/>
    <mergeCell ref="B427:L427"/>
    <mergeCell ref="B428:L428"/>
    <mergeCell ref="B429:L429"/>
    <mergeCell ref="B425:L425"/>
    <mergeCell ref="A243:A244"/>
    <mergeCell ref="A3:A4"/>
    <mergeCell ref="A43:A44"/>
    <mergeCell ref="A63:A64"/>
    <mergeCell ref="A83:A84"/>
    <mergeCell ref="A103:A104"/>
    <mergeCell ref="A123:A124"/>
    <mergeCell ref="A143:A144"/>
    <mergeCell ref="A163:A164"/>
    <mergeCell ref="A183:A184"/>
    <mergeCell ref="A203:A204"/>
    <mergeCell ref="A223:A224"/>
    <mergeCell ref="A23:A24"/>
    <mergeCell ref="A263:A264"/>
    <mergeCell ref="A403:A404"/>
    <mergeCell ref="A383:A384"/>
    <mergeCell ref="A363:A364"/>
    <mergeCell ref="A323:A324"/>
    <mergeCell ref="A303:A304"/>
    <mergeCell ref="A283:A284"/>
    <mergeCell ref="A343:A344"/>
  </mergeCells>
  <printOptions horizontalCentered="1"/>
  <pageMargins left="0" right="0" top="0.25" bottom="0" header="0.3" footer="0.3"/>
  <pageSetup scale="60" fitToHeight="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Q86"/>
  <sheetViews>
    <sheetView showGridLines="0" zoomScale="80" zoomScaleNormal="80" workbookViewId="0">
      <selection activeCell="N26" sqref="N26"/>
    </sheetView>
  </sheetViews>
  <sheetFormatPr defaultColWidth="9.140625" defaultRowHeight="18.75"/>
  <cols>
    <col min="1" max="1" width="2.140625" style="181" customWidth="1"/>
    <col min="2" max="2" width="1.140625" style="181" customWidth="1"/>
    <col min="3" max="3" width="28.140625" style="181" customWidth="1"/>
    <col min="4" max="4" width="1.28515625" style="181" customWidth="1"/>
    <col min="5" max="5" width="26.7109375" style="181" bestFit="1" customWidth="1"/>
    <col min="6" max="6" width="1.140625" style="181" customWidth="1"/>
    <col min="7" max="7" width="22.140625" style="181" bestFit="1" customWidth="1"/>
    <col min="8" max="8" width="1.140625" style="181" customWidth="1"/>
    <col min="9" max="9" width="21.42578125" style="181" bestFit="1" customWidth="1"/>
    <col min="10" max="10" width="1.140625" style="181" customWidth="1"/>
    <col min="11" max="11" width="34" style="181" bestFit="1" customWidth="1"/>
    <col min="12" max="12" width="1.140625" style="181" customWidth="1"/>
    <col min="13" max="13" width="36.5703125" style="181" bestFit="1" customWidth="1"/>
    <col min="14" max="14" width="1.28515625" style="434" customWidth="1"/>
    <col min="15" max="15" width="37.5703125" style="181" bestFit="1" customWidth="1"/>
    <col min="16" max="16" width="1.28515625" style="181" customWidth="1"/>
    <col min="17" max="17" width="2.28515625" style="181" customWidth="1"/>
    <col min="18" max="18" width="9.140625" style="181"/>
    <col min="19" max="19" width="31.7109375" style="181" customWidth="1"/>
    <col min="20" max="16384" width="9.140625" style="181"/>
  </cols>
  <sheetData>
    <row r="1" spans="1:17" ht="12.75" customHeight="1">
      <c r="A1" s="1199"/>
      <c r="B1" s="1199"/>
      <c r="C1" s="1199"/>
      <c r="D1" s="1199"/>
      <c r="E1" s="1199"/>
      <c r="F1" s="1199"/>
      <c r="G1" s="1199"/>
      <c r="H1" s="1199"/>
      <c r="I1" s="1199"/>
      <c r="J1" s="1199"/>
      <c r="K1" s="1199"/>
      <c r="L1" s="1199"/>
      <c r="M1" s="1199"/>
      <c r="N1" s="1200"/>
      <c r="O1" s="1199"/>
      <c r="P1" s="1199"/>
      <c r="Q1" s="1199"/>
    </row>
    <row r="2" spans="1:17" ht="6" customHeight="1" thickBot="1">
      <c r="A2" s="1199"/>
      <c r="P2" s="1052"/>
      <c r="Q2" s="1199"/>
    </row>
    <row r="3" spans="1:17" ht="60" customHeight="1" thickTop="1" thickBot="1">
      <c r="A3" s="1199"/>
      <c r="C3" s="1959" t="s">
        <v>48</v>
      </c>
      <c r="D3" s="1056"/>
      <c r="E3" s="1960" t="s">
        <v>50</v>
      </c>
      <c r="F3" s="202"/>
      <c r="G3" s="1961" t="s">
        <v>350</v>
      </c>
      <c r="H3" s="202"/>
      <c r="I3" s="1962" t="s">
        <v>352</v>
      </c>
      <c r="J3" s="202"/>
      <c r="K3" s="1963" t="s">
        <v>43</v>
      </c>
      <c r="L3" s="202"/>
      <c r="M3" s="1964" t="s">
        <v>42</v>
      </c>
      <c r="N3" s="1057"/>
      <c r="O3" s="1965" t="s">
        <v>53</v>
      </c>
      <c r="P3" s="1053"/>
      <c r="Q3" s="1199"/>
    </row>
    <row r="4" spans="1:17" ht="8.25" customHeight="1" thickTop="1" thickBot="1">
      <c r="A4" s="1199"/>
      <c r="C4" s="1051"/>
      <c r="D4" s="1054"/>
      <c r="E4" s="1051"/>
      <c r="G4" s="1051"/>
      <c r="I4" s="1051"/>
      <c r="K4" s="1051"/>
      <c r="M4" s="1055"/>
      <c r="O4" s="1051"/>
      <c r="P4" s="1053"/>
      <c r="Q4" s="1199"/>
    </row>
    <row r="5" spans="1:17" s="202" customFormat="1" ht="50.1" customHeight="1" thickTop="1" thickBot="1">
      <c r="A5" s="1143"/>
      <c r="C5" s="1942" t="s">
        <v>49</v>
      </c>
      <c r="D5" s="1058"/>
      <c r="E5" s="1943" t="s">
        <v>51</v>
      </c>
      <c r="G5" s="1941" t="s">
        <v>688</v>
      </c>
      <c r="I5" s="1944" t="s">
        <v>689</v>
      </c>
      <c r="K5" s="1945" t="s">
        <v>44</v>
      </c>
      <c r="M5" s="1946" t="s">
        <v>317</v>
      </c>
      <c r="N5" s="1057"/>
      <c r="O5" s="1947" t="s">
        <v>55</v>
      </c>
      <c r="P5" s="1059"/>
      <c r="Q5" s="1143"/>
    </row>
    <row r="6" spans="1:17" s="202" customFormat="1" ht="24.95" customHeight="1" thickTop="1" thickBot="1">
      <c r="A6" s="1143"/>
      <c r="E6" s="1061" t="s">
        <v>52</v>
      </c>
      <c r="G6" s="1951" t="s">
        <v>351</v>
      </c>
      <c r="I6" s="1950" t="s">
        <v>353</v>
      </c>
      <c r="K6" s="1952" t="s">
        <v>45</v>
      </c>
      <c r="M6" s="1954" t="s">
        <v>80</v>
      </c>
      <c r="N6" s="1057"/>
      <c r="O6" s="1957" t="s">
        <v>319</v>
      </c>
      <c r="P6" s="1059"/>
      <c r="Q6" s="1143"/>
    </row>
    <row r="7" spans="1:17" s="202" customFormat="1" ht="24.95" customHeight="1" thickTop="1" thickBot="1">
      <c r="A7" s="1143"/>
      <c r="G7" s="1062"/>
      <c r="I7" s="1951" t="s">
        <v>354</v>
      </c>
      <c r="K7" s="1953" t="s">
        <v>318</v>
      </c>
      <c r="M7" s="1955" t="s">
        <v>691</v>
      </c>
      <c r="N7" s="1057"/>
      <c r="O7" s="1958" t="s">
        <v>745</v>
      </c>
      <c r="P7" s="1064"/>
      <c r="Q7" s="1143"/>
    </row>
    <row r="8" spans="1:17" s="202" customFormat="1" ht="7.5" customHeight="1" thickTop="1" thickBot="1">
      <c r="A8" s="1143"/>
      <c r="G8" s="1065"/>
      <c r="K8" s="1066"/>
      <c r="M8" s="1066"/>
      <c r="N8" s="1057"/>
      <c r="O8" s="1066"/>
      <c r="P8" s="1059"/>
      <c r="Q8" s="1143"/>
    </row>
    <row r="9" spans="1:17" s="202" customFormat="1" ht="50.1" customHeight="1" thickTop="1" thickBot="1">
      <c r="A9" s="1143"/>
      <c r="G9" s="1060"/>
      <c r="K9" s="1949" t="s">
        <v>83</v>
      </c>
      <c r="M9" s="1956" t="s">
        <v>279</v>
      </c>
      <c r="N9" s="1057"/>
      <c r="O9" s="1947" t="s">
        <v>56</v>
      </c>
      <c r="P9" s="1059"/>
      <c r="Q9" s="1143"/>
    </row>
    <row r="10" spans="1:17" s="202" customFormat="1" ht="24.95" customHeight="1">
      <c r="A10" s="1143"/>
      <c r="K10" s="1954" t="s">
        <v>744</v>
      </c>
      <c r="M10" s="1957" t="s">
        <v>296</v>
      </c>
      <c r="N10" s="1057"/>
      <c r="O10" s="1957" t="s">
        <v>310</v>
      </c>
      <c r="P10" s="1059"/>
      <c r="Q10" s="1143"/>
    </row>
    <row r="11" spans="1:17" s="202" customFormat="1" ht="24.95" customHeight="1" thickBot="1">
      <c r="A11" s="1143"/>
      <c r="K11" s="1955" t="s">
        <v>690</v>
      </c>
      <c r="M11" s="1063" t="s">
        <v>297</v>
      </c>
      <c r="N11" s="1057"/>
      <c r="O11" s="1958" t="s">
        <v>309</v>
      </c>
      <c r="P11" s="1059"/>
      <c r="Q11" s="1143"/>
    </row>
    <row r="12" spans="1:17" s="202" customFormat="1" ht="7.5" customHeight="1" thickTop="1" thickBot="1">
      <c r="A12" s="1143"/>
      <c r="M12" s="1049"/>
      <c r="N12" s="1057"/>
      <c r="O12" s="1066"/>
      <c r="P12" s="1059"/>
      <c r="Q12" s="1143"/>
    </row>
    <row r="13" spans="1:17" s="202" customFormat="1" ht="50.1" customHeight="1" thickTop="1" thickBot="1">
      <c r="A13" s="1143"/>
      <c r="M13" s="1946" t="s">
        <v>495</v>
      </c>
      <c r="N13" s="1057"/>
      <c r="O13" s="1948" t="s">
        <v>306</v>
      </c>
      <c r="P13" s="1059"/>
      <c r="Q13" s="1143"/>
    </row>
    <row r="14" spans="1:17" s="202" customFormat="1" ht="24.95" customHeight="1" thickBot="1">
      <c r="A14" s="1143"/>
      <c r="M14" s="1955" t="s">
        <v>316</v>
      </c>
      <c r="N14" s="1057"/>
      <c r="O14" s="1955" t="s">
        <v>320</v>
      </c>
      <c r="P14" s="1059"/>
      <c r="Q14" s="1143"/>
    </row>
    <row r="15" spans="1:17" s="202" customFormat="1" ht="10.5" customHeight="1" thickTop="1" thickBot="1">
      <c r="A15" s="1143"/>
      <c r="N15" s="1057"/>
      <c r="O15" s="1067"/>
      <c r="P15" s="1059"/>
      <c r="Q15" s="1143"/>
    </row>
    <row r="16" spans="1:17" s="202" customFormat="1" ht="50.1" customHeight="1" thickTop="1">
      <c r="A16" s="1143"/>
      <c r="N16" s="1057"/>
      <c r="O16" s="1948" t="s">
        <v>2</v>
      </c>
      <c r="P16" s="1059"/>
      <c r="Q16" s="1143"/>
    </row>
    <row r="17" spans="1:17" s="202" customFormat="1" ht="24.95" customHeight="1">
      <c r="A17" s="1143"/>
      <c r="N17" s="1057"/>
      <c r="O17" s="1954" t="s">
        <v>692</v>
      </c>
      <c r="P17" s="1059"/>
      <c r="Q17" s="1143"/>
    </row>
    <row r="18" spans="1:17" s="202" customFormat="1" ht="24.95" customHeight="1">
      <c r="A18" s="1143"/>
      <c r="M18" s="1067"/>
      <c r="N18" s="1057"/>
      <c r="O18" s="1954" t="s">
        <v>693</v>
      </c>
      <c r="P18" s="1059"/>
      <c r="Q18" s="1143"/>
    </row>
    <row r="19" spans="1:17" s="202" customFormat="1" ht="24.95" customHeight="1" thickBot="1">
      <c r="A19" s="1143"/>
      <c r="M19" s="1067"/>
      <c r="N19" s="1057"/>
      <c r="O19" s="1953" t="s">
        <v>694</v>
      </c>
      <c r="P19" s="1064"/>
      <c r="Q19" s="1143"/>
    </row>
    <row r="20" spans="1:17" s="202" customFormat="1" ht="9" customHeight="1" thickTop="1" thickBot="1">
      <c r="A20" s="1143"/>
      <c r="M20" s="1068"/>
      <c r="N20" s="1057"/>
      <c r="O20" s="1066"/>
      <c r="P20" s="1064"/>
      <c r="Q20" s="1143"/>
    </row>
    <row r="21" spans="1:17" s="202" customFormat="1" ht="50.1" customHeight="1" thickTop="1" thickBot="1">
      <c r="A21" s="1143"/>
      <c r="N21" s="1057"/>
      <c r="O21" s="1947" t="s">
        <v>54</v>
      </c>
      <c r="P21" s="1059"/>
      <c r="Q21" s="1143"/>
    </row>
    <row r="22" spans="1:17" ht="24.95" customHeight="1">
      <c r="A22" s="1199"/>
      <c r="O22" s="1954" t="s">
        <v>695</v>
      </c>
      <c r="P22" s="1053"/>
      <c r="Q22" s="1199"/>
    </row>
    <row r="23" spans="1:17" ht="24.95" customHeight="1">
      <c r="A23" s="1199"/>
      <c r="O23" s="1954" t="s">
        <v>696</v>
      </c>
      <c r="P23" s="1052"/>
      <c r="Q23" s="1199"/>
    </row>
    <row r="24" spans="1:17" ht="24.95" customHeight="1" thickBot="1">
      <c r="A24" s="1199"/>
      <c r="O24" s="1955" t="s">
        <v>697</v>
      </c>
      <c r="P24" s="1052"/>
      <c r="Q24" s="1199"/>
    </row>
    <row r="25" spans="1:17" ht="7.5" customHeight="1" thickTop="1">
      <c r="A25" s="1199"/>
      <c r="P25" s="1052"/>
      <c r="Q25" s="1199"/>
    </row>
    <row r="26" spans="1:17" ht="11.25" customHeight="1">
      <c r="A26" s="1199"/>
      <c r="B26" s="1199"/>
      <c r="C26" s="1199"/>
      <c r="D26" s="1199"/>
      <c r="E26" s="1199"/>
      <c r="F26" s="1199"/>
      <c r="G26" s="1199"/>
      <c r="H26" s="1199"/>
      <c r="I26" s="1199"/>
      <c r="J26" s="1199"/>
      <c r="K26" s="1199"/>
      <c r="L26" s="1199"/>
      <c r="M26" s="1199"/>
      <c r="N26" s="1200"/>
      <c r="O26" s="1199"/>
      <c r="P26" s="1199"/>
      <c r="Q26" s="1199"/>
    </row>
    <row r="28" spans="1:17">
      <c r="G28" s="1052"/>
    </row>
    <row r="29" spans="1:17">
      <c r="M29" s="1052"/>
      <c r="N29" s="1053"/>
      <c r="O29" s="1052"/>
    </row>
    <row r="30" spans="1:17">
      <c r="M30" s="1052"/>
      <c r="N30" s="1053"/>
      <c r="O30" s="1052"/>
    </row>
    <row r="31" spans="1:17">
      <c r="M31" s="1052"/>
      <c r="N31" s="1053"/>
      <c r="O31" s="1052"/>
    </row>
    <row r="80" spans="14:14">
      <c r="N80" s="181"/>
    </row>
    <row r="83" spans="14:14">
      <c r="N83" s="181"/>
    </row>
    <row r="86" spans="14:14">
      <c r="N86" s="181"/>
    </row>
  </sheetData>
  <hyperlinks>
    <hyperlink ref="M13" location="' Case Volume - Budget Variance'!A1" display="CASE VOLUME - BUDGET VARIANCE"/>
    <hyperlink ref="M5" location="LBBS!A1" display="Left Before Being Seen (LBBS/LPT)"/>
    <hyperlink ref="M9" location="Admissions!A1" display="ADMISSIONS"/>
    <hyperlink ref="O13" location="FPPE_OPPE!A1" display="OPPE/FPPE"/>
    <hyperlink ref="C5" location="'Pt Satisfaction'!A1" display="PATIENT SATISFACTION"/>
    <hyperlink ref="O16" location="PQRS!A1" display="PQRS"/>
    <hyperlink ref="O5" location="'72hr Returns'!A1" display="72 HOUR RETURNS"/>
    <hyperlink ref="O9" location="Mortalities!A1" display="MORTALITIES"/>
    <hyperlink ref="G5" location="'2016 EM Executive Committee'!A1" display="Executive Summary"/>
    <hyperlink ref="G6" location="'EM ACTION Plan'!A1" display="Action Plan"/>
    <hyperlink ref="I5" location="'Quality Composite'!A1" display="Quality Composite"/>
    <hyperlink ref="I6" location="'Arr to Provider'!A1" display="Timeliness"/>
    <hyperlink ref="I7" location="PPH!A1" display="Patients per Hour"/>
    <hyperlink ref="O21" location="'National Quality Measures'!A1" display="NATIONAL QUALITY MEASURES"/>
    <hyperlink ref="K5" location="Efficiency!A1" display="EFFICIENCY METRICS"/>
    <hyperlink ref="K9" location="'Provider Productivity'!A1" display="PROVIDER PRODUCTIVITY"/>
    <hyperlink ref="E5" location="Terminations!A1" display="PROVIDER RETENTION"/>
  </hyperlinks>
  <printOptions horizontalCentered="1"/>
  <pageMargins left="0" right="0" top="1" bottom="0" header="0" footer="0"/>
  <pageSetup scale="61" fitToHeight="0" orientation="landscape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theme="0" tint="-0.249977111117893"/>
  </sheetPr>
  <dimension ref="A1:HC45"/>
  <sheetViews>
    <sheetView showGridLines="0" zoomScale="80" zoomScaleNormal="80" workbookViewId="0">
      <pane xSplit="4" ySplit="4" topLeftCell="E5" activePane="bottomRight" state="frozen"/>
      <selection activeCell="N26" sqref="N26"/>
      <selection pane="topRight" activeCell="N26" sqref="N26"/>
      <selection pane="bottomLeft" activeCell="N26" sqref="N26"/>
      <selection pane="bottomRight" activeCell="N26" sqref="N26"/>
    </sheetView>
  </sheetViews>
  <sheetFormatPr defaultColWidth="9.140625" defaultRowHeight="15"/>
  <cols>
    <col min="1" max="1" width="1.85546875" style="224" customWidth="1"/>
    <col min="2" max="2" width="57.42578125" style="223" customWidth="1"/>
    <col min="3" max="3" width="31.7109375" style="223" customWidth="1"/>
    <col min="4" max="4" width="14.85546875" style="823" customWidth="1"/>
    <col min="5" max="5" width="9.140625" style="823" customWidth="1"/>
    <col min="6" max="6" width="18" style="823" bestFit="1" customWidth="1"/>
    <col min="7" max="7" width="13.42578125" style="823" bestFit="1" customWidth="1"/>
    <col min="8" max="8" width="64.7109375" style="823" customWidth="1"/>
    <col min="9" max="9" width="14" style="224" customWidth="1"/>
    <col min="10" max="10" width="13.85546875" style="224" customWidth="1"/>
    <col min="11" max="11" width="8.7109375" style="224" customWidth="1"/>
    <col min="12" max="12" width="11.42578125" style="224" bestFit="1" customWidth="1"/>
    <col min="13" max="13" width="8.7109375" style="224" bestFit="1" customWidth="1"/>
    <col min="14" max="14" width="11.42578125" style="224" bestFit="1" customWidth="1"/>
    <col min="15" max="15" width="8.7109375" style="224" bestFit="1" customWidth="1"/>
    <col min="16" max="16" width="11.42578125" style="224" customWidth="1"/>
    <col min="17" max="17" width="10.7109375" style="224" customWidth="1"/>
    <col min="18" max="18" width="11.42578125" style="224" customWidth="1"/>
    <col min="19" max="19" width="2.28515625" style="224" customWidth="1"/>
    <col min="20" max="20" width="12.7109375" style="224" bestFit="1" customWidth="1"/>
    <col min="21" max="21" width="11.7109375" style="224" bestFit="1" customWidth="1"/>
    <col min="22" max="211" width="9.140625" style="224"/>
    <col min="212" max="16384" width="9.140625" style="823"/>
  </cols>
  <sheetData>
    <row r="1" spans="1:211" s="406" customFormat="1" ht="60" customHeight="1">
      <c r="A1" s="1176"/>
      <c r="B1" s="2993" t="s">
        <v>762</v>
      </c>
      <c r="C1" s="2994"/>
      <c r="D1" s="2994"/>
      <c r="E1" s="2994"/>
      <c r="F1" s="2994"/>
      <c r="G1" s="2994"/>
      <c r="H1" s="2994"/>
      <c r="I1" s="2995"/>
      <c r="J1" s="2995"/>
      <c r="K1" s="2995"/>
      <c r="L1" s="2995"/>
      <c r="M1" s="2995"/>
      <c r="N1" s="2995"/>
      <c r="O1" s="2995"/>
      <c r="P1" s="2995"/>
      <c r="Q1" s="2995"/>
      <c r="R1" s="2995"/>
      <c r="S1" s="1176"/>
      <c r="T1" s="405"/>
      <c r="U1" s="405"/>
      <c r="V1" s="405"/>
      <c r="W1" s="405"/>
      <c r="X1" s="405"/>
      <c r="Y1" s="405"/>
      <c r="Z1" s="405"/>
      <c r="AA1" s="405"/>
      <c r="AB1" s="405"/>
      <c r="AC1" s="405"/>
      <c r="AD1" s="405"/>
      <c r="AE1" s="405"/>
      <c r="AF1" s="405"/>
      <c r="AG1" s="405"/>
      <c r="AH1" s="405"/>
      <c r="AI1" s="405"/>
      <c r="AJ1" s="405"/>
      <c r="AK1" s="405"/>
      <c r="AL1" s="405"/>
      <c r="AM1" s="405"/>
      <c r="AN1" s="405"/>
      <c r="AO1" s="405"/>
      <c r="AP1" s="405"/>
      <c r="AQ1" s="405"/>
      <c r="AR1" s="405"/>
      <c r="AS1" s="405"/>
      <c r="AT1" s="405"/>
      <c r="AU1" s="405"/>
      <c r="AV1" s="405"/>
      <c r="AW1" s="405"/>
      <c r="AX1" s="405"/>
      <c r="AY1" s="405"/>
      <c r="AZ1" s="405"/>
      <c r="BA1" s="405"/>
      <c r="BB1" s="405"/>
      <c r="BC1" s="405"/>
      <c r="BD1" s="405"/>
      <c r="BE1" s="405"/>
      <c r="BF1" s="405"/>
      <c r="BG1" s="405"/>
      <c r="BH1" s="405"/>
      <c r="BI1" s="405"/>
      <c r="BJ1" s="405"/>
      <c r="BK1" s="405"/>
      <c r="BL1" s="405"/>
      <c r="BM1" s="405"/>
      <c r="BN1" s="405"/>
      <c r="BO1" s="405"/>
      <c r="BP1" s="405"/>
      <c r="BQ1" s="405"/>
      <c r="BR1" s="405"/>
      <c r="BS1" s="405"/>
      <c r="BT1" s="405"/>
      <c r="BU1" s="405"/>
      <c r="BV1" s="405"/>
      <c r="BW1" s="405"/>
      <c r="BX1" s="405"/>
      <c r="BY1" s="405"/>
      <c r="BZ1" s="405"/>
      <c r="CA1" s="405"/>
      <c r="CB1" s="405"/>
      <c r="CC1" s="405"/>
      <c r="CD1" s="405"/>
      <c r="CE1" s="405"/>
      <c r="CF1" s="405"/>
      <c r="CG1" s="405"/>
      <c r="CH1" s="405"/>
      <c r="CI1" s="405"/>
      <c r="CJ1" s="405"/>
      <c r="CK1" s="405"/>
      <c r="CL1" s="405"/>
      <c r="CM1" s="405"/>
      <c r="CN1" s="405"/>
      <c r="CO1" s="405"/>
      <c r="CP1" s="405"/>
      <c r="CQ1" s="405"/>
      <c r="CR1" s="405"/>
      <c r="CS1" s="405"/>
      <c r="CT1" s="405"/>
      <c r="CU1" s="405"/>
      <c r="CV1" s="405"/>
      <c r="CW1" s="405"/>
      <c r="CX1" s="405"/>
      <c r="CY1" s="405"/>
      <c r="CZ1" s="405"/>
      <c r="DA1" s="405"/>
      <c r="DB1" s="405"/>
      <c r="DC1" s="405"/>
      <c r="DD1" s="405"/>
      <c r="DE1" s="405"/>
      <c r="DF1" s="405"/>
      <c r="DG1" s="405"/>
      <c r="DH1" s="405"/>
      <c r="DI1" s="405"/>
      <c r="DJ1" s="405"/>
      <c r="DK1" s="405"/>
      <c r="DL1" s="405"/>
      <c r="DM1" s="405"/>
      <c r="DN1" s="405"/>
      <c r="DO1" s="405"/>
      <c r="DP1" s="405"/>
      <c r="DQ1" s="405"/>
      <c r="DR1" s="405"/>
      <c r="DS1" s="405"/>
      <c r="DT1" s="405"/>
      <c r="DU1" s="405"/>
      <c r="DV1" s="405"/>
      <c r="DW1" s="405"/>
      <c r="DX1" s="405"/>
      <c r="DY1" s="405"/>
      <c r="DZ1" s="405"/>
      <c r="EA1" s="405"/>
      <c r="EB1" s="405"/>
      <c r="EC1" s="405"/>
      <c r="ED1" s="405"/>
      <c r="EE1" s="405"/>
      <c r="EF1" s="405"/>
      <c r="EG1" s="405"/>
      <c r="EH1" s="405"/>
      <c r="EI1" s="405"/>
      <c r="EJ1" s="405"/>
      <c r="EK1" s="405"/>
      <c r="EL1" s="405"/>
      <c r="EM1" s="405"/>
      <c r="EN1" s="405"/>
      <c r="EO1" s="405"/>
      <c r="EP1" s="405"/>
      <c r="EQ1" s="405"/>
      <c r="ER1" s="405"/>
      <c r="ES1" s="405"/>
      <c r="ET1" s="405"/>
      <c r="EU1" s="405"/>
      <c r="EV1" s="405"/>
      <c r="EW1" s="405"/>
      <c r="EX1" s="405"/>
      <c r="EY1" s="405"/>
      <c r="EZ1" s="405"/>
      <c r="FA1" s="405"/>
      <c r="FB1" s="405"/>
      <c r="FC1" s="405"/>
      <c r="FD1" s="405"/>
      <c r="FE1" s="405"/>
      <c r="FF1" s="405"/>
      <c r="FG1" s="405"/>
      <c r="FH1" s="405"/>
      <c r="FI1" s="405"/>
      <c r="FJ1" s="405"/>
      <c r="FK1" s="405"/>
      <c r="FL1" s="405"/>
      <c r="FM1" s="405"/>
      <c r="FN1" s="405"/>
      <c r="FO1" s="405"/>
      <c r="FP1" s="405"/>
      <c r="FQ1" s="405"/>
      <c r="FR1" s="405"/>
      <c r="FS1" s="405"/>
      <c r="FT1" s="405"/>
      <c r="FU1" s="405"/>
      <c r="FV1" s="405"/>
      <c r="FW1" s="405"/>
      <c r="FX1" s="405"/>
      <c r="FY1" s="405"/>
      <c r="FZ1" s="405"/>
      <c r="GA1" s="405"/>
      <c r="GB1" s="405"/>
      <c r="GC1" s="405"/>
      <c r="GD1" s="405"/>
      <c r="GE1" s="405"/>
      <c r="GF1" s="405"/>
      <c r="GG1" s="405"/>
      <c r="GH1" s="405"/>
      <c r="GI1" s="405"/>
      <c r="GJ1" s="405"/>
      <c r="GK1" s="405"/>
      <c r="GL1" s="405"/>
      <c r="GM1" s="405"/>
      <c r="GN1" s="405"/>
      <c r="GO1" s="405"/>
      <c r="GP1" s="405"/>
      <c r="GQ1" s="405"/>
      <c r="GR1" s="405"/>
      <c r="GS1" s="405"/>
      <c r="GT1" s="405"/>
      <c r="GU1" s="405"/>
      <c r="GV1" s="405"/>
      <c r="GW1" s="405"/>
      <c r="GX1" s="405"/>
      <c r="GY1" s="405"/>
      <c r="GZ1" s="405"/>
      <c r="HA1" s="405"/>
      <c r="HB1" s="405"/>
      <c r="HC1" s="405"/>
    </row>
    <row r="2" spans="1:211" s="364" customFormat="1" ht="73.5" customHeight="1">
      <c r="A2" s="1177"/>
      <c r="B2" s="2491" t="s">
        <v>87</v>
      </c>
      <c r="C2" s="2491" t="s">
        <v>88</v>
      </c>
      <c r="D2" s="2484" t="s">
        <v>89</v>
      </c>
      <c r="E2" s="2487" t="s">
        <v>855</v>
      </c>
      <c r="F2" s="2484" t="s">
        <v>687</v>
      </c>
      <c r="G2" s="2484" t="s">
        <v>444</v>
      </c>
      <c r="H2" s="2491" t="s">
        <v>86</v>
      </c>
      <c r="I2" s="2684" t="s">
        <v>854</v>
      </c>
      <c r="J2" s="2532" t="s">
        <v>250</v>
      </c>
      <c r="K2" s="2535" t="s">
        <v>435</v>
      </c>
      <c r="L2" s="2532" t="s">
        <v>250</v>
      </c>
      <c r="M2" s="2535" t="s">
        <v>810</v>
      </c>
      <c r="N2" s="2532" t="s">
        <v>250</v>
      </c>
      <c r="O2" s="2535" t="s">
        <v>811</v>
      </c>
      <c r="P2" s="2532" t="s">
        <v>250</v>
      </c>
      <c r="Q2" s="2535" t="s">
        <v>842</v>
      </c>
      <c r="R2" s="2532" t="s">
        <v>250</v>
      </c>
      <c r="S2" s="1177"/>
      <c r="T2" s="363"/>
      <c r="U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  <c r="AL2" s="363"/>
      <c r="AM2" s="363"/>
      <c r="AN2" s="363"/>
      <c r="AO2" s="363"/>
      <c r="AP2" s="363"/>
      <c r="AQ2" s="363"/>
      <c r="AR2" s="363"/>
      <c r="AS2" s="363"/>
      <c r="AT2" s="363"/>
      <c r="AU2" s="363"/>
      <c r="AV2" s="363"/>
      <c r="AW2" s="363"/>
      <c r="AX2" s="363"/>
      <c r="AY2" s="363"/>
      <c r="AZ2" s="363"/>
      <c r="BA2" s="363"/>
      <c r="BB2" s="363"/>
      <c r="BC2" s="363"/>
      <c r="BD2" s="363"/>
      <c r="BE2" s="363"/>
      <c r="BF2" s="363"/>
      <c r="BG2" s="363"/>
      <c r="BH2" s="363"/>
      <c r="BI2" s="363"/>
      <c r="BJ2" s="363"/>
      <c r="BK2" s="363"/>
      <c r="BL2" s="363"/>
      <c r="BM2" s="363"/>
      <c r="BN2" s="363"/>
      <c r="BO2" s="363"/>
      <c r="BP2" s="363"/>
      <c r="BQ2" s="363"/>
      <c r="BR2" s="363"/>
      <c r="BS2" s="363"/>
      <c r="BT2" s="363"/>
      <c r="BU2" s="363"/>
      <c r="BV2" s="363"/>
      <c r="BW2" s="363"/>
      <c r="BX2" s="363"/>
      <c r="BY2" s="363"/>
      <c r="BZ2" s="363"/>
      <c r="CA2" s="363"/>
      <c r="CB2" s="363"/>
      <c r="CC2" s="363"/>
      <c r="CD2" s="363"/>
      <c r="CE2" s="363"/>
      <c r="CF2" s="363"/>
      <c r="CG2" s="363"/>
      <c r="CH2" s="363"/>
      <c r="CI2" s="363"/>
      <c r="CJ2" s="363"/>
      <c r="CK2" s="363"/>
      <c r="CL2" s="363"/>
      <c r="CM2" s="363"/>
      <c r="CN2" s="363"/>
      <c r="CO2" s="363"/>
      <c r="CP2" s="363"/>
      <c r="CQ2" s="363"/>
      <c r="CR2" s="363"/>
      <c r="CS2" s="363"/>
      <c r="CT2" s="363"/>
      <c r="CU2" s="363"/>
      <c r="CV2" s="363"/>
      <c r="CW2" s="363"/>
      <c r="CX2" s="363"/>
      <c r="CY2" s="363"/>
      <c r="CZ2" s="363"/>
      <c r="DA2" s="363"/>
      <c r="DB2" s="363"/>
      <c r="DC2" s="363"/>
      <c r="DD2" s="363"/>
      <c r="DE2" s="363"/>
      <c r="DF2" s="363"/>
      <c r="DG2" s="363"/>
      <c r="DH2" s="363"/>
      <c r="DI2" s="363"/>
      <c r="DJ2" s="363"/>
      <c r="DK2" s="363"/>
      <c r="DL2" s="363"/>
      <c r="DM2" s="363"/>
      <c r="DN2" s="363"/>
      <c r="DO2" s="363"/>
      <c r="DP2" s="363"/>
      <c r="DQ2" s="363"/>
      <c r="DR2" s="363"/>
      <c r="DS2" s="363"/>
      <c r="DT2" s="363"/>
      <c r="DU2" s="363"/>
      <c r="DV2" s="363"/>
      <c r="DW2" s="363"/>
      <c r="DX2" s="363"/>
      <c r="DY2" s="363"/>
      <c r="DZ2" s="363"/>
      <c r="EA2" s="363"/>
      <c r="EB2" s="363"/>
      <c r="EC2" s="363"/>
      <c r="ED2" s="363"/>
      <c r="EE2" s="363"/>
      <c r="EF2" s="363"/>
      <c r="EG2" s="363"/>
      <c r="EH2" s="363"/>
      <c r="EI2" s="363"/>
      <c r="EJ2" s="363"/>
      <c r="EK2" s="363"/>
      <c r="EL2" s="363"/>
      <c r="EM2" s="363"/>
      <c r="EN2" s="363"/>
      <c r="EO2" s="363"/>
      <c r="EP2" s="363"/>
      <c r="EQ2" s="363"/>
      <c r="ER2" s="363"/>
      <c r="ES2" s="363"/>
      <c r="ET2" s="363"/>
      <c r="EU2" s="363"/>
      <c r="EV2" s="363"/>
      <c r="EW2" s="363"/>
      <c r="EX2" s="363"/>
      <c r="EY2" s="363"/>
      <c r="EZ2" s="363"/>
      <c r="FA2" s="363"/>
      <c r="FB2" s="363"/>
      <c r="FC2" s="363"/>
      <c r="FD2" s="363"/>
      <c r="FE2" s="363"/>
      <c r="FF2" s="363"/>
      <c r="FG2" s="363"/>
      <c r="FH2" s="363"/>
      <c r="FI2" s="363"/>
      <c r="FJ2" s="363"/>
      <c r="FK2" s="363"/>
      <c r="FL2" s="363"/>
      <c r="FM2" s="363"/>
      <c r="FN2" s="363"/>
      <c r="FO2" s="363"/>
      <c r="FP2" s="363"/>
      <c r="FQ2" s="363"/>
      <c r="FR2" s="363"/>
      <c r="FS2" s="363"/>
      <c r="FT2" s="363"/>
      <c r="FU2" s="363"/>
      <c r="FV2" s="363"/>
      <c r="FW2" s="363"/>
      <c r="FX2" s="363"/>
      <c r="FY2" s="363"/>
      <c r="FZ2" s="363"/>
      <c r="GA2" s="363"/>
      <c r="GB2" s="363"/>
      <c r="GC2" s="363"/>
      <c r="GD2" s="363"/>
      <c r="GE2" s="363"/>
      <c r="GF2" s="363"/>
      <c r="GG2" s="363"/>
      <c r="GH2" s="363"/>
      <c r="GI2" s="363"/>
      <c r="GJ2" s="363"/>
      <c r="GK2" s="363"/>
      <c r="GL2" s="363"/>
      <c r="GM2" s="363"/>
      <c r="GN2" s="363"/>
      <c r="GO2" s="363"/>
      <c r="GP2" s="363"/>
      <c r="GQ2" s="363"/>
      <c r="GR2" s="363"/>
      <c r="GS2" s="363"/>
      <c r="GT2" s="363"/>
      <c r="GU2" s="363"/>
      <c r="GV2" s="363"/>
      <c r="GW2" s="363"/>
      <c r="GX2" s="363"/>
      <c r="GY2" s="363"/>
      <c r="GZ2" s="363"/>
      <c r="HA2" s="363"/>
      <c r="HB2" s="363"/>
      <c r="HC2" s="363"/>
    </row>
    <row r="3" spans="1:211" s="364" customFormat="1" ht="3" customHeight="1">
      <c r="A3" s="1177"/>
      <c r="B3" s="2492"/>
      <c r="C3" s="2492"/>
      <c r="D3" s="2485"/>
      <c r="E3" s="2488"/>
      <c r="F3" s="2485"/>
      <c r="G3" s="2490"/>
      <c r="H3" s="2485"/>
      <c r="I3" s="2682"/>
      <c r="J3" s="2532"/>
      <c r="K3" s="2535"/>
      <c r="L3" s="2532"/>
      <c r="M3" s="2535"/>
      <c r="N3" s="2532"/>
      <c r="O3" s="2535"/>
      <c r="P3" s="2532"/>
      <c r="Q3" s="2535"/>
      <c r="R3" s="2532"/>
      <c r="S3" s="1177"/>
      <c r="T3" s="363"/>
      <c r="U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  <c r="AL3" s="363"/>
      <c r="AM3" s="363"/>
      <c r="AN3" s="363"/>
      <c r="AO3" s="363"/>
      <c r="AP3" s="363"/>
      <c r="AQ3" s="363"/>
      <c r="AR3" s="363"/>
      <c r="AS3" s="363"/>
      <c r="AT3" s="363"/>
      <c r="AU3" s="363"/>
      <c r="AV3" s="363"/>
      <c r="AW3" s="363"/>
      <c r="AX3" s="363"/>
      <c r="AY3" s="363"/>
      <c r="AZ3" s="363"/>
      <c r="BA3" s="363"/>
      <c r="BB3" s="363"/>
      <c r="BC3" s="363"/>
      <c r="BD3" s="363"/>
      <c r="BE3" s="363"/>
      <c r="BF3" s="363"/>
      <c r="BG3" s="363"/>
      <c r="BH3" s="363"/>
      <c r="BI3" s="363"/>
      <c r="BJ3" s="363"/>
      <c r="BK3" s="363"/>
      <c r="BL3" s="363"/>
      <c r="BM3" s="363"/>
      <c r="BN3" s="363"/>
      <c r="BO3" s="363"/>
      <c r="BP3" s="363"/>
      <c r="BQ3" s="363"/>
      <c r="BR3" s="363"/>
      <c r="BS3" s="363"/>
      <c r="BT3" s="363"/>
      <c r="BU3" s="363"/>
      <c r="BV3" s="363"/>
      <c r="BW3" s="363"/>
      <c r="BX3" s="363"/>
      <c r="BY3" s="363"/>
      <c r="BZ3" s="363"/>
      <c r="CA3" s="363"/>
      <c r="CB3" s="363"/>
      <c r="CC3" s="363"/>
      <c r="CD3" s="363"/>
      <c r="CE3" s="363"/>
      <c r="CF3" s="363"/>
      <c r="CG3" s="363"/>
      <c r="CH3" s="363"/>
      <c r="CI3" s="363"/>
      <c r="CJ3" s="363"/>
      <c r="CK3" s="363"/>
      <c r="CL3" s="363"/>
      <c r="CM3" s="363"/>
      <c r="CN3" s="363"/>
      <c r="CO3" s="363"/>
      <c r="CP3" s="363"/>
      <c r="CQ3" s="363"/>
      <c r="CR3" s="363"/>
      <c r="CS3" s="363"/>
      <c r="CT3" s="363"/>
      <c r="CU3" s="363"/>
      <c r="CV3" s="363"/>
      <c r="CW3" s="363"/>
      <c r="CX3" s="363"/>
      <c r="CY3" s="363"/>
      <c r="CZ3" s="363"/>
      <c r="DA3" s="363"/>
      <c r="DB3" s="363"/>
      <c r="DC3" s="363"/>
      <c r="DD3" s="363"/>
      <c r="DE3" s="363"/>
      <c r="DF3" s="363"/>
      <c r="DG3" s="363"/>
      <c r="DH3" s="363"/>
      <c r="DI3" s="363"/>
      <c r="DJ3" s="363"/>
      <c r="DK3" s="363"/>
      <c r="DL3" s="363"/>
      <c r="DM3" s="363"/>
      <c r="DN3" s="363"/>
      <c r="DO3" s="363"/>
      <c r="DP3" s="363"/>
      <c r="DQ3" s="363"/>
      <c r="DR3" s="363"/>
      <c r="DS3" s="363"/>
      <c r="DT3" s="363"/>
      <c r="DU3" s="363"/>
      <c r="DV3" s="363"/>
      <c r="DW3" s="363"/>
      <c r="DX3" s="363"/>
      <c r="DY3" s="363"/>
      <c r="DZ3" s="363"/>
      <c r="EA3" s="363"/>
      <c r="EB3" s="363"/>
      <c r="EC3" s="363"/>
      <c r="ED3" s="363"/>
      <c r="EE3" s="363"/>
      <c r="EF3" s="363"/>
      <c r="EG3" s="363"/>
      <c r="EH3" s="363"/>
      <c r="EI3" s="363"/>
      <c r="EJ3" s="363"/>
      <c r="EK3" s="363"/>
      <c r="EL3" s="363"/>
      <c r="EM3" s="363"/>
      <c r="EN3" s="363"/>
      <c r="EO3" s="363"/>
      <c r="EP3" s="363"/>
      <c r="EQ3" s="363"/>
      <c r="ER3" s="363"/>
      <c r="ES3" s="363"/>
      <c r="ET3" s="363"/>
      <c r="EU3" s="363"/>
      <c r="EV3" s="363"/>
      <c r="EW3" s="363"/>
      <c r="EX3" s="363"/>
      <c r="EY3" s="363"/>
      <c r="EZ3" s="363"/>
      <c r="FA3" s="363"/>
      <c r="FB3" s="363"/>
      <c r="FC3" s="363"/>
      <c r="FD3" s="363"/>
      <c r="FE3" s="363"/>
      <c r="FF3" s="363"/>
      <c r="FG3" s="363"/>
      <c r="FH3" s="363"/>
      <c r="FI3" s="363"/>
      <c r="FJ3" s="363"/>
      <c r="FK3" s="363"/>
      <c r="FL3" s="363"/>
      <c r="FM3" s="363"/>
      <c r="FN3" s="363"/>
      <c r="FO3" s="363"/>
      <c r="FP3" s="363"/>
      <c r="FQ3" s="363"/>
      <c r="FR3" s="363"/>
      <c r="FS3" s="363"/>
      <c r="FT3" s="363"/>
      <c r="FU3" s="363"/>
      <c r="FV3" s="363"/>
      <c r="FW3" s="363"/>
      <c r="FX3" s="363"/>
      <c r="FY3" s="363"/>
      <c r="FZ3" s="363"/>
      <c r="GA3" s="363"/>
      <c r="GB3" s="363"/>
      <c r="GC3" s="363"/>
      <c r="GD3" s="363"/>
      <c r="GE3" s="363"/>
      <c r="GF3" s="363"/>
      <c r="GG3" s="363"/>
      <c r="GH3" s="363"/>
      <c r="GI3" s="363"/>
      <c r="GJ3" s="363"/>
      <c r="GK3" s="363"/>
      <c r="GL3" s="363"/>
      <c r="GM3" s="363"/>
      <c r="GN3" s="363"/>
      <c r="GO3" s="363"/>
      <c r="GP3" s="363"/>
      <c r="GQ3" s="363"/>
      <c r="GR3" s="363"/>
      <c r="GS3" s="363"/>
      <c r="GT3" s="363"/>
      <c r="GU3" s="363"/>
      <c r="GV3" s="363"/>
      <c r="GW3" s="363"/>
      <c r="GX3" s="363"/>
      <c r="GY3" s="363"/>
      <c r="GZ3" s="363"/>
      <c r="HA3" s="363"/>
      <c r="HB3" s="363"/>
      <c r="HC3" s="363"/>
    </row>
    <row r="4" spans="1:211" s="218" customFormat="1" ht="20.100000000000001" customHeight="1">
      <c r="A4" s="1178"/>
      <c r="B4" s="2495" t="s">
        <v>94</v>
      </c>
      <c r="C4" s="2496"/>
      <c r="D4" s="2486"/>
      <c r="E4" s="2486"/>
      <c r="F4" s="2489"/>
      <c r="G4" s="2486"/>
      <c r="H4" s="2486"/>
      <c r="I4" s="2683"/>
      <c r="J4" s="2534"/>
      <c r="K4" s="2533"/>
      <c r="L4" s="2534"/>
      <c r="M4" s="2533"/>
      <c r="N4" s="2534"/>
      <c r="O4" s="2533"/>
      <c r="P4" s="2534"/>
      <c r="Q4" s="2536"/>
      <c r="R4" s="2534"/>
      <c r="S4" s="1179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  <c r="CF4" s="217"/>
      <c r="CG4" s="217"/>
      <c r="CH4" s="217"/>
      <c r="CI4" s="217"/>
      <c r="CJ4" s="217"/>
      <c r="CK4" s="217"/>
      <c r="CL4" s="217"/>
      <c r="CM4" s="217"/>
      <c r="CN4" s="217"/>
      <c r="CO4" s="217"/>
      <c r="CP4" s="217"/>
      <c r="CQ4" s="217"/>
      <c r="CR4" s="217"/>
      <c r="CS4" s="217"/>
      <c r="CT4" s="217"/>
      <c r="CU4" s="217"/>
      <c r="CV4" s="217"/>
      <c r="CW4" s="217"/>
      <c r="CX4" s="217"/>
      <c r="CY4" s="217"/>
      <c r="CZ4" s="217"/>
      <c r="DA4" s="217"/>
      <c r="DB4" s="217"/>
      <c r="DC4" s="217"/>
      <c r="DD4" s="217"/>
      <c r="DE4" s="217"/>
      <c r="DF4" s="217"/>
      <c r="DG4" s="217"/>
      <c r="DH4" s="217"/>
      <c r="DI4" s="217"/>
      <c r="DJ4" s="217"/>
      <c r="DK4" s="217"/>
      <c r="DL4" s="217"/>
      <c r="DM4" s="217"/>
      <c r="DN4" s="217"/>
      <c r="DO4" s="217"/>
      <c r="DP4" s="217"/>
      <c r="DQ4" s="217"/>
      <c r="DR4" s="217"/>
      <c r="DS4" s="217"/>
      <c r="DT4" s="217"/>
      <c r="DU4" s="217"/>
      <c r="DV4" s="217"/>
      <c r="DW4" s="217"/>
      <c r="DX4" s="217"/>
      <c r="DY4" s="217"/>
      <c r="DZ4" s="217"/>
      <c r="EA4" s="217"/>
      <c r="EB4" s="217"/>
      <c r="EC4" s="217"/>
      <c r="ED4" s="217"/>
      <c r="EE4" s="217"/>
      <c r="EF4" s="217"/>
      <c r="EG4" s="217"/>
      <c r="EH4" s="217"/>
      <c r="EI4" s="217"/>
      <c r="EJ4" s="217"/>
      <c r="EK4" s="217"/>
      <c r="EL4" s="217"/>
      <c r="EM4" s="217"/>
      <c r="EN4" s="217"/>
      <c r="EO4" s="217"/>
      <c r="EP4" s="217"/>
      <c r="EQ4" s="217"/>
      <c r="ER4" s="217"/>
      <c r="ES4" s="217"/>
      <c r="ET4" s="217"/>
      <c r="EU4" s="217"/>
      <c r="EV4" s="217"/>
      <c r="EW4" s="217"/>
      <c r="EX4" s="217"/>
      <c r="EY4" s="217"/>
      <c r="EZ4" s="217"/>
      <c r="FA4" s="217"/>
      <c r="FB4" s="217"/>
      <c r="FC4" s="217"/>
      <c r="FD4" s="217"/>
      <c r="FE4" s="217"/>
      <c r="FF4" s="217"/>
      <c r="FG4" s="217"/>
      <c r="FH4" s="217"/>
      <c r="FI4" s="217"/>
      <c r="FJ4" s="217"/>
      <c r="FK4" s="217"/>
      <c r="FL4" s="217"/>
      <c r="FM4" s="217"/>
      <c r="FN4" s="217"/>
      <c r="FO4" s="217"/>
      <c r="FP4" s="217"/>
      <c r="FQ4" s="217"/>
      <c r="FR4" s="217"/>
      <c r="FS4" s="217"/>
      <c r="FT4" s="217"/>
      <c r="FU4" s="217"/>
      <c r="FV4" s="217"/>
      <c r="FW4" s="217"/>
      <c r="FX4" s="217"/>
      <c r="FY4" s="217"/>
      <c r="FZ4" s="217"/>
      <c r="GA4" s="217"/>
      <c r="GB4" s="217"/>
      <c r="GC4" s="217"/>
      <c r="GD4" s="217"/>
      <c r="GE4" s="217"/>
      <c r="GF4" s="217"/>
      <c r="GG4" s="217"/>
      <c r="GH4" s="217"/>
      <c r="GI4" s="217"/>
      <c r="GJ4" s="217"/>
      <c r="GK4" s="217"/>
      <c r="GL4" s="217"/>
      <c r="GM4" s="217"/>
      <c r="GN4" s="217"/>
      <c r="GO4" s="217"/>
      <c r="GP4" s="217"/>
      <c r="GQ4" s="217"/>
      <c r="GR4" s="217"/>
      <c r="GS4" s="217"/>
      <c r="GT4" s="217"/>
      <c r="GU4" s="217"/>
      <c r="GV4" s="217"/>
      <c r="GW4" s="217"/>
      <c r="GX4" s="217"/>
      <c r="GY4" s="217"/>
      <c r="GZ4" s="217"/>
      <c r="HA4" s="217"/>
      <c r="HB4" s="217"/>
      <c r="HC4" s="217"/>
    </row>
    <row r="5" spans="1:211" s="229" customFormat="1" ht="30" customHeight="1">
      <c r="A5" s="1178"/>
      <c r="B5" s="824" t="s">
        <v>95</v>
      </c>
      <c r="C5" s="825" t="s">
        <v>679</v>
      </c>
      <c r="D5" s="826">
        <v>4.3</v>
      </c>
      <c r="E5" s="829">
        <f>0/182279</f>
        <v>0</v>
      </c>
      <c r="F5" s="2031">
        <f>SUM(COMPOSITE!H32,COMPOSITE!I32,COMPOSITE!J32)</f>
        <v>182443</v>
      </c>
      <c r="G5" s="827" t="s">
        <v>178</v>
      </c>
      <c r="H5" s="828" t="s">
        <v>233</v>
      </c>
      <c r="I5" s="2515">
        <f>0/121067</f>
        <v>0</v>
      </c>
      <c r="J5" s="2516" t="s">
        <v>853</v>
      </c>
      <c r="K5" s="830">
        <f>2/125557</f>
        <v>1.5929020285607334E-5</v>
      </c>
      <c r="L5" s="831" t="s">
        <v>827</v>
      </c>
      <c r="M5" s="829">
        <v>0</v>
      </c>
      <c r="N5" s="2516" t="s">
        <v>826</v>
      </c>
      <c r="O5" s="829">
        <v>0</v>
      </c>
      <c r="P5" s="2516" t="s">
        <v>825</v>
      </c>
      <c r="Q5" s="829">
        <v>0</v>
      </c>
      <c r="R5" s="2516">
        <v>182369</v>
      </c>
      <c r="S5" s="1178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CL5" s="217"/>
      <c r="CM5" s="217"/>
      <c r="CN5" s="217"/>
      <c r="CO5" s="217"/>
      <c r="CP5" s="217"/>
      <c r="CQ5" s="217"/>
      <c r="CR5" s="217"/>
      <c r="CS5" s="217"/>
      <c r="CT5" s="217"/>
      <c r="CU5" s="217"/>
      <c r="CV5" s="217"/>
      <c r="CW5" s="217"/>
      <c r="CX5" s="217"/>
      <c r="CY5" s="217"/>
      <c r="CZ5" s="217"/>
      <c r="DA5" s="217"/>
      <c r="DB5" s="217"/>
      <c r="DC5" s="217"/>
      <c r="DD5" s="217"/>
      <c r="DE5" s="217"/>
      <c r="DF5" s="217"/>
      <c r="DG5" s="217"/>
      <c r="DH5" s="217"/>
      <c r="DI5" s="217"/>
      <c r="DJ5" s="217"/>
      <c r="DK5" s="217"/>
      <c r="DL5" s="217"/>
      <c r="DM5" s="217"/>
      <c r="DN5" s="217"/>
      <c r="DO5" s="217"/>
      <c r="DP5" s="217"/>
      <c r="DQ5" s="217"/>
      <c r="DR5" s="217"/>
      <c r="DS5" s="217"/>
      <c r="DT5" s="217"/>
      <c r="DU5" s="217"/>
      <c r="DV5" s="217"/>
      <c r="DW5" s="217"/>
      <c r="DX5" s="217"/>
      <c r="DY5" s="217"/>
      <c r="DZ5" s="217"/>
      <c r="EA5" s="217"/>
      <c r="EB5" s="217"/>
      <c r="EC5" s="217"/>
      <c r="ED5" s="217"/>
      <c r="EE5" s="217"/>
      <c r="EF5" s="217"/>
      <c r="EG5" s="217"/>
      <c r="EH5" s="217"/>
      <c r="EI5" s="217"/>
      <c r="EJ5" s="217"/>
      <c r="EK5" s="217"/>
      <c r="EL5" s="217"/>
      <c r="EM5" s="217"/>
      <c r="EN5" s="217"/>
      <c r="EO5" s="217"/>
      <c r="EP5" s="217"/>
      <c r="EQ5" s="217"/>
      <c r="ER5" s="217"/>
      <c r="ES5" s="217"/>
      <c r="ET5" s="217"/>
      <c r="EU5" s="217"/>
      <c r="EV5" s="217"/>
      <c r="EW5" s="217"/>
      <c r="EX5" s="217"/>
      <c r="EY5" s="217"/>
      <c r="EZ5" s="217"/>
      <c r="FA5" s="217"/>
      <c r="FB5" s="217"/>
      <c r="FC5" s="217"/>
      <c r="FD5" s="217"/>
      <c r="FE5" s="217"/>
      <c r="FF5" s="217"/>
      <c r="FG5" s="217"/>
      <c r="FH5" s="217"/>
      <c r="FI5" s="217"/>
      <c r="FJ5" s="217"/>
      <c r="FK5" s="217"/>
      <c r="FL5" s="217"/>
      <c r="FM5" s="217"/>
      <c r="FN5" s="217"/>
      <c r="FO5" s="217"/>
      <c r="FP5" s="217"/>
      <c r="FQ5" s="217"/>
      <c r="FR5" s="217"/>
      <c r="FS5" s="217"/>
      <c r="FT5" s="217"/>
      <c r="FU5" s="217"/>
      <c r="FV5" s="217"/>
      <c r="FW5" s="217"/>
      <c r="FX5" s="217"/>
      <c r="FY5" s="217"/>
      <c r="FZ5" s="217"/>
      <c r="GA5" s="217"/>
      <c r="GB5" s="217"/>
      <c r="GC5" s="217"/>
      <c r="GD5" s="217"/>
      <c r="GE5" s="217"/>
      <c r="GF5" s="217"/>
      <c r="GG5" s="217"/>
      <c r="GH5" s="217"/>
      <c r="GI5" s="217"/>
      <c r="GJ5" s="217"/>
      <c r="GK5" s="217"/>
      <c r="GL5" s="217"/>
      <c r="GM5" s="217"/>
      <c r="GN5" s="217"/>
      <c r="GO5" s="217"/>
      <c r="GP5" s="217"/>
      <c r="GQ5" s="217"/>
      <c r="GR5" s="217"/>
      <c r="GS5" s="217"/>
      <c r="GT5" s="217"/>
      <c r="GU5" s="217"/>
      <c r="GV5" s="217"/>
      <c r="GW5" s="217"/>
      <c r="GX5" s="217"/>
      <c r="GY5" s="217"/>
      <c r="GZ5" s="217"/>
      <c r="HA5" s="217"/>
      <c r="HB5" s="217"/>
      <c r="HC5" s="217"/>
    </row>
    <row r="6" spans="1:211" s="229" customFormat="1" ht="30" customHeight="1">
      <c r="A6" s="1178"/>
      <c r="B6" s="832" t="s">
        <v>453</v>
      </c>
      <c r="C6" s="833" t="s">
        <v>680</v>
      </c>
      <c r="D6" s="2472" t="s">
        <v>363</v>
      </c>
      <c r="E6" s="1937" t="s">
        <v>170</v>
      </c>
      <c r="F6" s="834"/>
      <c r="G6" s="835" t="s">
        <v>698</v>
      </c>
      <c r="H6" s="836"/>
      <c r="I6" s="2517" t="s">
        <v>588</v>
      </c>
      <c r="J6" s="838" t="s">
        <v>588</v>
      </c>
      <c r="K6" s="837" t="s">
        <v>170</v>
      </c>
      <c r="L6" s="838"/>
      <c r="M6" s="1937" t="s">
        <v>170</v>
      </c>
      <c r="N6" s="838"/>
      <c r="O6" s="1937" t="s">
        <v>170</v>
      </c>
      <c r="P6" s="838"/>
      <c r="Q6" s="1937" t="s">
        <v>170</v>
      </c>
      <c r="R6" s="838"/>
      <c r="S6" s="1196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7"/>
      <c r="AK6" s="217"/>
      <c r="AL6" s="217"/>
      <c r="AM6" s="217"/>
      <c r="AN6" s="217"/>
      <c r="AO6" s="217"/>
      <c r="AP6" s="217"/>
      <c r="AQ6" s="217"/>
      <c r="AR6" s="217"/>
      <c r="AS6" s="217"/>
      <c r="AT6" s="217"/>
      <c r="AU6" s="217"/>
      <c r="AV6" s="217"/>
      <c r="AW6" s="217"/>
      <c r="AX6" s="217"/>
      <c r="AY6" s="217"/>
      <c r="AZ6" s="217"/>
      <c r="BA6" s="217"/>
      <c r="BB6" s="217"/>
      <c r="BC6" s="217"/>
      <c r="BD6" s="217"/>
      <c r="BE6" s="217"/>
      <c r="BF6" s="217"/>
      <c r="BG6" s="217"/>
      <c r="BH6" s="217"/>
      <c r="BI6" s="217"/>
      <c r="BJ6" s="217"/>
      <c r="BK6" s="217"/>
      <c r="BL6" s="217"/>
      <c r="BM6" s="217"/>
      <c r="BN6" s="217"/>
      <c r="BO6" s="217"/>
      <c r="BP6" s="217"/>
      <c r="BQ6" s="217"/>
      <c r="BR6" s="217"/>
      <c r="BS6" s="217"/>
      <c r="BT6" s="217"/>
      <c r="BU6" s="217"/>
      <c r="BV6" s="217"/>
      <c r="BW6" s="217"/>
      <c r="BX6" s="217"/>
      <c r="BY6" s="217"/>
      <c r="BZ6" s="217"/>
      <c r="CA6" s="217"/>
      <c r="CB6" s="217"/>
      <c r="CC6" s="217"/>
      <c r="CD6" s="217"/>
      <c r="CE6" s="217"/>
      <c r="CF6" s="217"/>
      <c r="CG6" s="217"/>
      <c r="CH6" s="217"/>
      <c r="CI6" s="217"/>
      <c r="CJ6" s="217"/>
      <c r="CK6" s="217"/>
      <c r="CL6" s="217"/>
      <c r="CM6" s="217"/>
      <c r="CN6" s="217"/>
      <c r="CO6" s="217"/>
      <c r="CP6" s="217"/>
      <c r="CQ6" s="217"/>
      <c r="CR6" s="217"/>
      <c r="CS6" s="217"/>
      <c r="CT6" s="217"/>
      <c r="CU6" s="217"/>
      <c r="CV6" s="217"/>
      <c r="CW6" s="217"/>
      <c r="CX6" s="217"/>
      <c r="CY6" s="217"/>
      <c r="CZ6" s="217"/>
      <c r="DA6" s="217"/>
      <c r="DB6" s="217"/>
      <c r="DC6" s="217"/>
      <c r="DD6" s="217"/>
      <c r="DE6" s="217"/>
      <c r="DF6" s="217"/>
      <c r="DG6" s="217"/>
      <c r="DH6" s="217"/>
      <c r="DI6" s="217"/>
      <c r="DJ6" s="217"/>
      <c r="DK6" s="217"/>
      <c r="DL6" s="217"/>
      <c r="DM6" s="217"/>
      <c r="DN6" s="217"/>
      <c r="DO6" s="217"/>
      <c r="DP6" s="217"/>
      <c r="DQ6" s="217"/>
      <c r="DR6" s="217"/>
      <c r="DS6" s="217"/>
      <c r="DT6" s="217"/>
      <c r="DU6" s="217"/>
      <c r="DV6" s="217"/>
      <c r="DW6" s="217"/>
      <c r="DX6" s="217"/>
      <c r="DY6" s="217"/>
      <c r="DZ6" s="217"/>
      <c r="EA6" s="217"/>
      <c r="EB6" s="217"/>
      <c r="EC6" s="217"/>
      <c r="ED6" s="217"/>
      <c r="EE6" s="217"/>
      <c r="EF6" s="217"/>
      <c r="EG6" s="217"/>
      <c r="EH6" s="217"/>
      <c r="EI6" s="217"/>
      <c r="EJ6" s="217"/>
      <c r="EK6" s="217"/>
      <c r="EL6" s="217"/>
      <c r="EM6" s="217"/>
      <c r="EN6" s="217"/>
      <c r="EO6" s="217"/>
      <c r="EP6" s="217"/>
      <c r="EQ6" s="217"/>
      <c r="ER6" s="217"/>
      <c r="ES6" s="217"/>
      <c r="ET6" s="217"/>
      <c r="EU6" s="217"/>
      <c r="EV6" s="217"/>
      <c r="EW6" s="217"/>
      <c r="EX6" s="217"/>
      <c r="EY6" s="217"/>
      <c r="EZ6" s="217"/>
      <c r="FA6" s="217"/>
      <c r="FB6" s="217"/>
      <c r="FC6" s="217"/>
      <c r="FD6" s="217"/>
      <c r="FE6" s="217"/>
      <c r="FF6" s="217"/>
      <c r="FG6" s="217"/>
      <c r="FH6" s="217"/>
      <c r="FI6" s="217"/>
      <c r="FJ6" s="217"/>
      <c r="FK6" s="217"/>
      <c r="FL6" s="217"/>
      <c r="FM6" s="217"/>
      <c r="FN6" s="217"/>
      <c r="FO6" s="217"/>
      <c r="FP6" s="217"/>
      <c r="FQ6" s="217"/>
      <c r="FR6" s="217"/>
      <c r="FS6" s="217"/>
      <c r="FT6" s="217"/>
      <c r="FU6" s="217"/>
      <c r="FV6" s="217"/>
      <c r="FW6" s="217"/>
      <c r="FX6" s="217"/>
      <c r="FY6" s="217"/>
      <c r="FZ6" s="217"/>
      <c r="GA6" s="217"/>
      <c r="GB6" s="217"/>
      <c r="GC6" s="217"/>
      <c r="GD6" s="217"/>
      <c r="GE6" s="217"/>
      <c r="GF6" s="217"/>
      <c r="GG6" s="217"/>
      <c r="GH6" s="217"/>
      <c r="GI6" s="217"/>
      <c r="GJ6" s="217"/>
      <c r="GK6" s="217"/>
      <c r="GL6" s="217"/>
      <c r="GM6" s="217"/>
      <c r="GN6" s="217"/>
      <c r="GO6" s="217"/>
      <c r="GP6" s="217"/>
      <c r="GQ6" s="217"/>
      <c r="GR6" s="217"/>
      <c r="GS6" s="217"/>
      <c r="GT6" s="217"/>
      <c r="GU6" s="217"/>
      <c r="GV6" s="217"/>
      <c r="GW6" s="217"/>
      <c r="GX6" s="217"/>
      <c r="GY6" s="217"/>
      <c r="GZ6" s="217"/>
      <c r="HA6" s="217"/>
      <c r="HB6" s="217"/>
      <c r="HC6" s="217"/>
    </row>
    <row r="7" spans="1:211" s="218" customFormat="1" ht="20.100000000000001" customHeight="1">
      <c r="A7" s="1178"/>
      <c r="B7" s="2493" t="s">
        <v>97</v>
      </c>
      <c r="C7" s="1180"/>
      <c r="D7" s="1181"/>
      <c r="E7" s="1181"/>
      <c r="F7" s="1182"/>
      <c r="G7" s="1183"/>
      <c r="H7" s="1184"/>
      <c r="I7" s="2518"/>
      <c r="J7" s="2508"/>
      <c r="K7" s="1182"/>
      <c r="L7" s="1182"/>
      <c r="M7" s="1181"/>
      <c r="N7" s="1182"/>
      <c r="O7" s="1181"/>
      <c r="P7" s="1182"/>
      <c r="Q7" s="1181"/>
      <c r="R7" s="1182"/>
      <c r="S7" s="1178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7"/>
      <c r="AP7" s="217"/>
      <c r="AQ7" s="217"/>
      <c r="AR7" s="217"/>
      <c r="AS7" s="217"/>
      <c r="AT7" s="217"/>
      <c r="AU7" s="217"/>
      <c r="AV7" s="217"/>
      <c r="AW7" s="217"/>
      <c r="AX7" s="217"/>
      <c r="AY7" s="217"/>
      <c r="AZ7" s="217"/>
      <c r="BA7" s="217"/>
      <c r="BB7" s="217"/>
      <c r="BC7" s="217"/>
      <c r="BD7" s="217"/>
      <c r="BE7" s="217"/>
      <c r="BF7" s="217"/>
      <c r="BG7" s="217"/>
      <c r="BH7" s="217"/>
      <c r="BI7" s="217"/>
      <c r="BJ7" s="217"/>
      <c r="BK7" s="217"/>
      <c r="BL7" s="217"/>
      <c r="BM7" s="217"/>
      <c r="BN7" s="217"/>
      <c r="BO7" s="217"/>
      <c r="BP7" s="217"/>
      <c r="BQ7" s="217"/>
      <c r="BR7" s="217"/>
      <c r="BS7" s="217"/>
      <c r="BT7" s="217"/>
      <c r="BU7" s="217"/>
      <c r="BV7" s="217"/>
      <c r="BW7" s="217"/>
      <c r="BX7" s="217"/>
      <c r="BY7" s="217"/>
      <c r="BZ7" s="217"/>
      <c r="CA7" s="217"/>
      <c r="CB7" s="217"/>
      <c r="CC7" s="217"/>
      <c r="CD7" s="217"/>
      <c r="CE7" s="217"/>
      <c r="CF7" s="217"/>
      <c r="CG7" s="217"/>
      <c r="CH7" s="217"/>
      <c r="CI7" s="217"/>
      <c r="CJ7" s="217"/>
      <c r="CK7" s="217"/>
      <c r="CL7" s="217"/>
      <c r="CM7" s="217"/>
      <c r="CN7" s="217"/>
      <c r="CO7" s="217"/>
      <c r="CP7" s="217"/>
      <c r="CQ7" s="217"/>
      <c r="CR7" s="217"/>
      <c r="CS7" s="217"/>
      <c r="CT7" s="217"/>
      <c r="CU7" s="217"/>
      <c r="CV7" s="217"/>
      <c r="CW7" s="217"/>
      <c r="CX7" s="217"/>
      <c r="CY7" s="217"/>
      <c r="CZ7" s="217"/>
      <c r="DA7" s="217"/>
      <c r="DB7" s="217"/>
      <c r="DC7" s="217"/>
      <c r="DD7" s="217"/>
      <c r="DE7" s="217"/>
      <c r="DF7" s="217"/>
      <c r="DG7" s="217"/>
      <c r="DH7" s="217"/>
      <c r="DI7" s="217"/>
      <c r="DJ7" s="217"/>
      <c r="DK7" s="217"/>
      <c r="DL7" s="217"/>
      <c r="DM7" s="217"/>
      <c r="DN7" s="217"/>
      <c r="DO7" s="217"/>
      <c r="DP7" s="217"/>
      <c r="DQ7" s="217"/>
      <c r="DR7" s="217"/>
      <c r="DS7" s="217"/>
      <c r="DT7" s="217"/>
      <c r="DU7" s="217"/>
      <c r="DV7" s="217"/>
      <c r="DW7" s="217"/>
      <c r="DX7" s="217"/>
      <c r="DY7" s="217"/>
      <c r="DZ7" s="217"/>
      <c r="EA7" s="217"/>
      <c r="EB7" s="217"/>
      <c r="EC7" s="217"/>
      <c r="ED7" s="217"/>
      <c r="EE7" s="217"/>
      <c r="EF7" s="217"/>
      <c r="EG7" s="217"/>
      <c r="EH7" s="217"/>
      <c r="EI7" s="217"/>
      <c r="EJ7" s="217"/>
      <c r="EK7" s="217"/>
      <c r="EL7" s="217"/>
      <c r="EM7" s="217"/>
      <c r="EN7" s="217"/>
      <c r="EO7" s="217"/>
      <c r="EP7" s="217"/>
      <c r="EQ7" s="217"/>
      <c r="ER7" s="217"/>
      <c r="ES7" s="217"/>
      <c r="ET7" s="217"/>
      <c r="EU7" s="217"/>
      <c r="EV7" s="217"/>
      <c r="EW7" s="217"/>
      <c r="EX7" s="217"/>
      <c r="EY7" s="217"/>
      <c r="EZ7" s="217"/>
      <c r="FA7" s="217"/>
      <c r="FB7" s="217"/>
      <c r="FC7" s="217"/>
      <c r="FD7" s="217"/>
      <c r="FE7" s="217"/>
      <c r="FF7" s="217"/>
      <c r="FG7" s="217"/>
      <c r="FH7" s="217"/>
      <c r="FI7" s="217"/>
      <c r="FJ7" s="217"/>
      <c r="FK7" s="217"/>
      <c r="FL7" s="217"/>
      <c r="FM7" s="217"/>
      <c r="FN7" s="217"/>
      <c r="FO7" s="217"/>
      <c r="FP7" s="217"/>
      <c r="FQ7" s="217"/>
      <c r="FR7" s="217"/>
      <c r="FS7" s="217"/>
      <c r="FT7" s="217"/>
      <c r="FU7" s="217"/>
      <c r="FV7" s="217"/>
      <c r="FW7" s="217"/>
      <c r="FX7" s="217"/>
      <c r="FY7" s="217"/>
      <c r="FZ7" s="217"/>
      <c r="GA7" s="217"/>
      <c r="GB7" s="217"/>
      <c r="GC7" s="217"/>
      <c r="GD7" s="217"/>
      <c r="GE7" s="217"/>
      <c r="GF7" s="217"/>
      <c r="GG7" s="217"/>
      <c r="GH7" s="217"/>
      <c r="GI7" s="217"/>
      <c r="GJ7" s="217"/>
      <c r="GK7" s="217"/>
      <c r="GL7" s="217"/>
      <c r="GM7" s="217"/>
      <c r="GN7" s="217"/>
      <c r="GO7" s="217"/>
      <c r="GP7" s="217"/>
      <c r="GQ7" s="217"/>
      <c r="GR7" s="217"/>
      <c r="GS7" s="217"/>
      <c r="GT7" s="217"/>
      <c r="GU7" s="217"/>
      <c r="GV7" s="217"/>
      <c r="GW7" s="217"/>
      <c r="GX7" s="217"/>
      <c r="GY7" s="217"/>
      <c r="GZ7" s="217"/>
      <c r="HA7" s="217"/>
      <c r="HB7" s="217"/>
      <c r="HC7" s="217"/>
    </row>
    <row r="8" spans="1:211" s="229" customFormat="1" ht="30" customHeight="1">
      <c r="A8" s="1178"/>
      <c r="B8" s="302" t="s">
        <v>779</v>
      </c>
      <c r="C8" s="267" t="s">
        <v>98</v>
      </c>
      <c r="D8" s="305" t="s">
        <v>447</v>
      </c>
      <c r="E8" s="308" t="s">
        <v>170</v>
      </c>
      <c r="F8" s="1938"/>
      <c r="G8" s="307" t="s">
        <v>130</v>
      </c>
      <c r="H8" s="304" t="s">
        <v>587</v>
      </c>
      <c r="I8" s="2497"/>
      <c r="J8" s="2498"/>
      <c r="K8" s="308">
        <f>624/654</f>
        <v>0.95412844036697253</v>
      </c>
      <c r="L8" s="306" t="s">
        <v>436</v>
      </c>
      <c r="M8" s="308">
        <f>563/592</f>
        <v>0.95101351351351349</v>
      </c>
      <c r="N8" s="306" t="s">
        <v>706</v>
      </c>
      <c r="O8" s="2482"/>
      <c r="P8" s="2483"/>
      <c r="Q8" s="2482"/>
      <c r="R8" s="2483"/>
      <c r="S8" s="1178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7"/>
      <c r="AP8" s="217"/>
      <c r="AQ8" s="217"/>
      <c r="AR8" s="217"/>
      <c r="AS8" s="217"/>
      <c r="AT8" s="217"/>
      <c r="AU8" s="217"/>
      <c r="AV8" s="217"/>
      <c r="AW8" s="217"/>
      <c r="AX8" s="217"/>
      <c r="AY8" s="217"/>
      <c r="AZ8" s="217"/>
      <c r="BA8" s="217"/>
      <c r="BB8" s="217"/>
      <c r="BC8" s="217"/>
      <c r="BD8" s="217"/>
      <c r="BE8" s="217"/>
      <c r="BF8" s="217"/>
      <c r="BG8" s="217"/>
      <c r="BH8" s="217"/>
      <c r="BI8" s="217"/>
      <c r="BJ8" s="217"/>
      <c r="BK8" s="217"/>
      <c r="BL8" s="217"/>
      <c r="BM8" s="217"/>
      <c r="BN8" s="217"/>
      <c r="BO8" s="217"/>
      <c r="BP8" s="217"/>
      <c r="BQ8" s="217"/>
      <c r="BR8" s="217"/>
      <c r="BS8" s="217"/>
      <c r="BT8" s="217"/>
      <c r="BU8" s="217"/>
      <c r="BV8" s="217"/>
      <c r="BW8" s="217"/>
      <c r="BX8" s="217"/>
      <c r="BY8" s="217"/>
      <c r="BZ8" s="217"/>
      <c r="CA8" s="217"/>
      <c r="CB8" s="217"/>
      <c r="CC8" s="217"/>
      <c r="CD8" s="217"/>
      <c r="CE8" s="217"/>
      <c r="CF8" s="217"/>
      <c r="CG8" s="217"/>
      <c r="CH8" s="217"/>
      <c r="CI8" s="217"/>
      <c r="CJ8" s="217"/>
      <c r="CK8" s="217"/>
      <c r="CL8" s="217"/>
      <c r="CM8" s="217"/>
      <c r="CN8" s="217"/>
      <c r="CO8" s="217"/>
      <c r="CP8" s="217"/>
      <c r="CQ8" s="217"/>
      <c r="CR8" s="217"/>
      <c r="CS8" s="217"/>
      <c r="CT8" s="217"/>
      <c r="CU8" s="217"/>
      <c r="CV8" s="217"/>
      <c r="CW8" s="217"/>
      <c r="CX8" s="217"/>
      <c r="CY8" s="217"/>
      <c r="CZ8" s="217"/>
      <c r="DA8" s="217"/>
      <c r="DB8" s="217"/>
      <c r="DC8" s="217"/>
      <c r="DD8" s="217"/>
      <c r="DE8" s="217"/>
      <c r="DF8" s="217"/>
      <c r="DG8" s="217"/>
      <c r="DH8" s="217"/>
      <c r="DI8" s="217"/>
      <c r="DJ8" s="217"/>
      <c r="DK8" s="217"/>
      <c r="DL8" s="217"/>
      <c r="DM8" s="217"/>
      <c r="DN8" s="217"/>
      <c r="DO8" s="217"/>
      <c r="DP8" s="217"/>
      <c r="DQ8" s="217"/>
      <c r="DR8" s="217"/>
      <c r="DS8" s="217"/>
      <c r="DT8" s="217"/>
      <c r="DU8" s="217"/>
      <c r="DV8" s="217"/>
      <c r="DW8" s="217"/>
      <c r="DX8" s="217"/>
      <c r="DY8" s="217"/>
      <c r="DZ8" s="217"/>
      <c r="EA8" s="217"/>
      <c r="EB8" s="217"/>
      <c r="EC8" s="217"/>
      <c r="ED8" s="217"/>
      <c r="EE8" s="217"/>
      <c r="EF8" s="217"/>
      <c r="EG8" s="217"/>
      <c r="EH8" s="217"/>
      <c r="EI8" s="217"/>
      <c r="EJ8" s="217"/>
      <c r="EK8" s="217"/>
      <c r="EL8" s="217"/>
      <c r="EM8" s="217"/>
      <c r="EN8" s="217"/>
      <c r="EO8" s="217"/>
      <c r="EP8" s="217"/>
      <c r="EQ8" s="217"/>
      <c r="ER8" s="217"/>
      <c r="ES8" s="217"/>
      <c r="ET8" s="217"/>
      <c r="EU8" s="217"/>
      <c r="EV8" s="217"/>
      <c r="EW8" s="217"/>
      <c r="EX8" s="217"/>
      <c r="EY8" s="217"/>
      <c r="EZ8" s="217"/>
      <c r="FA8" s="217"/>
      <c r="FB8" s="217"/>
      <c r="FC8" s="217"/>
      <c r="FD8" s="217"/>
      <c r="FE8" s="217"/>
      <c r="FF8" s="217"/>
      <c r="FG8" s="217"/>
      <c r="FH8" s="217"/>
      <c r="FI8" s="217"/>
      <c r="FJ8" s="217"/>
      <c r="FK8" s="217"/>
      <c r="FL8" s="217"/>
      <c r="FM8" s="217"/>
      <c r="FN8" s="217"/>
      <c r="FO8" s="217"/>
      <c r="FP8" s="217"/>
      <c r="FQ8" s="217"/>
      <c r="FR8" s="217"/>
      <c r="FS8" s="217"/>
      <c r="FT8" s="217"/>
      <c r="FU8" s="217"/>
      <c r="FV8" s="217"/>
      <c r="FW8" s="217"/>
      <c r="FX8" s="217"/>
      <c r="FY8" s="217"/>
      <c r="FZ8" s="217"/>
      <c r="GA8" s="217"/>
      <c r="GB8" s="217"/>
      <c r="GC8" s="217"/>
      <c r="GD8" s="217"/>
      <c r="GE8" s="217"/>
      <c r="GF8" s="217"/>
      <c r="GG8" s="217"/>
      <c r="GH8" s="217"/>
      <c r="GI8" s="217"/>
      <c r="GJ8" s="217"/>
      <c r="GK8" s="217"/>
      <c r="GL8" s="217"/>
      <c r="GM8" s="217"/>
      <c r="GN8" s="217"/>
      <c r="GO8" s="217"/>
      <c r="GP8" s="217"/>
      <c r="GQ8" s="217"/>
      <c r="GR8" s="217"/>
      <c r="GS8" s="217"/>
      <c r="GT8" s="217"/>
      <c r="GU8" s="217"/>
      <c r="GV8" s="217"/>
      <c r="GW8" s="217"/>
      <c r="GX8" s="217"/>
      <c r="GY8" s="217"/>
      <c r="GZ8" s="217"/>
      <c r="HA8" s="217"/>
      <c r="HB8" s="217"/>
      <c r="HC8" s="217"/>
    </row>
    <row r="9" spans="1:211" s="229" customFormat="1" ht="30" customHeight="1">
      <c r="A9" s="1178"/>
      <c r="B9" s="302" t="s">
        <v>780</v>
      </c>
      <c r="C9" s="267" t="s">
        <v>99</v>
      </c>
      <c r="D9" s="305" t="s">
        <v>447</v>
      </c>
      <c r="E9" s="308" t="s">
        <v>170</v>
      </c>
      <c r="F9" s="306"/>
      <c r="G9" s="307" t="s">
        <v>130</v>
      </c>
      <c r="H9" s="304" t="s">
        <v>587</v>
      </c>
      <c r="I9" s="2497"/>
      <c r="J9" s="2498"/>
      <c r="K9" s="308">
        <f>1440/1444</f>
        <v>0.99722991689750695</v>
      </c>
      <c r="L9" s="306" t="s">
        <v>437</v>
      </c>
      <c r="M9" s="308">
        <f>1691/1695</f>
        <v>0.99764011799410024</v>
      </c>
      <c r="N9" s="306" t="s">
        <v>707</v>
      </c>
      <c r="O9" s="2482"/>
      <c r="P9" s="2483"/>
      <c r="Q9" s="2482"/>
      <c r="R9" s="2483"/>
      <c r="S9" s="1178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17"/>
      <c r="AP9" s="217"/>
      <c r="AQ9" s="217"/>
      <c r="AR9" s="217"/>
      <c r="AS9" s="217"/>
      <c r="AT9" s="217"/>
      <c r="AU9" s="217"/>
      <c r="AV9" s="217"/>
      <c r="AW9" s="217"/>
      <c r="AX9" s="217"/>
      <c r="AY9" s="217"/>
      <c r="AZ9" s="217"/>
      <c r="BA9" s="217"/>
      <c r="BB9" s="217"/>
      <c r="BC9" s="217"/>
      <c r="BD9" s="217"/>
      <c r="BE9" s="217"/>
      <c r="BF9" s="217"/>
      <c r="BG9" s="217"/>
      <c r="BH9" s="217"/>
      <c r="BI9" s="217"/>
      <c r="BJ9" s="217"/>
      <c r="BK9" s="217"/>
      <c r="BL9" s="217"/>
      <c r="BM9" s="217"/>
      <c r="BN9" s="217"/>
      <c r="BO9" s="217"/>
      <c r="BP9" s="217"/>
      <c r="BQ9" s="217"/>
      <c r="BR9" s="217"/>
      <c r="BS9" s="217"/>
      <c r="BT9" s="217"/>
      <c r="BU9" s="217"/>
      <c r="BV9" s="217"/>
      <c r="BW9" s="217"/>
      <c r="BX9" s="217"/>
      <c r="BY9" s="217"/>
      <c r="BZ9" s="217"/>
      <c r="CA9" s="217"/>
      <c r="CB9" s="217"/>
      <c r="CC9" s="217"/>
      <c r="CD9" s="217"/>
      <c r="CE9" s="217"/>
      <c r="CF9" s="217"/>
      <c r="CG9" s="217"/>
      <c r="CH9" s="217"/>
      <c r="CI9" s="217"/>
      <c r="CJ9" s="217"/>
      <c r="CK9" s="217"/>
      <c r="CL9" s="217"/>
      <c r="CM9" s="217"/>
      <c r="CN9" s="217"/>
      <c r="CO9" s="217"/>
      <c r="CP9" s="217"/>
      <c r="CQ9" s="217"/>
      <c r="CR9" s="217"/>
      <c r="CS9" s="217"/>
      <c r="CT9" s="217"/>
      <c r="CU9" s="217"/>
      <c r="CV9" s="217"/>
      <c r="CW9" s="217"/>
      <c r="CX9" s="217"/>
      <c r="CY9" s="217"/>
      <c r="CZ9" s="217"/>
      <c r="DA9" s="217"/>
      <c r="DB9" s="217"/>
      <c r="DC9" s="217"/>
      <c r="DD9" s="217"/>
      <c r="DE9" s="217"/>
      <c r="DF9" s="217"/>
      <c r="DG9" s="217"/>
      <c r="DH9" s="217"/>
      <c r="DI9" s="217"/>
      <c r="DJ9" s="217"/>
      <c r="DK9" s="217"/>
      <c r="DL9" s="217"/>
      <c r="DM9" s="217"/>
      <c r="DN9" s="217"/>
      <c r="DO9" s="217"/>
      <c r="DP9" s="217"/>
      <c r="DQ9" s="217"/>
      <c r="DR9" s="217"/>
      <c r="DS9" s="217"/>
      <c r="DT9" s="217"/>
      <c r="DU9" s="217"/>
      <c r="DV9" s="217"/>
      <c r="DW9" s="217"/>
      <c r="DX9" s="217"/>
      <c r="DY9" s="217"/>
      <c r="DZ9" s="217"/>
      <c r="EA9" s="217"/>
      <c r="EB9" s="217"/>
      <c r="EC9" s="217"/>
      <c r="ED9" s="217"/>
      <c r="EE9" s="217"/>
      <c r="EF9" s="217"/>
      <c r="EG9" s="217"/>
      <c r="EH9" s="217"/>
      <c r="EI9" s="217"/>
      <c r="EJ9" s="217"/>
      <c r="EK9" s="217"/>
      <c r="EL9" s="217"/>
      <c r="EM9" s="217"/>
      <c r="EN9" s="217"/>
      <c r="EO9" s="217"/>
      <c r="EP9" s="217"/>
      <c r="EQ9" s="217"/>
      <c r="ER9" s="217"/>
      <c r="ES9" s="217"/>
      <c r="ET9" s="217"/>
      <c r="EU9" s="217"/>
      <c r="EV9" s="217"/>
      <c r="EW9" s="217"/>
      <c r="EX9" s="217"/>
      <c r="EY9" s="217"/>
      <c r="EZ9" s="217"/>
      <c r="FA9" s="217"/>
      <c r="FB9" s="217"/>
      <c r="FC9" s="217"/>
      <c r="FD9" s="217"/>
      <c r="FE9" s="217"/>
      <c r="FF9" s="217"/>
      <c r="FG9" s="217"/>
      <c r="FH9" s="217"/>
      <c r="FI9" s="217"/>
      <c r="FJ9" s="217"/>
      <c r="FK9" s="217"/>
      <c r="FL9" s="217"/>
      <c r="FM9" s="217"/>
      <c r="FN9" s="217"/>
      <c r="FO9" s="217"/>
      <c r="FP9" s="217"/>
      <c r="FQ9" s="217"/>
      <c r="FR9" s="217"/>
      <c r="FS9" s="217"/>
      <c r="FT9" s="217"/>
      <c r="FU9" s="217"/>
      <c r="FV9" s="217"/>
      <c r="FW9" s="217"/>
      <c r="FX9" s="217"/>
      <c r="FY9" s="217"/>
      <c r="FZ9" s="217"/>
      <c r="GA9" s="217"/>
      <c r="GB9" s="217"/>
      <c r="GC9" s="217"/>
      <c r="GD9" s="217"/>
      <c r="GE9" s="217"/>
      <c r="GF9" s="217"/>
      <c r="GG9" s="217"/>
      <c r="GH9" s="217"/>
      <c r="GI9" s="217"/>
      <c r="GJ9" s="217"/>
      <c r="GK9" s="217"/>
      <c r="GL9" s="217"/>
      <c r="GM9" s="217"/>
      <c r="GN9" s="217"/>
      <c r="GO9" s="217"/>
      <c r="GP9" s="217"/>
      <c r="GQ9" s="217"/>
      <c r="GR9" s="217"/>
      <c r="GS9" s="217"/>
      <c r="GT9" s="217"/>
      <c r="GU9" s="217"/>
      <c r="GV9" s="217"/>
      <c r="GW9" s="217"/>
      <c r="GX9" s="217"/>
      <c r="GY9" s="217"/>
      <c r="GZ9" s="217"/>
      <c r="HA9" s="217"/>
      <c r="HB9" s="217"/>
      <c r="HC9" s="217"/>
    </row>
    <row r="10" spans="1:211" s="229" customFormat="1" ht="30" customHeight="1">
      <c r="A10" s="1178"/>
      <c r="B10" s="302" t="s">
        <v>781</v>
      </c>
      <c r="C10" s="267" t="s">
        <v>100</v>
      </c>
      <c r="D10" s="305" t="s">
        <v>447</v>
      </c>
      <c r="E10" s="308" t="s">
        <v>170</v>
      </c>
      <c r="F10" s="306"/>
      <c r="G10" s="307" t="s">
        <v>130</v>
      </c>
      <c r="H10" s="304" t="s">
        <v>587</v>
      </c>
      <c r="I10" s="2497"/>
      <c r="J10" s="2498"/>
      <c r="K10" s="308">
        <f>1167/1176</f>
        <v>0.99234693877551017</v>
      </c>
      <c r="L10" s="306" t="s">
        <v>438</v>
      </c>
      <c r="M10" s="308">
        <f>1113/1113</f>
        <v>1</v>
      </c>
      <c r="N10" s="306" t="s">
        <v>708</v>
      </c>
      <c r="O10" s="2482"/>
      <c r="P10" s="2483"/>
      <c r="Q10" s="2482"/>
      <c r="R10" s="2483"/>
      <c r="S10" s="1178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7"/>
      <c r="AP10" s="217"/>
      <c r="AQ10" s="217"/>
      <c r="AR10" s="217"/>
      <c r="AS10" s="217"/>
      <c r="AT10" s="217"/>
      <c r="AU10" s="217"/>
      <c r="AV10" s="217"/>
      <c r="AW10" s="217"/>
      <c r="AX10" s="217"/>
      <c r="AY10" s="217"/>
      <c r="AZ10" s="217"/>
      <c r="BA10" s="217"/>
      <c r="BB10" s="217"/>
      <c r="BC10" s="217"/>
      <c r="BD10" s="217"/>
      <c r="BE10" s="217"/>
      <c r="BF10" s="217"/>
      <c r="BG10" s="217"/>
      <c r="BH10" s="217"/>
      <c r="BI10" s="217"/>
      <c r="BJ10" s="217"/>
      <c r="BK10" s="217"/>
      <c r="BL10" s="217"/>
      <c r="BM10" s="217"/>
      <c r="BN10" s="217"/>
      <c r="BO10" s="217"/>
      <c r="BP10" s="217"/>
      <c r="BQ10" s="217"/>
      <c r="BR10" s="217"/>
      <c r="BS10" s="217"/>
      <c r="BT10" s="217"/>
      <c r="BU10" s="217"/>
      <c r="BV10" s="217"/>
      <c r="BW10" s="217"/>
      <c r="BX10" s="217"/>
      <c r="BY10" s="217"/>
      <c r="BZ10" s="217"/>
      <c r="CA10" s="217"/>
      <c r="CB10" s="217"/>
      <c r="CC10" s="217"/>
      <c r="CD10" s="217"/>
      <c r="CE10" s="217"/>
      <c r="CF10" s="217"/>
      <c r="CG10" s="217"/>
      <c r="CH10" s="217"/>
      <c r="CI10" s="217"/>
      <c r="CJ10" s="217"/>
      <c r="CK10" s="217"/>
      <c r="CL10" s="217"/>
      <c r="CM10" s="217"/>
      <c r="CN10" s="217"/>
      <c r="CO10" s="217"/>
      <c r="CP10" s="217"/>
      <c r="CQ10" s="217"/>
      <c r="CR10" s="217"/>
      <c r="CS10" s="217"/>
      <c r="CT10" s="217"/>
      <c r="CU10" s="217"/>
      <c r="CV10" s="217"/>
      <c r="CW10" s="217"/>
      <c r="CX10" s="217"/>
      <c r="CY10" s="217"/>
      <c r="CZ10" s="217"/>
      <c r="DA10" s="217"/>
      <c r="DB10" s="217"/>
      <c r="DC10" s="217"/>
      <c r="DD10" s="217"/>
      <c r="DE10" s="217"/>
      <c r="DF10" s="217"/>
      <c r="DG10" s="217"/>
      <c r="DH10" s="217"/>
      <c r="DI10" s="217"/>
      <c r="DJ10" s="217"/>
      <c r="DK10" s="217"/>
      <c r="DL10" s="217"/>
      <c r="DM10" s="217"/>
      <c r="DN10" s="217"/>
      <c r="DO10" s="217"/>
      <c r="DP10" s="217"/>
      <c r="DQ10" s="217"/>
      <c r="DR10" s="217"/>
      <c r="DS10" s="217"/>
      <c r="DT10" s="217"/>
      <c r="DU10" s="217"/>
      <c r="DV10" s="217"/>
      <c r="DW10" s="217"/>
      <c r="DX10" s="217"/>
      <c r="DY10" s="217"/>
      <c r="DZ10" s="217"/>
      <c r="EA10" s="217"/>
      <c r="EB10" s="217"/>
      <c r="EC10" s="217"/>
      <c r="ED10" s="217"/>
      <c r="EE10" s="217"/>
      <c r="EF10" s="217"/>
      <c r="EG10" s="217"/>
      <c r="EH10" s="217"/>
      <c r="EI10" s="217"/>
      <c r="EJ10" s="217"/>
      <c r="EK10" s="217"/>
      <c r="EL10" s="217"/>
      <c r="EM10" s="217"/>
      <c r="EN10" s="217"/>
      <c r="EO10" s="217"/>
      <c r="EP10" s="217"/>
      <c r="EQ10" s="217"/>
      <c r="ER10" s="217"/>
      <c r="ES10" s="217"/>
      <c r="ET10" s="217"/>
      <c r="EU10" s="217"/>
      <c r="EV10" s="217"/>
      <c r="EW10" s="217"/>
      <c r="EX10" s="217"/>
      <c r="EY10" s="217"/>
      <c r="EZ10" s="217"/>
      <c r="FA10" s="217"/>
      <c r="FB10" s="217"/>
      <c r="FC10" s="217"/>
      <c r="FD10" s="217"/>
      <c r="FE10" s="217"/>
      <c r="FF10" s="217"/>
      <c r="FG10" s="217"/>
      <c r="FH10" s="217"/>
      <c r="FI10" s="217"/>
      <c r="FJ10" s="217"/>
      <c r="FK10" s="217"/>
      <c r="FL10" s="217"/>
      <c r="FM10" s="217"/>
      <c r="FN10" s="217"/>
      <c r="FO10" s="217"/>
      <c r="FP10" s="217"/>
      <c r="FQ10" s="217"/>
      <c r="FR10" s="217"/>
      <c r="FS10" s="217"/>
      <c r="FT10" s="217"/>
      <c r="FU10" s="217"/>
      <c r="FV10" s="217"/>
      <c r="FW10" s="217"/>
      <c r="FX10" s="217"/>
      <c r="FY10" s="217"/>
      <c r="FZ10" s="217"/>
      <c r="GA10" s="217"/>
      <c r="GB10" s="217"/>
      <c r="GC10" s="217"/>
      <c r="GD10" s="217"/>
      <c r="GE10" s="217"/>
      <c r="GF10" s="217"/>
      <c r="GG10" s="217"/>
      <c r="GH10" s="217"/>
      <c r="GI10" s="217"/>
      <c r="GJ10" s="217"/>
      <c r="GK10" s="217"/>
      <c r="GL10" s="217"/>
      <c r="GM10" s="217"/>
      <c r="GN10" s="217"/>
      <c r="GO10" s="217"/>
      <c r="GP10" s="217"/>
      <c r="GQ10" s="217"/>
      <c r="GR10" s="217"/>
      <c r="GS10" s="217"/>
      <c r="GT10" s="217"/>
      <c r="GU10" s="217"/>
      <c r="GV10" s="217"/>
      <c r="GW10" s="217"/>
      <c r="GX10" s="217"/>
      <c r="GY10" s="217"/>
      <c r="GZ10" s="217"/>
      <c r="HA10" s="217"/>
      <c r="HB10" s="217"/>
      <c r="HC10" s="217"/>
    </row>
    <row r="11" spans="1:211" s="229" customFormat="1" ht="30" customHeight="1">
      <c r="A11" s="1178"/>
      <c r="B11" s="2519" t="s">
        <v>782</v>
      </c>
      <c r="C11" s="2613" t="s">
        <v>114</v>
      </c>
      <c r="D11" s="2614" t="s">
        <v>447</v>
      </c>
      <c r="E11" s="2615" t="s">
        <v>170</v>
      </c>
      <c r="F11" s="2616"/>
      <c r="G11" s="2617" t="s">
        <v>130</v>
      </c>
      <c r="H11" s="2618" t="s">
        <v>587</v>
      </c>
      <c r="I11" s="2499"/>
      <c r="J11" s="2500"/>
      <c r="K11" s="308">
        <f>3231/3274</f>
        <v>0.98686621869273061</v>
      </c>
      <c r="L11" s="306" t="s">
        <v>439</v>
      </c>
      <c r="M11" s="308">
        <f>3367/3400</f>
        <v>0.99029411764705877</v>
      </c>
      <c r="N11" s="306" t="s">
        <v>709</v>
      </c>
      <c r="O11" s="2482"/>
      <c r="P11" s="2483"/>
      <c r="Q11" s="2482"/>
      <c r="R11" s="2483"/>
      <c r="S11" s="1178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7"/>
      <c r="AY11" s="217"/>
      <c r="AZ11" s="217"/>
      <c r="BA11" s="217"/>
      <c r="BB11" s="217"/>
      <c r="BC11" s="217"/>
      <c r="BD11" s="217"/>
      <c r="BE11" s="217"/>
      <c r="BF11" s="217"/>
      <c r="BG11" s="217"/>
      <c r="BH11" s="217"/>
      <c r="BI11" s="217"/>
      <c r="BJ11" s="217"/>
      <c r="BK11" s="217"/>
      <c r="BL11" s="217"/>
      <c r="BM11" s="217"/>
      <c r="BN11" s="217"/>
      <c r="BO11" s="217"/>
      <c r="BP11" s="217"/>
      <c r="BQ11" s="217"/>
      <c r="BR11" s="217"/>
      <c r="BS11" s="217"/>
      <c r="BT11" s="217"/>
      <c r="BU11" s="217"/>
      <c r="BV11" s="217"/>
      <c r="BW11" s="217"/>
      <c r="BX11" s="217"/>
      <c r="BY11" s="217"/>
      <c r="BZ11" s="217"/>
      <c r="CA11" s="217"/>
      <c r="CB11" s="217"/>
      <c r="CC11" s="217"/>
      <c r="CD11" s="217"/>
      <c r="CE11" s="217"/>
      <c r="CF11" s="217"/>
      <c r="CG11" s="217"/>
      <c r="CH11" s="217"/>
      <c r="CI11" s="217"/>
      <c r="CJ11" s="217"/>
      <c r="CK11" s="217"/>
      <c r="CL11" s="217"/>
      <c r="CM11" s="217"/>
      <c r="CN11" s="217"/>
      <c r="CO11" s="217"/>
      <c r="CP11" s="217"/>
      <c r="CQ11" s="217"/>
      <c r="CR11" s="217"/>
      <c r="CS11" s="217"/>
      <c r="CT11" s="217"/>
      <c r="CU11" s="217"/>
      <c r="CV11" s="217"/>
      <c r="CW11" s="217"/>
      <c r="CX11" s="217"/>
      <c r="CY11" s="217"/>
      <c r="CZ11" s="217"/>
      <c r="DA11" s="217"/>
      <c r="DB11" s="217"/>
      <c r="DC11" s="217"/>
      <c r="DD11" s="217"/>
      <c r="DE11" s="217"/>
      <c r="DF11" s="217"/>
      <c r="DG11" s="217"/>
      <c r="DH11" s="217"/>
      <c r="DI11" s="217"/>
      <c r="DJ11" s="217"/>
      <c r="DK11" s="217"/>
      <c r="DL11" s="217"/>
      <c r="DM11" s="217"/>
      <c r="DN11" s="217"/>
      <c r="DO11" s="217"/>
      <c r="DP11" s="217"/>
      <c r="DQ11" s="217"/>
      <c r="DR11" s="217"/>
      <c r="DS11" s="217"/>
      <c r="DT11" s="217"/>
      <c r="DU11" s="217"/>
      <c r="DV11" s="217"/>
      <c r="DW11" s="217"/>
      <c r="DX11" s="217"/>
      <c r="DY11" s="217"/>
      <c r="DZ11" s="217"/>
      <c r="EA11" s="217"/>
      <c r="EB11" s="217"/>
      <c r="EC11" s="217"/>
      <c r="ED11" s="217"/>
      <c r="EE11" s="217"/>
      <c r="EF11" s="217"/>
      <c r="EG11" s="217"/>
      <c r="EH11" s="217"/>
      <c r="EI11" s="217"/>
      <c r="EJ11" s="217"/>
      <c r="EK11" s="217"/>
      <c r="EL11" s="217"/>
      <c r="EM11" s="217"/>
      <c r="EN11" s="217"/>
      <c r="EO11" s="217"/>
      <c r="EP11" s="217"/>
      <c r="EQ11" s="217"/>
      <c r="ER11" s="217"/>
      <c r="ES11" s="217"/>
      <c r="ET11" s="217"/>
      <c r="EU11" s="217"/>
      <c r="EV11" s="217"/>
      <c r="EW11" s="217"/>
      <c r="EX11" s="217"/>
      <c r="EY11" s="217"/>
      <c r="EZ11" s="217"/>
      <c r="FA11" s="217"/>
      <c r="FB11" s="217"/>
      <c r="FC11" s="217"/>
      <c r="FD11" s="217"/>
      <c r="FE11" s="217"/>
      <c r="FF11" s="217"/>
      <c r="FG11" s="217"/>
      <c r="FH11" s="217"/>
      <c r="FI11" s="217"/>
      <c r="FJ11" s="217"/>
      <c r="FK11" s="217"/>
      <c r="FL11" s="217"/>
      <c r="FM11" s="217"/>
      <c r="FN11" s="217"/>
      <c r="FO11" s="217"/>
      <c r="FP11" s="217"/>
      <c r="FQ11" s="217"/>
      <c r="FR11" s="217"/>
      <c r="FS11" s="217"/>
      <c r="FT11" s="217"/>
      <c r="FU11" s="217"/>
      <c r="FV11" s="217"/>
      <c r="FW11" s="217"/>
      <c r="FX11" s="217"/>
      <c r="FY11" s="217"/>
      <c r="FZ11" s="217"/>
      <c r="GA11" s="217"/>
      <c r="GB11" s="217"/>
      <c r="GC11" s="217"/>
      <c r="GD11" s="217"/>
      <c r="GE11" s="217"/>
      <c r="GF11" s="217"/>
      <c r="GG11" s="217"/>
      <c r="GH11" s="217"/>
      <c r="GI11" s="217"/>
      <c r="GJ11" s="217"/>
      <c r="GK11" s="217"/>
      <c r="GL11" s="217"/>
      <c r="GM11" s="217"/>
      <c r="GN11" s="217"/>
      <c r="GO11" s="217"/>
      <c r="GP11" s="217"/>
      <c r="GQ11" s="217"/>
      <c r="GR11" s="217"/>
      <c r="GS11" s="217"/>
      <c r="GT11" s="217"/>
      <c r="GU11" s="217"/>
      <c r="GV11" s="217"/>
      <c r="GW11" s="217"/>
      <c r="GX11" s="217"/>
      <c r="GY11" s="217"/>
      <c r="GZ11" s="217"/>
      <c r="HA11" s="217"/>
      <c r="HB11" s="217"/>
      <c r="HC11" s="217"/>
    </row>
    <row r="12" spans="1:211" s="229" customFormat="1" ht="30" customHeight="1">
      <c r="A12" s="1178"/>
      <c r="B12" s="319" t="s">
        <v>813</v>
      </c>
      <c r="C12" s="2475" t="s">
        <v>785</v>
      </c>
      <c r="D12" s="305" t="s">
        <v>447</v>
      </c>
      <c r="E12" s="308">
        <f>2459/2477</f>
        <v>0.99273314493338716</v>
      </c>
      <c r="F12" s="306" t="s">
        <v>856</v>
      </c>
      <c r="G12" s="307" t="s">
        <v>130</v>
      </c>
      <c r="H12" s="304" t="s">
        <v>587</v>
      </c>
      <c r="I12" s="2503" t="s">
        <v>365</v>
      </c>
      <c r="J12" s="2504"/>
      <c r="K12" s="2603"/>
      <c r="L12" s="2604"/>
      <c r="M12" s="2482"/>
      <c r="N12" s="2604"/>
      <c r="O12" s="308">
        <f>3742/3752</f>
        <v>0.99733475479744138</v>
      </c>
      <c r="P12" s="306" t="s">
        <v>821</v>
      </c>
      <c r="Q12" s="308">
        <v>0.97542242703533022</v>
      </c>
      <c r="R12" s="306" t="s">
        <v>843</v>
      </c>
      <c r="S12" s="1178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217"/>
      <c r="AS12" s="217"/>
      <c r="AT12" s="217"/>
      <c r="AU12" s="217"/>
      <c r="AV12" s="217"/>
      <c r="AW12" s="217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  <c r="BH12" s="217"/>
      <c r="BI12" s="217"/>
      <c r="BJ12" s="217"/>
      <c r="BK12" s="217"/>
      <c r="BL12" s="217"/>
      <c r="BM12" s="217"/>
      <c r="BN12" s="217"/>
      <c r="BO12" s="217"/>
      <c r="BP12" s="217"/>
      <c r="BQ12" s="217"/>
      <c r="BR12" s="217"/>
      <c r="BS12" s="217"/>
      <c r="BT12" s="217"/>
      <c r="BU12" s="217"/>
      <c r="BV12" s="217"/>
      <c r="BW12" s="217"/>
      <c r="BX12" s="217"/>
      <c r="BY12" s="217"/>
      <c r="BZ12" s="217"/>
      <c r="CA12" s="217"/>
      <c r="CB12" s="217"/>
      <c r="CC12" s="217"/>
      <c r="CD12" s="217"/>
      <c r="CE12" s="217"/>
      <c r="CF12" s="217"/>
      <c r="CG12" s="217"/>
      <c r="CH12" s="217"/>
      <c r="CI12" s="217"/>
      <c r="CJ12" s="217"/>
      <c r="CK12" s="217"/>
      <c r="CL12" s="217"/>
      <c r="CM12" s="217"/>
      <c r="CN12" s="217"/>
      <c r="CO12" s="217"/>
      <c r="CP12" s="217"/>
      <c r="CQ12" s="217"/>
      <c r="CR12" s="217"/>
      <c r="CS12" s="217"/>
      <c r="CT12" s="217"/>
      <c r="CU12" s="217"/>
      <c r="CV12" s="217"/>
      <c r="CW12" s="217"/>
      <c r="CX12" s="217"/>
      <c r="CY12" s="217"/>
      <c r="CZ12" s="217"/>
      <c r="DA12" s="217"/>
      <c r="DB12" s="217"/>
      <c r="DC12" s="217"/>
      <c r="DD12" s="217"/>
      <c r="DE12" s="217"/>
      <c r="DF12" s="217"/>
      <c r="DG12" s="217"/>
      <c r="DH12" s="217"/>
      <c r="DI12" s="217"/>
      <c r="DJ12" s="217"/>
      <c r="DK12" s="217"/>
      <c r="DL12" s="217"/>
      <c r="DM12" s="217"/>
      <c r="DN12" s="217"/>
      <c r="DO12" s="217"/>
      <c r="DP12" s="217"/>
      <c r="DQ12" s="217"/>
      <c r="DR12" s="217"/>
      <c r="DS12" s="217"/>
      <c r="DT12" s="217"/>
      <c r="DU12" s="217"/>
      <c r="DV12" s="217"/>
      <c r="DW12" s="217"/>
      <c r="DX12" s="217"/>
      <c r="DY12" s="217"/>
      <c r="DZ12" s="217"/>
      <c r="EA12" s="217"/>
      <c r="EB12" s="217"/>
      <c r="EC12" s="217"/>
      <c r="ED12" s="217"/>
      <c r="EE12" s="217"/>
      <c r="EF12" s="217"/>
      <c r="EG12" s="217"/>
      <c r="EH12" s="217"/>
      <c r="EI12" s="217"/>
      <c r="EJ12" s="217"/>
      <c r="EK12" s="217"/>
      <c r="EL12" s="217"/>
      <c r="EM12" s="217"/>
      <c r="EN12" s="217"/>
      <c r="EO12" s="217"/>
      <c r="EP12" s="217"/>
      <c r="EQ12" s="217"/>
      <c r="ER12" s="217"/>
      <c r="ES12" s="217"/>
      <c r="ET12" s="217"/>
      <c r="EU12" s="217"/>
      <c r="EV12" s="217"/>
      <c r="EW12" s="217"/>
      <c r="EX12" s="217"/>
      <c r="EY12" s="217"/>
      <c r="EZ12" s="217"/>
      <c r="FA12" s="217"/>
      <c r="FB12" s="217"/>
      <c r="FC12" s="217"/>
      <c r="FD12" s="217"/>
      <c r="FE12" s="217"/>
      <c r="FF12" s="217"/>
      <c r="FG12" s="217"/>
      <c r="FH12" s="217"/>
      <c r="FI12" s="217"/>
      <c r="FJ12" s="217"/>
      <c r="FK12" s="217"/>
      <c r="FL12" s="217"/>
      <c r="FM12" s="217"/>
      <c r="FN12" s="217"/>
      <c r="FO12" s="217"/>
      <c r="FP12" s="217"/>
      <c r="FQ12" s="217"/>
      <c r="FR12" s="217"/>
      <c r="FS12" s="217"/>
      <c r="FT12" s="217"/>
      <c r="FU12" s="217"/>
      <c r="FV12" s="217"/>
      <c r="FW12" s="217"/>
      <c r="FX12" s="217"/>
      <c r="FY12" s="217"/>
      <c r="FZ12" s="217"/>
      <c r="GA12" s="217"/>
      <c r="GB12" s="217"/>
      <c r="GC12" s="217"/>
      <c r="GD12" s="217"/>
      <c r="GE12" s="217"/>
      <c r="GF12" s="217"/>
      <c r="GG12" s="217"/>
      <c r="GH12" s="217"/>
      <c r="GI12" s="217"/>
      <c r="GJ12" s="217"/>
      <c r="GK12" s="217"/>
      <c r="GL12" s="217"/>
      <c r="GM12" s="217"/>
      <c r="GN12" s="217"/>
      <c r="GO12" s="217"/>
      <c r="GP12" s="217"/>
      <c r="GQ12" s="217"/>
      <c r="GR12" s="217"/>
      <c r="GS12" s="217"/>
      <c r="GT12" s="217"/>
      <c r="GU12" s="217"/>
      <c r="GV12" s="217"/>
      <c r="GW12" s="217"/>
      <c r="GX12" s="217"/>
      <c r="GY12" s="217"/>
      <c r="GZ12" s="217"/>
      <c r="HA12" s="217"/>
      <c r="HB12" s="217"/>
      <c r="HC12" s="217"/>
    </row>
    <row r="13" spans="1:211" s="229" customFormat="1" ht="30" customHeight="1">
      <c r="A13" s="1178"/>
      <c r="B13" s="319" t="s">
        <v>818</v>
      </c>
      <c r="C13" s="2481" t="s">
        <v>786</v>
      </c>
      <c r="D13" s="305" t="s">
        <v>447</v>
      </c>
      <c r="E13" s="308">
        <f>43053/43399</f>
        <v>0.99202746607064674</v>
      </c>
      <c r="F13" s="306" t="s">
        <v>857</v>
      </c>
      <c r="G13" s="307" t="s">
        <v>130</v>
      </c>
      <c r="H13" s="304" t="s">
        <v>587</v>
      </c>
      <c r="I13" s="2503" t="s">
        <v>365</v>
      </c>
      <c r="J13" s="2504"/>
      <c r="K13" s="2603"/>
      <c r="L13" s="2604"/>
      <c r="M13" s="2482"/>
      <c r="N13" s="2604"/>
      <c r="O13" s="308">
        <f>57871/58245</f>
        <v>0.9935788479697828</v>
      </c>
      <c r="P13" s="306" t="s">
        <v>841</v>
      </c>
      <c r="Q13" s="308">
        <v>0.98900631681243922</v>
      </c>
      <c r="R13" s="306" t="s">
        <v>844</v>
      </c>
      <c r="S13" s="1178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17"/>
      <c r="BV13" s="217"/>
      <c r="BW13" s="217"/>
      <c r="BX13" s="217"/>
      <c r="BY13" s="217"/>
      <c r="BZ13" s="217"/>
      <c r="CA13" s="217"/>
      <c r="CB13" s="217"/>
      <c r="CC13" s="217"/>
      <c r="CD13" s="217"/>
      <c r="CE13" s="217"/>
      <c r="CF13" s="217"/>
      <c r="CG13" s="217"/>
      <c r="CH13" s="217"/>
      <c r="CI13" s="217"/>
      <c r="CJ13" s="217"/>
      <c r="CK13" s="217"/>
      <c r="CL13" s="217"/>
      <c r="CM13" s="217"/>
      <c r="CN13" s="217"/>
      <c r="CO13" s="217"/>
      <c r="CP13" s="217"/>
      <c r="CQ13" s="217"/>
      <c r="CR13" s="217"/>
      <c r="CS13" s="217"/>
      <c r="CT13" s="217"/>
      <c r="CU13" s="217"/>
      <c r="CV13" s="217"/>
      <c r="CW13" s="217"/>
      <c r="CX13" s="217"/>
      <c r="CY13" s="217"/>
      <c r="CZ13" s="217"/>
      <c r="DA13" s="217"/>
      <c r="DB13" s="217"/>
      <c r="DC13" s="217"/>
      <c r="DD13" s="217"/>
      <c r="DE13" s="217"/>
      <c r="DF13" s="217"/>
      <c r="DG13" s="217"/>
      <c r="DH13" s="217"/>
      <c r="DI13" s="217"/>
      <c r="DJ13" s="217"/>
      <c r="DK13" s="217"/>
      <c r="DL13" s="217"/>
      <c r="DM13" s="217"/>
      <c r="DN13" s="217"/>
      <c r="DO13" s="217"/>
      <c r="DP13" s="217"/>
      <c r="DQ13" s="217"/>
      <c r="DR13" s="217"/>
      <c r="DS13" s="217"/>
      <c r="DT13" s="217"/>
      <c r="DU13" s="217"/>
      <c r="DV13" s="217"/>
      <c r="DW13" s="217"/>
      <c r="DX13" s="217"/>
      <c r="DY13" s="217"/>
      <c r="DZ13" s="217"/>
      <c r="EA13" s="217"/>
      <c r="EB13" s="217"/>
      <c r="EC13" s="217"/>
      <c r="ED13" s="217"/>
      <c r="EE13" s="217"/>
      <c r="EF13" s="217"/>
      <c r="EG13" s="217"/>
      <c r="EH13" s="217"/>
      <c r="EI13" s="217"/>
      <c r="EJ13" s="217"/>
      <c r="EK13" s="217"/>
      <c r="EL13" s="217"/>
      <c r="EM13" s="217"/>
      <c r="EN13" s="217"/>
      <c r="EO13" s="217"/>
      <c r="EP13" s="217"/>
      <c r="EQ13" s="217"/>
      <c r="ER13" s="217"/>
      <c r="ES13" s="217"/>
      <c r="ET13" s="217"/>
      <c r="EU13" s="217"/>
      <c r="EV13" s="217"/>
      <c r="EW13" s="217"/>
      <c r="EX13" s="217"/>
      <c r="EY13" s="217"/>
      <c r="EZ13" s="217"/>
      <c r="FA13" s="217"/>
      <c r="FB13" s="217"/>
      <c r="FC13" s="217"/>
      <c r="FD13" s="217"/>
      <c r="FE13" s="217"/>
      <c r="FF13" s="217"/>
      <c r="FG13" s="217"/>
      <c r="FH13" s="217"/>
      <c r="FI13" s="217"/>
      <c r="FJ13" s="217"/>
      <c r="FK13" s="217"/>
      <c r="FL13" s="217"/>
      <c r="FM13" s="217"/>
      <c r="FN13" s="217"/>
      <c r="FO13" s="217"/>
      <c r="FP13" s="217"/>
      <c r="FQ13" s="217"/>
      <c r="FR13" s="217"/>
      <c r="FS13" s="217"/>
      <c r="FT13" s="217"/>
      <c r="FU13" s="217"/>
      <c r="FV13" s="217"/>
      <c r="FW13" s="217"/>
      <c r="FX13" s="217"/>
      <c r="FY13" s="217"/>
      <c r="FZ13" s="217"/>
      <c r="GA13" s="217"/>
      <c r="GB13" s="217"/>
      <c r="GC13" s="217"/>
      <c r="GD13" s="217"/>
      <c r="GE13" s="217"/>
      <c r="GF13" s="217"/>
      <c r="GG13" s="217"/>
      <c r="GH13" s="217"/>
      <c r="GI13" s="217"/>
      <c r="GJ13" s="217"/>
      <c r="GK13" s="217"/>
      <c r="GL13" s="217"/>
      <c r="GM13" s="217"/>
      <c r="GN13" s="217"/>
      <c r="GO13" s="217"/>
      <c r="GP13" s="217"/>
      <c r="GQ13" s="217"/>
      <c r="GR13" s="217"/>
      <c r="GS13" s="217"/>
      <c r="GT13" s="217"/>
      <c r="GU13" s="217"/>
      <c r="GV13" s="217"/>
      <c r="GW13" s="217"/>
      <c r="GX13" s="217"/>
      <c r="GY13" s="217"/>
      <c r="GZ13" s="217"/>
      <c r="HA13" s="217"/>
      <c r="HB13" s="217"/>
      <c r="HC13" s="217"/>
    </row>
    <row r="14" spans="1:211" s="229" customFormat="1" ht="30" customHeight="1">
      <c r="A14" s="1178"/>
      <c r="B14" s="319" t="s">
        <v>817</v>
      </c>
      <c r="C14" s="2475" t="s">
        <v>778</v>
      </c>
      <c r="D14" s="305" t="s">
        <v>447</v>
      </c>
      <c r="E14" s="308" t="s">
        <v>170</v>
      </c>
      <c r="F14" s="2608"/>
      <c r="G14" s="307" t="s">
        <v>130</v>
      </c>
      <c r="H14" s="304"/>
      <c r="I14" s="2503" t="s">
        <v>170</v>
      </c>
      <c r="J14" s="2504"/>
      <c r="K14" s="2603"/>
      <c r="L14" s="2604"/>
      <c r="M14" s="2482"/>
      <c r="N14" s="2604"/>
      <c r="O14" s="308" t="s">
        <v>170</v>
      </c>
      <c r="P14" s="306"/>
      <c r="Q14" s="308" t="s">
        <v>170</v>
      </c>
      <c r="R14" s="306"/>
      <c r="S14" s="1178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7"/>
      <c r="BA14" s="217"/>
      <c r="BB14" s="217"/>
      <c r="BC14" s="217"/>
      <c r="BD14" s="217"/>
      <c r="BE14" s="217"/>
      <c r="BF14" s="217"/>
      <c r="BG14" s="217"/>
      <c r="BH14" s="217"/>
      <c r="BI14" s="217"/>
      <c r="BJ14" s="217"/>
      <c r="BK14" s="217"/>
      <c r="BL14" s="217"/>
      <c r="BM14" s="217"/>
      <c r="BN14" s="217"/>
      <c r="BO14" s="217"/>
      <c r="BP14" s="217"/>
      <c r="BQ14" s="217"/>
      <c r="BR14" s="217"/>
      <c r="BS14" s="217"/>
      <c r="BT14" s="217"/>
      <c r="BU14" s="217"/>
      <c r="BV14" s="217"/>
      <c r="BW14" s="217"/>
      <c r="BX14" s="217"/>
      <c r="BY14" s="217"/>
      <c r="BZ14" s="217"/>
      <c r="CA14" s="217"/>
      <c r="CB14" s="217"/>
      <c r="CC14" s="217"/>
      <c r="CD14" s="217"/>
      <c r="CE14" s="217"/>
      <c r="CF14" s="217"/>
      <c r="CG14" s="217"/>
      <c r="CH14" s="217"/>
      <c r="CI14" s="217"/>
      <c r="CJ14" s="217"/>
      <c r="CK14" s="217"/>
      <c r="CL14" s="217"/>
      <c r="CM14" s="217"/>
      <c r="CN14" s="217"/>
      <c r="CO14" s="217"/>
      <c r="CP14" s="217"/>
      <c r="CQ14" s="217"/>
      <c r="CR14" s="217"/>
      <c r="CS14" s="217"/>
      <c r="CT14" s="217"/>
      <c r="CU14" s="217"/>
      <c r="CV14" s="217"/>
      <c r="CW14" s="217"/>
      <c r="CX14" s="217"/>
      <c r="CY14" s="217"/>
      <c r="CZ14" s="217"/>
      <c r="DA14" s="217"/>
      <c r="DB14" s="217"/>
      <c r="DC14" s="217"/>
      <c r="DD14" s="217"/>
      <c r="DE14" s="217"/>
      <c r="DF14" s="217"/>
      <c r="DG14" s="217"/>
      <c r="DH14" s="217"/>
      <c r="DI14" s="217"/>
      <c r="DJ14" s="217"/>
      <c r="DK14" s="217"/>
      <c r="DL14" s="217"/>
      <c r="DM14" s="217"/>
      <c r="DN14" s="217"/>
      <c r="DO14" s="217"/>
      <c r="DP14" s="217"/>
      <c r="DQ14" s="217"/>
      <c r="DR14" s="217"/>
      <c r="DS14" s="217"/>
      <c r="DT14" s="217"/>
      <c r="DU14" s="217"/>
      <c r="DV14" s="217"/>
      <c r="DW14" s="217"/>
      <c r="DX14" s="217"/>
      <c r="DY14" s="217"/>
      <c r="DZ14" s="217"/>
      <c r="EA14" s="217"/>
      <c r="EB14" s="217"/>
      <c r="EC14" s="217"/>
      <c r="ED14" s="217"/>
      <c r="EE14" s="217"/>
      <c r="EF14" s="217"/>
      <c r="EG14" s="217"/>
      <c r="EH14" s="217"/>
      <c r="EI14" s="217"/>
      <c r="EJ14" s="217"/>
      <c r="EK14" s="217"/>
      <c r="EL14" s="217"/>
      <c r="EM14" s="217"/>
      <c r="EN14" s="217"/>
      <c r="EO14" s="217"/>
      <c r="EP14" s="217"/>
      <c r="EQ14" s="217"/>
      <c r="ER14" s="217"/>
      <c r="ES14" s="217"/>
      <c r="ET14" s="217"/>
      <c r="EU14" s="217"/>
      <c r="EV14" s="217"/>
      <c r="EW14" s="217"/>
      <c r="EX14" s="217"/>
      <c r="EY14" s="217"/>
      <c r="EZ14" s="217"/>
      <c r="FA14" s="217"/>
      <c r="FB14" s="217"/>
      <c r="FC14" s="217"/>
      <c r="FD14" s="217"/>
      <c r="FE14" s="217"/>
      <c r="FF14" s="217"/>
      <c r="FG14" s="217"/>
      <c r="FH14" s="217"/>
      <c r="FI14" s="217"/>
      <c r="FJ14" s="217"/>
      <c r="FK14" s="217"/>
      <c r="FL14" s="217"/>
      <c r="FM14" s="217"/>
      <c r="FN14" s="217"/>
      <c r="FO14" s="217"/>
      <c r="FP14" s="217"/>
      <c r="FQ14" s="217"/>
      <c r="FR14" s="217"/>
      <c r="FS14" s="217"/>
      <c r="FT14" s="217"/>
      <c r="FU14" s="217"/>
      <c r="FV14" s="217"/>
      <c r="FW14" s="217"/>
      <c r="FX14" s="217"/>
      <c r="FY14" s="217"/>
      <c r="FZ14" s="217"/>
      <c r="GA14" s="217"/>
      <c r="GB14" s="217"/>
      <c r="GC14" s="217"/>
      <c r="GD14" s="217"/>
      <c r="GE14" s="217"/>
      <c r="GF14" s="217"/>
      <c r="GG14" s="217"/>
      <c r="GH14" s="217"/>
      <c r="GI14" s="217"/>
      <c r="GJ14" s="217"/>
      <c r="GK14" s="217"/>
      <c r="GL14" s="217"/>
      <c r="GM14" s="217"/>
      <c r="GN14" s="217"/>
      <c r="GO14" s="217"/>
      <c r="GP14" s="217"/>
      <c r="GQ14" s="217"/>
      <c r="GR14" s="217"/>
      <c r="GS14" s="217"/>
      <c r="GT14" s="217"/>
      <c r="GU14" s="217"/>
      <c r="GV14" s="217"/>
      <c r="GW14" s="217"/>
      <c r="GX14" s="217"/>
      <c r="GY14" s="217"/>
      <c r="GZ14" s="217"/>
      <c r="HA14" s="217"/>
      <c r="HB14" s="217"/>
      <c r="HC14" s="217"/>
    </row>
    <row r="15" spans="1:211" s="229" customFormat="1" ht="30" customHeight="1">
      <c r="A15" s="1178"/>
      <c r="B15" s="319" t="s">
        <v>814</v>
      </c>
      <c r="C15" s="2481" t="s">
        <v>784</v>
      </c>
      <c r="D15" s="305" t="s">
        <v>447</v>
      </c>
      <c r="E15" s="308" t="s">
        <v>170</v>
      </c>
      <c r="F15" s="306"/>
      <c r="G15" s="307" t="s">
        <v>130</v>
      </c>
      <c r="H15" s="304"/>
      <c r="I15" s="2600" t="s">
        <v>170</v>
      </c>
      <c r="J15" s="306"/>
      <c r="K15" s="2606"/>
      <c r="L15" s="2605"/>
      <c r="M15" s="2482"/>
      <c r="N15" s="2483"/>
      <c r="O15" s="308" t="s">
        <v>170</v>
      </c>
      <c r="P15" s="306"/>
      <c r="Q15" s="308" t="s">
        <v>170</v>
      </c>
      <c r="R15" s="306"/>
      <c r="S15" s="1178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7"/>
      <c r="AP15" s="217"/>
      <c r="AQ15" s="217"/>
      <c r="AR15" s="217"/>
      <c r="AS15" s="217"/>
      <c r="AT15" s="217"/>
      <c r="AU15" s="217"/>
      <c r="AV15" s="217"/>
      <c r="AW15" s="217"/>
      <c r="AX15" s="217"/>
      <c r="AY15" s="217"/>
      <c r="AZ15" s="217"/>
      <c r="BA15" s="217"/>
      <c r="BB15" s="217"/>
      <c r="BC15" s="217"/>
      <c r="BD15" s="217"/>
      <c r="BE15" s="217"/>
      <c r="BF15" s="217"/>
      <c r="BG15" s="217"/>
      <c r="BH15" s="217"/>
      <c r="BI15" s="217"/>
      <c r="BJ15" s="217"/>
      <c r="BK15" s="217"/>
      <c r="BL15" s="217"/>
      <c r="BM15" s="217"/>
      <c r="BN15" s="217"/>
      <c r="BO15" s="217"/>
      <c r="BP15" s="217"/>
      <c r="BQ15" s="217"/>
      <c r="BR15" s="217"/>
      <c r="BS15" s="217"/>
      <c r="BT15" s="217"/>
      <c r="BU15" s="217"/>
      <c r="BV15" s="217"/>
      <c r="BW15" s="217"/>
      <c r="BX15" s="217"/>
      <c r="BY15" s="217"/>
      <c r="BZ15" s="217"/>
      <c r="CA15" s="217"/>
      <c r="CB15" s="217"/>
      <c r="CC15" s="217"/>
      <c r="CD15" s="217"/>
      <c r="CE15" s="217"/>
      <c r="CF15" s="217"/>
      <c r="CG15" s="217"/>
      <c r="CH15" s="217"/>
      <c r="CI15" s="217"/>
      <c r="CJ15" s="217"/>
      <c r="CK15" s="217"/>
      <c r="CL15" s="217"/>
      <c r="CM15" s="217"/>
      <c r="CN15" s="217"/>
      <c r="CO15" s="217"/>
      <c r="CP15" s="217"/>
      <c r="CQ15" s="217"/>
      <c r="CR15" s="217"/>
      <c r="CS15" s="217"/>
      <c r="CT15" s="217"/>
      <c r="CU15" s="217"/>
      <c r="CV15" s="217"/>
      <c r="CW15" s="217"/>
      <c r="CX15" s="217"/>
      <c r="CY15" s="217"/>
      <c r="CZ15" s="217"/>
      <c r="DA15" s="217"/>
      <c r="DB15" s="217"/>
      <c r="DC15" s="217"/>
      <c r="DD15" s="217"/>
      <c r="DE15" s="217"/>
      <c r="DF15" s="217"/>
      <c r="DG15" s="217"/>
      <c r="DH15" s="217"/>
      <c r="DI15" s="217"/>
      <c r="DJ15" s="217"/>
      <c r="DK15" s="217"/>
      <c r="DL15" s="217"/>
      <c r="DM15" s="217"/>
      <c r="DN15" s="217"/>
      <c r="DO15" s="217"/>
      <c r="DP15" s="217"/>
      <c r="DQ15" s="217"/>
      <c r="DR15" s="217"/>
      <c r="DS15" s="217"/>
      <c r="DT15" s="217"/>
      <c r="DU15" s="217"/>
      <c r="DV15" s="217"/>
      <c r="DW15" s="217"/>
      <c r="DX15" s="217"/>
      <c r="DY15" s="217"/>
      <c r="DZ15" s="217"/>
      <c r="EA15" s="217"/>
      <c r="EB15" s="217"/>
      <c r="EC15" s="217"/>
      <c r="ED15" s="217"/>
      <c r="EE15" s="217"/>
      <c r="EF15" s="217"/>
      <c r="EG15" s="217"/>
      <c r="EH15" s="217"/>
      <c r="EI15" s="217"/>
      <c r="EJ15" s="217"/>
      <c r="EK15" s="217"/>
      <c r="EL15" s="217"/>
      <c r="EM15" s="217"/>
      <c r="EN15" s="217"/>
      <c r="EO15" s="217"/>
      <c r="EP15" s="217"/>
      <c r="EQ15" s="217"/>
      <c r="ER15" s="217"/>
      <c r="ES15" s="217"/>
      <c r="ET15" s="217"/>
      <c r="EU15" s="217"/>
      <c r="EV15" s="217"/>
      <c r="EW15" s="217"/>
      <c r="EX15" s="217"/>
      <c r="EY15" s="217"/>
      <c r="EZ15" s="217"/>
      <c r="FA15" s="217"/>
      <c r="FB15" s="217"/>
      <c r="FC15" s="217"/>
      <c r="FD15" s="217"/>
      <c r="FE15" s="217"/>
      <c r="FF15" s="217"/>
      <c r="FG15" s="217"/>
      <c r="FH15" s="217"/>
      <c r="FI15" s="217"/>
      <c r="FJ15" s="217"/>
      <c r="FK15" s="217"/>
      <c r="FL15" s="217"/>
      <c r="FM15" s="217"/>
      <c r="FN15" s="217"/>
      <c r="FO15" s="217"/>
      <c r="FP15" s="217"/>
      <c r="FQ15" s="217"/>
      <c r="FR15" s="217"/>
      <c r="FS15" s="217"/>
      <c r="FT15" s="217"/>
      <c r="FU15" s="217"/>
      <c r="FV15" s="217"/>
      <c r="FW15" s="217"/>
      <c r="FX15" s="217"/>
      <c r="FY15" s="217"/>
      <c r="FZ15" s="217"/>
      <c r="GA15" s="217"/>
      <c r="GB15" s="217"/>
      <c r="GC15" s="217"/>
      <c r="GD15" s="217"/>
      <c r="GE15" s="217"/>
      <c r="GF15" s="217"/>
      <c r="GG15" s="217"/>
      <c r="GH15" s="217"/>
      <c r="GI15" s="217"/>
      <c r="GJ15" s="217"/>
      <c r="GK15" s="217"/>
      <c r="GL15" s="217"/>
      <c r="GM15" s="217"/>
      <c r="GN15" s="217"/>
      <c r="GO15" s="217"/>
      <c r="GP15" s="217"/>
      <c r="GQ15" s="217"/>
      <c r="GR15" s="217"/>
      <c r="GS15" s="217"/>
      <c r="GT15" s="217"/>
      <c r="GU15" s="217"/>
      <c r="GV15" s="217"/>
      <c r="GW15" s="217"/>
      <c r="GX15" s="217"/>
      <c r="GY15" s="217"/>
      <c r="GZ15" s="217"/>
      <c r="HA15" s="217"/>
      <c r="HB15" s="217"/>
      <c r="HC15" s="217"/>
    </row>
    <row r="16" spans="1:211" s="229" customFormat="1" ht="30" customHeight="1">
      <c r="A16" s="1178"/>
      <c r="B16" s="319" t="s">
        <v>812</v>
      </c>
      <c r="C16" s="263" t="s">
        <v>815</v>
      </c>
      <c r="D16" s="305" t="s">
        <v>447</v>
      </c>
      <c r="E16" s="308">
        <f>45512/45817</f>
        <v>0.99334308226204249</v>
      </c>
      <c r="F16" s="306" t="s">
        <v>858</v>
      </c>
      <c r="G16" s="307" t="s">
        <v>130</v>
      </c>
      <c r="H16" s="304" t="s">
        <v>587</v>
      </c>
      <c r="I16" s="2607" t="s">
        <v>365</v>
      </c>
      <c r="J16" s="2669"/>
      <c r="K16" s="2599"/>
      <c r="L16" s="2601"/>
      <c r="M16" s="2602"/>
      <c r="N16" s="2601"/>
      <c r="O16" s="308">
        <f>61613/61997</f>
        <v>0.99380615191057631</v>
      </c>
      <c r="P16" s="306" t="s">
        <v>840</v>
      </c>
      <c r="Q16" s="308">
        <v>0.98848962898042647</v>
      </c>
      <c r="R16" s="306" t="s">
        <v>845</v>
      </c>
      <c r="S16" s="1178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7"/>
      <c r="AP16" s="217"/>
      <c r="AQ16" s="217"/>
      <c r="AR16" s="217"/>
      <c r="AS16" s="217"/>
      <c r="AT16" s="217"/>
      <c r="AU16" s="217"/>
      <c r="AV16" s="217"/>
      <c r="AW16" s="217"/>
      <c r="AX16" s="217"/>
      <c r="AY16" s="217"/>
      <c r="AZ16" s="217"/>
      <c r="BA16" s="217"/>
      <c r="BB16" s="217"/>
      <c r="BC16" s="217"/>
      <c r="BD16" s="217"/>
      <c r="BE16" s="217"/>
      <c r="BF16" s="217"/>
      <c r="BG16" s="217"/>
      <c r="BH16" s="217"/>
      <c r="BI16" s="217"/>
      <c r="BJ16" s="217"/>
      <c r="BK16" s="217"/>
      <c r="BL16" s="217"/>
      <c r="BM16" s="217"/>
      <c r="BN16" s="217"/>
      <c r="BO16" s="217"/>
      <c r="BP16" s="217"/>
      <c r="BQ16" s="217"/>
      <c r="BR16" s="217"/>
      <c r="BS16" s="217"/>
      <c r="BT16" s="217"/>
      <c r="BU16" s="217"/>
      <c r="BV16" s="217"/>
      <c r="BW16" s="217"/>
      <c r="BX16" s="217"/>
      <c r="BY16" s="217"/>
      <c r="BZ16" s="217"/>
      <c r="CA16" s="217"/>
      <c r="CB16" s="217"/>
      <c r="CC16" s="217"/>
      <c r="CD16" s="217"/>
      <c r="CE16" s="217"/>
      <c r="CF16" s="217"/>
      <c r="CG16" s="217"/>
      <c r="CH16" s="217"/>
      <c r="CI16" s="217"/>
      <c r="CJ16" s="217"/>
      <c r="CK16" s="217"/>
      <c r="CL16" s="217"/>
      <c r="CM16" s="217"/>
      <c r="CN16" s="217"/>
      <c r="CO16" s="217"/>
      <c r="CP16" s="217"/>
      <c r="CQ16" s="217"/>
      <c r="CR16" s="217"/>
      <c r="CS16" s="217"/>
      <c r="CT16" s="217"/>
      <c r="CU16" s="217"/>
      <c r="CV16" s="217"/>
      <c r="CW16" s="217"/>
      <c r="CX16" s="217"/>
      <c r="CY16" s="217"/>
      <c r="CZ16" s="217"/>
      <c r="DA16" s="217"/>
      <c r="DB16" s="217"/>
      <c r="DC16" s="217"/>
      <c r="DD16" s="217"/>
      <c r="DE16" s="217"/>
      <c r="DF16" s="217"/>
      <c r="DG16" s="217"/>
      <c r="DH16" s="217"/>
      <c r="DI16" s="217"/>
      <c r="DJ16" s="217"/>
      <c r="DK16" s="217"/>
      <c r="DL16" s="217"/>
      <c r="DM16" s="217"/>
      <c r="DN16" s="217"/>
      <c r="DO16" s="217"/>
      <c r="DP16" s="217"/>
      <c r="DQ16" s="217"/>
      <c r="DR16" s="217"/>
      <c r="DS16" s="217"/>
      <c r="DT16" s="217"/>
      <c r="DU16" s="217"/>
      <c r="DV16" s="217"/>
      <c r="DW16" s="217"/>
      <c r="DX16" s="217"/>
      <c r="DY16" s="217"/>
      <c r="DZ16" s="217"/>
      <c r="EA16" s="217"/>
      <c r="EB16" s="217"/>
      <c r="EC16" s="217"/>
      <c r="ED16" s="217"/>
      <c r="EE16" s="217"/>
      <c r="EF16" s="217"/>
      <c r="EG16" s="217"/>
      <c r="EH16" s="217"/>
      <c r="EI16" s="217"/>
      <c r="EJ16" s="217"/>
      <c r="EK16" s="217"/>
      <c r="EL16" s="217"/>
      <c r="EM16" s="217"/>
      <c r="EN16" s="217"/>
      <c r="EO16" s="217"/>
      <c r="EP16" s="217"/>
      <c r="EQ16" s="217"/>
      <c r="ER16" s="217"/>
      <c r="ES16" s="217"/>
      <c r="ET16" s="217"/>
      <c r="EU16" s="217"/>
      <c r="EV16" s="217"/>
      <c r="EW16" s="217"/>
      <c r="EX16" s="217"/>
      <c r="EY16" s="217"/>
      <c r="EZ16" s="217"/>
      <c r="FA16" s="217"/>
      <c r="FB16" s="217"/>
      <c r="FC16" s="217"/>
      <c r="FD16" s="217"/>
      <c r="FE16" s="217"/>
      <c r="FF16" s="217"/>
      <c r="FG16" s="217"/>
      <c r="FH16" s="217"/>
      <c r="FI16" s="217"/>
      <c r="FJ16" s="217"/>
      <c r="FK16" s="217"/>
      <c r="FL16" s="217"/>
      <c r="FM16" s="217"/>
      <c r="FN16" s="217"/>
      <c r="FO16" s="217"/>
      <c r="FP16" s="217"/>
      <c r="FQ16" s="217"/>
      <c r="FR16" s="217"/>
      <c r="FS16" s="217"/>
      <c r="FT16" s="217"/>
      <c r="FU16" s="217"/>
      <c r="FV16" s="217"/>
      <c r="FW16" s="217"/>
      <c r="FX16" s="217"/>
      <c r="FY16" s="217"/>
      <c r="FZ16" s="217"/>
      <c r="GA16" s="217"/>
      <c r="GB16" s="217"/>
      <c r="GC16" s="217"/>
      <c r="GD16" s="217"/>
      <c r="GE16" s="217"/>
      <c r="GF16" s="217"/>
      <c r="GG16" s="217"/>
      <c r="GH16" s="217"/>
      <c r="GI16" s="217"/>
      <c r="GJ16" s="217"/>
      <c r="GK16" s="217"/>
      <c r="GL16" s="217"/>
      <c r="GM16" s="217"/>
      <c r="GN16" s="217"/>
      <c r="GO16" s="217"/>
      <c r="GP16" s="217"/>
      <c r="GQ16" s="217"/>
      <c r="GR16" s="217"/>
      <c r="GS16" s="217"/>
      <c r="GT16" s="217"/>
      <c r="GU16" s="217"/>
      <c r="GV16" s="217"/>
      <c r="GW16" s="217"/>
      <c r="GX16" s="217"/>
      <c r="GY16" s="217"/>
      <c r="GZ16" s="217"/>
      <c r="HA16" s="217"/>
      <c r="HB16" s="217"/>
      <c r="HC16" s="217"/>
    </row>
    <row r="17" spans="1:211" s="218" customFormat="1" ht="20.100000000000001" customHeight="1">
      <c r="A17" s="1178"/>
      <c r="B17" s="2493" t="s">
        <v>101</v>
      </c>
      <c r="C17" s="1185"/>
      <c r="D17" s="1186"/>
      <c r="E17" s="1186"/>
      <c r="F17" s="1187"/>
      <c r="G17" s="1186"/>
      <c r="H17" s="1188"/>
      <c r="I17" s="1183"/>
      <c r="J17" s="1182"/>
      <c r="K17" s="1183"/>
      <c r="L17" s="1182"/>
      <c r="M17" s="1183"/>
      <c r="N17" s="1182"/>
      <c r="O17" s="1183"/>
      <c r="P17" s="1182"/>
      <c r="Q17" s="1182"/>
      <c r="R17" s="1182"/>
      <c r="S17" s="1178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7"/>
      <c r="BA17" s="217"/>
      <c r="BB17" s="217"/>
      <c r="BC17" s="217"/>
      <c r="BD17" s="217"/>
      <c r="BE17" s="217"/>
      <c r="BF17" s="217"/>
      <c r="BG17" s="217"/>
      <c r="BH17" s="217"/>
      <c r="BI17" s="217"/>
      <c r="BJ17" s="217"/>
      <c r="BK17" s="217"/>
      <c r="BL17" s="217"/>
      <c r="BM17" s="217"/>
      <c r="BN17" s="217"/>
      <c r="BO17" s="217"/>
      <c r="BP17" s="217"/>
      <c r="BQ17" s="217"/>
      <c r="BR17" s="217"/>
      <c r="BS17" s="217"/>
      <c r="BT17" s="217"/>
      <c r="BU17" s="217"/>
      <c r="BV17" s="217"/>
      <c r="BW17" s="217"/>
      <c r="BX17" s="217"/>
      <c r="BY17" s="217"/>
      <c r="BZ17" s="217"/>
      <c r="CA17" s="217"/>
      <c r="CB17" s="217"/>
      <c r="CC17" s="217"/>
      <c r="CD17" s="217"/>
      <c r="CE17" s="217"/>
      <c r="CF17" s="217"/>
      <c r="CG17" s="217"/>
      <c r="CH17" s="217"/>
      <c r="CI17" s="217"/>
      <c r="CJ17" s="217"/>
      <c r="CK17" s="217"/>
      <c r="CL17" s="217"/>
      <c r="CM17" s="217"/>
      <c r="CN17" s="217"/>
      <c r="CO17" s="217"/>
      <c r="CP17" s="217"/>
      <c r="CQ17" s="217"/>
      <c r="CR17" s="217"/>
      <c r="CS17" s="217"/>
      <c r="CT17" s="217"/>
      <c r="CU17" s="217"/>
      <c r="CV17" s="217"/>
      <c r="CW17" s="217"/>
      <c r="CX17" s="217"/>
      <c r="CY17" s="217"/>
      <c r="CZ17" s="217"/>
      <c r="DA17" s="217"/>
      <c r="DB17" s="217"/>
      <c r="DC17" s="217"/>
      <c r="DD17" s="217"/>
      <c r="DE17" s="217"/>
      <c r="DF17" s="217"/>
      <c r="DG17" s="217"/>
      <c r="DH17" s="217"/>
      <c r="DI17" s="217"/>
      <c r="DJ17" s="217"/>
      <c r="DK17" s="217"/>
      <c r="DL17" s="217"/>
      <c r="DM17" s="217"/>
      <c r="DN17" s="217"/>
      <c r="DO17" s="217"/>
      <c r="DP17" s="217"/>
      <c r="DQ17" s="217"/>
      <c r="DR17" s="217"/>
      <c r="DS17" s="217"/>
      <c r="DT17" s="217"/>
      <c r="DU17" s="217"/>
      <c r="DV17" s="217"/>
      <c r="DW17" s="217"/>
      <c r="DX17" s="217"/>
      <c r="DY17" s="217"/>
      <c r="DZ17" s="217"/>
      <c r="EA17" s="217"/>
      <c r="EB17" s="217"/>
      <c r="EC17" s="217"/>
      <c r="ED17" s="217"/>
      <c r="EE17" s="217"/>
      <c r="EF17" s="217"/>
      <c r="EG17" s="217"/>
      <c r="EH17" s="217"/>
      <c r="EI17" s="217"/>
      <c r="EJ17" s="217"/>
      <c r="EK17" s="217"/>
      <c r="EL17" s="217"/>
      <c r="EM17" s="217"/>
      <c r="EN17" s="217"/>
      <c r="EO17" s="217"/>
      <c r="EP17" s="217"/>
      <c r="EQ17" s="217"/>
      <c r="ER17" s="217"/>
      <c r="ES17" s="217"/>
      <c r="ET17" s="217"/>
      <c r="EU17" s="217"/>
      <c r="EV17" s="217"/>
      <c r="EW17" s="217"/>
      <c r="EX17" s="217"/>
      <c r="EY17" s="217"/>
      <c r="EZ17" s="217"/>
      <c r="FA17" s="217"/>
      <c r="FB17" s="217"/>
      <c r="FC17" s="217"/>
      <c r="FD17" s="217"/>
      <c r="FE17" s="217"/>
      <c r="FF17" s="217"/>
      <c r="FG17" s="217"/>
      <c r="FH17" s="217"/>
      <c r="FI17" s="217"/>
      <c r="FJ17" s="217"/>
      <c r="FK17" s="217"/>
      <c r="FL17" s="217"/>
      <c r="FM17" s="217"/>
      <c r="FN17" s="217"/>
      <c r="FO17" s="217"/>
      <c r="FP17" s="217"/>
      <c r="FQ17" s="217"/>
      <c r="FR17" s="217"/>
      <c r="FS17" s="217"/>
      <c r="FT17" s="217"/>
      <c r="FU17" s="217"/>
      <c r="FV17" s="217"/>
      <c r="FW17" s="217"/>
      <c r="FX17" s="217"/>
      <c r="FY17" s="217"/>
      <c r="FZ17" s="217"/>
      <c r="GA17" s="217"/>
      <c r="GB17" s="217"/>
      <c r="GC17" s="217"/>
      <c r="GD17" s="217"/>
      <c r="GE17" s="217"/>
      <c r="GF17" s="217"/>
      <c r="GG17" s="217"/>
      <c r="GH17" s="217"/>
      <c r="GI17" s="217"/>
      <c r="GJ17" s="217"/>
      <c r="GK17" s="217"/>
      <c r="GL17" s="217"/>
      <c r="GM17" s="217"/>
      <c r="GN17" s="217"/>
      <c r="GO17" s="217"/>
      <c r="GP17" s="217"/>
      <c r="GQ17" s="217"/>
      <c r="GR17" s="217"/>
      <c r="GS17" s="217"/>
      <c r="GT17" s="217"/>
      <c r="GU17" s="217"/>
      <c r="GV17" s="217"/>
      <c r="GW17" s="217"/>
      <c r="GX17" s="217"/>
      <c r="GY17" s="217"/>
      <c r="GZ17" s="217"/>
      <c r="HA17" s="217"/>
      <c r="HB17" s="217"/>
      <c r="HC17" s="217"/>
    </row>
    <row r="18" spans="1:211" s="219" customFormat="1" ht="30" customHeight="1">
      <c r="A18" s="1178"/>
      <c r="B18" s="302" t="s">
        <v>774</v>
      </c>
      <c r="C18" s="267" t="s">
        <v>681</v>
      </c>
      <c r="D18" s="305">
        <v>0</v>
      </c>
      <c r="E18" s="2680">
        <f>0/130</f>
        <v>0</v>
      </c>
      <c r="F18" s="309" t="s">
        <v>859</v>
      </c>
      <c r="G18" s="307" t="s">
        <v>698</v>
      </c>
      <c r="H18" s="2480" t="s">
        <v>783</v>
      </c>
      <c r="I18" s="2501" t="s">
        <v>365</v>
      </c>
      <c r="J18" s="2502"/>
      <c r="K18" s="404">
        <f>(1/144)</f>
        <v>6.9444444444444441E-3</v>
      </c>
      <c r="L18" s="309" t="s">
        <v>836</v>
      </c>
      <c r="M18" s="404">
        <f>1/201</f>
        <v>4.9751243781094526E-3</v>
      </c>
      <c r="N18" s="309" t="s">
        <v>835</v>
      </c>
      <c r="O18" s="2680">
        <f>2/143</f>
        <v>1.3986013986013986E-2</v>
      </c>
      <c r="P18" s="309" t="s">
        <v>847</v>
      </c>
      <c r="Q18" s="2680">
        <v>0</v>
      </c>
      <c r="R18" s="309" t="s">
        <v>846</v>
      </c>
      <c r="S18" s="1178"/>
      <c r="T18" s="399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7"/>
      <c r="AP18" s="217"/>
      <c r="AQ18" s="217"/>
      <c r="AR18" s="217"/>
      <c r="AS18" s="217"/>
      <c r="AT18" s="217"/>
      <c r="AU18" s="217"/>
      <c r="AV18" s="217"/>
      <c r="AW18" s="217"/>
      <c r="AX18" s="217"/>
      <c r="AY18" s="217"/>
      <c r="AZ18" s="217"/>
      <c r="BA18" s="217"/>
      <c r="BB18" s="217"/>
      <c r="BC18" s="217"/>
      <c r="BD18" s="217"/>
      <c r="BE18" s="217"/>
      <c r="BF18" s="217"/>
      <c r="BG18" s="217"/>
      <c r="BH18" s="217"/>
      <c r="BI18" s="217"/>
      <c r="BJ18" s="217"/>
      <c r="BK18" s="217"/>
      <c r="BL18" s="217"/>
      <c r="BM18" s="217"/>
      <c r="BN18" s="217"/>
      <c r="BO18" s="217"/>
      <c r="BP18" s="217"/>
      <c r="BQ18" s="217"/>
      <c r="BR18" s="217"/>
      <c r="BS18" s="217"/>
      <c r="BT18" s="217"/>
      <c r="BU18" s="217"/>
      <c r="BV18" s="217"/>
      <c r="BW18" s="217"/>
      <c r="BX18" s="217"/>
      <c r="BY18" s="217"/>
      <c r="BZ18" s="217"/>
      <c r="CA18" s="217"/>
      <c r="CB18" s="217"/>
      <c r="CC18" s="217"/>
      <c r="CD18" s="217"/>
      <c r="CE18" s="217"/>
      <c r="CF18" s="217"/>
      <c r="CG18" s="217"/>
      <c r="CH18" s="217"/>
      <c r="CI18" s="217"/>
      <c r="CJ18" s="217"/>
      <c r="CK18" s="217"/>
      <c r="CL18" s="217"/>
      <c r="CM18" s="217"/>
      <c r="CN18" s="217"/>
      <c r="CO18" s="217"/>
      <c r="CP18" s="217"/>
      <c r="CQ18" s="217"/>
      <c r="CR18" s="217"/>
      <c r="CS18" s="217"/>
      <c r="CT18" s="217"/>
      <c r="CU18" s="217"/>
      <c r="CV18" s="217"/>
      <c r="CW18" s="217"/>
      <c r="CX18" s="217"/>
      <c r="CY18" s="217"/>
      <c r="CZ18" s="217"/>
      <c r="DA18" s="217"/>
      <c r="DB18" s="217"/>
      <c r="DC18" s="217"/>
      <c r="DD18" s="217"/>
      <c r="DE18" s="217"/>
      <c r="DF18" s="217"/>
      <c r="DG18" s="217"/>
      <c r="DH18" s="217"/>
      <c r="DI18" s="217"/>
      <c r="DJ18" s="217"/>
      <c r="DK18" s="217"/>
      <c r="DL18" s="217"/>
      <c r="DM18" s="217"/>
      <c r="DN18" s="217"/>
      <c r="DO18" s="217"/>
      <c r="DP18" s="217"/>
      <c r="DQ18" s="217"/>
      <c r="DR18" s="217"/>
      <c r="DS18" s="217"/>
      <c r="DT18" s="217"/>
      <c r="DU18" s="217"/>
      <c r="DV18" s="217"/>
      <c r="DW18" s="217"/>
      <c r="DX18" s="217"/>
      <c r="DY18" s="217"/>
      <c r="DZ18" s="217"/>
      <c r="EA18" s="217"/>
      <c r="EB18" s="217"/>
      <c r="EC18" s="217"/>
      <c r="ED18" s="217"/>
      <c r="EE18" s="217"/>
      <c r="EF18" s="217"/>
      <c r="EG18" s="217"/>
      <c r="EH18" s="217"/>
      <c r="EI18" s="217"/>
      <c r="EJ18" s="217"/>
      <c r="EK18" s="217"/>
      <c r="EL18" s="217"/>
      <c r="EM18" s="217"/>
      <c r="EN18" s="217"/>
      <c r="EO18" s="217"/>
      <c r="EP18" s="217"/>
      <c r="EQ18" s="217"/>
      <c r="ER18" s="217"/>
      <c r="ES18" s="217"/>
      <c r="ET18" s="217"/>
      <c r="EU18" s="217"/>
      <c r="EV18" s="217"/>
      <c r="EW18" s="217"/>
      <c r="EX18" s="217"/>
      <c r="EY18" s="217"/>
      <c r="EZ18" s="217"/>
      <c r="FA18" s="217"/>
      <c r="FB18" s="217"/>
      <c r="FC18" s="217"/>
      <c r="FD18" s="217"/>
      <c r="FE18" s="217"/>
      <c r="FF18" s="217"/>
      <c r="FG18" s="217"/>
      <c r="FH18" s="217"/>
      <c r="FI18" s="217"/>
      <c r="FJ18" s="217"/>
      <c r="FK18" s="217"/>
      <c r="FL18" s="217"/>
      <c r="FM18" s="217"/>
      <c r="FN18" s="217"/>
      <c r="FO18" s="217"/>
      <c r="FP18" s="217"/>
      <c r="FQ18" s="217"/>
      <c r="FR18" s="217"/>
      <c r="FS18" s="217"/>
      <c r="FT18" s="217"/>
      <c r="FU18" s="217"/>
      <c r="FV18" s="217"/>
      <c r="FW18" s="217"/>
      <c r="FX18" s="217"/>
      <c r="FY18" s="217"/>
      <c r="FZ18" s="217"/>
      <c r="GA18" s="217"/>
      <c r="GB18" s="217"/>
      <c r="GC18" s="217"/>
      <c r="GD18" s="217"/>
      <c r="GE18" s="217"/>
      <c r="GF18" s="217"/>
      <c r="GG18" s="217"/>
      <c r="GH18" s="217"/>
      <c r="GI18" s="217"/>
      <c r="GJ18" s="217"/>
      <c r="GK18" s="217"/>
      <c r="GL18" s="217"/>
      <c r="GM18" s="217"/>
      <c r="GN18" s="217"/>
      <c r="GO18" s="217"/>
      <c r="GP18" s="217"/>
      <c r="GQ18" s="217"/>
      <c r="GR18" s="217"/>
      <c r="GS18" s="217"/>
      <c r="GT18" s="217"/>
      <c r="GU18" s="217"/>
      <c r="GV18" s="217"/>
      <c r="GW18" s="217"/>
      <c r="GX18" s="217"/>
      <c r="GY18" s="217"/>
      <c r="GZ18" s="217"/>
      <c r="HA18" s="217"/>
      <c r="HB18" s="217"/>
      <c r="HC18" s="217"/>
    </row>
    <row r="19" spans="1:211" s="229" customFormat="1" ht="30" customHeight="1">
      <c r="A19" s="1178"/>
      <c r="B19" s="302" t="s">
        <v>133</v>
      </c>
      <c r="C19" s="267" t="s">
        <v>682</v>
      </c>
      <c r="D19" s="305" t="s">
        <v>115</v>
      </c>
      <c r="E19" s="312">
        <f>922/102409</f>
        <v>9.0031149605991657E-3</v>
      </c>
      <c r="F19" s="840" t="s">
        <v>860</v>
      </c>
      <c r="G19" s="307" t="s">
        <v>698</v>
      </c>
      <c r="H19" s="322" t="s">
        <v>787</v>
      </c>
      <c r="I19" s="2503" t="s">
        <v>365</v>
      </c>
      <c r="J19" s="2504"/>
      <c r="K19" s="839">
        <f>499/125557</f>
        <v>3.9742905612590298E-3</v>
      </c>
      <c r="L19" s="306" t="s">
        <v>837</v>
      </c>
      <c r="M19" s="308">
        <f>1479/121723</f>
        <v>1.2150538517782177E-2</v>
      </c>
      <c r="N19" s="306" t="s">
        <v>838</v>
      </c>
      <c r="O19" s="308">
        <f>1506/176349</f>
        <v>8.5398839800622621E-3</v>
      </c>
      <c r="P19" s="306" t="s">
        <v>839</v>
      </c>
      <c r="Q19" s="308">
        <v>8.7228918306552043E-3</v>
      </c>
      <c r="R19" s="306" t="s">
        <v>848</v>
      </c>
      <c r="S19" s="1178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7"/>
      <c r="AP19" s="217"/>
      <c r="AQ19" s="217"/>
      <c r="AR19" s="217"/>
      <c r="AS19" s="217"/>
      <c r="AT19" s="217"/>
      <c r="AU19" s="217"/>
      <c r="AV19" s="217"/>
      <c r="AW19" s="217"/>
      <c r="AX19" s="217"/>
      <c r="AY19" s="217"/>
      <c r="AZ19" s="217"/>
      <c r="BA19" s="217"/>
      <c r="BB19" s="217"/>
      <c r="BC19" s="217"/>
      <c r="BD19" s="217"/>
      <c r="BE19" s="217"/>
      <c r="BF19" s="217"/>
      <c r="BG19" s="217"/>
      <c r="BH19" s="217"/>
      <c r="BI19" s="217"/>
      <c r="BJ19" s="217"/>
      <c r="BK19" s="217"/>
      <c r="BL19" s="217"/>
      <c r="BM19" s="217"/>
      <c r="BN19" s="217"/>
      <c r="BO19" s="217"/>
      <c r="BP19" s="217"/>
      <c r="BQ19" s="217"/>
      <c r="BR19" s="217"/>
      <c r="BS19" s="217"/>
      <c r="BT19" s="217"/>
      <c r="BU19" s="217"/>
      <c r="BV19" s="217"/>
      <c r="BW19" s="217"/>
      <c r="BX19" s="217"/>
      <c r="BY19" s="217"/>
      <c r="BZ19" s="217"/>
      <c r="CA19" s="217"/>
      <c r="CB19" s="217"/>
      <c r="CC19" s="217"/>
      <c r="CD19" s="217"/>
      <c r="CE19" s="217"/>
      <c r="CF19" s="217"/>
      <c r="CG19" s="217"/>
      <c r="CH19" s="217"/>
      <c r="CI19" s="217"/>
      <c r="CJ19" s="217"/>
      <c r="CK19" s="217"/>
      <c r="CL19" s="217"/>
      <c r="CM19" s="217"/>
      <c r="CN19" s="217"/>
      <c r="CO19" s="217"/>
      <c r="CP19" s="217"/>
      <c r="CQ19" s="217"/>
      <c r="CR19" s="217"/>
      <c r="CS19" s="217"/>
      <c r="CT19" s="217"/>
      <c r="CU19" s="217"/>
      <c r="CV19" s="217"/>
      <c r="CW19" s="217"/>
      <c r="CX19" s="217"/>
      <c r="CY19" s="217"/>
      <c r="CZ19" s="217"/>
      <c r="DA19" s="217"/>
      <c r="DB19" s="217"/>
      <c r="DC19" s="217"/>
      <c r="DD19" s="217"/>
      <c r="DE19" s="217"/>
      <c r="DF19" s="217"/>
      <c r="DG19" s="217"/>
      <c r="DH19" s="217"/>
      <c r="DI19" s="217"/>
      <c r="DJ19" s="217"/>
      <c r="DK19" s="217"/>
      <c r="DL19" s="217"/>
      <c r="DM19" s="217"/>
      <c r="DN19" s="217"/>
      <c r="DO19" s="217"/>
      <c r="DP19" s="217"/>
      <c r="DQ19" s="217"/>
      <c r="DR19" s="217"/>
      <c r="DS19" s="217"/>
      <c r="DT19" s="217"/>
      <c r="DU19" s="217"/>
      <c r="DV19" s="217"/>
      <c r="DW19" s="217"/>
      <c r="DX19" s="217"/>
      <c r="DY19" s="217"/>
      <c r="DZ19" s="217"/>
      <c r="EA19" s="217"/>
      <c r="EB19" s="217"/>
      <c r="EC19" s="217"/>
      <c r="ED19" s="217"/>
      <c r="EE19" s="217"/>
      <c r="EF19" s="217"/>
      <c r="EG19" s="217"/>
      <c r="EH19" s="217"/>
      <c r="EI19" s="217"/>
      <c r="EJ19" s="217"/>
      <c r="EK19" s="217"/>
      <c r="EL19" s="217"/>
      <c r="EM19" s="217"/>
      <c r="EN19" s="217"/>
      <c r="EO19" s="217"/>
      <c r="EP19" s="217"/>
      <c r="EQ19" s="217"/>
      <c r="ER19" s="217"/>
      <c r="ES19" s="217"/>
      <c r="ET19" s="217"/>
      <c r="EU19" s="217"/>
      <c r="EV19" s="217"/>
      <c r="EW19" s="217"/>
      <c r="EX19" s="217"/>
      <c r="EY19" s="217"/>
      <c r="EZ19" s="217"/>
      <c r="FA19" s="217"/>
      <c r="FB19" s="217"/>
      <c r="FC19" s="217"/>
      <c r="FD19" s="217"/>
      <c r="FE19" s="217"/>
      <c r="FF19" s="217"/>
      <c r="FG19" s="217"/>
      <c r="FH19" s="217"/>
      <c r="FI19" s="217"/>
      <c r="FJ19" s="217"/>
      <c r="FK19" s="217"/>
      <c r="FL19" s="217"/>
      <c r="FM19" s="217"/>
      <c r="FN19" s="217"/>
      <c r="FO19" s="217"/>
      <c r="FP19" s="217"/>
      <c r="FQ19" s="217"/>
      <c r="FR19" s="217"/>
      <c r="FS19" s="217"/>
      <c r="FT19" s="217"/>
      <c r="FU19" s="217"/>
      <c r="FV19" s="217"/>
      <c r="FW19" s="217"/>
      <c r="FX19" s="217"/>
      <c r="FY19" s="217"/>
      <c r="FZ19" s="217"/>
      <c r="GA19" s="217"/>
      <c r="GB19" s="217"/>
      <c r="GC19" s="217"/>
      <c r="GD19" s="217"/>
      <c r="GE19" s="217"/>
      <c r="GF19" s="217"/>
      <c r="GG19" s="217"/>
      <c r="GH19" s="217"/>
      <c r="GI19" s="217"/>
      <c r="GJ19" s="217"/>
      <c r="GK19" s="217"/>
      <c r="GL19" s="217"/>
      <c r="GM19" s="217"/>
      <c r="GN19" s="217"/>
      <c r="GO19" s="217"/>
      <c r="GP19" s="217"/>
      <c r="GQ19" s="217"/>
      <c r="GR19" s="217"/>
      <c r="GS19" s="217"/>
      <c r="GT19" s="217"/>
      <c r="GU19" s="217"/>
      <c r="GV19" s="217"/>
      <c r="GW19" s="217"/>
      <c r="GX19" s="217"/>
      <c r="GY19" s="217"/>
      <c r="GZ19" s="217"/>
      <c r="HA19" s="217"/>
      <c r="HB19" s="217"/>
      <c r="HC19" s="217"/>
    </row>
    <row r="20" spans="1:211" s="218" customFormat="1" ht="20.100000000000001" customHeight="1">
      <c r="A20" s="1178"/>
      <c r="B20" s="2494" t="s">
        <v>102</v>
      </c>
      <c r="C20" s="1189"/>
      <c r="D20" s="1190"/>
      <c r="E20" s="1190"/>
      <c r="F20" s="1191"/>
      <c r="G20" s="1190"/>
      <c r="H20" s="1192"/>
      <c r="I20" s="1190"/>
      <c r="J20" s="1191"/>
      <c r="K20" s="1191"/>
      <c r="L20" s="1191"/>
      <c r="M20" s="1191"/>
      <c r="N20" s="1191"/>
      <c r="O20" s="1190"/>
      <c r="P20" s="1191"/>
      <c r="Q20" s="1190"/>
      <c r="R20" s="1191"/>
      <c r="S20" s="1178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7"/>
      <c r="AY20" s="217"/>
      <c r="AZ20" s="217"/>
      <c r="BA20" s="217"/>
      <c r="BB20" s="217"/>
      <c r="BC20" s="217"/>
      <c r="BD20" s="217"/>
      <c r="BE20" s="217"/>
      <c r="BF20" s="217"/>
      <c r="BG20" s="217"/>
      <c r="BH20" s="217"/>
      <c r="BI20" s="217"/>
      <c r="BJ20" s="217"/>
      <c r="BK20" s="217"/>
      <c r="BL20" s="217"/>
      <c r="BM20" s="217"/>
      <c r="BN20" s="217"/>
      <c r="BO20" s="217"/>
      <c r="BP20" s="217"/>
      <c r="BQ20" s="217"/>
      <c r="BR20" s="217"/>
      <c r="BS20" s="217"/>
      <c r="BT20" s="217"/>
      <c r="BU20" s="217"/>
      <c r="BV20" s="217"/>
      <c r="BW20" s="217"/>
      <c r="BX20" s="217"/>
      <c r="BY20" s="217"/>
      <c r="BZ20" s="217"/>
      <c r="CA20" s="217"/>
      <c r="CB20" s="217"/>
      <c r="CC20" s="217"/>
      <c r="CD20" s="217"/>
      <c r="CE20" s="217"/>
      <c r="CF20" s="217"/>
      <c r="CG20" s="217"/>
      <c r="CH20" s="217"/>
      <c r="CI20" s="217"/>
      <c r="CJ20" s="217"/>
      <c r="CK20" s="217"/>
      <c r="CL20" s="217"/>
      <c r="CM20" s="217"/>
      <c r="CN20" s="217"/>
      <c r="CO20" s="217"/>
      <c r="CP20" s="217"/>
      <c r="CQ20" s="217"/>
      <c r="CR20" s="217"/>
      <c r="CS20" s="217"/>
      <c r="CT20" s="217"/>
      <c r="CU20" s="217"/>
      <c r="CV20" s="217"/>
      <c r="CW20" s="217"/>
      <c r="CX20" s="217"/>
      <c r="CY20" s="217"/>
      <c r="CZ20" s="217"/>
      <c r="DA20" s="217"/>
      <c r="DB20" s="217"/>
      <c r="DC20" s="217"/>
      <c r="DD20" s="217"/>
      <c r="DE20" s="217"/>
      <c r="DF20" s="217"/>
      <c r="DG20" s="217"/>
      <c r="DH20" s="217"/>
      <c r="DI20" s="217"/>
      <c r="DJ20" s="217"/>
      <c r="DK20" s="217"/>
      <c r="DL20" s="217"/>
      <c r="DM20" s="217"/>
      <c r="DN20" s="217"/>
      <c r="DO20" s="217"/>
      <c r="DP20" s="217"/>
      <c r="DQ20" s="217"/>
      <c r="DR20" s="217"/>
      <c r="DS20" s="217"/>
      <c r="DT20" s="217"/>
      <c r="DU20" s="217"/>
      <c r="DV20" s="217"/>
      <c r="DW20" s="217"/>
      <c r="DX20" s="217"/>
      <c r="DY20" s="217"/>
      <c r="DZ20" s="217"/>
      <c r="EA20" s="217"/>
      <c r="EB20" s="217"/>
      <c r="EC20" s="217"/>
      <c r="ED20" s="217"/>
      <c r="EE20" s="217"/>
      <c r="EF20" s="217"/>
      <c r="EG20" s="217"/>
      <c r="EH20" s="217"/>
      <c r="EI20" s="217"/>
      <c r="EJ20" s="217"/>
      <c r="EK20" s="217"/>
      <c r="EL20" s="217"/>
      <c r="EM20" s="217"/>
      <c r="EN20" s="217"/>
      <c r="EO20" s="217"/>
      <c r="EP20" s="217"/>
      <c r="EQ20" s="217"/>
      <c r="ER20" s="217"/>
      <c r="ES20" s="217"/>
      <c r="ET20" s="217"/>
      <c r="EU20" s="217"/>
      <c r="EV20" s="217"/>
      <c r="EW20" s="217"/>
      <c r="EX20" s="217"/>
      <c r="EY20" s="217"/>
      <c r="EZ20" s="217"/>
      <c r="FA20" s="217"/>
      <c r="FB20" s="217"/>
      <c r="FC20" s="217"/>
      <c r="FD20" s="217"/>
      <c r="FE20" s="217"/>
      <c r="FF20" s="217"/>
      <c r="FG20" s="217"/>
      <c r="FH20" s="217"/>
      <c r="FI20" s="217"/>
      <c r="FJ20" s="217"/>
      <c r="FK20" s="217"/>
      <c r="FL20" s="217"/>
      <c r="FM20" s="217"/>
      <c r="FN20" s="217"/>
      <c r="FO20" s="217"/>
      <c r="FP20" s="217"/>
      <c r="FQ20" s="217"/>
      <c r="FR20" s="217"/>
      <c r="FS20" s="217"/>
      <c r="FT20" s="217"/>
      <c r="FU20" s="217"/>
      <c r="FV20" s="217"/>
      <c r="FW20" s="217"/>
      <c r="FX20" s="217"/>
      <c r="FY20" s="217"/>
      <c r="FZ20" s="217"/>
      <c r="GA20" s="217"/>
      <c r="GB20" s="217"/>
      <c r="GC20" s="217"/>
      <c r="GD20" s="217"/>
      <c r="GE20" s="217"/>
      <c r="GF20" s="217"/>
      <c r="GG20" s="217"/>
      <c r="GH20" s="217"/>
      <c r="GI20" s="217"/>
      <c r="GJ20" s="217"/>
      <c r="GK20" s="217"/>
      <c r="GL20" s="217"/>
      <c r="GM20" s="217"/>
      <c r="GN20" s="217"/>
      <c r="GO20" s="217"/>
      <c r="GP20" s="217"/>
      <c r="GQ20" s="217"/>
      <c r="GR20" s="217"/>
      <c r="GS20" s="217"/>
      <c r="GT20" s="217"/>
      <c r="GU20" s="217"/>
      <c r="GV20" s="217"/>
      <c r="GW20" s="217"/>
      <c r="GX20" s="217"/>
      <c r="GY20" s="217"/>
      <c r="GZ20" s="217"/>
      <c r="HA20" s="217"/>
      <c r="HB20" s="217"/>
      <c r="HC20" s="217"/>
    </row>
    <row r="21" spans="1:211" s="221" customFormat="1" ht="30" customHeight="1">
      <c r="A21" s="1197"/>
      <c r="B21" s="302" t="s">
        <v>104</v>
      </c>
      <c r="C21" s="267" t="s">
        <v>683</v>
      </c>
      <c r="D21" s="310" t="s">
        <v>336</v>
      </c>
      <c r="E21" s="2033">
        <f>SUM('PROVIDER PRODUCTIVITY'!B34,'PROVIDER PRODUCTIVITY'!B35)/2</f>
        <v>1.7772374680414909</v>
      </c>
      <c r="F21" s="2032">
        <f>SUM(COMPOSITE!K41,COMPOSITE!L41)</f>
        <v>118908</v>
      </c>
      <c r="G21" s="307" t="s">
        <v>698</v>
      </c>
      <c r="H21" s="304" t="s">
        <v>788</v>
      </c>
      <c r="I21" s="2609" t="s">
        <v>365</v>
      </c>
      <c r="J21" s="2506"/>
      <c r="K21" s="2033">
        <v>1.81</v>
      </c>
      <c r="L21" s="2477">
        <v>115152</v>
      </c>
      <c r="M21" s="2033">
        <v>1.7544592136770989</v>
      </c>
      <c r="N21" s="2477">
        <v>193855</v>
      </c>
      <c r="O21" s="2033" t="e">
        <f>SUM('PROVIDER PRODUCTIVITY'!#REF!,'PROVIDER PRODUCTIVITY'!#REF!,'PROVIDER PRODUCTIVITY'!#REF!)/3</f>
        <v>#REF!</v>
      </c>
      <c r="P21" s="2477">
        <v>186502</v>
      </c>
      <c r="Q21" s="2033">
        <v>1.6363177838323999</v>
      </c>
      <c r="R21" s="2477">
        <v>201995</v>
      </c>
      <c r="S21" s="1197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0"/>
      <c r="BJ21" s="220"/>
      <c r="BK21" s="220"/>
      <c r="BL21" s="220"/>
      <c r="BM21" s="220"/>
      <c r="BN21" s="220"/>
      <c r="BO21" s="220"/>
      <c r="BP21" s="220"/>
      <c r="BQ21" s="220"/>
      <c r="BR21" s="220"/>
      <c r="BS21" s="220"/>
      <c r="BT21" s="220"/>
      <c r="BU21" s="220"/>
      <c r="BV21" s="220"/>
      <c r="BW21" s="220"/>
      <c r="BX21" s="220"/>
      <c r="BY21" s="220"/>
      <c r="BZ21" s="220"/>
      <c r="CA21" s="220"/>
      <c r="CB21" s="220"/>
      <c r="CC21" s="220"/>
      <c r="CD21" s="220"/>
      <c r="CE21" s="220"/>
      <c r="CF21" s="220"/>
      <c r="CG21" s="220"/>
      <c r="CH21" s="220"/>
      <c r="CI21" s="220"/>
      <c r="CJ21" s="220"/>
      <c r="CK21" s="220"/>
      <c r="CL21" s="220"/>
      <c r="CM21" s="220"/>
      <c r="CN21" s="220"/>
      <c r="CO21" s="220"/>
      <c r="CP21" s="220"/>
      <c r="CQ21" s="220"/>
      <c r="CR21" s="220"/>
      <c r="CS21" s="220"/>
      <c r="CT21" s="220"/>
      <c r="CU21" s="220"/>
      <c r="CV21" s="220"/>
      <c r="CW21" s="220"/>
      <c r="CX21" s="220"/>
      <c r="CY21" s="220"/>
      <c r="CZ21" s="220"/>
      <c r="DA21" s="220"/>
      <c r="DB21" s="220"/>
      <c r="DC21" s="220"/>
      <c r="DD21" s="220"/>
      <c r="DE21" s="220"/>
      <c r="DF21" s="220"/>
      <c r="DG21" s="220"/>
      <c r="DH21" s="220"/>
      <c r="DI21" s="220"/>
      <c r="DJ21" s="220"/>
      <c r="DK21" s="220"/>
      <c r="DL21" s="220"/>
      <c r="DM21" s="220"/>
      <c r="DN21" s="220"/>
      <c r="DO21" s="220"/>
      <c r="DP21" s="220"/>
      <c r="DQ21" s="220"/>
      <c r="DR21" s="220"/>
      <c r="DS21" s="220"/>
      <c r="DT21" s="220"/>
      <c r="DU21" s="220"/>
      <c r="DV21" s="220"/>
      <c r="DW21" s="220"/>
      <c r="DX21" s="220"/>
      <c r="DY21" s="220"/>
      <c r="DZ21" s="220"/>
      <c r="EA21" s="220"/>
      <c r="EB21" s="220"/>
      <c r="EC21" s="220"/>
      <c r="ED21" s="220"/>
      <c r="EE21" s="220"/>
      <c r="EF21" s="220"/>
      <c r="EG21" s="220"/>
      <c r="EH21" s="220"/>
      <c r="EI21" s="220"/>
      <c r="EJ21" s="220"/>
      <c r="EK21" s="220"/>
      <c r="EL21" s="220"/>
      <c r="EM21" s="220"/>
      <c r="EN21" s="220"/>
      <c r="EO21" s="220"/>
      <c r="EP21" s="220"/>
      <c r="EQ21" s="220"/>
      <c r="ER21" s="220"/>
      <c r="ES21" s="220"/>
      <c r="ET21" s="220"/>
      <c r="EU21" s="220"/>
      <c r="EV21" s="220"/>
      <c r="EW21" s="220"/>
      <c r="EX21" s="220"/>
      <c r="EY21" s="220"/>
      <c r="EZ21" s="220"/>
      <c r="FA21" s="220"/>
      <c r="FB21" s="220"/>
      <c r="FC21" s="220"/>
      <c r="FD21" s="220"/>
      <c r="FE21" s="220"/>
      <c r="FF21" s="220"/>
      <c r="FG21" s="220"/>
      <c r="FH21" s="220"/>
      <c r="FI21" s="220"/>
      <c r="FJ21" s="220"/>
      <c r="FK21" s="220"/>
      <c r="FL21" s="220"/>
      <c r="FM21" s="220"/>
      <c r="FN21" s="220"/>
      <c r="FO21" s="220"/>
      <c r="FP21" s="220"/>
      <c r="FQ21" s="220"/>
      <c r="FR21" s="220"/>
      <c r="FS21" s="220"/>
      <c r="FT21" s="220"/>
      <c r="FU21" s="220"/>
      <c r="FV21" s="220"/>
      <c r="FW21" s="220"/>
      <c r="FX21" s="220"/>
      <c r="FY21" s="220"/>
      <c r="FZ21" s="220"/>
      <c r="GA21" s="220"/>
      <c r="GB21" s="220"/>
      <c r="GC21" s="220"/>
      <c r="GD21" s="220"/>
      <c r="GE21" s="220"/>
      <c r="GF21" s="220"/>
      <c r="GG21" s="220"/>
      <c r="GH21" s="220"/>
      <c r="GI21" s="220"/>
      <c r="GJ21" s="220"/>
      <c r="GK21" s="220"/>
      <c r="GL21" s="220"/>
      <c r="GM21" s="220"/>
      <c r="GN21" s="220"/>
      <c r="GO21" s="220"/>
      <c r="GP21" s="220"/>
      <c r="GQ21" s="220"/>
      <c r="GR21" s="220"/>
      <c r="GS21" s="220"/>
      <c r="GT21" s="220"/>
      <c r="GU21" s="220"/>
      <c r="GV21" s="220"/>
      <c r="GW21" s="220"/>
      <c r="GX21" s="220"/>
      <c r="GY21" s="220"/>
      <c r="GZ21" s="220"/>
      <c r="HA21" s="220"/>
      <c r="HB21" s="220"/>
      <c r="HC21" s="220"/>
    </row>
    <row r="22" spans="1:211" s="219" customFormat="1" ht="30" customHeight="1">
      <c r="A22" s="1178"/>
      <c r="B22" s="311" t="s">
        <v>463</v>
      </c>
      <c r="C22" s="267" t="s">
        <v>684</v>
      </c>
      <c r="D22" s="307" t="s">
        <v>116</v>
      </c>
      <c r="E22" s="308">
        <f>1408/112552</f>
        <v>1.2509773260359656E-2</v>
      </c>
      <c r="F22" s="2030" t="s">
        <v>861</v>
      </c>
      <c r="G22" s="307" t="s">
        <v>698</v>
      </c>
      <c r="H22" s="266" t="s">
        <v>789</v>
      </c>
      <c r="I22" s="2503" t="s">
        <v>365</v>
      </c>
      <c r="J22" s="2504"/>
      <c r="K22" s="308">
        <f>(1064/125557)</f>
        <v>8.4742387919431016E-3</v>
      </c>
      <c r="L22" s="2463" t="s">
        <v>831</v>
      </c>
      <c r="M22" s="308">
        <v>2.0577582806392616E-2</v>
      </c>
      <c r="N22" s="2463" t="s">
        <v>775</v>
      </c>
      <c r="O22" s="308">
        <f>1799/149023</f>
        <v>1.2071962046127108E-2</v>
      </c>
      <c r="P22" s="2463" t="s">
        <v>828</v>
      </c>
      <c r="Q22" s="308">
        <v>1.50534131476429E-2</v>
      </c>
      <c r="R22" s="2463" t="s">
        <v>849</v>
      </c>
      <c r="S22" s="1178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7"/>
      <c r="AP22" s="217"/>
      <c r="AQ22" s="217"/>
      <c r="AR22" s="217"/>
      <c r="AS22" s="217"/>
      <c r="AT22" s="217"/>
      <c r="AU22" s="217"/>
      <c r="AV22" s="217"/>
      <c r="AW22" s="217"/>
      <c r="AX22" s="217"/>
      <c r="AY22" s="217"/>
      <c r="AZ22" s="217"/>
      <c r="BA22" s="217"/>
      <c r="BB22" s="217"/>
      <c r="BC22" s="217"/>
      <c r="BD22" s="217"/>
      <c r="BE22" s="217"/>
      <c r="BF22" s="217"/>
      <c r="BG22" s="217"/>
      <c r="BH22" s="217"/>
      <c r="BI22" s="217"/>
      <c r="BJ22" s="217"/>
      <c r="BK22" s="217"/>
      <c r="BL22" s="217"/>
      <c r="BM22" s="217"/>
      <c r="BN22" s="217"/>
      <c r="BO22" s="217"/>
      <c r="BP22" s="217"/>
      <c r="BQ22" s="217"/>
      <c r="BR22" s="217"/>
      <c r="BS22" s="217"/>
      <c r="BT22" s="217"/>
      <c r="BU22" s="217"/>
      <c r="BV22" s="217"/>
      <c r="BW22" s="217"/>
      <c r="BX22" s="217"/>
      <c r="BY22" s="217"/>
      <c r="BZ22" s="217"/>
      <c r="CA22" s="217"/>
      <c r="CB22" s="217"/>
      <c r="CC22" s="217"/>
      <c r="CD22" s="217"/>
      <c r="CE22" s="217"/>
      <c r="CF22" s="217"/>
      <c r="CG22" s="217"/>
      <c r="CH22" s="217"/>
      <c r="CI22" s="217"/>
      <c r="CJ22" s="217"/>
      <c r="CK22" s="217"/>
      <c r="CL22" s="217"/>
      <c r="CM22" s="217"/>
      <c r="CN22" s="217"/>
      <c r="CO22" s="217"/>
      <c r="CP22" s="217"/>
      <c r="CQ22" s="217"/>
      <c r="CR22" s="217"/>
      <c r="CS22" s="217"/>
      <c r="CT22" s="217"/>
      <c r="CU22" s="217"/>
      <c r="CV22" s="217"/>
      <c r="CW22" s="217"/>
      <c r="CX22" s="217"/>
      <c r="CY22" s="217"/>
      <c r="CZ22" s="217"/>
      <c r="DA22" s="217"/>
      <c r="DB22" s="217"/>
      <c r="DC22" s="217"/>
      <c r="DD22" s="217"/>
      <c r="DE22" s="217"/>
      <c r="DF22" s="217"/>
      <c r="DG22" s="217"/>
      <c r="DH22" s="217"/>
      <c r="DI22" s="217"/>
      <c r="DJ22" s="217"/>
      <c r="DK22" s="217"/>
      <c r="DL22" s="217"/>
      <c r="DM22" s="217"/>
      <c r="DN22" s="217"/>
      <c r="DO22" s="217"/>
      <c r="DP22" s="217"/>
      <c r="DQ22" s="217"/>
      <c r="DR22" s="217"/>
      <c r="DS22" s="217"/>
      <c r="DT22" s="217"/>
      <c r="DU22" s="217"/>
      <c r="DV22" s="217"/>
      <c r="DW22" s="217"/>
      <c r="DX22" s="217"/>
      <c r="DY22" s="217"/>
      <c r="DZ22" s="217"/>
      <c r="EA22" s="217"/>
      <c r="EB22" s="217"/>
      <c r="EC22" s="217"/>
      <c r="ED22" s="217"/>
      <c r="EE22" s="217"/>
      <c r="EF22" s="217"/>
      <c r="EG22" s="217"/>
      <c r="EH22" s="217"/>
      <c r="EI22" s="217"/>
      <c r="EJ22" s="217"/>
      <c r="EK22" s="217"/>
      <c r="EL22" s="217"/>
      <c r="EM22" s="217"/>
      <c r="EN22" s="217"/>
      <c r="EO22" s="217"/>
      <c r="EP22" s="217"/>
      <c r="EQ22" s="217"/>
      <c r="ER22" s="217"/>
      <c r="ES22" s="217"/>
      <c r="ET22" s="217"/>
      <c r="EU22" s="217"/>
      <c r="EV22" s="217"/>
      <c r="EW22" s="217"/>
      <c r="EX22" s="217"/>
      <c r="EY22" s="217"/>
      <c r="EZ22" s="217"/>
      <c r="FA22" s="217"/>
      <c r="FB22" s="217"/>
      <c r="FC22" s="217"/>
      <c r="FD22" s="217"/>
      <c r="FE22" s="217"/>
      <c r="FF22" s="217"/>
      <c r="FG22" s="217"/>
      <c r="FH22" s="217"/>
      <c r="FI22" s="217"/>
      <c r="FJ22" s="217"/>
      <c r="FK22" s="217"/>
      <c r="FL22" s="217"/>
      <c r="FM22" s="217"/>
      <c r="FN22" s="217"/>
      <c r="FO22" s="217"/>
      <c r="FP22" s="217"/>
      <c r="FQ22" s="217"/>
      <c r="FR22" s="217"/>
      <c r="FS22" s="217"/>
      <c r="FT22" s="217"/>
      <c r="FU22" s="217"/>
      <c r="FV22" s="217"/>
      <c r="FW22" s="217"/>
      <c r="FX22" s="217"/>
      <c r="FY22" s="217"/>
      <c r="FZ22" s="217"/>
      <c r="GA22" s="217"/>
      <c r="GB22" s="217"/>
      <c r="GC22" s="217"/>
      <c r="GD22" s="217"/>
      <c r="GE22" s="217"/>
      <c r="GF22" s="217"/>
      <c r="GG22" s="217"/>
      <c r="GH22" s="217"/>
      <c r="GI22" s="217"/>
      <c r="GJ22" s="217"/>
      <c r="GK22" s="217"/>
      <c r="GL22" s="217"/>
      <c r="GM22" s="217"/>
      <c r="GN22" s="217"/>
      <c r="GO22" s="217"/>
      <c r="GP22" s="217"/>
      <c r="GQ22" s="217"/>
      <c r="GR22" s="217"/>
      <c r="GS22" s="217"/>
      <c r="GT22" s="217"/>
      <c r="GU22" s="217"/>
      <c r="GV22" s="217"/>
      <c r="GW22" s="217"/>
      <c r="GX22" s="217"/>
      <c r="GY22" s="217"/>
      <c r="GZ22" s="217"/>
      <c r="HA22" s="217"/>
      <c r="HB22" s="217"/>
      <c r="HC22" s="217"/>
    </row>
    <row r="23" spans="1:211" s="219" customFormat="1" ht="30" customHeight="1">
      <c r="A23" s="1178"/>
      <c r="B23" s="2476" t="s">
        <v>45</v>
      </c>
      <c r="C23" s="263" t="s">
        <v>118</v>
      </c>
      <c r="D23" s="265" t="s">
        <v>103</v>
      </c>
      <c r="E23" s="2474">
        <f>SUM(COMPOSITE!K34+COMPOSITE!L34)/2</f>
        <v>19.107283643431259</v>
      </c>
      <c r="F23" s="2477">
        <v>87408</v>
      </c>
      <c r="G23" s="307" t="s">
        <v>698</v>
      </c>
      <c r="H23" s="266" t="s">
        <v>776</v>
      </c>
      <c r="I23" s="2505" t="s">
        <v>365</v>
      </c>
      <c r="J23" s="2506"/>
      <c r="K23" s="2474">
        <f>([1]Efficiency!L30+[1]Efficiency!L31+[1]Efficiency!L32)/3</f>
        <v>27.666666666666668</v>
      </c>
      <c r="L23" s="2675">
        <v>125557</v>
      </c>
      <c r="M23" s="2474">
        <v>29.663619325306286</v>
      </c>
      <c r="N23" s="2675">
        <v>199682</v>
      </c>
      <c r="O23" s="2474">
        <f>SUM(COMPOSITE!C34+COMPOSITE!D34+COMPOSITE!E34)/3</f>
        <v>30.889110198225726</v>
      </c>
      <c r="P23" s="2675">
        <v>142031</v>
      </c>
      <c r="Q23" s="2474">
        <v>24.741927539912613</v>
      </c>
      <c r="R23" s="2675">
        <v>142031</v>
      </c>
      <c r="S23" s="1178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17"/>
      <c r="BJ23" s="217"/>
      <c r="BK23" s="217"/>
      <c r="BL23" s="217"/>
      <c r="BM23" s="217"/>
      <c r="BN23" s="217"/>
      <c r="BO23" s="217"/>
      <c r="BP23" s="217"/>
      <c r="BQ23" s="217"/>
      <c r="BR23" s="217"/>
      <c r="BS23" s="217"/>
      <c r="BT23" s="217"/>
      <c r="BU23" s="217"/>
      <c r="BV23" s="217"/>
      <c r="BW23" s="217"/>
      <c r="BX23" s="217"/>
      <c r="BY23" s="217"/>
      <c r="BZ23" s="217"/>
      <c r="CA23" s="217"/>
      <c r="CB23" s="217"/>
      <c r="CC23" s="217"/>
      <c r="CD23" s="217"/>
      <c r="CE23" s="217"/>
      <c r="CF23" s="217"/>
      <c r="CG23" s="217"/>
      <c r="CH23" s="217"/>
      <c r="CI23" s="217"/>
      <c r="CJ23" s="217"/>
      <c r="CK23" s="217"/>
      <c r="CL23" s="217"/>
      <c r="CM23" s="217"/>
      <c r="CN23" s="217"/>
      <c r="CO23" s="217"/>
      <c r="CP23" s="217"/>
      <c r="CQ23" s="217"/>
      <c r="CR23" s="217"/>
      <c r="CS23" s="217"/>
      <c r="CT23" s="217"/>
      <c r="CU23" s="217"/>
      <c r="CV23" s="217"/>
      <c r="CW23" s="217"/>
      <c r="CX23" s="217"/>
      <c r="CY23" s="217"/>
      <c r="CZ23" s="217"/>
      <c r="DA23" s="217"/>
      <c r="DB23" s="217"/>
      <c r="DC23" s="217"/>
      <c r="DD23" s="217"/>
      <c r="DE23" s="217"/>
      <c r="DF23" s="217"/>
      <c r="DG23" s="217"/>
      <c r="DH23" s="217"/>
      <c r="DI23" s="217"/>
      <c r="DJ23" s="217"/>
      <c r="DK23" s="217"/>
      <c r="DL23" s="217"/>
      <c r="DM23" s="217"/>
      <c r="DN23" s="217"/>
      <c r="DO23" s="217"/>
      <c r="DP23" s="217"/>
      <c r="DQ23" s="217"/>
      <c r="DR23" s="217"/>
      <c r="DS23" s="217"/>
      <c r="DT23" s="217"/>
      <c r="DU23" s="217"/>
      <c r="DV23" s="217"/>
      <c r="DW23" s="217"/>
      <c r="DX23" s="217"/>
      <c r="DY23" s="217"/>
      <c r="DZ23" s="217"/>
      <c r="EA23" s="217"/>
      <c r="EB23" s="217"/>
      <c r="EC23" s="217"/>
      <c r="ED23" s="217"/>
      <c r="EE23" s="217"/>
      <c r="EF23" s="217"/>
      <c r="EG23" s="217"/>
      <c r="EH23" s="217"/>
      <c r="EI23" s="217"/>
      <c r="EJ23" s="217"/>
      <c r="EK23" s="217"/>
      <c r="EL23" s="217"/>
      <c r="EM23" s="217"/>
      <c r="EN23" s="217"/>
      <c r="EO23" s="217"/>
      <c r="EP23" s="217"/>
      <c r="EQ23" s="217"/>
      <c r="ER23" s="217"/>
      <c r="ES23" s="217"/>
      <c r="ET23" s="217"/>
      <c r="EU23" s="217"/>
      <c r="EV23" s="217"/>
      <c r="EW23" s="217"/>
      <c r="EX23" s="217"/>
      <c r="EY23" s="217"/>
      <c r="EZ23" s="217"/>
      <c r="FA23" s="217"/>
      <c r="FB23" s="217"/>
      <c r="FC23" s="217"/>
      <c r="FD23" s="217"/>
      <c r="FE23" s="217"/>
      <c r="FF23" s="217"/>
      <c r="FG23" s="217"/>
      <c r="FH23" s="217"/>
      <c r="FI23" s="217"/>
      <c r="FJ23" s="217"/>
      <c r="FK23" s="217"/>
      <c r="FL23" s="217"/>
      <c r="FM23" s="217"/>
      <c r="FN23" s="217"/>
      <c r="FO23" s="217"/>
      <c r="FP23" s="217"/>
      <c r="FQ23" s="217"/>
      <c r="FR23" s="217"/>
      <c r="FS23" s="217"/>
      <c r="FT23" s="217"/>
      <c r="FU23" s="217"/>
      <c r="FV23" s="217"/>
      <c r="FW23" s="217"/>
      <c r="FX23" s="217"/>
      <c r="FY23" s="217"/>
      <c r="FZ23" s="217"/>
      <c r="GA23" s="217"/>
      <c r="GB23" s="217"/>
      <c r="GC23" s="217"/>
      <c r="GD23" s="217"/>
      <c r="GE23" s="217"/>
      <c r="GF23" s="217"/>
      <c r="GG23" s="217"/>
      <c r="GH23" s="217"/>
      <c r="GI23" s="217"/>
      <c r="GJ23" s="217"/>
      <c r="GK23" s="217"/>
      <c r="GL23" s="217"/>
      <c r="GM23" s="217"/>
      <c r="GN23" s="217"/>
      <c r="GO23" s="217"/>
      <c r="GP23" s="217"/>
      <c r="GQ23" s="217"/>
      <c r="GR23" s="217"/>
      <c r="GS23" s="217"/>
      <c r="GT23" s="217"/>
      <c r="GU23" s="217"/>
      <c r="GV23" s="217"/>
      <c r="GW23" s="217"/>
      <c r="GX23" s="217"/>
      <c r="GY23" s="217"/>
      <c r="GZ23" s="217"/>
      <c r="HA23" s="217"/>
      <c r="HB23" s="217"/>
      <c r="HC23" s="217"/>
    </row>
    <row r="24" spans="1:211" s="218" customFormat="1" ht="20.100000000000001" customHeight="1">
      <c r="A24" s="1178"/>
      <c r="B24" s="2493" t="s">
        <v>105</v>
      </c>
      <c r="C24" s="1193"/>
      <c r="D24" s="1183"/>
      <c r="E24" s="1183"/>
      <c r="F24" s="1182"/>
      <c r="G24" s="1183"/>
      <c r="H24" s="1184"/>
      <c r="I24" s="2507"/>
      <c r="J24" s="1182"/>
      <c r="K24" s="1183"/>
      <c r="L24" s="1182"/>
      <c r="M24" s="1182"/>
      <c r="N24" s="1182"/>
      <c r="O24" s="1182"/>
      <c r="P24" s="1182"/>
      <c r="Q24" s="1182"/>
      <c r="R24" s="1182"/>
      <c r="S24" s="1178"/>
      <c r="T24" s="217"/>
      <c r="U24" s="400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7"/>
      <c r="BD24" s="217"/>
      <c r="BE24" s="217"/>
      <c r="BF24" s="217"/>
      <c r="BG24" s="217"/>
      <c r="BH24" s="217"/>
      <c r="BI24" s="217"/>
      <c r="BJ24" s="217"/>
      <c r="BK24" s="217"/>
      <c r="BL24" s="217"/>
      <c r="BM24" s="217"/>
      <c r="BN24" s="217"/>
      <c r="BO24" s="217"/>
      <c r="BP24" s="217"/>
      <c r="BQ24" s="217"/>
      <c r="BR24" s="217"/>
      <c r="BS24" s="217"/>
      <c r="BT24" s="217"/>
      <c r="BU24" s="217"/>
      <c r="BV24" s="217"/>
      <c r="BW24" s="217"/>
      <c r="BX24" s="217"/>
      <c r="BY24" s="217"/>
      <c r="BZ24" s="217"/>
      <c r="CA24" s="217"/>
      <c r="CB24" s="217"/>
      <c r="CC24" s="217"/>
      <c r="CD24" s="217"/>
      <c r="CE24" s="217"/>
      <c r="CF24" s="217"/>
      <c r="CG24" s="217"/>
      <c r="CH24" s="217"/>
      <c r="CI24" s="217"/>
      <c r="CJ24" s="217"/>
      <c r="CK24" s="217"/>
      <c r="CL24" s="217"/>
      <c r="CM24" s="217"/>
      <c r="CN24" s="217"/>
      <c r="CO24" s="217"/>
      <c r="CP24" s="217"/>
      <c r="CQ24" s="217"/>
      <c r="CR24" s="217"/>
      <c r="CS24" s="217"/>
      <c r="CT24" s="217"/>
      <c r="CU24" s="217"/>
      <c r="CV24" s="217"/>
      <c r="CW24" s="217"/>
      <c r="CX24" s="217"/>
      <c r="CY24" s="217"/>
      <c r="CZ24" s="217"/>
      <c r="DA24" s="217"/>
      <c r="DB24" s="217"/>
      <c r="DC24" s="217"/>
      <c r="DD24" s="217"/>
      <c r="DE24" s="217"/>
      <c r="DF24" s="217"/>
      <c r="DG24" s="217"/>
      <c r="DH24" s="217"/>
      <c r="DI24" s="217"/>
      <c r="DJ24" s="217"/>
      <c r="DK24" s="217"/>
      <c r="DL24" s="217"/>
      <c r="DM24" s="217"/>
      <c r="DN24" s="217"/>
      <c r="DO24" s="217"/>
      <c r="DP24" s="217"/>
      <c r="DQ24" s="217"/>
      <c r="DR24" s="217"/>
      <c r="DS24" s="217"/>
      <c r="DT24" s="217"/>
      <c r="DU24" s="217"/>
      <c r="DV24" s="217"/>
      <c r="DW24" s="217"/>
      <c r="DX24" s="217"/>
      <c r="DY24" s="217"/>
      <c r="DZ24" s="217"/>
      <c r="EA24" s="217"/>
      <c r="EB24" s="217"/>
      <c r="EC24" s="217"/>
      <c r="ED24" s="217"/>
      <c r="EE24" s="217"/>
      <c r="EF24" s="217"/>
      <c r="EG24" s="217"/>
      <c r="EH24" s="217"/>
      <c r="EI24" s="217"/>
      <c r="EJ24" s="217"/>
      <c r="EK24" s="217"/>
      <c r="EL24" s="217"/>
      <c r="EM24" s="217"/>
      <c r="EN24" s="217"/>
      <c r="EO24" s="217"/>
      <c r="EP24" s="217"/>
      <c r="EQ24" s="217"/>
      <c r="ER24" s="217"/>
      <c r="ES24" s="217"/>
      <c r="ET24" s="217"/>
      <c r="EU24" s="217"/>
      <c r="EV24" s="217"/>
      <c r="EW24" s="217"/>
      <c r="EX24" s="217"/>
      <c r="EY24" s="217"/>
      <c r="EZ24" s="217"/>
      <c r="FA24" s="217"/>
      <c r="FB24" s="217"/>
      <c r="FC24" s="217"/>
      <c r="FD24" s="217"/>
      <c r="FE24" s="217"/>
      <c r="FF24" s="217"/>
      <c r="FG24" s="217"/>
      <c r="FH24" s="217"/>
      <c r="FI24" s="217"/>
      <c r="FJ24" s="217"/>
      <c r="FK24" s="217"/>
      <c r="FL24" s="217"/>
      <c r="FM24" s="217"/>
      <c r="FN24" s="217"/>
      <c r="FO24" s="217"/>
      <c r="FP24" s="217"/>
      <c r="FQ24" s="217"/>
      <c r="FR24" s="217"/>
      <c r="FS24" s="217"/>
      <c r="FT24" s="217"/>
      <c r="FU24" s="217"/>
      <c r="FV24" s="217"/>
      <c r="FW24" s="217"/>
      <c r="FX24" s="217"/>
      <c r="FY24" s="217"/>
      <c r="FZ24" s="217"/>
      <c r="GA24" s="217"/>
      <c r="GB24" s="217"/>
      <c r="GC24" s="217"/>
      <c r="GD24" s="217"/>
      <c r="GE24" s="217"/>
      <c r="GF24" s="217"/>
      <c r="GG24" s="217"/>
      <c r="GH24" s="217"/>
      <c r="GI24" s="217"/>
      <c r="GJ24" s="217"/>
      <c r="GK24" s="217"/>
      <c r="GL24" s="217"/>
      <c r="GM24" s="217"/>
      <c r="GN24" s="217"/>
      <c r="GO24" s="217"/>
      <c r="GP24" s="217"/>
      <c r="GQ24" s="217"/>
      <c r="GR24" s="217"/>
      <c r="GS24" s="217"/>
      <c r="GT24" s="217"/>
      <c r="GU24" s="217"/>
      <c r="GV24" s="217"/>
      <c r="GW24" s="217"/>
      <c r="GX24" s="217"/>
      <c r="GY24" s="217"/>
      <c r="GZ24" s="217"/>
      <c r="HA24" s="217"/>
      <c r="HB24" s="217"/>
      <c r="HC24" s="217"/>
    </row>
    <row r="25" spans="1:211" s="229" customFormat="1" ht="30" customHeight="1">
      <c r="A25" s="1178"/>
      <c r="B25" s="302" t="s">
        <v>196</v>
      </c>
      <c r="C25" s="900" t="s">
        <v>685</v>
      </c>
      <c r="D25" s="402" t="s">
        <v>106</v>
      </c>
      <c r="E25" s="402" t="s">
        <v>170</v>
      </c>
      <c r="F25" s="401"/>
      <c r="G25" s="316" t="s">
        <v>699</v>
      </c>
      <c r="H25" s="336"/>
      <c r="I25" s="2509" t="s">
        <v>170</v>
      </c>
      <c r="J25" s="2504"/>
      <c r="K25" s="402" t="s">
        <v>170</v>
      </c>
      <c r="L25" s="2469"/>
      <c r="M25" s="402" t="s">
        <v>170</v>
      </c>
      <c r="N25" s="2469"/>
      <c r="O25" s="402" t="s">
        <v>170</v>
      </c>
      <c r="P25" s="2469"/>
      <c r="Q25" s="402" t="s">
        <v>170</v>
      </c>
      <c r="R25" s="2469"/>
      <c r="S25" s="1178"/>
      <c r="T25" s="217"/>
      <c r="U25" s="228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Q25" s="217"/>
      <c r="BR25" s="217"/>
      <c r="BS25" s="217"/>
      <c r="BT25" s="217"/>
      <c r="BU25" s="217"/>
      <c r="BV25" s="217"/>
      <c r="BW25" s="217"/>
      <c r="BX25" s="217"/>
      <c r="BY25" s="217"/>
      <c r="BZ25" s="217"/>
      <c r="CA25" s="217"/>
      <c r="CB25" s="217"/>
      <c r="CC25" s="217"/>
      <c r="CD25" s="217"/>
      <c r="CE25" s="217"/>
      <c r="CF25" s="217"/>
      <c r="CG25" s="217"/>
      <c r="CH25" s="217"/>
      <c r="CI25" s="217"/>
      <c r="CJ25" s="217"/>
      <c r="CK25" s="217"/>
      <c r="CL25" s="217"/>
      <c r="CM25" s="217"/>
      <c r="CN25" s="217"/>
      <c r="CO25" s="217"/>
      <c r="CP25" s="217"/>
      <c r="CQ25" s="217"/>
      <c r="CR25" s="217"/>
      <c r="CS25" s="217"/>
      <c r="CT25" s="217"/>
      <c r="CU25" s="217"/>
      <c r="CV25" s="217"/>
      <c r="CW25" s="217"/>
      <c r="CX25" s="217"/>
      <c r="CY25" s="217"/>
      <c r="CZ25" s="217"/>
      <c r="DA25" s="217"/>
      <c r="DB25" s="217"/>
      <c r="DC25" s="217"/>
      <c r="DD25" s="217"/>
      <c r="DE25" s="217"/>
      <c r="DF25" s="217"/>
      <c r="DG25" s="217"/>
      <c r="DH25" s="217"/>
      <c r="DI25" s="217"/>
      <c r="DJ25" s="217"/>
      <c r="DK25" s="217"/>
      <c r="DL25" s="217"/>
      <c r="DM25" s="217"/>
      <c r="DN25" s="217"/>
      <c r="DO25" s="217"/>
      <c r="DP25" s="217"/>
      <c r="DQ25" s="217"/>
      <c r="DR25" s="217"/>
      <c r="DS25" s="217"/>
      <c r="DT25" s="217"/>
      <c r="DU25" s="217"/>
      <c r="DV25" s="217"/>
      <c r="DW25" s="217"/>
      <c r="DX25" s="217"/>
      <c r="DY25" s="217"/>
      <c r="DZ25" s="217"/>
      <c r="EA25" s="217"/>
      <c r="EB25" s="217"/>
      <c r="EC25" s="217"/>
      <c r="ED25" s="217"/>
      <c r="EE25" s="217"/>
      <c r="EF25" s="217"/>
      <c r="EG25" s="217"/>
      <c r="EH25" s="217"/>
      <c r="EI25" s="217"/>
      <c r="EJ25" s="217"/>
      <c r="EK25" s="217"/>
      <c r="EL25" s="217"/>
      <c r="EM25" s="217"/>
      <c r="EN25" s="217"/>
      <c r="EO25" s="217"/>
      <c r="EP25" s="217"/>
      <c r="EQ25" s="217"/>
      <c r="ER25" s="217"/>
      <c r="ES25" s="217"/>
      <c r="ET25" s="217"/>
      <c r="EU25" s="217"/>
      <c r="EV25" s="217"/>
      <c r="EW25" s="217"/>
      <c r="EX25" s="217"/>
      <c r="EY25" s="217"/>
      <c r="EZ25" s="217"/>
      <c r="FA25" s="217"/>
      <c r="FB25" s="217"/>
      <c r="FC25" s="217"/>
      <c r="FD25" s="217"/>
      <c r="FE25" s="217"/>
      <c r="FF25" s="217"/>
      <c r="FG25" s="217"/>
      <c r="FH25" s="217"/>
      <c r="FI25" s="217"/>
      <c r="FJ25" s="217"/>
      <c r="FK25" s="217"/>
      <c r="FL25" s="217"/>
      <c r="FM25" s="217"/>
      <c r="FN25" s="217"/>
      <c r="FO25" s="217"/>
      <c r="FP25" s="217"/>
      <c r="FQ25" s="217"/>
      <c r="FR25" s="217"/>
      <c r="FS25" s="217"/>
      <c r="FT25" s="217"/>
      <c r="FU25" s="217"/>
      <c r="FV25" s="217"/>
      <c r="FW25" s="217"/>
      <c r="FX25" s="217"/>
      <c r="FY25" s="217"/>
      <c r="FZ25" s="217"/>
      <c r="GA25" s="217"/>
      <c r="GB25" s="217"/>
      <c r="GC25" s="217"/>
      <c r="GD25" s="217"/>
      <c r="GE25" s="217"/>
      <c r="GF25" s="217"/>
      <c r="GG25" s="217"/>
      <c r="GH25" s="217"/>
      <c r="GI25" s="217"/>
      <c r="GJ25" s="217"/>
      <c r="GK25" s="217"/>
      <c r="GL25" s="217"/>
      <c r="GM25" s="217"/>
      <c r="GN25" s="217"/>
      <c r="GO25" s="217"/>
      <c r="GP25" s="217"/>
      <c r="GQ25" s="217"/>
      <c r="GR25" s="217"/>
      <c r="GS25" s="217"/>
      <c r="GT25" s="217"/>
      <c r="GU25" s="217"/>
      <c r="GV25" s="217"/>
      <c r="GW25" s="217"/>
      <c r="GX25" s="217"/>
      <c r="GY25" s="217"/>
      <c r="GZ25" s="217"/>
      <c r="HA25" s="217"/>
      <c r="HB25" s="217"/>
      <c r="HC25" s="217"/>
    </row>
    <row r="26" spans="1:211" s="219" customFormat="1" ht="30" customHeight="1">
      <c r="A26" s="1178"/>
      <c r="B26" s="319" t="s">
        <v>119</v>
      </c>
      <c r="C26" s="900" t="s">
        <v>458</v>
      </c>
      <c r="D26" s="402" t="s">
        <v>106</v>
      </c>
      <c r="E26" s="402" t="s">
        <v>170</v>
      </c>
      <c r="F26" s="401"/>
      <c r="G26" s="316" t="s">
        <v>699</v>
      </c>
      <c r="H26" s="360"/>
      <c r="I26" s="2509" t="s">
        <v>170</v>
      </c>
      <c r="J26" s="2504"/>
      <c r="K26" s="402" t="s">
        <v>170</v>
      </c>
      <c r="L26" s="2469"/>
      <c r="M26" s="402" t="s">
        <v>170</v>
      </c>
      <c r="N26" s="2469"/>
      <c r="O26" s="402" t="s">
        <v>170</v>
      </c>
      <c r="P26" s="2469"/>
      <c r="Q26" s="402" t="s">
        <v>170</v>
      </c>
      <c r="R26" s="2469"/>
      <c r="S26" s="1178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7"/>
      <c r="AY26" s="217"/>
      <c r="AZ26" s="217"/>
      <c r="BA26" s="217"/>
      <c r="BB26" s="217"/>
      <c r="BC26" s="217"/>
      <c r="BD26" s="217"/>
      <c r="BE26" s="217"/>
      <c r="BF26" s="217"/>
      <c r="BG26" s="217"/>
      <c r="BH26" s="217"/>
      <c r="BI26" s="217"/>
      <c r="BJ26" s="217"/>
      <c r="BK26" s="217"/>
      <c r="BL26" s="217"/>
      <c r="BM26" s="217"/>
      <c r="BN26" s="217"/>
      <c r="BO26" s="217"/>
      <c r="BP26" s="217"/>
      <c r="BQ26" s="217"/>
      <c r="BR26" s="217"/>
      <c r="BS26" s="217"/>
      <c r="BT26" s="217"/>
      <c r="BU26" s="217"/>
      <c r="BV26" s="217"/>
      <c r="BW26" s="217"/>
      <c r="BX26" s="217"/>
      <c r="BY26" s="217"/>
      <c r="BZ26" s="217"/>
      <c r="CA26" s="217"/>
      <c r="CB26" s="217"/>
      <c r="CC26" s="217"/>
      <c r="CD26" s="217"/>
      <c r="CE26" s="217"/>
      <c r="CF26" s="217"/>
      <c r="CG26" s="217"/>
      <c r="CH26" s="217"/>
      <c r="CI26" s="217"/>
      <c r="CJ26" s="217"/>
      <c r="CK26" s="217"/>
      <c r="CL26" s="217"/>
      <c r="CM26" s="217"/>
      <c r="CN26" s="217"/>
      <c r="CO26" s="217"/>
      <c r="CP26" s="217"/>
      <c r="CQ26" s="217"/>
      <c r="CR26" s="217"/>
      <c r="CS26" s="217"/>
      <c r="CT26" s="217"/>
      <c r="CU26" s="217"/>
      <c r="CV26" s="217"/>
      <c r="CW26" s="217"/>
      <c r="CX26" s="217"/>
      <c r="CY26" s="217"/>
      <c r="CZ26" s="217"/>
      <c r="DA26" s="217"/>
      <c r="DB26" s="217"/>
      <c r="DC26" s="217"/>
      <c r="DD26" s="217"/>
      <c r="DE26" s="217"/>
      <c r="DF26" s="217"/>
      <c r="DG26" s="217"/>
      <c r="DH26" s="217"/>
      <c r="DI26" s="217"/>
      <c r="DJ26" s="217"/>
      <c r="DK26" s="217"/>
      <c r="DL26" s="217"/>
      <c r="DM26" s="217"/>
      <c r="DN26" s="217"/>
      <c r="DO26" s="217"/>
      <c r="DP26" s="217"/>
      <c r="DQ26" s="217"/>
      <c r="DR26" s="217"/>
      <c r="DS26" s="217"/>
      <c r="DT26" s="217"/>
      <c r="DU26" s="217"/>
      <c r="DV26" s="217"/>
      <c r="DW26" s="217"/>
      <c r="DX26" s="217"/>
      <c r="DY26" s="217"/>
      <c r="DZ26" s="217"/>
      <c r="EA26" s="217"/>
      <c r="EB26" s="217"/>
      <c r="EC26" s="217"/>
      <c r="ED26" s="217"/>
      <c r="EE26" s="217"/>
      <c r="EF26" s="217"/>
      <c r="EG26" s="217"/>
      <c r="EH26" s="217"/>
      <c r="EI26" s="217"/>
      <c r="EJ26" s="217"/>
      <c r="EK26" s="217"/>
      <c r="EL26" s="217"/>
      <c r="EM26" s="217"/>
      <c r="EN26" s="217"/>
      <c r="EO26" s="217"/>
      <c r="EP26" s="217"/>
      <c r="EQ26" s="217"/>
      <c r="ER26" s="217"/>
      <c r="ES26" s="217"/>
      <c r="ET26" s="217"/>
      <c r="EU26" s="217"/>
      <c r="EV26" s="217"/>
      <c r="EW26" s="217"/>
      <c r="EX26" s="217"/>
      <c r="EY26" s="217"/>
      <c r="EZ26" s="217"/>
      <c r="FA26" s="217"/>
      <c r="FB26" s="217"/>
      <c r="FC26" s="217"/>
      <c r="FD26" s="217"/>
      <c r="FE26" s="217"/>
      <c r="FF26" s="217"/>
      <c r="FG26" s="217"/>
      <c r="FH26" s="217"/>
      <c r="FI26" s="217"/>
      <c r="FJ26" s="217"/>
      <c r="FK26" s="217"/>
      <c r="FL26" s="217"/>
      <c r="FM26" s="217"/>
      <c r="FN26" s="217"/>
      <c r="FO26" s="217"/>
      <c r="FP26" s="217"/>
      <c r="FQ26" s="217"/>
      <c r="FR26" s="217"/>
      <c r="FS26" s="217"/>
      <c r="FT26" s="217"/>
      <c r="FU26" s="217"/>
      <c r="FV26" s="217"/>
      <c r="FW26" s="217"/>
      <c r="FX26" s="217"/>
      <c r="FY26" s="217"/>
      <c r="FZ26" s="217"/>
      <c r="GA26" s="217"/>
      <c r="GB26" s="217"/>
      <c r="GC26" s="217"/>
      <c r="GD26" s="217"/>
      <c r="GE26" s="217"/>
      <c r="GF26" s="217"/>
      <c r="GG26" s="217"/>
      <c r="GH26" s="217"/>
      <c r="GI26" s="217"/>
      <c r="GJ26" s="217"/>
      <c r="GK26" s="217"/>
      <c r="GL26" s="217"/>
      <c r="GM26" s="217"/>
      <c r="GN26" s="217"/>
      <c r="GO26" s="217"/>
      <c r="GP26" s="217"/>
      <c r="GQ26" s="217"/>
      <c r="GR26" s="217"/>
      <c r="GS26" s="217"/>
      <c r="GT26" s="217"/>
      <c r="GU26" s="217"/>
      <c r="GV26" s="217"/>
      <c r="GW26" s="217"/>
      <c r="GX26" s="217"/>
      <c r="GY26" s="217"/>
      <c r="GZ26" s="217"/>
      <c r="HA26" s="217"/>
      <c r="HB26" s="217"/>
      <c r="HC26" s="217"/>
    </row>
    <row r="27" spans="1:211" s="219" customFormat="1" ht="30" customHeight="1">
      <c r="A27" s="1178"/>
      <c r="B27" s="319" t="s">
        <v>454</v>
      </c>
      <c r="C27" s="901" t="s">
        <v>452</v>
      </c>
      <c r="D27" s="338" t="s">
        <v>122</v>
      </c>
      <c r="E27" s="359" t="s">
        <v>588</v>
      </c>
      <c r="F27" s="403"/>
      <c r="G27" s="316" t="s">
        <v>700</v>
      </c>
      <c r="H27" s="975"/>
      <c r="I27" s="2510" t="s">
        <v>170</v>
      </c>
      <c r="J27" s="2511"/>
      <c r="K27" s="2676">
        <f>(7/125557)</f>
        <v>5.575157099962567E-5</v>
      </c>
      <c r="L27" s="2470" t="s">
        <v>829</v>
      </c>
      <c r="M27" s="359" t="s">
        <v>588</v>
      </c>
      <c r="N27" s="2470"/>
      <c r="O27" s="359" t="s">
        <v>588</v>
      </c>
      <c r="P27" s="2470"/>
      <c r="Q27" s="359" t="s">
        <v>588</v>
      </c>
      <c r="R27" s="2470"/>
      <c r="S27" s="1178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7"/>
      <c r="AT27" s="217"/>
      <c r="AU27" s="217"/>
      <c r="AV27" s="217"/>
      <c r="AW27" s="217"/>
      <c r="AX27" s="217"/>
      <c r="AY27" s="217"/>
      <c r="AZ27" s="217"/>
      <c r="BA27" s="217"/>
      <c r="BB27" s="217"/>
      <c r="BC27" s="217"/>
      <c r="BD27" s="217"/>
      <c r="BE27" s="217"/>
      <c r="BF27" s="217"/>
      <c r="BG27" s="217"/>
      <c r="BH27" s="217"/>
      <c r="BI27" s="217"/>
      <c r="BJ27" s="217"/>
      <c r="BK27" s="217"/>
      <c r="BL27" s="217"/>
      <c r="BM27" s="217"/>
      <c r="BN27" s="217"/>
      <c r="BO27" s="217"/>
      <c r="BP27" s="217"/>
      <c r="BQ27" s="217"/>
      <c r="BR27" s="217"/>
      <c r="BS27" s="217"/>
      <c r="BT27" s="217"/>
      <c r="BU27" s="217"/>
      <c r="BV27" s="217"/>
      <c r="BW27" s="217"/>
      <c r="BX27" s="217"/>
      <c r="BY27" s="217"/>
      <c r="BZ27" s="217"/>
      <c r="CA27" s="217"/>
      <c r="CB27" s="217"/>
      <c r="CC27" s="217"/>
      <c r="CD27" s="217"/>
      <c r="CE27" s="217"/>
      <c r="CF27" s="217"/>
      <c r="CG27" s="217"/>
      <c r="CH27" s="217"/>
      <c r="CI27" s="217"/>
      <c r="CJ27" s="217"/>
      <c r="CK27" s="217"/>
      <c r="CL27" s="217"/>
      <c r="CM27" s="217"/>
      <c r="CN27" s="217"/>
      <c r="CO27" s="217"/>
      <c r="CP27" s="217"/>
      <c r="CQ27" s="217"/>
      <c r="CR27" s="217"/>
      <c r="CS27" s="217"/>
      <c r="CT27" s="217"/>
      <c r="CU27" s="217"/>
      <c r="CV27" s="217"/>
      <c r="CW27" s="217"/>
      <c r="CX27" s="217"/>
      <c r="CY27" s="217"/>
      <c r="CZ27" s="217"/>
      <c r="DA27" s="217"/>
      <c r="DB27" s="217"/>
      <c r="DC27" s="217"/>
      <c r="DD27" s="217"/>
      <c r="DE27" s="217"/>
      <c r="DF27" s="217"/>
      <c r="DG27" s="217"/>
      <c r="DH27" s="217"/>
      <c r="DI27" s="217"/>
      <c r="DJ27" s="217"/>
      <c r="DK27" s="217"/>
      <c r="DL27" s="217"/>
      <c r="DM27" s="217"/>
      <c r="DN27" s="217"/>
      <c r="DO27" s="217"/>
      <c r="DP27" s="217"/>
      <c r="DQ27" s="217"/>
      <c r="DR27" s="217"/>
      <c r="DS27" s="217"/>
      <c r="DT27" s="217"/>
      <c r="DU27" s="217"/>
      <c r="DV27" s="217"/>
      <c r="DW27" s="217"/>
      <c r="DX27" s="217"/>
      <c r="DY27" s="217"/>
      <c r="DZ27" s="217"/>
      <c r="EA27" s="217"/>
      <c r="EB27" s="217"/>
      <c r="EC27" s="217"/>
      <c r="ED27" s="217"/>
      <c r="EE27" s="217"/>
      <c r="EF27" s="217"/>
      <c r="EG27" s="217"/>
      <c r="EH27" s="217"/>
      <c r="EI27" s="217"/>
      <c r="EJ27" s="217"/>
      <c r="EK27" s="217"/>
      <c r="EL27" s="217"/>
      <c r="EM27" s="217"/>
      <c r="EN27" s="217"/>
      <c r="EO27" s="217"/>
      <c r="EP27" s="217"/>
      <c r="EQ27" s="217"/>
      <c r="ER27" s="217"/>
      <c r="ES27" s="217"/>
      <c r="ET27" s="217"/>
      <c r="EU27" s="217"/>
      <c r="EV27" s="217"/>
      <c r="EW27" s="217"/>
      <c r="EX27" s="217"/>
      <c r="EY27" s="217"/>
      <c r="EZ27" s="217"/>
      <c r="FA27" s="217"/>
      <c r="FB27" s="217"/>
      <c r="FC27" s="217"/>
      <c r="FD27" s="217"/>
      <c r="FE27" s="217"/>
      <c r="FF27" s="217"/>
      <c r="FG27" s="217"/>
      <c r="FH27" s="217"/>
      <c r="FI27" s="217"/>
      <c r="FJ27" s="217"/>
      <c r="FK27" s="217"/>
      <c r="FL27" s="217"/>
      <c r="FM27" s="217"/>
      <c r="FN27" s="217"/>
      <c r="FO27" s="217"/>
      <c r="FP27" s="217"/>
      <c r="FQ27" s="217"/>
      <c r="FR27" s="217"/>
      <c r="FS27" s="217"/>
      <c r="FT27" s="217"/>
      <c r="FU27" s="217"/>
      <c r="FV27" s="217"/>
      <c r="FW27" s="217"/>
      <c r="FX27" s="217"/>
      <c r="FY27" s="217"/>
      <c r="FZ27" s="217"/>
      <c r="GA27" s="217"/>
      <c r="GB27" s="217"/>
      <c r="GC27" s="217"/>
      <c r="GD27" s="217"/>
      <c r="GE27" s="217"/>
      <c r="GF27" s="217"/>
      <c r="GG27" s="217"/>
      <c r="GH27" s="217"/>
      <c r="GI27" s="217"/>
      <c r="GJ27" s="217"/>
      <c r="GK27" s="217"/>
      <c r="GL27" s="217"/>
      <c r="GM27" s="217"/>
      <c r="GN27" s="217"/>
      <c r="GO27" s="217"/>
      <c r="GP27" s="217"/>
      <c r="GQ27" s="217"/>
      <c r="GR27" s="217"/>
      <c r="GS27" s="217"/>
      <c r="GT27" s="217"/>
      <c r="GU27" s="217"/>
      <c r="GV27" s="217"/>
      <c r="GW27" s="217"/>
      <c r="GX27" s="217"/>
      <c r="GY27" s="217"/>
      <c r="GZ27" s="217"/>
      <c r="HA27" s="217"/>
      <c r="HB27" s="217"/>
      <c r="HC27" s="217"/>
    </row>
    <row r="28" spans="1:211" s="222" customFormat="1" ht="30" customHeight="1">
      <c r="A28" s="1178"/>
      <c r="B28" s="302" t="s">
        <v>455</v>
      </c>
      <c r="C28" s="901" t="s">
        <v>686</v>
      </c>
      <c r="D28" s="338" t="s">
        <v>122</v>
      </c>
      <c r="E28" s="359" t="s">
        <v>588</v>
      </c>
      <c r="F28" s="403"/>
      <c r="G28" s="316" t="s">
        <v>700</v>
      </c>
      <c r="H28" s="358"/>
      <c r="I28" s="2510" t="s">
        <v>170</v>
      </c>
      <c r="J28" s="2511"/>
      <c r="K28" s="2676">
        <f>(8/125557)</f>
        <v>6.3716081142429335E-5</v>
      </c>
      <c r="L28" s="2470" t="s">
        <v>830</v>
      </c>
      <c r="M28" s="359" t="s">
        <v>588</v>
      </c>
      <c r="N28" s="2470"/>
      <c r="O28" s="359" t="s">
        <v>588</v>
      </c>
      <c r="P28" s="2470"/>
      <c r="Q28" s="359" t="s">
        <v>588</v>
      </c>
      <c r="R28" s="2470"/>
      <c r="S28" s="1178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7"/>
      <c r="AX28" s="217"/>
      <c r="AY28" s="217"/>
      <c r="AZ28" s="217"/>
      <c r="BA28" s="217"/>
      <c r="BB28" s="217"/>
      <c r="BC28" s="217"/>
      <c r="BD28" s="217"/>
      <c r="BE28" s="217"/>
      <c r="BF28" s="217"/>
      <c r="BG28" s="217"/>
      <c r="BH28" s="217"/>
      <c r="BI28" s="217"/>
      <c r="BJ28" s="217"/>
      <c r="BK28" s="217"/>
      <c r="BL28" s="217"/>
      <c r="BM28" s="217"/>
      <c r="BN28" s="217"/>
      <c r="BO28" s="217"/>
      <c r="BP28" s="217"/>
      <c r="BQ28" s="217"/>
      <c r="BR28" s="217"/>
      <c r="BS28" s="217"/>
      <c r="BT28" s="217"/>
      <c r="BU28" s="217"/>
      <c r="BV28" s="217"/>
      <c r="BW28" s="217"/>
      <c r="BX28" s="217"/>
      <c r="BY28" s="217"/>
      <c r="BZ28" s="217"/>
      <c r="CA28" s="217"/>
      <c r="CB28" s="217"/>
      <c r="CC28" s="217"/>
      <c r="CD28" s="217"/>
      <c r="CE28" s="217"/>
      <c r="CF28" s="217"/>
      <c r="CG28" s="217"/>
      <c r="CH28" s="217"/>
      <c r="CI28" s="217"/>
      <c r="CJ28" s="217"/>
      <c r="CK28" s="217"/>
      <c r="CL28" s="217"/>
      <c r="CM28" s="217"/>
      <c r="CN28" s="217"/>
      <c r="CO28" s="217"/>
      <c r="CP28" s="217"/>
      <c r="CQ28" s="217"/>
      <c r="CR28" s="217"/>
      <c r="CS28" s="217"/>
      <c r="CT28" s="217"/>
      <c r="CU28" s="217"/>
      <c r="CV28" s="217"/>
      <c r="CW28" s="217"/>
      <c r="CX28" s="217"/>
      <c r="CY28" s="217"/>
      <c r="CZ28" s="217"/>
      <c r="DA28" s="217"/>
      <c r="DB28" s="217"/>
      <c r="DC28" s="217"/>
      <c r="DD28" s="217"/>
      <c r="DE28" s="217"/>
      <c r="DF28" s="217"/>
      <c r="DG28" s="217"/>
      <c r="DH28" s="217"/>
      <c r="DI28" s="217"/>
      <c r="DJ28" s="217"/>
      <c r="DK28" s="217"/>
      <c r="DL28" s="217"/>
      <c r="DM28" s="217"/>
      <c r="DN28" s="217"/>
      <c r="DO28" s="217"/>
      <c r="DP28" s="217"/>
      <c r="DQ28" s="217"/>
      <c r="DR28" s="217"/>
      <c r="DS28" s="217"/>
      <c r="DT28" s="217"/>
      <c r="DU28" s="217"/>
      <c r="DV28" s="217"/>
      <c r="DW28" s="217"/>
      <c r="DX28" s="217"/>
      <c r="DY28" s="217"/>
      <c r="DZ28" s="217"/>
      <c r="EA28" s="217"/>
      <c r="EB28" s="217"/>
      <c r="EC28" s="217"/>
      <c r="ED28" s="217"/>
      <c r="EE28" s="217"/>
      <c r="EF28" s="217"/>
      <c r="EG28" s="217"/>
      <c r="EH28" s="217"/>
      <c r="EI28" s="217"/>
      <c r="EJ28" s="217"/>
      <c r="EK28" s="217"/>
      <c r="EL28" s="217"/>
      <c r="EM28" s="217"/>
      <c r="EN28" s="217"/>
      <c r="EO28" s="217"/>
      <c r="EP28" s="217"/>
      <c r="EQ28" s="217"/>
      <c r="ER28" s="217"/>
      <c r="ES28" s="217"/>
      <c r="ET28" s="217"/>
      <c r="EU28" s="217"/>
      <c r="EV28" s="217"/>
      <c r="EW28" s="217"/>
      <c r="EX28" s="217"/>
      <c r="EY28" s="217"/>
      <c r="EZ28" s="217"/>
      <c r="FA28" s="217"/>
      <c r="FB28" s="217"/>
      <c r="FC28" s="217"/>
      <c r="FD28" s="217"/>
      <c r="FE28" s="217"/>
      <c r="FF28" s="217"/>
      <c r="FG28" s="217"/>
      <c r="FH28" s="217"/>
      <c r="FI28" s="217"/>
      <c r="FJ28" s="217"/>
      <c r="FK28" s="217"/>
      <c r="FL28" s="217"/>
      <c r="FM28" s="217"/>
      <c r="FN28" s="217"/>
      <c r="FO28" s="217"/>
      <c r="FP28" s="217"/>
      <c r="FQ28" s="217"/>
      <c r="FR28" s="217"/>
      <c r="FS28" s="217"/>
      <c r="FT28" s="217"/>
      <c r="FU28" s="217"/>
      <c r="FV28" s="217"/>
      <c r="FW28" s="217"/>
      <c r="FX28" s="217"/>
      <c r="FY28" s="217"/>
      <c r="FZ28" s="217"/>
      <c r="GA28" s="217"/>
      <c r="GB28" s="217"/>
      <c r="GC28" s="217"/>
      <c r="GD28" s="217"/>
      <c r="GE28" s="217"/>
      <c r="GF28" s="217"/>
      <c r="GG28" s="217"/>
      <c r="GH28" s="217"/>
      <c r="GI28" s="217"/>
      <c r="GJ28" s="217"/>
      <c r="GK28" s="217"/>
      <c r="GL28" s="217"/>
      <c r="GM28" s="217"/>
      <c r="GN28" s="217"/>
      <c r="GO28" s="217"/>
      <c r="GP28" s="217"/>
      <c r="GQ28" s="217"/>
      <c r="GR28" s="217"/>
      <c r="GS28" s="217"/>
      <c r="GT28" s="217"/>
      <c r="GU28" s="217"/>
      <c r="GV28" s="217"/>
      <c r="GW28" s="217"/>
      <c r="GX28" s="217"/>
      <c r="GY28" s="217"/>
      <c r="GZ28" s="217"/>
      <c r="HA28" s="217"/>
      <c r="HB28" s="217"/>
      <c r="HC28" s="217"/>
    </row>
    <row r="29" spans="1:211" s="218" customFormat="1" ht="20.100000000000001" customHeight="1">
      <c r="A29" s="1178"/>
      <c r="B29" s="2493" t="s">
        <v>107</v>
      </c>
      <c r="C29" s="1193"/>
      <c r="D29" s="1183"/>
      <c r="E29" s="1183"/>
      <c r="F29" s="1182"/>
      <c r="G29" s="1183"/>
      <c r="H29" s="1184"/>
      <c r="I29" s="1183"/>
      <c r="J29" s="1182"/>
      <c r="K29" s="1183"/>
      <c r="L29" s="1182"/>
      <c r="M29" s="1183"/>
      <c r="N29" s="1182"/>
      <c r="O29" s="1182"/>
      <c r="P29" s="1182"/>
      <c r="Q29" s="1182"/>
      <c r="R29" s="1182"/>
      <c r="S29" s="1178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17"/>
      <c r="BJ29" s="217"/>
      <c r="BK29" s="217"/>
      <c r="BL29" s="217"/>
      <c r="BM29" s="217"/>
      <c r="BN29" s="217"/>
      <c r="BO29" s="217"/>
      <c r="BP29" s="217"/>
      <c r="BQ29" s="217"/>
      <c r="BR29" s="217"/>
      <c r="BS29" s="217"/>
      <c r="BT29" s="217"/>
      <c r="BU29" s="217"/>
      <c r="BV29" s="217"/>
      <c r="BW29" s="217"/>
      <c r="BX29" s="217"/>
      <c r="BY29" s="217"/>
      <c r="BZ29" s="217"/>
      <c r="CA29" s="217"/>
      <c r="CB29" s="217"/>
      <c r="CC29" s="217"/>
      <c r="CD29" s="217"/>
      <c r="CE29" s="217"/>
      <c r="CF29" s="217"/>
      <c r="CG29" s="217"/>
      <c r="CH29" s="217"/>
      <c r="CI29" s="217"/>
      <c r="CJ29" s="217"/>
      <c r="CK29" s="217"/>
      <c r="CL29" s="217"/>
      <c r="CM29" s="217"/>
      <c r="CN29" s="217"/>
      <c r="CO29" s="217"/>
      <c r="CP29" s="217"/>
      <c r="CQ29" s="217"/>
      <c r="CR29" s="217"/>
      <c r="CS29" s="217"/>
      <c r="CT29" s="217"/>
      <c r="CU29" s="217"/>
      <c r="CV29" s="217"/>
      <c r="CW29" s="217"/>
      <c r="CX29" s="217"/>
      <c r="CY29" s="217"/>
      <c r="CZ29" s="217"/>
      <c r="DA29" s="217"/>
      <c r="DB29" s="217"/>
      <c r="DC29" s="217"/>
      <c r="DD29" s="217"/>
      <c r="DE29" s="217"/>
      <c r="DF29" s="217"/>
      <c r="DG29" s="217"/>
      <c r="DH29" s="217"/>
      <c r="DI29" s="217"/>
      <c r="DJ29" s="217"/>
      <c r="DK29" s="217"/>
      <c r="DL29" s="217"/>
      <c r="DM29" s="217"/>
      <c r="DN29" s="217"/>
      <c r="DO29" s="217"/>
      <c r="DP29" s="217"/>
      <c r="DQ29" s="217"/>
      <c r="DR29" s="217"/>
      <c r="DS29" s="217"/>
      <c r="DT29" s="217"/>
      <c r="DU29" s="217"/>
      <c r="DV29" s="217"/>
      <c r="DW29" s="217"/>
      <c r="DX29" s="217"/>
      <c r="DY29" s="217"/>
      <c r="DZ29" s="217"/>
      <c r="EA29" s="217"/>
      <c r="EB29" s="217"/>
      <c r="EC29" s="217"/>
      <c r="ED29" s="217"/>
      <c r="EE29" s="217"/>
      <c r="EF29" s="217"/>
      <c r="EG29" s="217"/>
      <c r="EH29" s="217"/>
      <c r="EI29" s="217"/>
      <c r="EJ29" s="217"/>
      <c r="EK29" s="217"/>
      <c r="EL29" s="217"/>
      <c r="EM29" s="217"/>
      <c r="EN29" s="217"/>
      <c r="EO29" s="217"/>
      <c r="EP29" s="217"/>
      <c r="EQ29" s="217"/>
      <c r="ER29" s="217"/>
      <c r="ES29" s="217"/>
      <c r="ET29" s="217"/>
      <c r="EU29" s="217"/>
      <c r="EV29" s="217"/>
      <c r="EW29" s="217"/>
      <c r="EX29" s="217"/>
      <c r="EY29" s="217"/>
      <c r="EZ29" s="217"/>
      <c r="FA29" s="217"/>
      <c r="FB29" s="217"/>
      <c r="FC29" s="217"/>
      <c r="FD29" s="217"/>
      <c r="FE29" s="217"/>
      <c r="FF29" s="217"/>
      <c r="FG29" s="217"/>
      <c r="FH29" s="217"/>
      <c r="FI29" s="217"/>
      <c r="FJ29" s="217"/>
      <c r="FK29" s="217"/>
      <c r="FL29" s="217"/>
      <c r="FM29" s="217"/>
      <c r="FN29" s="217"/>
      <c r="FO29" s="217"/>
      <c r="FP29" s="217"/>
      <c r="FQ29" s="217"/>
      <c r="FR29" s="217"/>
      <c r="FS29" s="217"/>
      <c r="FT29" s="217"/>
      <c r="FU29" s="217"/>
      <c r="FV29" s="217"/>
      <c r="FW29" s="217"/>
      <c r="FX29" s="217"/>
      <c r="FY29" s="217"/>
      <c r="FZ29" s="217"/>
      <c r="GA29" s="217"/>
      <c r="GB29" s="217"/>
      <c r="GC29" s="217"/>
      <c r="GD29" s="217"/>
      <c r="GE29" s="217"/>
      <c r="GF29" s="217"/>
      <c r="GG29" s="217"/>
      <c r="GH29" s="217"/>
      <c r="GI29" s="217"/>
      <c r="GJ29" s="217"/>
      <c r="GK29" s="217"/>
      <c r="GL29" s="217"/>
      <c r="GM29" s="217"/>
      <c r="GN29" s="217"/>
      <c r="GO29" s="217"/>
      <c r="GP29" s="217"/>
      <c r="GQ29" s="217"/>
      <c r="GR29" s="217"/>
      <c r="GS29" s="217"/>
      <c r="GT29" s="217"/>
      <c r="GU29" s="217"/>
      <c r="GV29" s="217"/>
      <c r="GW29" s="217"/>
      <c r="GX29" s="217"/>
      <c r="GY29" s="217"/>
      <c r="GZ29" s="217"/>
      <c r="HA29" s="217"/>
      <c r="HB29" s="217"/>
      <c r="HC29" s="217"/>
    </row>
    <row r="30" spans="1:211" s="229" customFormat="1" ht="30" customHeight="1">
      <c r="A30" s="1178"/>
      <c r="B30" s="302" t="s">
        <v>248</v>
      </c>
      <c r="C30" s="2528" t="s">
        <v>247</v>
      </c>
      <c r="D30" s="2529" t="s">
        <v>106</v>
      </c>
      <c r="E30" s="2530" t="s">
        <v>170</v>
      </c>
      <c r="F30" s="2531"/>
      <c r="G30" s="307" t="s">
        <v>700</v>
      </c>
      <c r="H30" s="841"/>
      <c r="I30" s="2512" t="s">
        <v>170</v>
      </c>
      <c r="J30" s="2511"/>
      <c r="K30" s="402" t="s">
        <v>170</v>
      </c>
      <c r="L30" s="2678"/>
      <c r="M30" s="402" t="s">
        <v>170</v>
      </c>
      <c r="N30" s="2678"/>
      <c r="O30" s="402" t="s">
        <v>170</v>
      </c>
      <c r="P30" s="2471"/>
      <c r="Q30" s="402" t="s">
        <v>170</v>
      </c>
      <c r="R30" s="2471"/>
      <c r="S30" s="1178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  <c r="AV30" s="217"/>
      <c r="AW30" s="217"/>
      <c r="AX30" s="217"/>
      <c r="AY30" s="217"/>
      <c r="AZ30" s="217"/>
      <c r="BA30" s="217"/>
      <c r="BB30" s="217"/>
      <c r="BC30" s="217"/>
      <c r="BD30" s="217"/>
      <c r="BE30" s="217"/>
      <c r="BF30" s="217"/>
      <c r="BG30" s="217"/>
      <c r="BH30" s="217"/>
      <c r="BI30" s="217"/>
      <c r="BJ30" s="217"/>
      <c r="BK30" s="217"/>
      <c r="BL30" s="217"/>
      <c r="BM30" s="217"/>
      <c r="BN30" s="217"/>
      <c r="BO30" s="217"/>
      <c r="BP30" s="217"/>
      <c r="BQ30" s="217"/>
      <c r="BR30" s="217"/>
      <c r="BS30" s="217"/>
      <c r="BT30" s="217"/>
      <c r="BU30" s="217"/>
      <c r="BV30" s="217"/>
      <c r="BW30" s="217"/>
      <c r="BX30" s="217"/>
      <c r="BY30" s="217"/>
      <c r="BZ30" s="217"/>
      <c r="CA30" s="217"/>
      <c r="CB30" s="217"/>
      <c r="CC30" s="217"/>
      <c r="CD30" s="217"/>
      <c r="CE30" s="217"/>
      <c r="CF30" s="217"/>
      <c r="CG30" s="217"/>
      <c r="CH30" s="217"/>
      <c r="CI30" s="217"/>
      <c r="CJ30" s="217"/>
      <c r="CK30" s="217"/>
      <c r="CL30" s="217"/>
      <c r="CM30" s="217"/>
      <c r="CN30" s="217"/>
      <c r="CO30" s="217"/>
      <c r="CP30" s="217"/>
      <c r="CQ30" s="217"/>
      <c r="CR30" s="217"/>
      <c r="CS30" s="217"/>
      <c r="CT30" s="217"/>
      <c r="CU30" s="217"/>
      <c r="CV30" s="217"/>
      <c r="CW30" s="217"/>
      <c r="CX30" s="217"/>
      <c r="CY30" s="217"/>
      <c r="CZ30" s="217"/>
      <c r="DA30" s="217"/>
      <c r="DB30" s="217"/>
      <c r="DC30" s="217"/>
      <c r="DD30" s="217"/>
      <c r="DE30" s="217"/>
      <c r="DF30" s="217"/>
      <c r="DG30" s="217"/>
      <c r="DH30" s="217"/>
      <c r="DI30" s="217"/>
      <c r="DJ30" s="217"/>
      <c r="DK30" s="217"/>
      <c r="DL30" s="217"/>
      <c r="DM30" s="217"/>
      <c r="DN30" s="217"/>
      <c r="DO30" s="217"/>
      <c r="DP30" s="217"/>
      <c r="DQ30" s="217"/>
      <c r="DR30" s="217"/>
      <c r="DS30" s="217"/>
      <c r="DT30" s="217"/>
      <c r="DU30" s="217"/>
      <c r="DV30" s="217"/>
      <c r="DW30" s="217"/>
      <c r="DX30" s="217"/>
      <c r="DY30" s="217"/>
      <c r="DZ30" s="217"/>
      <c r="EA30" s="217"/>
      <c r="EB30" s="217"/>
      <c r="EC30" s="217"/>
      <c r="ED30" s="217"/>
      <c r="EE30" s="217"/>
      <c r="EF30" s="217"/>
      <c r="EG30" s="217"/>
      <c r="EH30" s="217"/>
      <c r="EI30" s="217"/>
      <c r="EJ30" s="217"/>
      <c r="EK30" s="217"/>
      <c r="EL30" s="217"/>
      <c r="EM30" s="217"/>
      <c r="EN30" s="217"/>
      <c r="EO30" s="217"/>
      <c r="EP30" s="217"/>
      <c r="EQ30" s="217"/>
      <c r="ER30" s="217"/>
      <c r="ES30" s="217"/>
      <c r="ET30" s="217"/>
      <c r="EU30" s="217"/>
      <c r="EV30" s="217"/>
      <c r="EW30" s="217"/>
      <c r="EX30" s="217"/>
      <c r="EY30" s="217"/>
      <c r="EZ30" s="217"/>
      <c r="FA30" s="217"/>
      <c r="FB30" s="217"/>
      <c r="FC30" s="217"/>
      <c r="FD30" s="217"/>
      <c r="FE30" s="217"/>
      <c r="FF30" s="217"/>
      <c r="FG30" s="217"/>
      <c r="FH30" s="217"/>
      <c r="FI30" s="217"/>
      <c r="FJ30" s="217"/>
      <c r="FK30" s="217"/>
      <c r="FL30" s="217"/>
      <c r="FM30" s="217"/>
      <c r="FN30" s="217"/>
      <c r="FO30" s="217"/>
      <c r="FP30" s="217"/>
      <c r="FQ30" s="217"/>
      <c r="FR30" s="217"/>
      <c r="FS30" s="217"/>
      <c r="FT30" s="217"/>
      <c r="FU30" s="217"/>
      <c r="FV30" s="217"/>
      <c r="FW30" s="217"/>
      <c r="FX30" s="217"/>
      <c r="FY30" s="217"/>
      <c r="FZ30" s="217"/>
      <c r="GA30" s="217"/>
      <c r="GB30" s="217"/>
      <c r="GC30" s="217"/>
      <c r="GD30" s="217"/>
      <c r="GE30" s="217"/>
      <c r="GF30" s="217"/>
      <c r="GG30" s="217"/>
      <c r="GH30" s="217"/>
      <c r="GI30" s="217"/>
      <c r="GJ30" s="217"/>
      <c r="GK30" s="217"/>
      <c r="GL30" s="217"/>
      <c r="GM30" s="217"/>
      <c r="GN30" s="217"/>
      <c r="GO30" s="217"/>
      <c r="GP30" s="217"/>
      <c r="GQ30" s="217"/>
      <c r="GR30" s="217"/>
      <c r="GS30" s="217"/>
      <c r="GT30" s="217"/>
      <c r="GU30" s="217"/>
      <c r="GV30" s="217"/>
      <c r="GW30" s="217"/>
      <c r="GX30" s="217"/>
      <c r="GY30" s="217"/>
      <c r="GZ30" s="217"/>
      <c r="HA30" s="217"/>
      <c r="HB30" s="217"/>
      <c r="HC30" s="217"/>
    </row>
    <row r="31" spans="1:211" s="219" customFormat="1" ht="30" customHeight="1">
      <c r="A31" s="1178"/>
      <c r="B31" s="302" t="s">
        <v>108</v>
      </c>
      <c r="C31" s="267" t="s">
        <v>132</v>
      </c>
      <c r="D31" s="307" t="s">
        <v>122</v>
      </c>
      <c r="E31" s="899">
        <v>0</v>
      </c>
      <c r="F31" s="318"/>
      <c r="G31" s="316" t="s">
        <v>701</v>
      </c>
      <c r="H31" s="319"/>
      <c r="I31" s="2513" t="s">
        <v>365</v>
      </c>
      <c r="J31" s="2514"/>
      <c r="K31" s="317">
        <v>0</v>
      </c>
      <c r="L31" s="2465"/>
      <c r="M31" s="317">
        <v>0</v>
      </c>
      <c r="N31" s="2465"/>
      <c r="O31" s="317">
        <v>0</v>
      </c>
      <c r="P31" s="2465"/>
      <c r="Q31" s="317">
        <v>0</v>
      </c>
      <c r="R31" s="2465"/>
      <c r="S31" s="1178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17"/>
      <c r="BG31" s="217"/>
      <c r="BH31" s="217"/>
      <c r="BI31" s="217"/>
      <c r="BJ31" s="217"/>
      <c r="BK31" s="217"/>
      <c r="BL31" s="217"/>
      <c r="BM31" s="217"/>
      <c r="BN31" s="217"/>
      <c r="BO31" s="217"/>
      <c r="BP31" s="217"/>
      <c r="BQ31" s="217"/>
      <c r="BR31" s="217"/>
      <c r="BS31" s="217"/>
      <c r="BT31" s="217"/>
      <c r="BU31" s="217"/>
      <c r="BV31" s="217"/>
      <c r="BW31" s="217"/>
      <c r="BX31" s="217"/>
      <c r="BY31" s="217"/>
      <c r="BZ31" s="217"/>
      <c r="CA31" s="217"/>
      <c r="CB31" s="217"/>
      <c r="CC31" s="217"/>
      <c r="CD31" s="217"/>
      <c r="CE31" s="217"/>
      <c r="CF31" s="217"/>
      <c r="CG31" s="217"/>
      <c r="CH31" s="217"/>
      <c r="CI31" s="217"/>
      <c r="CJ31" s="217"/>
      <c r="CK31" s="217"/>
      <c r="CL31" s="217"/>
      <c r="CM31" s="217"/>
      <c r="CN31" s="217"/>
      <c r="CO31" s="217"/>
      <c r="CP31" s="217"/>
      <c r="CQ31" s="217"/>
      <c r="CR31" s="217"/>
      <c r="CS31" s="217"/>
      <c r="CT31" s="217"/>
      <c r="CU31" s="217"/>
      <c r="CV31" s="217"/>
      <c r="CW31" s="217"/>
      <c r="CX31" s="217"/>
      <c r="CY31" s="217"/>
      <c r="CZ31" s="217"/>
      <c r="DA31" s="217"/>
      <c r="DB31" s="217"/>
      <c r="DC31" s="217"/>
      <c r="DD31" s="217"/>
      <c r="DE31" s="217"/>
      <c r="DF31" s="217"/>
      <c r="DG31" s="217"/>
      <c r="DH31" s="217"/>
      <c r="DI31" s="217"/>
      <c r="DJ31" s="217"/>
      <c r="DK31" s="217"/>
      <c r="DL31" s="217"/>
      <c r="DM31" s="217"/>
      <c r="DN31" s="217"/>
      <c r="DO31" s="217"/>
      <c r="DP31" s="217"/>
      <c r="DQ31" s="217"/>
      <c r="DR31" s="217"/>
      <c r="DS31" s="217"/>
      <c r="DT31" s="217"/>
      <c r="DU31" s="217"/>
      <c r="DV31" s="217"/>
      <c r="DW31" s="217"/>
      <c r="DX31" s="217"/>
      <c r="DY31" s="217"/>
      <c r="DZ31" s="217"/>
      <c r="EA31" s="217"/>
      <c r="EB31" s="217"/>
      <c r="EC31" s="217"/>
      <c r="ED31" s="217"/>
      <c r="EE31" s="217"/>
      <c r="EF31" s="217"/>
      <c r="EG31" s="217"/>
      <c r="EH31" s="217"/>
      <c r="EI31" s="217"/>
      <c r="EJ31" s="217"/>
      <c r="EK31" s="217"/>
      <c r="EL31" s="217"/>
      <c r="EM31" s="217"/>
      <c r="EN31" s="217"/>
      <c r="EO31" s="217"/>
      <c r="EP31" s="217"/>
      <c r="EQ31" s="217"/>
      <c r="ER31" s="217"/>
      <c r="ES31" s="217"/>
      <c r="ET31" s="217"/>
      <c r="EU31" s="217"/>
      <c r="EV31" s="217"/>
      <c r="EW31" s="217"/>
      <c r="EX31" s="217"/>
      <c r="EY31" s="217"/>
      <c r="EZ31" s="217"/>
      <c r="FA31" s="217"/>
      <c r="FB31" s="217"/>
      <c r="FC31" s="217"/>
      <c r="FD31" s="217"/>
      <c r="FE31" s="217"/>
      <c r="FF31" s="217"/>
      <c r="FG31" s="217"/>
      <c r="FH31" s="217"/>
      <c r="FI31" s="217"/>
      <c r="FJ31" s="217"/>
      <c r="FK31" s="217"/>
      <c r="FL31" s="217"/>
      <c r="FM31" s="217"/>
      <c r="FN31" s="217"/>
      <c r="FO31" s="217"/>
      <c r="FP31" s="217"/>
      <c r="FQ31" s="217"/>
      <c r="FR31" s="217"/>
      <c r="FS31" s="217"/>
      <c r="FT31" s="217"/>
      <c r="FU31" s="217"/>
      <c r="FV31" s="217"/>
      <c r="FW31" s="217"/>
      <c r="FX31" s="217"/>
      <c r="FY31" s="217"/>
      <c r="FZ31" s="217"/>
      <c r="GA31" s="217"/>
      <c r="GB31" s="217"/>
      <c r="GC31" s="217"/>
      <c r="GD31" s="217"/>
      <c r="GE31" s="217"/>
      <c r="GF31" s="217"/>
      <c r="GG31" s="217"/>
      <c r="GH31" s="217"/>
      <c r="GI31" s="217"/>
      <c r="GJ31" s="217"/>
      <c r="GK31" s="217"/>
      <c r="GL31" s="217"/>
      <c r="GM31" s="217"/>
      <c r="GN31" s="217"/>
      <c r="GO31" s="217"/>
      <c r="GP31" s="217"/>
      <c r="GQ31" s="217"/>
      <c r="GR31" s="217"/>
      <c r="GS31" s="217"/>
      <c r="GT31" s="217"/>
      <c r="GU31" s="217"/>
      <c r="GV31" s="217"/>
      <c r="GW31" s="217"/>
      <c r="GX31" s="217"/>
      <c r="GY31" s="217"/>
      <c r="GZ31" s="217"/>
      <c r="HA31" s="217"/>
      <c r="HB31" s="217"/>
      <c r="HC31" s="217"/>
    </row>
    <row r="32" spans="1:211" s="229" customFormat="1" ht="30" customHeight="1">
      <c r="A32" s="1178"/>
      <c r="B32" s="302" t="s">
        <v>109</v>
      </c>
      <c r="C32" s="267" t="s">
        <v>253</v>
      </c>
      <c r="D32" s="305">
        <v>1</v>
      </c>
      <c r="E32" s="2612">
        <f>9/22</f>
        <v>0.40909090909090912</v>
      </c>
      <c r="F32" s="309" t="s">
        <v>850</v>
      </c>
      <c r="G32" s="307" t="s">
        <v>701</v>
      </c>
      <c r="H32" s="266"/>
      <c r="I32" s="2611" t="s">
        <v>365</v>
      </c>
      <c r="J32" s="2511"/>
      <c r="K32" s="317">
        <f>15/20</f>
        <v>0.75</v>
      </c>
      <c r="L32" s="2464" t="s">
        <v>834</v>
      </c>
      <c r="M32" s="317">
        <f>1/1</f>
        <v>1</v>
      </c>
      <c r="N32" s="2464" t="s">
        <v>833</v>
      </c>
      <c r="O32" s="2677">
        <f>10/22</f>
        <v>0.45454545454545453</v>
      </c>
      <c r="P32" s="2464" t="s">
        <v>832</v>
      </c>
      <c r="Q32" s="2677">
        <v>0.40909090909090912</v>
      </c>
      <c r="R32" s="2464" t="s">
        <v>850</v>
      </c>
      <c r="S32" s="1178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7"/>
      <c r="AX32" s="217"/>
      <c r="AY32" s="217"/>
      <c r="AZ32" s="217"/>
      <c r="BA32" s="217"/>
      <c r="BB32" s="217"/>
      <c r="BC32" s="217"/>
      <c r="BD32" s="217"/>
      <c r="BE32" s="217"/>
      <c r="BF32" s="217"/>
      <c r="BG32" s="217"/>
      <c r="BH32" s="217"/>
      <c r="BI32" s="217"/>
      <c r="BJ32" s="217"/>
      <c r="BK32" s="217"/>
      <c r="BL32" s="217"/>
      <c r="BM32" s="217"/>
      <c r="BN32" s="217"/>
      <c r="BO32" s="217"/>
      <c r="BP32" s="217"/>
      <c r="BQ32" s="217"/>
      <c r="BR32" s="217"/>
      <c r="BS32" s="217"/>
      <c r="BT32" s="217"/>
      <c r="BU32" s="217"/>
      <c r="BV32" s="217"/>
      <c r="BW32" s="217"/>
      <c r="BX32" s="217"/>
      <c r="BY32" s="217"/>
      <c r="BZ32" s="217"/>
      <c r="CA32" s="217"/>
      <c r="CB32" s="217"/>
      <c r="CC32" s="217"/>
      <c r="CD32" s="217"/>
      <c r="CE32" s="217"/>
      <c r="CF32" s="217"/>
      <c r="CG32" s="217"/>
      <c r="CH32" s="217"/>
      <c r="CI32" s="217"/>
      <c r="CJ32" s="217"/>
      <c r="CK32" s="217"/>
      <c r="CL32" s="217"/>
      <c r="CM32" s="217"/>
      <c r="CN32" s="217"/>
      <c r="CO32" s="217"/>
      <c r="CP32" s="217"/>
      <c r="CQ32" s="217"/>
      <c r="CR32" s="217"/>
      <c r="CS32" s="217"/>
      <c r="CT32" s="217"/>
      <c r="CU32" s="217"/>
      <c r="CV32" s="217"/>
      <c r="CW32" s="217"/>
      <c r="CX32" s="217"/>
      <c r="CY32" s="217"/>
      <c r="CZ32" s="217"/>
      <c r="DA32" s="217"/>
      <c r="DB32" s="217"/>
      <c r="DC32" s="217"/>
      <c r="DD32" s="217"/>
      <c r="DE32" s="217"/>
      <c r="DF32" s="217"/>
      <c r="DG32" s="217"/>
      <c r="DH32" s="217"/>
      <c r="DI32" s="217"/>
      <c r="DJ32" s="217"/>
      <c r="DK32" s="217"/>
      <c r="DL32" s="217"/>
      <c r="DM32" s="217"/>
      <c r="DN32" s="217"/>
      <c r="DO32" s="217"/>
      <c r="DP32" s="217"/>
      <c r="DQ32" s="217"/>
      <c r="DR32" s="217"/>
      <c r="DS32" s="217"/>
      <c r="DT32" s="217"/>
      <c r="DU32" s="217"/>
      <c r="DV32" s="217"/>
      <c r="DW32" s="217"/>
      <c r="DX32" s="217"/>
      <c r="DY32" s="217"/>
      <c r="DZ32" s="217"/>
      <c r="EA32" s="217"/>
      <c r="EB32" s="217"/>
      <c r="EC32" s="217"/>
      <c r="ED32" s="217"/>
      <c r="EE32" s="217"/>
      <c r="EF32" s="217"/>
      <c r="EG32" s="217"/>
      <c r="EH32" s="217"/>
      <c r="EI32" s="217"/>
      <c r="EJ32" s="217"/>
      <c r="EK32" s="217"/>
      <c r="EL32" s="217"/>
      <c r="EM32" s="217"/>
      <c r="EN32" s="217"/>
      <c r="EO32" s="217"/>
      <c r="EP32" s="217"/>
      <c r="EQ32" s="217"/>
      <c r="ER32" s="217"/>
      <c r="ES32" s="217"/>
      <c r="ET32" s="217"/>
      <c r="EU32" s="217"/>
      <c r="EV32" s="217"/>
      <c r="EW32" s="217"/>
      <c r="EX32" s="217"/>
      <c r="EY32" s="217"/>
      <c r="EZ32" s="217"/>
      <c r="FA32" s="217"/>
      <c r="FB32" s="217"/>
      <c r="FC32" s="217"/>
      <c r="FD32" s="217"/>
      <c r="FE32" s="217"/>
      <c r="FF32" s="217"/>
      <c r="FG32" s="217"/>
      <c r="FH32" s="217"/>
      <c r="FI32" s="217"/>
      <c r="FJ32" s="217"/>
      <c r="FK32" s="217"/>
      <c r="FL32" s="217"/>
      <c r="FM32" s="217"/>
      <c r="FN32" s="217"/>
      <c r="FO32" s="217"/>
      <c r="FP32" s="217"/>
      <c r="FQ32" s="217"/>
      <c r="FR32" s="217"/>
      <c r="FS32" s="217"/>
      <c r="FT32" s="217"/>
      <c r="FU32" s="217"/>
      <c r="FV32" s="217"/>
      <c r="FW32" s="217"/>
      <c r="FX32" s="217"/>
      <c r="FY32" s="217"/>
      <c r="FZ32" s="217"/>
      <c r="GA32" s="217"/>
      <c r="GB32" s="217"/>
      <c r="GC32" s="217"/>
      <c r="GD32" s="217"/>
      <c r="GE32" s="217"/>
      <c r="GF32" s="217"/>
      <c r="GG32" s="217"/>
      <c r="GH32" s="217"/>
      <c r="GI32" s="217"/>
      <c r="GJ32" s="217"/>
      <c r="GK32" s="217"/>
      <c r="GL32" s="217"/>
      <c r="GM32" s="217"/>
      <c r="GN32" s="217"/>
      <c r="GO32" s="217"/>
      <c r="GP32" s="217"/>
      <c r="GQ32" s="217"/>
      <c r="GR32" s="217"/>
      <c r="GS32" s="217"/>
      <c r="GT32" s="217"/>
      <c r="GU32" s="217"/>
      <c r="GV32" s="217"/>
      <c r="GW32" s="217"/>
      <c r="GX32" s="217"/>
      <c r="GY32" s="217"/>
      <c r="GZ32" s="217"/>
      <c r="HA32" s="217"/>
      <c r="HB32" s="217"/>
      <c r="HC32" s="217"/>
    </row>
    <row r="33" spans="1:211" s="229" customFormat="1" ht="30" customHeight="1">
      <c r="A33" s="1178"/>
      <c r="B33" s="319" t="s">
        <v>110</v>
      </c>
      <c r="C33" s="320" t="s">
        <v>111</v>
      </c>
      <c r="D33" s="260">
        <v>1</v>
      </c>
      <c r="E33" s="317">
        <f>1/1</f>
        <v>1</v>
      </c>
      <c r="F33" s="321"/>
      <c r="G33" s="265" t="s">
        <v>702</v>
      </c>
      <c r="H33" s="319" t="s">
        <v>451</v>
      </c>
      <c r="I33" s="2513" t="s">
        <v>365</v>
      </c>
      <c r="J33" s="2511"/>
      <c r="K33" s="317">
        <v>1</v>
      </c>
      <c r="L33" s="2466"/>
      <c r="M33" s="317">
        <v>1</v>
      </c>
      <c r="N33" s="2466"/>
      <c r="O33" s="317">
        <f>1/1</f>
        <v>1</v>
      </c>
      <c r="P33" s="2466"/>
      <c r="Q33" s="317">
        <v>1</v>
      </c>
      <c r="R33" s="2466"/>
      <c r="S33" s="1178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7"/>
      <c r="BB33" s="217"/>
      <c r="BC33" s="217"/>
      <c r="BD33" s="217"/>
      <c r="BE33" s="217"/>
      <c r="BF33" s="217"/>
      <c r="BG33" s="217"/>
      <c r="BH33" s="217"/>
      <c r="BI33" s="217"/>
      <c r="BJ33" s="217"/>
      <c r="BK33" s="217"/>
      <c r="BL33" s="217"/>
      <c r="BM33" s="217"/>
      <c r="BN33" s="217"/>
      <c r="BO33" s="217"/>
      <c r="BP33" s="217"/>
      <c r="BQ33" s="217"/>
      <c r="BR33" s="217"/>
      <c r="BS33" s="217"/>
      <c r="BT33" s="217"/>
      <c r="BU33" s="217"/>
      <c r="BV33" s="217"/>
      <c r="BW33" s="217"/>
      <c r="BX33" s="217"/>
      <c r="BY33" s="217"/>
      <c r="BZ33" s="217"/>
      <c r="CA33" s="217"/>
      <c r="CB33" s="217"/>
      <c r="CC33" s="217"/>
      <c r="CD33" s="217"/>
      <c r="CE33" s="217"/>
      <c r="CF33" s="217"/>
      <c r="CG33" s="217"/>
      <c r="CH33" s="217"/>
      <c r="CI33" s="217"/>
      <c r="CJ33" s="217"/>
      <c r="CK33" s="217"/>
      <c r="CL33" s="217"/>
      <c r="CM33" s="217"/>
      <c r="CN33" s="217"/>
      <c r="CO33" s="217"/>
      <c r="CP33" s="217"/>
      <c r="CQ33" s="217"/>
      <c r="CR33" s="217"/>
      <c r="CS33" s="217"/>
      <c r="CT33" s="217"/>
      <c r="CU33" s="217"/>
      <c r="CV33" s="217"/>
      <c r="CW33" s="217"/>
      <c r="CX33" s="217"/>
      <c r="CY33" s="217"/>
      <c r="CZ33" s="217"/>
      <c r="DA33" s="217"/>
      <c r="DB33" s="217"/>
      <c r="DC33" s="217"/>
      <c r="DD33" s="217"/>
      <c r="DE33" s="217"/>
      <c r="DF33" s="217"/>
      <c r="DG33" s="217"/>
      <c r="DH33" s="217"/>
      <c r="DI33" s="217"/>
      <c r="DJ33" s="217"/>
      <c r="DK33" s="217"/>
      <c r="DL33" s="217"/>
      <c r="DM33" s="217"/>
      <c r="DN33" s="217"/>
      <c r="DO33" s="217"/>
      <c r="DP33" s="217"/>
      <c r="DQ33" s="217"/>
      <c r="DR33" s="217"/>
      <c r="DS33" s="217"/>
      <c r="DT33" s="217"/>
      <c r="DU33" s="217"/>
      <c r="DV33" s="217"/>
      <c r="DW33" s="217"/>
      <c r="DX33" s="217"/>
      <c r="DY33" s="217"/>
      <c r="DZ33" s="217"/>
      <c r="EA33" s="217"/>
      <c r="EB33" s="217"/>
      <c r="EC33" s="217"/>
      <c r="ED33" s="217"/>
      <c r="EE33" s="217"/>
      <c r="EF33" s="217"/>
      <c r="EG33" s="217"/>
      <c r="EH33" s="217"/>
      <c r="EI33" s="217"/>
      <c r="EJ33" s="217"/>
      <c r="EK33" s="217"/>
      <c r="EL33" s="217"/>
      <c r="EM33" s="217"/>
      <c r="EN33" s="217"/>
      <c r="EO33" s="217"/>
      <c r="EP33" s="217"/>
      <c r="EQ33" s="217"/>
      <c r="ER33" s="217"/>
      <c r="ES33" s="217"/>
      <c r="ET33" s="217"/>
      <c r="EU33" s="217"/>
      <c r="EV33" s="217"/>
      <c r="EW33" s="217"/>
      <c r="EX33" s="217"/>
      <c r="EY33" s="217"/>
      <c r="EZ33" s="217"/>
      <c r="FA33" s="217"/>
      <c r="FB33" s="217"/>
      <c r="FC33" s="217"/>
      <c r="FD33" s="217"/>
      <c r="FE33" s="217"/>
      <c r="FF33" s="217"/>
      <c r="FG33" s="217"/>
      <c r="FH33" s="217"/>
      <c r="FI33" s="217"/>
      <c r="FJ33" s="217"/>
      <c r="FK33" s="217"/>
      <c r="FL33" s="217"/>
      <c r="FM33" s="217"/>
      <c r="FN33" s="217"/>
      <c r="FO33" s="217"/>
      <c r="FP33" s="217"/>
      <c r="FQ33" s="217"/>
      <c r="FR33" s="217"/>
      <c r="FS33" s="217"/>
      <c r="FT33" s="217"/>
      <c r="FU33" s="217"/>
      <c r="FV33" s="217"/>
      <c r="FW33" s="217"/>
      <c r="FX33" s="217"/>
      <c r="FY33" s="217"/>
      <c r="FZ33" s="217"/>
      <c r="GA33" s="217"/>
      <c r="GB33" s="217"/>
      <c r="GC33" s="217"/>
      <c r="GD33" s="217"/>
      <c r="GE33" s="217"/>
      <c r="GF33" s="217"/>
      <c r="GG33" s="217"/>
      <c r="GH33" s="217"/>
      <c r="GI33" s="217"/>
      <c r="GJ33" s="217"/>
      <c r="GK33" s="217"/>
      <c r="GL33" s="217"/>
      <c r="GM33" s="217"/>
      <c r="GN33" s="217"/>
      <c r="GO33" s="217"/>
      <c r="GP33" s="217"/>
      <c r="GQ33" s="217"/>
      <c r="GR33" s="217"/>
      <c r="GS33" s="217"/>
      <c r="GT33" s="217"/>
      <c r="GU33" s="217"/>
      <c r="GV33" s="217"/>
      <c r="GW33" s="217"/>
      <c r="GX33" s="217"/>
      <c r="GY33" s="217"/>
      <c r="GZ33" s="217"/>
      <c r="HA33" s="217"/>
      <c r="HB33" s="217"/>
      <c r="HC33" s="217"/>
    </row>
    <row r="34" spans="1:211" s="229" customFormat="1" ht="30" customHeight="1">
      <c r="A34" s="1178"/>
      <c r="B34" s="2519" t="s">
        <v>112</v>
      </c>
      <c r="C34" s="2520" t="s">
        <v>450</v>
      </c>
      <c r="D34" s="2521">
        <v>1</v>
      </c>
      <c r="E34" s="2521" t="s">
        <v>365</v>
      </c>
      <c r="F34" s="2522"/>
      <c r="G34" s="2523" t="s">
        <v>703</v>
      </c>
      <c r="H34" s="2524" t="s">
        <v>366</v>
      </c>
      <c r="I34" s="2525" t="s">
        <v>365</v>
      </c>
      <c r="J34" s="2526"/>
      <c r="K34" s="2521" t="s">
        <v>365</v>
      </c>
      <c r="L34" s="2679"/>
      <c r="M34" s="2521" t="s">
        <v>365</v>
      </c>
      <c r="N34" s="2679"/>
      <c r="O34" s="2521" t="s">
        <v>365</v>
      </c>
      <c r="P34" s="2527"/>
      <c r="Q34" s="2521" t="s">
        <v>365</v>
      </c>
      <c r="R34" s="2527"/>
      <c r="S34" s="1178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7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  <c r="BH34" s="217"/>
      <c r="BI34" s="217"/>
      <c r="BJ34" s="217"/>
      <c r="BK34" s="217"/>
      <c r="BL34" s="217"/>
      <c r="BM34" s="217"/>
      <c r="BN34" s="217"/>
      <c r="BO34" s="217"/>
      <c r="BP34" s="217"/>
      <c r="BQ34" s="217"/>
      <c r="BR34" s="217"/>
      <c r="BS34" s="217"/>
      <c r="BT34" s="217"/>
      <c r="BU34" s="217"/>
      <c r="BV34" s="217"/>
      <c r="BW34" s="217"/>
      <c r="BX34" s="217"/>
      <c r="BY34" s="217"/>
      <c r="BZ34" s="217"/>
      <c r="CA34" s="217"/>
      <c r="CB34" s="217"/>
      <c r="CC34" s="217"/>
      <c r="CD34" s="217"/>
      <c r="CE34" s="217"/>
      <c r="CF34" s="217"/>
      <c r="CG34" s="217"/>
      <c r="CH34" s="217"/>
      <c r="CI34" s="217"/>
      <c r="CJ34" s="217"/>
      <c r="CK34" s="217"/>
      <c r="CL34" s="217"/>
      <c r="CM34" s="217"/>
      <c r="CN34" s="217"/>
      <c r="CO34" s="217"/>
      <c r="CP34" s="217"/>
      <c r="CQ34" s="217"/>
      <c r="CR34" s="217"/>
      <c r="CS34" s="217"/>
      <c r="CT34" s="217"/>
      <c r="CU34" s="217"/>
      <c r="CV34" s="217"/>
      <c r="CW34" s="217"/>
      <c r="CX34" s="217"/>
      <c r="CY34" s="217"/>
      <c r="CZ34" s="217"/>
      <c r="DA34" s="217"/>
      <c r="DB34" s="217"/>
      <c r="DC34" s="217"/>
      <c r="DD34" s="217"/>
      <c r="DE34" s="217"/>
      <c r="DF34" s="217"/>
      <c r="DG34" s="217"/>
      <c r="DH34" s="217"/>
      <c r="DI34" s="217"/>
      <c r="DJ34" s="217"/>
      <c r="DK34" s="217"/>
      <c r="DL34" s="217"/>
      <c r="DM34" s="217"/>
      <c r="DN34" s="217"/>
      <c r="DO34" s="217"/>
      <c r="DP34" s="217"/>
      <c r="DQ34" s="217"/>
      <c r="DR34" s="217"/>
      <c r="DS34" s="217"/>
      <c r="DT34" s="217"/>
      <c r="DU34" s="217"/>
      <c r="DV34" s="217"/>
      <c r="DW34" s="217"/>
      <c r="DX34" s="217"/>
      <c r="DY34" s="217"/>
      <c r="DZ34" s="217"/>
      <c r="EA34" s="217"/>
      <c r="EB34" s="217"/>
      <c r="EC34" s="217"/>
      <c r="ED34" s="217"/>
      <c r="EE34" s="217"/>
      <c r="EF34" s="217"/>
      <c r="EG34" s="217"/>
      <c r="EH34" s="217"/>
      <c r="EI34" s="217"/>
      <c r="EJ34" s="217"/>
      <c r="EK34" s="217"/>
      <c r="EL34" s="217"/>
      <c r="EM34" s="217"/>
      <c r="EN34" s="217"/>
      <c r="EO34" s="217"/>
      <c r="EP34" s="217"/>
      <c r="EQ34" s="217"/>
      <c r="ER34" s="217"/>
      <c r="ES34" s="217"/>
      <c r="ET34" s="217"/>
      <c r="EU34" s="217"/>
      <c r="EV34" s="217"/>
      <c r="EW34" s="217"/>
      <c r="EX34" s="217"/>
      <c r="EY34" s="217"/>
      <c r="EZ34" s="217"/>
      <c r="FA34" s="217"/>
      <c r="FB34" s="217"/>
      <c r="FC34" s="217"/>
      <c r="FD34" s="217"/>
      <c r="FE34" s="217"/>
      <c r="FF34" s="217"/>
      <c r="FG34" s="217"/>
      <c r="FH34" s="217"/>
      <c r="FI34" s="217"/>
      <c r="FJ34" s="217"/>
      <c r="FK34" s="217"/>
      <c r="FL34" s="217"/>
      <c r="FM34" s="217"/>
      <c r="FN34" s="217"/>
      <c r="FO34" s="217"/>
      <c r="FP34" s="217"/>
      <c r="FQ34" s="217"/>
      <c r="FR34" s="217"/>
      <c r="FS34" s="217"/>
      <c r="FT34" s="217"/>
      <c r="FU34" s="217"/>
      <c r="FV34" s="217"/>
      <c r="FW34" s="217"/>
      <c r="FX34" s="217"/>
      <c r="FY34" s="217"/>
      <c r="FZ34" s="217"/>
      <c r="GA34" s="217"/>
      <c r="GB34" s="217"/>
      <c r="GC34" s="217"/>
      <c r="GD34" s="217"/>
      <c r="GE34" s="217"/>
      <c r="GF34" s="217"/>
      <c r="GG34" s="217"/>
      <c r="GH34" s="217"/>
      <c r="GI34" s="217"/>
      <c r="GJ34" s="217"/>
      <c r="GK34" s="217"/>
      <c r="GL34" s="217"/>
      <c r="GM34" s="217"/>
      <c r="GN34" s="217"/>
      <c r="GO34" s="217"/>
      <c r="GP34" s="217"/>
      <c r="GQ34" s="217"/>
      <c r="GR34" s="217"/>
      <c r="GS34" s="217"/>
      <c r="GT34" s="217"/>
      <c r="GU34" s="217"/>
      <c r="GV34" s="217"/>
      <c r="GW34" s="217"/>
      <c r="GX34" s="217"/>
      <c r="GY34" s="217"/>
      <c r="GZ34" s="217"/>
      <c r="HA34" s="217"/>
      <c r="HB34" s="217"/>
      <c r="HC34" s="217"/>
    </row>
    <row r="35" spans="1:211" s="229" customFormat="1" ht="15" customHeight="1">
      <c r="A35" s="1178"/>
      <c r="B35" s="325"/>
      <c r="C35" s="270" t="s">
        <v>228</v>
      </c>
      <c r="D35" s="261"/>
      <c r="E35" s="2478"/>
      <c r="F35" s="261"/>
      <c r="G35" s="355"/>
      <c r="H35" s="355"/>
      <c r="I35" s="327"/>
      <c r="J35" s="327"/>
      <c r="K35" s="327"/>
      <c r="L35" s="328"/>
      <c r="M35" s="2473"/>
      <c r="N35" s="2473"/>
      <c r="O35" s="2473"/>
      <c r="P35" s="2473"/>
      <c r="Q35" s="2473"/>
      <c r="R35" s="2467"/>
      <c r="S35" s="1197"/>
      <c r="T35" s="220"/>
      <c r="U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  <c r="AV35" s="217"/>
      <c r="AW35" s="217"/>
      <c r="AX35" s="217"/>
      <c r="AY35" s="217"/>
      <c r="AZ35" s="217"/>
      <c r="BA35" s="217"/>
      <c r="BB35" s="217"/>
      <c r="BC35" s="217"/>
      <c r="BD35" s="217"/>
      <c r="BE35" s="217"/>
      <c r="BF35" s="217"/>
      <c r="BG35" s="217"/>
      <c r="BH35" s="217"/>
      <c r="BI35" s="217"/>
      <c r="BJ35" s="217"/>
      <c r="BK35" s="217"/>
      <c r="BL35" s="217"/>
      <c r="BM35" s="217"/>
      <c r="BN35" s="217"/>
      <c r="BO35" s="217"/>
      <c r="BP35" s="217"/>
      <c r="BQ35" s="217"/>
      <c r="BR35" s="217"/>
      <c r="BS35" s="217"/>
      <c r="BT35" s="217"/>
      <c r="BU35" s="217"/>
      <c r="BV35" s="217"/>
      <c r="BW35" s="217"/>
      <c r="BX35" s="217"/>
      <c r="BY35" s="217"/>
      <c r="BZ35" s="217"/>
      <c r="CA35" s="217"/>
      <c r="CB35" s="217"/>
      <c r="CC35" s="217"/>
      <c r="CD35" s="217"/>
      <c r="CE35" s="217"/>
      <c r="CF35" s="217"/>
      <c r="CG35" s="217"/>
      <c r="CH35" s="217"/>
      <c r="CI35" s="217"/>
      <c r="CJ35" s="217"/>
      <c r="CK35" s="217"/>
      <c r="CL35" s="217"/>
      <c r="CM35" s="217"/>
      <c r="CN35" s="217"/>
      <c r="CO35" s="217"/>
      <c r="CP35" s="217"/>
      <c r="CQ35" s="217"/>
      <c r="CR35" s="217"/>
      <c r="CS35" s="217"/>
      <c r="CT35" s="217"/>
      <c r="CU35" s="217"/>
      <c r="CV35" s="217"/>
      <c r="CW35" s="217"/>
      <c r="CX35" s="217"/>
      <c r="CY35" s="217"/>
      <c r="CZ35" s="217"/>
      <c r="DA35" s="217"/>
      <c r="DB35" s="217"/>
      <c r="DC35" s="217"/>
      <c r="DD35" s="217"/>
      <c r="DE35" s="217"/>
      <c r="DF35" s="217"/>
      <c r="DG35" s="217"/>
      <c r="DH35" s="217"/>
      <c r="DI35" s="217"/>
      <c r="DJ35" s="217"/>
      <c r="DK35" s="217"/>
      <c r="DL35" s="217"/>
      <c r="DM35" s="217"/>
      <c r="DN35" s="217"/>
      <c r="DO35" s="217"/>
      <c r="DP35" s="217"/>
      <c r="DQ35" s="217"/>
      <c r="DR35" s="217"/>
      <c r="DS35" s="217"/>
      <c r="DT35" s="217"/>
      <c r="DU35" s="217"/>
      <c r="DV35" s="217"/>
      <c r="DW35" s="217"/>
      <c r="DX35" s="217"/>
      <c r="DY35" s="217"/>
      <c r="DZ35" s="217"/>
      <c r="EA35" s="217"/>
      <c r="EB35" s="217"/>
      <c r="EC35" s="217"/>
      <c r="ED35" s="217"/>
      <c r="EE35" s="217"/>
      <c r="EF35" s="217"/>
      <c r="EG35" s="217"/>
      <c r="EH35" s="217"/>
      <c r="EI35" s="217"/>
      <c r="EJ35" s="217"/>
      <c r="EK35" s="217"/>
      <c r="EL35" s="217"/>
      <c r="EM35" s="217"/>
      <c r="EN35" s="217"/>
      <c r="EO35" s="217"/>
      <c r="EP35" s="217"/>
      <c r="EQ35" s="217"/>
      <c r="ER35" s="217"/>
      <c r="ES35" s="217"/>
      <c r="ET35" s="217"/>
      <c r="EU35" s="217"/>
      <c r="EV35" s="217"/>
      <c r="EW35" s="217"/>
      <c r="EX35" s="217"/>
      <c r="EY35" s="217"/>
      <c r="EZ35" s="217"/>
      <c r="FA35" s="217"/>
      <c r="FB35" s="217"/>
      <c r="FC35" s="217"/>
      <c r="FD35" s="217"/>
      <c r="FE35" s="217"/>
      <c r="FF35" s="217"/>
      <c r="FG35" s="217"/>
      <c r="FH35" s="217"/>
      <c r="FI35" s="217"/>
      <c r="FJ35" s="217"/>
      <c r="FK35" s="217"/>
      <c r="FL35" s="217"/>
      <c r="FM35" s="217"/>
      <c r="FN35" s="217"/>
      <c r="FO35" s="217"/>
      <c r="FP35" s="217"/>
      <c r="FQ35" s="217"/>
      <c r="FR35" s="217"/>
      <c r="FS35" s="217"/>
      <c r="FT35" s="217"/>
      <c r="FU35" s="217"/>
      <c r="FV35" s="217"/>
      <c r="FW35" s="217"/>
      <c r="FX35" s="217"/>
      <c r="FY35" s="217"/>
      <c r="FZ35" s="217"/>
      <c r="GA35" s="217"/>
      <c r="GB35" s="217"/>
      <c r="GC35" s="217"/>
      <c r="GD35" s="217"/>
      <c r="GE35" s="217"/>
      <c r="GF35" s="217"/>
      <c r="GG35" s="217"/>
      <c r="GH35" s="217"/>
      <c r="GI35" s="217"/>
      <c r="GJ35" s="217"/>
      <c r="GK35" s="217"/>
      <c r="GL35" s="217"/>
      <c r="GM35" s="217"/>
      <c r="GN35" s="217"/>
      <c r="GO35" s="217"/>
      <c r="GP35" s="217"/>
      <c r="GQ35" s="217"/>
      <c r="GR35" s="217"/>
      <c r="GS35" s="217"/>
      <c r="GT35" s="217"/>
      <c r="GU35" s="217"/>
      <c r="GV35" s="217"/>
      <c r="GW35" s="217"/>
      <c r="GX35" s="217"/>
      <c r="GY35" s="217"/>
      <c r="GZ35" s="217"/>
      <c r="HA35" s="217"/>
      <c r="HB35" s="217"/>
      <c r="HC35" s="217"/>
    </row>
    <row r="36" spans="1:211" s="229" customFormat="1" ht="15" customHeight="1">
      <c r="A36" s="1178"/>
      <c r="B36" s="329"/>
      <c r="C36" s="270" t="s">
        <v>226</v>
      </c>
      <c r="D36" s="261"/>
      <c r="E36" s="2478"/>
      <c r="F36" s="261"/>
      <c r="G36" s="355"/>
      <c r="H36" s="355"/>
      <c r="I36" s="327"/>
      <c r="J36" s="327"/>
      <c r="K36" s="327"/>
      <c r="L36" s="328"/>
      <c r="M36" s="2473"/>
      <c r="N36" s="2473"/>
      <c r="O36" s="2473"/>
      <c r="P36" s="2473"/>
      <c r="Q36" s="2473"/>
      <c r="R36" s="2467"/>
      <c r="S36" s="1197"/>
      <c r="T36" s="220"/>
      <c r="U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  <c r="AQ36" s="217"/>
      <c r="AR36" s="217"/>
      <c r="AS36" s="217"/>
      <c r="AT36" s="217"/>
      <c r="AU36" s="217"/>
      <c r="AV36" s="217"/>
      <c r="AW36" s="217"/>
      <c r="AX36" s="217"/>
      <c r="AY36" s="217"/>
      <c r="AZ36" s="217"/>
      <c r="BA36" s="217"/>
      <c r="BB36" s="217"/>
      <c r="BC36" s="217"/>
      <c r="BD36" s="217"/>
      <c r="BE36" s="217"/>
      <c r="BF36" s="217"/>
      <c r="BG36" s="217"/>
      <c r="BH36" s="217"/>
      <c r="BI36" s="217"/>
      <c r="BJ36" s="217"/>
      <c r="BK36" s="217"/>
      <c r="BL36" s="217"/>
      <c r="BM36" s="217"/>
      <c r="BN36" s="217"/>
      <c r="BO36" s="217"/>
      <c r="BP36" s="217"/>
      <c r="BQ36" s="217"/>
      <c r="BR36" s="217"/>
      <c r="BS36" s="217"/>
      <c r="BT36" s="217"/>
      <c r="BU36" s="217"/>
      <c r="BV36" s="217"/>
      <c r="BW36" s="217"/>
      <c r="BX36" s="217"/>
      <c r="BY36" s="217"/>
      <c r="BZ36" s="217"/>
      <c r="CA36" s="217"/>
      <c r="CB36" s="217"/>
      <c r="CC36" s="217"/>
      <c r="CD36" s="217"/>
      <c r="CE36" s="217"/>
      <c r="CF36" s="217"/>
      <c r="CG36" s="217"/>
      <c r="CH36" s="217"/>
      <c r="CI36" s="217"/>
      <c r="CJ36" s="217"/>
      <c r="CK36" s="217"/>
      <c r="CL36" s="217"/>
      <c r="CM36" s="217"/>
      <c r="CN36" s="217"/>
      <c r="CO36" s="217"/>
      <c r="CP36" s="217"/>
      <c r="CQ36" s="217"/>
      <c r="CR36" s="217"/>
      <c r="CS36" s="217"/>
      <c r="CT36" s="217"/>
      <c r="CU36" s="217"/>
      <c r="CV36" s="217"/>
      <c r="CW36" s="217"/>
      <c r="CX36" s="217"/>
      <c r="CY36" s="217"/>
      <c r="CZ36" s="217"/>
      <c r="DA36" s="217"/>
      <c r="DB36" s="217"/>
      <c r="DC36" s="217"/>
      <c r="DD36" s="217"/>
      <c r="DE36" s="217"/>
      <c r="DF36" s="217"/>
      <c r="DG36" s="217"/>
      <c r="DH36" s="217"/>
      <c r="DI36" s="217"/>
      <c r="DJ36" s="217"/>
      <c r="DK36" s="217"/>
      <c r="DL36" s="217"/>
      <c r="DM36" s="217"/>
      <c r="DN36" s="217"/>
      <c r="DO36" s="217"/>
      <c r="DP36" s="217"/>
      <c r="DQ36" s="217"/>
      <c r="DR36" s="217"/>
      <c r="DS36" s="217"/>
      <c r="DT36" s="217"/>
      <c r="DU36" s="217"/>
      <c r="DV36" s="217"/>
      <c r="DW36" s="217"/>
      <c r="DX36" s="217"/>
      <c r="DY36" s="217"/>
      <c r="DZ36" s="217"/>
      <c r="EA36" s="217"/>
      <c r="EB36" s="217"/>
      <c r="EC36" s="217"/>
      <c r="ED36" s="217"/>
      <c r="EE36" s="217"/>
      <c r="EF36" s="217"/>
      <c r="EG36" s="217"/>
      <c r="EH36" s="217"/>
      <c r="EI36" s="217"/>
      <c r="EJ36" s="217"/>
      <c r="EK36" s="217"/>
      <c r="EL36" s="217"/>
      <c r="EM36" s="217"/>
      <c r="EN36" s="217"/>
      <c r="EO36" s="217"/>
      <c r="EP36" s="217"/>
      <c r="EQ36" s="217"/>
      <c r="ER36" s="217"/>
      <c r="ES36" s="217"/>
      <c r="ET36" s="217"/>
      <c r="EU36" s="217"/>
      <c r="EV36" s="217"/>
      <c r="EW36" s="217"/>
      <c r="EX36" s="217"/>
      <c r="EY36" s="217"/>
      <c r="EZ36" s="217"/>
      <c r="FA36" s="217"/>
      <c r="FB36" s="217"/>
      <c r="FC36" s="217"/>
      <c r="FD36" s="217"/>
      <c r="FE36" s="217"/>
      <c r="FF36" s="217"/>
      <c r="FG36" s="217"/>
      <c r="FH36" s="217"/>
      <c r="FI36" s="217"/>
      <c r="FJ36" s="217"/>
      <c r="FK36" s="217"/>
      <c r="FL36" s="217"/>
      <c r="FM36" s="217"/>
      <c r="FN36" s="217"/>
      <c r="FO36" s="217"/>
      <c r="FP36" s="217"/>
      <c r="FQ36" s="217"/>
      <c r="FR36" s="217"/>
      <c r="FS36" s="217"/>
      <c r="FT36" s="217"/>
      <c r="FU36" s="217"/>
      <c r="FV36" s="217"/>
      <c r="FW36" s="217"/>
      <c r="FX36" s="217"/>
      <c r="FY36" s="217"/>
      <c r="FZ36" s="217"/>
      <c r="GA36" s="217"/>
      <c r="GB36" s="217"/>
      <c r="GC36" s="217"/>
      <c r="GD36" s="217"/>
      <c r="GE36" s="217"/>
      <c r="GF36" s="217"/>
      <c r="GG36" s="217"/>
      <c r="GH36" s="217"/>
      <c r="GI36" s="217"/>
      <c r="GJ36" s="217"/>
      <c r="GK36" s="217"/>
      <c r="GL36" s="217"/>
      <c r="GM36" s="217"/>
      <c r="GN36" s="217"/>
      <c r="GO36" s="217"/>
      <c r="GP36" s="217"/>
      <c r="GQ36" s="217"/>
      <c r="GR36" s="217"/>
      <c r="GS36" s="217"/>
      <c r="GT36" s="217"/>
      <c r="GU36" s="217"/>
      <c r="GV36" s="217"/>
      <c r="GW36" s="217"/>
      <c r="GX36" s="217"/>
      <c r="GY36" s="217"/>
      <c r="GZ36" s="217"/>
      <c r="HA36" s="217"/>
      <c r="HB36" s="217"/>
      <c r="HC36" s="217"/>
    </row>
    <row r="37" spans="1:211" s="229" customFormat="1" ht="15" customHeight="1">
      <c r="A37" s="1178"/>
      <c r="B37" s="330"/>
      <c r="C37" s="270" t="s">
        <v>227</v>
      </c>
      <c r="D37" s="261"/>
      <c r="E37" s="2478"/>
      <c r="F37" s="261"/>
      <c r="G37" s="355"/>
      <c r="H37" s="355"/>
      <c r="I37" s="327"/>
      <c r="J37" s="327"/>
      <c r="K37" s="327"/>
      <c r="L37" s="328"/>
      <c r="M37" s="2473"/>
      <c r="N37" s="2473"/>
      <c r="O37" s="2473"/>
      <c r="P37" s="2473"/>
      <c r="Q37" s="2473"/>
      <c r="R37" s="2467"/>
      <c r="S37" s="1197"/>
      <c r="T37" s="220"/>
      <c r="U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7"/>
      <c r="AM37" s="217"/>
      <c r="AN37" s="217"/>
      <c r="AO37" s="217"/>
      <c r="AP37" s="217"/>
      <c r="AQ37" s="217"/>
      <c r="AR37" s="217"/>
      <c r="AS37" s="217"/>
      <c r="AT37" s="217"/>
      <c r="AU37" s="217"/>
      <c r="AV37" s="217"/>
      <c r="AW37" s="217"/>
      <c r="AX37" s="217"/>
      <c r="AY37" s="217"/>
      <c r="AZ37" s="217"/>
      <c r="BA37" s="217"/>
      <c r="BB37" s="217"/>
      <c r="BC37" s="217"/>
      <c r="BD37" s="217"/>
      <c r="BE37" s="217"/>
      <c r="BF37" s="217"/>
      <c r="BG37" s="217"/>
      <c r="BH37" s="217"/>
      <c r="BI37" s="217"/>
      <c r="BJ37" s="217"/>
      <c r="BK37" s="217"/>
      <c r="BL37" s="217"/>
      <c r="BM37" s="217"/>
      <c r="BN37" s="217"/>
      <c r="BO37" s="217"/>
      <c r="BP37" s="217"/>
      <c r="BQ37" s="217"/>
      <c r="BR37" s="217"/>
      <c r="BS37" s="217"/>
      <c r="BT37" s="217"/>
      <c r="BU37" s="217"/>
      <c r="BV37" s="217"/>
      <c r="BW37" s="217"/>
      <c r="BX37" s="217"/>
      <c r="BY37" s="217"/>
      <c r="BZ37" s="217"/>
      <c r="CA37" s="217"/>
      <c r="CB37" s="217"/>
      <c r="CC37" s="217"/>
      <c r="CD37" s="217"/>
      <c r="CE37" s="217"/>
      <c r="CF37" s="217"/>
      <c r="CG37" s="217"/>
      <c r="CH37" s="217"/>
      <c r="CI37" s="217"/>
      <c r="CJ37" s="217"/>
      <c r="CK37" s="217"/>
      <c r="CL37" s="217"/>
      <c r="CM37" s="217"/>
      <c r="CN37" s="217"/>
      <c r="CO37" s="217"/>
      <c r="CP37" s="217"/>
      <c r="CQ37" s="217"/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7"/>
      <c r="DC37" s="217"/>
      <c r="DD37" s="217"/>
      <c r="DE37" s="217"/>
      <c r="DF37" s="217"/>
      <c r="DG37" s="217"/>
      <c r="DH37" s="217"/>
      <c r="DI37" s="217"/>
      <c r="DJ37" s="217"/>
      <c r="DK37" s="217"/>
      <c r="DL37" s="217"/>
      <c r="DM37" s="217"/>
      <c r="DN37" s="217"/>
      <c r="DO37" s="217"/>
      <c r="DP37" s="217"/>
      <c r="DQ37" s="217"/>
      <c r="DR37" s="217"/>
      <c r="DS37" s="217"/>
      <c r="DT37" s="217"/>
      <c r="DU37" s="217"/>
      <c r="DV37" s="217"/>
      <c r="DW37" s="217"/>
      <c r="DX37" s="217"/>
      <c r="DY37" s="217"/>
      <c r="DZ37" s="217"/>
      <c r="EA37" s="217"/>
      <c r="EB37" s="217"/>
      <c r="EC37" s="217"/>
      <c r="ED37" s="217"/>
      <c r="EE37" s="217"/>
      <c r="EF37" s="217"/>
      <c r="EG37" s="217"/>
      <c r="EH37" s="217"/>
      <c r="EI37" s="217"/>
      <c r="EJ37" s="217"/>
      <c r="EK37" s="217"/>
      <c r="EL37" s="217"/>
      <c r="EM37" s="217"/>
      <c r="EN37" s="217"/>
      <c r="EO37" s="217"/>
      <c r="EP37" s="217"/>
      <c r="EQ37" s="217"/>
      <c r="ER37" s="217"/>
      <c r="ES37" s="217"/>
      <c r="ET37" s="217"/>
      <c r="EU37" s="217"/>
      <c r="EV37" s="217"/>
      <c r="EW37" s="217"/>
      <c r="EX37" s="217"/>
      <c r="EY37" s="217"/>
      <c r="EZ37" s="217"/>
      <c r="FA37" s="217"/>
      <c r="FB37" s="217"/>
      <c r="FC37" s="217"/>
      <c r="FD37" s="217"/>
      <c r="FE37" s="217"/>
      <c r="FF37" s="217"/>
      <c r="FG37" s="217"/>
      <c r="FH37" s="217"/>
      <c r="FI37" s="217"/>
      <c r="FJ37" s="217"/>
      <c r="FK37" s="217"/>
      <c r="FL37" s="217"/>
      <c r="FM37" s="217"/>
      <c r="FN37" s="217"/>
      <c r="FO37" s="217"/>
      <c r="FP37" s="217"/>
      <c r="FQ37" s="217"/>
      <c r="FR37" s="217"/>
      <c r="FS37" s="217"/>
      <c r="FT37" s="217"/>
      <c r="FU37" s="217"/>
      <c r="FV37" s="217"/>
      <c r="FW37" s="217"/>
      <c r="FX37" s="217"/>
      <c r="FY37" s="217"/>
      <c r="FZ37" s="217"/>
      <c r="GA37" s="217"/>
      <c r="GB37" s="217"/>
      <c r="GC37" s="217"/>
      <c r="GD37" s="217"/>
      <c r="GE37" s="217"/>
      <c r="GF37" s="217"/>
      <c r="GG37" s="217"/>
      <c r="GH37" s="217"/>
      <c r="GI37" s="217"/>
      <c r="GJ37" s="217"/>
      <c r="GK37" s="217"/>
      <c r="GL37" s="217"/>
      <c r="GM37" s="217"/>
      <c r="GN37" s="217"/>
      <c r="GO37" s="217"/>
      <c r="GP37" s="217"/>
      <c r="GQ37" s="217"/>
      <c r="GR37" s="217"/>
      <c r="GS37" s="217"/>
      <c r="GT37" s="217"/>
      <c r="GU37" s="217"/>
      <c r="GV37" s="217"/>
      <c r="GW37" s="217"/>
      <c r="GX37" s="217"/>
      <c r="GY37" s="217"/>
      <c r="GZ37" s="217"/>
      <c r="HA37" s="217"/>
      <c r="HB37" s="217"/>
      <c r="HC37" s="217"/>
    </row>
    <row r="38" spans="1:211" s="229" customFormat="1" ht="15" customHeight="1">
      <c r="A38" s="1178"/>
      <c r="B38" s="331"/>
      <c r="C38" s="270" t="s">
        <v>229</v>
      </c>
      <c r="D38" s="261"/>
      <c r="E38" s="2478"/>
      <c r="F38" s="261"/>
      <c r="G38" s="355"/>
      <c r="H38" s="355"/>
      <c r="I38" s="327"/>
      <c r="J38" s="327"/>
      <c r="K38" s="327"/>
      <c r="L38" s="328"/>
      <c r="M38" s="2473"/>
      <c r="N38" s="2473"/>
      <c r="O38" s="2473"/>
      <c r="P38" s="2473"/>
      <c r="Q38" s="2473"/>
      <c r="R38" s="2467"/>
      <c r="S38" s="1197"/>
      <c r="T38" s="220"/>
      <c r="U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217"/>
      <c r="AN38" s="217"/>
      <c r="AO38" s="217"/>
      <c r="AP38" s="217"/>
      <c r="AQ38" s="217"/>
      <c r="AR38" s="217"/>
      <c r="AS38" s="217"/>
      <c r="AT38" s="217"/>
      <c r="AU38" s="217"/>
      <c r="AV38" s="217"/>
      <c r="AW38" s="217"/>
      <c r="AX38" s="217"/>
      <c r="AY38" s="217"/>
      <c r="AZ38" s="217"/>
      <c r="BA38" s="217"/>
      <c r="BB38" s="217"/>
      <c r="BC38" s="217"/>
      <c r="BD38" s="217"/>
      <c r="BE38" s="217"/>
      <c r="BF38" s="217"/>
      <c r="BG38" s="217"/>
      <c r="BH38" s="217"/>
      <c r="BI38" s="217"/>
      <c r="BJ38" s="217"/>
      <c r="BK38" s="217"/>
      <c r="BL38" s="217"/>
      <c r="BM38" s="217"/>
      <c r="BN38" s="217"/>
      <c r="BO38" s="217"/>
      <c r="BP38" s="217"/>
      <c r="BQ38" s="217"/>
      <c r="BR38" s="217"/>
      <c r="BS38" s="217"/>
      <c r="BT38" s="217"/>
      <c r="BU38" s="217"/>
      <c r="BV38" s="217"/>
      <c r="BW38" s="217"/>
      <c r="BX38" s="217"/>
      <c r="BY38" s="217"/>
      <c r="BZ38" s="217"/>
      <c r="CA38" s="217"/>
      <c r="CB38" s="217"/>
      <c r="CC38" s="217"/>
      <c r="CD38" s="217"/>
      <c r="CE38" s="217"/>
      <c r="CF38" s="217"/>
      <c r="CG38" s="217"/>
      <c r="CH38" s="217"/>
      <c r="CI38" s="217"/>
      <c r="CJ38" s="217"/>
      <c r="CK38" s="217"/>
      <c r="CL38" s="217"/>
      <c r="CM38" s="217"/>
      <c r="CN38" s="217"/>
      <c r="CO38" s="217"/>
      <c r="CP38" s="217"/>
      <c r="CQ38" s="217"/>
      <c r="CR38" s="217"/>
      <c r="CS38" s="217"/>
      <c r="CT38" s="217"/>
      <c r="CU38" s="217"/>
      <c r="CV38" s="217"/>
      <c r="CW38" s="217"/>
      <c r="CX38" s="217"/>
      <c r="CY38" s="217"/>
      <c r="CZ38" s="217"/>
      <c r="DA38" s="217"/>
      <c r="DB38" s="217"/>
      <c r="DC38" s="217"/>
      <c r="DD38" s="217"/>
      <c r="DE38" s="217"/>
      <c r="DF38" s="217"/>
      <c r="DG38" s="217"/>
      <c r="DH38" s="217"/>
      <c r="DI38" s="217"/>
      <c r="DJ38" s="217"/>
      <c r="DK38" s="217"/>
      <c r="DL38" s="217"/>
      <c r="DM38" s="217"/>
      <c r="DN38" s="217"/>
      <c r="DO38" s="217"/>
      <c r="DP38" s="217"/>
      <c r="DQ38" s="217"/>
      <c r="DR38" s="217"/>
      <c r="DS38" s="217"/>
      <c r="DT38" s="217"/>
      <c r="DU38" s="217"/>
      <c r="DV38" s="217"/>
      <c r="DW38" s="217"/>
      <c r="DX38" s="217"/>
      <c r="DY38" s="217"/>
      <c r="DZ38" s="217"/>
      <c r="EA38" s="217"/>
      <c r="EB38" s="217"/>
      <c r="EC38" s="217"/>
      <c r="ED38" s="217"/>
      <c r="EE38" s="217"/>
      <c r="EF38" s="217"/>
      <c r="EG38" s="217"/>
      <c r="EH38" s="217"/>
      <c r="EI38" s="217"/>
      <c r="EJ38" s="217"/>
      <c r="EK38" s="217"/>
      <c r="EL38" s="217"/>
      <c r="EM38" s="217"/>
      <c r="EN38" s="217"/>
      <c r="EO38" s="217"/>
      <c r="EP38" s="217"/>
      <c r="EQ38" s="217"/>
      <c r="ER38" s="217"/>
      <c r="ES38" s="217"/>
      <c r="ET38" s="217"/>
      <c r="EU38" s="217"/>
      <c r="EV38" s="217"/>
      <c r="EW38" s="217"/>
      <c r="EX38" s="217"/>
      <c r="EY38" s="217"/>
      <c r="EZ38" s="217"/>
      <c r="FA38" s="217"/>
      <c r="FB38" s="217"/>
      <c r="FC38" s="217"/>
      <c r="FD38" s="217"/>
      <c r="FE38" s="217"/>
      <c r="FF38" s="217"/>
      <c r="FG38" s="217"/>
      <c r="FH38" s="217"/>
      <c r="FI38" s="217"/>
      <c r="FJ38" s="217"/>
      <c r="FK38" s="217"/>
      <c r="FL38" s="217"/>
      <c r="FM38" s="217"/>
      <c r="FN38" s="217"/>
      <c r="FO38" s="217"/>
      <c r="FP38" s="217"/>
      <c r="FQ38" s="217"/>
      <c r="FR38" s="217"/>
      <c r="FS38" s="217"/>
      <c r="FT38" s="217"/>
      <c r="FU38" s="217"/>
      <c r="FV38" s="217"/>
      <c r="FW38" s="217"/>
      <c r="FX38" s="217"/>
      <c r="FY38" s="217"/>
      <c r="FZ38" s="217"/>
      <c r="GA38" s="217"/>
      <c r="GB38" s="217"/>
      <c r="GC38" s="217"/>
      <c r="GD38" s="217"/>
      <c r="GE38" s="217"/>
      <c r="GF38" s="217"/>
      <c r="GG38" s="217"/>
      <c r="GH38" s="217"/>
      <c r="GI38" s="217"/>
      <c r="GJ38" s="217"/>
      <c r="GK38" s="217"/>
      <c r="GL38" s="217"/>
      <c r="GM38" s="217"/>
      <c r="GN38" s="217"/>
      <c r="GO38" s="217"/>
      <c r="GP38" s="217"/>
      <c r="GQ38" s="217"/>
      <c r="GR38" s="217"/>
      <c r="GS38" s="217"/>
      <c r="GT38" s="217"/>
      <c r="GU38" s="217"/>
      <c r="GV38" s="217"/>
      <c r="GW38" s="217"/>
      <c r="GX38" s="217"/>
      <c r="GY38" s="217"/>
      <c r="GZ38" s="217"/>
      <c r="HA38" s="217"/>
      <c r="HB38" s="217"/>
      <c r="HC38" s="217"/>
    </row>
    <row r="39" spans="1:211" s="229" customFormat="1" ht="20.100000000000001" customHeight="1">
      <c r="A39" s="1178"/>
      <c r="B39" s="2479" t="s">
        <v>134</v>
      </c>
      <c r="C39" s="270"/>
      <c r="D39" s="261"/>
      <c r="E39" s="2478"/>
      <c r="F39" s="261"/>
      <c r="G39" s="355"/>
      <c r="H39" s="355"/>
      <c r="I39" s="327"/>
      <c r="J39" s="327"/>
      <c r="K39" s="327"/>
      <c r="L39" s="328"/>
      <c r="M39" s="2473"/>
      <c r="N39" s="2473"/>
      <c r="O39" s="2473"/>
      <c r="P39" s="2473"/>
      <c r="Q39" s="2473"/>
      <c r="R39" s="2467"/>
      <c r="S39" s="1197"/>
      <c r="T39" s="220"/>
      <c r="U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217"/>
      <c r="AN39" s="217"/>
      <c r="AO39" s="217"/>
      <c r="AP39" s="217"/>
      <c r="AQ39" s="217"/>
      <c r="AR39" s="217"/>
      <c r="AS39" s="217"/>
      <c r="AT39" s="217"/>
      <c r="AU39" s="217"/>
      <c r="AV39" s="217"/>
      <c r="AW39" s="217"/>
      <c r="AX39" s="217"/>
      <c r="AY39" s="217"/>
      <c r="AZ39" s="217"/>
      <c r="BA39" s="217"/>
      <c r="BB39" s="217"/>
      <c r="BC39" s="217"/>
      <c r="BD39" s="217"/>
      <c r="BE39" s="217"/>
      <c r="BF39" s="217"/>
      <c r="BG39" s="217"/>
      <c r="BH39" s="217"/>
      <c r="BI39" s="217"/>
      <c r="BJ39" s="217"/>
      <c r="BK39" s="217"/>
      <c r="BL39" s="217"/>
      <c r="BM39" s="217"/>
      <c r="BN39" s="217"/>
      <c r="BO39" s="217"/>
      <c r="BP39" s="217"/>
      <c r="BQ39" s="217"/>
      <c r="BR39" s="217"/>
      <c r="BS39" s="217"/>
      <c r="BT39" s="217"/>
      <c r="BU39" s="217"/>
      <c r="BV39" s="217"/>
      <c r="BW39" s="217"/>
      <c r="BX39" s="217"/>
      <c r="BY39" s="217"/>
      <c r="BZ39" s="217"/>
      <c r="CA39" s="217"/>
      <c r="CB39" s="217"/>
      <c r="CC39" s="217"/>
      <c r="CD39" s="217"/>
      <c r="CE39" s="217"/>
      <c r="CF39" s="217"/>
      <c r="CG39" s="217"/>
      <c r="CH39" s="217"/>
      <c r="CI39" s="217"/>
      <c r="CJ39" s="217"/>
      <c r="CK39" s="217"/>
      <c r="CL39" s="217"/>
      <c r="CM39" s="217"/>
      <c r="CN39" s="217"/>
      <c r="CO39" s="217"/>
      <c r="CP39" s="217"/>
      <c r="CQ39" s="217"/>
      <c r="CR39" s="217"/>
      <c r="CS39" s="217"/>
      <c r="CT39" s="217"/>
      <c r="CU39" s="217"/>
      <c r="CV39" s="217"/>
      <c r="CW39" s="217"/>
      <c r="CX39" s="217"/>
      <c r="CY39" s="217"/>
      <c r="CZ39" s="217"/>
      <c r="DA39" s="217"/>
      <c r="DB39" s="217"/>
      <c r="DC39" s="217"/>
      <c r="DD39" s="217"/>
      <c r="DE39" s="217"/>
      <c r="DF39" s="217"/>
      <c r="DG39" s="217"/>
      <c r="DH39" s="217"/>
      <c r="DI39" s="217"/>
      <c r="DJ39" s="217"/>
      <c r="DK39" s="217"/>
      <c r="DL39" s="217"/>
      <c r="DM39" s="217"/>
      <c r="DN39" s="217"/>
      <c r="DO39" s="217"/>
      <c r="DP39" s="217"/>
      <c r="DQ39" s="217"/>
      <c r="DR39" s="217"/>
      <c r="DS39" s="217"/>
      <c r="DT39" s="217"/>
      <c r="DU39" s="217"/>
      <c r="DV39" s="217"/>
      <c r="DW39" s="217"/>
      <c r="DX39" s="217"/>
      <c r="DY39" s="217"/>
      <c r="DZ39" s="217"/>
      <c r="EA39" s="217"/>
      <c r="EB39" s="217"/>
      <c r="EC39" s="217"/>
      <c r="ED39" s="217"/>
      <c r="EE39" s="217"/>
      <c r="EF39" s="217"/>
      <c r="EG39" s="217"/>
      <c r="EH39" s="217"/>
      <c r="EI39" s="217"/>
      <c r="EJ39" s="217"/>
      <c r="EK39" s="217"/>
      <c r="EL39" s="217"/>
      <c r="EM39" s="217"/>
      <c r="EN39" s="217"/>
      <c r="EO39" s="217"/>
      <c r="EP39" s="217"/>
      <c r="EQ39" s="217"/>
      <c r="ER39" s="217"/>
      <c r="ES39" s="217"/>
      <c r="ET39" s="217"/>
      <c r="EU39" s="217"/>
      <c r="EV39" s="217"/>
      <c r="EW39" s="217"/>
      <c r="EX39" s="217"/>
      <c r="EY39" s="217"/>
      <c r="EZ39" s="217"/>
      <c r="FA39" s="217"/>
      <c r="FB39" s="217"/>
      <c r="FC39" s="217"/>
      <c r="FD39" s="217"/>
      <c r="FE39" s="217"/>
      <c r="FF39" s="217"/>
      <c r="FG39" s="217"/>
      <c r="FH39" s="217"/>
      <c r="FI39" s="217"/>
      <c r="FJ39" s="217"/>
      <c r="FK39" s="217"/>
      <c r="FL39" s="217"/>
      <c r="FM39" s="217"/>
      <c r="FN39" s="217"/>
      <c r="FO39" s="217"/>
      <c r="FP39" s="217"/>
      <c r="FQ39" s="217"/>
      <c r="FR39" s="217"/>
      <c r="FS39" s="217"/>
      <c r="FT39" s="217"/>
      <c r="FU39" s="217"/>
      <c r="FV39" s="217"/>
      <c r="FW39" s="217"/>
      <c r="FX39" s="217"/>
      <c r="FY39" s="217"/>
      <c r="FZ39" s="217"/>
      <c r="GA39" s="217"/>
      <c r="GB39" s="217"/>
      <c r="GC39" s="217"/>
      <c r="GD39" s="217"/>
      <c r="GE39" s="217"/>
      <c r="GF39" s="217"/>
      <c r="GG39" s="217"/>
      <c r="GH39" s="217"/>
      <c r="GI39" s="217"/>
      <c r="GJ39" s="217"/>
      <c r="GK39" s="217"/>
      <c r="GL39" s="217"/>
      <c r="GM39" s="217"/>
      <c r="GN39" s="217"/>
      <c r="GO39" s="217"/>
      <c r="GP39" s="217"/>
      <c r="GQ39" s="217"/>
      <c r="GR39" s="217"/>
      <c r="GS39" s="217"/>
      <c r="GT39" s="217"/>
      <c r="GU39" s="217"/>
      <c r="GV39" s="217"/>
      <c r="GW39" s="217"/>
      <c r="GX39" s="217"/>
      <c r="GY39" s="217"/>
      <c r="GZ39" s="217"/>
      <c r="HA39" s="217"/>
      <c r="HB39" s="217"/>
      <c r="HC39" s="217"/>
    </row>
    <row r="40" spans="1:211" s="229" customFormat="1" ht="15" customHeight="1">
      <c r="A40" s="1178"/>
      <c r="B40" s="2479" t="s">
        <v>195</v>
      </c>
      <c r="C40" s="270"/>
      <c r="D40" s="261"/>
      <c r="E40" s="2478"/>
      <c r="F40" s="261"/>
      <c r="G40" s="355"/>
      <c r="H40" s="355"/>
      <c r="I40" s="327"/>
      <c r="J40" s="327"/>
      <c r="K40" s="327"/>
      <c r="L40" s="328"/>
      <c r="M40" s="2473"/>
      <c r="N40" s="2473"/>
      <c r="O40" s="2473"/>
      <c r="P40" s="2473"/>
      <c r="Q40" s="2473"/>
      <c r="R40" s="2467"/>
      <c r="S40" s="1197"/>
      <c r="T40" s="220"/>
      <c r="U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  <c r="AM40" s="217"/>
      <c r="AN40" s="217"/>
      <c r="AO40" s="217"/>
      <c r="AP40" s="217"/>
      <c r="AQ40" s="217"/>
      <c r="AR40" s="217"/>
      <c r="AS40" s="217"/>
      <c r="AT40" s="217"/>
      <c r="AU40" s="217"/>
      <c r="AV40" s="217"/>
      <c r="AW40" s="217"/>
      <c r="AX40" s="217"/>
      <c r="AY40" s="217"/>
      <c r="AZ40" s="217"/>
      <c r="BA40" s="217"/>
      <c r="BB40" s="217"/>
      <c r="BC40" s="217"/>
      <c r="BD40" s="217"/>
      <c r="BE40" s="217"/>
      <c r="BF40" s="217"/>
      <c r="BG40" s="217"/>
      <c r="BH40" s="217"/>
      <c r="BI40" s="217"/>
      <c r="BJ40" s="217"/>
      <c r="BK40" s="217"/>
      <c r="BL40" s="217"/>
      <c r="BM40" s="217"/>
      <c r="BN40" s="217"/>
      <c r="BO40" s="217"/>
      <c r="BP40" s="217"/>
      <c r="BQ40" s="217"/>
      <c r="BR40" s="217"/>
      <c r="BS40" s="217"/>
      <c r="BT40" s="217"/>
      <c r="BU40" s="217"/>
      <c r="BV40" s="217"/>
      <c r="BW40" s="217"/>
      <c r="BX40" s="217"/>
      <c r="BY40" s="217"/>
      <c r="BZ40" s="217"/>
      <c r="CA40" s="217"/>
      <c r="CB40" s="217"/>
      <c r="CC40" s="217"/>
      <c r="CD40" s="217"/>
      <c r="CE40" s="217"/>
      <c r="CF40" s="217"/>
      <c r="CG40" s="217"/>
      <c r="CH40" s="217"/>
      <c r="CI40" s="217"/>
      <c r="CJ40" s="217"/>
      <c r="CK40" s="217"/>
      <c r="CL40" s="217"/>
      <c r="CM40" s="217"/>
      <c r="CN40" s="217"/>
      <c r="CO40" s="217"/>
      <c r="CP40" s="217"/>
      <c r="CQ40" s="217"/>
      <c r="CR40" s="217"/>
      <c r="CS40" s="217"/>
      <c r="CT40" s="217"/>
      <c r="CU40" s="217"/>
      <c r="CV40" s="217"/>
      <c r="CW40" s="217"/>
      <c r="CX40" s="217"/>
      <c r="CY40" s="217"/>
      <c r="CZ40" s="217"/>
      <c r="DA40" s="217"/>
      <c r="DB40" s="217"/>
      <c r="DC40" s="217"/>
      <c r="DD40" s="217"/>
      <c r="DE40" s="217"/>
      <c r="DF40" s="217"/>
      <c r="DG40" s="217"/>
      <c r="DH40" s="217"/>
      <c r="DI40" s="217"/>
      <c r="DJ40" s="217"/>
      <c r="DK40" s="217"/>
      <c r="DL40" s="217"/>
      <c r="DM40" s="217"/>
      <c r="DN40" s="217"/>
      <c r="DO40" s="217"/>
      <c r="DP40" s="217"/>
      <c r="DQ40" s="217"/>
      <c r="DR40" s="217"/>
      <c r="DS40" s="217"/>
      <c r="DT40" s="217"/>
      <c r="DU40" s="217"/>
      <c r="DV40" s="217"/>
      <c r="DW40" s="217"/>
      <c r="DX40" s="217"/>
      <c r="DY40" s="217"/>
      <c r="DZ40" s="217"/>
      <c r="EA40" s="217"/>
      <c r="EB40" s="217"/>
      <c r="EC40" s="217"/>
      <c r="ED40" s="217"/>
      <c r="EE40" s="217"/>
      <c r="EF40" s="217"/>
      <c r="EG40" s="217"/>
      <c r="EH40" s="217"/>
      <c r="EI40" s="217"/>
      <c r="EJ40" s="217"/>
      <c r="EK40" s="217"/>
      <c r="EL40" s="217"/>
      <c r="EM40" s="217"/>
      <c r="EN40" s="217"/>
      <c r="EO40" s="217"/>
      <c r="EP40" s="217"/>
      <c r="EQ40" s="217"/>
      <c r="ER40" s="217"/>
      <c r="ES40" s="217"/>
      <c r="ET40" s="217"/>
      <c r="EU40" s="217"/>
      <c r="EV40" s="217"/>
      <c r="EW40" s="217"/>
      <c r="EX40" s="217"/>
      <c r="EY40" s="217"/>
      <c r="EZ40" s="217"/>
      <c r="FA40" s="217"/>
      <c r="FB40" s="217"/>
      <c r="FC40" s="217"/>
      <c r="FD40" s="217"/>
      <c r="FE40" s="217"/>
      <c r="FF40" s="217"/>
      <c r="FG40" s="217"/>
      <c r="FH40" s="217"/>
      <c r="FI40" s="217"/>
      <c r="FJ40" s="217"/>
      <c r="FK40" s="217"/>
      <c r="FL40" s="217"/>
      <c r="FM40" s="217"/>
      <c r="FN40" s="217"/>
      <c r="FO40" s="217"/>
      <c r="FP40" s="217"/>
      <c r="FQ40" s="217"/>
      <c r="FR40" s="217"/>
      <c r="FS40" s="217"/>
      <c r="FT40" s="217"/>
      <c r="FU40" s="217"/>
      <c r="FV40" s="217"/>
      <c r="FW40" s="217"/>
      <c r="FX40" s="217"/>
      <c r="FY40" s="217"/>
      <c r="FZ40" s="217"/>
      <c r="GA40" s="217"/>
      <c r="GB40" s="217"/>
      <c r="GC40" s="217"/>
      <c r="GD40" s="217"/>
      <c r="GE40" s="217"/>
      <c r="GF40" s="217"/>
      <c r="GG40" s="217"/>
      <c r="GH40" s="217"/>
      <c r="GI40" s="217"/>
      <c r="GJ40" s="217"/>
      <c r="GK40" s="217"/>
      <c r="GL40" s="217"/>
      <c r="GM40" s="217"/>
      <c r="GN40" s="217"/>
      <c r="GO40" s="217"/>
      <c r="GP40" s="217"/>
      <c r="GQ40" s="217"/>
      <c r="GR40" s="217"/>
      <c r="GS40" s="217"/>
      <c r="GT40" s="217"/>
      <c r="GU40" s="217"/>
      <c r="GV40" s="217"/>
      <c r="GW40" s="217"/>
      <c r="GX40" s="217"/>
      <c r="GY40" s="217"/>
      <c r="GZ40" s="217"/>
      <c r="HA40" s="217"/>
      <c r="HB40" s="217"/>
      <c r="HC40" s="217"/>
    </row>
    <row r="41" spans="1:211" s="222" customFormat="1" ht="15" customHeight="1">
      <c r="A41" s="1178"/>
      <c r="B41" s="2992" t="s">
        <v>816</v>
      </c>
      <c r="C41" s="2992"/>
      <c r="D41" s="2992"/>
      <c r="E41" s="2992"/>
      <c r="F41" s="2992"/>
      <c r="G41" s="2992"/>
      <c r="H41" s="2992"/>
      <c r="I41" s="327"/>
      <c r="J41" s="327"/>
      <c r="K41" s="327"/>
      <c r="L41" s="327"/>
      <c r="M41" s="327"/>
      <c r="N41" s="327"/>
      <c r="O41" s="327"/>
      <c r="P41" s="327"/>
      <c r="Q41" s="327"/>
      <c r="R41" s="2468"/>
      <c r="S41" s="1198"/>
      <c r="T41" s="226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  <c r="AO41" s="217"/>
      <c r="AP41" s="217"/>
      <c r="AQ41" s="217"/>
      <c r="AR41" s="217"/>
      <c r="AS41" s="217"/>
      <c r="AT41" s="217"/>
      <c r="AU41" s="217"/>
      <c r="AV41" s="217"/>
      <c r="AW41" s="217"/>
      <c r="AX41" s="217"/>
      <c r="AY41" s="217"/>
      <c r="AZ41" s="217"/>
      <c r="BA41" s="217"/>
      <c r="BB41" s="217"/>
      <c r="BC41" s="217"/>
      <c r="BD41" s="217"/>
      <c r="BE41" s="217"/>
      <c r="BF41" s="217"/>
      <c r="BG41" s="217"/>
      <c r="BH41" s="217"/>
      <c r="BI41" s="217"/>
      <c r="BJ41" s="217"/>
      <c r="BK41" s="217"/>
      <c r="BL41" s="217"/>
      <c r="BM41" s="217"/>
      <c r="BN41" s="217"/>
      <c r="BO41" s="217"/>
      <c r="BP41" s="217"/>
      <c r="BQ41" s="217"/>
      <c r="BR41" s="217"/>
      <c r="BS41" s="217"/>
      <c r="BT41" s="217"/>
      <c r="BU41" s="217"/>
      <c r="BV41" s="217"/>
      <c r="BW41" s="217"/>
      <c r="BX41" s="217"/>
      <c r="BY41" s="217"/>
      <c r="BZ41" s="217"/>
      <c r="CA41" s="217"/>
      <c r="CB41" s="217"/>
      <c r="CC41" s="217"/>
      <c r="CD41" s="217"/>
      <c r="CE41" s="217"/>
      <c r="CF41" s="217"/>
      <c r="CG41" s="217"/>
      <c r="CH41" s="217"/>
      <c r="CI41" s="217"/>
      <c r="CJ41" s="217"/>
      <c r="CK41" s="217"/>
      <c r="CL41" s="217"/>
      <c r="CM41" s="217"/>
      <c r="CN41" s="217"/>
      <c r="CO41" s="217"/>
      <c r="CP41" s="217"/>
      <c r="CQ41" s="217"/>
      <c r="CR41" s="217"/>
      <c r="CS41" s="217"/>
      <c r="CT41" s="217"/>
      <c r="CU41" s="217"/>
      <c r="CV41" s="217"/>
      <c r="CW41" s="217"/>
      <c r="CX41" s="217"/>
      <c r="CY41" s="217"/>
      <c r="CZ41" s="217"/>
      <c r="DA41" s="217"/>
      <c r="DB41" s="217"/>
      <c r="DC41" s="217"/>
      <c r="DD41" s="217"/>
      <c r="DE41" s="217"/>
      <c r="DF41" s="217"/>
      <c r="DG41" s="217"/>
      <c r="DH41" s="217"/>
      <c r="DI41" s="217"/>
      <c r="DJ41" s="217"/>
      <c r="DK41" s="217"/>
      <c r="DL41" s="217"/>
      <c r="DM41" s="217"/>
      <c r="DN41" s="217"/>
      <c r="DO41" s="217"/>
      <c r="DP41" s="217"/>
      <c r="DQ41" s="217"/>
      <c r="DR41" s="217"/>
      <c r="DS41" s="217"/>
      <c r="DT41" s="217"/>
      <c r="DU41" s="217"/>
      <c r="DV41" s="217"/>
      <c r="DW41" s="217"/>
      <c r="DX41" s="217"/>
      <c r="DY41" s="217"/>
      <c r="DZ41" s="217"/>
      <c r="EA41" s="217"/>
      <c r="EB41" s="217"/>
      <c r="EC41" s="217"/>
      <c r="ED41" s="217"/>
      <c r="EE41" s="217"/>
      <c r="EF41" s="217"/>
      <c r="EG41" s="217"/>
      <c r="EH41" s="217"/>
      <c r="EI41" s="217"/>
      <c r="EJ41" s="217"/>
      <c r="EK41" s="217"/>
      <c r="EL41" s="217"/>
      <c r="EM41" s="217"/>
      <c r="EN41" s="217"/>
      <c r="EO41" s="217"/>
      <c r="EP41" s="217"/>
      <c r="EQ41" s="217"/>
      <c r="ER41" s="217"/>
      <c r="ES41" s="217"/>
      <c r="ET41" s="217"/>
      <c r="EU41" s="217"/>
      <c r="EV41" s="217"/>
      <c r="EW41" s="217"/>
      <c r="EX41" s="217"/>
      <c r="EY41" s="217"/>
      <c r="EZ41" s="217"/>
      <c r="FA41" s="217"/>
      <c r="FB41" s="217"/>
      <c r="FC41" s="217"/>
      <c r="FD41" s="217"/>
      <c r="FE41" s="217"/>
      <c r="FF41" s="217"/>
      <c r="FG41" s="217"/>
      <c r="FH41" s="217"/>
      <c r="FI41" s="217"/>
      <c r="FJ41" s="217"/>
      <c r="FK41" s="217"/>
      <c r="FL41" s="217"/>
      <c r="FM41" s="217"/>
      <c r="FN41" s="217"/>
      <c r="FO41" s="217"/>
      <c r="FP41" s="217"/>
      <c r="FQ41" s="217"/>
      <c r="FR41" s="217"/>
      <c r="FS41" s="217"/>
      <c r="FT41" s="217"/>
      <c r="FU41" s="217"/>
      <c r="FV41" s="217"/>
      <c r="FW41" s="217"/>
      <c r="FX41" s="217"/>
      <c r="FY41" s="217"/>
      <c r="FZ41" s="217"/>
      <c r="GA41" s="217"/>
      <c r="GB41" s="217"/>
      <c r="GC41" s="217"/>
      <c r="GD41" s="217"/>
      <c r="GE41" s="217"/>
      <c r="GF41" s="217"/>
      <c r="GG41" s="217"/>
      <c r="GH41" s="217"/>
      <c r="GI41" s="217"/>
      <c r="GJ41" s="217"/>
      <c r="GK41" s="217"/>
      <c r="GL41" s="217"/>
      <c r="GM41" s="217"/>
      <c r="GN41" s="217"/>
      <c r="GO41" s="217"/>
      <c r="GP41" s="217"/>
      <c r="GQ41" s="217"/>
      <c r="GR41" s="217"/>
      <c r="GS41" s="217"/>
      <c r="GT41" s="217"/>
      <c r="GU41" s="217"/>
      <c r="GV41" s="217"/>
      <c r="GW41" s="217"/>
      <c r="GX41" s="217"/>
      <c r="GY41" s="217"/>
      <c r="GZ41" s="217"/>
      <c r="HA41" s="217"/>
      <c r="HB41" s="217"/>
      <c r="HC41" s="217"/>
    </row>
    <row r="42" spans="1:211" ht="20.100000000000001" customHeight="1">
      <c r="A42" s="1144"/>
      <c r="B42" s="1194"/>
      <c r="C42" s="1194"/>
      <c r="D42" s="1144"/>
      <c r="E42" s="1144"/>
      <c r="F42" s="1144"/>
      <c r="G42" s="1144"/>
      <c r="H42" s="1144"/>
      <c r="I42" s="1144"/>
      <c r="J42" s="1195"/>
      <c r="K42" s="1144"/>
      <c r="L42" s="1144"/>
      <c r="M42" s="1144"/>
      <c r="N42" s="1144"/>
      <c r="O42" s="1144"/>
      <c r="P42" s="1144"/>
      <c r="Q42" s="1144"/>
      <c r="R42" s="1144"/>
      <c r="S42" s="1144"/>
    </row>
    <row r="43" spans="1:211">
      <c r="J43" s="235"/>
    </row>
    <row r="44" spans="1:211">
      <c r="J44" s="235"/>
    </row>
    <row r="45" spans="1:211">
      <c r="J45" s="236"/>
    </row>
  </sheetData>
  <mergeCells count="2">
    <mergeCell ref="B41:H41"/>
    <mergeCell ref="B1:R1"/>
  </mergeCells>
  <printOptions horizontalCentered="1"/>
  <pageMargins left="0" right="0" top="0.25" bottom="0" header="0" footer="0"/>
  <pageSetup paperSize="5" scale="54" fitToHeight="0" orientation="landscape" r:id="rId1"/>
  <drawing r:id="rId2"/>
  <legacyDrawing r:id="rId3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0" tint="-0.249977111117893"/>
    <pageSetUpPr fitToPage="1"/>
  </sheetPr>
  <dimension ref="A1:G20"/>
  <sheetViews>
    <sheetView showGridLines="0" topLeftCell="A3" workbookViewId="0">
      <selection activeCell="N26" sqref="N26"/>
    </sheetView>
  </sheetViews>
  <sheetFormatPr defaultColWidth="9.140625" defaultRowHeight="15"/>
  <cols>
    <col min="1" max="1" width="11.85546875" style="23" customWidth="1"/>
    <col min="2" max="2" width="1.5703125" style="23" customWidth="1"/>
    <col min="3" max="3" width="32.140625" style="4" customWidth="1"/>
    <col min="4" max="4" width="21.85546875" style="4" bestFit="1" customWidth="1"/>
    <col min="5" max="5" width="12" style="23" customWidth="1"/>
    <col min="6" max="6" width="10.28515625" style="23" customWidth="1"/>
    <col min="7" max="7" width="41.5703125" style="23" bestFit="1" customWidth="1"/>
    <col min="8" max="8" width="41.140625" style="23" customWidth="1"/>
    <col min="9" max="16384" width="9.140625" style="23"/>
  </cols>
  <sheetData>
    <row r="1" spans="1:7" ht="57" customHeight="1" thickBot="1">
      <c r="A1" s="135"/>
      <c r="B1" s="135"/>
      <c r="C1" s="765"/>
      <c r="D1" s="765"/>
      <c r="E1" s="135"/>
      <c r="F1" s="135"/>
      <c r="G1" s="135"/>
    </row>
    <row r="2" spans="1:7" ht="49.5" customHeight="1" thickTop="1">
      <c r="A2" s="2996" t="s">
        <v>761</v>
      </c>
      <c r="B2" s="2997"/>
      <c r="C2" s="2997"/>
      <c r="D2" s="2997"/>
      <c r="E2" s="2997"/>
      <c r="F2" s="2997"/>
      <c r="G2" s="2998"/>
    </row>
    <row r="3" spans="1:7" ht="47.25" customHeight="1">
      <c r="A3" s="1172" t="s">
        <v>136</v>
      </c>
      <c r="B3" s="2035"/>
      <c r="C3" s="1173" t="s">
        <v>97</v>
      </c>
      <c r="D3" s="2036"/>
      <c r="E3" s="1174" t="s">
        <v>89</v>
      </c>
      <c r="F3" s="1173" t="s">
        <v>456</v>
      </c>
      <c r="G3" s="1175" t="s">
        <v>135</v>
      </c>
    </row>
    <row r="4" spans="1:7" ht="21.75" customHeight="1">
      <c r="A4" s="379"/>
      <c r="B4" s="380"/>
      <c r="C4" s="381"/>
      <c r="D4" s="382"/>
      <c r="E4" s="383"/>
      <c r="F4" s="381"/>
      <c r="G4" s="384"/>
    </row>
    <row r="5" spans="1:7" ht="41.25" customHeight="1">
      <c r="A5" s="385" t="s">
        <v>131</v>
      </c>
      <c r="B5" s="386"/>
      <c r="C5" s="387" t="s">
        <v>113</v>
      </c>
      <c r="D5" s="388" t="s">
        <v>704</v>
      </c>
      <c r="E5" s="389">
        <v>0.95</v>
      </c>
      <c r="F5" s="389" t="s">
        <v>170</v>
      </c>
      <c r="G5" s="373" t="s">
        <v>462</v>
      </c>
    </row>
    <row r="6" spans="1:7" ht="25.5">
      <c r="A6" s="369"/>
      <c r="B6" s="262"/>
      <c r="C6" s="370"/>
      <c r="D6" s="371"/>
      <c r="E6" s="372"/>
      <c r="F6" s="372"/>
      <c r="G6" s="373" t="s">
        <v>461</v>
      </c>
    </row>
    <row r="7" spans="1:7">
      <c r="A7" s="369"/>
      <c r="B7" s="262"/>
      <c r="C7" s="370"/>
      <c r="D7" s="371"/>
      <c r="E7" s="372"/>
      <c r="F7" s="372"/>
      <c r="G7" s="373"/>
    </row>
    <row r="8" spans="1:7" ht="45" customHeight="1">
      <c r="A8" s="385" t="s">
        <v>131</v>
      </c>
      <c r="B8" s="390"/>
      <c r="C8" s="391" t="s">
        <v>197</v>
      </c>
      <c r="D8" s="392" t="s">
        <v>457</v>
      </c>
      <c r="E8" s="393" t="s">
        <v>363</v>
      </c>
      <c r="F8" s="393" t="s">
        <v>170</v>
      </c>
      <c r="G8" s="373" t="s">
        <v>460</v>
      </c>
    </row>
    <row r="9" spans="1:7" ht="38.25" customHeight="1">
      <c r="A9" s="369"/>
      <c r="B9" s="374"/>
      <c r="C9" s="375"/>
      <c r="D9" s="376"/>
      <c r="E9" s="377"/>
      <c r="F9" s="377"/>
      <c r="G9" s="373" t="s">
        <v>705</v>
      </c>
    </row>
    <row r="10" spans="1:7" ht="33.75" customHeight="1">
      <c r="A10" s="369"/>
      <c r="B10" s="374"/>
      <c r="C10" s="375"/>
      <c r="D10" s="376"/>
      <c r="E10" s="377"/>
      <c r="F10" s="377"/>
      <c r="G10" s="373" t="s">
        <v>464</v>
      </c>
    </row>
    <row r="11" spans="1:7">
      <c r="A11" s="369"/>
      <c r="B11" s="374"/>
      <c r="C11" s="375"/>
      <c r="D11" s="376"/>
      <c r="E11" s="377"/>
      <c r="F11" s="377"/>
      <c r="G11" s="373"/>
    </row>
    <row r="12" spans="1:7">
      <c r="A12" s="385" t="s">
        <v>131</v>
      </c>
      <c r="B12" s="394"/>
      <c r="C12" s="387" t="s">
        <v>119</v>
      </c>
      <c r="D12" s="388" t="s">
        <v>458</v>
      </c>
      <c r="E12" s="393" t="s">
        <v>363</v>
      </c>
      <c r="F12" s="393" t="s">
        <v>170</v>
      </c>
      <c r="G12" s="378" t="s">
        <v>459</v>
      </c>
    </row>
    <row r="13" spans="1:7">
      <c r="A13" s="369"/>
      <c r="B13" s="2034"/>
      <c r="C13" s="370"/>
      <c r="D13" s="371"/>
      <c r="E13" s="377"/>
      <c r="F13" s="377"/>
      <c r="G13" s="378"/>
    </row>
    <row r="14" spans="1:7" ht="15.75">
      <c r="A14" s="269"/>
      <c r="B14" s="365" t="s">
        <v>228</v>
      </c>
      <c r="C14" s="366"/>
      <c r="D14" s="259"/>
      <c r="E14" s="265"/>
      <c r="F14" s="261"/>
      <c r="G14" s="268"/>
    </row>
    <row r="15" spans="1:7" ht="16.5">
      <c r="A15" s="272"/>
      <c r="B15" s="365" t="s">
        <v>226</v>
      </c>
      <c r="C15" s="367"/>
      <c r="D15" s="259"/>
      <c r="E15" s="265"/>
      <c r="F15" s="261"/>
      <c r="G15" s="268"/>
    </row>
    <row r="16" spans="1:7" ht="16.5">
      <c r="A16" s="273"/>
      <c r="B16" s="365" t="s">
        <v>227</v>
      </c>
      <c r="C16" s="367"/>
      <c r="D16" s="259"/>
      <c r="E16" s="265"/>
      <c r="F16" s="261"/>
      <c r="G16" s="268"/>
    </row>
    <row r="17" spans="1:7" ht="16.5">
      <c r="A17" s="274"/>
      <c r="B17" s="365" t="s">
        <v>229</v>
      </c>
      <c r="C17" s="367"/>
      <c r="D17" s="259"/>
      <c r="E17" s="265"/>
      <c r="F17" s="261"/>
      <c r="G17" s="268"/>
    </row>
    <row r="18" spans="1:7">
      <c r="A18" s="264"/>
      <c r="B18" s="2034"/>
      <c r="C18" s="271"/>
      <c r="D18" s="275"/>
      <c r="E18" s="276"/>
      <c r="F18" s="262"/>
      <c r="G18" s="277"/>
    </row>
    <row r="19" spans="1:7" ht="16.5" thickBot="1">
      <c r="A19" s="368" t="s">
        <v>816</v>
      </c>
      <c r="B19" s="361"/>
      <c r="C19" s="361"/>
      <c r="D19" s="361"/>
      <c r="E19" s="361"/>
      <c r="F19" s="361"/>
      <c r="G19" s="362"/>
    </row>
    <row r="20" spans="1:7" ht="15.75" thickTop="1"/>
  </sheetData>
  <mergeCells count="1">
    <mergeCell ref="A2:G2"/>
  </mergeCells>
  <printOptions horizontalCentered="1"/>
  <pageMargins left="0" right="0" top="0.5" bottom="0" header="0" footer="0"/>
  <pageSetup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249977111117893"/>
    <pageSetUpPr fitToPage="1"/>
  </sheetPr>
  <dimension ref="A1:DK38"/>
  <sheetViews>
    <sheetView topLeftCell="A3" workbookViewId="0"/>
  </sheetViews>
  <sheetFormatPr defaultColWidth="9.140625" defaultRowHeight="15"/>
  <cols>
    <col min="1" max="1" width="2.85546875" style="23" customWidth="1"/>
    <col min="2" max="2" width="31.140625" style="4" bestFit="1" customWidth="1"/>
    <col min="3" max="3" width="26.85546875" style="4" customWidth="1"/>
    <col min="4" max="4" width="10.7109375" style="23" bestFit="1" customWidth="1"/>
    <col min="5" max="5" width="8.5703125" style="23" bestFit="1" customWidth="1"/>
    <col min="6" max="6" width="10.85546875" style="23" customWidth="1"/>
    <col min="7" max="7" width="9" style="23" bestFit="1" customWidth="1"/>
    <col min="8" max="8" width="34.5703125" style="23" bestFit="1" customWidth="1"/>
    <col min="9" max="9" width="3.42578125" style="2" customWidth="1"/>
    <col min="10" max="11" width="11.7109375" style="23" customWidth="1"/>
    <col min="12" max="23" width="11.7109375" style="2" customWidth="1"/>
    <col min="24" max="24" width="3" style="2" customWidth="1"/>
    <col min="25" max="115" width="9.140625" style="2"/>
    <col min="116" max="16384" width="9.140625" style="23"/>
  </cols>
  <sheetData>
    <row r="1" spans="1:115" ht="30" customHeight="1">
      <c r="A1" s="2"/>
      <c r="B1" s="231"/>
      <c r="C1" s="231"/>
    </row>
    <row r="2" spans="1:115" ht="30" customHeight="1">
      <c r="A2" s="2"/>
      <c r="B2" s="231"/>
      <c r="C2" s="231"/>
    </row>
    <row r="3" spans="1:115" s="24" customFormat="1" ht="21.95" customHeight="1">
      <c r="A3" s="140"/>
      <c r="B3" s="2999" t="s">
        <v>192</v>
      </c>
      <c r="C3" s="2999"/>
      <c r="D3" s="2999"/>
      <c r="E3" s="2999"/>
      <c r="F3" s="2999"/>
      <c r="G3" s="2999"/>
      <c r="H3" s="2999"/>
      <c r="I3" s="140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101"/>
      <c r="BS3" s="101"/>
      <c r="BT3" s="101"/>
      <c r="BU3" s="101"/>
      <c r="BV3" s="101"/>
      <c r="BW3" s="101"/>
      <c r="BX3" s="101"/>
      <c r="BY3" s="101"/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101"/>
      <c r="DD3" s="101"/>
      <c r="DE3" s="101"/>
      <c r="DF3" s="101"/>
      <c r="DG3" s="101"/>
      <c r="DH3" s="101"/>
      <c r="DI3" s="101"/>
      <c r="DJ3" s="101"/>
      <c r="DK3" s="101"/>
    </row>
    <row r="4" spans="1:115" s="24" customFormat="1" ht="28.5" customHeight="1">
      <c r="A4" s="140"/>
      <c r="B4" s="3000"/>
      <c r="C4" s="3000"/>
      <c r="D4" s="3000"/>
      <c r="E4" s="3000"/>
      <c r="F4" s="3000"/>
      <c r="G4" s="3000"/>
      <c r="H4" s="3000"/>
      <c r="I4" s="140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1"/>
      <c r="BY4" s="101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01"/>
      <c r="CW4" s="101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</row>
    <row r="5" spans="1:115" s="251" customFormat="1" ht="50.1" customHeight="1">
      <c r="A5" s="253"/>
      <c r="B5" s="247" t="s">
        <v>87</v>
      </c>
      <c r="C5" s="247" t="s">
        <v>88</v>
      </c>
      <c r="D5" s="248" t="s">
        <v>89</v>
      </c>
      <c r="E5" s="248" t="s">
        <v>435</v>
      </c>
      <c r="F5" s="248" t="s">
        <v>260</v>
      </c>
      <c r="G5" s="248" t="s">
        <v>90</v>
      </c>
      <c r="H5" s="247" t="s">
        <v>86</v>
      </c>
      <c r="I5" s="249"/>
      <c r="J5" s="247" t="s">
        <v>91</v>
      </c>
      <c r="K5" s="248" t="s">
        <v>162</v>
      </c>
      <c r="L5" s="247" t="s">
        <v>92</v>
      </c>
      <c r="M5" s="248" t="s">
        <v>218</v>
      </c>
      <c r="N5" s="247" t="s">
        <v>93</v>
      </c>
      <c r="O5" s="248" t="s">
        <v>218</v>
      </c>
      <c r="P5" s="248" t="s">
        <v>254</v>
      </c>
      <c r="Q5" s="248" t="s">
        <v>260</v>
      </c>
      <c r="R5" s="248" t="s">
        <v>264</v>
      </c>
      <c r="S5" s="248" t="s">
        <v>260</v>
      </c>
      <c r="T5" s="248" t="s">
        <v>335</v>
      </c>
      <c r="U5" s="248" t="s">
        <v>260</v>
      </c>
      <c r="V5" s="248" t="s">
        <v>371</v>
      </c>
      <c r="W5" s="248" t="s">
        <v>260</v>
      </c>
      <c r="X5" s="253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250"/>
      <c r="BN5" s="250"/>
      <c r="BO5" s="250"/>
      <c r="BP5" s="250"/>
      <c r="BQ5" s="250"/>
      <c r="BR5" s="250"/>
      <c r="BS5" s="250"/>
      <c r="BT5" s="250"/>
      <c r="BU5" s="250"/>
      <c r="BV5" s="250"/>
      <c r="BW5" s="250"/>
      <c r="BX5" s="250"/>
      <c r="BY5" s="250"/>
      <c r="BZ5" s="250"/>
      <c r="CA5" s="250"/>
      <c r="CB5" s="250"/>
      <c r="CC5" s="250"/>
      <c r="CD5" s="250"/>
      <c r="CE5" s="250"/>
      <c r="CF5" s="250"/>
      <c r="CG5" s="250"/>
      <c r="CH5" s="250"/>
      <c r="CI5" s="250"/>
      <c r="CJ5" s="250"/>
      <c r="CK5" s="250"/>
      <c r="CL5" s="250"/>
      <c r="CM5" s="250"/>
      <c r="CN5" s="250"/>
      <c r="CO5" s="250"/>
      <c r="CP5" s="250"/>
      <c r="CQ5" s="250"/>
      <c r="CR5" s="250"/>
      <c r="CS5" s="250"/>
      <c r="CT5" s="250"/>
      <c r="CU5" s="250"/>
      <c r="CV5" s="250"/>
      <c r="CW5" s="250"/>
      <c r="CX5" s="250"/>
      <c r="CY5" s="250"/>
      <c r="CZ5" s="250"/>
      <c r="DA5" s="250"/>
      <c r="DB5" s="250"/>
      <c r="DC5" s="250"/>
      <c r="DD5" s="250"/>
      <c r="DE5" s="250"/>
      <c r="DF5" s="250"/>
      <c r="DG5" s="250"/>
      <c r="DH5" s="250"/>
      <c r="DI5" s="250"/>
      <c r="DJ5" s="250"/>
      <c r="DK5" s="250"/>
    </row>
    <row r="6" spans="1:115" s="37" customFormat="1" ht="30" hidden="1" customHeight="1">
      <c r="A6" s="141"/>
      <c r="B6" s="108" t="s">
        <v>193</v>
      </c>
      <c r="C6" s="25"/>
      <c r="D6" s="26"/>
      <c r="E6" s="26"/>
      <c r="F6" s="27"/>
      <c r="G6" s="27"/>
      <c r="H6" s="27"/>
      <c r="I6" s="141"/>
      <c r="J6" s="26"/>
      <c r="K6" s="27"/>
      <c r="L6" s="26"/>
      <c r="M6" s="27"/>
      <c r="N6" s="26"/>
      <c r="O6" s="27"/>
      <c r="P6" s="26"/>
      <c r="Q6" s="27"/>
      <c r="R6" s="26"/>
      <c r="S6" s="27"/>
      <c r="T6" s="26"/>
      <c r="U6" s="27"/>
      <c r="V6" s="26"/>
      <c r="W6" s="27"/>
      <c r="X6" s="141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</row>
    <row r="7" spans="1:115" s="14" customFormat="1" ht="30" hidden="1" customHeight="1">
      <c r="A7" s="141"/>
      <c r="B7" s="43"/>
      <c r="C7" s="100"/>
      <c r="D7" s="103"/>
      <c r="E7" s="99"/>
      <c r="F7" s="66"/>
      <c r="G7" s="104"/>
      <c r="H7" s="28"/>
      <c r="I7" s="141"/>
      <c r="J7" s="99"/>
      <c r="K7" s="66"/>
      <c r="L7" s="99"/>
      <c r="M7" s="66"/>
      <c r="N7" s="99"/>
      <c r="O7" s="66"/>
      <c r="P7" s="99"/>
      <c r="Q7" s="66"/>
      <c r="R7" s="99"/>
      <c r="S7" s="66"/>
      <c r="T7" s="99"/>
      <c r="U7" s="66"/>
      <c r="V7" s="99"/>
      <c r="W7" s="66"/>
      <c r="X7" s="141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</row>
    <row r="8" spans="1:115" s="45" customFormat="1" ht="30" hidden="1" customHeight="1">
      <c r="A8" s="142"/>
      <c r="B8" s="43"/>
      <c r="C8" s="44"/>
      <c r="D8" s="34"/>
      <c r="E8" s="105"/>
      <c r="F8" s="67"/>
      <c r="G8" s="63"/>
      <c r="H8" s="28"/>
      <c r="I8" s="142"/>
      <c r="J8" s="105"/>
      <c r="K8" s="67"/>
      <c r="L8" s="105"/>
      <c r="M8" s="67"/>
      <c r="N8" s="105"/>
      <c r="O8" s="67"/>
      <c r="P8" s="105"/>
      <c r="Q8" s="67"/>
      <c r="R8" s="105"/>
      <c r="S8" s="67"/>
      <c r="T8" s="105"/>
      <c r="U8" s="67"/>
      <c r="V8" s="105"/>
      <c r="W8" s="67"/>
      <c r="X8" s="142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</row>
    <row r="9" spans="1:115" s="14" customFormat="1" ht="30" hidden="1" customHeight="1">
      <c r="A9" s="141"/>
      <c r="B9" s="43"/>
      <c r="C9" s="100"/>
      <c r="D9" s="34"/>
      <c r="E9" s="34"/>
      <c r="F9" s="63"/>
      <c r="G9" s="63"/>
      <c r="H9" s="28"/>
      <c r="I9" s="141"/>
      <c r="J9" s="34"/>
      <c r="K9" s="63"/>
      <c r="L9" s="34"/>
      <c r="M9" s="63"/>
      <c r="N9" s="34"/>
      <c r="O9" s="63"/>
      <c r="P9" s="34"/>
      <c r="Q9" s="63"/>
      <c r="R9" s="34"/>
      <c r="S9" s="63"/>
      <c r="T9" s="34"/>
      <c r="U9" s="63"/>
      <c r="V9" s="34"/>
      <c r="W9" s="63"/>
      <c r="X9" s="141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</row>
    <row r="10" spans="1:115" s="14" customFormat="1" ht="30" hidden="1" customHeight="1">
      <c r="A10" s="141"/>
      <c r="B10" s="43"/>
      <c r="C10" s="100"/>
      <c r="D10" s="34"/>
      <c r="E10" s="34"/>
      <c r="F10" s="63"/>
      <c r="G10" s="63"/>
      <c r="H10" s="28"/>
      <c r="I10" s="141"/>
      <c r="J10" s="34"/>
      <c r="K10" s="63"/>
      <c r="L10" s="34"/>
      <c r="M10" s="63"/>
      <c r="N10" s="34"/>
      <c r="O10" s="63"/>
      <c r="P10" s="34"/>
      <c r="Q10" s="63"/>
      <c r="R10" s="34"/>
      <c r="S10" s="63"/>
      <c r="T10" s="34"/>
      <c r="U10" s="63"/>
      <c r="V10" s="34"/>
      <c r="W10" s="63"/>
      <c r="X10" s="141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</row>
    <row r="11" spans="1:115" s="14" customFormat="1" ht="30" hidden="1" customHeight="1">
      <c r="A11" s="141"/>
      <c r="B11" s="43"/>
      <c r="C11" s="100"/>
      <c r="D11" s="34"/>
      <c r="E11" s="34"/>
      <c r="F11" s="63"/>
      <c r="G11" s="63"/>
      <c r="H11" s="28"/>
      <c r="I11" s="141"/>
      <c r="J11" s="34"/>
      <c r="K11" s="63"/>
      <c r="L11" s="34"/>
      <c r="M11" s="63"/>
      <c r="N11" s="34"/>
      <c r="O11" s="63"/>
      <c r="P11" s="34"/>
      <c r="Q11" s="63"/>
      <c r="R11" s="34"/>
      <c r="S11" s="63"/>
      <c r="T11" s="34"/>
      <c r="U11" s="63"/>
      <c r="V11" s="34"/>
      <c r="W11" s="63"/>
      <c r="X11" s="141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</row>
    <row r="12" spans="1:115" s="45" customFormat="1" ht="30" hidden="1" customHeight="1">
      <c r="A12" s="142"/>
      <c r="B12" s="43"/>
      <c r="C12" s="100"/>
      <c r="D12" s="34"/>
      <c r="E12" s="34"/>
      <c r="F12" s="63"/>
      <c r="G12" s="63"/>
      <c r="H12" s="28"/>
      <c r="I12" s="142"/>
      <c r="J12" s="34"/>
      <c r="K12" s="63"/>
      <c r="L12" s="34"/>
      <c r="M12" s="63"/>
      <c r="N12" s="34"/>
      <c r="O12" s="63"/>
      <c r="P12" s="34"/>
      <c r="Q12" s="63"/>
      <c r="R12" s="34"/>
      <c r="S12" s="63"/>
      <c r="T12" s="34"/>
      <c r="U12" s="63"/>
      <c r="V12" s="34"/>
      <c r="W12" s="63"/>
      <c r="X12" s="142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</row>
    <row r="13" spans="1:115" s="42" customFormat="1" ht="30" hidden="1" customHeight="1">
      <c r="A13" s="141"/>
      <c r="B13" s="43"/>
      <c r="C13" s="100"/>
      <c r="D13" s="34"/>
      <c r="E13" s="106"/>
      <c r="F13" s="63"/>
      <c r="G13" s="63"/>
      <c r="H13" s="28"/>
      <c r="I13" s="141"/>
      <c r="J13" s="106"/>
      <c r="K13" s="63"/>
      <c r="L13" s="106"/>
      <c r="M13" s="63"/>
      <c r="N13" s="106"/>
      <c r="O13" s="63"/>
      <c r="P13" s="106"/>
      <c r="Q13" s="63"/>
      <c r="R13" s="106"/>
      <c r="S13" s="63"/>
      <c r="T13" s="106"/>
      <c r="U13" s="63"/>
      <c r="V13" s="106"/>
      <c r="W13" s="63"/>
      <c r="X13" s="141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</row>
    <row r="14" spans="1:115" s="14" customFormat="1" ht="30" hidden="1" customHeight="1">
      <c r="A14" s="141"/>
      <c r="B14" s="36"/>
      <c r="C14" s="41"/>
      <c r="D14" s="35"/>
      <c r="E14" s="107"/>
      <c r="F14" s="65"/>
      <c r="G14" s="65"/>
      <c r="H14" s="29"/>
      <c r="I14" s="141"/>
      <c r="J14" s="107"/>
      <c r="K14" s="65"/>
      <c r="L14" s="107"/>
      <c r="M14" s="65"/>
      <c r="N14" s="107"/>
      <c r="O14" s="65"/>
      <c r="P14" s="107"/>
      <c r="Q14" s="65"/>
      <c r="R14" s="107"/>
      <c r="S14" s="65"/>
      <c r="T14" s="107"/>
      <c r="U14" s="65"/>
      <c r="V14" s="107"/>
      <c r="W14" s="65"/>
      <c r="X14" s="141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</row>
    <row r="15" spans="1:115" s="37" customFormat="1" ht="30" hidden="1" customHeight="1">
      <c r="A15" s="141"/>
      <c r="B15" s="108" t="s">
        <v>194</v>
      </c>
      <c r="C15" s="25"/>
      <c r="D15" s="31"/>
      <c r="E15" s="31"/>
      <c r="F15" s="31"/>
      <c r="G15" s="31"/>
      <c r="H15" s="27"/>
      <c r="I15" s="14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141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</row>
    <row r="16" spans="1:115" s="45" customFormat="1" ht="25.5" hidden="1">
      <c r="A16" s="142"/>
      <c r="B16" s="46" t="s">
        <v>198</v>
      </c>
      <c r="C16" s="110" t="s">
        <v>199</v>
      </c>
      <c r="D16" s="111">
        <v>1</v>
      </c>
      <c r="E16" s="112" t="s">
        <v>170</v>
      </c>
      <c r="F16" s="63" t="s">
        <v>170</v>
      </c>
      <c r="G16" s="32" t="s">
        <v>170</v>
      </c>
      <c r="H16" s="39" t="s">
        <v>200</v>
      </c>
      <c r="I16" s="142"/>
      <c r="J16" s="112" t="s">
        <v>170</v>
      </c>
      <c r="K16" s="63" t="s">
        <v>170</v>
      </c>
      <c r="L16" s="112" t="s">
        <v>170</v>
      </c>
      <c r="M16" s="63" t="s">
        <v>170</v>
      </c>
      <c r="N16" s="112" t="s">
        <v>170</v>
      </c>
      <c r="O16" s="63" t="s">
        <v>170</v>
      </c>
      <c r="P16" s="112" t="s">
        <v>170</v>
      </c>
      <c r="Q16" s="63" t="s">
        <v>170</v>
      </c>
      <c r="R16" s="112" t="s">
        <v>170</v>
      </c>
      <c r="S16" s="63" t="s">
        <v>170</v>
      </c>
      <c r="T16" s="112" t="s">
        <v>170</v>
      </c>
      <c r="U16" s="63" t="s">
        <v>170</v>
      </c>
      <c r="V16" s="112" t="s">
        <v>170</v>
      </c>
      <c r="W16" s="63" t="s">
        <v>170</v>
      </c>
      <c r="X16" s="142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</row>
    <row r="17" spans="1:115" s="42" customFormat="1" ht="25.5" hidden="1">
      <c r="A17" s="141"/>
      <c r="B17" s="46" t="s">
        <v>201</v>
      </c>
      <c r="C17" s="46" t="s">
        <v>202</v>
      </c>
      <c r="D17" s="113" t="s">
        <v>203</v>
      </c>
      <c r="E17" s="112" t="s">
        <v>170</v>
      </c>
      <c r="F17" s="63" t="s">
        <v>170</v>
      </c>
      <c r="G17" s="32" t="s">
        <v>170</v>
      </c>
      <c r="H17" s="39" t="s">
        <v>200</v>
      </c>
      <c r="I17" s="141"/>
      <c r="J17" s="112" t="s">
        <v>170</v>
      </c>
      <c r="K17" s="63" t="s">
        <v>170</v>
      </c>
      <c r="L17" s="112" t="s">
        <v>170</v>
      </c>
      <c r="M17" s="63" t="s">
        <v>170</v>
      </c>
      <c r="N17" s="112" t="s">
        <v>170</v>
      </c>
      <c r="O17" s="63" t="s">
        <v>170</v>
      </c>
      <c r="P17" s="112" t="s">
        <v>170</v>
      </c>
      <c r="Q17" s="63" t="s">
        <v>170</v>
      </c>
      <c r="R17" s="112" t="s">
        <v>170</v>
      </c>
      <c r="S17" s="63" t="s">
        <v>170</v>
      </c>
      <c r="T17" s="112" t="s">
        <v>170</v>
      </c>
      <c r="U17" s="63" t="s">
        <v>170</v>
      </c>
      <c r="V17" s="112" t="s">
        <v>170</v>
      </c>
      <c r="W17" s="63" t="s">
        <v>170</v>
      </c>
      <c r="X17" s="141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</row>
    <row r="18" spans="1:115" s="42" customFormat="1" ht="25.5" hidden="1">
      <c r="A18" s="141"/>
      <c r="B18" s="46" t="s">
        <v>204</v>
      </c>
      <c r="C18" s="46" t="s">
        <v>205</v>
      </c>
      <c r="D18" s="114" t="s">
        <v>206</v>
      </c>
      <c r="E18" s="112" t="s">
        <v>170</v>
      </c>
      <c r="F18" s="63" t="s">
        <v>170</v>
      </c>
      <c r="G18" s="32" t="s">
        <v>170</v>
      </c>
      <c r="H18" s="39" t="s">
        <v>200</v>
      </c>
      <c r="I18" s="141"/>
      <c r="J18" s="112" t="s">
        <v>170</v>
      </c>
      <c r="K18" s="63" t="s">
        <v>170</v>
      </c>
      <c r="L18" s="112" t="s">
        <v>170</v>
      </c>
      <c r="M18" s="63" t="s">
        <v>170</v>
      </c>
      <c r="N18" s="112" t="s">
        <v>170</v>
      </c>
      <c r="O18" s="63" t="s">
        <v>170</v>
      </c>
      <c r="P18" s="112" t="s">
        <v>170</v>
      </c>
      <c r="Q18" s="63" t="s">
        <v>170</v>
      </c>
      <c r="R18" s="112" t="s">
        <v>170</v>
      </c>
      <c r="S18" s="63" t="s">
        <v>170</v>
      </c>
      <c r="T18" s="112" t="s">
        <v>170</v>
      </c>
      <c r="U18" s="63" t="s">
        <v>170</v>
      </c>
      <c r="V18" s="112" t="s">
        <v>170</v>
      </c>
      <c r="W18" s="63" t="s">
        <v>170</v>
      </c>
      <c r="X18" s="141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</row>
    <row r="19" spans="1:115" s="42" customFormat="1" ht="25.5" hidden="1">
      <c r="A19" s="141"/>
      <c r="B19" s="46" t="s">
        <v>207</v>
      </c>
      <c r="C19" s="46" t="s">
        <v>208</v>
      </c>
      <c r="D19" s="115">
        <v>1</v>
      </c>
      <c r="E19" s="112" t="s">
        <v>170</v>
      </c>
      <c r="F19" s="63" t="s">
        <v>170</v>
      </c>
      <c r="G19" s="32" t="s">
        <v>170</v>
      </c>
      <c r="H19" s="39" t="s">
        <v>200</v>
      </c>
      <c r="I19" s="141"/>
      <c r="J19" s="112" t="s">
        <v>170</v>
      </c>
      <c r="K19" s="63" t="s">
        <v>170</v>
      </c>
      <c r="L19" s="112" t="s">
        <v>170</v>
      </c>
      <c r="M19" s="63" t="s">
        <v>170</v>
      </c>
      <c r="N19" s="112" t="s">
        <v>170</v>
      </c>
      <c r="O19" s="63" t="s">
        <v>170</v>
      </c>
      <c r="P19" s="112" t="s">
        <v>170</v>
      </c>
      <c r="Q19" s="63" t="s">
        <v>170</v>
      </c>
      <c r="R19" s="112" t="s">
        <v>170</v>
      </c>
      <c r="S19" s="63" t="s">
        <v>170</v>
      </c>
      <c r="T19" s="112" t="s">
        <v>170</v>
      </c>
      <c r="U19" s="63" t="s">
        <v>170</v>
      </c>
      <c r="V19" s="112" t="s">
        <v>170</v>
      </c>
      <c r="W19" s="63" t="s">
        <v>170</v>
      </c>
      <c r="X19" s="141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</row>
    <row r="20" spans="1:115" s="42" customFormat="1" ht="38.25" hidden="1">
      <c r="A20" s="141"/>
      <c r="B20" s="46" t="s">
        <v>209</v>
      </c>
      <c r="C20" s="116" t="s">
        <v>210</v>
      </c>
      <c r="D20" s="113" t="s">
        <v>211</v>
      </c>
      <c r="E20" s="112" t="s">
        <v>170</v>
      </c>
      <c r="F20" s="63" t="s">
        <v>170</v>
      </c>
      <c r="G20" s="32" t="s">
        <v>170</v>
      </c>
      <c r="H20" s="38" t="s">
        <v>212</v>
      </c>
      <c r="I20" s="141"/>
      <c r="J20" s="112" t="s">
        <v>170</v>
      </c>
      <c r="K20" s="63" t="s">
        <v>170</v>
      </c>
      <c r="L20" s="112" t="s">
        <v>170</v>
      </c>
      <c r="M20" s="63" t="s">
        <v>170</v>
      </c>
      <c r="N20" s="112" t="s">
        <v>170</v>
      </c>
      <c r="O20" s="63" t="s">
        <v>170</v>
      </c>
      <c r="P20" s="112" t="s">
        <v>170</v>
      </c>
      <c r="Q20" s="63" t="s">
        <v>170</v>
      </c>
      <c r="R20" s="112" t="s">
        <v>170</v>
      </c>
      <c r="S20" s="63" t="s">
        <v>170</v>
      </c>
      <c r="T20" s="112" t="s">
        <v>170</v>
      </c>
      <c r="U20" s="63" t="s">
        <v>170</v>
      </c>
      <c r="V20" s="112" t="s">
        <v>170</v>
      </c>
      <c r="W20" s="63" t="s">
        <v>170</v>
      </c>
      <c r="X20" s="141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  <c r="DF20" s="62"/>
      <c r="DG20" s="62"/>
      <c r="DH20" s="62"/>
      <c r="DI20" s="62"/>
      <c r="DJ20" s="62"/>
      <c r="DK20" s="62"/>
    </row>
    <row r="21" spans="1:115" s="42" customFormat="1" ht="25.5" hidden="1">
      <c r="A21" s="141"/>
      <c r="B21" s="117" t="s">
        <v>213</v>
      </c>
      <c r="C21" s="117" t="s">
        <v>214</v>
      </c>
      <c r="D21" s="118" t="s">
        <v>215</v>
      </c>
      <c r="E21" s="119" t="s">
        <v>170</v>
      </c>
      <c r="F21" s="63" t="s">
        <v>170</v>
      </c>
      <c r="G21" s="33" t="s">
        <v>170</v>
      </c>
      <c r="H21" s="40" t="s">
        <v>200</v>
      </c>
      <c r="I21" s="141"/>
      <c r="J21" s="119" t="s">
        <v>170</v>
      </c>
      <c r="K21" s="65" t="s">
        <v>170</v>
      </c>
      <c r="L21" s="119" t="s">
        <v>170</v>
      </c>
      <c r="M21" s="65" t="s">
        <v>170</v>
      </c>
      <c r="N21" s="119" t="s">
        <v>170</v>
      </c>
      <c r="O21" s="65" t="s">
        <v>170</v>
      </c>
      <c r="P21" s="119" t="s">
        <v>170</v>
      </c>
      <c r="Q21" s="65" t="s">
        <v>170</v>
      </c>
      <c r="R21" s="119" t="s">
        <v>170</v>
      </c>
      <c r="S21" s="65" t="s">
        <v>170</v>
      </c>
      <c r="T21" s="119" t="s">
        <v>170</v>
      </c>
      <c r="U21" s="65" t="s">
        <v>170</v>
      </c>
      <c r="V21" s="119" t="s">
        <v>170</v>
      </c>
      <c r="W21" s="65" t="s">
        <v>170</v>
      </c>
      <c r="X21" s="141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</row>
    <row r="22" spans="1:115" s="14" customFormat="1" ht="30" customHeight="1">
      <c r="A22" s="141"/>
      <c r="B22" s="337" t="s">
        <v>181</v>
      </c>
      <c r="C22" s="267" t="s">
        <v>117</v>
      </c>
      <c r="D22" s="307" t="s">
        <v>115</v>
      </c>
      <c r="E22" s="312">
        <f>(617/46223)</f>
        <v>1.3348333080933734E-2</v>
      </c>
      <c r="F22" s="338" t="s">
        <v>448</v>
      </c>
      <c r="G22" s="307" t="s">
        <v>96</v>
      </c>
      <c r="H22" s="267"/>
      <c r="I22" s="238"/>
      <c r="J22" s="279">
        <v>6.2230356909399919E-3</v>
      </c>
      <c r="K22" s="278" t="s">
        <v>190</v>
      </c>
      <c r="L22" s="285">
        <v>5.6778945753088311E-3</v>
      </c>
      <c r="M22" s="283" t="s">
        <v>230</v>
      </c>
      <c r="N22" s="279">
        <v>4.6760353189901757E-3</v>
      </c>
      <c r="O22" s="283" t="s">
        <v>242</v>
      </c>
      <c r="P22" s="286">
        <v>1.1052004035586536E-2</v>
      </c>
      <c r="Q22" s="283" t="s">
        <v>255</v>
      </c>
      <c r="R22" s="287">
        <v>1.3645749169584344E-2</v>
      </c>
      <c r="S22" s="283" t="s">
        <v>267</v>
      </c>
      <c r="T22" s="279">
        <v>8.0169168564390939E-3</v>
      </c>
      <c r="U22" s="283" t="s">
        <v>337</v>
      </c>
      <c r="V22" s="279">
        <v>7.7928971241073156E-3</v>
      </c>
      <c r="W22" s="283" t="s">
        <v>367</v>
      </c>
      <c r="X22" s="141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</row>
    <row r="23" spans="1:115" s="14" customFormat="1" ht="30" customHeight="1">
      <c r="A23" s="141"/>
      <c r="B23" s="339" t="s">
        <v>182</v>
      </c>
      <c r="C23" s="313" t="s">
        <v>118</v>
      </c>
      <c r="D23" s="314" t="s">
        <v>187</v>
      </c>
      <c r="E23" s="315">
        <f>'JV QUARTER'!N6</f>
        <v>0</v>
      </c>
      <c r="F23" s="340">
        <f>'JV QUARTER'!M6</f>
        <v>0</v>
      </c>
      <c r="G23" s="307" t="s">
        <v>96</v>
      </c>
      <c r="H23" s="341"/>
      <c r="I23" s="238"/>
      <c r="J23" s="281">
        <v>11.818898141559796</v>
      </c>
      <c r="K23" s="280">
        <v>38245</v>
      </c>
      <c r="L23" s="281">
        <v>13.302831689196324</v>
      </c>
      <c r="M23" s="280">
        <v>39099</v>
      </c>
      <c r="N23" s="281">
        <v>14.061217042479269</v>
      </c>
      <c r="O23" s="280">
        <v>40205</v>
      </c>
      <c r="P23" s="281">
        <v>17</v>
      </c>
      <c r="Q23" s="280">
        <v>43612</v>
      </c>
      <c r="R23" s="281">
        <v>18</v>
      </c>
      <c r="S23" s="280">
        <v>44556</v>
      </c>
      <c r="T23" s="281">
        <v>8.59272258618034</v>
      </c>
      <c r="U23" s="280">
        <v>43034</v>
      </c>
      <c r="V23" s="281">
        <v>7.5258415141870012</v>
      </c>
      <c r="W23" s="335">
        <f>'JV QUARTER'!M13</f>
        <v>50880</v>
      </c>
      <c r="X23" s="141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</row>
    <row r="24" spans="1:115" s="42" customFormat="1" ht="30" customHeight="1">
      <c r="A24" s="141"/>
      <c r="B24" s="339" t="s">
        <v>183</v>
      </c>
      <c r="C24" s="313"/>
      <c r="D24" s="314" t="s">
        <v>265</v>
      </c>
      <c r="E24" s="342">
        <f>(1121/46223)</f>
        <v>2.4251995759686736E-2</v>
      </c>
      <c r="F24" s="314" t="s">
        <v>442</v>
      </c>
      <c r="G24" s="307" t="s">
        <v>96</v>
      </c>
      <c r="H24" s="313"/>
      <c r="I24" s="238"/>
      <c r="J24" s="288">
        <v>7.5853052686625705E-2</v>
      </c>
      <c r="K24" s="280">
        <v>38245</v>
      </c>
      <c r="L24" s="289">
        <v>1.4731834573774265E-2</v>
      </c>
      <c r="M24" s="280" t="s">
        <v>231</v>
      </c>
      <c r="N24" s="289">
        <v>1.1317000373087924E-2</v>
      </c>
      <c r="O24" s="280" t="s">
        <v>243</v>
      </c>
      <c r="P24" s="289">
        <v>1.2999999999999999E-2</v>
      </c>
      <c r="Q24" s="280" t="s">
        <v>256</v>
      </c>
      <c r="R24" s="289">
        <v>1.2635784181703923E-2</v>
      </c>
      <c r="S24" s="280" t="s">
        <v>268</v>
      </c>
      <c r="T24" s="289">
        <v>2.0565134544778547E-2</v>
      </c>
      <c r="U24" s="280" t="s">
        <v>338</v>
      </c>
      <c r="V24" s="289">
        <v>2.0797143408608377E-2</v>
      </c>
      <c r="W24" s="280" t="s">
        <v>368</v>
      </c>
      <c r="X24" s="141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</row>
    <row r="25" spans="1:115" s="42" customFormat="1" ht="30" customHeight="1">
      <c r="A25" s="141"/>
      <c r="B25" s="339" t="s">
        <v>185</v>
      </c>
      <c r="C25" s="313" t="s">
        <v>188</v>
      </c>
      <c r="D25" s="314" t="s">
        <v>179</v>
      </c>
      <c r="E25" s="343">
        <v>272</v>
      </c>
      <c r="F25" s="265" t="s">
        <v>449</v>
      </c>
      <c r="G25" s="307" t="s">
        <v>96</v>
      </c>
      <c r="H25" s="341"/>
      <c r="I25" s="238"/>
      <c r="J25" s="290" t="s">
        <v>170</v>
      </c>
      <c r="K25" s="283" t="s">
        <v>170</v>
      </c>
      <c r="L25" s="290" t="s">
        <v>170</v>
      </c>
      <c r="M25" s="283">
        <v>39099</v>
      </c>
      <c r="N25" s="291">
        <v>209.49992700729928</v>
      </c>
      <c r="O25" s="283" t="s">
        <v>244</v>
      </c>
      <c r="P25" s="292">
        <v>128</v>
      </c>
      <c r="Q25" s="283" t="s">
        <v>257</v>
      </c>
      <c r="R25" s="282"/>
      <c r="S25" s="283">
        <v>44556</v>
      </c>
      <c r="T25" s="282"/>
      <c r="U25" s="283"/>
      <c r="V25" s="282"/>
      <c r="W25" s="334">
        <f>'JV QUARTER'!M13</f>
        <v>50880</v>
      </c>
      <c r="X25" s="141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</row>
    <row r="26" spans="1:115" s="102" customFormat="1" ht="30" customHeight="1">
      <c r="A26" s="142"/>
      <c r="B26" s="339" t="s">
        <v>186</v>
      </c>
      <c r="C26" s="313" t="s">
        <v>189</v>
      </c>
      <c r="D26" s="314" t="s">
        <v>266</v>
      </c>
      <c r="E26" s="324">
        <v>156</v>
      </c>
      <c r="F26" s="344">
        <f>'JV QUARTER'!M6</f>
        <v>0</v>
      </c>
      <c r="G26" s="307" t="s">
        <v>96</v>
      </c>
      <c r="H26" s="341"/>
      <c r="I26" s="239"/>
      <c r="J26" s="290" t="s">
        <v>170</v>
      </c>
      <c r="K26" s="283" t="s">
        <v>170</v>
      </c>
      <c r="L26" s="293">
        <v>148</v>
      </c>
      <c r="M26" s="283">
        <v>39099</v>
      </c>
      <c r="N26" s="294">
        <v>146.62124289967431</v>
      </c>
      <c r="O26" s="283" t="s">
        <v>245</v>
      </c>
      <c r="P26" s="294">
        <v>160</v>
      </c>
      <c r="Q26" s="283" t="s">
        <v>258</v>
      </c>
      <c r="R26" s="295">
        <v>162</v>
      </c>
      <c r="S26" s="283">
        <v>44556</v>
      </c>
      <c r="T26" s="295">
        <v>156.51561520226221</v>
      </c>
      <c r="U26" s="283">
        <v>43034</v>
      </c>
      <c r="V26" s="295">
        <v>150.68816582877685</v>
      </c>
      <c r="W26" s="334">
        <f>'JV QUARTER'!M13</f>
        <v>50880</v>
      </c>
      <c r="X26" s="142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</row>
    <row r="27" spans="1:115" s="45" customFormat="1" ht="30" customHeight="1">
      <c r="A27" s="142"/>
      <c r="B27" s="345" t="s">
        <v>184</v>
      </c>
      <c r="C27" s="263" t="s">
        <v>177</v>
      </c>
      <c r="D27" s="265" t="s">
        <v>234</v>
      </c>
      <c r="E27" s="308">
        <f>(518/46223)</f>
        <v>1.1206542197607252E-2</v>
      </c>
      <c r="F27" s="265" t="s">
        <v>443</v>
      </c>
      <c r="G27" s="307" t="s">
        <v>96</v>
      </c>
      <c r="H27" s="320"/>
      <c r="I27" s="239"/>
      <c r="J27" s="296">
        <v>1.4537848084716956E-2</v>
      </c>
      <c r="K27" s="283">
        <v>38245</v>
      </c>
      <c r="L27" s="279">
        <v>1.4962019488989488E-2</v>
      </c>
      <c r="M27" s="283" t="s">
        <v>232</v>
      </c>
      <c r="N27" s="279">
        <v>1.3157567466732993E-2</v>
      </c>
      <c r="O27" s="283" t="s">
        <v>246</v>
      </c>
      <c r="P27" s="279">
        <v>1.0999999999999999E-2</v>
      </c>
      <c r="Q27" s="283" t="s">
        <v>259</v>
      </c>
      <c r="R27" s="279">
        <v>1.5261693150193016E-2</v>
      </c>
      <c r="S27" s="283" t="s">
        <v>269</v>
      </c>
      <c r="T27" s="279">
        <v>1.4105126179300088E-2</v>
      </c>
      <c r="U27" s="283" t="s">
        <v>339</v>
      </c>
      <c r="V27" s="279">
        <v>1.2738853503184714E-2</v>
      </c>
      <c r="W27" s="283" t="s">
        <v>369</v>
      </c>
      <c r="X27" s="142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</row>
    <row r="28" spans="1:115" s="14" customFormat="1" ht="30" customHeight="1">
      <c r="A28" s="141"/>
      <c r="B28" s="267" t="s">
        <v>191</v>
      </c>
      <c r="C28" s="267" t="s">
        <v>120</v>
      </c>
      <c r="D28" s="303">
        <v>70</v>
      </c>
      <c r="E28" s="346" t="s">
        <v>365</v>
      </c>
      <c r="F28" s="347"/>
      <c r="G28" s="316" t="s">
        <v>121</v>
      </c>
      <c r="H28" s="348" t="s">
        <v>370</v>
      </c>
      <c r="I28" s="238"/>
      <c r="J28" s="290" t="s">
        <v>170</v>
      </c>
      <c r="K28" s="283" t="s">
        <v>170</v>
      </c>
      <c r="L28" s="297">
        <v>0.6</v>
      </c>
      <c r="M28" s="283"/>
      <c r="N28" s="298"/>
      <c r="O28" s="283"/>
      <c r="P28" s="297">
        <v>0.623</v>
      </c>
      <c r="Q28" s="283">
        <v>1304</v>
      </c>
      <c r="R28" s="299" t="s">
        <v>270</v>
      </c>
      <c r="S28" s="283"/>
      <c r="T28" s="300">
        <v>67.7</v>
      </c>
      <c r="U28" s="283">
        <v>789</v>
      </c>
      <c r="V28" s="284" t="s">
        <v>365</v>
      </c>
      <c r="W28" s="283"/>
      <c r="X28" s="141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</row>
    <row r="29" spans="1:115" s="14" customFormat="1" ht="30" customHeight="1">
      <c r="A29" s="141"/>
      <c r="B29" s="349"/>
      <c r="C29" s="350"/>
      <c r="D29" s="323"/>
      <c r="E29" s="326"/>
      <c r="F29" s="323"/>
      <c r="G29" s="265"/>
      <c r="H29" s="323"/>
      <c r="I29" s="141"/>
      <c r="J29" s="109"/>
      <c r="K29" s="30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141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  <c r="DI29" s="62"/>
      <c r="DJ29" s="62"/>
      <c r="DK29" s="62"/>
    </row>
    <row r="30" spans="1:115" s="14" customFormat="1" ht="30" customHeight="1">
      <c r="A30" s="141"/>
      <c r="B30" s="351"/>
      <c r="C30" s="270" t="s">
        <v>228</v>
      </c>
      <c r="D30" s="260"/>
      <c r="E30" s="260"/>
      <c r="F30" s="321"/>
      <c r="G30" s="265"/>
      <c r="H30" s="261"/>
      <c r="I30" s="141"/>
      <c r="J30" s="34"/>
      <c r="K30" s="67"/>
      <c r="L30" s="62"/>
      <c r="M30" s="62"/>
      <c r="N30" s="62"/>
      <c r="O30" s="333"/>
      <c r="P30" s="62"/>
      <c r="Q30" s="332"/>
      <c r="R30" s="62"/>
      <c r="S30" s="62"/>
      <c r="T30" s="62"/>
      <c r="U30" s="62"/>
      <c r="V30" s="62"/>
      <c r="W30" s="62"/>
      <c r="X30" s="141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</row>
    <row r="31" spans="1:115" s="14" customFormat="1" ht="30" customHeight="1">
      <c r="A31" s="141"/>
      <c r="B31" s="329"/>
      <c r="C31" s="270" t="s">
        <v>226</v>
      </c>
      <c r="D31" s="352"/>
      <c r="E31" s="353"/>
      <c r="F31" s="354"/>
      <c r="G31" s="355"/>
      <c r="H31" s="355"/>
      <c r="I31" s="141"/>
      <c r="J31" s="48"/>
      <c r="K31" s="47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240"/>
      <c r="X31" s="141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</row>
    <row r="32" spans="1:115" ht="30" customHeight="1">
      <c r="A32" s="143"/>
      <c r="B32" s="330"/>
      <c r="C32" s="270" t="s">
        <v>227</v>
      </c>
      <c r="D32" s="356"/>
      <c r="E32" s="356"/>
      <c r="F32" s="356"/>
      <c r="G32" s="356"/>
      <c r="H32" s="356"/>
      <c r="I32" s="143"/>
      <c r="X32" s="143"/>
    </row>
    <row r="33" spans="1:24" ht="30" customHeight="1">
      <c r="A33" s="143"/>
      <c r="B33" s="331"/>
      <c r="C33" s="270" t="s">
        <v>229</v>
      </c>
      <c r="D33" s="356"/>
      <c r="E33" s="356"/>
      <c r="F33" s="357"/>
      <c r="G33" s="356"/>
      <c r="H33" s="356"/>
      <c r="I33" s="143"/>
      <c r="Q33" s="246"/>
      <c r="X33" s="143"/>
    </row>
    <row r="34" spans="1:24" ht="30" customHeight="1">
      <c r="A34" s="143"/>
      <c r="B34" s="252"/>
      <c r="C34" s="252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</row>
    <row r="38" spans="1:24">
      <c r="C38" s="134"/>
      <c r="D38" s="120"/>
      <c r="E38" s="120"/>
      <c r="F38" s="120"/>
      <c r="G38" s="120"/>
      <c r="H38" s="120"/>
    </row>
  </sheetData>
  <mergeCells count="1">
    <mergeCell ref="B3:H4"/>
  </mergeCells>
  <pageMargins left="0" right="0" top="0.75" bottom="0" header="0.3" footer="0"/>
  <pageSetup paperSize="5" scale="58" fitToHeight="0" orientation="landscape" r:id="rId1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7" tint="0.39997558519241921"/>
    <pageSetUpPr fitToPage="1"/>
  </sheetPr>
  <dimension ref="A1:T51"/>
  <sheetViews>
    <sheetView showGridLines="0" zoomScale="60" zoomScaleNormal="60" workbookViewId="0">
      <selection activeCell="N26" sqref="N26"/>
    </sheetView>
  </sheetViews>
  <sheetFormatPr defaultColWidth="9.140625" defaultRowHeight="27" customHeight="1"/>
  <cols>
    <col min="1" max="1" width="35.5703125" style="135" customWidth="1"/>
    <col min="2" max="2" width="21.5703125" style="135" customWidth="1"/>
    <col min="3" max="20" width="15.7109375" style="135" customWidth="1"/>
    <col min="21" max="21" width="12.7109375" style="135" customWidth="1"/>
    <col min="22" max="16384" width="9.140625" style="135"/>
  </cols>
  <sheetData>
    <row r="1" ht="20.100000000000001" customHeight="1"/>
    <row r="2" ht="20.100000000000001" customHeight="1"/>
    <row r="3" ht="20.100000000000001" customHeight="1"/>
    <row r="4" ht="20.100000000000001" customHeight="1"/>
    <row r="5" ht="20.100000000000001" customHeight="1"/>
    <row r="6" ht="20.100000000000001" customHeight="1"/>
    <row r="7" ht="20.100000000000001" customHeight="1"/>
    <row r="8" ht="20.100000000000001" customHeight="1"/>
    <row r="9" ht="20.100000000000001" customHeight="1"/>
    <row r="10" ht="20.100000000000001" customHeight="1"/>
    <row r="11" ht="20.100000000000001" customHeight="1"/>
    <row r="12" ht="20.100000000000001" customHeight="1"/>
    <row r="13" ht="20.100000000000001" customHeight="1"/>
    <row r="14" ht="20.100000000000001" customHeight="1"/>
    <row r="15" ht="20.100000000000001" customHeight="1"/>
    <row r="16" ht="20.100000000000001" customHeight="1"/>
    <row r="17" spans="1:17" ht="20.100000000000001" customHeight="1"/>
    <row r="18" spans="1:17" ht="20.100000000000001" customHeight="1"/>
    <row r="19" spans="1:17" ht="20.100000000000001" customHeight="1"/>
    <row r="20" spans="1:17" ht="20.100000000000001" customHeight="1"/>
    <row r="21" spans="1:17" ht="20.100000000000001" customHeight="1"/>
    <row r="22" spans="1:17" ht="20.100000000000001" customHeight="1"/>
    <row r="23" spans="1:17" ht="20.100000000000001" customHeight="1"/>
    <row r="24" spans="1:17" ht="20.100000000000001" customHeight="1"/>
    <row r="25" spans="1:17" ht="20.100000000000001" customHeight="1"/>
    <row r="26" spans="1:17" ht="20.100000000000001" customHeight="1" thickBot="1"/>
    <row r="27" spans="1:17" s="168" customFormat="1" ht="39.950000000000003" customHeight="1" thickTop="1" thickBot="1">
      <c r="A27" s="2440"/>
      <c r="B27" s="2441" t="s">
        <v>136</v>
      </c>
      <c r="C27" s="2442">
        <v>42370</v>
      </c>
      <c r="D27" s="2442">
        <v>42401</v>
      </c>
      <c r="E27" s="2442">
        <v>42430</v>
      </c>
      <c r="F27" s="2442">
        <v>42461</v>
      </c>
      <c r="G27" s="2442">
        <v>42491</v>
      </c>
      <c r="H27" s="2442">
        <v>42522</v>
      </c>
      <c r="I27" s="2442">
        <v>42552</v>
      </c>
      <c r="J27" s="2442">
        <v>42583</v>
      </c>
      <c r="K27" s="2442">
        <v>42614</v>
      </c>
      <c r="L27" s="2442">
        <v>42644</v>
      </c>
      <c r="M27" s="2442">
        <v>42675</v>
      </c>
      <c r="N27" s="2443">
        <v>42705</v>
      </c>
    </row>
    <row r="28" spans="1:17" s="1215" customFormat="1" ht="39.950000000000003" customHeight="1" thickTop="1">
      <c r="A28" s="2161" t="s">
        <v>23</v>
      </c>
      <c r="B28" s="1911" t="s">
        <v>137</v>
      </c>
      <c r="C28" s="2162">
        <f>'GRAPH DATA'!I8</f>
        <v>535</v>
      </c>
      <c r="D28" s="1912">
        <f>'GRAPH DATA'!J8</f>
        <v>497</v>
      </c>
      <c r="E28" s="1912">
        <f>'GRAPH DATA'!K8</f>
        <v>508</v>
      </c>
      <c r="F28" s="1912">
        <f>'GRAPH DATA'!L8</f>
        <v>472</v>
      </c>
      <c r="G28" s="1912">
        <f>'GRAPH DATA'!M8</f>
        <v>556</v>
      </c>
      <c r="H28" s="1912">
        <f>'GRAPH DATA'!N8</f>
        <v>536</v>
      </c>
      <c r="I28" s="1912">
        <f>'GRAPH DATA'!O8</f>
        <v>579</v>
      </c>
      <c r="J28" s="1912">
        <f>'GRAPH DATA'!P8</f>
        <v>540</v>
      </c>
      <c r="K28" s="1912">
        <f>'GRAPH DATA'!Q8</f>
        <v>554</v>
      </c>
      <c r="L28" s="1912">
        <f>'GRAPH DATA'!R8</f>
        <v>533</v>
      </c>
      <c r="M28" s="1912">
        <f>'GRAPH DATA'!S8</f>
        <v>480</v>
      </c>
      <c r="N28" s="1912">
        <f>'GRAPH DATA'!T8</f>
        <v>445</v>
      </c>
    </row>
    <row r="29" spans="1:17" s="1215" customFormat="1" ht="39.950000000000003" customHeight="1">
      <c r="A29" s="2161" t="s">
        <v>70</v>
      </c>
      <c r="B29" s="1911" t="s">
        <v>137</v>
      </c>
      <c r="C29" s="1912">
        <f>'GRAPH DATA'!I9</f>
        <v>0</v>
      </c>
      <c r="D29" s="1912">
        <f>'GRAPH DATA'!J9</f>
        <v>0</v>
      </c>
      <c r="E29" s="1912">
        <f>'GRAPH DATA'!K9</f>
        <v>1</v>
      </c>
      <c r="F29" s="1912">
        <f>'GRAPH DATA'!L9</f>
        <v>1</v>
      </c>
      <c r="G29" s="1912">
        <f>'GRAPH DATA'!M9</f>
        <v>1</v>
      </c>
      <c r="H29" s="1912">
        <f>'GRAPH DATA'!N9</f>
        <v>0</v>
      </c>
      <c r="I29" s="1912">
        <f>'GRAPH DATA'!O9</f>
        <v>0</v>
      </c>
      <c r="J29" s="1912">
        <f>'GRAPH DATA'!P9</f>
        <v>0</v>
      </c>
      <c r="K29" s="1912">
        <f>'GRAPH DATA'!Q9</f>
        <v>0</v>
      </c>
      <c r="L29" s="1912">
        <f>'GRAPH DATA'!R9</f>
        <v>0</v>
      </c>
      <c r="M29" s="1912">
        <f>'GRAPH DATA'!S9</f>
        <v>0</v>
      </c>
      <c r="N29" s="1912">
        <f>'GRAPH DATA'!T9</f>
        <v>0</v>
      </c>
    </row>
    <row r="30" spans="1:17" s="1215" customFormat="1" ht="39.950000000000003" customHeight="1">
      <c r="A30" s="2161" t="s">
        <v>37</v>
      </c>
      <c r="B30" s="1911" t="s">
        <v>138</v>
      </c>
      <c r="C30" s="2203">
        <f>'GRAPH DATA'!I12</f>
        <v>0.97670535460902241</v>
      </c>
      <c r="D30" s="2204">
        <f>'GRAPH DATA'!J12</f>
        <v>0.97783549783549795</v>
      </c>
      <c r="E30" s="2204">
        <f>'GRAPH DATA'!K12</f>
        <v>0.99145244727417425</v>
      </c>
      <c r="F30" s="2204">
        <f>'GRAPH DATA'!L12</f>
        <v>0.99851411589895989</v>
      </c>
      <c r="G30" s="2204">
        <f>'GRAPH DATA'!M12</f>
        <v>0.99486294685124799</v>
      </c>
      <c r="H30" s="2204">
        <f>'GRAPH DATA'!N12</f>
        <v>0.9932846445847795</v>
      </c>
      <c r="I30" s="2204">
        <f>'GRAPH DATA'!O12</f>
        <v>0.94986283714067377</v>
      </c>
      <c r="J30" s="2204">
        <f>'GRAPH DATA'!P12</f>
        <v>0.99224484531538915</v>
      </c>
      <c r="K30" s="2204">
        <f>'GRAPH DATA'!Q12</f>
        <v>0.99061371742302073</v>
      </c>
      <c r="L30" s="2204">
        <f>'GRAPH DATA'!R12</f>
        <v>0.9919568642852914</v>
      </c>
      <c r="M30" s="2204">
        <f>'GRAPH DATA'!S12</f>
        <v>0.99297014987855658</v>
      </c>
      <c r="N30" s="2204"/>
    </row>
    <row r="31" spans="1:17" s="1215" customFormat="1" ht="39.950000000000003" customHeight="1">
      <c r="A31" s="2161" t="s">
        <v>7</v>
      </c>
      <c r="B31" s="1913"/>
      <c r="C31" s="1912">
        <f>'GRAPH DATA'!I10</f>
        <v>70019</v>
      </c>
      <c r="D31" s="1912">
        <f>'GRAPH DATA'!J10</f>
        <v>70334</v>
      </c>
      <c r="E31" s="1912">
        <f>'GRAPH DATA'!K10</f>
        <v>76071</v>
      </c>
      <c r="F31" s="1912">
        <f>'GRAPH DATA'!L10</f>
        <v>69769</v>
      </c>
      <c r="G31" s="1912">
        <f>'GRAPH DATA'!M10</f>
        <v>62391</v>
      </c>
      <c r="H31" s="1912">
        <f>'GRAPH DATA'!N10</f>
        <v>58565</v>
      </c>
      <c r="I31" s="1912">
        <f>'GRAPH DATA'!O10</f>
        <v>60599</v>
      </c>
      <c r="J31" s="1912">
        <f>'GRAPH DATA'!P10</f>
        <v>60242</v>
      </c>
      <c r="K31" s="1912">
        <f>'GRAPH DATA'!Q10</f>
        <v>60085</v>
      </c>
      <c r="L31" s="1912">
        <f>'GRAPH DATA'!R10</f>
        <v>59882</v>
      </c>
      <c r="M31" s="1912">
        <f>'GRAPH DATA'!S10</f>
        <v>59026</v>
      </c>
      <c r="N31" s="1912">
        <f>'GRAPH DATA'!T10</f>
        <v>62363</v>
      </c>
    </row>
    <row r="32" spans="1:17" s="1215" customFormat="1" ht="39.950000000000003" customHeight="1">
      <c r="A32" s="3001" t="s">
        <v>71</v>
      </c>
      <c r="B32" s="3002"/>
      <c r="C32" s="3002"/>
      <c r="D32" s="3002"/>
      <c r="E32" s="3002"/>
      <c r="F32" s="3002"/>
      <c r="G32" s="3002"/>
      <c r="H32" s="3002"/>
      <c r="I32" s="3002"/>
      <c r="J32" s="3002"/>
      <c r="K32" s="3002"/>
      <c r="L32" s="3002"/>
      <c r="M32" s="3002"/>
      <c r="N32" s="3002"/>
      <c r="P32" s="1216"/>
      <c r="Q32" s="1217"/>
    </row>
    <row r="33" spans="1:20" s="1215" customFormat="1" ht="39.950000000000003" customHeight="1">
      <c r="A33" s="3001" t="s">
        <v>374</v>
      </c>
      <c r="B33" s="3002"/>
      <c r="C33" s="3002"/>
      <c r="D33" s="3002"/>
      <c r="E33" s="3002"/>
      <c r="F33" s="3002"/>
      <c r="G33" s="3002"/>
      <c r="H33" s="3002"/>
      <c r="I33" s="3002"/>
      <c r="J33" s="3002"/>
      <c r="K33" s="3002"/>
      <c r="L33" s="3002"/>
      <c r="M33" s="3002"/>
      <c r="N33" s="3002"/>
      <c r="P33" s="1216"/>
      <c r="S33" s="1218"/>
    </row>
    <row r="34" spans="1:20" s="168" customFormat="1" ht="30" customHeight="1">
      <c r="B34" s="1699"/>
      <c r="C34" s="1700"/>
      <c r="D34" s="1700"/>
      <c r="E34" s="1700"/>
      <c r="F34" s="1700"/>
      <c r="G34" s="1700"/>
      <c r="H34" s="1700"/>
      <c r="I34" s="1700"/>
      <c r="J34" s="1700"/>
      <c r="K34" s="1700"/>
      <c r="L34" s="1700"/>
      <c r="M34" s="1700"/>
      <c r="N34" s="1700"/>
      <c r="O34" s="1700"/>
      <c r="P34" s="1700"/>
      <c r="Q34" s="1700"/>
      <c r="R34" s="1700"/>
      <c r="S34" s="1700"/>
      <c r="T34" s="1700"/>
    </row>
    <row r="35" spans="1:20" ht="30" customHeight="1"/>
    <row r="36" spans="1:20" ht="30" customHeight="1"/>
    <row r="37" spans="1:20" ht="30" customHeight="1"/>
    <row r="38" spans="1:20" ht="30" customHeight="1"/>
    <row r="39" spans="1:20" ht="30" customHeight="1"/>
    <row r="40" spans="1:20" ht="30" customHeight="1"/>
    <row r="41" spans="1:20" ht="30" customHeight="1"/>
    <row r="42" spans="1:20" ht="30" customHeight="1"/>
    <row r="43" spans="1:20" ht="30" customHeight="1"/>
    <row r="44" spans="1:20" ht="30" customHeight="1"/>
    <row r="45" spans="1:20" ht="30" customHeight="1"/>
    <row r="46" spans="1:20" ht="30" customHeight="1"/>
    <row r="47" spans="1:20" ht="30" customHeight="1"/>
    <row r="48" spans="1:20" ht="30" customHeight="1"/>
    <row r="49" ht="30" customHeight="1"/>
    <row r="50" ht="30" customHeight="1"/>
    <row r="51" ht="30" customHeight="1"/>
  </sheetData>
  <mergeCells count="2">
    <mergeCell ref="A32:N32"/>
    <mergeCell ref="A33:N33"/>
  </mergeCells>
  <printOptions horizontalCentered="1"/>
  <pageMargins left="0" right="0" top="0" bottom="0" header="0" footer="0"/>
  <pageSetup scale="55" fitToHeight="0" pageOrder="overThenDown" orientation="landscape" r:id="rId1"/>
  <headerFooter>
    <oddFooter>&amp;L&amp;"Arial Narrow,Bold"&amp;16&amp;K03-022Data Source:&amp;"Arial Narrow,Regular" Clinical Quality&amp;C&amp;"Arial Narrow,Bold"&amp;16&amp;K03-021Purpose: Monitors Clinical Quality Components Month by Month&amp;R&amp;"Arial Narrow,Regular"&amp;16&amp;K03-023&amp;D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7" tint="0.39997558519241921"/>
    <pageSetUpPr fitToPage="1"/>
  </sheetPr>
  <dimension ref="A1:A41"/>
  <sheetViews>
    <sheetView showGridLines="0" zoomScale="80" zoomScaleNormal="80" workbookViewId="0">
      <selection activeCell="W21" sqref="W21"/>
    </sheetView>
  </sheetViews>
  <sheetFormatPr defaultRowHeight="15"/>
  <cols>
    <col min="1" max="1" width="9.140625" customWidth="1"/>
  </cols>
  <sheetData>
    <row r="1" ht="20.100000000000001" customHeight="1"/>
    <row r="2" ht="20.100000000000001" customHeight="1"/>
    <row r="3" ht="20.100000000000001" customHeight="1"/>
    <row r="4" ht="20.100000000000001" customHeight="1"/>
    <row r="5" ht="20.100000000000001" customHeight="1"/>
    <row r="6" ht="20.100000000000001" customHeight="1"/>
    <row r="7" ht="20.100000000000001" customHeight="1"/>
    <row r="8" ht="20.100000000000001" customHeight="1"/>
    <row r="9" ht="20.100000000000001" customHeight="1"/>
    <row r="10" ht="20.100000000000001" customHeight="1"/>
    <row r="11" ht="20.100000000000001" customHeight="1"/>
    <row r="12" ht="20.100000000000001" customHeight="1"/>
    <row r="13" ht="20.100000000000001" customHeight="1"/>
    <row r="14" ht="20.100000000000001" customHeight="1"/>
    <row r="15" ht="20.100000000000001" customHeight="1"/>
    <row r="1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</sheetData>
  <printOptions horizontalCentered="1"/>
  <pageMargins left="0" right="0" top="0.5" bottom="0" header="0" footer="0"/>
  <pageSetup scale="82" fitToHeight="0" orientation="landscape" r:id="rId1"/>
  <headerFooter>
    <oddFooter>&amp;L&amp;"Arial Narrow,Bold"&amp;14&amp;K03-021Data Source:&amp;12 &amp;"Arial Narrow,Regular"&amp;14Clinical Quality&amp;C&amp;"Arial Narrow,Bold"&amp;14&amp;K03-021Purpose: Monitors the Clinical Quality Components Month by Month&amp;R&amp;"Arial Narrow,Bold"&amp;12&amp;K03-021&amp;D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7" tint="0.39997558519241921"/>
    <pageSetUpPr fitToPage="1"/>
  </sheetPr>
  <dimension ref="A1:A51"/>
  <sheetViews>
    <sheetView showGridLines="0" zoomScale="80" zoomScaleNormal="80" workbookViewId="0">
      <selection activeCell="X29" sqref="X29"/>
    </sheetView>
  </sheetViews>
  <sheetFormatPr defaultRowHeight="15"/>
  <sheetData>
    <row r="1" ht="20.100000000000001" customHeight="1"/>
    <row r="2" ht="20.100000000000001" customHeight="1"/>
    <row r="3" ht="20.100000000000001" customHeight="1"/>
    <row r="4" ht="20.100000000000001" customHeight="1"/>
    <row r="5" ht="20.100000000000001" customHeight="1"/>
    <row r="6" ht="20.100000000000001" customHeight="1"/>
    <row r="7" ht="20.100000000000001" customHeight="1"/>
    <row r="8" ht="20.100000000000001" customHeight="1"/>
    <row r="9" ht="20.100000000000001" customHeight="1"/>
    <row r="10" ht="20.100000000000001" customHeight="1"/>
    <row r="11" ht="20.100000000000001" customHeight="1"/>
    <row r="12" ht="20.100000000000001" customHeight="1"/>
    <row r="13" ht="20.100000000000001" customHeight="1"/>
    <row r="14" ht="20.100000000000001" customHeight="1"/>
    <row r="15" ht="20.100000000000001" customHeight="1"/>
    <row r="1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</sheetData>
  <printOptions horizontalCentered="1" verticalCentered="1"/>
  <pageMargins left="0" right="0" top="0" bottom="0.5" header="0" footer="0.25"/>
  <pageSetup scale="87" fitToHeight="0" orientation="landscape" r:id="rId1"/>
  <headerFooter>
    <oddFooter>&amp;L&amp;"Arial Narrow,Bold"&amp;12&amp;K03-021Data Source: &amp;"Arial Narrow,Regular"Clinical Quality&amp;C&amp;"Arial Narrow,Bold"&amp;12&amp;K03-021Purpose: Monitors the Number of Patients Seen Per Hour by Physicians Month to Month&amp;R&amp;"Arial Narrow,Bold"&amp;12&amp;K03-021&amp;D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7" tint="0.39997558519241921"/>
    <pageSetUpPr fitToPage="1"/>
  </sheetPr>
  <dimension ref="A1:AM36"/>
  <sheetViews>
    <sheetView showGridLines="0" topLeftCell="A7" zoomScale="50" zoomScaleNormal="50" workbookViewId="0">
      <selection activeCell="R14" sqref="R14"/>
    </sheetView>
  </sheetViews>
  <sheetFormatPr defaultColWidth="9.140625" defaultRowHeight="15"/>
  <cols>
    <col min="1" max="1" width="13.7109375" style="23" customWidth="1"/>
    <col min="2" max="2" width="14.7109375" style="23" customWidth="1"/>
    <col min="3" max="3" width="16.28515625" style="23" customWidth="1"/>
    <col min="4" max="6" width="14.7109375" style="23" customWidth="1"/>
    <col min="7" max="7" width="15.140625" style="23" customWidth="1"/>
    <col min="8" max="8" width="14.7109375" style="23" customWidth="1"/>
    <col min="9" max="9" width="15" style="23" customWidth="1"/>
    <col min="10" max="10" width="14.7109375" style="23" customWidth="1"/>
    <col min="11" max="11" width="15.42578125" style="23" customWidth="1"/>
    <col min="12" max="14" width="14.7109375" style="23" customWidth="1"/>
    <col min="15" max="15" width="14.42578125" style="23" bestFit="1" customWidth="1"/>
    <col min="16" max="16" width="14.7109375" style="23" customWidth="1"/>
    <col min="17" max="17" width="14.42578125" style="23" bestFit="1" customWidth="1"/>
    <col min="18" max="18" width="14.7109375" style="23" customWidth="1"/>
    <col min="19" max="19" width="14.42578125" style="23" bestFit="1" customWidth="1"/>
    <col min="20" max="20" width="14.7109375" style="23" customWidth="1"/>
    <col min="21" max="21" width="14.42578125" style="23" bestFit="1" customWidth="1"/>
    <col min="22" max="22" width="14.7109375" style="23" customWidth="1"/>
    <col min="23" max="23" width="14.42578125" style="23" bestFit="1" customWidth="1"/>
    <col min="24" max="24" width="14.7109375" style="23" customWidth="1"/>
    <col min="25" max="25" width="14.42578125" style="23" bestFit="1" customWidth="1"/>
    <col min="26" max="26" width="14.7109375" style="23" customWidth="1"/>
    <col min="27" max="27" width="14.42578125" style="23" bestFit="1" customWidth="1"/>
    <col min="28" max="28" width="14.7109375" style="23" customWidth="1"/>
    <col min="29" max="29" width="14.42578125" style="23" bestFit="1" customWidth="1"/>
    <col min="30" max="30" width="14.7109375" style="23" customWidth="1"/>
    <col min="31" max="31" width="14.42578125" style="23" bestFit="1" customWidth="1"/>
    <col min="32" max="32" width="14.7109375" style="23" customWidth="1"/>
    <col min="33" max="33" width="14.42578125" style="23" bestFit="1" customWidth="1"/>
    <col min="34" max="34" width="14.7109375" style="23" customWidth="1"/>
    <col min="35" max="35" width="14.42578125" style="23" bestFit="1" customWidth="1"/>
    <col min="36" max="36" width="14.7109375" style="23" customWidth="1"/>
    <col min="37" max="37" width="14.42578125" style="23" bestFit="1" customWidth="1"/>
    <col min="38" max="38" width="14.7109375" style="23" customWidth="1"/>
    <col min="39" max="39" width="14.42578125" style="23" bestFit="1" customWidth="1"/>
    <col min="40" max="16384" width="9.140625" style="23"/>
  </cols>
  <sheetData>
    <row r="1" ht="39.950000000000003" customHeight="1"/>
    <row r="2" ht="39.950000000000003" customHeight="1"/>
    <row r="3" ht="39.950000000000003" customHeight="1"/>
    <row r="4" ht="39.950000000000003" customHeight="1"/>
    <row r="5" ht="39.950000000000003" customHeight="1"/>
    <row r="6" ht="39.950000000000003" customHeight="1"/>
    <row r="7" ht="39.950000000000003" customHeight="1"/>
    <row r="8" ht="39.950000000000003" customHeight="1"/>
    <row r="9" ht="39.950000000000003" customHeight="1"/>
    <row r="10" ht="39.950000000000003" customHeight="1"/>
    <row r="11" ht="39.950000000000003" customHeight="1"/>
    <row r="12" ht="39.950000000000003" customHeight="1"/>
    <row r="13" ht="39.950000000000003" customHeight="1"/>
    <row r="14" ht="39.950000000000003" customHeight="1"/>
    <row r="15" ht="39.950000000000003" customHeight="1"/>
    <row r="16" ht="39.950000000000003" customHeight="1"/>
    <row r="17" spans="1:39" ht="39.950000000000003" customHeight="1"/>
    <row r="18" spans="1:39" ht="39.950000000000003" customHeight="1"/>
    <row r="19" spans="1:39" ht="60.75" customHeight="1"/>
    <row r="20" spans="1:39" ht="78" customHeight="1" thickBot="1">
      <c r="A20" s="3007" t="s">
        <v>313</v>
      </c>
      <c r="B20" s="3008"/>
      <c r="C20" s="3008"/>
      <c r="D20" s="3008"/>
      <c r="E20" s="3008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spans="1:39" s="1049" customFormat="1" ht="57.75" customHeight="1" thickTop="1">
      <c r="A21" s="3005" t="s">
        <v>276</v>
      </c>
      <c r="B21" s="3003" t="s">
        <v>62</v>
      </c>
      <c r="C21" s="3004"/>
      <c r="D21" s="3003" t="s">
        <v>275</v>
      </c>
      <c r="E21" s="3004"/>
      <c r="F21" s="3003" t="s">
        <v>29</v>
      </c>
      <c r="G21" s="3004"/>
      <c r="H21" s="3003" t="s">
        <v>41</v>
      </c>
      <c r="I21" s="3004"/>
      <c r="J21" s="3003" t="s">
        <v>9</v>
      </c>
      <c r="K21" s="3004"/>
      <c r="L21" s="3003" t="s">
        <v>474</v>
      </c>
      <c r="M21" s="3004"/>
      <c r="N21" s="3003" t="s">
        <v>476</v>
      </c>
      <c r="O21" s="3004"/>
      <c r="P21" s="3003" t="s">
        <v>477</v>
      </c>
      <c r="Q21" s="3004"/>
      <c r="R21" s="3003" t="s">
        <v>478</v>
      </c>
      <c r="S21" s="3004"/>
      <c r="T21" s="3003" t="s">
        <v>479</v>
      </c>
      <c r="U21" s="3004"/>
      <c r="V21" s="3003" t="s">
        <v>480</v>
      </c>
      <c r="W21" s="3004"/>
      <c r="X21" s="3003" t="s">
        <v>481</v>
      </c>
      <c r="Y21" s="3004"/>
      <c r="Z21" s="3003" t="s">
        <v>487</v>
      </c>
      <c r="AA21" s="3004"/>
      <c r="AB21" s="3003" t="s">
        <v>488</v>
      </c>
      <c r="AC21" s="3004"/>
      <c r="AD21" s="3003" t="s">
        <v>473</v>
      </c>
      <c r="AE21" s="3004"/>
      <c r="AF21" s="3003" t="s">
        <v>468</v>
      </c>
      <c r="AG21" s="3004"/>
      <c r="AH21" s="3003" t="s">
        <v>469</v>
      </c>
      <c r="AI21" s="3011"/>
      <c r="AJ21" s="3003" t="s">
        <v>470</v>
      </c>
      <c r="AK21" s="3010"/>
      <c r="AL21" s="3003" t="s">
        <v>471</v>
      </c>
      <c r="AM21" s="3009"/>
    </row>
    <row r="22" spans="1:39" s="223" customFormat="1" ht="57.75" customHeight="1">
      <c r="A22" s="3006"/>
      <c r="B22" s="1696" t="s">
        <v>311</v>
      </c>
      <c r="C22" s="1697" t="s">
        <v>156</v>
      </c>
      <c r="D22" s="1696" t="s">
        <v>311</v>
      </c>
      <c r="E22" s="1697" t="s">
        <v>156</v>
      </c>
      <c r="F22" s="1696" t="s">
        <v>311</v>
      </c>
      <c r="G22" s="1697" t="s">
        <v>156</v>
      </c>
      <c r="H22" s="1696" t="s">
        <v>311</v>
      </c>
      <c r="I22" s="1697" t="s">
        <v>156</v>
      </c>
      <c r="J22" s="1696" t="s">
        <v>311</v>
      </c>
      <c r="K22" s="1697" t="s">
        <v>156</v>
      </c>
      <c r="L22" s="1696" t="s">
        <v>311</v>
      </c>
      <c r="M22" s="1697" t="s">
        <v>156</v>
      </c>
      <c r="N22" s="1696" t="s">
        <v>311</v>
      </c>
      <c r="O22" s="1697" t="s">
        <v>156</v>
      </c>
      <c r="P22" s="1696" t="s">
        <v>311</v>
      </c>
      <c r="Q22" s="1697" t="s">
        <v>156</v>
      </c>
      <c r="R22" s="1696" t="s">
        <v>311</v>
      </c>
      <c r="S22" s="1697" t="s">
        <v>156</v>
      </c>
      <c r="T22" s="1696" t="s">
        <v>311</v>
      </c>
      <c r="U22" s="1697" t="s">
        <v>156</v>
      </c>
      <c r="V22" s="1696" t="s">
        <v>311</v>
      </c>
      <c r="W22" s="1697" t="s">
        <v>156</v>
      </c>
      <c r="X22" s="1696" t="s">
        <v>311</v>
      </c>
      <c r="Y22" s="1697" t="s">
        <v>156</v>
      </c>
      <c r="Z22" s="1696" t="s">
        <v>311</v>
      </c>
      <c r="AA22" s="1697" t="s">
        <v>156</v>
      </c>
      <c r="AB22" s="1696" t="s">
        <v>311</v>
      </c>
      <c r="AC22" s="1697" t="s">
        <v>156</v>
      </c>
      <c r="AD22" s="1696" t="s">
        <v>311</v>
      </c>
      <c r="AE22" s="1697" t="s">
        <v>156</v>
      </c>
      <c r="AF22" s="1696" t="s">
        <v>311</v>
      </c>
      <c r="AG22" s="1697" t="s">
        <v>156</v>
      </c>
      <c r="AH22" s="1696" t="s">
        <v>311</v>
      </c>
      <c r="AI22" s="1697" t="s">
        <v>156</v>
      </c>
      <c r="AJ22" s="1696" t="s">
        <v>311</v>
      </c>
      <c r="AK22" s="1697" t="s">
        <v>156</v>
      </c>
      <c r="AL22" s="1698" t="s">
        <v>311</v>
      </c>
      <c r="AM22" s="1697" t="s">
        <v>156</v>
      </c>
    </row>
    <row r="23" spans="1:39" s="237" customFormat="1" ht="57.75" customHeight="1">
      <c r="A23" s="2326">
        <v>42370</v>
      </c>
      <c r="B23" s="2327">
        <f>COMPOSITE!B$199</f>
        <v>2542</v>
      </c>
      <c r="C23" s="2328">
        <f>COMPOSITE!D$199</f>
        <v>482</v>
      </c>
      <c r="D23" s="2327">
        <f>COMPOSITE!$B$176</f>
        <v>0</v>
      </c>
      <c r="E23" s="2328">
        <f>COMPOSITE!$D$176</f>
        <v>0</v>
      </c>
      <c r="F23" s="2327">
        <f>COMPOSITE!$B$177</f>
        <v>0</v>
      </c>
      <c r="G23" s="2328">
        <f>COMPOSITE!$D$177</f>
        <v>0</v>
      </c>
      <c r="H23" s="2327">
        <f>COMPOSITE!$B$178</f>
        <v>60</v>
      </c>
      <c r="I23" s="2328">
        <f>COMPOSITE!D$178</f>
        <v>0</v>
      </c>
      <c r="J23" s="2327">
        <f>COMPOSITE!$B$179</f>
        <v>0</v>
      </c>
      <c r="K23" s="2328">
        <f>COMPOSITE!D$179</f>
        <v>0</v>
      </c>
      <c r="L23" s="2327">
        <f>COMPOSITE!B$180</f>
        <v>1.5</v>
      </c>
      <c r="M23" s="2328">
        <f>COMPOSITE!D$180</f>
        <v>0</v>
      </c>
      <c r="N23" s="2327">
        <f>COMPOSITE!B$181</f>
        <v>452</v>
      </c>
      <c r="O23" s="2328">
        <f>COMPOSITE!D$181</f>
        <v>0</v>
      </c>
      <c r="P23" s="2327">
        <f>COMPOSITE!B$182</f>
        <v>165</v>
      </c>
      <c r="Q23" s="2328">
        <f>COMPOSITE!D$182</f>
        <v>0</v>
      </c>
      <c r="R23" s="2327">
        <f>COMPOSITE!B$183</f>
        <v>0</v>
      </c>
      <c r="S23" s="2328">
        <f>COMPOSITE!D$183</f>
        <v>132</v>
      </c>
      <c r="T23" s="2327">
        <f>COMPOSITE!B$184</f>
        <v>608.5</v>
      </c>
      <c r="U23" s="2328">
        <f>COMPOSITE!D$184</f>
        <v>0</v>
      </c>
      <c r="V23" s="2327">
        <f>COMPOSITE!B$185</f>
        <v>0</v>
      </c>
      <c r="W23" s="2328">
        <f>COMPOSITE!D$185</f>
        <v>0</v>
      </c>
      <c r="X23" s="2327">
        <f>COMPOSITE!B$186</f>
        <v>0</v>
      </c>
      <c r="Y23" s="2328">
        <f>COMPOSITE!D$185</f>
        <v>0</v>
      </c>
      <c r="Z23" s="2327">
        <f>COMPOSITE!B$188</f>
        <v>24</v>
      </c>
      <c r="AA23" s="2328">
        <f>COMPOSITE!D$188</f>
        <v>0</v>
      </c>
      <c r="AB23" s="2327">
        <f>COMPOSITE!B$187</f>
        <v>297</v>
      </c>
      <c r="AC23" s="2328">
        <f>COMPOSITE!D$187</f>
        <v>0</v>
      </c>
      <c r="AD23" s="2327">
        <f>COMPOSITE!B$189</f>
        <v>324</v>
      </c>
      <c r="AE23" s="2328">
        <f>COMPOSITE!D$189</f>
        <v>0</v>
      </c>
      <c r="AF23" s="2327">
        <f>COMPOSITE!B$190</f>
        <v>174</v>
      </c>
      <c r="AG23" s="2328">
        <f>COMPOSITE!D$190</f>
        <v>0</v>
      </c>
      <c r="AH23" s="2327">
        <f>COMPOSITE!B$191</f>
        <v>0</v>
      </c>
      <c r="AI23" s="2328">
        <f>COMPOSITE!D$191</f>
        <v>26</v>
      </c>
      <c r="AJ23" s="2327">
        <f>COMPOSITE!B$192</f>
        <v>436</v>
      </c>
      <c r="AK23" s="2328">
        <f>COMPOSITE!D$192</f>
        <v>300</v>
      </c>
      <c r="AL23" s="2327">
        <f>COMPOSITE!B$193</f>
        <v>0</v>
      </c>
      <c r="AM23" s="2328">
        <f>COMPOSITE!D$193</f>
        <v>0</v>
      </c>
    </row>
    <row r="24" spans="1:39" s="237" customFormat="1" ht="57.75" customHeight="1">
      <c r="A24" s="2329">
        <v>42401</v>
      </c>
      <c r="B24" s="2327">
        <f>COMPOSITE!E$199</f>
        <v>2253</v>
      </c>
      <c r="C24" s="2328">
        <f>COMPOSITE!G$199</f>
        <v>594</v>
      </c>
      <c r="D24" s="2327">
        <f>COMPOSITE!$E$176</f>
        <v>0</v>
      </c>
      <c r="E24" s="2328">
        <f>COMPOSITE!$G$176</f>
        <v>0</v>
      </c>
      <c r="F24" s="2327">
        <f>COMPOSITE!$E$177</f>
        <v>0</v>
      </c>
      <c r="G24" s="2328">
        <f>COMPOSITE!$G$177</f>
        <v>0</v>
      </c>
      <c r="H24" s="2327">
        <f>COMPOSITE!$E$178</f>
        <v>24</v>
      </c>
      <c r="I24" s="2328">
        <f>COMPOSITE!G$178</f>
        <v>0</v>
      </c>
      <c r="J24" s="2327">
        <f>COMPOSITE!$E$179</f>
        <v>0</v>
      </c>
      <c r="K24" s="2328">
        <f>COMPOSITE!G$179</f>
        <v>0</v>
      </c>
      <c r="L24" s="2327">
        <f>COMPOSITE!E$180</f>
        <v>0</v>
      </c>
      <c r="M24" s="2328">
        <f>COMPOSITE!G$180</f>
        <v>0</v>
      </c>
      <c r="N24" s="2327">
        <f>COMPOSITE!E$181</f>
        <v>173</v>
      </c>
      <c r="O24" s="2328">
        <f>COMPOSITE!G$181</f>
        <v>91</v>
      </c>
      <c r="P24" s="2327">
        <f>COMPOSITE!E$182</f>
        <v>180</v>
      </c>
      <c r="Q24" s="2328">
        <f>COMPOSITE!G$182</f>
        <v>0</v>
      </c>
      <c r="R24" s="2327">
        <f>COMPOSITE!E$183</f>
        <v>187</v>
      </c>
      <c r="S24" s="2328">
        <f>COMPOSITE!G$183</f>
        <v>359</v>
      </c>
      <c r="T24" s="2327">
        <f>COMPOSITE!E$184</f>
        <v>698</v>
      </c>
      <c r="U24" s="2328">
        <f>COMPOSITE!G$184</f>
        <v>13</v>
      </c>
      <c r="V24" s="2327">
        <f>COMPOSITE!E$185</f>
        <v>0</v>
      </c>
      <c r="W24" s="2328">
        <f>COMPOSITE!G$185</f>
        <v>0</v>
      </c>
      <c r="X24" s="2327">
        <f>COMPOSITE!E$186</f>
        <v>0</v>
      </c>
      <c r="Y24" s="2328">
        <f>COMPOSITE!G$185</f>
        <v>0</v>
      </c>
      <c r="Z24" s="2327">
        <f>COMPOSITE!E$188</f>
        <v>67</v>
      </c>
      <c r="AA24" s="2328">
        <f>COMPOSITE!G$188</f>
        <v>0</v>
      </c>
      <c r="AB24" s="2327">
        <f>COMPOSITE!E$187</f>
        <v>236</v>
      </c>
      <c r="AC24" s="2328">
        <f>COMPOSITE!G$187</f>
        <v>13</v>
      </c>
      <c r="AD24" s="2327">
        <f>COMPOSITE!E$189</f>
        <v>36</v>
      </c>
      <c r="AE24" s="2328">
        <f>COMPOSITE!G$189</f>
        <v>0</v>
      </c>
      <c r="AF24" s="2327">
        <f>COMPOSITE!E$190</f>
        <v>186</v>
      </c>
      <c r="AG24" s="2328">
        <f>COMPOSITE!G$190</f>
        <v>0</v>
      </c>
      <c r="AH24" s="2327">
        <f>COMPOSITE!E$191</f>
        <v>72</v>
      </c>
      <c r="AI24" s="2328">
        <f>COMPOSITE!G$191</f>
        <v>24</v>
      </c>
      <c r="AJ24" s="2327">
        <f>COMPOSITE!E$192</f>
        <v>370</v>
      </c>
      <c r="AK24" s="2328">
        <f>COMPOSITE!G$192</f>
        <v>94</v>
      </c>
      <c r="AL24" s="2327">
        <f>COMPOSITE!E$193</f>
        <v>0</v>
      </c>
      <c r="AM24" s="2328">
        <f>COMPOSITE!G$193</f>
        <v>0</v>
      </c>
    </row>
    <row r="25" spans="1:39" s="237" customFormat="1" ht="57.75" customHeight="1">
      <c r="A25" s="2329">
        <v>42430</v>
      </c>
      <c r="B25" s="2327">
        <f>COMPOSITE!H$199</f>
        <v>2443</v>
      </c>
      <c r="C25" s="2328">
        <f>COMPOSITE!J$199</f>
        <v>438</v>
      </c>
      <c r="D25" s="2327">
        <f>COMPOSITE!$H$176</f>
        <v>0</v>
      </c>
      <c r="E25" s="2328">
        <f>COMPOSITE!$J$176</f>
        <v>0</v>
      </c>
      <c r="F25" s="2327">
        <f>COMPOSITE!$H$177</f>
        <v>0</v>
      </c>
      <c r="G25" s="2328">
        <f>COMPOSITE!$J$177</f>
        <v>0</v>
      </c>
      <c r="H25" s="2327">
        <f>COMPOSITE!$H$178</f>
        <v>48</v>
      </c>
      <c r="I25" s="2328">
        <f>COMPOSITE!J$178</f>
        <v>0</v>
      </c>
      <c r="J25" s="2327">
        <f>COMPOSITE!$H$179</f>
        <v>12</v>
      </c>
      <c r="K25" s="2328">
        <f>COMPOSITE!J$179</f>
        <v>0</v>
      </c>
      <c r="L25" s="2327">
        <f>COMPOSITE!H$180</f>
        <v>130</v>
      </c>
      <c r="M25" s="2328">
        <f>COMPOSITE!J$180</f>
        <v>0</v>
      </c>
      <c r="N25" s="2327">
        <f>COMPOSITE!H$181</f>
        <v>197</v>
      </c>
      <c r="O25" s="2328">
        <f>COMPOSITE!J$181</f>
        <v>101</v>
      </c>
      <c r="P25" s="2327">
        <f>COMPOSITE!H$182</f>
        <v>240</v>
      </c>
      <c r="Q25" s="2328">
        <f>COMPOSITE!J$182</f>
        <v>0</v>
      </c>
      <c r="R25" s="2327">
        <f>COMPOSITE!H$183</f>
        <v>217.5</v>
      </c>
      <c r="S25" s="2328">
        <f>COMPOSITE!J$183</f>
        <v>195</v>
      </c>
      <c r="T25" s="2327">
        <f>COMPOSITE!H$184</f>
        <v>752.5</v>
      </c>
      <c r="U25" s="2328">
        <f>COMPOSITE!J$184</f>
        <v>0</v>
      </c>
      <c r="V25" s="2327">
        <f>COMPOSITE!H$185</f>
        <v>0</v>
      </c>
      <c r="W25" s="2328">
        <f>COMPOSITE!J$185</f>
        <v>0</v>
      </c>
      <c r="X25" s="2327">
        <f>COMPOSITE!H$186</f>
        <v>0</v>
      </c>
      <c r="Y25" s="2328">
        <f>COMPOSITE!J$185</f>
        <v>0</v>
      </c>
      <c r="Z25" s="2327">
        <f>COMPOSITE!H$188</f>
        <v>54</v>
      </c>
      <c r="AA25" s="2328">
        <f>COMPOSITE!G$188</f>
        <v>0</v>
      </c>
      <c r="AB25" s="2327">
        <f>COMPOSITE!H$187</f>
        <v>250</v>
      </c>
      <c r="AC25" s="2328">
        <f>COMPOSITE!J$187</f>
        <v>0</v>
      </c>
      <c r="AD25" s="2327">
        <f>COMPOSITE!H$189</f>
        <v>36</v>
      </c>
      <c r="AE25" s="2328">
        <f>COMPOSITE!J$189</f>
        <v>0</v>
      </c>
      <c r="AF25" s="2327">
        <f>COMPOSITE!H$190</f>
        <v>165</v>
      </c>
      <c r="AG25" s="2328">
        <f>COMPOSITE!J$190</f>
        <v>0</v>
      </c>
      <c r="AH25" s="2327">
        <f>COMPOSITE!H$191</f>
        <v>48</v>
      </c>
      <c r="AI25" s="2328">
        <f>COMPOSITE!J$191</f>
        <v>0</v>
      </c>
      <c r="AJ25" s="2327">
        <f>COMPOSITE!H$192</f>
        <v>257</v>
      </c>
      <c r="AK25" s="2328">
        <f>COMPOSITE!J$192</f>
        <v>142</v>
      </c>
      <c r="AL25" s="2327">
        <f>COMPOSITE!H$193</f>
        <v>0</v>
      </c>
      <c r="AM25" s="2328">
        <f>COMPOSITE!J$193</f>
        <v>0</v>
      </c>
    </row>
    <row r="26" spans="1:39" s="237" customFormat="1" ht="57.75" customHeight="1">
      <c r="A26" s="2329">
        <v>42461</v>
      </c>
      <c r="B26" s="2327">
        <f>COMPOSITE!K$199</f>
        <v>2728</v>
      </c>
      <c r="C26" s="2328">
        <f>COMPOSITE!M$199</f>
        <v>488</v>
      </c>
      <c r="D26" s="2327">
        <f>COMPOSITE!$K$176</f>
        <v>0</v>
      </c>
      <c r="E26" s="2328">
        <f>COMPOSITE!$M$176</f>
        <v>0</v>
      </c>
      <c r="F26" s="2327">
        <f>COMPOSITE!$K$177</f>
        <v>0</v>
      </c>
      <c r="G26" s="2328">
        <f>COMPOSITE!$M$177</f>
        <v>0</v>
      </c>
      <c r="H26" s="2327">
        <f>COMPOSITE!$K$178</f>
        <v>96</v>
      </c>
      <c r="I26" s="2328">
        <f>COMPOSITE!M$178</f>
        <v>0</v>
      </c>
      <c r="J26" s="2327">
        <f>COMPOSITE!$K$179</f>
        <v>36</v>
      </c>
      <c r="K26" s="2328">
        <f>COMPOSITE!M$179</f>
        <v>0</v>
      </c>
      <c r="L26" s="2327">
        <f>COMPOSITE!K$180</f>
        <v>145</v>
      </c>
      <c r="M26" s="2328">
        <f>COMPOSITE!M$180</f>
        <v>0</v>
      </c>
      <c r="N26" s="2327">
        <f>COMPOSITE!K$181</f>
        <v>410</v>
      </c>
      <c r="O26" s="2328">
        <f>COMPOSITE!M$181</f>
        <v>0</v>
      </c>
      <c r="P26" s="2327">
        <f>COMPOSITE!K$182</f>
        <v>192</v>
      </c>
      <c r="Q26" s="2328">
        <f>COMPOSITE!M$182</f>
        <v>0</v>
      </c>
      <c r="R26" s="2327">
        <f>COMPOSITE!K$183</f>
        <v>280</v>
      </c>
      <c r="S26" s="2328">
        <f>COMPOSITE!M$183</f>
        <v>130</v>
      </c>
      <c r="T26" s="2327">
        <f>COMPOSITE!K$184</f>
        <v>648</v>
      </c>
      <c r="U26" s="2328">
        <f>COMPOSITE!M$184</f>
        <v>65</v>
      </c>
      <c r="V26" s="2327">
        <f>COMPOSITE!K$185</f>
        <v>0</v>
      </c>
      <c r="W26" s="2328">
        <f>COMPOSITE!M$185</f>
        <v>0</v>
      </c>
      <c r="X26" s="2327">
        <f>COMPOSITE!K$186</f>
        <v>0</v>
      </c>
      <c r="Y26" s="2328">
        <f>COMPOSITE!M$185</f>
        <v>0</v>
      </c>
      <c r="Z26" s="2327">
        <f>COMPOSITE!K$188</f>
        <v>34</v>
      </c>
      <c r="AA26" s="2328">
        <f>COMPOSITE!M$188</f>
        <v>0</v>
      </c>
      <c r="AB26" s="2327">
        <f>COMPOSITE!K$187</f>
        <v>226</v>
      </c>
      <c r="AC26" s="2328">
        <f>COMPOSITE!M$187</f>
        <v>0</v>
      </c>
      <c r="AD26" s="2327">
        <f>COMPOSITE!K$189</f>
        <v>342</v>
      </c>
      <c r="AE26" s="2328">
        <f>COMPOSITE!M$189</f>
        <v>0</v>
      </c>
      <c r="AF26" s="2327">
        <f>COMPOSITE!K$190</f>
        <v>153</v>
      </c>
      <c r="AG26" s="2328">
        <f>COMPOSITE!M$190</f>
        <v>50</v>
      </c>
      <c r="AH26" s="2327">
        <f>COMPOSITE!K$191</f>
        <v>0</v>
      </c>
      <c r="AI26" s="2328">
        <f>COMPOSITE!M$191</f>
        <v>13</v>
      </c>
      <c r="AJ26" s="2327">
        <f>COMPOSITE!K$192</f>
        <v>166</v>
      </c>
      <c r="AK26" s="2328">
        <f>COMPOSITE!M$192</f>
        <v>178</v>
      </c>
      <c r="AL26" s="2327">
        <f>COMPOSITE!K$193</f>
        <v>0</v>
      </c>
      <c r="AM26" s="2328">
        <f>COMPOSITE!M$193</f>
        <v>0</v>
      </c>
    </row>
    <row r="27" spans="1:39" s="237" customFormat="1" ht="57.75" customHeight="1">
      <c r="A27" s="2329">
        <v>42491</v>
      </c>
      <c r="B27" s="2327">
        <f>COMPOSITE!N$199</f>
        <v>2691</v>
      </c>
      <c r="C27" s="2328">
        <f>COMPOSITE!P$199</f>
        <v>440</v>
      </c>
      <c r="D27" s="2327">
        <f>COMPOSITE!$N$176</f>
        <v>0</v>
      </c>
      <c r="E27" s="2328">
        <f>COMPOSITE!$P$176</f>
        <v>0</v>
      </c>
      <c r="F27" s="2327">
        <f>COMPOSITE!$N$177</f>
        <v>0</v>
      </c>
      <c r="G27" s="2328">
        <f>COMPOSITE!$P$177</f>
        <v>0</v>
      </c>
      <c r="H27" s="2327">
        <f>COMPOSITE!$N$178</f>
        <v>144</v>
      </c>
      <c r="I27" s="2328">
        <f>COMPOSITE!P$178</f>
        <v>0</v>
      </c>
      <c r="J27" s="2327">
        <f>COMPOSITE!$N$179</f>
        <v>0</v>
      </c>
      <c r="K27" s="2328">
        <f>COMPOSITE!P$179</f>
        <v>0</v>
      </c>
      <c r="L27" s="2327">
        <f>COMPOSITE!N$180</f>
        <v>0</v>
      </c>
      <c r="M27" s="2328">
        <f>COMPOSITE!P$180</f>
        <v>0</v>
      </c>
      <c r="N27" s="2327">
        <f>COMPOSITE!N$181</f>
        <v>402</v>
      </c>
      <c r="O27" s="2328">
        <f>COMPOSITE!P$181</f>
        <v>0</v>
      </c>
      <c r="P27" s="2327">
        <f>COMPOSITE!N$182</f>
        <v>264</v>
      </c>
      <c r="Q27" s="2328">
        <f>COMPOSITE!P$182</f>
        <v>0</v>
      </c>
      <c r="R27" s="2327">
        <f>COMPOSITE!N$183</f>
        <v>314.5</v>
      </c>
      <c r="S27" s="2328">
        <f>COMPOSITE!P$183</f>
        <v>91</v>
      </c>
      <c r="T27" s="2327">
        <f>COMPOSITE!N$184</f>
        <v>743.5</v>
      </c>
      <c r="U27" s="2328">
        <f>COMPOSITE!P$184</f>
        <v>0</v>
      </c>
      <c r="V27" s="2327">
        <f>COMPOSITE!N$185</f>
        <v>0</v>
      </c>
      <c r="W27" s="2328">
        <f>COMPOSITE!P$185</f>
        <v>0</v>
      </c>
      <c r="X27" s="2327">
        <f>COMPOSITE!N$186</f>
        <v>0</v>
      </c>
      <c r="Y27" s="2328">
        <f>COMPOSITE!P$185</f>
        <v>0</v>
      </c>
      <c r="Z27" s="2327">
        <f>COMPOSITE!N$188</f>
        <v>44</v>
      </c>
      <c r="AA27" s="2328">
        <f>COMPOSITE!P$188</f>
        <v>0</v>
      </c>
      <c r="AB27" s="2327">
        <f>COMPOSITE!N$187</f>
        <v>152</v>
      </c>
      <c r="AC27" s="2328">
        <f>COMPOSITE!P$187</f>
        <v>39</v>
      </c>
      <c r="AD27" s="2327">
        <f>COMPOSITE!N$189</f>
        <v>324</v>
      </c>
      <c r="AE27" s="2328">
        <f>COMPOSITE!P$189</f>
        <v>0</v>
      </c>
      <c r="AF27" s="2327">
        <f>COMPOSITE!N$190</f>
        <v>225</v>
      </c>
      <c r="AG27" s="2328">
        <f>COMPOSITE!P$190</f>
        <v>30</v>
      </c>
      <c r="AH27" s="2327">
        <f>COMPOSITE!N$191</f>
        <v>0</v>
      </c>
      <c r="AI27" s="2328">
        <f>COMPOSITE!P$191</f>
        <v>26</v>
      </c>
      <c r="AJ27" s="2327">
        <f>COMPOSITE!N$192</f>
        <v>78</v>
      </c>
      <c r="AK27" s="2328">
        <f>COMPOSITE!P$192</f>
        <v>254</v>
      </c>
      <c r="AL27" s="2327">
        <f>COMPOSITE!N$193</f>
        <v>0</v>
      </c>
      <c r="AM27" s="2328">
        <f>COMPOSITE!P$193</f>
        <v>0</v>
      </c>
    </row>
    <row r="28" spans="1:39" s="237" customFormat="1" ht="57.75" customHeight="1">
      <c r="A28" s="2329">
        <v>42522</v>
      </c>
      <c r="B28" s="2327">
        <f>COMPOSITE!Q$199</f>
        <v>2468</v>
      </c>
      <c r="C28" s="2328">
        <f>COMPOSITE!S$199</f>
        <v>479</v>
      </c>
      <c r="D28" s="2327">
        <f>COMPOSITE!$Q$176</f>
        <v>0</v>
      </c>
      <c r="E28" s="2328">
        <f>COMPOSITE!$S$176</f>
        <v>0</v>
      </c>
      <c r="F28" s="2327">
        <f>COMPOSITE!$Q$177</f>
        <v>0</v>
      </c>
      <c r="G28" s="2328">
        <f>COMPOSITE!$S$177</f>
        <v>0</v>
      </c>
      <c r="H28" s="2327">
        <f>COMPOSITE!$Q$178</f>
        <v>36</v>
      </c>
      <c r="I28" s="2328">
        <f>COMPOSITE!S$178</f>
        <v>0</v>
      </c>
      <c r="J28" s="2327">
        <f>COMPOSITE!$Q$179</f>
        <v>0</v>
      </c>
      <c r="K28" s="2328">
        <f>COMPOSITE!S$179</f>
        <v>0</v>
      </c>
      <c r="L28" s="2327">
        <f>COMPOSITE!Q$180</f>
        <v>0</v>
      </c>
      <c r="M28" s="2328">
        <f>COMPOSITE!S$180</f>
        <v>0</v>
      </c>
      <c r="N28" s="2327">
        <f>COMPOSITE!Q$181</f>
        <v>359</v>
      </c>
      <c r="O28" s="2328">
        <f>COMPOSITE!S$181</f>
        <v>0</v>
      </c>
      <c r="P28" s="2327">
        <f>COMPOSITE!Q$182</f>
        <v>276</v>
      </c>
      <c r="Q28" s="2328">
        <f>COMPOSITE!S$182</f>
        <v>0</v>
      </c>
      <c r="R28" s="2327">
        <f>COMPOSITE!Q$183</f>
        <v>252</v>
      </c>
      <c r="S28" s="2328">
        <f>COMPOSITE!S$183</f>
        <v>78</v>
      </c>
      <c r="T28" s="2327">
        <f>COMPOSITE!Q$184</f>
        <v>672</v>
      </c>
      <c r="U28" s="2328">
        <f>COMPOSITE!S$184</f>
        <v>13</v>
      </c>
      <c r="V28" s="2327">
        <f>COMPOSITE!Q$185</f>
        <v>0</v>
      </c>
      <c r="W28" s="2328">
        <f>COMPOSITE!S$185</f>
        <v>0</v>
      </c>
      <c r="X28" s="2327">
        <f>COMPOSITE!Q$186</f>
        <v>0</v>
      </c>
      <c r="Y28" s="2328">
        <f>COMPOSITE!S$185</f>
        <v>0</v>
      </c>
      <c r="Z28" s="2327">
        <f>COMPOSITE!Q$188</f>
        <v>10</v>
      </c>
      <c r="AA28" s="2328">
        <f>COMPOSITE!S$188</f>
        <v>0</v>
      </c>
      <c r="AB28" s="2327">
        <f>COMPOSITE!Q$187</f>
        <v>204</v>
      </c>
      <c r="AC28" s="2328">
        <f>COMPOSITE!S$187</f>
        <v>0</v>
      </c>
      <c r="AD28" s="2327">
        <f>COMPOSITE!Q$189</f>
        <v>336</v>
      </c>
      <c r="AE28" s="2328">
        <f>COMPOSITE!S$189</f>
        <v>0</v>
      </c>
      <c r="AF28" s="2327">
        <f>COMPOSITE!Q$190</f>
        <v>165</v>
      </c>
      <c r="AG28" s="2328">
        <f>COMPOSITE!S$190</f>
        <v>95</v>
      </c>
      <c r="AH28" s="2327">
        <f>COMPOSITE!Q$191</f>
        <v>0</v>
      </c>
      <c r="AI28" s="2328">
        <f>COMPOSITE!S$191</f>
        <v>39</v>
      </c>
      <c r="AJ28" s="2327">
        <f>COMPOSITE!Q$192</f>
        <v>158</v>
      </c>
      <c r="AK28" s="2328">
        <f>COMPOSITE!S$192</f>
        <v>254</v>
      </c>
      <c r="AL28" s="2327">
        <f>COMPOSITE!Q$193</f>
        <v>0</v>
      </c>
      <c r="AM28" s="2328">
        <f>COMPOSITE!S$193</f>
        <v>0</v>
      </c>
    </row>
    <row r="29" spans="1:39" s="237" customFormat="1" ht="57.75" customHeight="1">
      <c r="A29" s="2329">
        <v>42552</v>
      </c>
      <c r="B29" s="2327">
        <f>COMPOSITE!T$199</f>
        <v>2138.25</v>
      </c>
      <c r="C29" s="2328">
        <f>COMPOSITE!V$199</f>
        <v>578</v>
      </c>
      <c r="D29" s="2327">
        <f>COMPOSITE!$T$176</f>
        <v>0</v>
      </c>
      <c r="E29" s="2328">
        <f>COMPOSITE!$V$176</f>
        <v>0</v>
      </c>
      <c r="F29" s="2327">
        <f>COMPOSITE!$T$177</f>
        <v>0</v>
      </c>
      <c r="G29" s="2328">
        <f>COMPOSITE!$V$177</f>
        <v>0</v>
      </c>
      <c r="H29" s="2327">
        <f>COMPOSITE!$T$178</f>
        <v>156</v>
      </c>
      <c r="I29" s="2328">
        <f>COMPOSITE!V$178</f>
        <v>0</v>
      </c>
      <c r="J29" s="2327">
        <f>COMPOSITE!$T$179</f>
        <v>12</v>
      </c>
      <c r="K29" s="2328">
        <f>COMPOSITE!V$179</f>
        <v>0</v>
      </c>
      <c r="L29" s="2327">
        <f>COMPOSITE!T$180</f>
        <v>0</v>
      </c>
      <c r="M29" s="2328">
        <f>COMPOSITE!V$180</f>
        <v>0</v>
      </c>
      <c r="N29" s="2327">
        <f>COMPOSITE!T$181</f>
        <v>327</v>
      </c>
      <c r="O29" s="2328">
        <f>COMPOSITE!V$181</f>
        <v>0</v>
      </c>
      <c r="P29" s="2327">
        <f>COMPOSITE!T$182</f>
        <v>156</v>
      </c>
      <c r="Q29" s="2328">
        <f>COMPOSITE!V$182</f>
        <v>0</v>
      </c>
      <c r="R29" s="2327">
        <f>COMPOSITE!T$183</f>
        <v>264</v>
      </c>
      <c r="S29" s="2328">
        <f>COMPOSITE!V$183</f>
        <v>52</v>
      </c>
      <c r="T29" s="2327">
        <f>COMPOSITE!T$184</f>
        <v>467.25</v>
      </c>
      <c r="U29" s="2328">
        <f>COMPOSITE!V$184</f>
        <v>207</v>
      </c>
      <c r="V29" s="2327">
        <f>COMPOSITE!T$185</f>
        <v>0</v>
      </c>
      <c r="W29" s="2328">
        <f>COMPOSITE!V$185</f>
        <v>0</v>
      </c>
      <c r="X29" s="2327">
        <f>COMPOSITE!T$186</f>
        <v>0</v>
      </c>
      <c r="Y29" s="2328">
        <f>COMPOSITE!V$185</f>
        <v>0</v>
      </c>
      <c r="Z29" s="2327">
        <f>COMPOSITE!T$188</f>
        <v>24</v>
      </c>
      <c r="AA29" s="2328">
        <f>COMPOSITE!V$188</f>
        <v>0</v>
      </c>
      <c r="AB29" s="2327">
        <f>COMPOSITE!T$187</f>
        <v>241</v>
      </c>
      <c r="AC29" s="2328">
        <f>COMPOSITE!V$187</f>
        <v>0</v>
      </c>
      <c r="AD29" s="2327">
        <f>COMPOSITE!T$189</f>
        <v>300</v>
      </c>
      <c r="AE29" s="2328">
        <f>COMPOSITE!V$189</f>
        <v>0</v>
      </c>
      <c r="AF29" s="2327">
        <f>COMPOSITE!T$190</f>
        <v>153</v>
      </c>
      <c r="AG29" s="2328">
        <f>COMPOSITE!V$190</f>
        <v>73</v>
      </c>
      <c r="AH29" s="2327">
        <f>COMPOSITE!T$191</f>
        <v>9</v>
      </c>
      <c r="AI29" s="2328">
        <f>COMPOSITE!V$191</f>
        <v>26</v>
      </c>
      <c r="AJ29" s="2327">
        <f>COMPOSITE!T$192</f>
        <v>29</v>
      </c>
      <c r="AK29" s="2328">
        <f>COMPOSITE!V$192</f>
        <v>207</v>
      </c>
      <c r="AL29" s="2327">
        <f>COMPOSITE!T$193</f>
        <v>0</v>
      </c>
      <c r="AM29" s="2328">
        <f>COMPOSITE!V$193</f>
        <v>0</v>
      </c>
    </row>
    <row r="30" spans="1:39" s="237" customFormat="1" ht="57.75" customHeight="1">
      <c r="A30" s="2329">
        <v>42583</v>
      </c>
      <c r="B30" s="2327">
        <f>COMPOSITE!W$199</f>
        <v>2290</v>
      </c>
      <c r="C30" s="2328">
        <f>COMPOSITE!Y$199</f>
        <v>236</v>
      </c>
      <c r="D30" s="2327">
        <f>COMPOSITE!$W$176</f>
        <v>0</v>
      </c>
      <c r="E30" s="2328">
        <f>COMPOSITE!$Y$176</f>
        <v>0</v>
      </c>
      <c r="F30" s="2327">
        <f>COMPOSITE!$W$177</f>
        <v>0</v>
      </c>
      <c r="G30" s="2328">
        <f>COMPOSITE!$Y$177</f>
        <v>0</v>
      </c>
      <c r="H30" s="2327">
        <f>COMPOSITE!$W$178</f>
        <v>48</v>
      </c>
      <c r="I30" s="2328">
        <f>COMPOSITE!Y$178</f>
        <v>0</v>
      </c>
      <c r="J30" s="2327">
        <f>COMPOSITE!$W$179</f>
        <v>12</v>
      </c>
      <c r="K30" s="2328">
        <f>COMPOSITE!Y$179</f>
        <v>0</v>
      </c>
      <c r="L30" s="2327">
        <f>COMPOSITE!W$180</f>
        <v>0</v>
      </c>
      <c r="M30" s="2328">
        <f>COMPOSITE!Y$180</f>
        <v>0</v>
      </c>
      <c r="N30" s="2327">
        <f>COMPOSITE!W$181</f>
        <v>340</v>
      </c>
      <c r="O30" s="2328">
        <f>COMPOSITE!Y$181</f>
        <v>0</v>
      </c>
      <c r="P30" s="2375"/>
      <c r="Q30" s="2376"/>
      <c r="R30" s="2327">
        <f>COMPOSITE!W$183</f>
        <v>360</v>
      </c>
      <c r="S30" s="2328">
        <f>COMPOSITE!Y$183</f>
        <v>0</v>
      </c>
      <c r="T30" s="2327">
        <f>COMPOSITE!W$184</f>
        <v>511</v>
      </c>
      <c r="U30" s="2328">
        <f>COMPOSITE!Y$184</f>
        <v>111</v>
      </c>
      <c r="V30" s="2327">
        <f>COMPOSITE!W$185</f>
        <v>0</v>
      </c>
      <c r="W30" s="2328">
        <f>COMPOSITE!Y$185</f>
        <v>0</v>
      </c>
      <c r="X30" s="2327">
        <f>COMPOSITE!W$186</f>
        <v>0</v>
      </c>
      <c r="Y30" s="2328">
        <f>COMPOSITE!Y$185</f>
        <v>0</v>
      </c>
      <c r="Z30" s="2327">
        <f>COMPOSITE!W$188</f>
        <v>68</v>
      </c>
      <c r="AA30" s="2328">
        <f>COMPOSITE!Y$188</f>
        <v>0</v>
      </c>
      <c r="AB30" s="2327">
        <f>COMPOSITE!W$187</f>
        <v>212</v>
      </c>
      <c r="AC30" s="2328">
        <f>COMPOSITE!Y$187</f>
        <v>0</v>
      </c>
      <c r="AD30" s="2327">
        <f>COMPOSITE!W$189</f>
        <v>384</v>
      </c>
      <c r="AE30" s="2328">
        <f>COMPOSITE!Y$189</f>
        <v>0</v>
      </c>
      <c r="AF30" s="2327">
        <f>COMPOSITE!W$190</f>
        <v>111</v>
      </c>
      <c r="AG30" s="2328">
        <f>COMPOSITE!Y$190</f>
        <v>63</v>
      </c>
      <c r="AH30" s="2327">
        <f>COMPOSITE!W$191</f>
        <v>12</v>
      </c>
      <c r="AI30" s="2328">
        <f>COMPOSITE!Y$191</f>
        <v>26</v>
      </c>
      <c r="AJ30" s="2327">
        <f>COMPOSITE!W$192</f>
        <v>136</v>
      </c>
      <c r="AK30" s="2328">
        <f>COMPOSITE!Y$192</f>
        <v>36</v>
      </c>
      <c r="AL30" s="2327">
        <f>COMPOSITE!W$193</f>
        <v>0</v>
      </c>
      <c r="AM30" s="2328">
        <f>COMPOSITE!Y$193</f>
        <v>0</v>
      </c>
    </row>
    <row r="31" spans="1:39" s="237" customFormat="1" ht="57.75" customHeight="1">
      <c r="A31" s="2329">
        <v>42614</v>
      </c>
      <c r="B31" s="2327">
        <f>COMPOSITE!Z$199</f>
        <v>2131</v>
      </c>
      <c r="C31" s="2328">
        <f>COMPOSITE!AB$199</f>
        <v>248</v>
      </c>
      <c r="D31" s="2327">
        <f>COMPOSITE!$Z$176</f>
        <v>0</v>
      </c>
      <c r="E31" s="2328">
        <f>COMPOSITE!$AB$176</f>
        <v>0</v>
      </c>
      <c r="F31" s="2327">
        <f>COMPOSITE!$Z$177</f>
        <v>0</v>
      </c>
      <c r="G31" s="2328">
        <f>COMPOSITE!$AB$177</f>
        <v>0</v>
      </c>
      <c r="H31" s="2327">
        <f>COMPOSITE!$Z$178</f>
        <v>24</v>
      </c>
      <c r="I31" s="2328">
        <f>COMPOSITE!AB$178</f>
        <v>0</v>
      </c>
      <c r="J31" s="2327">
        <f>COMPOSITE!$Z$179</f>
        <v>0</v>
      </c>
      <c r="K31" s="2328">
        <f>COMPOSITE!AB$179</f>
        <v>0</v>
      </c>
      <c r="L31" s="2327">
        <f>COMPOSITE!Z$180</f>
        <v>0</v>
      </c>
      <c r="M31" s="2328">
        <f>COMPOSITE!AB$180</f>
        <v>0</v>
      </c>
      <c r="N31" s="2327">
        <f>COMPOSITE!Z$181</f>
        <v>332</v>
      </c>
      <c r="O31" s="2328">
        <f>COMPOSITE!AB$181</f>
        <v>0</v>
      </c>
      <c r="P31" s="2377"/>
      <c r="Q31" s="2378"/>
      <c r="R31" s="2327">
        <f>COMPOSITE!Z$183</f>
        <v>372</v>
      </c>
      <c r="S31" s="2328">
        <f>COMPOSITE!AB$183</f>
        <v>39</v>
      </c>
      <c r="T31" s="2327">
        <f>COMPOSITE!Z$184</f>
        <v>614</v>
      </c>
      <c r="U31" s="2328">
        <f>COMPOSITE!AB$184</f>
        <v>39</v>
      </c>
      <c r="V31" s="2327">
        <f>COMPOSITE!Z$185</f>
        <v>0</v>
      </c>
      <c r="W31" s="2328">
        <f>COMPOSITE!AB$185</f>
        <v>0</v>
      </c>
      <c r="X31" s="2327">
        <f>COMPOSITE!Z$186</f>
        <v>0</v>
      </c>
      <c r="Y31" s="2328">
        <f>COMPOSITE!AB$185</f>
        <v>0</v>
      </c>
      <c r="Z31" s="2327">
        <f>COMPOSITE!Z$188</f>
        <v>106</v>
      </c>
      <c r="AA31" s="2328">
        <f>COMPOSITE!AB$188</f>
        <v>0</v>
      </c>
      <c r="AB31" s="2327">
        <f>COMPOSITE!Z$187</f>
        <v>121</v>
      </c>
      <c r="AC31" s="2328">
        <f>COMPOSITE!AB$187</f>
        <v>39</v>
      </c>
      <c r="AD31" s="2327">
        <f>COMPOSITE!Z$189</f>
        <v>360</v>
      </c>
      <c r="AE31" s="2328">
        <f>COMPOSITE!AB$189</f>
        <v>0</v>
      </c>
      <c r="AF31" s="2327">
        <f>COMPOSITE!Z$190</f>
        <v>0</v>
      </c>
      <c r="AG31" s="2328">
        <f>COMPOSITE!AB$190</f>
        <v>40</v>
      </c>
      <c r="AH31" s="2327">
        <f>COMPOSITE!Z$191</f>
        <v>0</v>
      </c>
      <c r="AI31" s="2328">
        <f>COMPOSITE!AB$191</f>
        <v>91</v>
      </c>
      <c r="AJ31" s="2327">
        <f>COMPOSITE!Z$192</f>
        <v>154</v>
      </c>
      <c r="AK31" s="2328">
        <f>COMPOSITE!AB$192</f>
        <v>0</v>
      </c>
      <c r="AL31" s="2327">
        <f>COMPOSITE!Z$193</f>
        <v>0</v>
      </c>
      <c r="AM31" s="2328">
        <f>COMPOSITE!AB$193</f>
        <v>0</v>
      </c>
    </row>
    <row r="32" spans="1:39" s="237" customFormat="1" ht="57.75" customHeight="1">
      <c r="A32" s="2329">
        <v>42644</v>
      </c>
      <c r="B32" s="2327">
        <f>COMPOSITE!AC$199</f>
        <v>2177.33</v>
      </c>
      <c r="C32" s="2328">
        <f>COMPOSITE!AE$199</f>
        <v>565</v>
      </c>
      <c r="D32" s="2327">
        <f>COMPOSITE!$AC$176</f>
        <v>0</v>
      </c>
      <c r="E32" s="2328">
        <f>COMPOSITE!$AE$176</f>
        <v>0</v>
      </c>
      <c r="F32" s="2327">
        <f>COMPOSITE!$AC$177</f>
        <v>0</v>
      </c>
      <c r="G32" s="2328">
        <f>COMPOSITE!$AE$177</f>
        <v>0</v>
      </c>
      <c r="H32" s="2327">
        <f>COMPOSITE!$AC$178</f>
        <v>84</v>
      </c>
      <c r="I32" s="2328">
        <f>COMPOSITE!AE$178</f>
        <v>0</v>
      </c>
      <c r="J32" s="2327">
        <f>COMPOSITE!$AC$179</f>
        <v>0</v>
      </c>
      <c r="K32" s="2328">
        <f>COMPOSITE!AE$179</f>
        <v>0</v>
      </c>
      <c r="L32" s="2327">
        <f>COMPOSITE!AC$180</f>
        <v>1.33</v>
      </c>
      <c r="M32" s="2328">
        <f>COMPOSITE!AE$180</f>
        <v>0</v>
      </c>
      <c r="N32" s="2327">
        <f>COMPOSITE!AC$181</f>
        <v>343</v>
      </c>
      <c r="O32" s="2328">
        <f>COMPOSITE!AE$181</f>
        <v>0</v>
      </c>
      <c r="P32" s="2377"/>
      <c r="Q32" s="2378"/>
      <c r="R32" s="2327">
        <f>COMPOSITE!AC$183</f>
        <v>300</v>
      </c>
      <c r="S32" s="2328">
        <f>COMPOSITE!AE$183</f>
        <v>78</v>
      </c>
      <c r="T32" s="2327">
        <f>COMPOSITE!AC$184</f>
        <v>754</v>
      </c>
      <c r="U32" s="2328">
        <f>COMPOSITE!AE$184</f>
        <v>169</v>
      </c>
      <c r="V32" s="2327">
        <f>COMPOSITE!AC$185</f>
        <v>0</v>
      </c>
      <c r="W32" s="2328">
        <f>COMPOSITE!AE$185</f>
        <v>0</v>
      </c>
      <c r="X32" s="2327">
        <f>COMPOSITE!AC$186</f>
        <v>0</v>
      </c>
      <c r="Y32" s="2328">
        <f>COMPOSITE!AE$185</f>
        <v>0</v>
      </c>
      <c r="Z32" s="2327">
        <f>COMPOSITE!AC$188</f>
        <v>114</v>
      </c>
      <c r="AA32" s="2328">
        <f>COMPOSITE!AE$188</f>
        <v>0</v>
      </c>
      <c r="AB32" s="2327">
        <f>COMPOSITE!AC$187</f>
        <v>192</v>
      </c>
      <c r="AC32" s="2328">
        <f>COMPOSITE!AE$187</f>
        <v>39</v>
      </c>
      <c r="AD32" s="2327">
        <f>COMPOSITE!AC$189</f>
        <v>276</v>
      </c>
      <c r="AE32" s="2328">
        <f>COMPOSITE!AE$189</f>
        <v>130</v>
      </c>
      <c r="AF32" s="2327">
        <f>COMPOSITE!AC$190</f>
        <v>0</v>
      </c>
      <c r="AG32" s="2328">
        <f>COMPOSITE!AE$190</f>
        <v>20</v>
      </c>
      <c r="AH32" s="2327">
        <f>COMPOSITE!AC$191</f>
        <v>0</v>
      </c>
      <c r="AI32" s="2328">
        <f>COMPOSITE!AE$191</f>
        <v>104</v>
      </c>
      <c r="AJ32" s="2327">
        <f>COMPOSITE!AC$192</f>
        <v>77</v>
      </c>
      <c r="AK32" s="2328">
        <f>COMPOSITE!AE$192</f>
        <v>12</v>
      </c>
      <c r="AL32" s="2327">
        <f>COMPOSITE!AC$193</f>
        <v>0</v>
      </c>
      <c r="AM32" s="2328">
        <f>COMPOSITE!AE$193</f>
        <v>0</v>
      </c>
    </row>
    <row r="33" spans="1:39" s="237" customFormat="1" ht="57.75" customHeight="1">
      <c r="A33" s="2329">
        <v>42675</v>
      </c>
      <c r="B33" s="2327">
        <f>COMPOSITE!AF$199</f>
        <v>2387.25</v>
      </c>
      <c r="C33" s="2328">
        <f>COMPOSITE!AH$199</f>
        <v>411</v>
      </c>
      <c r="D33" s="2327">
        <f>COMPOSITE!$AF$176</f>
        <v>0</v>
      </c>
      <c r="E33" s="2328">
        <f>COMPOSITE!$AH$176</f>
        <v>0</v>
      </c>
      <c r="F33" s="2327">
        <f>COMPOSITE!$AF$177</f>
        <v>0</v>
      </c>
      <c r="G33" s="2328">
        <f>COMPOSITE!$AH$177</f>
        <v>0</v>
      </c>
      <c r="H33" s="2327">
        <f>COMPOSITE!$AF$178</f>
        <v>36</v>
      </c>
      <c r="I33" s="2328">
        <f>COMPOSITE!AH$178</f>
        <v>0</v>
      </c>
      <c r="J33" s="2327">
        <f>COMPOSITE!$AF$179</f>
        <v>0</v>
      </c>
      <c r="K33" s="2328">
        <f>COMPOSITE!AH$179</f>
        <v>0</v>
      </c>
      <c r="L33" s="2327">
        <f>COMPOSITE!AF$180</f>
        <v>0</v>
      </c>
      <c r="M33" s="2328">
        <f>COMPOSITE!AH$180</f>
        <v>0</v>
      </c>
      <c r="N33" s="2327">
        <f>COMPOSITE!AF$181</f>
        <v>326</v>
      </c>
      <c r="O33" s="2328">
        <f>COMPOSITE!AH$181</f>
        <v>0</v>
      </c>
      <c r="P33" s="2377"/>
      <c r="Q33" s="2378"/>
      <c r="R33" s="2327">
        <f>COMPOSITE!AF$183</f>
        <v>385</v>
      </c>
      <c r="S33" s="2328">
        <f>COMPOSITE!AH$183</f>
        <v>39</v>
      </c>
      <c r="T33" s="2327">
        <f>COMPOSITE!AF$184</f>
        <v>876.5</v>
      </c>
      <c r="U33" s="2328">
        <f>COMPOSITE!AH$184</f>
        <v>117</v>
      </c>
      <c r="V33" s="2327">
        <f>COMPOSITE!AF$185</f>
        <v>0</v>
      </c>
      <c r="W33" s="2328">
        <f>COMPOSITE!AH$185</f>
        <v>0</v>
      </c>
      <c r="X33" s="2327">
        <f>COMPOSITE!AF$186</f>
        <v>0</v>
      </c>
      <c r="Y33" s="2328">
        <f>COMPOSITE!AH$185</f>
        <v>0</v>
      </c>
      <c r="Z33" s="2327">
        <f>COMPOSITE!AF$188</f>
        <v>142.75</v>
      </c>
      <c r="AA33" s="2328">
        <f>COMPOSITE!AH$188</f>
        <v>0</v>
      </c>
      <c r="AB33" s="2327">
        <f>COMPOSITE!AF$187</f>
        <v>192</v>
      </c>
      <c r="AC33" s="2328">
        <f>COMPOSITE!AH$187</f>
        <v>52</v>
      </c>
      <c r="AD33" s="2327">
        <f>COMPOSITE!AF$189</f>
        <v>245</v>
      </c>
      <c r="AE33" s="2328">
        <f>COMPOSITE!AH$189</f>
        <v>91</v>
      </c>
      <c r="AF33" s="2327">
        <f>COMPOSITE!AF$190</f>
        <v>0</v>
      </c>
      <c r="AG33" s="2328">
        <f>COMPOSITE!AH$190</f>
        <v>60</v>
      </c>
      <c r="AH33" s="2327">
        <f>COMPOSITE!AF$191</f>
        <v>0</v>
      </c>
      <c r="AI33" s="2328">
        <f>COMPOSITE!AH$191</f>
        <v>52</v>
      </c>
      <c r="AJ33" s="2327">
        <f>COMPOSITE!AF$192</f>
        <v>70</v>
      </c>
      <c r="AK33" s="2328">
        <f>COMPOSITE!AH$192</f>
        <v>0</v>
      </c>
      <c r="AL33" s="2327">
        <f>COMPOSITE!AF$193</f>
        <v>0</v>
      </c>
      <c r="AM33" s="2328">
        <f>COMPOSITE!AH$193</f>
        <v>0</v>
      </c>
    </row>
    <row r="34" spans="1:39" s="237" customFormat="1" ht="57.75" customHeight="1" thickBot="1">
      <c r="A34" s="2330">
        <v>42705</v>
      </c>
      <c r="B34" s="2327">
        <f>COMPOSITE!AI$199</f>
        <v>3040.25</v>
      </c>
      <c r="C34" s="2328">
        <f>COMPOSITE!AK$199</f>
        <v>622</v>
      </c>
      <c r="D34" s="2327">
        <f>COMPOSITE!$AI$176</f>
        <v>0</v>
      </c>
      <c r="E34" s="2328">
        <f>COMPOSITE!$AK$176</f>
        <v>0</v>
      </c>
      <c r="F34" s="2327">
        <f>COMPOSITE!$AI$177</f>
        <v>0</v>
      </c>
      <c r="G34" s="2328">
        <f>COMPOSITE!$AK$177</f>
        <v>0</v>
      </c>
      <c r="H34" s="2327">
        <f>COMPOSITE!$AI$178</f>
        <v>0</v>
      </c>
      <c r="I34" s="2328">
        <f>COMPOSITE!AK$178</f>
        <v>0</v>
      </c>
      <c r="J34" s="2327">
        <f>COMPOSITE!$AI$179</f>
        <v>0</v>
      </c>
      <c r="K34" s="2328">
        <f>COMPOSITE!AK$179</f>
        <v>0</v>
      </c>
      <c r="L34" s="2327">
        <f>COMPOSITE!AI$180</f>
        <v>115.5</v>
      </c>
      <c r="M34" s="2328">
        <f>COMPOSITE!AK$180</f>
        <v>0</v>
      </c>
      <c r="N34" s="2327">
        <f>COMPOSITE!AI$181</f>
        <v>389</v>
      </c>
      <c r="O34" s="2328">
        <f>COMPOSITE!AK$181</f>
        <v>0</v>
      </c>
      <c r="P34" s="2379"/>
      <c r="Q34" s="2380"/>
      <c r="R34" s="2327">
        <f>COMPOSITE!AI$183</f>
        <v>432</v>
      </c>
      <c r="S34" s="2328">
        <f>COMPOSITE!AK$183</f>
        <v>78</v>
      </c>
      <c r="T34" s="2327">
        <f>COMPOSITE!AI$184</f>
        <v>648</v>
      </c>
      <c r="U34" s="2328">
        <f>COMPOSITE!AK$184</f>
        <v>60</v>
      </c>
      <c r="V34" s="2327">
        <f>COMPOSITE!AI$185</f>
        <v>0</v>
      </c>
      <c r="W34" s="2328">
        <f>COMPOSITE!AK$185</f>
        <v>0</v>
      </c>
      <c r="X34" s="2327">
        <f>COMPOSITE!AI$186</f>
        <v>0</v>
      </c>
      <c r="Y34" s="2328">
        <f>COMPOSITE!AK$185</f>
        <v>0</v>
      </c>
      <c r="Z34" s="2327">
        <f>COMPOSITE!AI$188</f>
        <v>180.75</v>
      </c>
      <c r="AA34" s="2328">
        <f>COMPOSITE!AK$188</f>
        <v>24</v>
      </c>
      <c r="AB34" s="2327">
        <f>COMPOSITE!AI$187</f>
        <v>205.5</v>
      </c>
      <c r="AC34" s="2328">
        <f>COMPOSITE!AK$187</f>
        <v>13</v>
      </c>
      <c r="AD34" s="2327">
        <f>COMPOSITE!AI$189</f>
        <v>312</v>
      </c>
      <c r="AE34" s="2328">
        <f>COMPOSITE!AK$189</f>
        <v>195</v>
      </c>
      <c r="AF34" s="2327">
        <f>COMPOSITE!AI$190</f>
        <v>0</v>
      </c>
      <c r="AG34" s="2328">
        <f>COMPOSITE!AK$190</f>
        <v>70</v>
      </c>
      <c r="AH34" s="2327">
        <f>COMPOSITE!AI$191</f>
        <v>0</v>
      </c>
      <c r="AI34" s="2328">
        <f>COMPOSITE!AK$191</f>
        <v>39</v>
      </c>
      <c r="AJ34" s="2327">
        <f>COMPOSITE!AI$192</f>
        <v>77</v>
      </c>
      <c r="AK34" s="2328">
        <f>COMPOSITE!AK$192</f>
        <v>0</v>
      </c>
      <c r="AL34" s="2327">
        <f>COMPOSITE!AI$193</f>
        <v>0</v>
      </c>
      <c r="AM34" s="2328">
        <f>COMPOSITE!AK$193</f>
        <v>0</v>
      </c>
    </row>
    <row r="35" spans="1:39" s="237" customFormat="1" ht="57.75" customHeight="1" thickTop="1" thickBot="1">
      <c r="A35" s="2340" t="s">
        <v>277</v>
      </c>
      <c r="B35" s="2331">
        <f>SUM(B23:B34)</f>
        <v>29289.08</v>
      </c>
      <c r="C35" s="2332">
        <f t="shared" ref="C35:AE35" si="0">SUM(C23:C34)</f>
        <v>5581</v>
      </c>
      <c r="D35" s="2331">
        <f t="shared" si="0"/>
        <v>0</v>
      </c>
      <c r="E35" s="2332">
        <f t="shared" si="0"/>
        <v>0</v>
      </c>
      <c r="F35" s="2331">
        <f t="shared" si="0"/>
        <v>0</v>
      </c>
      <c r="G35" s="2332">
        <f t="shared" si="0"/>
        <v>0</v>
      </c>
      <c r="H35" s="2331">
        <f t="shared" si="0"/>
        <v>756</v>
      </c>
      <c r="I35" s="2332">
        <f t="shared" si="0"/>
        <v>0</v>
      </c>
      <c r="J35" s="2331">
        <f t="shared" si="0"/>
        <v>72</v>
      </c>
      <c r="K35" s="2332">
        <f t="shared" si="0"/>
        <v>0</v>
      </c>
      <c r="L35" s="2331">
        <f t="shared" si="0"/>
        <v>393.33</v>
      </c>
      <c r="M35" s="2332">
        <f t="shared" si="0"/>
        <v>0</v>
      </c>
      <c r="N35" s="2331">
        <f t="shared" si="0"/>
        <v>4050</v>
      </c>
      <c r="O35" s="2332">
        <f t="shared" si="0"/>
        <v>192</v>
      </c>
      <c r="P35" s="2331">
        <f t="shared" si="0"/>
        <v>1473</v>
      </c>
      <c r="Q35" s="2332">
        <f t="shared" si="0"/>
        <v>0</v>
      </c>
      <c r="R35" s="2331">
        <f>SUM(R23:R34)</f>
        <v>3364</v>
      </c>
      <c r="S35" s="2332">
        <f>SUM(S23:S34)</f>
        <v>1271</v>
      </c>
      <c r="T35" s="2331">
        <f t="shared" si="0"/>
        <v>7993.25</v>
      </c>
      <c r="U35" s="2332">
        <f t="shared" si="0"/>
        <v>794</v>
      </c>
      <c r="V35" s="2333">
        <f t="shared" si="0"/>
        <v>0</v>
      </c>
      <c r="W35" s="2333">
        <f t="shared" si="0"/>
        <v>0</v>
      </c>
      <c r="X35" s="2334">
        <f t="shared" si="0"/>
        <v>0</v>
      </c>
      <c r="Y35" s="2335">
        <f t="shared" si="0"/>
        <v>0</v>
      </c>
      <c r="Z35" s="2334">
        <f t="shared" si="0"/>
        <v>868.5</v>
      </c>
      <c r="AA35" s="2335">
        <f t="shared" si="0"/>
        <v>24</v>
      </c>
      <c r="AB35" s="2334">
        <f t="shared" si="0"/>
        <v>2528.5</v>
      </c>
      <c r="AC35" s="2335">
        <f t="shared" si="0"/>
        <v>195</v>
      </c>
      <c r="AD35" s="2334">
        <f t="shared" si="0"/>
        <v>3275</v>
      </c>
      <c r="AE35" s="2335">
        <f t="shared" si="0"/>
        <v>416</v>
      </c>
      <c r="AF35" s="2334">
        <f t="shared" ref="AF35:AM35" si="1">SUM(AF23:AF34)</f>
        <v>1332</v>
      </c>
      <c r="AG35" s="2335">
        <f t="shared" si="1"/>
        <v>501</v>
      </c>
      <c r="AH35" s="2334">
        <f t="shared" si="1"/>
        <v>141</v>
      </c>
      <c r="AI35" s="2336">
        <f t="shared" si="1"/>
        <v>466</v>
      </c>
      <c r="AJ35" s="2334">
        <f t="shared" si="1"/>
        <v>2008</v>
      </c>
      <c r="AK35" s="2335">
        <f t="shared" si="1"/>
        <v>1477</v>
      </c>
      <c r="AL35" s="2337">
        <f t="shared" si="1"/>
        <v>0</v>
      </c>
      <c r="AM35" s="2338">
        <f t="shared" si="1"/>
        <v>0</v>
      </c>
    </row>
    <row r="36" spans="1:39" s="2339" customFormat="1" ht="24" thickTop="1"/>
  </sheetData>
  <mergeCells count="21">
    <mergeCell ref="A21:A22"/>
    <mergeCell ref="L21:M21"/>
    <mergeCell ref="A20:E20"/>
    <mergeCell ref="AL21:AM21"/>
    <mergeCell ref="AB21:AC21"/>
    <mergeCell ref="AD21:AE21"/>
    <mergeCell ref="AF21:AG21"/>
    <mergeCell ref="AJ21:AK21"/>
    <mergeCell ref="AH21:AI21"/>
    <mergeCell ref="V21:W21"/>
    <mergeCell ref="X21:Y21"/>
    <mergeCell ref="Z21:AA21"/>
    <mergeCell ref="R21:S21"/>
    <mergeCell ref="B21:C21"/>
    <mergeCell ref="D21:E21"/>
    <mergeCell ref="F21:G21"/>
    <mergeCell ref="T21:U21"/>
    <mergeCell ref="H21:I21"/>
    <mergeCell ref="J21:K21"/>
    <mergeCell ref="N21:O21"/>
    <mergeCell ref="P21:Q21"/>
  </mergeCells>
  <printOptions horizontalCentered="1"/>
  <pageMargins left="0" right="0" top="0.5" bottom="0.5" header="0" footer="0"/>
  <pageSetup scale="61" fitToHeight="0" orientation="landscape" r:id="rId1"/>
  <headerFooter>
    <oddFooter>&amp;L&amp;"Arial,Bold"&amp;12Data Source:&amp;"Arial,Regular" Clinical Quality&amp;C&amp;"Arial,Bold"&amp;12Purpose:&amp;"Arial,Regular" Monitors the Number of EM Premium Physician Hours Per Month&amp;R&amp;D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BR36"/>
  <sheetViews>
    <sheetView showGridLines="0" topLeftCell="A20" zoomScale="60" zoomScaleNormal="60" workbookViewId="0">
      <selection activeCell="J29" sqref="J29"/>
    </sheetView>
  </sheetViews>
  <sheetFormatPr defaultColWidth="9.140625" defaultRowHeight="15"/>
  <cols>
    <col min="1" max="1" width="13.7109375" style="23" customWidth="1"/>
    <col min="2" max="2" width="20" style="23" customWidth="1"/>
    <col min="3" max="3" width="17.140625" style="23" customWidth="1"/>
    <col min="4" max="4" width="14.7109375" style="23" customWidth="1"/>
    <col min="5" max="5" width="20.85546875" style="23" customWidth="1"/>
    <col min="6" max="6" width="15" style="23" customWidth="1"/>
    <col min="7" max="7" width="14.7109375" style="23" customWidth="1"/>
    <col min="8" max="8" width="20" style="23" customWidth="1"/>
    <col min="9" max="9" width="19.7109375" style="23" customWidth="1"/>
    <col min="10" max="10" width="19.140625" style="23" customWidth="1"/>
    <col min="11" max="11" width="13" style="23" customWidth="1"/>
    <col min="12" max="12" width="10.5703125" style="23" customWidth="1"/>
    <col min="13" max="13" width="13.28515625" style="23" customWidth="1"/>
    <col min="14" max="14" width="12.42578125" style="23" customWidth="1"/>
    <col min="15" max="15" width="11.28515625" style="23" customWidth="1"/>
    <col min="16" max="16" width="15.140625" style="23" customWidth="1"/>
    <col min="17" max="18" width="14.7109375" style="23" customWidth="1"/>
    <col min="19" max="19" width="15" style="23" customWidth="1"/>
    <col min="20" max="21" width="14.7109375" style="23" customWidth="1"/>
    <col min="22" max="22" width="15.42578125" style="23" customWidth="1"/>
    <col min="23" max="27" width="14.7109375" style="23" customWidth="1"/>
    <col min="28" max="28" width="14.42578125" style="23" bestFit="1" customWidth="1"/>
    <col min="29" max="29" width="14.7109375" style="23" customWidth="1"/>
    <col min="30" max="30" width="14.42578125" style="23" bestFit="1" customWidth="1"/>
    <col min="31" max="31" width="14.42578125" style="23" customWidth="1"/>
    <col min="32" max="33" width="14.7109375" style="23" customWidth="1"/>
    <col min="34" max="34" width="14.42578125" style="23" bestFit="1" customWidth="1"/>
    <col min="35" max="36" width="14.7109375" style="23" customWidth="1"/>
    <col min="37" max="37" width="14.42578125" style="23" bestFit="1" customWidth="1"/>
    <col min="38" max="39" width="14.7109375" style="23" customWidth="1"/>
    <col min="40" max="40" width="14.42578125" style="23" bestFit="1" customWidth="1"/>
    <col min="41" max="42" width="14.7109375" style="23" customWidth="1"/>
    <col min="43" max="43" width="14.42578125" style="23" bestFit="1" customWidth="1"/>
    <col min="44" max="45" width="14.7109375" style="23" customWidth="1"/>
    <col min="46" max="46" width="14.42578125" style="23" bestFit="1" customWidth="1"/>
    <col min="47" max="48" width="14.7109375" style="23" customWidth="1"/>
    <col min="49" max="49" width="14.42578125" style="23" bestFit="1" customWidth="1"/>
    <col min="50" max="52" width="14.42578125" style="23" customWidth="1"/>
    <col min="53" max="54" width="14.7109375" style="23" customWidth="1"/>
    <col min="55" max="55" width="14.42578125" style="23" bestFit="1" customWidth="1"/>
    <col min="56" max="57" width="14.7109375" style="23" customWidth="1"/>
    <col min="58" max="58" width="14.42578125" style="23" bestFit="1" customWidth="1"/>
    <col min="59" max="60" width="14.7109375" style="23" customWidth="1"/>
    <col min="61" max="61" width="14.42578125" style="23" bestFit="1" customWidth="1"/>
    <col min="62" max="63" width="14.7109375" style="23" customWidth="1"/>
    <col min="64" max="64" width="14.42578125" style="23" bestFit="1" customWidth="1"/>
    <col min="65" max="66" width="14.7109375" style="23" customWidth="1"/>
    <col min="67" max="67" width="14.42578125" style="23" bestFit="1" customWidth="1"/>
    <col min="68" max="70" width="14.7109375" style="23" customWidth="1"/>
    <col min="71" max="16384" width="9.140625" style="23"/>
  </cols>
  <sheetData>
    <row r="1" ht="39.950000000000003" customHeight="1"/>
    <row r="2" ht="39.950000000000003" customHeight="1"/>
    <row r="3" ht="39.950000000000003" customHeight="1"/>
    <row r="4" ht="39.950000000000003" customHeight="1"/>
    <row r="5" ht="39.950000000000003" customHeight="1"/>
    <row r="6" ht="39.950000000000003" customHeight="1"/>
    <row r="7" ht="39.950000000000003" customHeight="1"/>
    <row r="8" ht="39.950000000000003" customHeight="1"/>
    <row r="9" ht="39.950000000000003" customHeight="1"/>
    <row r="10" ht="39.950000000000003" customHeight="1"/>
    <row r="11" ht="39.950000000000003" customHeight="1"/>
    <row r="12" ht="39.950000000000003" customHeight="1"/>
    <row r="13" ht="39.950000000000003" customHeight="1"/>
    <row r="14" ht="39.950000000000003" customHeight="1"/>
    <row r="15" ht="39.950000000000003" customHeight="1"/>
    <row r="16" ht="39.950000000000003" customHeight="1"/>
    <row r="17" spans="1:70" ht="39.950000000000003" customHeight="1"/>
    <row r="18" spans="1:70" ht="39.950000000000003" customHeight="1"/>
    <row r="19" spans="1:70" ht="60.75" customHeight="1"/>
    <row r="20" spans="1:70" ht="78" customHeight="1" thickBot="1">
      <c r="A20" s="3007" t="s">
        <v>313</v>
      </c>
      <c r="B20" s="3008"/>
      <c r="C20" s="3008"/>
      <c r="D20" s="3008"/>
      <c r="E20" s="3008"/>
      <c r="F20" s="3008"/>
      <c r="G20" s="3008"/>
      <c r="H20" s="3008"/>
      <c r="I20" s="3008"/>
      <c r="J20" s="3008"/>
      <c r="K20" s="3008"/>
      <c r="L20" s="3008"/>
      <c r="M20" s="300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</row>
    <row r="21" spans="1:70" s="1049" customFormat="1" ht="57.75" customHeight="1" thickTop="1">
      <c r="A21" s="3005" t="s">
        <v>276</v>
      </c>
      <c r="B21" s="3003" t="s">
        <v>62</v>
      </c>
      <c r="C21" s="3013"/>
      <c r="D21" s="3013"/>
      <c r="E21" s="3013"/>
      <c r="F21" s="3013"/>
      <c r="G21" s="3013"/>
      <c r="H21" s="3013"/>
      <c r="I21" s="3012"/>
      <c r="J21" s="3004"/>
      <c r="K21" s="3003" t="s">
        <v>275</v>
      </c>
      <c r="L21" s="3012"/>
      <c r="M21" s="3004"/>
      <c r="N21" s="3003" t="s">
        <v>29</v>
      </c>
      <c r="O21" s="3012"/>
      <c r="P21" s="3004"/>
      <c r="Q21" s="3003" t="s">
        <v>41</v>
      </c>
      <c r="R21" s="3012"/>
      <c r="S21" s="3004"/>
      <c r="T21" s="3003" t="s">
        <v>9</v>
      </c>
      <c r="U21" s="3012"/>
      <c r="V21" s="3004"/>
      <c r="W21" s="3003" t="s">
        <v>474</v>
      </c>
      <c r="X21" s="3012"/>
      <c r="Y21" s="3004"/>
      <c r="Z21" s="3003" t="s">
        <v>476</v>
      </c>
      <c r="AA21" s="3012"/>
      <c r="AB21" s="3004"/>
      <c r="AC21" s="3003" t="s">
        <v>477</v>
      </c>
      <c r="AD21" s="3004"/>
      <c r="AE21" s="2726"/>
      <c r="AF21" s="3003" t="s">
        <v>478</v>
      </c>
      <c r="AG21" s="3012"/>
      <c r="AH21" s="3004"/>
      <c r="AI21" s="3003" t="s">
        <v>882</v>
      </c>
      <c r="AJ21" s="3012"/>
      <c r="AK21" s="3004"/>
      <c r="AL21" s="3003" t="s">
        <v>480</v>
      </c>
      <c r="AM21" s="3012"/>
      <c r="AN21" s="3004"/>
      <c r="AO21" s="3003" t="s">
        <v>481</v>
      </c>
      <c r="AP21" s="3012"/>
      <c r="AQ21" s="3004"/>
      <c r="AR21" s="3003" t="s">
        <v>487</v>
      </c>
      <c r="AS21" s="3012"/>
      <c r="AT21" s="3004"/>
      <c r="AU21" s="3003" t="s">
        <v>488</v>
      </c>
      <c r="AV21" s="3012"/>
      <c r="AW21" s="3004"/>
      <c r="AX21" s="3003" t="s">
        <v>871</v>
      </c>
      <c r="AY21" s="3012"/>
      <c r="AZ21" s="3004"/>
      <c r="BA21" s="3003" t="s">
        <v>473</v>
      </c>
      <c r="BB21" s="3012"/>
      <c r="BC21" s="3004"/>
      <c r="BD21" s="3003" t="s">
        <v>468</v>
      </c>
      <c r="BE21" s="3012"/>
      <c r="BF21" s="3004"/>
      <c r="BG21" s="3003" t="s">
        <v>469</v>
      </c>
      <c r="BH21" s="3012"/>
      <c r="BI21" s="3011"/>
      <c r="BJ21" s="3003" t="s">
        <v>470</v>
      </c>
      <c r="BK21" s="3012"/>
      <c r="BL21" s="3010"/>
      <c r="BM21" s="3003" t="s">
        <v>471</v>
      </c>
      <c r="BN21" s="3012"/>
      <c r="BO21" s="3009"/>
      <c r="BP21" s="3003" t="s">
        <v>472</v>
      </c>
      <c r="BQ21" s="3012"/>
      <c r="BR21" s="3009"/>
    </row>
    <row r="22" spans="1:70" s="223" customFormat="1" ht="57.75" customHeight="1">
      <c r="A22" s="3006"/>
      <c r="B22" s="2715" t="s">
        <v>874</v>
      </c>
      <c r="C22" s="2716" t="s">
        <v>873</v>
      </c>
      <c r="D22" s="2767" t="s">
        <v>879</v>
      </c>
      <c r="E22" s="2775" t="s">
        <v>875</v>
      </c>
      <c r="F22" s="2716" t="s">
        <v>878</v>
      </c>
      <c r="G22" s="2767" t="s">
        <v>880</v>
      </c>
      <c r="H22" s="2770" t="s">
        <v>876</v>
      </c>
      <c r="I22" s="2717" t="s">
        <v>877</v>
      </c>
      <c r="J22" s="1697" t="s">
        <v>881</v>
      </c>
      <c r="K22" s="1696" t="s">
        <v>148</v>
      </c>
      <c r="L22" s="2717" t="s">
        <v>149</v>
      </c>
      <c r="M22" s="1697" t="s">
        <v>870</v>
      </c>
      <c r="N22" s="1696" t="s">
        <v>148</v>
      </c>
      <c r="O22" s="2717" t="s">
        <v>149</v>
      </c>
      <c r="P22" s="1697" t="s">
        <v>870</v>
      </c>
      <c r="Q22" s="1696" t="s">
        <v>148</v>
      </c>
      <c r="R22" s="2717" t="s">
        <v>149</v>
      </c>
      <c r="S22" s="1697" t="s">
        <v>870</v>
      </c>
      <c r="T22" s="1696" t="s">
        <v>148</v>
      </c>
      <c r="U22" s="2717" t="s">
        <v>149</v>
      </c>
      <c r="V22" s="1697" t="s">
        <v>870</v>
      </c>
      <c r="W22" s="1696" t="s">
        <v>148</v>
      </c>
      <c r="X22" s="2717" t="s">
        <v>149</v>
      </c>
      <c r="Y22" s="1697" t="s">
        <v>870</v>
      </c>
      <c r="Z22" s="1696" t="s">
        <v>148</v>
      </c>
      <c r="AA22" s="2717" t="s">
        <v>149</v>
      </c>
      <c r="AB22" s="1697" t="s">
        <v>870</v>
      </c>
      <c r="AC22" s="1696" t="s">
        <v>148</v>
      </c>
      <c r="AD22" s="1697" t="s">
        <v>149</v>
      </c>
      <c r="AE22" s="2717" t="s">
        <v>870</v>
      </c>
      <c r="AF22" s="1696" t="s">
        <v>148</v>
      </c>
      <c r="AG22" s="2717" t="s">
        <v>149</v>
      </c>
      <c r="AH22" s="1697" t="s">
        <v>870</v>
      </c>
      <c r="AI22" s="1696" t="s">
        <v>148</v>
      </c>
      <c r="AJ22" s="2717" t="s">
        <v>149</v>
      </c>
      <c r="AK22" s="1697" t="s">
        <v>870</v>
      </c>
      <c r="AL22" s="1696" t="s">
        <v>148</v>
      </c>
      <c r="AM22" s="2717" t="s">
        <v>149</v>
      </c>
      <c r="AN22" s="1697" t="s">
        <v>870</v>
      </c>
      <c r="AO22" s="1696" t="s">
        <v>148</v>
      </c>
      <c r="AP22" s="2717" t="s">
        <v>149</v>
      </c>
      <c r="AQ22" s="1697" t="s">
        <v>870</v>
      </c>
      <c r="AR22" s="1696" t="s">
        <v>148</v>
      </c>
      <c r="AS22" s="2717" t="s">
        <v>149</v>
      </c>
      <c r="AT22" s="1697" t="s">
        <v>870</v>
      </c>
      <c r="AU22" s="1696" t="s">
        <v>148</v>
      </c>
      <c r="AV22" s="2717" t="s">
        <v>149</v>
      </c>
      <c r="AW22" s="1697" t="s">
        <v>870</v>
      </c>
      <c r="AX22" s="1696" t="s">
        <v>148</v>
      </c>
      <c r="AY22" s="2717" t="s">
        <v>149</v>
      </c>
      <c r="AZ22" s="1697" t="s">
        <v>870</v>
      </c>
      <c r="BA22" s="1696" t="s">
        <v>148</v>
      </c>
      <c r="BB22" s="2717" t="s">
        <v>149</v>
      </c>
      <c r="BC22" s="1697" t="s">
        <v>870</v>
      </c>
      <c r="BD22" s="1696" t="s">
        <v>148</v>
      </c>
      <c r="BE22" s="2717" t="s">
        <v>149</v>
      </c>
      <c r="BF22" s="1697" t="s">
        <v>870</v>
      </c>
      <c r="BG22" s="1696" t="s">
        <v>148</v>
      </c>
      <c r="BH22" s="2717" t="s">
        <v>149</v>
      </c>
      <c r="BI22" s="1697" t="s">
        <v>870</v>
      </c>
      <c r="BJ22" s="1696" t="s">
        <v>148</v>
      </c>
      <c r="BK22" s="2717" t="s">
        <v>149</v>
      </c>
      <c r="BL22" s="1697" t="s">
        <v>870</v>
      </c>
      <c r="BM22" s="1698" t="s">
        <v>148</v>
      </c>
      <c r="BN22" s="2717" t="s">
        <v>149</v>
      </c>
      <c r="BO22" s="1697" t="s">
        <v>870</v>
      </c>
      <c r="BP22" s="1698" t="s">
        <v>148</v>
      </c>
      <c r="BQ22" s="2717" t="s">
        <v>149</v>
      </c>
      <c r="BR22" s="1697" t="s">
        <v>870</v>
      </c>
    </row>
    <row r="23" spans="1:70" s="237" customFormat="1" ht="57.75" customHeight="1">
      <c r="A23" s="2326">
        <v>42370</v>
      </c>
      <c r="B23" s="2718">
        <f>371*31</f>
        <v>11501</v>
      </c>
      <c r="C23" s="2724">
        <f>SUM(O23,R23,U23,AA23,BK23,BN23,BQ23)</f>
        <v>1272</v>
      </c>
      <c r="D23" s="2773">
        <f>C23/B23</f>
        <v>0.11059907834101383</v>
      </c>
      <c r="E23" s="2771">
        <f>313*31</f>
        <v>9703</v>
      </c>
      <c r="F23" s="2719">
        <f>SUM(AG23,AM23,AY23,BE23,BH23,AD23)</f>
        <v>497</v>
      </c>
      <c r="G23" s="2768">
        <f>F23/E23</f>
        <v>5.1221271771617026E-2</v>
      </c>
      <c r="H23" s="2771">
        <f>303*31</f>
        <v>9393</v>
      </c>
      <c r="I23" s="2720">
        <f>SUM(L23,X23,AP23,AS23,AV23,AJ23,BB23)</f>
        <v>1407</v>
      </c>
      <c r="J23" s="2743">
        <f>I23/H23</f>
        <v>0.14979239859469817</v>
      </c>
      <c r="K23" s="2718">
        <f>120*31</f>
        <v>3720</v>
      </c>
      <c r="L23" s="2722">
        <f>COMPOSITE!$D$176+COMPOSITE!$B$176</f>
        <v>0</v>
      </c>
      <c r="M23" s="2742">
        <f>L23/K23</f>
        <v>0</v>
      </c>
      <c r="N23" s="2718">
        <f>95*31</f>
        <v>2945</v>
      </c>
      <c r="O23" s="2722">
        <f>COMPOSITE!$D$177+COMPOSITE!$B$177</f>
        <v>0</v>
      </c>
      <c r="P23" s="2742">
        <f>O23/N23</f>
        <v>0</v>
      </c>
      <c r="Q23" s="2327">
        <f>24*31</f>
        <v>744</v>
      </c>
      <c r="R23" s="2722">
        <f>COMPOSITE!D$178+COMPOSITE!$B$178</f>
        <v>60</v>
      </c>
      <c r="S23" s="2742">
        <f>R23/Q23</f>
        <v>8.0645161290322578E-2</v>
      </c>
      <c r="T23" s="2327">
        <f>24*31</f>
        <v>744</v>
      </c>
      <c r="U23" s="2722">
        <f>COMPOSITE!D$179+COMPOSITE!$B$179</f>
        <v>0</v>
      </c>
      <c r="V23" s="2742">
        <f>U23/T23</f>
        <v>0</v>
      </c>
      <c r="W23" s="2718">
        <f>47*31</f>
        <v>1457</v>
      </c>
      <c r="X23" s="2722">
        <f>COMPOSITE!D$180+COMPOSITE!$B$180</f>
        <v>1.5</v>
      </c>
      <c r="Y23" s="2742">
        <f>X23/W23</f>
        <v>1.0295126973232671E-3</v>
      </c>
      <c r="Z23" s="2327">
        <f>117*31</f>
        <v>3627</v>
      </c>
      <c r="AA23" s="2722">
        <f>COMPOSITE!D$181+COMPOSITE!$B$181</f>
        <v>452</v>
      </c>
      <c r="AB23" s="2744">
        <f>AA23/Z23</f>
        <v>0.1246208988144472</v>
      </c>
      <c r="AC23" s="2718">
        <f>4*31</f>
        <v>124</v>
      </c>
      <c r="AD23" s="2722">
        <f>COMPOSITE!B$182</f>
        <v>165</v>
      </c>
      <c r="AE23" s="2745"/>
      <c r="AF23" s="2327">
        <f>24*31</f>
        <v>744</v>
      </c>
      <c r="AG23" s="2722">
        <f>COMPOSITE!D$183+COMPOSITE!$B$183</f>
        <v>132</v>
      </c>
      <c r="AH23" s="2742">
        <f>AG23/AF23</f>
        <v>0.17741935483870969</v>
      </c>
      <c r="AI23" s="2327">
        <f>42*31</f>
        <v>1302</v>
      </c>
      <c r="AJ23" s="2721">
        <f>152+COMPOSITE!$B$184</f>
        <v>760.5</v>
      </c>
      <c r="AK23" s="2744">
        <f>AJ23/AI23</f>
        <v>0.58410138248847931</v>
      </c>
      <c r="AL23" s="2327">
        <f>32*31</f>
        <v>992</v>
      </c>
      <c r="AM23" s="2722">
        <f>COMPOSITE!D$185+COMPOSITE!$B$185</f>
        <v>0</v>
      </c>
      <c r="AN23" s="2744">
        <f>AM23/AL23</f>
        <v>0</v>
      </c>
      <c r="AO23" s="2327">
        <f>24*31</f>
        <v>744</v>
      </c>
      <c r="AP23" s="2722">
        <f>COMPOSITE!D$186+COMPOSITE!$B$186</f>
        <v>0</v>
      </c>
      <c r="AQ23" s="2744">
        <f>AP23/AO23</f>
        <v>0</v>
      </c>
      <c r="AR23" s="2327">
        <f>22*31</f>
        <v>682</v>
      </c>
      <c r="AS23" s="2722">
        <f>COMPOSITE!D$188+COMPOSITE!$B$188</f>
        <v>24</v>
      </c>
      <c r="AT23" s="2744">
        <f>AS23/AR23</f>
        <v>3.519061583577713E-2</v>
      </c>
      <c r="AU23" s="2327">
        <f>24*31</f>
        <v>744</v>
      </c>
      <c r="AV23" s="2722">
        <f>COMPOSITE!D$187+COMPOSITE!$B$187</f>
        <v>297</v>
      </c>
      <c r="AW23" s="2744">
        <f>AV23/AU23</f>
        <v>0.39919354838709675</v>
      </c>
      <c r="AX23" s="2721">
        <f>12*31</f>
        <v>372</v>
      </c>
      <c r="AY23" s="2722">
        <v>0</v>
      </c>
      <c r="AZ23" s="2746">
        <f>AY23/AX23</f>
        <v>0</v>
      </c>
      <c r="BA23" s="2327">
        <f>24*31</f>
        <v>744</v>
      </c>
      <c r="BB23" s="2722">
        <f>COMPOSITE!D$189+COMPOSITE!$B$189</f>
        <v>324</v>
      </c>
      <c r="BC23" s="2744">
        <f>BB23/BA23</f>
        <v>0.43548387096774194</v>
      </c>
      <c r="BD23" s="2327">
        <f>36*31</f>
        <v>1116</v>
      </c>
      <c r="BE23" s="2722">
        <f>COMPOSITE!D$190+COMPOSITE!$B$190</f>
        <v>174</v>
      </c>
      <c r="BF23" s="2744">
        <f>BE23/BD23</f>
        <v>0.15591397849462366</v>
      </c>
      <c r="BG23" s="2327">
        <f>24*31</f>
        <v>744</v>
      </c>
      <c r="BH23" s="2722">
        <f>COMPOSITE!D$191+COMPOSITE!$B$191</f>
        <v>26</v>
      </c>
      <c r="BI23" s="2744">
        <f>BH23/BG23</f>
        <v>3.4946236559139782E-2</v>
      </c>
      <c r="BJ23" s="2327">
        <f>65*31</f>
        <v>2015</v>
      </c>
      <c r="BK23" s="2722">
        <f>COMPOSITE!D$192+COMPOSITE!$B$192</f>
        <v>736</v>
      </c>
      <c r="BL23" s="2744">
        <f>BK23/BJ23</f>
        <v>0.36526054590570722</v>
      </c>
      <c r="BM23" s="2327">
        <f>21*31</f>
        <v>651</v>
      </c>
      <c r="BN23" s="2722">
        <f>COMPOSITE!D$193+COMPOSITE!$B$193</f>
        <v>0</v>
      </c>
      <c r="BO23" s="2744">
        <f>BN23/BM23</f>
        <v>0</v>
      </c>
      <c r="BP23" s="2327">
        <f>24*31</f>
        <v>744</v>
      </c>
      <c r="BQ23" s="2722">
        <f>COMPOSITE!D$194+COMPOSITE!$B$194</f>
        <v>24</v>
      </c>
      <c r="BR23" s="2744">
        <f>BQ23/BP23</f>
        <v>3.2258064516129031E-2</v>
      </c>
    </row>
    <row r="24" spans="1:70" s="237" customFormat="1" ht="57.75" customHeight="1">
      <c r="A24" s="2329">
        <v>42401</v>
      </c>
      <c r="B24" s="2718">
        <f>371*29</f>
        <v>10759</v>
      </c>
      <c r="C24" s="2724">
        <f t="shared" ref="C24:C34" si="0">SUM(O24,R24,U24,AA24,BK24,BN24,BQ24)</f>
        <v>776</v>
      </c>
      <c r="D24" s="2773">
        <f t="shared" ref="D24:D34" si="1">C24/B24</f>
        <v>7.2125662236267304E-2</v>
      </c>
      <c r="E24" s="2771">
        <f>313*29</f>
        <v>9077</v>
      </c>
      <c r="F24" s="2719">
        <f t="shared" ref="F24:F34" si="2">SUM(AG24,AM24,AY24,BE24,BH24,AD24)</f>
        <v>1008</v>
      </c>
      <c r="G24" s="2768">
        <f t="shared" ref="G24:G34" si="3">F24/E24</f>
        <v>0.11104990635672579</v>
      </c>
      <c r="H24" s="2771">
        <f>303*29</f>
        <v>8787</v>
      </c>
      <c r="I24" s="2720">
        <f t="shared" ref="I24:I34" si="4">SUM(L24,X24,AP24,AS24,AV24,AJ24,BB24)</f>
        <v>1319</v>
      </c>
      <c r="J24" s="2743">
        <f t="shared" ref="J24:J34" si="5">I24/H24</f>
        <v>0.15010811425970183</v>
      </c>
      <c r="K24" s="2718">
        <f>120*29</f>
        <v>3480</v>
      </c>
      <c r="L24" s="2722">
        <f>COMPOSITE!$G$176+COMPOSITE!$E$176</f>
        <v>0</v>
      </c>
      <c r="M24" s="2742">
        <f t="shared" ref="M24:M34" si="6">L24/K24</f>
        <v>0</v>
      </c>
      <c r="N24" s="2718">
        <f>95*29</f>
        <v>2755</v>
      </c>
      <c r="O24" s="2722">
        <f>COMPOSITE!$G$177++COMPOSITE!$E$177</f>
        <v>0</v>
      </c>
      <c r="P24" s="2742">
        <f t="shared" ref="P24:P34" si="7">O24/N24</f>
        <v>0</v>
      </c>
      <c r="Q24" s="2327">
        <f>24*29</f>
        <v>696</v>
      </c>
      <c r="R24" s="2722">
        <f>COMPOSITE!G$178+COMPOSITE!$E$178</f>
        <v>24</v>
      </c>
      <c r="S24" s="2742">
        <f t="shared" ref="S24:S34" si="8">R24/Q24</f>
        <v>3.4482758620689655E-2</v>
      </c>
      <c r="T24" s="2327">
        <f>24*29</f>
        <v>696</v>
      </c>
      <c r="U24" s="2722">
        <f>COMPOSITE!G$179+COMPOSITE!$E$179</f>
        <v>0</v>
      </c>
      <c r="V24" s="2742">
        <f t="shared" ref="V24:V34" si="9">U24/T24</f>
        <v>0</v>
      </c>
      <c r="W24" s="2718">
        <f>47*29</f>
        <v>1363</v>
      </c>
      <c r="X24" s="2722">
        <f>COMPOSITE!G$180+COMPOSITE!$E$180</f>
        <v>0</v>
      </c>
      <c r="Y24" s="2742">
        <f t="shared" ref="Y24:Y34" si="10">X24/W24</f>
        <v>0</v>
      </c>
      <c r="Z24" s="2327">
        <f>117*29</f>
        <v>3393</v>
      </c>
      <c r="AA24" s="2721">
        <f>COMPOSITE!G$181+COMPOSITE!$E$181</f>
        <v>264</v>
      </c>
      <c r="AB24" s="2744">
        <f t="shared" ref="AB24:AB34" si="11">AA24/Z24</f>
        <v>7.7807250221043331E-2</v>
      </c>
      <c r="AC24" s="2718">
        <f>4*29</f>
        <v>116</v>
      </c>
      <c r="AD24" s="2722">
        <f>COMPOSITE!E$182</f>
        <v>180</v>
      </c>
      <c r="AE24" s="2745"/>
      <c r="AF24" s="2327">
        <f>24*29</f>
        <v>696</v>
      </c>
      <c r="AG24" s="2722">
        <f>COMPOSITE!G$183+COMPOSITE!$E$183</f>
        <v>546</v>
      </c>
      <c r="AH24" s="2742">
        <f t="shared" ref="AH24:AH34" si="12">AG24/AF24</f>
        <v>0.78448275862068961</v>
      </c>
      <c r="AI24" s="2327">
        <f>42*29</f>
        <v>1218</v>
      </c>
      <c r="AJ24" s="2721">
        <f>269+COMPOSITE!$E$184</f>
        <v>967</v>
      </c>
      <c r="AK24" s="2744">
        <f t="shared" ref="AK24:AK34" si="13">AJ24/AI24</f>
        <v>0.79392446633825942</v>
      </c>
      <c r="AL24" s="2327">
        <f>32*29</f>
        <v>928</v>
      </c>
      <c r="AM24" s="2722">
        <f>COMPOSITE!G$185+COMPOSITE!$E$185</f>
        <v>0</v>
      </c>
      <c r="AN24" s="2744">
        <f t="shared" ref="AN24:AN34" si="14">AM24/AL24</f>
        <v>0</v>
      </c>
      <c r="AO24" s="2327">
        <f>24*29</f>
        <v>696</v>
      </c>
      <c r="AP24" s="2722">
        <f>COMPOSITE!G$186+COMPOSITE!$E$186</f>
        <v>0</v>
      </c>
      <c r="AQ24" s="2744">
        <f t="shared" ref="AQ24:AQ34" si="15">AP24/AO24</f>
        <v>0</v>
      </c>
      <c r="AR24" s="2327">
        <f>22*29</f>
        <v>638</v>
      </c>
      <c r="AS24" s="2722">
        <f>COMPOSITE!G$188+COMPOSITE!$E$188</f>
        <v>67</v>
      </c>
      <c r="AT24" s="2744">
        <f t="shared" ref="AT24:AT34" si="16">AS24/AR24</f>
        <v>0.10501567398119123</v>
      </c>
      <c r="AU24" s="2327">
        <f>24*29</f>
        <v>696</v>
      </c>
      <c r="AV24" s="2722">
        <f>COMPOSITE!G$187+COMPOSITE!$E$187</f>
        <v>249</v>
      </c>
      <c r="AW24" s="2744">
        <f t="shared" ref="AW24:AW34" si="17">AV24/AU24</f>
        <v>0.35775862068965519</v>
      </c>
      <c r="AX24" s="2721">
        <f>12*29</f>
        <v>348</v>
      </c>
      <c r="AY24" s="2722">
        <v>0</v>
      </c>
      <c r="AZ24" s="2746">
        <f t="shared" ref="AZ24:AZ34" si="18">AY24/AX24</f>
        <v>0</v>
      </c>
      <c r="BA24" s="2327">
        <f>24*29</f>
        <v>696</v>
      </c>
      <c r="BB24" s="2722">
        <f>COMPOSITE!G$189+COMPOSITE!$E$189</f>
        <v>36</v>
      </c>
      <c r="BC24" s="2744">
        <f t="shared" ref="BC24:BC34" si="19">BB24/BA24</f>
        <v>5.1724137931034482E-2</v>
      </c>
      <c r="BD24" s="2327">
        <f>36*29</f>
        <v>1044</v>
      </c>
      <c r="BE24" s="2722">
        <f>COMPOSITE!G$190+COMPOSITE!$E$190</f>
        <v>186</v>
      </c>
      <c r="BF24" s="2744">
        <f t="shared" ref="BF24:BF34" si="20">BE24/BD24</f>
        <v>0.17816091954022989</v>
      </c>
      <c r="BG24" s="2327">
        <f>24*29</f>
        <v>696</v>
      </c>
      <c r="BH24" s="2722">
        <f>COMPOSITE!G$191+COMPOSITE!$E$191</f>
        <v>96</v>
      </c>
      <c r="BI24" s="2744">
        <f t="shared" ref="BI24:BI34" si="21">BH24/BG24</f>
        <v>0.13793103448275862</v>
      </c>
      <c r="BJ24" s="2327">
        <f>65*29</f>
        <v>1885</v>
      </c>
      <c r="BK24" s="2722">
        <f>COMPOSITE!G$192+COMPOSITE!$E$192</f>
        <v>464</v>
      </c>
      <c r="BL24" s="2744">
        <f t="shared" ref="BL24:BL34" si="22">BK24/BJ24</f>
        <v>0.24615384615384617</v>
      </c>
      <c r="BM24" s="2327">
        <f>21*29</f>
        <v>609</v>
      </c>
      <c r="BN24" s="2722">
        <f>COMPOSITE!G$193+COMPOSITE!$E$193</f>
        <v>0</v>
      </c>
      <c r="BO24" s="2744">
        <f t="shared" ref="BO24:BO34" si="23">BN24/BM24</f>
        <v>0</v>
      </c>
      <c r="BP24" s="2327">
        <f>24*29</f>
        <v>696</v>
      </c>
      <c r="BQ24" s="2722">
        <f>COMPOSITE!G$194+COMPOSITE!$E$194</f>
        <v>24</v>
      </c>
      <c r="BR24" s="2744">
        <f t="shared" ref="BR24:BR34" si="24">BQ24/BP24</f>
        <v>3.4482758620689655E-2</v>
      </c>
    </row>
    <row r="25" spans="1:70" s="237" customFormat="1" ht="57.75" customHeight="1">
      <c r="A25" s="2329">
        <v>42430</v>
      </c>
      <c r="B25" s="2718">
        <f t="shared" ref="B25:B34" si="25">371*31</f>
        <v>11501</v>
      </c>
      <c r="C25" s="2724">
        <f t="shared" si="0"/>
        <v>793</v>
      </c>
      <c r="D25" s="2773">
        <f t="shared" si="1"/>
        <v>6.8950526041213808E-2</v>
      </c>
      <c r="E25" s="2771">
        <f t="shared" ref="E25:E34" si="26">313*31</f>
        <v>9703</v>
      </c>
      <c r="F25" s="2719">
        <f t="shared" si="2"/>
        <v>865.5</v>
      </c>
      <c r="G25" s="2768">
        <f t="shared" si="3"/>
        <v>8.9199216737091622E-2</v>
      </c>
      <c r="H25" s="2771">
        <f t="shared" ref="H25:H34" si="27">303*31</f>
        <v>9393</v>
      </c>
      <c r="I25" s="2720">
        <f t="shared" si="4"/>
        <v>1455.5</v>
      </c>
      <c r="J25" s="2743">
        <f t="shared" si="5"/>
        <v>0.1549558181624614</v>
      </c>
      <c r="K25" s="2718">
        <f t="shared" ref="K25:K34" si="28">120*31</f>
        <v>3720</v>
      </c>
      <c r="L25" s="2722">
        <f>COMPOSITE!$J$176+COMPOSITE!$H$176</f>
        <v>0</v>
      </c>
      <c r="M25" s="2742">
        <f t="shared" si="6"/>
        <v>0</v>
      </c>
      <c r="N25" s="2718">
        <f t="shared" ref="N25:N34" si="29">95*31</f>
        <v>2945</v>
      </c>
      <c r="O25" s="2722">
        <f>COMPOSITE!$J$177++COMPOSITE!$H$177</f>
        <v>0</v>
      </c>
      <c r="P25" s="2742">
        <f t="shared" si="7"/>
        <v>0</v>
      </c>
      <c r="Q25" s="2327">
        <f t="shared" ref="Q25:Q34" si="30">24*31</f>
        <v>744</v>
      </c>
      <c r="R25" s="2722">
        <f>COMPOSITE!J$178++COMPOSITE!$H$178</f>
        <v>48</v>
      </c>
      <c r="S25" s="2742">
        <f t="shared" si="8"/>
        <v>6.4516129032258063E-2</v>
      </c>
      <c r="T25" s="2327">
        <f t="shared" ref="T25:T34" si="31">24*31</f>
        <v>744</v>
      </c>
      <c r="U25" s="2722">
        <f>COMPOSITE!J$179+COMPOSITE!$H$179</f>
        <v>12</v>
      </c>
      <c r="V25" s="2742">
        <f t="shared" si="9"/>
        <v>1.6129032258064516E-2</v>
      </c>
      <c r="W25" s="2718">
        <f t="shared" ref="W25:W34" si="32">47*31</f>
        <v>1457</v>
      </c>
      <c r="X25" s="2722">
        <f>COMPOSITE!J$180+COMPOSITE!$H$180</f>
        <v>130</v>
      </c>
      <c r="Y25" s="2742">
        <f t="shared" si="10"/>
        <v>8.9224433768016476E-2</v>
      </c>
      <c r="Z25" s="2327">
        <f t="shared" ref="Z25:Z34" si="33">117*31</f>
        <v>3627</v>
      </c>
      <c r="AA25" s="2721">
        <f>COMPOSITE!J$181+COMPOSITE!$H$181</f>
        <v>298</v>
      </c>
      <c r="AB25" s="2744">
        <f t="shared" si="11"/>
        <v>8.2161566032533773E-2</v>
      </c>
      <c r="AC25" s="2718">
        <f>4*31</f>
        <v>124</v>
      </c>
      <c r="AD25" s="2722">
        <f>COMPOSITE!H$182</f>
        <v>240</v>
      </c>
      <c r="AE25" s="2745"/>
      <c r="AF25" s="2327">
        <f t="shared" ref="AF25:AF34" si="34">24*31</f>
        <v>744</v>
      </c>
      <c r="AG25" s="2722">
        <f>COMPOSITE!J$183+COMPOSITE!$H$183</f>
        <v>412.5</v>
      </c>
      <c r="AH25" s="2742">
        <f t="shared" si="12"/>
        <v>0.55443548387096775</v>
      </c>
      <c r="AI25" s="2327">
        <f t="shared" ref="AI25:AI34" si="35">42*31</f>
        <v>1302</v>
      </c>
      <c r="AJ25" s="2721">
        <f>233+COMPOSITE!$H$184</f>
        <v>985.5</v>
      </c>
      <c r="AK25" s="2744">
        <f t="shared" si="13"/>
        <v>0.75691244239631339</v>
      </c>
      <c r="AL25" s="2327">
        <f t="shared" ref="AL25:AL34" si="36">32*31</f>
        <v>992</v>
      </c>
      <c r="AM25" s="2722">
        <f>COMPOSITE!J$185+COMPOSITE!$H$185</f>
        <v>0</v>
      </c>
      <c r="AN25" s="2744">
        <f t="shared" si="14"/>
        <v>0</v>
      </c>
      <c r="AO25" s="2327">
        <f t="shared" ref="AO25:AO34" si="37">24*31</f>
        <v>744</v>
      </c>
      <c r="AP25" s="2722">
        <f>COMPOSITE!J$186+COMPOSITE!$H$186</f>
        <v>0</v>
      </c>
      <c r="AQ25" s="2744">
        <f t="shared" si="15"/>
        <v>0</v>
      </c>
      <c r="AR25" s="2327">
        <f t="shared" ref="AR25:AR34" si="38">22*31</f>
        <v>682</v>
      </c>
      <c r="AS25" s="2722">
        <f>COMPOSITE!J$188+COMPOSITE!$H$188</f>
        <v>54</v>
      </c>
      <c r="AT25" s="2744">
        <f t="shared" si="16"/>
        <v>7.9178885630498533E-2</v>
      </c>
      <c r="AU25" s="2327">
        <f t="shared" ref="AU25:AU34" si="39">24*31</f>
        <v>744</v>
      </c>
      <c r="AV25" s="2722">
        <f>COMPOSITE!J$187+COMPOSITE!$H$187</f>
        <v>250</v>
      </c>
      <c r="AW25" s="2744">
        <f t="shared" si="17"/>
        <v>0.33602150537634407</v>
      </c>
      <c r="AX25" s="2721">
        <f t="shared" ref="AX25:AX34" si="40">12*31</f>
        <v>372</v>
      </c>
      <c r="AY25" s="2722">
        <v>0</v>
      </c>
      <c r="AZ25" s="2746">
        <f t="shared" si="18"/>
        <v>0</v>
      </c>
      <c r="BA25" s="2327">
        <f t="shared" ref="BA25:BA34" si="41">24*31</f>
        <v>744</v>
      </c>
      <c r="BB25" s="2722">
        <f>COMPOSITE!J$189+COMPOSITE!$H$189</f>
        <v>36</v>
      </c>
      <c r="BC25" s="2744">
        <f t="shared" si="19"/>
        <v>4.8387096774193547E-2</v>
      </c>
      <c r="BD25" s="2327">
        <f t="shared" ref="BD25:BD34" si="42">36*31</f>
        <v>1116</v>
      </c>
      <c r="BE25" s="2722">
        <f>COMPOSITE!J$190+COMPOSITE!$H$190</f>
        <v>165</v>
      </c>
      <c r="BF25" s="2744">
        <f t="shared" si="20"/>
        <v>0.14784946236559141</v>
      </c>
      <c r="BG25" s="2327">
        <f t="shared" ref="BG25:BG34" si="43">24*31</f>
        <v>744</v>
      </c>
      <c r="BH25" s="2722">
        <f>COMPOSITE!J$191+COMPOSITE!$H$191</f>
        <v>48</v>
      </c>
      <c r="BI25" s="2744">
        <f t="shared" si="21"/>
        <v>6.4516129032258063E-2</v>
      </c>
      <c r="BJ25" s="2327">
        <f t="shared" ref="BJ25:BJ34" si="44">65*31</f>
        <v>2015</v>
      </c>
      <c r="BK25" s="2722">
        <f>COMPOSITE!J$192+COMPOSITE!$H$192</f>
        <v>399</v>
      </c>
      <c r="BL25" s="2744">
        <f t="shared" si="22"/>
        <v>0.19801488833746897</v>
      </c>
      <c r="BM25" s="2327">
        <f t="shared" ref="BM25:BM34" si="45">21*31</f>
        <v>651</v>
      </c>
      <c r="BN25" s="2722">
        <f>COMPOSITE!J$193+COMPOSITE!$H$193</f>
        <v>0</v>
      </c>
      <c r="BO25" s="2744">
        <f t="shared" si="23"/>
        <v>0</v>
      </c>
      <c r="BP25" s="2327">
        <f t="shared" ref="BP25:BP34" si="46">24*31</f>
        <v>744</v>
      </c>
      <c r="BQ25" s="2722">
        <f>COMPOSITE!J$194+COMPOSITE!$H$194</f>
        <v>36</v>
      </c>
      <c r="BR25" s="2744">
        <f t="shared" si="24"/>
        <v>4.8387096774193547E-2</v>
      </c>
    </row>
    <row r="26" spans="1:70" s="237" customFormat="1" ht="57.75" customHeight="1">
      <c r="A26" s="2329">
        <v>42461</v>
      </c>
      <c r="B26" s="2718">
        <f>371*30</f>
        <v>11130</v>
      </c>
      <c r="C26" s="2724">
        <f t="shared" si="0"/>
        <v>938</v>
      </c>
      <c r="D26" s="2773">
        <f t="shared" si="1"/>
        <v>8.4276729559748423E-2</v>
      </c>
      <c r="E26" s="2771">
        <f>313*30</f>
        <v>9390</v>
      </c>
      <c r="F26" s="2719">
        <f t="shared" si="2"/>
        <v>818</v>
      </c>
      <c r="G26" s="2768">
        <f t="shared" si="3"/>
        <v>8.7113951011714597E-2</v>
      </c>
      <c r="H26" s="2771">
        <f>303*30</f>
        <v>9090</v>
      </c>
      <c r="I26" s="2720">
        <f t="shared" si="4"/>
        <v>1759</v>
      </c>
      <c r="J26" s="2743">
        <f t="shared" si="5"/>
        <v>0.1935093509350935</v>
      </c>
      <c r="K26" s="2718">
        <f>120*30</f>
        <v>3600</v>
      </c>
      <c r="L26" s="2722">
        <f>COMPOSITE!$M$176+COMPOSITE!$K$176</f>
        <v>0</v>
      </c>
      <c r="M26" s="2742">
        <f t="shared" si="6"/>
        <v>0</v>
      </c>
      <c r="N26" s="2718">
        <f t="shared" si="29"/>
        <v>2945</v>
      </c>
      <c r="O26" s="2722">
        <f>COMPOSITE!$M$177+COMPOSITE!$K$177</f>
        <v>0</v>
      </c>
      <c r="P26" s="2742">
        <f t="shared" si="7"/>
        <v>0</v>
      </c>
      <c r="Q26" s="2327">
        <f>24*30</f>
        <v>720</v>
      </c>
      <c r="R26" s="2722">
        <f>COMPOSITE!M$178++COMPOSITE!$K$178</f>
        <v>96</v>
      </c>
      <c r="S26" s="2742">
        <f t="shared" si="8"/>
        <v>0.13333333333333333</v>
      </c>
      <c r="T26" s="2327">
        <f>24*30</f>
        <v>720</v>
      </c>
      <c r="U26" s="2722">
        <f>COMPOSITE!M$179+COMPOSITE!$K$179</f>
        <v>36</v>
      </c>
      <c r="V26" s="2742">
        <f t="shared" si="9"/>
        <v>0.05</v>
      </c>
      <c r="W26" s="2718">
        <f>47*30</f>
        <v>1410</v>
      </c>
      <c r="X26" s="2722">
        <f>COMPOSITE!M$180+COMPOSITE!$K$180</f>
        <v>145</v>
      </c>
      <c r="Y26" s="2742">
        <f t="shared" si="10"/>
        <v>0.10283687943262411</v>
      </c>
      <c r="Z26" s="2327">
        <f>117*30</f>
        <v>3510</v>
      </c>
      <c r="AA26" s="2721">
        <f>COMPOSITE!M$181+COMPOSITE!$K$181</f>
        <v>410</v>
      </c>
      <c r="AB26" s="2744">
        <f t="shared" si="11"/>
        <v>0.11680911680911681</v>
      </c>
      <c r="AC26" s="2718">
        <f>4*30</f>
        <v>120</v>
      </c>
      <c r="AD26" s="2722">
        <f>COMPOSITE!K$182</f>
        <v>192</v>
      </c>
      <c r="AE26" s="2745"/>
      <c r="AF26" s="2327">
        <f>24*30</f>
        <v>720</v>
      </c>
      <c r="AG26" s="2722">
        <f>COMPOSITE!M$183+COMPOSITE!$K$183</f>
        <v>410</v>
      </c>
      <c r="AH26" s="2742">
        <f t="shared" si="12"/>
        <v>0.56944444444444442</v>
      </c>
      <c r="AI26" s="2327">
        <f>42*30</f>
        <v>1260</v>
      </c>
      <c r="AJ26" s="2721">
        <f>364+COMPOSITE!$K$184</f>
        <v>1012</v>
      </c>
      <c r="AK26" s="2744">
        <f t="shared" si="13"/>
        <v>0.80317460317460321</v>
      </c>
      <c r="AL26" s="2327">
        <f>32*30</f>
        <v>960</v>
      </c>
      <c r="AM26" s="2722">
        <f>COMPOSITE!M$185+COMPOSITE!$K$185</f>
        <v>0</v>
      </c>
      <c r="AN26" s="2744">
        <f t="shared" si="14"/>
        <v>0</v>
      </c>
      <c r="AO26" s="2327">
        <f>24*30</f>
        <v>720</v>
      </c>
      <c r="AP26" s="2722">
        <f>COMPOSITE!M$186+COMPOSITE!$K$186</f>
        <v>0</v>
      </c>
      <c r="AQ26" s="2744">
        <f t="shared" si="15"/>
        <v>0</v>
      </c>
      <c r="AR26" s="2327">
        <f>22*30</f>
        <v>660</v>
      </c>
      <c r="AS26" s="2722">
        <f>COMPOSITE!M$188+COMPOSITE!$K$188</f>
        <v>34</v>
      </c>
      <c r="AT26" s="2744">
        <f t="shared" si="16"/>
        <v>5.1515151515151514E-2</v>
      </c>
      <c r="AU26" s="2327">
        <f>24*30</f>
        <v>720</v>
      </c>
      <c r="AV26" s="2722">
        <f>COMPOSITE!M$187+COMPOSITE!$K$187</f>
        <v>226</v>
      </c>
      <c r="AW26" s="2744">
        <f t="shared" si="17"/>
        <v>0.31388888888888888</v>
      </c>
      <c r="AX26" s="2721">
        <f>12*30</f>
        <v>360</v>
      </c>
      <c r="AY26" s="2722">
        <v>0</v>
      </c>
      <c r="AZ26" s="2746">
        <f t="shared" si="18"/>
        <v>0</v>
      </c>
      <c r="BA26" s="2327">
        <f>24*30</f>
        <v>720</v>
      </c>
      <c r="BB26" s="2722">
        <f>COMPOSITE!M$189+COMPOSITE!$K$189</f>
        <v>342</v>
      </c>
      <c r="BC26" s="2744">
        <f t="shared" si="19"/>
        <v>0.47499999999999998</v>
      </c>
      <c r="BD26" s="2327">
        <f>36*30</f>
        <v>1080</v>
      </c>
      <c r="BE26" s="2722">
        <f>COMPOSITE!M$190+COMPOSITE!$K$190</f>
        <v>203</v>
      </c>
      <c r="BF26" s="2744">
        <f t="shared" si="20"/>
        <v>0.18796296296296297</v>
      </c>
      <c r="BG26" s="2327">
        <f>24*30</f>
        <v>720</v>
      </c>
      <c r="BH26" s="2722">
        <f>COMPOSITE!M$191+COMPOSITE!$K$191</f>
        <v>13</v>
      </c>
      <c r="BI26" s="2744">
        <f t="shared" si="21"/>
        <v>1.8055555555555554E-2</v>
      </c>
      <c r="BJ26" s="2327">
        <f>65*30</f>
        <v>1950</v>
      </c>
      <c r="BK26" s="2722">
        <f>COMPOSITE!M$192+COMPOSITE!$K$192</f>
        <v>344</v>
      </c>
      <c r="BL26" s="2744">
        <f t="shared" si="22"/>
        <v>0.1764102564102564</v>
      </c>
      <c r="BM26" s="2327">
        <f>21*30</f>
        <v>630</v>
      </c>
      <c r="BN26" s="2722">
        <f>COMPOSITE!M$193+COMPOSITE!$K$193</f>
        <v>0</v>
      </c>
      <c r="BO26" s="2744">
        <f t="shared" si="23"/>
        <v>0</v>
      </c>
      <c r="BP26" s="2327">
        <f>24*30</f>
        <v>720</v>
      </c>
      <c r="BQ26" s="2722">
        <f>COMPOSITE!M$194+COMPOSITE!$K$194</f>
        <v>52</v>
      </c>
      <c r="BR26" s="2744">
        <f t="shared" si="24"/>
        <v>7.2222222222222215E-2</v>
      </c>
    </row>
    <row r="27" spans="1:70" s="237" customFormat="1" ht="57.75" customHeight="1">
      <c r="A27" s="2329">
        <v>42491</v>
      </c>
      <c r="B27" s="2718">
        <f t="shared" si="25"/>
        <v>11501</v>
      </c>
      <c r="C27" s="2724">
        <f t="shared" si="0"/>
        <v>878</v>
      </c>
      <c r="D27" s="2773">
        <f t="shared" si="1"/>
        <v>7.6341187722806708E-2</v>
      </c>
      <c r="E27" s="2771">
        <f t="shared" si="26"/>
        <v>9703</v>
      </c>
      <c r="F27" s="2719">
        <f t="shared" si="2"/>
        <v>950.5</v>
      </c>
      <c r="G27" s="2768">
        <f t="shared" si="3"/>
        <v>9.7959394001855091E-2</v>
      </c>
      <c r="H27" s="2771">
        <f t="shared" si="27"/>
        <v>9393</v>
      </c>
      <c r="I27" s="2720">
        <f t="shared" si="4"/>
        <v>1666.5</v>
      </c>
      <c r="J27" s="2743">
        <f t="shared" si="5"/>
        <v>0.17741935483870969</v>
      </c>
      <c r="K27" s="2718">
        <f t="shared" si="28"/>
        <v>3720</v>
      </c>
      <c r="L27" s="2722">
        <f>COMPOSITE!$P$176+COMPOSITE!$N$176</f>
        <v>0</v>
      </c>
      <c r="M27" s="2742">
        <f t="shared" si="6"/>
        <v>0</v>
      </c>
      <c r="N27" s="2718">
        <f t="shared" si="29"/>
        <v>2945</v>
      </c>
      <c r="O27" s="2722">
        <f>COMPOSITE!$P$177++COMPOSITE!$N$177</f>
        <v>0</v>
      </c>
      <c r="P27" s="2742">
        <f t="shared" si="7"/>
        <v>0</v>
      </c>
      <c r="Q27" s="2327">
        <f t="shared" si="30"/>
        <v>744</v>
      </c>
      <c r="R27" s="2722">
        <f>COMPOSITE!P$178+COMPOSITE!$N$178</f>
        <v>144</v>
      </c>
      <c r="S27" s="2742">
        <f t="shared" si="8"/>
        <v>0.19354838709677419</v>
      </c>
      <c r="T27" s="2327">
        <f t="shared" si="31"/>
        <v>744</v>
      </c>
      <c r="U27" s="2722">
        <f>COMPOSITE!P$179+COMPOSITE!$N$179</f>
        <v>0</v>
      </c>
      <c r="V27" s="2742">
        <f t="shared" si="9"/>
        <v>0</v>
      </c>
      <c r="W27" s="2718">
        <f t="shared" si="32"/>
        <v>1457</v>
      </c>
      <c r="X27" s="2722">
        <f>COMPOSITE!P$180+COMPOSITE!$N$180</f>
        <v>0</v>
      </c>
      <c r="Y27" s="2742">
        <f t="shared" si="10"/>
        <v>0</v>
      </c>
      <c r="Z27" s="2327">
        <f t="shared" si="33"/>
        <v>3627</v>
      </c>
      <c r="AA27" s="2721">
        <f>COMPOSITE!P$181+COMPOSITE!$N$181</f>
        <v>402</v>
      </c>
      <c r="AB27" s="2744">
        <f t="shared" si="11"/>
        <v>0.11083540115798181</v>
      </c>
      <c r="AC27" s="2718">
        <f>4*31</f>
        <v>124</v>
      </c>
      <c r="AD27" s="2722">
        <f>COMPOSITE!N$182</f>
        <v>264</v>
      </c>
      <c r="AE27" s="2745"/>
      <c r="AF27" s="2327">
        <f t="shared" si="34"/>
        <v>744</v>
      </c>
      <c r="AG27" s="2722">
        <f>COMPOSITE!P$183+COMPOSITE!$N$183</f>
        <v>405.5</v>
      </c>
      <c r="AH27" s="2742">
        <f t="shared" si="12"/>
        <v>0.54502688172043012</v>
      </c>
      <c r="AI27" s="2327">
        <f t="shared" si="35"/>
        <v>1302</v>
      </c>
      <c r="AJ27" s="2721">
        <f>364+COMPOSITE!$N$184</f>
        <v>1107.5</v>
      </c>
      <c r="AK27" s="2744">
        <f t="shared" si="13"/>
        <v>0.85061443932411673</v>
      </c>
      <c r="AL27" s="2327">
        <f t="shared" si="36"/>
        <v>992</v>
      </c>
      <c r="AM27" s="2722">
        <f>COMPOSITE!P$185+COMPOSITE!$N$185</f>
        <v>0</v>
      </c>
      <c r="AN27" s="2744">
        <f t="shared" si="14"/>
        <v>0</v>
      </c>
      <c r="AO27" s="2327">
        <f t="shared" si="37"/>
        <v>744</v>
      </c>
      <c r="AP27" s="2722">
        <f>COMPOSITE!P$186+COMPOSITE!$N$186</f>
        <v>0</v>
      </c>
      <c r="AQ27" s="2744">
        <f t="shared" si="15"/>
        <v>0</v>
      </c>
      <c r="AR27" s="2327">
        <f t="shared" si="38"/>
        <v>682</v>
      </c>
      <c r="AS27" s="2722">
        <f>COMPOSITE!P$188+COMPOSITE!$N$188</f>
        <v>44</v>
      </c>
      <c r="AT27" s="2744">
        <f t="shared" si="16"/>
        <v>6.4516129032258063E-2</v>
      </c>
      <c r="AU27" s="2327">
        <f t="shared" si="39"/>
        <v>744</v>
      </c>
      <c r="AV27" s="2722">
        <f>COMPOSITE!P$187+COMPOSITE!$N$187</f>
        <v>191</v>
      </c>
      <c r="AW27" s="2744">
        <f t="shared" si="17"/>
        <v>0.25672043010752688</v>
      </c>
      <c r="AX27" s="2721">
        <f t="shared" si="40"/>
        <v>372</v>
      </c>
      <c r="AY27" s="2722">
        <v>0</v>
      </c>
      <c r="AZ27" s="2746">
        <f t="shared" si="18"/>
        <v>0</v>
      </c>
      <c r="BA27" s="2327">
        <f t="shared" si="41"/>
        <v>744</v>
      </c>
      <c r="BB27" s="2722">
        <f>COMPOSITE!P$189+COMPOSITE!$N$189</f>
        <v>324</v>
      </c>
      <c r="BC27" s="2744">
        <f t="shared" si="19"/>
        <v>0.43548387096774194</v>
      </c>
      <c r="BD27" s="2327">
        <f t="shared" si="42"/>
        <v>1116</v>
      </c>
      <c r="BE27" s="2722">
        <f>COMPOSITE!P$190+COMPOSITE!$N$190</f>
        <v>255</v>
      </c>
      <c r="BF27" s="2744">
        <f t="shared" si="20"/>
        <v>0.22849462365591397</v>
      </c>
      <c r="BG27" s="2327">
        <f t="shared" si="43"/>
        <v>744</v>
      </c>
      <c r="BH27" s="2722">
        <f>COMPOSITE!P$191+COMPOSITE!$N$191</f>
        <v>26</v>
      </c>
      <c r="BI27" s="2744">
        <f t="shared" si="21"/>
        <v>3.4946236559139782E-2</v>
      </c>
      <c r="BJ27" s="2327">
        <f t="shared" si="44"/>
        <v>2015</v>
      </c>
      <c r="BK27" s="2722">
        <f>COMPOSITE!P$192+COMPOSITE!$N$192</f>
        <v>332</v>
      </c>
      <c r="BL27" s="2744">
        <f t="shared" si="22"/>
        <v>0.16476426799007443</v>
      </c>
      <c r="BM27" s="2327">
        <f t="shared" si="45"/>
        <v>651</v>
      </c>
      <c r="BN27" s="2722">
        <f>COMPOSITE!P$193+COMPOSITE!$N$193</f>
        <v>0</v>
      </c>
      <c r="BO27" s="2744">
        <f t="shared" si="23"/>
        <v>0</v>
      </c>
      <c r="BP27" s="2327">
        <f t="shared" si="46"/>
        <v>744</v>
      </c>
      <c r="BQ27" s="2722">
        <f>COMPOSITE!P$194+COMPOSITE!$N$194</f>
        <v>0</v>
      </c>
      <c r="BR27" s="2744">
        <f t="shared" si="24"/>
        <v>0</v>
      </c>
    </row>
    <row r="28" spans="1:70" s="237" customFormat="1" ht="57.75" customHeight="1">
      <c r="A28" s="2329">
        <v>42522</v>
      </c>
      <c r="B28" s="2718">
        <f>371*30</f>
        <v>11130</v>
      </c>
      <c r="C28" s="2724">
        <f t="shared" si="0"/>
        <v>807</v>
      </c>
      <c r="D28" s="2773">
        <f t="shared" si="1"/>
        <v>7.2506738544474397E-2</v>
      </c>
      <c r="E28" s="2771">
        <f>313*30</f>
        <v>9390</v>
      </c>
      <c r="F28" s="2719">
        <f t="shared" si="2"/>
        <v>905</v>
      </c>
      <c r="G28" s="2768">
        <f t="shared" si="3"/>
        <v>9.6379126730564424E-2</v>
      </c>
      <c r="H28" s="2771">
        <f>303*30</f>
        <v>9090</v>
      </c>
      <c r="I28" s="2720">
        <f t="shared" si="4"/>
        <v>1612</v>
      </c>
      <c r="J28" s="2743">
        <f t="shared" si="5"/>
        <v>0.17733773377337733</v>
      </c>
      <c r="K28" s="2718">
        <f>120*30</f>
        <v>3600</v>
      </c>
      <c r="L28" s="2722">
        <f>COMPOSITE!$S$176+COMPOSITE!$Q$176</f>
        <v>0</v>
      </c>
      <c r="M28" s="2742">
        <f t="shared" si="6"/>
        <v>0</v>
      </c>
      <c r="N28" s="2718">
        <f t="shared" si="29"/>
        <v>2945</v>
      </c>
      <c r="O28" s="2722">
        <f>COMPOSITE!$S$177++COMPOSITE!$Q$177</f>
        <v>0</v>
      </c>
      <c r="P28" s="2742">
        <f t="shared" si="7"/>
        <v>0</v>
      </c>
      <c r="Q28" s="2327">
        <f>24*30</f>
        <v>720</v>
      </c>
      <c r="R28" s="2722">
        <f>COMPOSITE!S$178+COMPOSITE!$Q$178</f>
        <v>36</v>
      </c>
      <c r="S28" s="2742">
        <f t="shared" si="8"/>
        <v>0.05</v>
      </c>
      <c r="T28" s="2327">
        <f>24*30</f>
        <v>720</v>
      </c>
      <c r="U28" s="2722">
        <f>COMPOSITE!S$179+COMPOSITE!$Q$179</f>
        <v>0</v>
      </c>
      <c r="V28" s="2742">
        <f t="shared" si="9"/>
        <v>0</v>
      </c>
      <c r="W28" s="2718">
        <f>47*30</f>
        <v>1410</v>
      </c>
      <c r="X28" s="2722">
        <f>COMPOSITE!S$180+COMPOSITE!$Q$180</f>
        <v>0</v>
      </c>
      <c r="Y28" s="2742">
        <f t="shared" si="10"/>
        <v>0</v>
      </c>
      <c r="Z28" s="2327">
        <f>117*30</f>
        <v>3510</v>
      </c>
      <c r="AA28" s="2721">
        <f>COMPOSITE!S$181+COMPOSITE!$Q$181</f>
        <v>359</v>
      </c>
      <c r="AB28" s="2744">
        <f t="shared" si="11"/>
        <v>0.10227920227920229</v>
      </c>
      <c r="AC28" s="2718">
        <f>4*30</f>
        <v>120</v>
      </c>
      <c r="AD28" s="2722">
        <f>COMPOSITE!Q$182</f>
        <v>276</v>
      </c>
      <c r="AE28" s="2745"/>
      <c r="AF28" s="2327">
        <f>24*30</f>
        <v>720</v>
      </c>
      <c r="AG28" s="2722">
        <f>COMPOSITE!S$183+COMPOSITE!$Q$183</f>
        <v>330</v>
      </c>
      <c r="AH28" s="2742">
        <f t="shared" si="12"/>
        <v>0.45833333333333331</v>
      </c>
      <c r="AI28" s="2327">
        <f>42*30</f>
        <v>1260</v>
      </c>
      <c r="AJ28" s="2721">
        <f>390+COMPOSITE!$Q$184</f>
        <v>1062</v>
      </c>
      <c r="AK28" s="2744">
        <f t="shared" si="13"/>
        <v>0.84285714285714286</v>
      </c>
      <c r="AL28" s="2327">
        <f>32*30</f>
        <v>960</v>
      </c>
      <c r="AM28" s="2722">
        <f>COMPOSITE!S$185+COMPOSITE!$Q$185</f>
        <v>0</v>
      </c>
      <c r="AN28" s="2744">
        <f t="shared" si="14"/>
        <v>0</v>
      </c>
      <c r="AO28" s="2327">
        <f>24*30</f>
        <v>720</v>
      </c>
      <c r="AP28" s="2722">
        <f>COMPOSITE!S$186+COMPOSITE!$Q$186</f>
        <v>0</v>
      </c>
      <c r="AQ28" s="2744">
        <f t="shared" si="15"/>
        <v>0</v>
      </c>
      <c r="AR28" s="2327">
        <f>22*30</f>
        <v>660</v>
      </c>
      <c r="AS28" s="2722">
        <f>COMPOSITE!S$188+COMPOSITE!$Q$188</f>
        <v>10</v>
      </c>
      <c r="AT28" s="2744">
        <f t="shared" si="16"/>
        <v>1.5151515151515152E-2</v>
      </c>
      <c r="AU28" s="2327">
        <f>24*30</f>
        <v>720</v>
      </c>
      <c r="AV28" s="2722">
        <f>COMPOSITE!S$187+COMPOSITE!$Q$187</f>
        <v>204</v>
      </c>
      <c r="AW28" s="2744">
        <f t="shared" si="17"/>
        <v>0.28333333333333333</v>
      </c>
      <c r="AX28" s="2721">
        <f>12*30</f>
        <v>360</v>
      </c>
      <c r="AY28" s="2722">
        <v>0</v>
      </c>
      <c r="AZ28" s="2746">
        <f t="shared" si="18"/>
        <v>0</v>
      </c>
      <c r="BA28" s="2327">
        <f>24*30</f>
        <v>720</v>
      </c>
      <c r="BB28" s="2722">
        <f>COMPOSITE!S$189+COMPOSITE!$Q$189</f>
        <v>336</v>
      </c>
      <c r="BC28" s="2744">
        <f t="shared" si="19"/>
        <v>0.46666666666666667</v>
      </c>
      <c r="BD28" s="2327">
        <f>36*30</f>
        <v>1080</v>
      </c>
      <c r="BE28" s="2722">
        <f>COMPOSITE!S$190+COMPOSITE!$Q$190</f>
        <v>260</v>
      </c>
      <c r="BF28" s="2744">
        <f t="shared" si="20"/>
        <v>0.24074074074074073</v>
      </c>
      <c r="BG28" s="2327">
        <f>24*30</f>
        <v>720</v>
      </c>
      <c r="BH28" s="2722">
        <f>COMPOSITE!S$191+COMPOSITE!$Q$191</f>
        <v>39</v>
      </c>
      <c r="BI28" s="2744">
        <f t="shared" si="21"/>
        <v>5.4166666666666669E-2</v>
      </c>
      <c r="BJ28" s="2327">
        <f>65*30</f>
        <v>1950</v>
      </c>
      <c r="BK28" s="2722">
        <f>COMPOSITE!S$192+COMPOSITE!$Q$192</f>
        <v>412</v>
      </c>
      <c r="BL28" s="2744">
        <f t="shared" si="22"/>
        <v>0.21128205128205127</v>
      </c>
      <c r="BM28" s="2327">
        <f>21*30</f>
        <v>630</v>
      </c>
      <c r="BN28" s="2722">
        <f>COMPOSITE!S$193+COMPOSITE!$Q$193</f>
        <v>0</v>
      </c>
      <c r="BO28" s="2744">
        <f t="shared" si="23"/>
        <v>0</v>
      </c>
      <c r="BP28" s="2327">
        <f>24*30</f>
        <v>720</v>
      </c>
      <c r="BQ28" s="2722">
        <f>COMPOSITE!S$194+COMPOSITE!$Q$194</f>
        <v>0</v>
      </c>
      <c r="BR28" s="2744">
        <f t="shared" si="24"/>
        <v>0</v>
      </c>
    </row>
    <row r="29" spans="1:70" s="237" customFormat="1" ht="57.75" customHeight="1">
      <c r="A29" s="2329">
        <v>42552</v>
      </c>
      <c r="B29" s="2718">
        <f t="shared" si="25"/>
        <v>11501</v>
      </c>
      <c r="C29" s="2724">
        <f t="shared" si="0"/>
        <v>744</v>
      </c>
      <c r="D29" s="2773">
        <f t="shared" si="1"/>
        <v>6.4690026954177901E-2</v>
      </c>
      <c r="E29" s="2771">
        <f t="shared" si="26"/>
        <v>9703</v>
      </c>
      <c r="F29" s="2719">
        <f t="shared" si="2"/>
        <v>733</v>
      </c>
      <c r="G29" s="2768">
        <f t="shared" si="3"/>
        <v>7.5543646294960326E-2</v>
      </c>
      <c r="H29" s="2771">
        <f t="shared" si="27"/>
        <v>9393</v>
      </c>
      <c r="I29" s="2720">
        <f t="shared" si="4"/>
        <v>1624.25</v>
      </c>
      <c r="J29" s="2743">
        <f t="shared" si="5"/>
        <v>0.17292132439050356</v>
      </c>
      <c r="K29" s="2718">
        <f t="shared" si="28"/>
        <v>3720</v>
      </c>
      <c r="L29" s="2722">
        <f>COMPOSITE!$V$176+COMPOSITE!$T$176</f>
        <v>0</v>
      </c>
      <c r="M29" s="2742">
        <f t="shared" si="6"/>
        <v>0</v>
      </c>
      <c r="N29" s="2718">
        <f t="shared" si="29"/>
        <v>2945</v>
      </c>
      <c r="O29" s="2722">
        <f>COMPOSITE!$V$177++COMPOSITE!$T$177</f>
        <v>0</v>
      </c>
      <c r="P29" s="2742">
        <f t="shared" si="7"/>
        <v>0</v>
      </c>
      <c r="Q29" s="2327">
        <f t="shared" si="30"/>
        <v>744</v>
      </c>
      <c r="R29" s="2722">
        <f>COMPOSITE!V$178+COMPOSITE!$T$178</f>
        <v>156</v>
      </c>
      <c r="S29" s="2742">
        <f t="shared" si="8"/>
        <v>0.20967741935483872</v>
      </c>
      <c r="T29" s="2327">
        <f t="shared" si="31"/>
        <v>744</v>
      </c>
      <c r="U29" s="2722">
        <f>COMPOSITE!V$179+COMPOSITE!$T$179</f>
        <v>12</v>
      </c>
      <c r="V29" s="2742">
        <f t="shared" si="9"/>
        <v>1.6129032258064516E-2</v>
      </c>
      <c r="W29" s="2718">
        <f t="shared" si="32"/>
        <v>1457</v>
      </c>
      <c r="X29" s="2722">
        <f>COMPOSITE!V$180+COMPOSITE!$T$180</f>
        <v>0</v>
      </c>
      <c r="Y29" s="2742">
        <f t="shared" si="10"/>
        <v>0</v>
      </c>
      <c r="Z29" s="2327">
        <f t="shared" si="33"/>
        <v>3627</v>
      </c>
      <c r="AA29" s="2721">
        <f>COMPOSITE!V$181+COMPOSITE!$T$181</f>
        <v>327</v>
      </c>
      <c r="AB29" s="2744">
        <f t="shared" si="11"/>
        <v>9.015715467328371E-2</v>
      </c>
      <c r="AC29" s="2718">
        <f>4*31</f>
        <v>124</v>
      </c>
      <c r="AD29" s="2722">
        <f>COMPOSITE!T$182</f>
        <v>156</v>
      </c>
      <c r="AE29" s="2745"/>
      <c r="AF29" s="2327">
        <f t="shared" si="34"/>
        <v>744</v>
      </c>
      <c r="AG29" s="2722">
        <f>COMPOSITE!V$183+COMPOSITE!$T$183</f>
        <v>316</v>
      </c>
      <c r="AH29" s="2742">
        <f t="shared" si="12"/>
        <v>0.42473118279569894</v>
      </c>
      <c r="AI29" s="2327">
        <f t="shared" si="35"/>
        <v>1302</v>
      </c>
      <c r="AJ29" s="2721">
        <f>592+COMPOSITE!$T$184</f>
        <v>1059.25</v>
      </c>
      <c r="AK29" s="2744">
        <f t="shared" si="13"/>
        <v>0.81355606758832566</v>
      </c>
      <c r="AL29" s="2327">
        <f t="shared" si="36"/>
        <v>992</v>
      </c>
      <c r="AM29" s="2722">
        <f>COMPOSITE!V$185+COMPOSITE!$T$185</f>
        <v>0</v>
      </c>
      <c r="AN29" s="2744">
        <f t="shared" si="14"/>
        <v>0</v>
      </c>
      <c r="AO29" s="2327">
        <f t="shared" si="37"/>
        <v>744</v>
      </c>
      <c r="AP29" s="2722">
        <f>COMPOSITE!V$186+COMPOSITE!$T$186</f>
        <v>0</v>
      </c>
      <c r="AQ29" s="2744">
        <f t="shared" si="15"/>
        <v>0</v>
      </c>
      <c r="AR29" s="2327">
        <f t="shared" si="38"/>
        <v>682</v>
      </c>
      <c r="AS29" s="2722">
        <f>COMPOSITE!V$188+COMPOSITE!$T$188</f>
        <v>24</v>
      </c>
      <c r="AT29" s="2744">
        <f t="shared" si="16"/>
        <v>3.519061583577713E-2</v>
      </c>
      <c r="AU29" s="2327">
        <f t="shared" si="39"/>
        <v>744</v>
      </c>
      <c r="AV29" s="2722">
        <f>COMPOSITE!V$187+COMPOSITE!$T$187</f>
        <v>241</v>
      </c>
      <c r="AW29" s="2744">
        <f t="shared" si="17"/>
        <v>0.32392473118279569</v>
      </c>
      <c r="AX29" s="2721">
        <f t="shared" si="40"/>
        <v>372</v>
      </c>
      <c r="AY29" s="2722">
        <v>0</v>
      </c>
      <c r="AZ29" s="2746">
        <f t="shared" si="18"/>
        <v>0</v>
      </c>
      <c r="BA29" s="2327">
        <f t="shared" si="41"/>
        <v>744</v>
      </c>
      <c r="BB29" s="2722">
        <f>COMPOSITE!V$189+COMPOSITE!$T$189</f>
        <v>300</v>
      </c>
      <c r="BC29" s="2744">
        <f t="shared" si="19"/>
        <v>0.40322580645161288</v>
      </c>
      <c r="BD29" s="2327">
        <f t="shared" si="42"/>
        <v>1116</v>
      </c>
      <c r="BE29" s="2722">
        <f>COMPOSITE!V$190+COMPOSITE!$T$190</f>
        <v>226</v>
      </c>
      <c r="BF29" s="2744">
        <f t="shared" si="20"/>
        <v>0.2025089605734767</v>
      </c>
      <c r="BG29" s="2327">
        <f t="shared" si="43"/>
        <v>744</v>
      </c>
      <c r="BH29" s="2722">
        <f>COMPOSITE!V$191+COMPOSITE!$T$191</f>
        <v>35</v>
      </c>
      <c r="BI29" s="2744">
        <f t="shared" si="21"/>
        <v>4.7043010752688172E-2</v>
      </c>
      <c r="BJ29" s="2327">
        <f t="shared" si="44"/>
        <v>2015</v>
      </c>
      <c r="BK29" s="2722">
        <f>COMPOSITE!V$192+COMPOSITE!$T$192</f>
        <v>236</v>
      </c>
      <c r="BL29" s="2744">
        <f t="shared" si="22"/>
        <v>0.11712158808933003</v>
      </c>
      <c r="BM29" s="2327">
        <f t="shared" si="45"/>
        <v>651</v>
      </c>
      <c r="BN29" s="2722">
        <f>COMPOSITE!V$193+COMPOSITE!$T$193</f>
        <v>0</v>
      </c>
      <c r="BO29" s="2744">
        <f t="shared" si="23"/>
        <v>0</v>
      </c>
      <c r="BP29" s="2327">
        <f t="shared" si="46"/>
        <v>744</v>
      </c>
      <c r="BQ29" s="2722">
        <f>COMPOSITE!V$194+COMPOSITE!$T$194</f>
        <v>13</v>
      </c>
      <c r="BR29" s="2744">
        <f t="shared" si="24"/>
        <v>1.7473118279569891E-2</v>
      </c>
    </row>
    <row r="30" spans="1:70" s="237" customFormat="1" ht="57.75" customHeight="1">
      <c r="A30" s="2329">
        <v>42583</v>
      </c>
      <c r="B30" s="2718">
        <f t="shared" si="25"/>
        <v>11501</v>
      </c>
      <c r="C30" s="2724">
        <f t="shared" si="0"/>
        <v>668</v>
      </c>
      <c r="D30" s="2773">
        <f t="shared" si="1"/>
        <v>5.8081905921224239E-2</v>
      </c>
      <c r="E30" s="2771">
        <f t="shared" si="26"/>
        <v>9703</v>
      </c>
      <c r="F30" s="2719">
        <f t="shared" si="2"/>
        <v>572</v>
      </c>
      <c r="G30" s="2768">
        <f t="shared" si="3"/>
        <v>5.8950839946408325E-2</v>
      </c>
      <c r="H30" s="2771">
        <f t="shared" si="27"/>
        <v>9393</v>
      </c>
      <c r="I30" s="2720">
        <f t="shared" si="4"/>
        <v>1650</v>
      </c>
      <c r="J30" s="2743">
        <f t="shared" si="5"/>
        <v>0.17566272756307888</v>
      </c>
      <c r="K30" s="2718">
        <f t="shared" si="28"/>
        <v>3720</v>
      </c>
      <c r="L30" s="2722">
        <f>COMPOSITE!$Y$176+COMPOSITE!$W$176</f>
        <v>0</v>
      </c>
      <c r="M30" s="2742">
        <f t="shared" si="6"/>
        <v>0</v>
      </c>
      <c r="N30" s="2718">
        <f t="shared" si="29"/>
        <v>2945</v>
      </c>
      <c r="O30" s="2722">
        <f>COMPOSITE!$Y$177++COMPOSITE!$W$177</f>
        <v>0</v>
      </c>
      <c r="P30" s="2742">
        <f t="shared" si="7"/>
        <v>0</v>
      </c>
      <c r="Q30" s="2327">
        <f t="shared" si="30"/>
        <v>744</v>
      </c>
      <c r="R30" s="2722">
        <f>COMPOSITE!Y$178+COMPOSITE!$W$178</f>
        <v>48</v>
      </c>
      <c r="S30" s="2742">
        <f t="shared" si="8"/>
        <v>6.4516129032258063E-2</v>
      </c>
      <c r="T30" s="2327">
        <f t="shared" si="31"/>
        <v>744</v>
      </c>
      <c r="U30" s="2722">
        <f>COMPOSITE!Y$179+COMPOSITE!$W$179</f>
        <v>12</v>
      </c>
      <c r="V30" s="2742">
        <f t="shared" si="9"/>
        <v>1.6129032258064516E-2</v>
      </c>
      <c r="W30" s="2718">
        <f t="shared" si="32"/>
        <v>1457</v>
      </c>
      <c r="X30" s="2722">
        <f>COMPOSITE!Y$180+COMPOSITE!$W$180</f>
        <v>0</v>
      </c>
      <c r="Y30" s="2742">
        <f t="shared" si="10"/>
        <v>0</v>
      </c>
      <c r="Z30" s="2327">
        <f t="shared" si="33"/>
        <v>3627</v>
      </c>
      <c r="AA30" s="2721">
        <f>COMPOSITE!Y$181+COMPOSITE!$W$181</f>
        <v>340</v>
      </c>
      <c r="AB30" s="2744">
        <f t="shared" si="11"/>
        <v>9.3741384063964706E-2</v>
      </c>
      <c r="AC30" s="2375"/>
      <c r="AD30" s="2378"/>
      <c r="AE30" s="2741"/>
      <c r="AF30" s="2327">
        <f t="shared" si="34"/>
        <v>744</v>
      </c>
      <c r="AG30" s="2722">
        <f>COMPOSITE!Y$183+COMPOSITE!$W$183</f>
        <v>360</v>
      </c>
      <c r="AH30" s="2742">
        <f t="shared" si="12"/>
        <v>0.4838709677419355</v>
      </c>
      <c r="AI30" s="2327">
        <f t="shared" si="35"/>
        <v>1302</v>
      </c>
      <c r="AJ30" s="2721">
        <f>475+COMPOSITE!$W$184</f>
        <v>986</v>
      </c>
      <c r="AK30" s="2744">
        <f t="shared" si="13"/>
        <v>0.75729646697388631</v>
      </c>
      <c r="AL30" s="2327">
        <f t="shared" si="36"/>
        <v>992</v>
      </c>
      <c r="AM30" s="2722">
        <f>COMPOSITE!Y$185+COMPOSITE!$W$185</f>
        <v>0</v>
      </c>
      <c r="AN30" s="2744">
        <f t="shared" si="14"/>
        <v>0</v>
      </c>
      <c r="AO30" s="2327">
        <f t="shared" si="37"/>
        <v>744</v>
      </c>
      <c r="AP30" s="2722">
        <f>COMPOSITE!Y$186+COMPOSITE!$W$186</f>
        <v>0</v>
      </c>
      <c r="AQ30" s="2744">
        <f t="shared" si="15"/>
        <v>0</v>
      </c>
      <c r="AR30" s="2327">
        <f t="shared" si="38"/>
        <v>682</v>
      </c>
      <c r="AS30" s="2722">
        <f>COMPOSITE!Y$188+COMPOSITE!$W$188</f>
        <v>68</v>
      </c>
      <c r="AT30" s="2744">
        <f t="shared" si="16"/>
        <v>9.9706744868035185E-2</v>
      </c>
      <c r="AU30" s="2327">
        <f t="shared" si="39"/>
        <v>744</v>
      </c>
      <c r="AV30" s="2722">
        <f>COMPOSITE!Y$187+COMPOSITE!$W$187</f>
        <v>212</v>
      </c>
      <c r="AW30" s="2744">
        <f t="shared" si="17"/>
        <v>0.28494623655913981</v>
      </c>
      <c r="AX30" s="2721">
        <f t="shared" si="40"/>
        <v>372</v>
      </c>
      <c r="AY30" s="2722">
        <v>0</v>
      </c>
      <c r="AZ30" s="2746">
        <f t="shared" si="18"/>
        <v>0</v>
      </c>
      <c r="BA30" s="2327">
        <f t="shared" si="41"/>
        <v>744</v>
      </c>
      <c r="BB30" s="2722">
        <f>COMPOSITE!Y$189+COMPOSITE!$W$189</f>
        <v>384</v>
      </c>
      <c r="BC30" s="2744">
        <f t="shared" si="19"/>
        <v>0.5161290322580645</v>
      </c>
      <c r="BD30" s="2327">
        <f t="shared" si="42"/>
        <v>1116</v>
      </c>
      <c r="BE30" s="2722">
        <f>COMPOSITE!Y$190+COMPOSITE!$W$190</f>
        <v>174</v>
      </c>
      <c r="BF30" s="2744">
        <f t="shared" si="20"/>
        <v>0.15591397849462366</v>
      </c>
      <c r="BG30" s="2327">
        <f t="shared" si="43"/>
        <v>744</v>
      </c>
      <c r="BH30" s="2722">
        <f>COMPOSITE!Y$191+COMPOSITE!$W$191</f>
        <v>38</v>
      </c>
      <c r="BI30" s="2744">
        <f t="shared" si="21"/>
        <v>5.1075268817204304E-2</v>
      </c>
      <c r="BJ30" s="2327">
        <f t="shared" si="44"/>
        <v>2015</v>
      </c>
      <c r="BK30" s="2722">
        <f>COMPOSITE!Y$192+COMPOSITE!$W$192</f>
        <v>172</v>
      </c>
      <c r="BL30" s="2744">
        <f t="shared" si="22"/>
        <v>8.535980148883375E-2</v>
      </c>
      <c r="BM30" s="2327">
        <f t="shared" si="45"/>
        <v>651</v>
      </c>
      <c r="BN30" s="2722">
        <f>COMPOSITE!Y$193+COMPOSITE!$W$193</f>
        <v>0</v>
      </c>
      <c r="BO30" s="2744">
        <f t="shared" si="23"/>
        <v>0</v>
      </c>
      <c r="BP30" s="2327">
        <f t="shared" si="46"/>
        <v>744</v>
      </c>
      <c r="BQ30" s="2722">
        <f>COMPOSITE!Y$194+COMPOSITE!$W$194</f>
        <v>96</v>
      </c>
      <c r="BR30" s="2744">
        <f t="shared" si="24"/>
        <v>0.12903225806451613</v>
      </c>
    </row>
    <row r="31" spans="1:70" s="237" customFormat="1" ht="57.75" customHeight="1">
      <c r="A31" s="2329">
        <v>42614</v>
      </c>
      <c r="B31" s="2718">
        <f>371*30</f>
        <v>11130</v>
      </c>
      <c r="C31" s="2724">
        <f t="shared" si="0"/>
        <v>558</v>
      </c>
      <c r="D31" s="2773">
        <f t="shared" si="1"/>
        <v>5.0134770889487867E-2</v>
      </c>
      <c r="E31" s="2771">
        <f>313*30</f>
        <v>9390</v>
      </c>
      <c r="F31" s="2719">
        <f t="shared" si="2"/>
        <v>542</v>
      </c>
      <c r="G31" s="2768">
        <f t="shared" si="3"/>
        <v>5.7720979765708197E-2</v>
      </c>
      <c r="H31" s="2771">
        <f>303*30</f>
        <v>9090</v>
      </c>
      <c r="I31" s="2720">
        <f t="shared" si="4"/>
        <v>1431</v>
      </c>
      <c r="J31" s="2743">
        <f t="shared" si="5"/>
        <v>0.15742574257425743</v>
      </c>
      <c r="K31" s="2718">
        <f>120*30</f>
        <v>3600</v>
      </c>
      <c r="L31" s="2722">
        <f>COMPOSITE!$AB$176+COMPOSITE!$Z$176</f>
        <v>0</v>
      </c>
      <c r="M31" s="2742">
        <f t="shared" si="6"/>
        <v>0</v>
      </c>
      <c r="N31" s="2718">
        <f t="shared" si="29"/>
        <v>2945</v>
      </c>
      <c r="O31" s="2722">
        <f>COMPOSITE!$AB$177++COMPOSITE!$Z$177</f>
        <v>0</v>
      </c>
      <c r="P31" s="2742">
        <f t="shared" si="7"/>
        <v>0</v>
      </c>
      <c r="Q31" s="2327">
        <f>24*30</f>
        <v>720</v>
      </c>
      <c r="R31" s="2722">
        <f>COMPOSITE!AB$178+COMPOSITE!$Z$178</f>
        <v>24</v>
      </c>
      <c r="S31" s="2742">
        <f t="shared" si="8"/>
        <v>3.3333333333333333E-2</v>
      </c>
      <c r="T31" s="2327">
        <f>24*30</f>
        <v>720</v>
      </c>
      <c r="U31" s="2722">
        <f>COMPOSITE!AB$179+COMPOSITE!$SZ$179</f>
        <v>0</v>
      </c>
      <c r="V31" s="2742">
        <f t="shared" si="9"/>
        <v>0</v>
      </c>
      <c r="W31" s="2718">
        <f>47*30</f>
        <v>1410</v>
      </c>
      <c r="X31" s="2722">
        <f>COMPOSITE!AB$180+COMPOSITE!$Z$180</f>
        <v>0</v>
      </c>
      <c r="Y31" s="2742">
        <f t="shared" si="10"/>
        <v>0</v>
      </c>
      <c r="Z31" s="2327">
        <f>117*30</f>
        <v>3510</v>
      </c>
      <c r="AA31" s="2721">
        <f>COMPOSITE!AB$181+COMPOSITE!$Z$181</f>
        <v>332</v>
      </c>
      <c r="AB31" s="2744">
        <f t="shared" si="11"/>
        <v>9.4586894586894593E-2</v>
      </c>
      <c r="AC31" s="2377"/>
      <c r="AD31" s="2378"/>
      <c r="AE31" s="2741"/>
      <c r="AF31" s="2327">
        <f>24*30</f>
        <v>720</v>
      </c>
      <c r="AG31" s="2722">
        <f>COMPOSITE!AB$183+COMPOSITE!$Z$183</f>
        <v>411</v>
      </c>
      <c r="AH31" s="2742">
        <f t="shared" si="12"/>
        <v>0.5708333333333333</v>
      </c>
      <c r="AI31" s="2327">
        <f>42*30</f>
        <v>1260</v>
      </c>
      <c r="AJ31" s="2721">
        <f>191+COMPOSITE!$Z$184</f>
        <v>805</v>
      </c>
      <c r="AK31" s="2744">
        <f t="shared" si="13"/>
        <v>0.63888888888888884</v>
      </c>
      <c r="AL31" s="2327">
        <f>32*30</f>
        <v>960</v>
      </c>
      <c r="AM31" s="2722">
        <f>COMPOSITE!AB$185+COMPOSITE!$Z$185</f>
        <v>0</v>
      </c>
      <c r="AN31" s="2744">
        <f t="shared" si="14"/>
        <v>0</v>
      </c>
      <c r="AO31" s="2327">
        <f>24*30</f>
        <v>720</v>
      </c>
      <c r="AP31" s="2722">
        <f>COMPOSITE!AB$186+COMPOSITE!$Z$186</f>
        <v>0</v>
      </c>
      <c r="AQ31" s="2744">
        <f t="shared" si="15"/>
        <v>0</v>
      </c>
      <c r="AR31" s="2327">
        <f>22*30</f>
        <v>660</v>
      </c>
      <c r="AS31" s="2722">
        <f>COMPOSITE!AB$188+COMPOSITE!$Z$188</f>
        <v>106</v>
      </c>
      <c r="AT31" s="2744">
        <f t="shared" si="16"/>
        <v>0.16060606060606061</v>
      </c>
      <c r="AU31" s="2327">
        <f>24*30</f>
        <v>720</v>
      </c>
      <c r="AV31" s="2722">
        <f>COMPOSITE!AB$187+COMPOSITE!$Z$187</f>
        <v>160</v>
      </c>
      <c r="AW31" s="2744">
        <f t="shared" si="17"/>
        <v>0.22222222222222221</v>
      </c>
      <c r="AX31" s="2721">
        <f>12*30</f>
        <v>360</v>
      </c>
      <c r="AY31" s="2722">
        <v>0</v>
      </c>
      <c r="AZ31" s="2746">
        <f t="shared" si="18"/>
        <v>0</v>
      </c>
      <c r="BA31" s="2327">
        <f>24*30</f>
        <v>720</v>
      </c>
      <c r="BB31" s="2722">
        <f>COMPOSITE!AB$189+COMPOSITE!$Z$189</f>
        <v>360</v>
      </c>
      <c r="BC31" s="2744">
        <f t="shared" si="19"/>
        <v>0.5</v>
      </c>
      <c r="BD31" s="2327">
        <f>36*30</f>
        <v>1080</v>
      </c>
      <c r="BE31" s="2722">
        <f>COMPOSITE!AB$190+COMPOSITE!$Z$190</f>
        <v>40</v>
      </c>
      <c r="BF31" s="2744">
        <f t="shared" si="20"/>
        <v>3.7037037037037035E-2</v>
      </c>
      <c r="BG31" s="2327">
        <f>24*30</f>
        <v>720</v>
      </c>
      <c r="BH31" s="2722">
        <f>COMPOSITE!AB$191+COMPOSITE!$Z$191</f>
        <v>91</v>
      </c>
      <c r="BI31" s="2744">
        <f t="shared" si="21"/>
        <v>0.12638888888888888</v>
      </c>
      <c r="BJ31" s="2327">
        <f>65*30</f>
        <v>1950</v>
      </c>
      <c r="BK31" s="2722">
        <f>COMPOSITE!AB$192+COMPOSITE!$Z$192</f>
        <v>154</v>
      </c>
      <c r="BL31" s="2744">
        <f t="shared" si="22"/>
        <v>7.8974358974358977E-2</v>
      </c>
      <c r="BM31" s="2327">
        <f>21*30</f>
        <v>630</v>
      </c>
      <c r="BN31" s="2722">
        <f>COMPOSITE!AB$193+COMPOSITE!$Z$193</f>
        <v>0</v>
      </c>
      <c r="BO31" s="2744">
        <f t="shared" si="23"/>
        <v>0</v>
      </c>
      <c r="BP31" s="2327">
        <f>24*30</f>
        <v>720</v>
      </c>
      <c r="BQ31" s="2722">
        <f>COMPOSITE!AB$194+COMPOSITE!$Z$194</f>
        <v>48</v>
      </c>
      <c r="BR31" s="2744">
        <f t="shared" si="24"/>
        <v>6.6666666666666666E-2</v>
      </c>
    </row>
    <row r="32" spans="1:70" s="237" customFormat="1" ht="57.75" customHeight="1">
      <c r="A32" s="2329">
        <v>42644</v>
      </c>
      <c r="B32" s="2718">
        <f t="shared" si="25"/>
        <v>11501</v>
      </c>
      <c r="C32" s="2724">
        <f t="shared" si="0"/>
        <v>565</v>
      </c>
      <c r="D32" s="2773">
        <f t="shared" si="1"/>
        <v>4.9126162942352836E-2</v>
      </c>
      <c r="E32" s="2771">
        <f t="shared" si="26"/>
        <v>9703</v>
      </c>
      <c r="F32" s="2719">
        <f t="shared" si="2"/>
        <v>502</v>
      </c>
      <c r="G32" s="2768">
        <f t="shared" si="3"/>
        <v>5.1736576316603111E-2</v>
      </c>
      <c r="H32" s="2771">
        <f t="shared" si="27"/>
        <v>9393</v>
      </c>
      <c r="I32" s="2720">
        <f t="shared" si="4"/>
        <v>1675.33</v>
      </c>
      <c r="J32" s="2743">
        <f t="shared" si="5"/>
        <v>0.17835941658681997</v>
      </c>
      <c r="K32" s="2718">
        <f t="shared" si="28"/>
        <v>3720</v>
      </c>
      <c r="L32" s="2722">
        <f>COMPOSITE!$AE$176+COMPOSITE!$AC$176</f>
        <v>0</v>
      </c>
      <c r="M32" s="2742">
        <f t="shared" si="6"/>
        <v>0</v>
      </c>
      <c r="N32" s="2718">
        <f t="shared" si="29"/>
        <v>2945</v>
      </c>
      <c r="O32" s="2722">
        <f>COMPOSITE!$AE$177++COMPOSITE!$AC$177</f>
        <v>0</v>
      </c>
      <c r="P32" s="2742">
        <f t="shared" si="7"/>
        <v>0</v>
      </c>
      <c r="Q32" s="2327">
        <f t="shared" si="30"/>
        <v>744</v>
      </c>
      <c r="R32" s="2722">
        <f>COMPOSITE!AE$178+COMPOSITE!$AC$178</f>
        <v>84</v>
      </c>
      <c r="S32" s="2742">
        <f t="shared" si="8"/>
        <v>0.11290322580645161</v>
      </c>
      <c r="T32" s="2327">
        <f t="shared" si="31"/>
        <v>744</v>
      </c>
      <c r="U32" s="2722">
        <f>COMPOSITE!AE$179+COMPOSITE!$AC$179</f>
        <v>0</v>
      </c>
      <c r="V32" s="2742">
        <f t="shared" si="9"/>
        <v>0</v>
      </c>
      <c r="W32" s="2718">
        <f t="shared" si="32"/>
        <v>1457</v>
      </c>
      <c r="X32" s="2722">
        <f>COMPOSITE!AE$180+COMPOSITE!$AC$180</f>
        <v>1.33</v>
      </c>
      <c r="Y32" s="2742">
        <f t="shared" si="10"/>
        <v>9.1283459162663013E-4</v>
      </c>
      <c r="Z32" s="2327">
        <f t="shared" si="33"/>
        <v>3627</v>
      </c>
      <c r="AA32" s="2721">
        <f>COMPOSITE!AE$181+COMPOSITE!$AC$181</f>
        <v>343</v>
      </c>
      <c r="AB32" s="2744">
        <f t="shared" si="11"/>
        <v>9.4568513923352637E-2</v>
      </c>
      <c r="AC32" s="2377"/>
      <c r="AD32" s="2378"/>
      <c r="AE32" s="2741"/>
      <c r="AF32" s="2327">
        <f t="shared" si="34"/>
        <v>744</v>
      </c>
      <c r="AG32" s="2722">
        <f>COMPOSITE!AE$183+COMPOSITE!$AC$183</f>
        <v>378</v>
      </c>
      <c r="AH32" s="2742">
        <f t="shared" si="12"/>
        <v>0.50806451612903225</v>
      </c>
      <c r="AI32" s="2327">
        <f t="shared" si="35"/>
        <v>1302</v>
      </c>
      <c r="AJ32" s="2721">
        <f>169+COMPOSITE!$AC$184</f>
        <v>923</v>
      </c>
      <c r="AK32" s="2744">
        <f t="shared" si="13"/>
        <v>0.7089093701996928</v>
      </c>
      <c r="AL32" s="2327">
        <f t="shared" si="36"/>
        <v>992</v>
      </c>
      <c r="AM32" s="2722">
        <f>COMPOSITE!AE$185+COMPOSITE!$AC$185</f>
        <v>0</v>
      </c>
      <c r="AN32" s="2744">
        <f t="shared" si="14"/>
        <v>0</v>
      </c>
      <c r="AO32" s="2327">
        <f t="shared" si="37"/>
        <v>744</v>
      </c>
      <c r="AP32" s="2722">
        <f>COMPOSITE!AE$186+COMPOSITE!$AC$186</f>
        <v>0</v>
      </c>
      <c r="AQ32" s="2744">
        <f t="shared" si="15"/>
        <v>0</v>
      </c>
      <c r="AR32" s="2327">
        <f t="shared" si="38"/>
        <v>682</v>
      </c>
      <c r="AS32" s="2722">
        <f>COMPOSITE!AE$188+COMPOSITE!$AC$188</f>
        <v>114</v>
      </c>
      <c r="AT32" s="2744">
        <f t="shared" si="16"/>
        <v>0.16715542521994134</v>
      </c>
      <c r="AU32" s="2327">
        <f t="shared" si="39"/>
        <v>744</v>
      </c>
      <c r="AV32" s="2722">
        <f>COMPOSITE!AE$187+COMPOSITE!$AC$187</f>
        <v>231</v>
      </c>
      <c r="AW32" s="2744">
        <f t="shared" si="17"/>
        <v>0.31048387096774194</v>
      </c>
      <c r="AX32" s="2721">
        <f t="shared" si="40"/>
        <v>372</v>
      </c>
      <c r="AY32" s="2722">
        <v>0</v>
      </c>
      <c r="AZ32" s="2746">
        <f t="shared" si="18"/>
        <v>0</v>
      </c>
      <c r="BA32" s="2327">
        <f t="shared" si="41"/>
        <v>744</v>
      </c>
      <c r="BB32" s="2722">
        <f>COMPOSITE!AE$189+COMPOSITE!$AC$189</f>
        <v>406</v>
      </c>
      <c r="BC32" s="2744">
        <f t="shared" si="19"/>
        <v>0.54569892473118276</v>
      </c>
      <c r="BD32" s="2327">
        <f t="shared" si="42"/>
        <v>1116</v>
      </c>
      <c r="BE32" s="2722">
        <f>COMPOSITE!AE$190+COMPOSITE!$AC$190</f>
        <v>20</v>
      </c>
      <c r="BF32" s="2744">
        <f t="shared" si="20"/>
        <v>1.7921146953405017E-2</v>
      </c>
      <c r="BG32" s="2327">
        <f t="shared" si="43"/>
        <v>744</v>
      </c>
      <c r="BH32" s="2722">
        <f>COMPOSITE!AE$191+COMPOSITE!$AC$191</f>
        <v>104</v>
      </c>
      <c r="BI32" s="2744">
        <f t="shared" si="21"/>
        <v>0.13978494623655913</v>
      </c>
      <c r="BJ32" s="2327">
        <f t="shared" si="44"/>
        <v>2015</v>
      </c>
      <c r="BK32" s="2722">
        <f>COMPOSITE!AE$192+COMPOSITE!$AC$192</f>
        <v>89</v>
      </c>
      <c r="BL32" s="2744">
        <f t="shared" si="22"/>
        <v>4.4168734491315136E-2</v>
      </c>
      <c r="BM32" s="2327">
        <f t="shared" si="45"/>
        <v>651</v>
      </c>
      <c r="BN32" s="2722">
        <f>COMPOSITE!AE$193+COMPOSITE!$AC$193</f>
        <v>0</v>
      </c>
      <c r="BO32" s="2744">
        <f t="shared" si="23"/>
        <v>0</v>
      </c>
      <c r="BP32" s="2327">
        <f t="shared" si="46"/>
        <v>744</v>
      </c>
      <c r="BQ32" s="2722">
        <f>COMPOSITE!AE$194+COMPOSITE!$AC$194</f>
        <v>49</v>
      </c>
      <c r="BR32" s="2744">
        <f t="shared" si="24"/>
        <v>6.5860215053763438E-2</v>
      </c>
    </row>
    <row r="33" spans="1:70" s="237" customFormat="1" ht="57.75" customHeight="1">
      <c r="A33" s="2329">
        <v>42675</v>
      </c>
      <c r="B33" s="2718">
        <f>371*30</f>
        <v>11130</v>
      </c>
      <c r="C33" s="2724">
        <f t="shared" si="0"/>
        <v>468</v>
      </c>
      <c r="D33" s="2773">
        <f t="shared" si="1"/>
        <v>4.2048517520215635E-2</v>
      </c>
      <c r="E33" s="2771">
        <f>313*30</f>
        <v>9390</v>
      </c>
      <c r="F33" s="2719">
        <f t="shared" si="2"/>
        <v>614</v>
      </c>
      <c r="G33" s="2768">
        <f t="shared" si="3"/>
        <v>6.5388711395101176E-2</v>
      </c>
      <c r="H33" s="2771">
        <f>303*30</f>
        <v>9090</v>
      </c>
      <c r="I33" s="2720">
        <f t="shared" si="4"/>
        <v>1740.25</v>
      </c>
      <c r="J33" s="2743">
        <f t="shared" si="5"/>
        <v>0.19144664466446645</v>
      </c>
      <c r="K33" s="2718">
        <f>120*30</f>
        <v>3600</v>
      </c>
      <c r="L33" s="2722">
        <f>COMPOSITE!$AH$176+COMPOSITE!$AF$176</f>
        <v>0</v>
      </c>
      <c r="M33" s="2742">
        <f t="shared" si="6"/>
        <v>0</v>
      </c>
      <c r="N33" s="2718">
        <f t="shared" si="29"/>
        <v>2945</v>
      </c>
      <c r="O33" s="2722">
        <f>COMPOSITE!$AH$177++COMPOSITE!$AF$177</f>
        <v>0</v>
      </c>
      <c r="P33" s="2742">
        <f t="shared" si="7"/>
        <v>0</v>
      </c>
      <c r="Q33" s="2327">
        <f>24*30</f>
        <v>720</v>
      </c>
      <c r="R33" s="2722">
        <f>COMPOSITE!AH$178+COMPOSITE!$AF$178</f>
        <v>36</v>
      </c>
      <c r="S33" s="2742">
        <f t="shared" si="8"/>
        <v>0.05</v>
      </c>
      <c r="T33" s="2327">
        <f>24*30</f>
        <v>720</v>
      </c>
      <c r="U33" s="2722">
        <f>COMPOSITE!AH$179+COMPOSITE!$AF$179</f>
        <v>0</v>
      </c>
      <c r="V33" s="2742">
        <f t="shared" si="9"/>
        <v>0</v>
      </c>
      <c r="W33" s="2718">
        <f>47*30</f>
        <v>1410</v>
      </c>
      <c r="X33" s="2722">
        <f>COMPOSITE!AH$180+COMPOSITE!$AF$180</f>
        <v>0</v>
      </c>
      <c r="Y33" s="2742">
        <f t="shared" si="10"/>
        <v>0</v>
      </c>
      <c r="Z33" s="2327">
        <f>117*30</f>
        <v>3510</v>
      </c>
      <c r="AA33" s="2721">
        <f>COMPOSITE!AH$181+COMPOSITE!$AF$181</f>
        <v>326</v>
      </c>
      <c r="AB33" s="2744">
        <f t="shared" si="11"/>
        <v>9.2877492877492876E-2</v>
      </c>
      <c r="AC33" s="2377"/>
      <c r="AD33" s="2378"/>
      <c r="AE33" s="2741"/>
      <c r="AF33" s="2327">
        <f>24*30</f>
        <v>720</v>
      </c>
      <c r="AG33" s="2722">
        <f>COMPOSITE!AH$183+COMPOSITE!$AF$183</f>
        <v>424</v>
      </c>
      <c r="AH33" s="2742">
        <f t="shared" si="12"/>
        <v>0.58888888888888891</v>
      </c>
      <c r="AI33" s="2327">
        <f>42*30</f>
        <v>1260</v>
      </c>
      <c r="AJ33" s="2721">
        <f>141+COMPOSITE!$AF$184</f>
        <v>1017.5</v>
      </c>
      <c r="AK33" s="2744">
        <f t="shared" si="13"/>
        <v>0.80753968253968256</v>
      </c>
      <c r="AL33" s="2327">
        <f>32*30</f>
        <v>960</v>
      </c>
      <c r="AM33" s="2722">
        <f>COMPOSITE!AH$185+COMPOSITE!$AF$185</f>
        <v>0</v>
      </c>
      <c r="AN33" s="2744">
        <f t="shared" si="14"/>
        <v>0</v>
      </c>
      <c r="AO33" s="2327">
        <f>24*30</f>
        <v>720</v>
      </c>
      <c r="AP33" s="2722">
        <f>COMPOSITE!AH$186+COMPOSITE!$AF$186</f>
        <v>0</v>
      </c>
      <c r="AQ33" s="2744">
        <f t="shared" si="15"/>
        <v>0</v>
      </c>
      <c r="AR33" s="2327">
        <f>22*30</f>
        <v>660</v>
      </c>
      <c r="AS33" s="2722">
        <f>COMPOSITE!AH$188+COMPOSITE!$AF$188</f>
        <v>142.75</v>
      </c>
      <c r="AT33" s="2744">
        <f t="shared" si="16"/>
        <v>0.21628787878787878</v>
      </c>
      <c r="AU33" s="2327">
        <f>24*30</f>
        <v>720</v>
      </c>
      <c r="AV33" s="2722">
        <f>COMPOSITE!AH$187+COMPOSITE!$AF$187</f>
        <v>244</v>
      </c>
      <c r="AW33" s="2744">
        <f t="shared" si="17"/>
        <v>0.33888888888888891</v>
      </c>
      <c r="AX33" s="2721">
        <f>12*30</f>
        <v>360</v>
      </c>
      <c r="AY33" s="2722">
        <f>COMPOSITE!AH$197+COMPOSITE!$AF$197</f>
        <v>78</v>
      </c>
      <c r="AZ33" s="2746">
        <f t="shared" si="18"/>
        <v>0.21666666666666667</v>
      </c>
      <c r="BA33" s="2327">
        <f>24*30</f>
        <v>720</v>
      </c>
      <c r="BB33" s="2722">
        <f>COMPOSITE!AH$189+COMPOSITE!$AF$189</f>
        <v>336</v>
      </c>
      <c r="BC33" s="2744">
        <f t="shared" si="19"/>
        <v>0.46666666666666667</v>
      </c>
      <c r="BD33" s="2327">
        <f>36*30</f>
        <v>1080</v>
      </c>
      <c r="BE33" s="2722">
        <f>COMPOSITE!AH$190+COMPOSITE!$AF$190</f>
        <v>60</v>
      </c>
      <c r="BF33" s="2744">
        <f t="shared" si="20"/>
        <v>5.5555555555555552E-2</v>
      </c>
      <c r="BG33" s="2327">
        <f>24*30</f>
        <v>720</v>
      </c>
      <c r="BH33" s="2722">
        <f>COMPOSITE!AH$191+COMPOSITE!$AF$191</f>
        <v>52</v>
      </c>
      <c r="BI33" s="2744">
        <f t="shared" si="21"/>
        <v>7.2222222222222215E-2</v>
      </c>
      <c r="BJ33" s="2327">
        <f>65*30</f>
        <v>1950</v>
      </c>
      <c r="BK33" s="2722">
        <f>COMPOSITE!AH$192+COMPOSITE!$AF$192</f>
        <v>70</v>
      </c>
      <c r="BL33" s="2744">
        <f t="shared" si="22"/>
        <v>3.5897435897435895E-2</v>
      </c>
      <c r="BM33" s="2327">
        <f>21*30</f>
        <v>630</v>
      </c>
      <c r="BN33" s="2722">
        <f>COMPOSITE!AH$193+COMPOSITE!$AF$193</f>
        <v>0</v>
      </c>
      <c r="BO33" s="2744">
        <f t="shared" si="23"/>
        <v>0</v>
      </c>
      <c r="BP33" s="2327">
        <f>24*30</f>
        <v>720</v>
      </c>
      <c r="BQ33" s="2722">
        <f>COMPOSITE!AH$194+COMPOSITE!$AF$194</f>
        <v>36</v>
      </c>
      <c r="BR33" s="2744">
        <f t="shared" si="24"/>
        <v>0.05</v>
      </c>
    </row>
    <row r="34" spans="1:70" s="237" customFormat="1" ht="57.75" customHeight="1" thickBot="1">
      <c r="A34" s="2330">
        <v>42705</v>
      </c>
      <c r="B34" s="2754">
        <f t="shared" si="25"/>
        <v>11501</v>
      </c>
      <c r="C34" s="2755">
        <f t="shared" si="0"/>
        <v>562</v>
      </c>
      <c r="D34" s="2774">
        <f t="shared" si="1"/>
        <v>4.8865316059473092E-2</v>
      </c>
      <c r="E34" s="2772">
        <f t="shared" si="26"/>
        <v>9703</v>
      </c>
      <c r="F34" s="2756">
        <f t="shared" si="2"/>
        <v>1346.5</v>
      </c>
      <c r="G34" s="2769">
        <f t="shared" si="3"/>
        <v>0.13877151396475318</v>
      </c>
      <c r="H34" s="2772">
        <f t="shared" si="27"/>
        <v>9393</v>
      </c>
      <c r="I34" s="2757">
        <f t="shared" si="4"/>
        <v>1794.75</v>
      </c>
      <c r="J34" s="2758">
        <f t="shared" si="5"/>
        <v>0.19107313957202171</v>
      </c>
      <c r="K34" s="2718">
        <f t="shared" si="28"/>
        <v>3720</v>
      </c>
      <c r="L34" s="2722">
        <f>COMPOSITE!$AK$176+COMPOSITE!$AI$176</f>
        <v>0</v>
      </c>
      <c r="M34" s="2742">
        <f t="shared" si="6"/>
        <v>0</v>
      </c>
      <c r="N34" s="2718">
        <f t="shared" si="29"/>
        <v>2945</v>
      </c>
      <c r="O34" s="2722">
        <f>COMPOSITE!$AK$177++COMPOSITE!$AI$177</f>
        <v>0</v>
      </c>
      <c r="P34" s="2742">
        <f t="shared" si="7"/>
        <v>0</v>
      </c>
      <c r="Q34" s="2327">
        <f t="shared" si="30"/>
        <v>744</v>
      </c>
      <c r="R34" s="2722">
        <f>COMPOSITE!AK$178+COMPOSITE!$AI$178</f>
        <v>0</v>
      </c>
      <c r="S34" s="2742">
        <f t="shared" si="8"/>
        <v>0</v>
      </c>
      <c r="T34" s="2327">
        <f t="shared" si="31"/>
        <v>744</v>
      </c>
      <c r="U34" s="2722">
        <f>COMPOSITE!AK$179+COMPOSITE!$AI$179</f>
        <v>0</v>
      </c>
      <c r="V34" s="2742">
        <f t="shared" si="9"/>
        <v>0</v>
      </c>
      <c r="W34" s="2718">
        <f t="shared" si="32"/>
        <v>1457</v>
      </c>
      <c r="X34" s="2722">
        <f>COMPOSITE!AK$180+COMPOSITE!$AI$180</f>
        <v>115.5</v>
      </c>
      <c r="Y34" s="2742">
        <f t="shared" si="10"/>
        <v>7.9272477693891563E-2</v>
      </c>
      <c r="Z34" s="2327">
        <f t="shared" si="33"/>
        <v>3627</v>
      </c>
      <c r="AA34" s="2721">
        <f>COMPOSITE!AK$181+COMPOSITE!$AI$181</f>
        <v>389</v>
      </c>
      <c r="AB34" s="2744">
        <f t="shared" si="11"/>
        <v>0.1072511717673008</v>
      </c>
      <c r="AC34" s="2379"/>
      <c r="AD34" s="2380"/>
      <c r="AE34" s="2741"/>
      <c r="AF34" s="2327">
        <f t="shared" si="34"/>
        <v>744</v>
      </c>
      <c r="AG34" s="2722">
        <f>COMPOSITE!AK$183+COMPOSITE!$AI$183</f>
        <v>510</v>
      </c>
      <c r="AH34" s="2742">
        <f t="shared" si="12"/>
        <v>0.68548387096774188</v>
      </c>
      <c r="AI34" s="2327">
        <f t="shared" si="35"/>
        <v>1302</v>
      </c>
      <c r="AJ34" s="2721">
        <f>101+COMPOSITE!$AI$184</f>
        <v>749</v>
      </c>
      <c r="AK34" s="2744">
        <f t="shared" si="13"/>
        <v>0.57526881720430112</v>
      </c>
      <c r="AL34" s="2327">
        <f t="shared" si="36"/>
        <v>992</v>
      </c>
      <c r="AM34" s="2722">
        <f>COMPOSITE!AK$185+COMPOSITE!$AI$185</f>
        <v>0</v>
      </c>
      <c r="AN34" s="2744">
        <f t="shared" si="14"/>
        <v>0</v>
      </c>
      <c r="AO34" s="2327">
        <f t="shared" si="37"/>
        <v>744</v>
      </c>
      <c r="AP34" s="2722">
        <f>COMPOSITE!AK$186+COMPOSITE!$AI$186</f>
        <v>0</v>
      </c>
      <c r="AQ34" s="2744">
        <f t="shared" si="15"/>
        <v>0</v>
      </c>
      <c r="AR34" s="2327">
        <f t="shared" si="38"/>
        <v>682</v>
      </c>
      <c r="AS34" s="2722">
        <f>COMPOSITE!AK$188+COMPOSITE!$AI$188</f>
        <v>204.75</v>
      </c>
      <c r="AT34" s="2744">
        <f t="shared" si="16"/>
        <v>0.30021994134897362</v>
      </c>
      <c r="AU34" s="2327">
        <f t="shared" si="39"/>
        <v>744</v>
      </c>
      <c r="AV34" s="2722">
        <f>COMPOSITE!AK$187+COMPOSITE!$AI$187</f>
        <v>218.5</v>
      </c>
      <c r="AW34" s="2744">
        <f t="shared" si="17"/>
        <v>0.29368279569892475</v>
      </c>
      <c r="AX34" s="2721">
        <f t="shared" si="40"/>
        <v>372</v>
      </c>
      <c r="AY34" s="2722">
        <f>COMPOSITE!AK$197+COMPOSITE!$AI$197</f>
        <v>727.5</v>
      </c>
      <c r="AZ34" s="2746">
        <f t="shared" si="18"/>
        <v>1.9556451612903225</v>
      </c>
      <c r="BA34" s="2327">
        <f t="shared" si="41"/>
        <v>744</v>
      </c>
      <c r="BB34" s="2722">
        <f>COMPOSITE!AK$189+COMPOSITE!$AI$189</f>
        <v>507</v>
      </c>
      <c r="BC34" s="2744">
        <f t="shared" si="19"/>
        <v>0.68145161290322576</v>
      </c>
      <c r="BD34" s="2327">
        <f t="shared" si="42"/>
        <v>1116</v>
      </c>
      <c r="BE34" s="2722">
        <f>COMPOSITE!AK$190+COMPOSITE!$AI$190</f>
        <v>70</v>
      </c>
      <c r="BF34" s="2744">
        <f t="shared" si="20"/>
        <v>6.2724014336917558E-2</v>
      </c>
      <c r="BG34" s="2327">
        <f t="shared" si="43"/>
        <v>744</v>
      </c>
      <c r="BH34" s="2722">
        <f>COMPOSITE!AK$191+COMPOSITE!$AI$191</f>
        <v>39</v>
      </c>
      <c r="BI34" s="2744">
        <f t="shared" si="21"/>
        <v>5.2419354838709679E-2</v>
      </c>
      <c r="BJ34" s="2327">
        <f t="shared" si="44"/>
        <v>2015</v>
      </c>
      <c r="BK34" s="2722">
        <f>COMPOSITE!AK$192+COMPOSITE!$AI$192</f>
        <v>77</v>
      </c>
      <c r="BL34" s="2744">
        <f t="shared" si="22"/>
        <v>3.8213399503722087E-2</v>
      </c>
      <c r="BM34" s="2327">
        <f t="shared" si="45"/>
        <v>651</v>
      </c>
      <c r="BN34" s="2722">
        <f>COMPOSITE!AK$193+COMPOSITE!$AI$193</f>
        <v>0</v>
      </c>
      <c r="BO34" s="2744">
        <f t="shared" si="23"/>
        <v>0</v>
      </c>
      <c r="BP34" s="2327">
        <f t="shared" si="46"/>
        <v>744</v>
      </c>
      <c r="BQ34" s="2722">
        <f>COMPOSITE!AK$194+COMPOSITE!$AI$194</f>
        <v>96</v>
      </c>
      <c r="BR34" s="2744">
        <f t="shared" si="24"/>
        <v>0.12903225806451613</v>
      </c>
    </row>
    <row r="35" spans="1:70" s="237" customFormat="1" ht="57.75" customHeight="1" thickTop="1" thickBot="1">
      <c r="A35" s="2760" t="s">
        <v>277</v>
      </c>
      <c r="B35" s="2761">
        <f>SUM(B23:B34)</f>
        <v>135786</v>
      </c>
      <c r="C35" s="2762">
        <f>SUM(C23:C34)</f>
        <v>9029</v>
      </c>
      <c r="D35" s="2763">
        <f>AVERAGE(D23:D34)</f>
        <v>6.6478885227704676E-2</v>
      </c>
      <c r="E35" s="2764">
        <f>SUM(E23:E34)</f>
        <v>114558</v>
      </c>
      <c r="F35" s="2762">
        <f>SUM(F23:F34)</f>
        <v>9353.5</v>
      </c>
      <c r="G35" s="2765">
        <f>AVERAGE(G23:G34)</f>
        <v>8.1752927857758576E-2</v>
      </c>
      <c r="H35" s="2766">
        <f>SUM(H23:H34)</f>
        <v>110898</v>
      </c>
      <c r="I35" s="2764">
        <f>SUM(I23:I34)</f>
        <v>19134.580000000002</v>
      </c>
      <c r="J35" s="2765">
        <f>AVERAGE(J23:J34)</f>
        <v>0.17250098049293247</v>
      </c>
      <c r="K35" s="2759">
        <f>SUM(K23:K34)</f>
        <v>43920</v>
      </c>
      <c r="L35" s="2723">
        <f>SUM(L23:L34)</f>
        <v>0</v>
      </c>
      <c r="M35" s="2748">
        <f>AVERAGE(M23:M34)</f>
        <v>0</v>
      </c>
      <c r="N35" s="2331">
        <f>SUM(N23:N34)</f>
        <v>35150</v>
      </c>
      <c r="O35" s="2723">
        <f>SUM(O23:O34)</f>
        <v>0</v>
      </c>
      <c r="P35" s="2748">
        <f>AVERAGE(P23:P34)</f>
        <v>0</v>
      </c>
      <c r="Q35" s="2331">
        <f>SUM(Q23:Q34)</f>
        <v>8784</v>
      </c>
      <c r="R35" s="2723">
        <f>SUM(R23:R34)</f>
        <v>756</v>
      </c>
      <c r="S35" s="2748">
        <f>AVERAGE(S23:S34)</f>
        <v>8.5579656408354965E-2</v>
      </c>
      <c r="T35" s="2331">
        <f>SUM(T23:T34)</f>
        <v>8784</v>
      </c>
      <c r="U35" s="2723">
        <f>SUM(U23:U34)</f>
        <v>72</v>
      </c>
      <c r="V35" s="2748">
        <f>AVERAGE(V23:V34)</f>
        <v>8.1989247311827964E-3</v>
      </c>
      <c r="W35" s="2331">
        <f>SUM(W23:W34)</f>
        <v>17202</v>
      </c>
      <c r="X35" s="2723">
        <f>SUM(X23:X34)</f>
        <v>393.33</v>
      </c>
      <c r="Y35" s="2748">
        <f>AVERAGE(Y23:Y34)</f>
        <v>2.2773011515290171E-2</v>
      </c>
      <c r="Z35" s="2331">
        <f>SUM(Z23:Z34)</f>
        <v>42822</v>
      </c>
      <c r="AA35" s="2723">
        <f>SUM(AA23:AA34)</f>
        <v>4242</v>
      </c>
      <c r="AB35" s="2748">
        <f>AVERAGE(AB23:AB34)</f>
        <v>9.8974670600551207E-2</v>
      </c>
      <c r="AC35" s="2331">
        <f>SUM(AC23:AC34)</f>
        <v>852</v>
      </c>
      <c r="AD35" s="2332">
        <f>SUM(AD23:AD34)</f>
        <v>1473</v>
      </c>
      <c r="AE35" s="2723"/>
      <c r="AF35" s="2331">
        <f>SUM(AF23:AF34)</f>
        <v>8784</v>
      </c>
      <c r="AG35" s="2723">
        <f>SUM(AG23:AG34)</f>
        <v>4635</v>
      </c>
      <c r="AH35" s="2748">
        <f>AVERAGE(AH23:AH34)</f>
        <v>0.52925125139043372</v>
      </c>
      <c r="AI35" s="2331">
        <f>SUM(AI23:AI34)</f>
        <v>15372</v>
      </c>
      <c r="AJ35" s="2723">
        <f>SUM(AJ23:AJ34)</f>
        <v>11434.25</v>
      </c>
      <c r="AK35" s="2747">
        <f>AVERAGE(AK23:AK34)</f>
        <v>0.74442031416447429</v>
      </c>
      <c r="AL35" s="2333">
        <f>SUM(AL23:AL34)</f>
        <v>11712</v>
      </c>
      <c r="AM35" s="2333">
        <f>SUM(AM23:AM34)</f>
        <v>0</v>
      </c>
      <c r="AN35" s="2749">
        <f>AVERAGE(AN23:AN34)</f>
        <v>0</v>
      </c>
      <c r="AO35" s="2334">
        <f>SUM(AO23:AO34)</f>
        <v>8784</v>
      </c>
      <c r="AP35" s="2333">
        <f>SUM(AP23:AP34)</f>
        <v>0</v>
      </c>
      <c r="AQ35" s="2751">
        <f>AVERAGE(AQ23:AQ34)</f>
        <v>0</v>
      </c>
      <c r="AR35" s="2334">
        <f>SUM(AR23:AR34)</f>
        <v>8052</v>
      </c>
      <c r="AS35" s="2333">
        <f>SUM(AS23:AS34)</f>
        <v>892.5</v>
      </c>
      <c r="AT35" s="2750">
        <f>AVERAGE(AT23:AT34)</f>
        <v>0.11081121981775487</v>
      </c>
      <c r="AU35" s="2334">
        <f>SUM(AU23:AU34)</f>
        <v>8784</v>
      </c>
      <c r="AV35" s="2333">
        <f>SUM(AV23:AV34)</f>
        <v>2723.5</v>
      </c>
      <c r="AW35" s="2751">
        <f>AVERAGE(AW23:AW34)</f>
        <v>0.31008875602521324</v>
      </c>
      <c r="AX35" s="2333">
        <f>SUM(AX23:AX34)</f>
        <v>4392</v>
      </c>
      <c r="AY35" s="2723">
        <f>SUM(AY23:AY34)</f>
        <v>805.5</v>
      </c>
      <c r="AZ35" s="2749">
        <f>AVERAGE(AZ23:AZ34)</f>
        <v>0.18102598566308245</v>
      </c>
      <c r="BA35" s="2334">
        <f>SUM(BA23:BA34)</f>
        <v>8784</v>
      </c>
      <c r="BB35" s="2333">
        <f>SUM(BB23:BB34)</f>
        <v>3691</v>
      </c>
      <c r="BC35" s="2750">
        <f>AVERAGE(BC23:BC34)</f>
        <v>0.41882647385984434</v>
      </c>
      <c r="BD35" s="2334">
        <f>SUM(BD23:BD34)</f>
        <v>13176</v>
      </c>
      <c r="BE35" s="2333">
        <f>SUM(BE23:BE34)</f>
        <v>1833</v>
      </c>
      <c r="BF35" s="2751">
        <f>AVERAGE(BF23:BF34)</f>
        <v>0.13923194839258987</v>
      </c>
      <c r="BG35" s="2334">
        <f>SUM(BG23:BG34)</f>
        <v>8784</v>
      </c>
      <c r="BH35" s="2333">
        <f>SUM(BH23:BH34)</f>
        <v>607</v>
      </c>
      <c r="BI35" s="2752">
        <f>AVERAGE(BI23:BI34)</f>
        <v>6.9457962550982563E-2</v>
      </c>
      <c r="BJ35" s="2334">
        <f>SUM(BJ23:BJ34)</f>
        <v>23790</v>
      </c>
      <c r="BK35" s="2333">
        <f>SUM(BK23:BK34)</f>
        <v>3485</v>
      </c>
      <c r="BL35" s="2751">
        <f>AVERAGE(BL23:BL34)</f>
        <v>0.14680176454370003</v>
      </c>
      <c r="BM35" s="2337">
        <f>SUM(BM23:BM34)</f>
        <v>7686</v>
      </c>
      <c r="BN35" s="2333">
        <f>SUM(BN23:BN34)</f>
        <v>0</v>
      </c>
      <c r="BO35" s="2753">
        <f>AVERAGE(BO23:BO34)</f>
        <v>0</v>
      </c>
      <c r="BP35" s="2337">
        <f>SUM(BP23:BP34)</f>
        <v>8784</v>
      </c>
      <c r="BQ35" s="2333">
        <f>SUM(BQ23:BQ34)</f>
        <v>474</v>
      </c>
      <c r="BR35" s="2753">
        <f>AVERAGE(BR23:BR34)</f>
        <v>5.3784554855188897E-2</v>
      </c>
    </row>
    <row r="36" spans="1:70" s="2339" customFormat="1" ht="24" thickTop="1"/>
  </sheetData>
  <mergeCells count="23">
    <mergeCell ref="AI21:AK21"/>
    <mergeCell ref="A20:M20"/>
    <mergeCell ref="A21:A22"/>
    <mergeCell ref="B21:J21"/>
    <mergeCell ref="K21:M21"/>
    <mergeCell ref="N21:P21"/>
    <mergeCell ref="Q21:S21"/>
    <mergeCell ref="T21:V21"/>
    <mergeCell ref="W21:Y21"/>
    <mergeCell ref="Z21:AB21"/>
    <mergeCell ref="AC21:AD21"/>
    <mergeCell ref="AF21:AH21"/>
    <mergeCell ref="BG21:BI21"/>
    <mergeCell ref="BJ21:BL21"/>
    <mergeCell ref="BM21:BO21"/>
    <mergeCell ref="BP21:BR21"/>
    <mergeCell ref="AL21:AN21"/>
    <mergeCell ref="AO21:AQ21"/>
    <mergeCell ref="AR21:AT21"/>
    <mergeCell ref="AU21:AW21"/>
    <mergeCell ref="BA21:BC21"/>
    <mergeCell ref="BD21:BF21"/>
    <mergeCell ref="AX21:AZ21"/>
  </mergeCells>
  <printOptions horizontalCentered="1"/>
  <pageMargins left="0" right="0" top="0.5" bottom="0.5" header="0" footer="0"/>
  <pageSetup scale="31" fitToHeight="0" orientation="landscape" r:id="rId1"/>
  <headerFooter>
    <oddFooter>&amp;L&amp;"Arial,Bold"&amp;12Data Source:&amp;"Arial,Regular" Clinical Quality&amp;C&amp;"Arial,Bold"&amp;12Purpose:&amp;"Arial,Regular" Monitors the Number of EM Premium Physician Hours Per Month&amp;R&amp;D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BN87"/>
  <sheetViews>
    <sheetView showGridLines="0" zoomScale="60" zoomScaleNormal="60" workbookViewId="0">
      <selection activeCell="U17" sqref="U17"/>
    </sheetView>
  </sheetViews>
  <sheetFormatPr defaultRowHeight="15"/>
  <cols>
    <col min="1" max="1" width="1.140625" style="23" customWidth="1"/>
    <col min="2" max="5" width="15.42578125" customWidth="1"/>
    <col min="6" max="6" width="9" style="23" hidden="1" customWidth="1"/>
    <col min="7" max="17" width="15.42578125" customWidth="1"/>
    <col min="18" max="18" width="21.7109375" customWidth="1"/>
    <col min="19" max="19" width="18" customWidth="1"/>
    <col min="20" max="20" width="18.28515625" customWidth="1"/>
    <col min="21" max="86" width="15.42578125" customWidth="1"/>
  </cols>
  <sheetData>
    <row r="1" spans="2:66" s="237" customFormat="1" ht="52.5" customHeight="1" thickTop="1">
      <c r="B1" s="3016" t="s">
        <v>276</v>
      </c>
      <c r="C1" s="3015" t="s">
        <v>62</v>
      </c>
      <c r="D1" s="3015"/>
      <c r="E1" s="3015"/>
      <c r="F1" s="1870"/>
      <c r="G1" s="3015" t="s">
        <v>275</v>
      </c>
      <c r="H1" s="3015"/>
      <c r="I1" s="3015"/>
      <c r="J1" s="3015" t="s">
        <v>29</v>
      </c>
      <c r="K1" s="3015"/>
      <c r="L1" s="3015"/>
      <c r="M1" s="3015" t="s">
        <v>41</v>
      </c>
      <c r="N1" s="3015"/>
      <c r="O1" s="3015"/>
      <c r="P1" s="3015" t="s">
        <v>9</v>
      </c>
      <c r="Q1" s="3015"/>
      <c r="R1" s="3015"/>
      <c r="S1" s="3015" t="s">
        <v>474</v>
      </c>
      <c r="T1" s="3015"/>
      <c r="U1" s="3015"/>
      <c r="V1" s="3015" t="s">
        <v>476</v>
      </c>
      <c r="W1" s="3015"/>
      <c r="X1" s="3015"/>
      <c r="Y1" s="3015" t="s">
        <v>477</v>
      </c>
      <c r="Z1" s="3015"/>
      <c r="AA1" s="3015"/>
      <c r="AB1" s="3015" t="s">
        <v>478</v>
      </c>
      <c r="AC1" s="3015"/>
      <c r="AD1" s="3015"/>
      <c r="AE1" s="3015" t="s">
        <v>479</v>
      </c>
      <c r="AF1" s="3015"/>
      <c r="AG1" s="3015"/>
      <c r="AH1" s="3015" t="s">
        <v>480</v>
      </c>
      <c r="AI1" s="3015"/>
      <c r="AJ1" s="3015"/>
      <c r="AK1" s="3015" t="s">
        <v>490</v>
      </c>
      <c r="AL1" s="3015"/>
      <c r="AM1" s="3015"/>
      <c r="AN1" s="3015" t="s">
        <v>484</v>
      </c>
      <c r="AO1" s="3015"/>
      <c r="AP1" s="3015"/>
      <c r="AQ1" s="3015" t="s">
        <v>473</v>
      </c>
      <c r="AR1" s="3015"/>
      <c r="AS1" s="3015"/>
      <c r="AT1" s="3015" t="s">
        <v>468</v>
      </c>
      <c r="AU1" s="3015"/>
      <c r="AV1" s="3015"/>
      <c r="AW1" s="3015" t="s">
        <v>491</v>
      </c>
      <c r="AX1" s="3015"/>
      <c r="AY1" s="3015"/>
      <c r="AZ1" s="3015" t="s">
        <v>470</v>
      </c>
      <c r="BA1" s="3015"/>
      <c r="BB1" s="3020"/>
      <c r="BC1" s="3015" t="s">
        <v>471</v>
      </c>
      <c r="BD1" s="3015"/>
      <c r="BE1" s="3015"/>
      <c r="BF1" s="3015" t="s">
        <v>472</v>
      </c>
      <c r="BG1" s="3015"/>
      <c r="BH1" s="3015"/>
      <c r="BI1" s="3015" t="s">
        <v>486</v>
      </c>
      <c r="BJ1" s="3015"/>
      <c r="BK1" s="3015"/>
      <c r="BL1" s="3018" t="s">
        <v>489</v>
      </c>
      <c r="BM1" s="3015"/>
      <c r="BN1" s="3019"/>
    </row>
    <row r="2" spans="2:66" s="23" customFormat="1" ht="50.1" customHeight="1">
      <c r="B2" s="3017"/>
      <c r="C2" s="1075" t="s">
        <v>280</v>
      </c>
      <c r="D2" s="1075" t="s">
        <v>285</v>
      </c>
      <c r="E2" s="1075" t="s">
        <v>281</v>
      </c>
      <c r="F2" s="1075" t="s">
        <v>640</v>
      </c>
      <c r="G2" s="1075" t="s">
        <v>280</v>
      </c>
      <c r="H2" s="1075" t="s">
        <v>285</v>
      </c>
      <c r="I2" s="1075" t="s">
        <v>281</v>
      </c>
      <c r="J2" s="1075" t="s">
        <v>280</v>
      </c>
      <c r="K2" s="1075" t="s">
        <v>285</v>
      </c>
      <c r="L2" s="1075" t="s">
        <v>281</v>
      </c>
      <c r="M2" s="1075" t="s">
        <v>280</v>
      </c>
      <c r="N2" s="1075" t="s">
        <v>285</v>
      </c>
      <c r="O2" s="1075" t="s">
        <v>281</v>
      </c>
      <c r="P2" s="1075" t="s">
        <v>280</v>
      </c>
      <c r="Q2" s="1075" t="s">
        <v>285</v>
      </c>
      <c r="R2" s="1075" t="s">
        <v>281</v>
      </c>
      <c r="S2" s="1075" t="s">
        <v>280</v>
      </c>
      <c r="T2" s="1075" t="s">
        <v>285</v>
      </c>
      <c r="U2" s="1075" t="s">
        <v>281</v>
      </c>
      <c r="V2" s="1075" t="s">
        <v>280</v>
      </c>
      <c r="W2" s="1075" t="s">
        <v>285</v>
      </c>
      <c r="X2" s="1075" t="s">
        <v>281</v>
      </c>
      <c r="Y2" s="1075" t="s">
        <v>280</v>
      </c>
      <c r="Z2" s="1075" t="s">
        <v>285</v>
      </c>
      <c r="AA2" s="1075" t="s">
        <v>281</v>
      </c>
      <c r="AB2" s="1076" t="s">
        <v>280</v>
      </c>
      <c r="AC2" s="1076" t="s">
        <v>285</v>
      </c>
      <c r="AD2" s="1076" t="s">
        <v>281</v>
      </c>
      <c r="AE2" s="1075" t="s">
        <v>280</v>
      </c>
      <c r="AF2" s="1075" t="s">
        <v>285</v>
      </c>
      <c r="AG2" s="1075" t="s">
        <v>281</v>
      </c>
      <c r="AH2" s="1076" t="s">
        <v>280</v>
      </c>
      <c r="AI2" s="1076" t="s">
        <v>285</v>
      </c>
      <c r="AJ2" s="1076" t="s">
        <v>281</v>
      </c>
      <c r="AK2" s="1075" t="s">
        <v>280</v>
      </c>
      <c r="AL2" s="1075" t="s">
        <v>285</v>
      </c>
      <c r="AM2" s="1075" t="s">
        <v>281</v>
      </c>
      <c r="AN2" s="1075" t="s">
        <v>280</v>
      </c>
      <c r="AO2" s="1075" t="s">
        <v>285</v>
      </c>
      <c r="AP2" s="1075" t="s">
        <v>281</v>
      </c>
      <c r="AQ2" s="1075" t="s">
        <v>280</v>
      </c>
      <c r="AR2" s="1075" t="s">
        <v>285</v>
      </c>
      <c r="AS2" s="1075" t="s">
        <v>281</v>
      </c>
      <c r="AT2" s="1076" t="s">
        <v>280</v>
      </c>
      <c r="AU2" s="1076" t="s">
        <v>285</v>
      </c>
      <c r="AV2" s="1076" t="s">
        <v>281</v>
      </c>
      <c r="AW2" s="1076" t="s">
        <v>280</v>
      </c>
      <c r="AX2" s="1076" t="s">
        <v>285</v>
      </c>
      <c r="AY2" s="1076" t="s">
        <v>281</v>
      </c>
      <c r="AZ2" s="1076" t="s">
        <v>280</v>
      </c>
      <c r="BA2" s="1076" t="s">
        <v>285</v>
      </c>
      <c r="BB2" s="1077" t="s">
        <v>281</v>
      </c>
      <c r="BC2" s="1076" t="s">
        <v>280</v>
      </c>
      <c r="BD2" s="1076" t="s">
        <v>285</v>
      </c>
      <c r="BE2" s="1076" t="s">
        <v>281</v>
      </c>
      <c r="BF2" s="1076" t="s">
        <v>280</v>
      </c>
      <c r="BG2" s="1076" t="s">
        <v>285</v>
      </c>
      <c r="BH2" s="1076" t="s">
        <v>281</v>
      </c>
      <c r="BI2" s="1078" t="s">
        <v>280</v>
      </c>
      <c r="BJ2" s="1076" t="s">
        <v>285</v>
      </c>
      <c r="BK2" s="1076" t="s">
        <v>281</v>
      </c>
      <c r="BL2" s="1078" t="s">
        <v>280</v>
      </c>
      <c r="BM2" s="1076" t="s">
        <v>285</v>
      </c>
      <c r="BN2" s="1079" t="s">
        <v>281</v>
      </c>
    </row>
    <row r="3" spans="2:66" s="183" customFormat="1" ht="30" customHeight="1">
      <c r="B3" s="1359">
        <v>42370</v>
      </c>
      <c r="C3" s="1360">
        <f t="shared" ref="C3:C8" si="0">SUM(G3,J3,M3,P3,S3,V3,Y3,AB3,AE3,AH3,AK3,AN3,AQ3,AT3,AW3,AZ3,BC3,BF3,BI3,BL3)</f>
        <v>65146</v>
      </c>
      <c r="D3" s="1361">
        <f>SUM(H3,K3,N3,Q3,T3,W3,Z3,AC3,AF3,AI3,AL3,AO3,AR3,AU3,BA3,BD3,BG3,BJ3,BM3)</f>
        <v>1058</v>
      </c>
      <c r="E3" s="1362">
        <f t="shared" ref="E3:E12" si="1">D3/C3</f>
        <v>1.6240444539956406E-2</v>
      </c>
      <c r="F3" s="1364">
        <v>0.02</v>
      </c>
      <c r="G3" s="1363">
        <f>FACILITIES!$B$205</f>
        <v>7677</v>
      </c>
      <c r="H3" s="1361">
        <f>FACILITIES!B215</f>
        <v>284</v>
      </c>
      <c r="I3" s="1364">
        <f>$H$3/$G$3</f>
        <v>3.6993617298423861E-2</v>
      </c>
      <c r="J3" s="1365">
        <f>FACILITIES!B45</f>
        <v>7515</v>
      </c>
      <c r="K3" s="1361">
        <f>FACILITIES!$B$57</f>
        <v>129</v>
      </c>
      <c r="L3" s="1362">
        <f>$K$3/$J$3</f>
        <v>1.716566866267465E-2</v>
      </c>
      <c r="M3" s="1363">
        <f>FACILITIES!B$65</f>
        <v>863</v>
      </c>
      <c r="N3" s="1361">
        <f>FACILITIES!B$77</f>
        <v>9</v>
      </c>
      <c r="O3" s="1364">
        <f>$N$3/$M$3</f>
        <v>1.0428736964078795E-2</v>
      </c>
      <c r="P3" s="1365">
        <f>FACILITIES!B$85</f>
        <v>469</v>
      </c>
      <c r="Q3" s="1361">
        <f>FACILITIES!B$97</f>
        <v>5</v>
      </c>
      <c r="R3" s="1362">
        <f>$Q$3/$P$3</f>
        <v>1.0660980810234541E-2</v>
      </c>
      <c r="S3" s="1363">
        <f>FACILITIES!B$165</f>
        <v>3272</v>
      </c>
      <c r="T3" s="1361">
        <f>FACILITIES!B$177</f>
        <v>34</v>
      </c>
      <c r="U3" s="1364">
        <f>$T$3/$S$3</f>
        <v>1.0391198044009779E-2</v>
      </c>
      <c r="V3" s="1363">
        <f>FACILITIES!B$5</f>
        <v>7558</v>
      </c>
      <c r="W3" s="1361">
        <f>FACILITIES!B$17</f>
        <v>54</v>
      </c>
      <c r="X3" s="1364">
        <f>$W$3/$V$3</f>
        <v>7.1447472876422337E-3</v>
      </c>
      <c r="Y3" s="1363">
        <f>FACILITIES!B$225</f>
        <v>985</v>
      </c>
      <c r="Z3" s="1361">
        <f>FACILITIES!B$237</f>
        <v>2</v>
      </c>
      <c r="AA3" s="1364">
        <f t="shared" ref="AA3:AA8" si="2">Z3/Y3</f>
        <v>2.0304568527918783E-3</v>
      </c>
      <c r="AB3" s="1366">
        <f>FACILITIES!B265</f>
        <v>891</v>
      </c>
      <c r="AC3" s="1367">
        <f>FACILITIES!B277</f>
        <v>12</v>
      </c>
      <c r="AD3" s="1364">
        <f>$AC$3/$AB$3</f>
        <v>1.3468013468013467E-2</v>
      </c>
      <c r="AE3" s="1363">
        <f>FACILITIES!B$105</f>
        <v>3927</v>
      </c>
      <c r="AF3" s="1361">
        <f>FACILITIES!B$117</f>
        <v>108</v>
      </c>
      <c r="AG3" s="1364">
        <f>$AF$3/$AE$3</f>
        <v>2.7501909854851032E-2</v>
      </c>
      <c r="AH3" s="1368">
        <f>FACILITIES!B245</f>
        <v>1538</v>
      </c>
      <c r="AI3" s="1367">
        <f>FACILITIES!B257</f>
        <v>7</v>
      </c>
      <c r="AJ3" s="1364">
        <f>$AI$3/$AH$3</f>
        <v>4.5513654096228867E-3</v>
      </c>
      <c r="AK3" s="1363">
        <f>FACILITIES!B$145</f>
        <v>2065</v>
      </c>
      <c r="AL3" s="1361">
        <f>FACILITIES!B$157</f>
        <v>18</v>
      </c>
      <c r="AM3" s="1364">
        <f>$AL$3/$AK$3</f>
        <v>8.7167070217917669E-3</v>
      </c>
      <c r="AN3" s="1363">
        <f>FACILITIES!B$125</f>
        <v>4250</v>
      </c>
      <c r="AO3" s="1361">
        <f>FACILITIES!B$137</f>
        <v>95</v>
      </c>
      <c r="AP3" s="1364">
        <f>$AO$3/$AN$3</f>
        <v>2.2352941176470589E-2</v>
      </c>
      <c r="AQ3" s="1363">
        <f>FACILITIES!B185</f>
        <v>1000</v>
      </c>
      <c r="AR3" s="1361">
        <f>FACILITIES!B197</f>
        <v>13</v>
      </c>
      <c r="AS3" s="1364">
        <f t="shared" ref="AS3:AS10" si="3">AR3/AQ3</f>
        <v>1.2999999999999999E-2</v>
      </c>
      <c r="AT3" s="1368">
        <f>FACILITIES!B285</f>
        <v>3023</v>
      </c>
      <c r="AU3" s="1361">
        <f>FACILITIES!B297</f>
        <v>11</v>
      </c>
      <c r="AV3" s="1364">
        <f>$AU$3/$AT$3</f>
        <v>3.6387694343367515E-3</v>
      </c>
      <c r="AW3" s="1368">
        <f>FACILITIES!B305</f>
        <v>799</v>
      </c>
      <c r="AX3" s="1361">
        <f>FACILITIES!B317</f>
        <v>1</v>
      </c>
      <c r="AY3" s="1364">
        <f t="shared" ref="AY3:AY10" si="4">AX3/AW3</f>
        <v>1.2515644555694619E-3</v>
      </c>
      <c r="AZ3" s="1368">
        <f>FACILITIES!B325</f>
        <v>5181</v>
      </c>
      <c r="BA3" s="1367">
        <f>FACILITIES!B337</f>
        <v>150</v>
      </c>
      <c r="BB3" s="1364">
        <f>$BA$3/$AZ$3</f>
        <v>2.8951939779965258E-2</v>
      </c>
      <c r="BC3" s="1368">
        <f>FACILITIES!B345</f>
        <v>1109</v>
      </c>
      <c r="BD3" s="1367">
        <f>FACILITIES!B357</f>
        <v>4</v>
      </c>
      <c r="BE3" s="1364">
        <f>$BD$3/$BC$3</f>
        <v>3.6068530207394047E-3</v>
      </c>
      <c r="BF3" s="1368">
        <f>FACILITIES!B365</f>
        <v>2098</v>
      </c>
      <c r="BG3" s="1367">
        <f>FACILITIES!B377</f>
        <v>42</v>
      </c>
      <c r="BH3" s="1364">
        <f>$BG$3/$BF$3</f>
        <v>2.0019065776930411E-2</v>
      </c>
      <c r="BI3" s="1368">
        <f>FACILITIES!B385</f>
        <v>6842</v>
      </c>
      <c r="BJ3" s="1361">
        <f>FACILITIES!B395</f>
        <v>47</v>
      </c>
      <c r="BK3" s="1364">
        <f t="shared" ref="BK3:BK8" si="5">BJ3/BI3</f>
        <v>6.8693364513300204E-3</v>
      </c>
      <c r="BL3" s="1369">
        <f>FACILITIES!B405</f>
        <v>4084</v>
      </c>
      <c r="BM3" s="1361">
        <f>FACILITIES!B415</f>
        <v>34</v>
      </c>
      <c r="BN3" s="2018">
        <f t="shared" ref="BN3:BN8" si="6">BM3/BL3</f>
        <v>8.3251714005876595E-3</v>
      </c>
    </row>
    <row r="4" spans="2:66" s="183" customFormat="1" ht="30" customHeight="1">
      <c r="B4" s="1359">
        <v>42401</v>
      </c>
      <c r="C4" s="1360">
        <f t="shared" si="0"/>
        <v>65709</v>
      </c>
      <c r="D4" s="1361">
        <f t="shared" ref="D4:D13" si="7">SUM(H4,K4,N4,Q4,T4,W4,Z4,AC4,AF4,AI4,AL4,AO4,AR4,AU4,BA4,BD4,BG4,BJ4,BM4)</f>
        <v>1235</v>
      </c>
      <c r="E4" s="1362">
        <f t="shared" si="1"/>
        <v>1.8794990031806905E-2</v>
      </c>
      <c r="F4" s="1364">
        <v>0.02</v>
      </c>
      <c r="G4" s="1370">
        <f>FACILITIES!C205</f>
        <v>7187</v>
      </c>
      <c r="H4" s="1361">
        <f>FACILITIES!C215</f>
        <v>208</v>
      </c>
      <c r="I4" s="1364">
        <f>$H$4/$G$4</f>
        <v>2.894114373173786E-2</v>
      </c>
      <c r="J4" s="1372">
        <f>FACILITIES!C45</f>
        <v>7460</v>
      </c>
      <c r="K4" s="1361">
        <f>FACILITIES!C57</f>
        <v>177</v>
      </c>
      <c r="L4" s="1362">
        <f>$K$4/$J$4</f>
        <v>2.3726541554959787E-2</v>
      </c>
      <c r="M4" s="1370">
        <f>FACILITIES!C65</f>
        <v>827</v>
      </c>
      <c r="N4" s="1371">
        <f>FACILITIES!C77</f>
        <v>9</v>
      </c>
      <c r="O4" s="1364">
        <f t="shared" ref="O4:O10" si="8">N4/M4</f>
        <v>1.0882708585247884E-2</v>
      </c>
      <c r="P4" s="1372">
        <f>FACILITIES!C85</f>
        <v>502</v>
      </c>
      <c r="Q4" s="1371">
        <f>FACILITIES!C97</f>
        <v>7</v>
      </c>
      <c r="R4" s="1362">
        <f t="shared" ref="R4:R10" si="9">Q4/P4</f>
        <v>1.3944223107569721E-2</v>
      </c>
      <c r="S4" s="1370">
        <f>FACILITIES!C165</f>
        <v>3349</v>
      </c>
      <c r="T4" s="1371">
        <f>FACILITIES!C177</f>
        <v>62</v>
      </c>
      <c r="U4" s="1364">
        <f t="shared" ref="U4:U10" si="10">T4/S4</f>
        <v>1.8512988951925949E-2</v>
      </c>
      <c r="V4" s="1370">
        <f>FACILITIES!C5</f>
        <v>7752</v>
      </c>
      <c r="W4" s="1371">
        <f>FACILITIES!C17</f>
        <v>47</v>
      </c>
      <c r="X4" s="1364">
        <f t="shared" ref="X4:X10" si="11">W4/V4</f>
        <v>6.0629514963880292E-3</v>
      </c>
      <c r="Y4" s="1363">
        <f>FACILITIES!C225</f>
        <v>1006</v>
      </c>
      <c r="Z4" s="1361">
        <f>FACILITIES!C237</f>
        <v>6</v>
      </c>
      <c r="AA4" s="1364">
        <f t="shared" si="2"/>
        <v>5.9642147117296221E-3</v>
      </c>
      <c r="AB4" s="1373">
        <f>FACILITIES!C265</f>
        <v>865</v>
      </c>
      <c r="AC4" s="1374">
        <f>FACILITIES!C277</f>
        <v>8</v>
      </c>
      <c r="AD4" s="1364">
        <f t="shared" ref="AD4:AD10" si="12">AC4/AB4</f>
        <v>9.2485549132947983E-3</v>
      </c>
      <c r="AE4" s="1370">
        <f>FACILITIES!C105</f>
        <v>3763</v>
      </c>
      <c r="AF4" s="1371">
        <f>FACILITIES!C117</f>
        <v>97</v>
      </c>
      <c r="AG4" s="1364">
        <f t="shared" ref="AG4:AG10" si="13">AF4/AE4</f>
        <v>2.577730534148286E-2</v>
      </c>
      <c r="AH4" s="1373">
        <f>FACILITIES!C245</f>
        <v>1476</v>
      </c>
      <c r="AI4" s="1374">
        <f>FACILITIES!C257</f>
        <v>3</v>
      </c>
      <c r="AJ4" s="1364">
        <f t="shared" ref="AJ4:AJ10" si="14">AI4/AH4</f>
        <v>2.0325203252032522E-3</v>
      </c>
      <c r="AK4" s="1370">
        <f>FACILITIES!C145</f>
        <v>2187</v>
      </c>
      <c r="AL4" s="1361">
        <f>FACILITIES!C157</f>
        <v>18</v>
      </c>
      <c r="AM4" s="1364">
        <f t="shared" ref="AM4:AM10" si="15">AL4/AK4</f>
        <v>8.23045267489712E-3</v>
      </c>
      <c r="AN4" s="1370">
        <f>FACILITIES!C125</f>
        <v>4244</v>
      </c>
      <c r="AO4" s="1361">
        <f>FACILITIES!C137</f>
        <v>147</v>
      </c>
      <c r="AP4" s="1364">
        <f t="shared" ref="AP4:AP10" si="16">AO4/AN4</f>
        <v>3.4637134778510839E-2</v>
      </c>
      <c r="AQ4" s="1370">
        <f>FACILITIES!C185</f>
        <v>1029</v>
      </c>
      <c r="AR4" s="1371">
        <f>FACILITIES!C197</f>
        <v>11</v>
      </c>
      <c r="AS4" s="1364">
        <f t="shared" si="3"/>
        <v>1.0689990281827016E-2</v>
      </c>
      <c r="AT4" s="1373">
        <f>FACILITIES!C285</f>
        <v>2810</v>
      </c>
      <c r="AU4" s="1374">
        <f>FACILITIES!C297</f>
        <v>13</v>
      </c>
      <c r="AV4" s="1364">
        <f t="shared" ref="AV4:AV10" si="17">AU4/AT4</f>
        <v>4.6263345195729534E-3</v>
      </c>
      <c r="AW4" s="1363">
        <f>FACILITIES!C305</f>
        <v>853</v>
      </c>
      <c r="AX4" s="1361">
        <f>FACILITIES!C317</f>
        <v>0</v>
      </c>
      <c r="AY4" s="1364">
        <f t="shared" si="4"/>
        <v>0</v>
      </c>
      <c r="AZ4" s="1373">
        <f>FACILITIES!C325</f>
        <v>5257</v>
      </c>
      <c r="BA4" s="1374">
        <f>FACILITIES!C337</f>
        <v>234</v>
      </c>
      <c r="BB4" s="1364">
        <f t="shared" ref="BB4:BB10" si="18">BA4/AZ4</f>
        <v>4.4512079132585126E-2</v>
      </c>
      <c r="BC4" s="1373">
        <f>FACILITIES!C345</f>
        <v>1219</v>
      </c>
      <c r="BD4" s="1374">
        <f>FACILITIES!C357</f>
        <v>3</v>
      </c>
      <c r="BE4" s="1364">
        <f t="shared" ref="BE4:BE10" si="19">BD4/BC4</f>
        <v>2.4610336341263331E-3</v>
      </c>
      <c r="BF4" s="1373">
        <f>FACILITIES!C365</f>
        <v>2452</v>
      </c>
      <c r="BG4" s="1374">
        <f>FACILITIES!C377</f>
        <v>40</v>
      </c>
      <c r="BH4" s="1364">
        <f t="shared" ref="BH4:BH9" si="20">BG4/BF4</f>
        <v>1.6313213703099509E-2</v>
      </c>
      <c r="BI4" s="1368">
        <f>FACILITIES!C385</f>
        <v>7138</v>
      </c>
      <c r="BJ4" s="1361">
        <f>FACILITIES!C395</f>
        <v>83</v>
      </c>
      <c r="BK4" s="1364">
        <f t="shared" si="5"/>
        <v>1.1627906976744186E-2</v>
      </c>
      <c r="BL4" s="1369">
        <f>FACILITIES!C405</f>
        <v>4333</v>
      </c>
      <c r="BM4" s="1361">
        <f>FACILITIES!C415</f>
        <v>62</v>
      </c>
      <c r="BN4" s="2018">
        <f t="shared" si="6"/>
        <v>1.4308792984075698E-2</v>
      </c>
    </row>
    <row r="5" spans="2:66" s="183" customFormat="1" ht="30" customHeight="1">
      <c r="B5" s="1359">
        <v>42430</v>
      </c>
      <c r="C5" s="1360">
        <f t="shared" si="0"/>
        <v>70200</v>
      </c>
      <c r="D5" s="1361">
        <f t="shared" si="7"/>
        <v>1307</v>
      </c>
      <c r="E5" s="1362">
        <f t="shared" si="1"/>
        <v>1.8618233618233618E-2</v>
      </c>
      <c r="F5" s="1364">
        <v>0.02</v>
      </c>
      <c r="G5" s="1370">
        <f>FACILITIES!D205</f>
        <v>7938</v>
      </c>
      <c r="H5" s="1361">
        <f>FACILITIES!D215</f>
        <v>246</v>
      </c>
      <c r="I5" s="1364">
        <f>$H$5/$G$5</f>
        <v>3.0990173847316706E-2</v>
      </c>
      <c r="J5" s="1372">
        <f>FACILITIES!D45</f>
        <v>8153</v>
      </c>
      <c r="K5" s="1371">
        <f>FACILITIES!D57</f>
        <v>155</v>
      </c>
      <c r="L5" s="1362">
        <f t="shared" ref="L5:L10" si="21">K5/J5</f>
        <v>1.9011406844106463E-2</v>
      </c>
      <c r="M5" s="1370">
        <f>FACILITIES!D65</f>
        <v>806</v>
      </c>
      <c r="N5" s="1371">
        <f>FACILITIES!D77</f>
        <v>11</v>
      </c>
      <c r="O5" s="1364">
        <f t="shared" si="8"/>
        <v>1.3647642679900745E-2</v>
      </c>
      <c r="P5" s="1372">
        <f>FACILITIES!D85</f>
        <v>571</v>
      </c>
      <c r="Q5" s="1371">
        <f>FACILITIES!D97</f>
        <v>6</v>
      </c>
      <c r="R5" s="1362">
        <f t="shared" si="9"/>
        <v>1.0507880910683012E-2</v>
      </c>
      <c r="S5" s="1370">
        <f>FACILITIES!D165</f>
        <v>3716</v>
      </c>
      <c r="T5" s="1371">
        <f>FACILITIES!D177</f>
        <v>45</v>
      </c>
      <c r="U5" s="1364">
        <f t="shared" si="10"/>
        <v>1.2109795479009687E-2</v>
      </c>
      <c r="V5" s="1370">
        <f>FACILITIES!D5</f>
        <v>8404</v>
      </c>
      <c r="W5" s="1371">
        <f>FACILITIES!D17</f>
        <v>55</v>
      </c>
      <c r="X5" s="1364">
        <f t="shared" si="11"/>
        <v>6.5445026178010471E-3</v>
      </c>
      <c r="Y5" s="1363">
        <f>FACILITIES!D225</f>
        <v>1113</v>
      </c>
      <c r="Z5" s="1361">
        <f>FACILITIES!D237</f>
        <v>9</v>
      </c>
      <c r="AA5" s="1364">
        <f t="shared" si="2"/>
        <v>8.0862533692722376E-3</v>
      </c>
      <c r="AB5" s="1373">
        <f>FACILITIES!D265</f>
        <v>1001</v>
      </c>
      <c r="AC5" s="1371">
        <f>FACILITIES!D277</f>
        <v>11</v>
      </c>
      <c r="AD5" s="1364">
        <f t="shared" si="12"/>
        <v>1.098901098901099E-2</v>
      </c>
      <c r="AE5" s="1370">
        <f>FACILITIES!D105</f>
        <v>4248</v>
      </c>
      <c r="AF5" s="1371">
        <f>FACILITIES!D117</f>
        <v>142</v>
      </c>
      <c r="AG5" s="1364">
        <f t="shared" si="13"/>
        <v>3.3427495291902073E-2</v>
      </c>
      <c r="AH5" s="1373">
        <f>FACILITIES!D245</f>
        <v>1548</v>
      </c>
      <c r="AI5" s="1374">
        <f>FACILITIES!D257</f>
        <v>5</v>
      </c>
      <c r="AJ5" s="1364">
        <f t="shared" si="14"/>
        <v>3.2299741602067182E-3</v>
      </c>
      <c r="AK5" s="1370">
        <f>FACILITIES!D145</f>
        <v>2298</v>
      </c>
      <c r="AL5" s="1361">
        <f>FACILITIES!D157</f>
        <v>22</v>
      </c>
      <c r="AM5" s="1364">
        <f t="shared" si="15"/>
        <v>9.5735422106179285E-3</v>
      </c>
      <c r="AN5" s="1370">
        <f>FACILITIES!D125</f>
        <v>4799</v>
      </c>
      <c r="AO5" s="1361">
        <f>FACILITIES!D137</f>
        <v>178</v>
      </c>
      <c r="AP5" s="1364">
        <f t="shared" si="16"/>
        <v>3.7091060637632838E-2</v>
      </c>
      <c r="AQ5" s="1370">
        <f>FACILITIES!D185</f>
        <v>1001</v>
      </c>
      <c r="AR5" s="1371">
        <f>FACILITIES!D197</f>
        <v>9</v>
      </c>
      <c r="AS5" s="1364">
        <f t="shared" si="3"/>
        <v>8.9910089910089919E-3</v>
      </c>
      <c r="AT5" s="1373">
        <f>FACILITIES!D285</f>
        <v>2721</v>
      </c>
      <c r="AU5" s="1374">
        <f>FACILITIES!D297</f>
        <v>20</v>
      </c>
      <c r="AV5" s="1364">
        <f t="shared" si="17"/>
        <v>7.3502388827636897E-3</v>
      </c>
      <c r="AW5" s="1363">
        <f>FACILITIES!D305</f>
        <v>906</v>
      </c>
      <c r="AX5" s="1361">
        <f>FACILITIES!D317</f>
        <v>0</v>
      </c>
      <c r="AY5" s="1364">
        <f t="shared" si="4"/>
        <v>0</v>
      </c>
      <c r="AZ5" s="1373">
        <f>FACILITIES!D325</f>
        <v>5580</v>
      </c>
      <c r="BA5" s="1374">
        <f>FACILITIES!D337</f>
        <v>201</v>
      </c>
      <c r="BB5" s="1364">
        <f t="shared" si="18"/>
        <v>3.6021505376344083E-2</v>
      </c>
      <c r="BC5" s="1373">
        <f>FACILITIES!D345</f>
        <v>1085</v>
      </c>
      <c r="BD5" s="1374">
        <f>FACILITIES!D357</f>
        <v>5</v>
      </c>
      <c r="BE5" s="1364">
        <f t="shared" si="19"/>
        <v>4.608294930875576E-3</v>
      </c>
      <c r="BF5" s="1373">
        <f>FACILITIES!D365</f>
        <v>2657</v>
      </c>
      <c r="BG5" s="1374">
        <f>FACILITIES!D377</f>
        <v>51</v>
      </c>
      <c r="BH5" s="1364">
        <f t="shared" si="20"/>
        <v>1.9194580353782461E-2</v>
      </c>
      <c r="BI5" s="1368">
        <f>FACILITIES!D385</f>
        <v>7156</v>
      </c>
      <c r="BJ5" s="1361">
        <f>FACILITIES!D395</f>
        <v>85</v>
      </c>
      <c r="BK5" s="1364">
        <f t="shared" si="5"/>
        <v>1.1878144214645054E-2</v>
      </c>
      <c r="BL5" s="1365">
        <f>FACILITIES!D405</f>
        <v>4499</v>
      </c>
      <c r="BM5" s="1361">
        <f>FACILITIES!D415</f>
        <v>51</v>
      </c>
      <c r="BN5" s="2018">
        <f t="shared" si="6"/>
        <v>1.1335852411647033E-2</v>
      </c>
    </row>
    <row r="6" spans="2:66" s="183" customFormat="1" ht="30" customHeight="1">
      <c r="B6" s="1359">
        <v>42461</v>
      </c>
      <c r="C6" s="1360">
        <f t="shared" si="0"/>
        <v>64605</v>
      </c>
      <c r="D6" s="1361">
        <f t="shared" si="7"/>
        <v>1043</v>
      </c>
      <c r="E6" s="1362">
        <f t="shared" si="1"/>
        <v>1.614426128008668E-2</v>
      </c>
      <c r="F6" s="1012">
        <v>0.02</v>
      </c>
      <c r="G6" s="1370">
        <f>FACILITIES!E205</f>
        <v>7299</v>
      </c>
      <c r="H6" s="1361">
        <f>FACILITIES!E215</f>
        <v>218</v>
      </c>
      <c r="I6" s="1364">
        <f>$H$6/$G$6</f>
        <v>2.9867105082888066E-2</v>
      </c>
      <c r="J6" s="1372">
        <f>FACILITIES!E45</f>
        <v>7404</v>
      </c>
      <c r="K6" s="1371">
        <f>FACILITIES!E57</f>
        <v>125</v>
      </c>
      <c r="L6" s="1362">
        <f t="shared" si="21"/>
        <v>1.68827660723933E-2</v>
      </c>
      <c r="M6" s="1370">
        <f>FACILITIES!E65</f>
        <v>732</v>
      </c>
      <c r="N6" s="1371">
        <f>FACILITIES!E77</f>
        <v>9</v>
      </c>
      <c r="O6" s="1364">
        <f t="shared" si="8"/>
        <v>1.2295081967213115E-2</v>
      </c>
      <c r="P6" s="1372">
        <f>FACILITIES!E85</f>
        <v>432</v>
      </c>
      <c r="Q6" s="1371">
        <f>FACILITIES!E97</f>
        <v>4</v>
      </c>
      <c r="R6" s="1362">
        <f t="shared" si="9"/>
        <v>9.2592592592592587E-3</v>
      </c>
      <c r="S6" s="1370">
        <f>FACILITIES!E165</f>
        <v>3056</v>
      </c>
      <c r="T6" s="1371">
        <f>FACILITIES!E177</f>
        <v>50</v>
      </c>
      <c r="U6" s="1364">
        <f t="shared" si="10"/>
        <v>1.6361256544502618E-2</v>
      </c>
      <c r="V6" s="1370">
        <f>FACILITIES!E5</f>
        <v>7545</v>
      </c>
      <c r="W6" s="1371">
        <f>FACILITIES!E17</f>
        <v>57</v>
      </c>
      <c r="X6" s="1364">
        <f t="shared" si="11"/>
        <v>7.5546719681908545E-3</v>
      </c>
      <c r="Y6" s="1363">
        <f>FACILITIES!E225</f>
        <v>1110</v>
      </c>
      <c r="Z6" s="1361">
        <f>FACILITIES!E237</f>
        <v>3</v>
      </c>
      <c r="AA6" s="1364">
        <f t="shared" si="2"/>
        <v>2.7027027027027029E-3</v>
      </c>
      <c r="AB6" s="1373">
        <f>FACILITIES!E265</f>
        <v>1029</v>
      </c>
      <c r="AC6" s="1371">
        <f>FACILITIES!E277</f>
        <v>17</v>
      </c>
      <c r="AD6" s="1364">
        <f t="shared" si="12"/>
        <v>1.6520894071914479E-2</v>
      </c>
      <c r="AE6" s="1370">
        <f>FACILITIES!E105</f>
        <v>3890</v>
      </c>
      <c r="AF6" s="1371">
        <f>FACILITIES!E117</f>
        <v>78</v>
      </c>
      <c r="AG6" s="1364">
        <f t="shared" si="13"/>
        <v>2.0051413881748071E-2</v>
      </c>
      <c r="AH6" s="1370">
        <f>FACILITIES!E245</f>
        <v>1375</v>
      </c>
      <c r="AI6" s="1371">
        <f>FACILITIES!E257</f>
        <v>1</v>
      </c>
      <c r="AJ6" s="1364">
        <f t="shared" si="14"/>
        <v>7.2727272727272723E-4</v>
      </c>
      <c r="AK6" s="1370">
        <f>FACILITIES!E145</f>
        <v>2187</v>
      </c>
      <c r="AL6" s="1361">
        <f>FACILITIES!E157</f>
        <v>19</v>
      </c>
      <c r="AM6" s="1364">
        <f t="shared" si="15"/>
        <v>8.6877000457247378E-3</v>
      </c>
      <c r="AN6" s="1370">
        <f>FACILITIES!E125</f>
        <v>4351</v>
      </c>
      <c r="AO6" s="1361">
        <f>FACILITIES!E137</f>
        <v>78</v>
      </c>
      <c r="AP6" s="1364">
        <f t="shared" si="16"/>
        <v>1.7926913353252125E-2</v>
      </c>
      <c r="AQ6" s="1370">
        <f>FACILITIES!E185</f>
        <v>955</v>
      </c>
      <c r="AR6" s="1371">
        <f>FACILITIES!E197</f>
        <v>14</v>
      </c>
      <c r="AS6" s="1364">
        <f t="shared" si="3"/>
        <v>1.4659685863874346E-2</v>
      </c>
      <c r="AT6" s="1373">
        <f>FACILITIES!E285</f>
        <v>3139</v>
      </c>
      <c r="AU6" s="1374">
        <f>FACILITIES!E297</f>
        <v>34</v>
      </c>
      <c r="AV6" s="1364">
        <f t="shared" si="17"/>
        <v>1.083147499203568E-2</v>
      </c>
      <c r="AW6" s="1363">
        <f>FACILITIES!E305</f>
        <v>830</v>
      </c>
      <c r="AX6" s="1361">
        <f>FACILITIES!E317</f>
        <v>0</v>
      </c>
      <c r="AY6" s="1364">
        <f t="shared" si="4"/>
        <v>0</v>
      </c>
      <c r="AZ6" s="1373">
        <f>FACILITIES!E325</f>
        <v>5108</v>
      </c>
      <c r="BA6" s="1374">
        <f>FACILITIES!E337</f>
        <v>190</v>
      </c>
      <c r="BB6" s="1364">
        <f t="shared" si="18"/>
        <v>3.719655442443226E-2</v>
      </c>
      <c r="BC6" s="1373">
        <f>FACILITIES!E345</f>
        <v>1067</v>
      </c>
      <c r="BD6" s="1374">
        <f>FACILITIES!E357</f>
        <v>9</v>
      </c>
      <c r="BE6" s="1364">
        <f t="shared" si="19"/>
        <v>8.4348641049671984E-3</v>
      </c>
      <c r="BF6" s="1373">
        <f>FACILITIES!E365</f>
        <v>2244</v>
      </c>
      <c r="BG6" s="1374">
        <f>FACILITIES!E377</f>
        <v>38</v>
      </c>
      <c r="BH6" s="1364">
        <f t="shared" si="20"/>
        <v>1.6934046345811051E-2</v>
      </c>
      <c r="BI6" s="1368">
        <f>FACILITIES!E385</f>
        <v>6618</v>
      </c>
      <c r="BJ6" s="1361">
        <f>FACILITIES!E395</f>
        <v>44</v>
      </c>
      <c r="BK6" s="1364">
        <f t="shared" si="5"/>
        <v>6.6485343003928679E-3</v>
      </c>
      <c r="BL6" s="1365">
        <f>FACILITIES!E405</f>
        <v>4234</v>
      </c>
      <c r="BM6" s="1361">
        <f>FACILITIES!E415</f>
        <v>55</v>
      </c>
      <c r="BN6" s="2018">
        <f t="shared" si="6"/>
        <v>1.2990080302314596E-2</v>
      </c>
    </row>
    <row r="7" spans="2:66" s="183" customFormat="1" ht="30" customHeight="1">
      <c r="B7" s="1359">
        <v>42491</v>
      </c>
      <c r="C7" s="1360">
        <f t="shared" si="0"/>
        <v>64223</v>
      </c>
      <c r="D7" s="1361">
        <f t="shared" si="7"/>
        <v>901</v>
      </c>
      <c r="E7" s="1362">
        <f t="shared" si="1"/>
        <v>1.4029241860392694E-2</v>
      </c>
      <c r="F7" s="1012">
        <v>0.02</v>
      </c>
      <c r="G7" s="1370">
        <f>FACILITIES!F205</f>
        <v>7460</v>
      </c>
      <c r="H7" s="1361">
        <f>FACILITIES!F215</f>
        <v>185</v>
      </c>
      <c r="I7" s="1364">
        <f>$H$7/$G$7</f>
        <v>2.4798927613941018E-2</v>
      </c>
      <c r="J7" s="1372">
        <f>FACILITIES!F45</f>
        <v>7247</v>
      </c>
      <c r="K7" s="1361">
        <f>FACILITIES!F57</f>
        <v>125</v>
      </c>
      <c r="L7" s="1362">
        <f t="shared" si="21"/>
        <v>1.7248516627570029E-2</v>
      </c>
      <c r="M7" s="1370">
        <f>FACILITIES!F65</f>
        <v>611</v>
      </c>
      <c r="N7" s="1371">
        <f>FACILITIES!F77</f>
        <v>9</v>
      </c>
      <c r="O7" s="1364">
        <f t="shared" si="8"/>
        <v>1.4729950900163666E-2</v>
      </c>
      <c r="P7" s="1372">
        <f>FACILITIES!F85</f>
        <v>336</v>
      </c>
      <c r="Q7" s="1371">
        <f>FACILITIES!F97</f>
        <v>6</v>
      </c>
      <c r="R7" s="1362">
        <f t="shared" si="9"/>
        <v>1.7857142857142856E-2</v>
      </c>
      <c r="S7" s="1370">
        <f>FACILITIES!F165</f>
        <v>2976</v>
      </c>
      <c r="T7" s="1371">
        <f>FACILITIES!F177</f>
        <v>29</v>
      </c>
      <c r="U7" s="1364">
        <f t="shared" si="10"/>
        <v>9.7446236559139785E-3</v>
      </c>
      <c r="V7" s="1370">
        <f>FACILITIES!F5</f>
        <v>7782</v>
      </c>
      <c r="W7" s="1371">
        <f>FACILITIES!F17</f>
        <v>53</v>
      </c>
      <c r="X7" s="1364">
        <f t="shared" si="11"/>
        <v>6.8105885376509891E-3</v>
      </c>
      <c r="Y7" s="1363">
        <f>FACILITIES!F225</f>
        <v>1089</v>
      </c>
      <c r="Z7" s="1361">
        <f>FACILITIES!F237</f>
        <v>10</v>
      </c>
      <c r="AA7" s="1364">
        <f t="shared" si="2"/>
        <v>9.1827364554637279E-3</v>
      </c>
      <c r="AB7" s="1373">
        <f>FACILITIES!F265</f>
        <v>936</v>
      </c>
      <c r="AC7" s="1374">
        <f>FACILITIES!F277</f>
        <v>12</v>
      </c>
      <c r="AD7" s="1364">
        <f t="shared" si="12"/>
        <v>1.282051282051282E-2</v>
      </c>
      <c r="AE7" s="1370">
        <f>FACILITIES!F105</f>
        <v>3850</v>
      </c>
      <c r="AF7" s="1371">
        <f>FACILITIES!F117</f>
        <v>67</v>
      </c>
      <c r="AG7" s="1364">
        <f t="shared" si="13"/>
        <v>1.7402597402597402E-2</v>
      </c>
      <c r="AH7" s="1373">
        <f>FACILITIES!F245</f>
        <v>1589</v>
      </c>
      <c r="AI7" s="1374">
        <f>FACILITIES!F257</f>
        <v>3</v>
      </c>
      <c r="AJ7" s="1364">
        <f t="shared" si="14"/>
        <v>1.8879798615481435E-3</v>
      </c>
      <c r="AK7" s="1370">
        <f>FACILITIES!F145</f>
        <v>2186</v>
      </c>
      <c r="AL7" s="1361">
        <f>FACILITIES!F157</f>
        <v>22</v>
      </c>
      <c r="AM7" s="1364">
        <f t="shared" si="15"/>
        <v>1.0064043915827997E-2</v>
      </c>
      <c r="AN7" s="1370">
        <f>FACILITIES!F125</f>
        <v>4066</v>
      </c>
      <c r="AO7" s="1361">
        <f>FACILITIES!F137</f>
        <v>56</v>
      </c>
      <c r="AP7" s="1364">
        <f t="shared" si="16"/>
        <v>1.3772749631087064E-2</v>
      </c>
      <c r="AQ7" s="1370">
        <f>FACILITIES!F185</f>
        <v>911</v>
      </c>
      <c r="AR7" s="1371">
        <f>FACILITIES!F197</f>
        <v>13</v>
      </c>
      <c r="AS7" s="1364">
        <f t="shared" si="3"/>
        <v>1.4270032930845226E-2</v>
      </c>
      <c r="AT7" s="1373">
        <f>FACILITIES!F285</f>
        <v>3026</v>
      </c>
      <c r="AU7" s="1374">
        <f>FACILITIES!F297</f>
        <v>23</v>
      </c>
      <c r="AV7" s="1364">
        <f t="shared" si="17"/>
        <v>7.6007931262392602E-3</v>
      </c>
      <c r="AW7" s="1363">
        <f>FACILITIES!F305</f>
        <v>889</v>
      </c>
      <c r="AX7" s="1361">
        <f>FACILITIES!F317</f>
        <v>0</v>
      </c>
      <c r="AY7" s="1364">
        <f t="shared" si="4"/>
        <v>0</v>
      </c>
      <c r="AZ7" s="1373">
        <f>FACILITIES!F325</f>
        <v>4961</v>
      </c>
      <c r="BA7" s="1374">
        <f>FACILITIES!F337</f>
        <v>187</v>
      </c>
      <c r="BB7" s="1364">
        <f t="shared" si="18"/>
        <v>3.7694013303769404E-2</v>
      </c>
      <c r="BC7" s="1373">
        <f>FACILITIES!F345</f>
        <v>1035</v>
      </c>
      <c r="BD7" s="1374">
        <f>FACILITIES!F357</f>
        <v>3</v>
      </c>
      <c r="BE7" s="1364">
        <f t="shared" si="19"/>
        <v>2.8985507246376812E-3</v>
      </c>
      <c r="BF7" s="1373">
        <f>FACILITIES!F365</f>
        <v>2267</v>
      </c>
      <c r="BG7" s="1374">
        <f>FACILITIES!F377</f>
        <v>44</v>
      </c>
      <c r="BH7" s="1364">
        <f t="shared" si="20"/>
        <v>1.9408910454344949E-2</v>
      </c>
      <c r="BI7" s="1368">
        <f>FACILITIES!F385</f>
        <v>6796</v>
      </c>
      <c r="BJ7" s="1361">
        <f>FACILITIES!F395</f>
        <v>21</v>
      </c>
      <c r="BK7" s="1364">
        <f t="shared" si="5"/>
        <v>3.0900529723366685E-3</v>
      </c>
      <c r="BL7" s="1369">
        <f>FACILITIES!F405</f>
        <v>4210</v>
      </c>
      <c r="BM7" s="1361">
        <f>FACILITIES!F415</f>
        <v>33</v>
      </c>
      <c r="BN7" s="2018">
        <f t="shared" si="6"/>
        <v>7.8384798099762464E-3</v>
      </c>
    </row>
    <row r="8" spans="2:66" s="183" customFormat="1" ht="30" customHeight="1">
      <c r="B8" s="1359">
        <v>42522</v>
      </c>
      <c r="C8" s="1360">
        <f t="shared" si="0"/>
        <v>60206</v>
      </c>
      <c r="D8" s="1361">
        <f t="shared" si="7"/>
        <v>795</v>
      </c>
      <c r="E8" s="1362">
        <f t="shared" si="1"/>
        <v>1.3204663986978043E-2</v>
      </c>
      <c r="F8" s="1012">
        <v>0.02</v>
      </c>
      <c r="G8" s="1370">
        <f>FACILITIES!G205</f>
        <v>7160</v>
      </c>
      <c r="H8" s="1361">
        <f>FACILITIES!G215</f>
        <v>127</v>
      </c>
      <c r="I8" s="1364">
        <f>$H$8/$G$8</f>
        <v>1.7737430167597764E-2</v>
      </c>
      <c r="J8" s="1372">
        <f>FACILITIES!G45</f>
        <v>7064</v>
      </c>
      <c r="K8" s="1371">
        <f>FACILITIES!G57</f>
        <v>122</v>
      </c>
      <c r="L8" s="1362">
        <f t="shared" si="21"/>
        <v>1.7270668176670442E-2</v>
      </c>
      <c r="M8" s="1370">
        <f>FACILITIES!G65</f>
        <v>594</v>
      </c>
      <c r="N8" s="1371">
        <f>FACILITIES!G77</f>
        <v>11</v>
      </c>
      <c r="O8" s="1364">
        <f t="shared" si="8"/>
        <v>1.8518518518518517E-2</v>
      </c>
      <c r="P8" s="1372">
        <f>FACILITIES!G85</f>
        <v>308</v>
      </c>
      <c r="Q8" s="1371">
        <f>FACILITIES!G97</f>
        <v>2</v>
      </c>
      <c r="R8" s="1362">
        <f t="shared" si="9"/>
        <v>6.4935064935064939E-3</v>
      </c>
      <c r="S8" s="1370">
        <f>FACILITIES!G165</f>
        <v>2824</v>
      </c>
      <c r="T8" s="1371">
        <f>FACILITIES!G177</f>
        <v>43</v>
      </c>
      <c r="U8" s="1364">
        <f t="shared" si="10"/>
        <v>1.5226628895184136E-2</v>
      </c>
      <c r="V8" s="1370">
        <f>FACILITIES!G5</f>
        <v>6870</v>
      </c>
      <c r="W8" s="1371">
        <f>FACILITIES!G17</f>
        <v>44</v>
      </c>
      <c r="X8" s="1364">
        <f t="shared" si="11"/>
        <v>6.4046579330422123E-3</v>
      </c>
      <c r="Y8" s="2545">
        <f>FACILITIES!G225</f>
        <v>1024</v>
      </c>
      <c r="Z8" s="2546">
        <f>FACILITIES!G237</f>
        <v>4</v>
      </c>
      <c r="AA8" s="2547">
        <f t="shared" si="2"/>
        <v>3.90625E-3</v>
      </c>
      <c r="AB8" s="1373">
        <f>FACILITIES!G265</f>
        <v>969</v>
      </c>
      <c r="AC8" s="1371">
        <f>FACILITIES!G277</f>
        <v>25</v>
      </c>
      <c r="AD8" s="1364">
        <f t="shared" si="12"/>
        <v>2.5799793601651185E-2</v>
      </c>
      <c r="AE8" s="1370">
        <f>FACILITIES!G105</f>
        <v>3659</v>
      </c>
      <c r="AF8" s="1371">
        <f>FACILITIES!G117</f>
        <v>72</v>
      </c>
      <c r="AG8" s="1364">
        <f t="shared" si="13"/>
        <v>1.9677507515714676E-2</v>
      </c>
      <c r="AH8" s="1373">
        <f>FACILITIES!G245</f>
        <v>1569</v>
      </c>
      <c r="AI8" s="1374">
        <f>FACILITIES!G257</f>
        <v>2</v>
      </c>
      <c r="AJ8" s="1364">
        <f t="shared" si="14"/>
        <v>1.2746972594008922E-3</v>
      </c>
      <c r="AK8" s="1370">
        <f>FACILITIES!G145</f>
        <v>2193</v>
      </c>
      <c r="AL8" s="1361">
        <f>FACILITIES!G157</f>
        <v>20</v>
      </c>
      <c r="AM8" s="1364">
        <f t="shared" si="15"/>
        <v>9.1199270405836752E-3</v>
      </c>
      <c r="AN8" s="1370">
        <f>FACILITIES!G125</f>
        <v>3778</v>
      </c>
      <c r="AO8" s="1361">
        <f>FACILITIES!G137</f>
        <v>69</v>
      </c>
      <c r="AP8" s="1364">
        <f t="shared" si="16"/>
        <v>1.8263631551085232E-2</v>
      </c>
      <c r="AQ8" s="1370">
        <f>FACILITIES!G185</f>
        <v>833</v>
      </c>
      <c r="AR8" s="1371">
        <f>FACILITIES!G197</f>
        <v>11</v>
      </c>
      <c r="AS8" s="1364">
        <f t="shared" si="3"/>
        <v>1.3205282112845138E-2</v>
      </c>
      <c r="AT8" s="1373">
        <f>FACILITIES!G285</f>
        <v>2988</v>
      </c>
      <c r="AU8" s="1374">
        <f>FACILITIES!G297</f>
        <v>17</v>
      </c>
      <c r="AV8" s="1364">
        <f t="shared" si="17"/>
        <v>5.6894243641231589E-3</v>
      </c>
      <c r="AW8" s="1363">
        <f>FACILITIES!G305</f>
        <v>917</v>
      </c>
      <c r="AX8" s="1361">
        <f>FACILITIES!G317</f>
        <v>0</v>
      </c>
      <c r="AY8" s="1364">
        <f t="shared" si="4"/>
        <v>0</v>
      </c>
      <c r="AZ8" s="1373">
        <f>FACILITIES!G325</f>
        <v>4583</v>
      </c>
      <c r="BA8" s="1374">
        <f>FACILITIES!G337</f>
        <v>146</v>
      </c>
      <c r="BB8" s="1364">
        <f t="shared" si="18"/>
        <v>3.1856862317259434E-2</v>
      </c>
      <c r="BC8" s="1373">
        <f>FACILITIES!G345</f>
        <v>824</v>
      </c>
      <c r="BD8" s="1374">
        <f>FACILITIES!G357</f>
        <v>5</v>
      </c>
      <c r="BE8" s="1364">
        <f t="shared" si="19"/>
        <v>6.0679611650485436E-3</v>
      </c>
      <c r="BF8" s="1373">
        <f>FACILITIES!G365</f>
        <v>1995</v>
      </c>
      <c r="BG8" s="1374">
        <f>FACILITIES!G377</f>
        <v>32</v>
      </c>
      <c r="BH8" s="1364">
        <f t="shared" si="20"/>
        <v>1.6040100250626566E-2</v>
      </c>
      <c r="BI8" s="1368">
        <f>FACILITIES!G385</f>
        <v>6320</v>
      </c>
      <c r="BJ8" s="1361">
        <f>FACILITIES!G395</f>
        <v>26</v>
      </c>
      <c r="BK8" s="1364">
        <f t="shared" si="5"/>
        <v>4.1139240506329116E-3</v>
      </c>
      <c r="BL8" s="1365">
        <f>FACILITIES!G405</f>
        <v>3734</v>
      </c>
      <c r="BM8" s="1361">
        <f>FACILITIES!G415</f>
        <v>17</v>
      </c>
      <c r="BN8" s="2018">
        <f t="shared" si="6"/>
        <v>4.5527584359935725E-3</v>
      </c>
    </row>
    <row r="9" spans="2:66" s="183" customFormat="1" ht="30" customHeight="1">
      <c r="B9" s="1359">
        <v>42552</v>
      </c>
      <c r="C9" s="1360">
        <f t="shared" ref="C9:C14" si="22">SUM(G9,J9,M9,P9,S9,V9,AB9,AE9,AH9,AK9,AN9,AQ9,AT9,AW9,AZ9,BC9,BF9,BI9,BL9)</f>
        <v>60369</v>
      </c>
      <c r="D9" s="1361">
        <f t="shared" si="7"/>
        <v>769</v>
      </c>
      <c r="E9" s="1362">
        <f t="shared" si="1"/>
        <v>1.2738325962000365E-2</v>
      </c>
      <c r="F9" s="1012">
        <v>0.02</v>
      </c>
      <c r="G9" s="1370">
        <f>FACILITIES!H205</f>
        <v>7323</v>
      </c>
      <c r="H9" s="1361">
        <f>FACILITIES!H215</f>
        <v>118</v>
      </c>
      <c r="I9" s="1364">
        <f>$H$9/$G$9</f>
        <v>1.611361463880923E-2</v>
      </c>
      <c r="J9" s="1372">
        <f>FACILITIES!H45</f>
        <v>7151</v>
      </c>
      <c r="K9" s="1371">
        <f>FACILITIES!H57</f>
        <v>111</v>
      </c>
      <c r="L9" s="1362">
        <f t="shared" si="21"/>
        <v>1.5522304572787023E-2</v>
      </c>
      <c r="M9" s="1370">
        <f>FACILITIES!H65</f>
        <v>571</v>
      </c>
      <c r="N9" s="1371">
        <f>FACILITIES!H77</f>
        <v>7</v>
      </c>
      <c r="O9" s="1364">
        <f t="shared" si="8"/>
        <v>1.2259194395796848E-2</v>
      </c>
      <c r="P9" s="1372">
        <f>FACILITIES!H85</f>
        <v>306</v>
      </c>
      <c r="Q9" s="1371">
        <f>FACILITIES!H97</f>
        <v>3</v>
      </c>
      <c r="R9" s="1362">
        <f t="shared" si="9"/>
        <v>9.8039215686274508E-3</v>
      </c>
      <c r="S9" s="1370">
        <f>FACILITIES!H165</f>
        <v>2791</v>
      </c>
      <c r="T9" s="1371">
        <f>FACILITIES!H177</f>
        <v>31</v>
      </c>
      <c r="U9" s="1364">
        <f t="shared" si="10"/>
        <v>1.1107130060910068E-2</v>
      </c>
      <c r="V9" s="1370">
        <f>FACILITIES!H5</f>
        <v>7066</v>
      </c>
      <c r="W9" s="1371">
        <f>FACILITIES!H17</f>
        <v>39</v>
      </c>
      <c r="X9" s="1362">
        <f t="shared" si="11"/>
        <v>5.5193886215680723E-3</v>
      </c>
      <c r="Y9" s="3014"/>
      <c r="Z9" s="3014"/>
      <c r="AA9" s="3014"/>
      <c r="AB9" s="2544">
        <f>FACILITIES!H265</f>
        <v>965</v>
      </c>
      <c r="AC9" s="1371">
        <f>FACILITIES!H277</f>
        <v>14</v>
      </c>
      <c r="AD9" s="1364">
        <f t="shared" si="12"/>
        <v>1.4507772020725389E-2</v>
      </c>
      <c r="AE9" s="1370">
        <f>FACILITIES!H105</f>
        <v>3912</v>
      </c>
      <c r="AF9" s="1371">
        <f>FACILITIES!H117</f>
        <v>59</v>
      </c>
      <c r="AG9" s="1364">
        <f t="shared" si="13"/>
        <v>1.5081799591002046E-2</v>
      </c>
      <c r="AH9" s="1370">
        <f>FACILITIES!H245</f>
        <v>1602</v>
      </c>
      <c r="AI9" s="1371">
        <f>FACILITIES!H257</f>
        <v>5</v>
      </c>
      <c r="AJ9" s="1364">
        <f t="shared" si="14"/>
        <v>3.1210986267166041E-3</v>
      </c>
      <c r="AK9" s="1370">
        <f>FACILITIES!H145</f>
        <v>2202</v>
      </c>
      <c r="AL9" s="1361">
        <f>FACILITIES!H157</f>
        <v>23</v>
      </c>
      <c r="AM9" s="1364">
        <f t="shared" si="15"/>
        <v>1.0445049954586739E-2</v>
      </c>
      <c r="AN9" s="1370">
        <f>FACILITIES!H125</f>
        <v>3951</v>
      </c>
      <c r="AO9" s="1361">
        <f>FACILITIES!H137</f>
        <v>67</v>
      </c>
      <c r="AP9" s="1364">
        <f t="shared" si="16"/>
        <v>1.6957732219691216E-2</v>
      </c>
      <c r="AQ9" s="1370">
        <f>FACILITIES!H185</f>
        <v>773</v>
      </c>
      <c r="AR9" s="1371">
        <f>FACILITIES!H197</f>
        <v>15</v>
      </c>
      <c r="AS9" s="1364">
        <f t="shared" si="3"/>
        <v>1.9404915912031046E-2</v>
      </c>
      <c r="AT9" s="1373">
        <f>FACILITIES!H285</f>
        <v>3148</v>
      </c>
      <c r="AU9" s="1374">
        <f>FACILITIES!H297</f>
        <v>31</v>
      </c>
      <c r="AV9" s="1364">
        <f t="shared" si="17"/>
        <v>9.8475222363405331E-3</v>
      </c>
      <c r="AW9" s="1363">
        <f>FACILITIES!H305</f>
        <v>923</v>
      </c>
      <c r="AX9" s="1361">
        <f>FACILITIES!H317</f>
        <v>0</v>
      </c>
      <c r="AY9" s="1364">
        <f t="shared" si="4"/>
        <v>0</v>
      </c>
      <c r="AZ9" s="1373">
        <f>FACILITIES!H325</f>
        <v>4685</v>
      </c>
      <c r="BA9" s="1374">
        <f>FACILITIES!H337</f>
        <v>156</v>
      </c>
      <c r="BB9" s="1364">
        <f t="shared" si="18"/>
        <v>3.3297758804695834E-2</v>
      </c>
      <c r="BC9" s="1373">
        <f>FACILITIES!H345</f>
        <v>734</v>
      </c>
      <c r="BD9" s="1374">
        <f>FACILITIES!H357</f>
        <v>0</v>
      </c>
      <c r="BE9" s="1364">
        <f t="shared" si="19"/>
        <v>0</v>
      </c>
      <c r="BF9" s="1373">
        <f>FACILITIES!H365</f>
        <v>2001</v>
      </c>
      <c r="BG9" s="1374">
        <f>FACILITIES!H377</f>
        <v>38</v>
      </c>
      <c r="BH9" s="1364">
        <f t="shared" si="20"/>
        <v>1.8990504747626188E-2</v>
      </c>
      <c r="BI9" s="1368">
        <f>FACILITIES!H385</f>
        <v>6412</v>
      </c>
      <c r="BJ9" s="1361">
        <f>FACILITIES!H395</f>
        <v>27</v>
      </c>
      <c r="BK9" s="1364">
        <f t="shared" ref="BK9:BK15" si="23">BJ9/BI9</f>
        <v>4.2108546475358704E-3</v>
      </c>
      <c r="BL9" s="1365">
        <f>FACILITIES!H405</f>
        <v>3853</v>
      </c>
      <c r="BM9" s="1361">
        <f>FACILITIES!H415</f>
        <v>25</v>
      </c>
      <c r="BN9" s="2018">
        <f t="shared" ref="BN9:BN15" si="24">BM9/BL9</f>
        <v>6.4884505580067482E-3</v>
      </c>
    </row>
    <row r="10" spans="2:66" s="183" customFormat="1" ht="30" customHeight="1">
      <c r="B10" s="1359">
        <v>42583</v>
      </c>
      <c r="C10" s="1360">
        <f t="shared" si="22"/>
        <v>61047</v>
      </c>
      <c r="D10" s="1361">
        <f t="shared" si="7"/>
        <v>762</v>
      </c>
      <c r="E10" s="1362">
        <f t="shared" si="1"/>
        <v>1.2482185856798859E-2</v>
      </c>
      <c r="F10" s="1012">
        <v>0.02</v>
      </c>
      <c r="G10" s="1370">
        <f>FACILITIES!I205</f>
        <v>7190</v>
      </c>
      <c r="H10" s="1361">
        <f>FACILITIES!I215</f>
        <v>112</v>
      </c>
      <c r="I10" s="1364">
        <f>$H$10/$G$10</f>
        <v>1.5577190542420028E-2</v>
      </c>
      <c r="J10" s="1372">
        <f>FACILITIES!I45</f>
        <v>7062</v>
      </c>
      <c r="K10" s="1371">
        <f>FACILITIES!I57</f>
        <v>122</v>
      </c>
      <c r="L10" s="1362">
        <f t="shared" si="21"/>
        <v>1.7275559331634098E-2</v>
      </c>
      <c r="M10" s="1370">
        <f>FACILITIES!$I$65</f>
        <v>584</v>
      </c>
      <c r="N10" s="1371">
        <f>FACILITIES!$I$77</f>
        <v>11</v>
      </c>
      <c r="O10" s="1364">
        <f t="shared" si="8"/>
        <v>1.8835616438356163E-2</v>
      </c>
      <c r="P10" s="1372">
        <f>FACILITIES!$I$85</f>
        <v>277</v>
      </c>
      <c r="Q10" s="1371">
        <f>FACILITIES!$I$97</f>
        <v>3</v>
      </c>
      <c r="R10" s="1362">
        <f t="shared" si="9"/>
        <v>1.0830324909747292E-2</v>
      </c>
      <c r="S10" s="1370">
        <f>FACILITIES!$I$165</f>
        <v>2811</v>
      </c>
      <c r="T10" s="1371">
        <f>FACILITIES!$I$177</f>
        <v>29</v>
      </c>
      <c r="U10" s="1364">
        <f t="shared" si="10"/>
        <v>1.031661330487371E-2</v>
      </c>
      <c r="V10" s="1370">
        <f>FACILITIES!$I$5</f>
        <v>6820</v>
      </c>
      <c r="W10" s="1371">
        <f>FACILITIES!$I$17</f>
        <v>49</v>
      </c>
      <c r="X10" s="1362">
        <f t="shared" si="11"/>
        <v>7.1847507331378301E-3</v>
      </c>
      <c r="Y10" s="2369"/>
      <c r="Z10" s="2370"/>
      <c r="AA10" s="2371"/>
      <c r="AB10" s="2544">
        <f>FACILITIES!$I$265</f>
        <v>1017</v>
      </c>
      <c r="AC10" s="1371">
        <f>FACILITIES!$I$277</f>
        <v>24</v>
      </c>
      <c r="AD10" s="1364">
        <f t="shared" si="12"/>
        <v>2.359882005899705E-2</v>
      </c>
      <c r="AE10" s="1370">
        <f>FACILITIES!$I$105</f>
        <v>3875</v>
      </c>
      <c r="AF10" s="1371">
        <f>FACILITIES!$I$117</f>
        <v>56</v>
      </c>
      <c r="AG10" s="1364">
        <f t="shared" si="13"/>
        <v>1.4451612903225806E-2</v>
      </c>
      <c r="AH10" s="1370">
        <f>FACILITIES!$I$245</f>
        <v>1569</v>
      </c>
      <c r="AI10" s="1371">
        <f>FACILITIES!$I$257</f>
        <v>6</v>
      </c>
      <c r="AJ10" s="1364">
        <f t="shared" si="14"/>
        <v>3.8240917782026767E-3</v>
      </c>
      <c r="AK10" s="1370">
        <f>FACILITIES!$I$145</f>
        <v>2396</v>
      </c>
      <c r="AL10" s="1361">
        <f>FACILITIES!$I$157</f>
        <v>20</v>
      </c>
      <c r="AM10" s="1364">
        <f t="shared" si="15"/>
        <v>8.3472454090150246E-3</v>
      </c>
      <c r="AN10" s="1370">
        <f>FACILITIES!$I$125</f>
        <v>4087</v>
      </c>
      <c r="AO10" s="1361">
        <f>FACILITIES!$I$137</f>
        <v>58</v>
      </c>
      <c r="AP10" s="1364">
        <f t="shared" si="16"/>
        <v>1.4191338390017127E-2</v>
      </c>
      <c r="AQ10" s="1370">
        <f>FACILITIES!$I$185</f>
        <v>839</v>
      </c>
      <c r="AR10" s="1371">
        <f>FACILITIES!$I$197</f>
        <v>15</v>
      </c>
      <c r="AS10" s="1364">
        <f t="shared" si="3"/>
        <v>1.7878426698450536E-2</v>
      </c>
      <c r="AT10" s="1373">
        <f>FACILITIES!$I$285</f>
        <v>3142</v>
      </c>
      <c r="AU10" s="1374">
        <f>FACILITIES!$I$297</f>
        <v>30</v>
      </c>
      <c r="AV10" s="1364">
        <f t="shared" si="17"/>
        <v>9.5480585614258432E-3</v>
      </c>
      <c r="AW10" s="1363">
        <f>FACILITIES!$I$305</f>
        <v>956</v>
      </c>
      <c r="AX10" s="1361">
        <f>FACILITIES!$I$317</f>
        <v>0</v>
      </c>
      <c r="AY10" s="1364">
        <f t="shared" si="4"/>
        <v>0</v>
      </c>
      <c r="AZ10" s="1373">
        <f>FACILITIES!$I$325</f>
        <v>4740</v>
      </c>
      <c r="BA10" s="1374">
        <f>FACILITIES!$I$337</f>
        <v>145</v>
      </c>
      <c r="BB10" s="1364">
        <f t="shared" si="18"/>
        <v>3.059071729957806E-2</v>
      </c>
      <c r="BC10" s="1373">
        <f>FACILITIES!$I$345</f>
        <v>949</v>
      </c>
      <c r="BD10" s="1374">
        <f>FACILITIES!$I$357</f>
        <v>3</v>
      </c>
      <c r="BE10" s="1364">
        <f t="shared" si="19"/>
        <v>3.1612223393045311E-3</v>
      </c>
      <c r="BF10" s="1373">
        <f>FACILITIES!$I$365</f>
        <v>2024</v>
      </c>
      <c r="BG10" s="1374">
        <f>FACILITIES!$I$377</f>
        <v>26</v>
      </c>
      <c r="BH10" s="1364">
        <f t="shared" ref="BH10:BH15" si="25">BG10/BF10</f>
        <v>1.2845849802371542E-2</v>
      </c>
      <c r="BI10" s="1368">
        <f>FACILITIES!$I$385</f>
        <v>6697</v>
      </c>
      <c r="BJ10" s="1361">
        <f>FACILITIES!$I$395</f>
        <v>29</v>
      </c>
      <c r="BK10" s="1364">
        <f t="shared" si="23"/>
        <v>4.3302971479767059E-3</v>
      </c>
      <c r="BL10" s="1365">
        <f>FACILITIES!$I$405</f>
        <v>4012</v>
      </c>
      <c r="BM10" s="1361">
        <f>FACILITIES!$I$415</f>
        <v>24</v>
      </c>
      <c r="BN10" s="2018">
        <f t="shared" si="24"/>
        <v>5.9820538384845467E-3</v>
      </c>
    </row>
    <row r="11" spans="2:66" s="183" customFormat="1" ht="30" customHeight="1">
      <c r="B11" s="1359">
        <v>42614</v>
      </c>
      <c r="C11" s="1360">
        <f t="shared" si="22"/>
        <v>61027</v>
      </c>
      <c r="D11" s="1361">
        <f t="shared" si="7"/>
        <v>854</v>
      </c>
      <c r="E11" s="1362">
        <f t="shared" si="1"/>
        <v>1.3993806020286104E-2</v>
      </c>
      <c r="F11" s="1012">
        <v>0.02</v>
      </c>
      <c r="G11" s="1370">
        <f>FACILITIES!$J$205</f>
        <v>7215</v>
      </c>
      <c r="H11" s="1361">
        <f>FACILITIES!$J$215</f>
        <v>120</v>
      </c>
      <c r="I11" s="1364">
        <f>$H$11/$G$11</f>
        <v>1.6632016632016633E-2</v>
      </c>
      <c r="J11" s="1372">
        <f>FACILITIES!$J$45</f>
        <v>7175</v>
      </c>
      <c r="K11" s="1371">
        <f>FACILITIES!$J$57</f>
        <v>144</v>
      </c>
      <c r="L11" s="1362">
        <f>K11/J11</f>
        <v>2.0069686411149826E-2</v>
      </c>
      <c r="M11" s="1370">
        <f>FACILITIES!$J$65</f>
        <v>554</v>
      </c>
      <c r="N11" s="1371">
        <f>FACILITIES!$J$77</f>
        <v>7</v>
      </c>
      <c r="O11" s="1364">
        <f>N11/M11</f>
        <v>1.263537906137184E-2</v>
      </c>
      <c r="P11" s="1372">
        <f>FACILITIES!$J$85</f>
        <v>276</v>
      </c>
      <c r="Q11" s="1371">
        <f>FACILITIES!$J$97</f>
        <v>6</v>
      </c>
      <c r="R11" s="1362">
        <f>Q11/P11</f>
        <v>2.1739130434782608E-2</v>
      </c>
      <c r="S11" s="1370">
        <f>FACILITIES!$J$165</f>
        <v>2728</v>
      </c>
      <c r="T11" s="1371">
        <f>FACILITIES!$J$177</f>
        <v>26</v>
      </c>
      <c r="U11" s="1364">
        <f>T11/S11</f>
        <v>9.5307917888563052E-3</v>
      </c>
      <c r="V11" s="1370">
        <f>FACILITIES!$J$5</f>
        <v>7417</v>
      </c>
      <c r="W11" s="1371">
        <f>FACILITIES!$J$17</f>
        <v>59</v>
      </c>
      <c r="X11" s="1362">
        <f>W11/V11</f>
        <v>7.9546986652285299E-3</v>
      </c>
      <c r="Y11" s="2369"/>
      <c r="Z11" s="2370"/>
      <c r="AA11" s="2371"/>
      <c r="AB11" s="2544">
        <f>FACILITIES!$J$265</f>
        <v>1057</v>
      </c>
      <c r="AC11" s="1371">
        <f>FACILITIES!$J$277</f>
        <v>29</v>
      </c>
      <c r="AD11" s="1364">
        <f>AC11/AB11</f>
        <v>2.7436140018921477E-2</v>
      </c>
      <c r="AE11" s="1370">
        <f>FACILITIES!$J$105</f>
        <v>3939</v>
      </c>
      <c r="AF11" s="1371">
        <f>FACILITIES!$J$117</f>
        <v>72</v>
      </c>
      <c r="AG11" s="1364">
        <f>AF11/AE11</f>
        <v>1.827875095201828E-2</v>
      </c>
      <c r="AH11" s="1370">
        <f>FACILITIES!$J$245</f>
        <v>1504</v>
      </c>
      <c r="AI11" s="1371">
        <f>FACILITIES!$J$257</f>
        <v>4</v>
      </c>
      <c r="AJ11" s="1364">
        <f>AI11/AH11</f>
        <v>2.6595744680851063E-3</v>
      </c>
      <c r="AK11" s="1370">
        <f>FACILITIES!$J$145</f>
        <v>2269</v>
      </c>
      <c r="AL11" s="1361">
        <f>FACILITIES!$J$157</f>
        <v>9</v>
      </c>
      <c r="AM11" s="1364">
        <f>AL11/AK11</f>
        <v>3.9665050683120318E-3</v>
      </c>
      <c r="AN11" s="1370">
        <f>FACILITIES!$J$125</f>
        <v>4092</v>
      </c>
      <c r="AO11" s="1361">
        <f>FACILITIES!$J$137</f>
        <v>55</v>
      </c>
      <c r="AP11" s="1364">
        <f>AO11/AN11</f>
        <v>1.3440860215053764E-2</v>
      </c>
      <c r="AQ11" s="1370">
        <f>FACILITIES!$J$185</f>
        <v>811</v>
      </c>
      <c r="AR11" s="1371">
        <f>FACILITIES!$J$197</f>
        <v>19</v>
      </c>
      <c r="AS11" s="1364">
        <f>AR11/AQ11</f>
        <v>2.3427866831072751E-2</v>
      </c>
      <c r="AT11" s="1373">
        <f>FACILITIES!$J$285</f>
        <v>3106</v>
      </c>
      <c r="AU11" s="1374">
        <f>FACILITIES!$J$297</f>
        <v>33</v>
      </c>
      <c r="AV11" s="1364">
        <f>AU11/AT11</f>
        <v>1.0624597553122988E-2</v>
      </c>
      <c r="AW11" s="1363">
        <f>FACILITIES!$J$305</f>
        <v>974</v>
      </c>
      <c r="AX11" s="1361">
        <f>FACILITIES!$J$317</f>
        <v>0</v>
      </c>
      <c r="AY11" s="1364">
        <f>AX11/AW11</f>
        <v>0</v>
      </c>
      <c r="AZ11" s="1373">
        <f>FACILITIES!$J$325</f>
        <v>4478</v>
      </c>
      <c r="BA11" s="1374">
        <f>FACILITIES!$J$337</f>
        <v>176</v>
      </c>
      <c r="BB11" s="1364">
        <f>BA11/AZ11</f>
        <v>3.9303260384100043E-2</v>
      </c>
      <c r="BC11" s="1373">
        <f>FACILITIES!$J$345</f>
        <v>1025</v>
      </c>
      <c r="BD11" s="1374">
        <f>FACILITIES!$J$357</f>
        <v>3</v>
      </c>
      <c r="BE11" s="1364">
        <f>BD11/BC11</f>
        <v>2.9268292682926829E-3</v>
      </c>
      <c r="BF11" s="1373">
        <f>FACILITIES!$J$365</f>
        <v>2052</v>
      </c>
      <c r="BG11" s="1374">
        <f>FACILITIES!$J$377</f>
        <v>30</v>
      </c>
      <c r="BH11" s="1364">
        <f t="shared" si="25"/>
        <v>1.4619883040935672E-2</v>
      </c>
      <c r="BI11" s="1368">
        <f>FACILITIES!$J$385</f>
        <v>6419</v>
      </c>
      <c r="BJ11" s="1361">
        <f>FACILITIES!$J$395</f>
        <v>37</v>
      </c>
      <c r="BK11" s="1364">
        <f t="shared" si="23"/>
        <v>5.7641377161551646E-3</v>
      </c>
      <c r="BL11" s="1365">
        <f>FACILITIES!$J$405</f>
        <v>3936</v>
      </c>
      <c r="BM11" s="1361">
        <f>FACILITIES!$J$415</f>
        <v>25</v>
      </c>
      <c r="BN11" s="2018">
        <f t="shared" si="24"/>
        <v>6.3516260162601625E-3</v>
      </c>
    </row>
    <row r="12" spans="2:66" s="183" customFormat="1" ht="30" customHeight="1">
      <c r="B12" s="1359">
        <v>42644</v>
      </c>
      <c r="C12" s="1360">
        <f t="shared" si="22"/>
        <v>60301</v>
      </c>
      <c r="D12" s="1361">
        <f t="shared" si="7"/>
        <v>811</v>
      </c>
      <c r="E12" s="1362">
        <f t="shared" si="1"/>
        <v>1.3449196530737466E-2</v>
      </c>
      <c r="F12" s="1012">
        <v>0.02</v>
      </c>
      <c r="G12" s="1370">
        <f>FACILITIES!$K$205</f>
        <v>7167</v>
      </c>
      <c r="H12" s="1361">
        <f>FACILITIES!$K$215</f>
        <v>149</v>
      </c>
      <c r="I12" s="1364">
        <f>$H$12/$G$12</f>
        <v>2.0789730710199527E-2</v>
      </c>
      <c r="J12" s="1372">
        <f>FACILITIES!$K$45</f>
        <v>7101</v>
      </c>
      <c r="K12" s="1371">
        <f>FACILITIES!$K$57</f>
        <v>159</v>
      </c>
      <c r="L12" s="1362">
        <f>K12/J12</f>
        <v>2.2391212505280946E-2</v>
      </c>
      <c r="M12" s="1370">
        <f>FACILITIES!$K$65</f>
        <v>623</v>
      </c>
      <c r="N12" s="1371">
        <f>FACILITIES!$K$77</f>
        <v>16</v>
      </c>
      <c r="O12" s="1364">
        <f>N12/M12</f>
        <v>2.5682182985553772E-2</v>
      </c>
      <c r="P12" s="1372">
        <f>FACILITIES!$K$85</f>
        <v>344</v>
      </c>
      <c r="Q12" s="1371">
        <f>FACILITIES!$K$97</f>
        <v>3</v>
      </c>
      <c r="R12" s="1362">
        <f>Q12/P12</f>
        <v>8.7209302325581394E-3</v>
      </c>
      <c r="S12" s="1370">
        <f>FACILITIES!$K$165</f>
        <v>2782</v>
      </c>
      <c r="T12" s="1371">
        <f>FACILITIES!$K$177</f>
        <v>38</v>
      </c>
      <c r="U12" s="1364">
        <f>T12/S12</f>
        <v>1.3659237958303379E-2</v>
      </c>
      <c r="V12" s="1370">
        <f>FACILITIES!$K$5</f>
        <v>7061</v>
      </c>
      <c r="W12" s="1371">
        <f>FACILITIES!$K$17</f>
        <v>55</v>
      </c>
      <c r="X12" s="1362">
        <f>W12/V12</f>
        <v>7.7892649766322054E-3</v>
      </c>
      <c r="Y12" s="2369"/>
      <c r="Z12" s="2370"/>
      <c r="AA12" s="2371"/>
      <c r="AB12" s="2544">
        <f>FACILITIES!$K$265</f>
        <v>938</v>
      </c>
      <c r="AC12" s="1371">
        <f>FACILITIES!$K$277</f>
        <v>13</v>
      </c>
      <c r="AD12" s="1364">
        <f>AC12/AB12</f>
        <v>1.3859275053304905E-2</v>
      </c>
      <c r="AE12" s="1370">
        <f>FACILITIES!$K$105</f>
        <v>3972</v>
      </c>
      <c r="AF12" s="1371">
        <f>FACILITIES!$K$117</f>
        <v>54</v>
      </c>
      <c r="AG12" s="1364">
        <f>AF12/AE12</f>
        <v>1.3595166163141994E-2</v>
      </c>
      <c r="AH12" s="1370">
        <f>FACILITIES!$K$245</f>
        <v>1488</v>
      </c>
      <c r="AI12" s="1371">
        <f>FACILITIES!$K$257</f>
        <v>5</v>
      </c>
      <c r="AJ12" s="1364">
        <f>AI12/AH12</f>
        <v>3.3602150537634409E-3</v>
      </c>
      <c r="AK12" s="1370">
        <f>FACILITIES!$K$145</f>
        <v>2271</v>
      </c>
      <c r="AL12" s="1361">
        <f>FACILITIES!$K$157</f>
        <v>20</v>
      </c>
      <c r="AM12" s="1364">
        <f>AL12/AK12</f>
        <v>8.8066930867459273E-3</v>
      </c>
      <c r="AN12" s="1370">
        <f>FACILITIES!$K$125</f>
        <v>3986</v>
      </c>
      <c r="AO12" s="1361">
        <f>FACILITIES!$K$137</f>
        <v>59</v>
      </c>
      <c r="AP12" s="1364">
        <f>AO12/AN12</f>
        <v>1.4801806322127445E-2</v>
      </c>
      <c r="AQ12" s="1370">
        <f>FACILITIES!$K$185</f>
        <v>797</v>
      </c>
      <c r="AR12" s="1371">
        <f>FACILITIES!$K$197</f>
        <v>15</v>
      </c>
      <c r="AS12" s="1364">
        <f>AR12/AQ12</f>
        <v>1.8820577164366373E-2</v>
      </c>
      <c r="AT12" s="1373">
        <f>FACILITIES!$K$285</f>
        <v>3176</v>
      </c>
      <c r="AU12" s="1374">
        <f>FACILITIES!$K$297</f>
        <v>29</v>
      </c>
      <c r="AV12" s="1364">
        <f>AU12/AT12</f>
        <v>9.130982367758186E-3</v>
      </c>
      <c r="AW12" s="1363">
        <f>FACILITIES!$K$305</f>
        <v>1050</v>
      </c>
      <c r="AX12" s="1361">
        <f>FACILITIES!$K$317</f>
        <v>0</v>
      </c>
      <c r="AY12" s="1364">
        <f>AX12/AW12</f>
        <v>0</v>
      </c>
      <c r="AZ12" s="1373">
        <f>FACILITIES!$K$325</f>
        <v>4324</v>
      </c>
      <c r="BA12" s="1374">
        <f>FACILITIES!$K$337</f>
        <v>112</v>
      </c>
      <c r="BB12" s="1364">
        <f>BA12/AZ12</f>
        <v>2.5901942645698426E-2</v>
      </c>
      <c r="BC12" s="1373">
        <f>FACILITIES!$K$345</f>
        <v>1013</v>
      </c>
      <c r="BD12" s="1374">
        <f>FACILITIES!$K$357</f>
        <v>2</v>
      </c>
      <c r="BE12" s="1364">
        <f>BD12/BC12</f>
        <v>1.9743336623889436E-3</v>
      </c>
      <c r="BF12" s="1373">
        <f>FACILITIES!$K$365</f>
        <v>1932</v>
      </c>
      <c r="BG12" s="1374">
        <f>FACILITIES!$K$377</f>
        <v>30</v>
      </c>
      <c r="BH12" s="1364">
        <f t="shared" si="25"/>
        <v>1.5527950310559006E-2</v>
      </c>
      <c r="BI12" s="1368">
        <f>FACILITIES!$K$385</f>
        <v>6380</v>
      </c>
      <c r="BJ12" s="1361">
        <f>FACILITIES!$K$395</f>
        <v>32</v>
      </c>
      <c r="BK12" s="1364">
        <f t="shared" si="23"/>
        <v>5.0156739811912229E-3</v>
      </c>
      <c r="BL12" s="1365">
        <f>FACILITIES!$K$405</f>
        <v>3896</v>
      </c>
      <c r="BM12" s="1361">
        <f>FACILITIES!$K$415</f>
        <v>20</v>
      </c>
      <c r="BN12" s="2018">
        <f t="shared" si="24"/>
        <v>5.1334702258726897E-3</v>
      </c>
    </row>
    <row r="13" spans="2:66" s="183" customFormat="1" ht="30" customHeight="1">
      <c r="B13" s="1359">
        <v>42675</v>
      </c>
      <c r="C13" s="1360">
        <f t="shared" si="22"/>
        <v>52421</v>
      </c>
      <c r="D13" s="1361">
        <f t="shared" si="7"/>
        <v>693</v>
      </c>
      <c r="E13" s="1362">
        <f>D13/C13</f>
        <v>1.3219892791057019E-2</v>
      </c>
      <c r="F13" s="1012">
        <v>0.02</v>
      </c>
      <c r="G13" s="2701" t="s">
        <v>766</v>
      </c>
      <c r="H13" s="2702" t="s">
        <v>766</v>
      </c>
      <c r="I13" s="2703" t="s">
        <v>766</v>
      </c>
      <c r="J13" s="1372">
        <f>FACILITIES!$L$45</f>
        <v>6893</v>
      </c>
      <c r="K13" s="1371">
        <f>FACILITIES!$L$57</f>
        <v>159</v>
      </c>
      <c r="L13" s="1362">
        <f>K13/J13</f>
        <v>2.30668794429131E-2</v>
      </c>
      <c r="M13" s="1370">
        <f>FACILITIES!$L$65</f>
        <v>790</v>
      </c>
      <c r="N13" s="1371">
        <f>FACILITIES!$L$77</f>
        <v>14</v>
      </c>
      <c r="O13" s="1364">
        <f>N13/M13</f>
        <v>1.7721518987341773E-2</v>
      </c>
      <c r="P13" s="1372">
        <f>FACILITIES!$L$85</f>
        <v>472</v>
      </c>
      <c r="Q13" s="1371">
        <f>FACILITIES!$L$97</f>
        <v>4</v>
      </c>
      <c r="R13" s="1362">
        <f>Q13/P13</f>
        <v>8.4745762711864406E-3</v>
      </c>
      <c r="S13" s="1370">
        <f>FACILITIES!$L$165</f>
        <v>3058</v>
      </c>
      <c r="T13" s="1371">
        <f>FACILITIES!$L$177</f>
        <v>52</v>
      </c>
      <c r="U13" s="1364">
        <f>T13/S13</f>
        <v>1.7004578155657292E-2</v>
      </c>
      <c r="V13" s="1370">
        <f>FACILITIES!$L$5</f>
        <v>7058</v>
      </c>
      <c r="W13" s="1371">
        <f>FACILITIES!$L$17</f>
        <v>40</v>
      </c>
      <c r="X13" s="1362">
        <f>W13/V13</f>
        <v>5.6673278549164065E-3</v>
      </c>
      <c r="Y13" s="2369"/>
      <c r="Z13" s="2370"/>
      <c r="AA13" s="2371"/>
      <c r="AB13" s="2544" t="s">
        <v>766</v>
      </c>
      <c r="AC13" s="1371" t="s">
        <v>766</v>
      </c>
      <c r="AD13" s="1364" t="s">
        <v>766</v>
      </c>
      <c r="AE13" s="1370">
        <f>FACILITIES!$L$105</f>
        <v>4019</v>
      </c>
      <c r="AF13" s="1371">
        <f>FACILITIES!$L$117</f>
        <v>81</v>
      </c>
      <c r="AG13" s="1364">
        <f>AF13/AE13</f>
        <v>2.0154267230654391E-2</v>
      </c>
      <c r="AH13" s="1370">
        <f>FACILITIES!$L$245</f>
        <v>1440</v>
      </c>
      <c r="AI13" s="1371">
        <f>FACILITIES!$L$257</f>
        <v>5</v>
      </c>
      <c r="AJ13" s="1364">
        <f>AI13/AH13</f>
        <v>3.472222222222222E-3</v>
      </c>
      <c r="AK13" s="1370">
        <f>FACILITIES!$L$145</f>
        <v>2210</v>
      </c>
      <c r="AL13" s="1361">
        <f>FACILITIES!$L$157</f>
        <v>16</v>
      </c>
      <c r="AM13" s="1364">
        <f>AL13/AK13</f>
        <v>7.2398190045248872E-3</v>
      </c>
      <c r="AN13" s="1370">
        <f>FACILITIES!$L$125</f>
        <v>4223</v>
      </c>
      <c r="AO13" s="1361">
        <f>FACILITIES!$L$137</f>
        <v>80</v>
      </c>
      <c r="AP13" s="1364">
        <f>AO13/AN13</f>
        <v>1.8943878759175942E-2</v>
      </c>
      <c r="AQ13" s="1370">
        <f>FACILITIES!$L$185</f>
        <v>756</v>
      </c>
      <c r="AR13" s="1371">
        <f>FACILITIES!$L$197</f>
        <v>11</v>
      </c>
      <c r="AS13" s="1364">
        <f>AR13/AQ13</f>
        <v>1.4550264550264549E-2</v>
      </c>
      <c r="AT13" s="1373">
        <f>FACILITIES!$L$285</f>
        <v>3024</v>
      </c>
      <c r="AU13" s="1374">
        <f>FACILITIES!$L$297</f>
        <v>21</v>
      </c>
      <c r="AV13" s="1364">
        <f>AU13/AT13</f>
        <v>6.9444444444444441E-3</v>
      </c>
      <c r="AW13" s="1363">
        <f>FACILITIES!$L$305</f>
        <v>941</v>
      </c>
      <c r="AX13" s="1361">
        <f>FACILITIES!$L$317</f>
        <v>0</v>
      </c>
      <c r="AY13" s="1364">
        <f>AX13/AW13</f>
        <v>0</v>
      </c>
      <c r="AZ13" s="1373">
        <f>FACILITIES!$L$325</f>
        <v>4489</v>
      </c>
      <c r="BA13" s="1374">
        <f>FACILITIES!$L$337</f>
        <v>128</v>
      </c>
      <c r="BB13" s="1364">
        <f>BA13/AZ13</f>
        <v>2.8514145689463134E-2</v>
      </c>
      <c r="BC13" s="1373">
        <f>FACILITIES!$L$345</f>
        <v>989</v>
      </c>
      <c r="BD13" s="1374">
        <f>FACILITIES!$K$357</f>
        <v>2</v>
      </c>
      <c r="BE13" s="1364">
        <f>BD13/BC13</f>
        <v>2.0222446916076846E-3</v>
      </c>
      <c r="BF13" s="1373">
        <f>FACILITIES!$L$365</f>
        <v>1936</v>
      </c>
      <c r="BG13" s="1374">
        <f>FACILITIES!$L$377</f>
        <v>36</v>
      </c>
      <c r="BH13" s="1364">
        <f t="shared" si="25"/>
        <v>1.859504132231405E-2</v>
      </c>
      <c r="BI13" s="1368">
        <f>FACILITIES!$L$385</f>
        <v>6334</v>
      </c>
      <c r="BJ13" s="1361">
        <f>FACILITIES!$L$395</f>
        <v>22</v>
      </c>
      <c r="BK13" s="1364">
        <f t="shared" si="23"/>
        <v>3.4733185980423114E-3</v>
      </c>
      <c r="BL13" s="1365">
        <f>FACILITIES!$L$405</f>
        <v>3789</v>
      </c>
      <c r="BM13" s="1361">
        <f>FACILITIES!$L$415</f>
        <v>22</v>
      </c>
      <c r="BN13" s="2018">
        <f t="shared" si="24"/>
        <v>5.8062813407231458E-3</v>
      </c>
    </row>
    <row r="14" spans="2:66" s="183" customFormat="1" ht="30" customHeight="1">
      <c r="B14" s="1359">
        <v>42705</v>
      </c>
      <c r="C14" s="1360">
        <f t="shared" si="22"/>
        <v>51145</v>
      </c>
      <c r="D14" s="1361">
        <f>SUM(H14,K14,N14,Q14,T14,W14,Z14,AC14,AF14,AI14,AL14,AO14,AR14,AU14,BA14,BD14,BG14,BJ14,BM14)</f>
        <v>717</v>
      </c>
      <c r="E14" s="1362">
        <f>D14/C14</f>
        <v>1.4018965685795288E-2</v>
      </c>
      <c r="F14" s="2019">
        <v>0.02</v>
      </c>
      <c r="G14" s="2704" t="s">
        <v>766</v>
      </c>
      <c r="H14" s="2705" t="s">
        <v>766</v>
      </c>
      <c r="I14" s="2706" t="s">
        <v>766</v>
      </c>
      <c r="J14" s="1372">
        <f>FACILITIES!$M$45</f>
        <v>7295</v>
      </c>
      <c r="K14" s="1371">
        <f>FACILITIES!$M$57</f>
        <v>153</v>
      </c>
      <c r="L14" s="1362">
        <f>K14/J14</f>
        <v>2.0973269362577106E-2</v>
      </c>
      <c r="M14" s="1370">
        <f>FACILITIES!$M$65</f>
        <v>831</v>
      </c>
      <c r="N14" s="1371">
        <f>FACILITIES!$M$77</f>
        <v>15</v>
      </c>
      <c r="O14" s="1364">
        <f>N14/M14</f>
        <v>1.8050541516245487E-2</v>
      </c>
      <c r="P14" s="1372">
        <f>FACILITIES!$M$85</f>
        <v>493</v>
      </c>
      <c r="Q14" s="1371">
        <f>FACILITIES!$M$97</f>
        <v>4</v>
      </c>
      <c r="R14" s="1362">
        <f>Q14/P14</f>
        <v>8.1135902636916835E-3</v>
      </c>
      <c r="S14" s="1370">
        <f>FACILITIES!$M$165</f>
        <v>3463</v>
      </c>
      <c r="T14" s="1371">
        <f>FACILITIES!$M$177</f>
        <v>43</v>
      </c>
      <c r="U14" s="1364">
        <f>T14/S14</f>
        <v>1.241697949754548E-2</v>
      </c>
      <c r="V14" s="1370">
        <f>FACILITIES!$M$5</f>
        <v>7664</v>
      </c>
      <c r="W14" s="1371">
        <f>FACILITIES!$M$17</f>
        <v>60</v>
      </c>
      <c r="X14" s="1362">
        <f>W14/V14</f>
        <v>7.8288100208768266E-3</v>
      </c>
      <c r="Y14" s="2372"/>
      <c r="Z14" s="2373"/>
      <c r="AA14" s="2374"/>
      <c r="AB14" s="2544" t="s">
        <v>766</v>
      </c>
      <c r="AC14" s="1371" t="s">
        <v>766</v>
      </c>
      <c r="AD14" s="1364" t="s">
        <v>766</v>
      </c>
      <c r="AE14" s="1370">
        <f>FACILITIES!$M$105</f>
        <v>4154</v>
      </c>
      <c r="AF14" s="1371">
        <f>FACILITIES!$M$117</f>
        <v>83</v>
      </c>
      <c r="AG14" s="1364">
        <f>AF14/AE14</f>
        <v>1.9980741454020221E-2</v>
      </c>
      <c r="AH14" s="1370">
        <f>FACILITIES!$M$245</f>
        <v>1674</v>
      </c>
      <c r="AI14" s="1371">
        <f>FACILITIES!$M$257</f>
        <v>4</v>
      </c>
      <c r="AJ14" s="1364">
        <f>AI14/AH14</f>
        <v>2.3894862604540022E-3</v>
      </c>
      <c r="AK14" s="1370">
        <f>FACILITIES!$M$145</f>
        <v>2306</v>
      </c>
      <c r="AL14" s="1361">
        <f>FACILITIES!$M$157</f>
        <v>14</v>
      </c>
      <c r="AM14" s="1364">
        <f>AL14/AK14</f>
        <v>6.0711188204683438E-3</v>
      </c>
      <c r="AN14" s="1370">
        <f>FACILITIES!$M$125</f>
        <v>4346</v>
      </c>
      <c r="AO14" s="1361">
        <f>FACILITIES!$M$137</f>
        <v>87</v>
      </c>
      <c r="AP14" s="1364">
        <f>AO14/AN14</f>
        <v>2.0018407731247124E-2</v>
      </c>
      <c r="AQ14" s="1370">
        <f>FACILITIES!$M$185</f>
        <v>885</v>
      </c>
      <c r="AR14" s="1371">
        <f>FACILITIES!$M$197</f>
        <v>18</v>
      </c>
      <c r="AS14" s="1364">
        <f>AR14/AQ14</f>
        <v>2.0338983050847456E-2</v>
      </c>
      <c r="AT14" s="1373" t="s">
        <v>766</v>
      </c>
      <c r="AU14" s="1374" t="s">
        <v>766</v>
      </c>
      <c r="AV14" s="1364" t="s">
        <v>766</v>
      </c>
      <c r="AW14" s="1363" t="s">
        <v>766</v>
      </c>
      <c r="AX14" s="1361" t="s">
        <v>766</v>
      </c>
      <c r="AY14" s="1364" t="s">
        <v>766</v>
      </c>
      <c r="AZ14" s="1373">
        <f>FACILITIES!$M$325</f>
        <v>4619</v>
      </c>
      <c r="BA14" s="1374">
        <f>FACILITIES!$M$337</f>
        <v>129</v>
      </c>
      <c r="BB14" s="1364">
        <f>BA14/AZ14</f>
        <v>2.7928122970339902E-2</v>
      </c>
      <c r="BC14" s="1373">
        <f>FACILITIES!$M$345</f>
        <v>1018</v>
      </c>
      <c r="BD14" s="1374">
        <f>FACILITIES!$M$357</f>
        <v>2</v>
      </c>
      <c r="BE14" s="1364">
        <f>BD14/BC14</f>
        <v>1.9646365422396855E-3</v>
      </c>
      <c r="BF14" s="1373">
        <f>FACILITIES!$M$365</f>
        <v>2010</v>
      </c>
      <c r="BG14" s="1374">
        <f>FACILITIES!$M$377</f>
        <v>40</v>
      </c>
      <c r="BH14" s="1364">
        <f t="shared" si="25"/>
        <v>1.9900497512437811E-2</v>
      </c>
      <c r="BI14" s="1368">
        <f>FACILITIES!$M$385</f>
        <v>6514</v>
      </c>
      <c r="BJ14" s="1361">
        <f>FACILITIES!$M$395</f>
        <v>24</v>
      </c>
      <c r="BK14" s="1364">
        <f t="shared" si="23"/>
        <v>3.68437212158428E-3</v>
      </c>
      <c r="BL14" s="1365">
        <f>FACILITIES!$M$405</f>
        <v>3873</v>
      </c>
      <c r="BM14" s="1361">
        <f>FACILITIES!$M$415</f>
        <v>41</v>
      </c>
      <c r="BN14" s="2018">
        <f t="shared" si="24"/>
        <v>1.0586108959462949E-2</v>
      </c>
    </row>
    <row r="15" spans="2:66" s="183" customFormat="1" ht="30" customHeight="1" thickBot="1">
      <c r="B15" s="1080" t="s">
        <v>277</v>
      </c>
      <c r="C15" s="1081">
        <f>SUM(C3:C14)</f>
        <v>736399</v>
      </c>
      <c r="D15" s="1081">
        <f>SUM(D3:D14)</f>
        <v>10945</v>
      </c>
      <c r="E15" s="1082">
        <f>D15/C15</f>
        <v>1.4862866462339031E-2</v>
      </c>
      <c r="F15" s="1082"/>
      <c r="G15" s="1081">
        <f>SUM(G3:G14)</f>
        <v>73616</v>
      </c>
      <c r="H15" s="1081">
        <f>SUM(H3:H14)</f>
        <v>1767</v>
      </c>
      <c r="I15" s="1082">
        <f>H15/G15</f>
        <v>2.4002934144751142E-2</v>
      </c>
      <c r="J15" s="1081">
        <f>SUM(J3:J14)</f>
        <v>87520</v>
      </c>
      <c r="K15" s="1081">
        <f>SUM(K3:K14)</f>
        <v>1681</v>
      </c>
      <c r="L15" s="1082">
        <f>K15/J15</f>
        <v>1.9207038391224864E-2</v>
      </c>
      <c r="M15" s="1081">
        <f>SUM(M3:M14)</f>
        <v>8386</v>
      </c>
      <c r="N15" s="1081">
        <f>SUM(N3:N14)</f>
        <v>128</v>
      </c>
      <c r="O15" s="1082">
        <f>N15/M15</f>
        <v>1.5263534462198903E-2</v>
      </c>
      <c r="P15" s="1081">
        <f>SUM(P3:P14)</f>
        <v>4786</v>
      </c>
      <c r="Q15" s="1081">
        <f>SUM(Q3:Q14)</f>
        <v>53</v>
      </c>
      <c r="R15" s="1082">
        <f>Q15/P15</f>
        <v>1.1073965733389051E-2</v>
      </c>
      <c r="S15" s="1081">
        <f>SUM(S3:S14)</f>
        <v>36826</v>
      </c>
      <c r="T15" s="1081">
        <f>SUM(T3:T14)</f>
        <v>482</v>
      </c>
      <c r="U15" s="1082">
        <f>T15/S15</f>
        <v>1.3088578721555423E-2</v>
      </c>
      <c r="V15" s="1081">
        <f>SUM(V3:V14)</f>
        <v>88997</v>
      </c>
      <c r="W15" s="1081">
        <f>SUM(W3:W14)</f>
        <v>612</v>
      </c>
      <c r="X15" s="1082">
        <f>W15/V15</f>
        <v>6.8766362911109359E-3</v>
      </c>
      <c r="Y15" s="1081">
        <f>SUM(Y3:Y14)</f>
        <v>6327</v>
      </c>
      <c r="Z15" s="1081">
        <f>SUM(Z3:Z14)</f>
        <v>34</v>
      </c>
      <c r="AA15" s="1082">
        <f>Z15/Y15</f>
        <v>5.3737948474790577E-3</v>
      </c>
      <c r="AB15" s="1081">
        <f>SUM(AB3:AB14)</f>
        <v>9668</v>
      </c>
      <c r="AC15" s="1081">
        <f>SUM(AC3:AC14)</f>
        <v>165</v>
      </c>
      <c r="AD15" s="1082">
        <f>AC15/AB15</f>
        <v>1.7066611501861811E-2</v>
      </c>
      <c r="AE15" s="1081">
        <f>SUM(AE3:AE14)</f>
        <v>47208</v>
      </c>
      <c r="AF15" s="1081">
        <f>SUM(AF3:AF14)</f>
        <v>969</v>
      </c>
      <c r="AG15" s="1082">
        <f>AF15/AE15</f>
        <v>2.0526182003050331E-2</v>
      </c>
      <c r="AH15" s="1081">
        <f>SUM(AH3:AH14)</f>
        <v>18372</v>
      </c>
      <c r="AI15" s="1081">
        <f>SUM(AI3:AI14)</f>
        <v>50</v>
      </c>
      <c r="AJ15" s="1082">
        <f>AI15/AH15</f>
        <v>2.7215327672545178E-3</v>
      </c>
      <c r="AK15" s="1081">
        <f>SUM(AK3:AK14)</f>
        <v>26770</v>
      </c>
      <c r="AL15" s="1081">
        <f>SUM(AL3:AL14)</f>
        <v>221</v>
      </c>
      <c r="AM15" s="1082">
        <f>AL15/AK15</f>
        <v>8.2555098991408289E-3</v>
      </c>
      <c r="AN15" s="1081">
        <f>SUM(AN3:AN14)</f>
        <v>50173</v>
      </c>
      <c r="AO15" s="1081">
        <f>SUM(AO3:AO14)</f>
        <v>1029</v>
      </c>
      <c r="AP15" s="1082">
        <f>AO15/AN15</f>
        <v>2.0509038726008011E-2</v>
      </c>
      <c r="AQ15" s="1081">
        <f>SUM(AQ3:AQ14)</f>
        <v>10590</v>
      </c>
      <c r="AR15" s="1081">
        <f>SUM(AR3:AR14)</f>
        <v>164</v>
      </c>
      <c r="AS15" s="1082">
        <f>AR15/AQ15</f>
        <v>1.5486307837582624E-2</v>
      </c>
      <c r="AT15" s="1081">
        <f>SUM(AT3:AT14)</f>
        <v>33303</v>
      </c>
      <c r="AU15" s="1081">
        <f>SUM(AU3:AU14)</f>
        <v>262</v>
      </c>
      <c r="AV15" s="1082">
        <f>AU15/AT15</f>
        <v>7.8671591147944624E-3</v>
      </c>
      <c r="AW15" s="1081">
        <f>SUM(AW3:AW14)</f>
        <v>10038</v>
      </c>
      <c r="AX15" s="1081">
        <f>SUM(AX3:AX14)</f>
        <v>1</v>
      </c>
      <c r="AY15" s="1082">
        <f>AX15/AW15</f>
        <v>9.9621438533572425E-5</v>
      </c>
      <c r="AZ15" s="1081">
        <f>SUM(AZ3:AZ14)</f>
        <v>58005</v>
      </c>
      <c r="BA15" s="1081">
        <f>SUM(BA3:BA14)</f>
        <v>1954</v>
      </c>
      <c r="BB15" s="1083">
        <f>BA15/AZ15</f>
        <v>3.3686751142142916E-2</v>
      </c>
      <c r="BC15" s="1081">
        <f>SUM(BC3:BC14)</f>
        <v>12067</v>
      </c>
      <c r="BD15" s="1081">
        <f>SUM(BD3:BD14)</f>
        <v>41</v>
      </c>
      <c r="BE15" s="1083">
        <f>BD15/BC15</f>
        <v>3.3976961962376732E-3</v>
      </c>
      <c r="BF15" s="1081">
        <f>SUM(BF3:BF14)</f>
        <v>25668</v>
      </c>
      <c r="BG15" s="1081">
        <f>SUM(BG3:BG14)</f>
        <v>447</v>
      </c>
      <c r="BH15" s="1083">
        <f t="shared" si="25"/>
        <v>1.7414679756895746E-2</v>
      </c>
      <c r="BI15" s="1081">
        <f>SUM(BI3:BI14)</f>
        <v>79626</v>
      </c>
      <c r="BJ15" s="1081">
        <f>SUM(BJ3:BJ14)</f>
        <v>477</v>
      </c>
      <c r="BK15" s="1083">
        <f t="shared" si="23"/>
        <v>5.9905056137442543E-3</v>
      </c>
      <c r="BL15" s="1081">
        <f>SUM(BL3:BL14)</f>
        <v>48453</v>
      </c>
      <c r="BM15" s="1081">
        <f>SUM(BM3:BM14)</f>
        <v>409</v>
      </c>
      <c r="BN15" s="1083">
        <f t="shared" si="24"/>
        <v>8.4411697934080442E-3</v>
      </c>
    </row>
    <row r="16" spans="2:66" ht="12" customHeight="1" thickTop="1" thickBot="1"/>
    <row r="17" spans="18:21" ht="39.950000000000003" customHeight="1" thickTop="1">
      <c r="R17" s="1574" t="s">
        <v>124</v>
      </c>
      <c r="S17" s="1575" t="s">
        <v>282</v>
      </c>
      <c r="T17" s="1576" t="s">
        <v>283</v>
      </c>
      <c r="U17" s="2777">
        <f>AVERAGE(AD15,AJ15,AS15,AY15,O15,R15)</f>
        <v>1.0285262290136746E-2</v>
      </c>
    </row>
    <row r="18" spans="18:21" ht="39.950000000000003" customHeight="1">
      <c r="R18" s="2413" t="s">
        <v>6</v>
      </c>
      <c r="S18" s="2414">
        <f>COUNTIF(I$3:I$14,"&gt;2%")</f>
        <v>6</v>
      </c>
      <c r="T18" s="1577"/>
    </row>
    <row r="19" spans="18:21" ht="39.950000000000003" customHeight="1">
      <c r="R19" s="2413" t="s">
        <v>29</v>
      </c>
      <c r="S19" s="2414">
        <f>COUNTIF(L$3:L$14,"&gt;2%")</f>
        <v>5</v>
      </c>
      <c r="T19" s="1577"/>
    </row>
    <row r="20" spans="18:21" ht="39.950000000000003" customHeight="1">
      <c r="R20" s="2413" t="s">
        <v>41</v>
      </c>
      <c r="S20" s="2414">
        <f>COUNTIF(O$3:O$14,"&gt;2%")</f>
        <v>1</v>
      </c>
      <c r="T20" s="1577"/>
    </row>
    <row r="21" spans="18:21" ht="39.950000000000003" customHeight="1">
      <c r="R21" s="2413" t="s">
        <v>9</v>
      </c>
      <c r="S21" s="2414">
        <f>COUNTIF(R$3:R$14,"&gt;2%")</f>
        <v>1</v>
      </c>
      <c r="T21" s="1577"/>
    </row>
    <row r="22" spans="18:21" ht="39.950000000000003" customHeight="1">
      <c r="R22" s="2413" t="s">
        <v>84</v>
      </c>
      <c r="S22" s="2414">
        <f>COUNTIF(U$3:U$14,"&gt;2%")</f>
        <v>0</v>
      </c>
      <c r="T22" s="1577"/>
    </row>
    <row r="23" spans="18:21" ht="39.950000000000003" customHeight="1">
      <c r="R23" s="2413" t="s">
        <v>28</v>
      </c>
      <c r="S23" s="2414">
        <f>COUNTIF(X$3:X$14,"&gt;2%")</f>
        <v>0</v>
      </c>
      <c r="T23" s="1577"/>
    </row>
    <row r="24" spans="18:21" ht="39.950000000000003" customHeight="1">
      <c r="R24" s="2413" t="s">
        <v>219</v>
      </c>
      <c r="S24" s="2414">
        <f>COUNTIF(AA$3:AA$14,"&gt;2%")</f>
        <v>0</v>
      </c>
      <c r="T24" s="1577"/>
    </row>
    <row r="25" spans="18:21" ht="39.950000000000003" customHeight="1">
      <c r="R25" s="2413" t="s">
        <v>372</v>
      </c>
      <c r="S25" s="2414">
        <f>COUNTIF(AD$3:AD$14,"&gt;2%")</f>
        <v>3</v>
      </c>
      <c r="T25" s="1577"/>
    </row>
    <row r="26" spans="18:21" ht="39.950000000000003" customHeight="1">
      <c r="R26" s="2413" t="s">
        <v>30</v>
      </c>
      <c r="S26" s="2414">
        <f>COUNTIF(AG$3:AG$14,"&gt;2%")</f>
        <v>5</v>
      </c>
      <c r="T26" s="1577"/>
    </row>
    <row r="27" spans="18:21" ht="39.950000000000003" customHeight="1">
      <c r="R27" s="2413" t="s">
        <v>314</v>
      </c>
      <c r="S27" s="2414">
        <f>COUNTIF(AJ$3:AJ$14,"&gt;2%")</f>
        <v>0</v>
      </c>
      <c r="T27" s="1578"/>
    </row>
    <row r="28" spans="18:21" ht="39.950000000000003" customHeight="1">
      <c r="R28" s="2413" t="s">
        <v>85</v>
      </c>
      <c r="S28" s="2414">
        <f>COUNTIF(AM$3:AM$14,"&gt;2%")</f>
        <v>0</v>
      </c>
      <c r="T28" s="1577"/>
    </row>
    <row r="29" spans="18:21" ht="39.950000000000003" customHeight="1">
      <c r="R29" s="2413" t="s">
        <v>638</v>
      </c>
      <c r="S29" s="2415">
        <f>COUNTIF(AP$3:AP$14,"&gt;2%")</f>
        <v>4</v>
      </c>
      <c r="T29" s="1577"/>
    </row>
    <row r="30" spans="18:21" ht="39.950000000000003" customHeight="1">
      <c r="R30" s="2413" t="s">
        <v>81</v>
      </c>
      <c r="S30" s="2414">
        <f>COUNTIF(AS$3:AS$14,"&gt;2%")</f>
        <v>2</v>
      </c>
      <c r="T30" s="1577"/>
    </row>
    <row r="31" spans="18:21" ht="39.950000000000003" customHeight="1">
      <c r="R31" s="2416" t="s">
        <v>378</v>
      </c>
      <c r="S31" s="2415">
        <f>COUNTIF(AV$3:AV$14,"&gt;2%")</f>
        <v>0</v>
      </c>
      <c r="T31" s="1579"/>
    </row>
    <row r="32" spans="18:21" ht="39.950000000000003" customHeight="1">
      <c r="R32" s="2416" t="s">
        <v>377</v>
      </c>
      <c r="S32" s="2415">
        <f>COUNTIF(BB$3:BB$14,"&gt;2%")</f>
        <v>12</v>
      </c>
      <c r="T32" s="1579"/>
    </row>
    <row r="33" spans="18:20" ht="39.950000000000003" customHeight="1">
      <c r="R33" s="2416" t="s">
        <v>634</v>
      </c>
      <c r="S33" s="2415">
        <f>COUNTIF(BE$3:BE$14,"&gt;2%")</f>
        <v>0</v>
      </c>
      <c r="T33" s="1579"/>
    </row>
    <row r="34" spans="18:20" ht="39.950000000000003" customHeight="1">
      <c r="R34" s="2416" t="s">
        <v>432</v>
      </c>
      <c r="S34" s="2415">
        <f>COUNTIF(BH3:BH14,"&gt;2%")</f>
        <v>1</v>
      </c>
      <c r="T34" s="1579"/>
    </row>
    <row r="35" spans="18:20" ht="39.950000000000003" customHeight="1" thickBot="1">
      <c r="R35" s="2417" t="s">
        <v>278</v>
      </c>
      <c r="S35" s="2418">
        <f>COUNTIF(E3:E14,"&gt;2%")</f>
        <v>0</v>
      </c>
      <c r="T35" s="1580"/>
    </row>
    <row r="36" spans="18:20" ht="39.950000000000003" customHeight="1" thickTop="1"/>
    <row r="37" spans="18:20" ht="39.950000000000003" customHeight="1"/>
    <row r="38" spans="18:20" ht="39.950000000000003" customHeight="1"/>
    <row r="39" spans="18:20" ht="30" customHeight="1"/>
    <row r="40" spans="18:20" ht="30" customHeight="1"/>
    <row r="41" spans="18:20" ht="30" customHeight="1"/>
    <row r="42" spans="18:20" ht="30" customHeight="1"/>
    <row r="43" spans="18:20" ht="30" customHeight="1"/>
    <row r="44" spans="18:20" ht="30" customHeight="1"/>
    <row r="45" spans="18:20" ht="30" customHeight="1"/>
    <row r="46" spans="18:20" ht="30" customHeight="1"/>
    <row r="47" spans="18:20" ht="30" customHeight="1"/>
    <row r="48" spans="18:20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</sheetData>
  <mergeCells count="23">
    <mergeCell ref="BL1:BN1"/>
    <mergeCell ref="BC1:BE1"/>
    <mergeCell ref="BF1:BH1"/>
    <mergeCell ref="BI1:BK1"/>
    <mergeCell ref="AT1:AV1"/>
    <mergeCell ref="AW1:AY1"/>
    <mergeCell ref="AZ1:BB1"/>
    <mergeCell ref="AN1:AP1"/>
    <mergeCell ref="AQ1:AS1"/>
    <mergeCell ref="AH1:AJ1"/>
    <mergeCell ref="P1:R1"/>
    <mergeCell ref="S1:U1"/>
    <mergeCell ref="AE1:AG1"/>
    <mergeCell ref="B1:B2"/>
    <mergeCell ref="C1:E1"/>
    <mergeCell ref="V1:X1"/>
    <mergeCell ref="Y1:AA1"/>
    <mergeCell ref="AK1:AM1"/>
    <mergeCell ref="Y9:AA9"/>
    <mergeCell ref="G1:I1"/>
    <mergeCell ref="J1:L1"/>
    <mergeCell ref="M1:O1"/>
    <mergeCell ref="AB1:AD1"/>
  </mergeCells>
  <conditionalFormatting sqref="AA10:AA14 F6:F14">
    <cfRule type="cellIs" dxfId="53" priority="21" operator="greaterThan">
      <formula>0.0205</formula>
    </cfRule>
  </conditionalFormatting>
  <printOptions horizontalCentered="1"/>
  <pageMargins left="0" right="0" top="0.5" bottom="0" header="0" footer="0"/>
  <pageSetup paperSize="5" scale="34" fitToWidth="2" fitToHeight="2" orientation="landscape" r:id="rId1"/>
  <ignoredErrors>
    <ignoredError sqref="AD15 U15 L15 E15 I15 R15 X15 BB15" formula="1"/>
  </ignoredErrors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first="1" last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LBBS!I3:I14</xm:f>
              <xm:sqref>T18</xm:sqref>
            </x14:sparkline>
            <x14:sparkline>
              <xm:f>LBBS!L3:L14</xm:f>
              <xm:sqref>T19</xm:sqref>
            </x14:sparkline>
            <x14:sparkline>
              <xm:f>LBBS!O3:O14</xm:f>
              <xm:sqref>T20</xm:sqref>
            </x14:sparkline>
            <x14:sparkline>
              <xm:f>LBBS!R3:R14</xm:f>
              <xm:sqref>T21</xm:sqref>
            </x14:sparkline>
            <x14:sparkline>
              <xm:f>LBBS!U3:U14</xm:f>
              <xm:sqref>T22</xm:sqref>
            </x14:sparkline>
            <x14:sparkline>
              <xm:f>LBBS!X3:X14</xm:f>
              <xm:sqref>T23</xm:sqref>
            </x14:sparkline>
            <x14:sparkline>
              <xm:f>LBBS!AA3:AA14</xm:f>
              <xm:sqref>T24</xm:sqref>
            </x14:sparkline>
            <x14:sparkline>
              <xm:f>LBBS!AD3:AD14</xm:f>
              <xm:sqref>T25</xm:sqref>
            </x14:sparkline>
            <x14:sparkline>
              <xm:f>LBBS!AG3:AG14</xm:f>
              <xm:sqref>T26</xm:sqref>
            </x14:sparkline>
            <x14:sparkline>
              <xm:f>LBBS!AJ3:AJ14</xm:f>
              <xm:sqref>T27</xm:sqref>
            </x14:sparkline>
            <x14:sparkline>
              <xm:f>LBBS!AM3:AM14</xm:f>
              <xm:sqref>T28</xm:sqref>
            </x14:sparkline>
            <x14:sparkline>
              <xm:f>LBBS!AP3:AP14</xm:f>
              <xm:sqref>T29</xm:sqref>
            </x14:sparkline>
            <x14:sparkline>
              <xm:f>LBBS!AS3:AS14</xm:f>
              <xm:sqref>T30</xm:sqref>
            </x14:sparkline>
            <x14:sparkline>
              <xm:f>LBBS!AV3:AV14</xm:f>
              <xm:sqref>T31</xm:sqref>
            </x14:sparkline>
            <x14:sparkline>
              <xm:f>LBBS!BB3:BB14</xm:f>
              <xm:sqref>T32</xm:sqref>
            </x14:sparkline>
            <x14:sparkline>
              <xm:f>LBBS!BE3:BE14</xm:f>
              <xm:sqref>T33</xm:sqref>
            </x14:sparkline>
            <x14:sparkline>
              <xm:f>LBBS!BH3:BH14</xm:f>
              <xm:sqref>T34</xm:sqref>
            </x14:sparkline>
            <x14:sparkline>
              <xm:f>LBBS!E3:E14</xm:f>
              <xm:sqref>T35</xm:sqref>
            </x14:sparkline>
          </x14:sparklines>
        </x14:sparklineGroup>
      </x14:sparklineGroup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6" tint="0.59999389629810485"/>
    <pageSetUpPr fitToPage="1"/>
  </sheetPr>
  <dimension ref="A17:W49"/>
  <sheetViews>
    <sheetView showGridLines="0" topLeftCell="A14" workbookViewId="0">
      <selection activeCell="C35" sqref="C35"/>
    </sheetView>
  </sheetViews>
  <sheetFormatPr defaultColWidth="9.140625" defaultRowHeight="15"/>
  <cols>
    <col min="1" max="14" width="12.7109375" style="23" customWidth="1"/>
    <col min="15" max="16" width="14.42578125" style="23" customWidth="1"/>
    <col min="17" max="19" width="12.7109375" style="23" customWidth="1"/>
    <col min="20" max="20" width="10.42578125" style="23" customWidth="1"/>
    <col min="21" max="21" width="10.28515625" style="23" customWidth="1"/>
    <col min="22" max="22" width="10.85546875" style="23" customWidth="1"/>
    <col min="23" max="16384" width="9.140625" style="23"/>
  </cols>
  <sheetData>
    <row r="17" spans="1:23" ht="24.95" customHeight="1">
      <c r="B17" s="183"/>
    </row>
    <row r="18" spans="1:23" ht="20.100000000000001" customHeight="1" thickBot="1">
      <c r="A18" s="3021" t="s">
        <v>279</v>
      </c>
      <c r="B18" s="3022"/>
    </row>
    <row r="19" spans="1:23" s="4" customFormat="1" ht="31.5" thickTop="1" thickBot="1">
      <c r="A19" s="1379" t="s">
        <v>276</v>
      </c>
      <c r="B19" s="1380" t="s">
        <v>293</v>
      </c>
      <c r="C19" s="1381" t="s">
        <v>275</v>
      </c>
      <c r="D19" s="1381" t="s">
        <v>29</v>
      </c>
      <c r="E19" s="1381" t="s">
        <v>41</v>
      </c>
      <c r="F19" s="1381" t="s">
        <v>9</v>
      </c>
      <c r="G19" s="1381" t="s">
        <v>474</v>
      </c>
      <c r="H19" s="1381" t="s">
        <v>476</v>
      </c>
      <c r="I19" s="1381" t="s">
        <v>477</v>
      </c>
      <c r="J19" s="1381" t="s">
        <v>478</v>
      </c>
      <c r="K19" s="1381" t="s">
        <v>479</v>
      </c>
      <c r="L19" s="1381" t="s">
        <v>480</v>
      </c>
      <c r="M19" s="1381" t="s">
        <v>490</v>
      </c>
      <c r="N19" s="1381" t="s">
        <v>488</v>
      </c>
      <c r="O19" s="1381" t="s">
        <v>487</v>
      </c>
      <c r="P19" s="1381" t="s">
        <v>473</v>
      </c>
      <c r="Q19" s="1381" t="s">
        <v>468</v>
      </c>
      <c r="R19" s="1381" t="s">
        <v>491</v>
      </c>
      <c r="S19" s="1381" t="s">
        <v>470</v>
      </c>
      <c r="T19" s="1381" t="s">
        <v>471</v>
      </c>
      <c r="U19" s="1381" t="s">
        <v>472</v>
      </c>
      <c r="V19" s="1381" t="s">
        <v>486</v>
      </c>
      <c r="W19" s="1382" t="s">
        <v>489</v>
      </c>
    </row>
    <row r="20" spans="1:23" ht="18" customHeight="1" thickTop="1">
      <c r="A20" s="1375">
        <v>42370</v>
      </c>
      <c r="B20" s="1376">
        <f>AVERAGE(C20,D20,E20,F20,G20,H20,J20,K20,L20,M20,N20,P20,Q20,R20,S20,T20,U20,V20,W20)</f>
        <v>0.20909871511448574</v>
      </c>
      <c r="C20" s="1010">
        <f>FACILITIES!B$210</f>
        <v>0.38817246320177151</v>
      </c>
      <c r="D20" s="1010">
        <f>FACILITIES!B$50</f>
        <v>0.4002661343978709</v>
      </c>
      <c r="E20" s="1010">
        <f>FACILITIES!B$70</f>
        <v>0.11587485515643106</v>
      </c>
      <c r="F20" s="1377">
        <f>FACILITIES!B$90</f>
        <v>2.7718550106609809E-2</v>
      </c>
      <c r="G20" s="1010">
        <f>FACILITIES!B$170</f>
        <v>0.19559902200488999</v>
      </c>
      <c r="H20" s="1010">
        <f>FACILITIES!B$10</f>
        <v>0.21156390579518392</v>
      </c>
      <c r="I20" s="1010">
        <f>FACILITIES!B$230</f>
        <v>0.11979695431472082</v>
      </c>
      <c r="J20" s="1010">
        <f>FACILITIES!B270</f>
        <v>8.1930415263748599E-2</v>
      </c>
      <c r="K20" s="1010">
        <f>FACILITIES!B$110</f>
        <v>0.26024955436720143</v>
      </c>
      <c r="L20" s="1378">
        <f>FACILITIES!B250</f>
        <v>0.19375812743823148</v>
      </c>
      <c r="M20" s="1010">
        <f>FACILITIES!B150</f>
        <v>0.18595641646489103</v>
      </c>
      <c r="N20" s="1010">
        <f>FACILITIES!B$130</f>
        <v>0.1268235294117647</v>
      </c>
      <c r="O20" s="1127"/>
      <c r="P20" s="1010">
        <f>FACILITIES!B190</f>
        <v>0.52100000000000002</v>
      </c>
      <c r="Q20" s="1009">
        <f>FACILITIES!B290</f>
        <v>0.21601058551108171</v>
      </c>
      <c r="R20" s="1009">
        <f>FACILITIES!B310</f>
        <v>0.12640801001251564</v>
      </c>
      <c r="S20" s="1009">
        <f>FACILITIES!B330</f>
        <v>0.27041111754487551</v>
      </c>
      <c r="T20" s="2140">
        <f>FACILITIES!B350</f>
        <v>2.5247971145175834E-2</v>
      </c>
      <c r="U20" s="2141">
        <f>FACILITIES!B370</f>
        <v>5.5767397521448998E-2</v>
      </c>
      <c r="V20" s="2141">
        <f>FACILITIES!B390</f>
        <v>0.28999999999999998</v>
      </c>
      <c r="W20" s="2142">
        <f>FACILITIES!B410</f>
        <v>0.2801175318315377</v>
      </c>
    </row>
    <row r="21" spans="1:23" ht="18" customHeight="1">
      <c r="A21" s="431">
        <v>42401</v>
      </c>
      <c r="B21" s="889">
        <f t="shared" ref="B21:B31" si="0">AVERAGE(C21,D21,E21,F21,G21,H21,J21,K21,L21,M21,N21,P21,Q21,R21,S21,T21,U21,V21,W21)</f>
        <v>0.19996355925965145</v>
      </c>
      <c r="C21" s="890">
        <f>FACILITIES!C$210</f>
        <v>0.37331292611659944</v>
      </c>
      <c r="D21" s="890">
        <f>FACILITIES!C$50</f>
        <v>0.38243967828418229</v>
      </c>
      <c r="E21" s="890">
        <f>FACILITIES!C$70</f>
        <v>0.10640870616686819</v>
      </c>
      <c r="F21" s="891">
        <f>FACILITIES!C$90</f>
        <v>1.9920318725099601E-3</v>
      </c>
      <c r="G21" s="890">
        <f>FACILITIES!C$170</f>
        <v>0.17258883248730963</v>
      </c>
      <c r="H21" s="890">
        <f>FACILITIES!C$10</f>
        <v>0.17105263157894737</v>
      </c>
      <c r="I21" s="2159">
        <f>FACILITIES!C$230</f>
        <v>0.1242544731610338</v>
      </c>
      <c r="J21" s="890">
        <f>FACILITIES!C270</f>
        <v>8.6705202312138727E-2</v>
      </c>
      <c r="K21" s="890">
        <f>FACILITIES!C$110</f>
        <v>0.27371777836832317</v>
      </c>
      <c r="L21" s="888">
        <f>FACILITIES!C250</f>
        <v>0.19647696476964768</v>
      </c>
      <c r="M21" s="890">
        <f>FACILITIES!C150</f>
        <v>0.18427069044352995</v>
      </c>
      <c r="N21" s="890">
        <f>FACILITIES!C$130</f>
        <v>0.11687087653157399</v>
      </c>
      <c r="O21" s="1127"/>
      <c r="P21" s="890">
        <f>FACILITIES!C190</f>
        <v>0.50340136054421769</v>
      </c>
      <c r="Q21" s="887">
        <f>FACILITIES!C290</f>
        <v>0.21743772241992881</v>
      </c>
      <c r="R21" s="1896">
        <f>FACILITIES!C310</f>
        <v>0.1488862837045721</v>
      </c>
      <c r="S21" s="887">
        <f>FACILITIES!C330</f>
        <v>0.24158265170249191</v>
      </c>
      <c r="T21" s="2143">
        <f>FACILITIES!C350</f>
        <v>2.9532403609515995E-2</v>
      </c>
      <c r="U21" s="898">
        <f>FACILITIES!C370</f>
        <v>5.2610114192495921E-2</v>
      </c>
      <c r="V21" s="2144">
        <f>FACILITIES!C390</f>
        <v>0.27</v>
      </c>
      <c r="W21" s="2145">
        <f>FACILITIES!C410</f>
        <v>0.27002077082852527</v>
      </c>
    </row>
    <row r="22" spans="1:23" ht="18" customHeight="1">
      <c r="A22" s="431">
        <v>42430</v>
      </c>
      <c r="B22" s="1376">
        <f t="shared" si="0"/>
        <v>0.19745818300949025</v>
      </c>
      <c r="C22" s="890">
        <f>FACILITIES!D$210</f>
        <v>0.36155202821869487</v>
      </c>
      <c r="D22" s="1009">
        <f>FACILITIES!D$50</f>
        <v>0.37470869618545322</v>
      </c>
      <c r="E22" s="890">
        <f>FACILITIES!D$70</f>
        <v>9.1811414392059559E-2</v>
      </c>
      <c r="F22" s="891">
        <f>FACILITIES!D$90</f>
        <v>1.4010507880910683E-2</v>
      </c>
      <c r="G22" s="890">
        <f>FACILITIES!D$170</f>
        <v>0.17976318622174381</v>
      </c>
      <c r="H22" s="1009">
        <f>FACILITIES!D$10</f>
        <v>0.2109709662065683</v>
      </c>
      <c r="I22" s="2163">
        <f>FACILITIES!D$230</f>
        <v>0.12039532794249776</v>
      </c>
      <c r="J22" s="1009">
        <f>FACILITIES!D270</f>
        <v>6.6933066933066929E-2</v>
      </c>
      <c r="K22" s="1009">
        <f>FACILITIES!D$110</f>
        <v>0.26059322033898308</v>
      </c>
      <c r="L22" s="888">
        <f>FACILITIES!D250</f>
        <v>0.18023255813953487</v>
      </c>
      <c r="M22" s="1009">
        <f>FACILITIES!D150</f>
        <v>0.19277632724107921</v>
      </c>
      <c r="N22" s="1009">
        <f>FACILITIES!D$130</f>
        <v>0.1173161075224005</v>
      </c>
      <c r="O22" s="1127"/>
      <c r="P22" s="1009">
        <f>FACILITIES!D190</f>
        <v>0.50549450549450547</v>
      </c>
      <c r="Q22" s="887">
        <f>FACILITIES!D290</f>
        <v>0.19735391400220506</v>
      </c>
      <c r="R22" s="1896">
        <f>FACILITIES!D310</f>
        <v>0.12693156732891833</v>
      </c>
      <c r="S22" s="887">
        <f>FACILITIES!D330</f>
        <v>0.25412186379928314</v>
      </c>
      <c r="T22" s="2143">
        <f>FACILITIES!D350</f>
        <v>1.1059907834101382E-2</v>
      </c>
      <c r="U22" s="898">
        <f>FACILITIES!D370</f>
        <v>6.6240120436582617E-2</v>
      </c>
      <c r="V22" s="2144">
        <f>FACILITIES!D390</f>
        <v>0.28000000000000003</v>
      </c>
      <c r="W22" s="2145">
        <f>FACILITIES!D410</f>
        <v>0.25983551900422314</v>
      </c>
    </row>
    <row r="23" spans="1:23" ht="18" customHeight="1">
      <c r="A23" s="431">
        <v>42461</v>
      </c>
      <c r="B23" s="889">
        <f t="shared" si="0"/>
        <v>0.20087018365920137</v>
      </c>
      <c r="C23" s="1010">
        <f>FACILITIES!E$210</f>
        <v>0.37457185915878888</v>
      </c>
      <c r="D23" s="1009">
        <f>FACILITIES!E$50</f>
        <v>0.37493246893571042</v>
      </c>
      <c r="E23" s="890">
        <f>FACILITIES!E$70</f>
        <v>0.1051912568306011</v>
      </c>
      <c r="F23" s="891">
        <f>FACILITIES!E$90</f>
        <v>1.1574074074074073E-2</v>
      </c>
      <c r="G23" s="1010">
        <f>FACILITIES!E$170</f>
        <v>0.2107329842931937</v>
      </c>
      <c r="H23" s="1009">
        <f>FACILITIES!E$10</f>
        <v>0.21616964877402253</v>
      </c>
      <c r="I23" s="2163">
        <f>FACILITIES!E$230</f>
        <v>0.11531531531531532</v>
      </c>
      <c r="J23" s="1009">
        <f>FACILITIES!E270</f>
        <v>8.2604470359572399E-2</v>
      </c>
      <c r="K23" s="1009">
        <f>FACILITIES!E$110</f>
        <v>0.26195372750642676</v>
      </c>
      <c r="L23" s="888">
        <f>FACILITIES!E250</f>
        <v>0.18763636363636363</v>
      </c>
      <c r="M23" s="1009">
        <f>FACILITIES!E150</f>
        <v>0.17512574302697759</v>
      </c>
      <c r="N23" s="1009">
        <f>FACILITIES!E$130</f>
        <v>0.13123419903470468</v>
      </c>
      <c r="O23" s="1127"/>
      <c r="P23" s="1009">
        <f>FACILITIES!E190</f>
        <v>0.49738219895287961</v>
      </c>
      <c r="Q23" s="887">
        <f>FACILITIES!E290</f>
        <v>0.2045237336731443</v>
      </c>
      <c r="R23" s="1896">
        <f>FACILITIES!E310</f>
        <v>0.10722891566265061</v>
      </c>
      <c r="S23" s="887">
        <f>FACILITIES!E330</f>
        <v>0.27075176194205169</v>
      </c>
      <c r="T23" s="2143">
        <f>FACILITIES!E350</f>
        <v>1.6869728209934397E-2</v>
      </c>
      <c r="U23" s="898">
        <f>FACILITIES!E370</f>
        <v>5.7932263814616754E-2</v>
      </c>
      <c r="V23" s="2144">
        <f>FACILITIES!E390</f>
        <v>0.28000000000000003</v>
      </c>
      <c r="W23" s="2145">
        <f>FACILITIES!E410</f>
        <v>0.25011809163911197</v>
      </c>
    </row>
    <row r="24" spans="1:23" ht="18" customHeight="1">
      <c r="A24" s="431">
        <v>42491</v>
      </c>
      <c r="B24" s="1376">
        <f t="shared" si="0"/>
        <v>0.19996208088249093</v>
      </c>
      <c r="C24" s="890">
        <f>FACILITIES!F$210</f>
        <v>0.37024128686327079</v>
      </c>
      <c r="D24" s="1010">
        <f>FACILITIES!F$50</f>
        <v>0.38567683179246587</v>
      </c>
      <c r="E24" s="1010">
        <f>FACILITIES!F$70</f>
        <v>8.6743044189852694E-2</v>
      </c>
      <c r="F24" s="1377">
        <f>FACILITIES!F$90</f>
        <v>2.6785714285714284E-2</v>
      </c>
      <c r="G24" s="890">
        <f>FACILITIES!F$170</f>
        <v>0.18548387096774194</v>
      </c>
      <c r="H24" s="1010">
        <f>FACILITIES!F$10</f>
        <v>0.23721408378308917</v>
      </c>
      <c r="I24" s="1010">
        <f>FACILITIES!F$230</f>
        <v>0.1111111111111111</v>
      </c>
      <c r="J24" s="1010">
        <f>FACILITIES!F270</f>
        <v>7.5854700854700849E-2</v>
      </c>
      <c r="K24" s="1010">
        <f>FACILITIES!F$110</f>
        <v>0.26337662337662338</v>
      </c>
      <c r="L24" s="1378">
        <f>FACILITIES!F250</f>
        <v>0.17558212712397733</v>
      </c>
      <c r="M24" s="1010">
        <f>FACILITIES!F150</f>
        <v>0.18664226898444647</v>
      </c>
      <c r="N24" s="1010">
        <f>FACILITIES!F$130</f>
        <v>0.132316773241515</v>
      </c>
      <c r="O24" s="1127"/>
      <c r="P24" s="1010">
        <f>FACILITIES!F190</f>
        <v>0.49835345773874862</v>
      </c>
      <c r="Q24" s="1009">
        <f>FACILITIES!F290</f>
        <v>0.19596827495042962</v>
      </c>
      <c r="R24" s="1009">
        <f>FACILITIES!F310</f>
        <v>0.12485939257592801</v>
      </c>
      <c r="S24" s="1009">
        <f>FACILITIES!F330</f>
        <v>0.28260431364644223</v>
      </c>
      <c r="T24" s="2140">
        <f>FACILITIES!F350</f>
        <v>1.7391304347826087E-2</v>
      </c>
      <c r="U24" s="2141">
        <f>FACILITIES!F370</f>
        <v>5.4256726951918834E-2</v>
      </c>
      <c r="V24" s="2141">
        <f>FACILITIES!F390</f>
        <v>0.27</v>
      </c>
      <c r="W24" s="2142">
        <f>FACILITIES!F410</f>
        <v>0.22992874109263658</v>
      </c>
    </row>
    <row r="25" spans="1:23" ht="18" customHeight="1">
      <c r="A25" s="431">
        <v>42522</v>
      </c>
      <c r="B25" s="889">
        <f t="shared" si="0"/>
        <v>0.21235443091247264</v>
      </c>
      <c r="C25" s="890">
        <f>FACILITIES!G$210</f>
        <v>0.3865921787709497</v>
      </c>
      <c r="D25" s="890">
        <f>FACILITIES!G$50</f>
        <v>0.38137032842582108</v>
      </c>
      <c r="E25" s="890">
        <f>FACILITIES!G$70</f>
        <v>8.5858585858585856E-2</v>
      </c>
      <c r="F25" s="891">
        <f>FACILITIES!G$90</f>
        <v>2.5974025974025976E-2</v>
      </c>
      <c r="G25" s="890">
        <f>FACILITIES!G$170</f>
        <v>0.19121813031161472</v>
      </c>
      <c r="H25" s="890">
        <f>FACILITIES!G$10</f>
        <v>0.25109170305676853</v>
      </c>
      <c r="I25" s="2159">
        <f>FACILITIES!G$230</f>
        <v>0.12109375</v>
      </c>
      <c r="J25" s="890">
        <f>FACILITIES!G270</f>
        <v>9.2879256965944276E-2</v>
      </c>
      <c r="K25" s="890">
        <f>FACILITIES!G$110</f>
        <v>0.27657830008198964</v>
      </c>
      <c r="L25" s="888">
        <f>FACILITIES!G250</f>
        <v>0.18036966220522627</v>
      </c>
      <c r="M25" s="890">
        <f>FACILITIES!G150</f>
        <v>0.18376652986776107</v>
      </c>
      <c r="N25" s="890">
        <f>FACILITIES!G$130</f>
        <v>0.14584436209634727</v>
      </c>
      <c r="O25" s="1127"/>
      <c r="P25" s="890">
        <f>FACILITIES!G190</f>
        <v>0.54741896758703479</v>
      </c>
      <c r="Q25" s="887">
        <f>FACILITIES!G290</f>
        <v>0.2289156626506024</v>
      </c>
      <c r="R25" s="1896">
        <f>FACILITIES!G$310</f>
        <v>0.13740458015267176</v>
      </c>
      <c r="S25" s="887">
        <f>FACILITIES!G330</f>
        <v>0.30045821514291948</v>
      </c>
      <c r="T25" s="2143">
        <f>FACILITIES!G350</f>
        <v>3.0339805825242719E-2</v>
      </c>
      <c r="U25" s="898">
        <f>FACILITIES!G370</f>
        <v>7.8696741854636598E-2</v>
      </c>
      <c r="V25" s="2144">
        <f>FACILITIES!G390</f>
        <v>0.27</v>
      </c>
      <c r="W25" s="2145">
        <f>FACILITIES!G410</f>
        <v>0.2399571505088377</v>
      </c>
    </row>
    <row r="26" spans="1:23" ht="18" customHeight="1">
      <c r="A26" s="431">
        <v>42552</v>
      </c>
      <c r="B26" s="1376">
        <f t="shared" si="0"/>
        <v>0.20927528292033407</v>
      </c>
      <c r="C26" s="1010">
        <f>FACILITIES!H$210</f>
        <v>0.38249351358732758</v>
      </c>
      <c r="D26" s="890">
        <f>FACILITIES!H$50</f>
        <v>0.37435323730946723</v>
      </c>
      <c r="E26" s="890">
        <f>FACILITIES!H$70</f>
        <v>0.11733800350262696</v>
      </c>
      <c r="F26" s="891">
        <f>FACILITIES!H$90</f>
        <v>1.6339869281045753E-2</v>
      </c>
      <c r="G26" s="1010">
        <f>FACILITIES!H$170</f>
        <v>0.17054819061268361</v>
      </c>
      <c r="H26" s="1009">
        <f>FACILITIES!H$10</f>
        <v>0.25629776393999432</v>
      </c>
      <c r="I26" s="2163">
        <f>FACILITIES!H$230</f>
        <v>0</v>
      </c>
      <c r="J26" s="1009">
        <f>FACILITIES!H270</f>
        <v>7.7720207253886009E-2</v>
      </c>
      <c r="K26" s="1009">
        <f>FACILITIES!H$110</f>
        <v>0.2523006134969325</v>
      </c>
      <c r="L26" s="888">
        <f>FACILITIES!H250</f>
        <v>0.17602996254681649</v>
      </c>
      <c r="M26" s="1009">
        <f>FACILITIES!H150</f>
        <v>0.17756584922797458</v>
      </c>
      <c r="N26" s="1009">
        <f>FACILITIES!H$130</f>
        <v>0.16274360921285749</v>
      </c>
      <c r="O26" s="1127"/>
      <c r="P26" s="1009">
        <f>FACILITIES!H190</f>
        <v>0.52652005174644245</v>
      </c>
      <c r="Q26" s="887">
        <f>FACILITIES!H290</f>
        <v>0.21346886912325286</v>
      </c>
      <c r="R26" s="1896">
        <f>FACILITIES!H$310</f>
        <v>0.13867822318526543</v>
      </c>
      <c r="S26" s="887">
        <f>FACILITIES!H330</f>
        <v>0.31675560298826039</v>
      </c>
      <c r="T26" s="2143">
        <f>FACILITIES!H350</f>
        <v>3.4059945504087197E-2</v>
      </c>
      <c r="U26" s="898">
        <f>FACILITIES!H370</f>
        <v>7.3463268365817097E-2</v>
      </c>
      <c r="V26" s="2144">
        <f>FACILITIES!H$390</f>
        <v>0.27</v>
      </c>
      <c r="W26" s="2145">
        <f>FACILITIES!H$410</f>
        <v>0.23955359460160913</v>
      </c>
    </row>
    <row r="27" spans="1:23" ht="18" customHeight="1">
      <c r="A27" s="431">
        <v>42583</v>
      </c>
      <c r="B27" s="1376">
        <f t="shared" si="0"/>
        <v>0.21104725389427581</v>
      </c>
      <c r="C27" s="1010">
        <f>FACILITIES!I$210</f>
        <v>0.390125173852573</v>
      </c>
      <c r="D27" s="890">
        <f>FACILITIES!I$50</f>
        <v>0.38346077598414047</v>
      </c>
      <c r="E27" s="890">
        <f>FACILITIES!I$70</f>
        <v>0.13013698630136986</v>
      </c>
      <c r="F27" s="891">
        <f>FACILITIES!I$90</f>
        <v>3.6101083032490974E-2</v>
      </c>
      <c r="G27" s="1010">
        <f>FACILITIES!I$170</f>
        <v>0.18392031305585202</v>
      </c>
      <c r="H27" s="1009">
        <f>FACILITIES!I$10</f>
        <v>0.26055718475073314</v>
      </c>
      <c r="I27" s="2160"/>
      <c r="J27" s="1009">
        <f>FACILITIES!I$270</f>
        <v>7.3746312684365781E-2</v>
      </c>
      <c r="K27" s="1009">
        <f>FACILITIES!I$110</f>
        <v>0.25625806451612904</v>
      </c>
      <c r="L27" s="888">
        <f>FACILITIES!I$250</f>
        <v>0.17718291905672404</v>
      </c>
      <c r="M27" s="1009">
        <f>FACILITIES!I$150</f>
        <v>0.16986644407345575</v>
      </c>
      <c r="N27" s="1009">
        <f>FACILITIES!I$130</f>
        <v>0.14949840959138733</v>
      </c>
      <c r="O27" s="1127"/>
      <c r="P27" s="1009">
        <f>FACILITIES!I$190</f>
        <v>0.54707985697258643</v>
      </c>
      <c r="Q27" s="887">
        <f>FACILITIES!I$290</f>
        <v>0.21355824315722469</v>
      </c>
      <c r="R27" s="1896">
        <f>FACILITIES!I$310</f>
        <v>9.518828451882845E-2</v>
      </c>
      <c r="S27" s="887">
        <f>FACILITIES!I$330</f>
        <v>0.329957805907173</v>
      </c>
      <c r="T27" s="2143">
        <f>FACILITIES!I$350</f>
        <v>4.0042149631190724E-2</v>
      </c>
      <c r="U27" s="898">
        <f>FACILITIES!I$370</f>
        <v>6.9169960474308304E-2</v>
      </c>
      <c r="V27" s="2144">
        <f>FACILITIES!I$390</f>
        <v>0.27</v>
      </c>
      <c r="W27" s="2145">
        <f>FACILITIES!I$410</f>
        <v>0.23404785643070788</v>
      </c>
    </row>
    <row r="28" spans="1:23" ht="18" customHeight="1">
      <c r="A28" s="431">
        <v>42614</v>
      </c>
      <c r="B28" s="1376">
        <f t="shared" si="0"/>
        <v>0.20865325049093053</v>
      </c>
      <c r="C28" s="890">
        <f>FACILITIES!J$210</f>
        <v>0.38738738738738737</v>
      </c>
      <c r="D28" s="890">
        <f>FACILITIES!J$50</f>
        <v>0.37923344947735194</v>
      </c>
      <c r="E28" s="890">
        <f>FACILITIES!J$70</f>
        <v>0.12093862815884476</v>
      </c>
      <c r="F28" s="891">
        <f>FACILITIES!J$90</f>
        <v>1.4492753623188406E-2</v>
      </c>
      <c r="G28" s="890">
        <f>FACILITIES!J$170</f>
        <v>0.2723607038123167</v>
      </c>
      <c r="H28" s="890">
        <f>FACILITIES!J$10</f>
        <v>0.21086692732910881</v>
      </c>
      <c r="I28" s="1127"/>
      <c r="J28" s="1009">
        <f>FACILITIES!J$270</f>
        <v>8.0416272469252606E-2</v>
      </c>
      <c r="K28" s="1009">
        <f>FACILITIES!J$110</f>
        <v>0.26072607260726072</v>
      </c>
      <c r="L28" s="888">
        <f>FACILITIES!J$250</f>
        <v>0.18617021276595744</v>
      </c>
      <c r="M28" s="1009">
        <f>FACILITIES!J$150</f>
        <v>0.17188188629352139</v>
      </c>
      <c r="N28" s="1009">
        <f>FACILITIES!J$130</f>
        <v>0.14369501466275661</v>
      </c>
      <c r="O28" s="1127"/>
      <c r="P28" s="1009">
        <f>FACILITIES!J$190</f>
        <v>0.49568434032059189</v>
      </c>
      <c r="Q28" s="887">
        <f>FACILITIES!J$290</f>
        <v>0.21023824855119125</v>
      </c>
      <c r="R28" s="1896">
        <f>FACILITIES!J$310</f>
        <v>8.6242299794661192E-2</v>
      </c>
      <c r="S28" s="887">
        <f>FACILITIES!J$330</f>
        <v>0.29901741849039748</v>
      </c>
      <c r="T28" s="2143">
        <f>FACILITIES!J$350</f>
        <v>5.1707317073170729E-2</v>
      </c>
      <c r="U28" s="898">
        <f>FACILITIES!J$370</f>
        <v>6.3352826510721244E-2</v>
      </c>
      <c r="V28" s="2144">
        <f>FACILITIES!J$390</f>
        <v>0.28000000000000003</v>
      </c>
      <c r="W28" s="2145">
        <f>FACILITIES!J$410</f>
        <v>0.25</v>
      </c>
    </row>
    <row r="29" spans="1:23" ht="18" customHeight="1">
      <c r="A29" s="431">
        <v>42644</v>
      </c>
      <c r="B29" s="1376">
        <f t="shared" si="0"/>
        <v>0.21178113149336583</v>
      </c>
      <c r="C29" s="890">
        <f>FACILITIES!K$210</f>
        <v>0.37868006139249338</v>
      </c>
      <c r="D29" s="890">
        <f>FACILITIES!K$50</f>
        <v>0.3717786227291931</v>
      </c>
      <c r="E29" s="890">
        <f>FACILITIES!K$70</f>
        <v>9.9518459069020862E-2</v>
      </c>
      <c r="F29" s="891">
        <f>FACILITIES!K$90</f>
        <v>2.9069767441860465E-3</v>
      </c>
      <c r="G29" s="890">
        <f>FACILITIES!K$170</f>
        <v>0.18943206326383896</v>
      </c>
      <c r="H29" s="890">
        <f>FACILITIES!K$10</f>
        <v>0.25336354623990937</v>
      </c>
      <c r="I29" s="1127"/>
      <c r="J29" s="1009">
        <f>FACILITIES!K$270</f>
        <v>7.9957356076759065E-2</v>
      </c>
      <c r="K29" s="1009">
        <f>FACILITIES!K$110</f>
        <v>0.27291037260825779</v>
      </c>
      <c r="L29" s="888">
        <f>FACILITIES!K$250</f>
        <v>0.18615591397849462</v>
      </c>
      <c r="M29" s="1009">
        <f>FACILITIES!K$150</f>
        <v>0.17789520035226772</v>
      </c>
      <c r="N29" s="1009">
        <f>FACILITIES!K$130</f>
        <v>0.16231811339688912</v>
      </c>
      <c r="O29" s="1127"/>
      <c r="P29" s="1009">
        <f>FACILITIES!K$190</f>
        <v>0.53074027603513174</v>
      </c>
      <c r="Q29" s="887">
        <f>FACILITIES!K$290</f>
        <v>0.21914357682619648</v>
      </c>
      <c r="R29" s="1896">
        <f>FACILITIES!K$310</f>
        <v>0.11238095238095239</v>
      </c>
      <c r="S29" s="887">
        <f>FACILITIES!K$330</f>
        <v>0.32400555041628121</v>
      </c>
      <c r="T29" s="2143">
        <f>FACILITIES!K$350</f>
        <v>6.4165844027640667E-2</v>
      </c>
      <c r="U29" s="898">
        <f>FACILITIES!K$370</f>
        <v>5.848861283643892E-2</v>
      </c>
      <c r="V29" s="2144">
        <f>FACILITIES!K$390</f>
        <v>0.28999999999999998</v>
      </c>
      <c r="W29" s="2145">
        <f>FACILITIES!K$410</f>
        <v>0.25</v>
      </c>
    </row>
    <row r="30" spans="1:23" ht="18" customHeight="1">
      <c r="A30" s="431">
        <v>42675</v>
      </c>
      <c r="B30" s="1376">
        <f t="shared" si="0"/>
        <v>0.20860209535079294</v>
      </c>
      <c r="C30" s="890" t="s">
        <v>766</v>
      </c>
      <c r="D30" s="890">
        <f>FACILITIES!L$50</f>
        <v>0.38589873784999273</v>
      </c>
      <c r="E30" s="890">
        <f>FACILITIES!L$70</f>
        <v>8.2278481012658222E-2</v>
      </c>
      <c r="F30" s="891">
        <f>FACILITIES!L$90</f>
        <v>1.9067796610169493E-2</v>
      </c>
      <c r="G30" s="890">
        <f>FACILITIES!L$170</f>
        <v>0.19686069326357097</v>
      </c>
      <c r="H30" s="890">
        <f>FACILITIES!L$10</f>
        <v>0.26083876452252763</v>
      </c>
      <c r="I30" s="1127"/>
      <c r="J30" s="1009" t="s">
        <v>766</v>
      </c>
      <c r="K30" s="1009">
        <f>FACILITIES!L$110</f>
        <v>0.27146056232893756</v>
      </c>
      <c r="L30" s="888">
        <f>FACILITIES!L$250</f>
        <v>0.17916666666666667</v>
      </c>
      <c r="M30" s="1009">
        <f>FACILITIES!L$150</f>
        <v>0.17647058823529413</v>
      </c>
      <c r="N30" s="1009">
        <f>FACILITIES!L$130</f>
        <v>0.15652379824769122</v>
      </c>
      <c r="O30" s="1127"/>
      <c r="P30" s="1009">
        <f>FACILITIES!L$190</f>
        <v>0.53703703703703709</v>
      </c>
      <c r="Q30" s="887">
        <f>FACILITIES!L$290</f>
        <v>0.20833333333333334</v>
      </c>
      <c r="R30" s="1896">
        <f>FACILITIES!L$310</f>
        <v>0.11689691817215728</v>
      </c>
      <c r="S30" s="887">
        <f>FACILITIES!L$330</f>
        <v>0.311873468478503</v>
      </c>
      <c r="T30" s="2143">
        <f>FACILITIES!L$350</f>
        <v>5.2578361981799798E-2</v>
      </c>
      <c r="U30" s="898">
        <f>FACILITIES!L$370</f>
        <v>6.0950413223140494E-2</v>
      </c>
      <c r="V30" s="2144">
        <f>FACILITIES!L$390</f>
        <v>0.28000000000000003</v>
      </c>
      <c r="W30" s="2145">
        <f>FACILITIES!L$410</f>
        <v>0.25</v>
      </c>
    </row>
    <row r="31" spans="1:23" ht="18" customHeight="1">
      <c r="A31" s="431">
        <v>42705</v>
      </c>
      <c r="B31" s="1376">
        <f t="shared" si="0"/>
        <v>0.21334857902961446</v>
      </c>
      <c r="C31" s="890" t="s">
        <v>766</v>
      </c>
      <c r="D31" s="890">
        <f>FACILITIES!M$50</f>
        <v>0.39191226867717616</v>
      </c>
      <c r="E31" s="890">
        <f>FACILITIES!M$70</f>
        <v>8.6642599277978335E-2</v>
      </c>
      <c r="F31" s="891">
        <f>FACILITIES!M$90</f>
        <v>1.8255578093306288E-2</v>
      </c>
      <c r="G31" s="890">
        <f>FACILITIES!M$170</f>
        <v>0.19607276927519493</v>
      </c>
      <c r="H31" s="890">
        <f>FACILITIES!M$10</f>
        <v>0.23003653444676408</v>
      </c>
      <c r="I31" s="1128"/>
      <c r="J31" s="1009" t="s">
        <v>766</v>
      </c>
      <c r="K31" s="1009">
        <f>FACILITIES!M$110</f>
        <v>0.27250842561386618</v>
      </c>
      <c r="L31" s="888">
        <f>FACILITIES!M$250</f>
        <v>0.19295101553166069</v>
      </c>
      <c r="M31" s="1009">
        <f>FACILITIES!M$150</f>
        <v>0.16999132697311362</v>
      </c>
      <c r="N31" s="1009">
        <f>FACILITIES!M$130</f>
        <v>0.15669581224114129</v>
      </c>
      <c r="O31" s="1128"/>
      <c r="P31" s="893">
        <f>FACILITIES!M$190</f>
        <v>0.51525423728813557</v>
      </c>
      <c r="Q31" s="893" t="s">
        <v>766</v>
      </c>
      <c r="R31" s="893" t="s">
        <v>766</v>
      </c>
      <c r="S31" s="893">
        <f>FACILITIES!M$330</f>
        <v>0.3137042649924226</v>
      </c>
      <c r="T31" s="2707">
        <f>FACILITIES!M$350</f>
        <v>5.50098231827112E-2</v>
      </c>
      <c r="U31" s="894">
        <f>FACILITIES!M$370</f>
        <v>6.1194029850746269E-2</v>
      </c>
      <c r="V31" s="894">
        <f>FACILITIES!M$390</f>
        <v>0.28000000000000003</v>
      </c>
      <c r="W31" s="895">
        <f>FACILITIES!M$410</f>
        <v>0.26</v>
      </c>
    </row>
    <row r="32" spans="1:23" ht="18" customHeight="1" thickBot="1">
      <c r="A32" s="2166" t="s">
        <v>294</v>
      </c>
      <c r="B32" s="1129">
        <f>AVERAGE(B20:B31)</f>
        <v>0.20686789550142548</v>
      </c>
      <c r="C32" s="1129">
        <f t="shared" ref="C32:R32" si="1">AVERAGE(C20:C31)</f>
        <v>0.37931288785498568</v>
      </c>
      <c r="D32" s="1129">
        <f t="shared" si="1"/>
        <v>0.38216926917073546</v>
      </c>
      <c r="E32" s="1129">
        <f t="shared" si="1"/>
        <v>0.10239508499307477</v>
      </c>
      <c r="F32" s="1129">
        <f t="shared" si="1"/>
        <v>1.793491346485265E-2</v>
      </c>
      <c r="G32" s="1129">
        <f t="shared" si="1"/>
        <v>0.19538172996416259</v>
      </c>
      <c r="H32" s="1129">
        <f t="shared" si="1"/>
        <v>0.23083530503530145</v>
      </c>
      <c r="I32" s="1129">
        <f t="shared" si="1"/>
        <v>0.10170956169209698</v>
      </c>
      <c r="J32" s="1129">
        <f t="shared" si="1"/>
        <v>7.9874726117343531E-2</v>
      </c>
      <c r="K32" s="1129">
        <f t="shared" si="1"/>
        <v>0.26521944293424426</v>
      </c>
      <c r="L32" s="1129">
        <f t="shared" si="1"/>
        <v>0.18430937448827511</v>
      </c>
      <c r="M32" s="1129">
        <f t="shared" si="1"/>
        <v>0.17935077259869273</v>
      </c>
      <c r="N32" s="1129">
        <f t="shared" si="1"/>
        <v>0.1418233837659191</v>
      </c>
      <c r="O32" s="1129"/>
      <c r="P32" s="1129">
        <f t="shared" si="1"/>
        <v>0.51878052414310927</v>
      </c>
      <c r="Q32" s="1129">
        <f t="shared" si="1"/>
        <v>0.21135928765441736</v>
      </c>
      <c r="R32" s="1129">
        <f t="shared" si="1"/>
        <v>0.12010049340810194</v>
      </c>
      <c r="S32" s="1130">
        <f>AVERAGE(S20:S31)</f>
        <v>0.29293700292092512</v>
      </c>
      <c r="T32" s="1131">
        <f>AVERAGE(T20:T31)</f>
        <v>3.5667046864366392E-2</v>
      </c>
      <c r="U32" s="1130">
        <f>AVERAGE(U20:U31)</f>
        <v>6.2676873002739344E-2</v>
      </c>
      <c r="V32" s="1130">
        <f>AVERAGE(V20:V31)</f>
        <v>0.27750000000000008</v>
      </c>
      <c r="W32" s="1130">
        <f>AVERAGE(W20:W31)</f>
        <v>0.25113160466143247</v>
      </c>
    </row>
    <row r="33" spans="1:23" ht="9.75" customHeight="1" thickTop="1">
      <c r="A33" s="3021" t="s">
        <v>292</v>
      </c>
      <c r="B33" s="3022"/>
    </row>
    <row r="34" spans="1:23" ht="15.75" thickBot="1">
      <c r="A34" s="3022"/>
      <c r="B34" s="3022"/>
      <c r="C34" s="2776">
        <f>AVERAGE(J32,L32,P32,R32,E32,F32)</f>
        <v>0.17056585276912617</v>
      </c>
    </row>
    <row r="35" spans="1:23" ht="30.75" thickTop="1">
      <c r="A35" s="1132" t="s">
        <v>276</v>
      </c>
      <c r="B35" s="1125" t="s">
        <v>295</v>
      </c>
      <c r="C35" s="1133" t="s">
        <v>275</v>
      </c>
      <c r="D35" s="1133" t="s">
        <v>29</v>
      </c>
      <c r="E35" s="1133" t="s">
        <v>41</v>
      </c>
      <c r="F35" s="1133" t="s">
        <v>9</v>
      </c>
      <c r="G35" s="1133" t="s">
        <v>474</v>
      </c>
      <c r="H35" s="1133" t="s">
        <v>476</v>
      </c>
      <c r="I35" s="1133" t="s">
        <v>477</v>
      </c>
      <c r="J35" s="1134" t="s">
        <v>478</v>
      </c>
      <c r="K35" s="1133" t="s">
        <v>479</v>
      </c>
      <c r="L35" s="1134" t="s">
        <v>480</v>
      </c>
      <c r="M35" s="1133" t="s">
        <v>490</v>
      </c>
      <c r="N35" s="1125" t="s">
        <v>488</v>
      </c>
      <c r="O35" s="1125" t="s">
        <v>487</v>
      </c>
      <c r="P35" s="1133" t="s">
        <v>473</v>
      </c>
      <c r="Q35" s="1134" t="s">
        <v>468</v>
      </c>
      <c r="R35" s="1134" t="s">
        <v>491</v>
      </c>
      <c r="S35" s="1134" t="s">
        <v>470</v>
      </c>
      <c r="T35" s="1124" t="s">
        <v>471</v>
      </c>
      <c r="U35" s="1124" t="s">
        <v>472</v>
      </c>
      <c r="V35" s="1124" t="s">
        <v>486</v>
      </c>
      <c r="W35" s="1126" t="s">
        <v>489</v>
      </c>
    </row>
    <row r="36" spans="1:23" ht="18" customHeight="1">
      <c r="A36" s="432">
        <v>42370</v>
      </c>
      <c r="B36" s="896">
        <f>AVERAGE(C36:S36,U36:W36)</f>
        <v>2.5210139110502777E-2</v>
      </c>
      <c r="C36" s="1011">
        <f>COMPOSITE!B$122/COMPOSITE!B$45</f>
        <v>4.8787098522835075E-2</v>
      </c>
      <c r="D36" s="897">
        <f>COMPOSITE!B$123/COMPOSITE!B$46</f>
        <v>5.2902875746066197E-2</v>
      </c>
      <c r="E36" s="897">
        <f>COMPOSITE!B$124/COMPOSITE!B$47</f>
        <v>7.0339976553341153E-3</v>
      </c>
      <c r="F36" s="897">
        <f>COMPOSITE!B$125/COMPOSITE!B$48</f>
        <v>2.1413276231263384E-3</v>
      </c>
      <c r="G36" s="897">
        <f>COMPOSITE!B$126/COMPOSITE!B$49</f>
        <v>2.63671875E-2</v>
      </c>
      <c r="H36" s="897">
        <f>COMPOSITE!B$127/COMPOSITE!B$51</f>
        <v>6.3901345291479825E-2</v>
      </c>
      <c r="I36" s="897">
        <f>COMPOSITE!B$128/COMPOSITE!B$53</f>
        <v>2.9602480969833662E-3</v>
      </c>
      <c r="J36" s="898">
        <f>COMPOSITE!B$129/COMPOSITE!B$54</f>
        <v>9.0702947845804991E-3</v>
      </c>
      <c r="K36" s="897">
        <f>COMPOSITE!B$130/COMPOSITE!B$55</f>
        <v>3.7297861241523213E-2</v>
      </c>
      <c r="L36" s="888">
        <f>COMPOSITE!B$131/COMPOSITE!B$56</f>
        <v>2.4198822759973839E-2</v>
      </c>
      <c r="M36" s="897">
        <f>COMPOSITE!B$132/COMPOSITE!B$57</f>
        <v>2.999016715830875E-2</v>
      </c>
      <c r="N36" s="897">
        <f>COMPOSITE!B$133/COMPOSITE!B$59</f>
        <v>5.297351324337831E-2</v>
      </c>
      <c r="O36" s="897">
        <f>COMPOSITE!B$134/COMPOSITE!B$58</f>
        <v>0</v>
      </c>
      <c r="P36" s="897">
        <f>COMPOSITE!B$135/COMPOSITE!B$60</f>
        <v>1.1616650532429816E-2</v>
      </c>
      <c r="Q36" s="897">
        <f>COMPOSITE!B$136/COMPOSITE!B$61</f>
        <v>1.8704074816299265E-2</v>
      </c>
      <c r="R36" s="897">
        <f>COMPOSITE!B$137/COMPOSITE!B$62</f>
        <v>1.1306532663316583E-2</v>
      </c>
      <c r="S36" s="897">
        <f>COMPOSITE!B$138/COMPOSITE!B$63</f>
        <v>3.3051347629352745E-2</v>
      </c>
      <c r="T36" s="2147"/>
      <c r="U36" s="897">
        <f>COMPOSITE!B$140/COMPOSITE!B$65</f>
        <v>6.2590274434280212E-3</v>
      </c>
      <c r="V36" s="897">
        <f>COMPOSITE!B$141/COMPOSITE!B$66</f>
        <v>3.6413356361542887E-2</v>
      </c>
      <c r="W36" s="2621">
        <f>COMPOSITE!B$142/COMPOSITE!B$67</f>
        <v>2.9227053140096618E-2</v>
      </c>
    </row>
    <row r="37" spans="1:23" ht="18" customHeight="1">
      <c r="A37" s="432">
        <v>42401</v>
      </c>
      <c r="B37" s="896">
        <f t="shared" ref="B37:B47" si="2">AVERAGE(C37:S37,U37:W37)</f>
        <v>2.492948759537441E-2</v>
      </c>
      <c r="C37" s="891">
        <f>COMPOSITE!C$122/COMPOSITE!C$45</f>
        <v>4.3465868604816875E-2</v>
      </c>
      <c r="D37" s="891">
        <f>COMPOSITE!C$123/COMPOSITE!C$46</f>
        <v>5.0144648023143681E-2</v>
      </c>
      <c r="E37" s="891">
        <f>COMPOSITE!C$124/COMPOSITE!C$47</f>
        <v>6.0679611650485436E-3</v>
      </c>
      <c r="F37" s="891">
        <f>COMPOSITE!C$125/COMPOSITE!C$48</f>
        <v>6.0000000000000001E-3</v>
      </c>
      <c r="G37" s="891">
        <f>COMPOSITE!C$126/COMPOSITE!C$49</f>
        <v>2.6297335203366058E-2</v>
      </c>
      <c r="H37" s="891">
        <f>COMPOSITE!C$127/COMPOSITE!C$51</f>
        <v>6.1138708444784105E-2</v>
      </c>
      <c r="I37" s="891">
        <f>COMPOSITE!C$128/COMPOSITE!C$53</f>
        <v>2.3581634068525455E-3</v>
      </c>
      <c r="J37" s="891">
        <f>COMPOSITE!C$129/COMPOSITE!C$54</f>
        <v>1.2910798122065728E-2</v>
      </c>
      <c r="K37" s="891">
        <f>COMPOSITE!C$130/COMPOSITE!C$55</f>
        <v>4.5849158979924039E-2</v>
      </c>
      <c r="L37" s="892">
        <f>COMPOSITE!C$131/COMPOSITE!C$56</f>
        <v>2.0229265003371546E-2</v>
      </c>
      <c r="M37" s="891">
        <f>COMPOSITE!C$132/COMPOSITE!C$57</f>
        <v>3.0636668262326472E-2</v>
      </c>
      <c r="N37" s="891">
        <f>COMPOSITE!C$133/COMPOSITE!C$59</f>
        <v>4.6852122986822842E-2</v>
      </c>
      <c r="O37" s="891">
        <f>COMPOSITE!C$134/COMPOSITE!C$58</f>
        <v>0</v>
      </c>
      <c r="P37" s="891">
        <f>COMPOSITE!C$135/COMPOSITE!C$60</f>
        <v>1.4358974358974359E-2</v>
      </c>
      <c r="Q37" s="891">
        <f>COMPOSITE!C$136/COMPOSITE!C$61</f>
        <v>2.5438910784664995E-2</v>
      </c>
      <c r="R37" s="891">
        <f>COMPOSITE!C$137/COMPOSITE!C$62</f>
        <v>9.4674556213017753E-3</v>
      </c>
      <c r="S37" s="891">
        <f>COMPOSITE!C$138/COMPOSITE!C$63</f>
        <v>3.7109375E-2</v>
      </c>
      <c r="T37" s="2148"/>
      <c r="U37" s="891">
        <f>COMPOSITE!C$140/COMPOSITE!C$65</f>
        <v>4.9916805324459234E-3</v>
      </c>
      <c r="V37" s="891">
        <f>COMPOSITE!C$141/COMPOSITE!C$66</f>
        <v>3.0876904075751339E-2</v>
      </c>
      <c r="W37" s="2622">
        <f>COMPOSITE!C$142/COMPOSITE!C$67</f>
        <v>2.4395753331827422E-2</v>
      </c>
    </row>
    <row r="38" spans="1:23" ht="18" customHeight="1">
      <c r="A38" s="432">
        <v>42430</v>
      </c>
      <c r="B38" s="896">
        <f t="shared" si="2"/>
        <v>2.534381014127398E-2</v>
      </c>
      <c r="C38" s="2561">
        <f>COMPOSITE!D$122/COMPOSITE!D$45</f>
        <v>4.0664225941422591E-2</v>
      </c>
      <c r="D38" s="891">
        <f>COMPOSITE!D$123/COMPOSITE!D$46</f>
        <v>4.9312957493257994E-2</v>
      </c>
      <c r="E38" s="891">
        <f>COMPOSITE!D$124/COMPOSITE!D$47</f>
        <v>3.7499999999999999E-3</v>
      </c>
      <c r="F38" s="891">
        <f>COMPOSITE!D$125/COMPOSITE!D$48</f>
        <v>1.7574692442882249E-3</v>
      </c>
      <c r="G38" s="891">
        <f>COMPOSITE!D$126/COMPOSITE!D$49</f>
        <v>2.4579962663347853E-2</v>
      </c>
      <c r="H38" s="891">
        <f>COMPOSITE!D$127/COMPOSITE!D$51</f>
        <v>6.1187062354118041E-2</v>
      </c>
      <c r="I38" s="891">
        <f>COMPOSITE!D$128/COMPOSITE!D$53</f>
        <v>4.5315370483772202E-3</v>
      </c>
      <c r="J38" s="891">
        <f>COMPOSITE!D$129/COMPOSITE!D$54</f>
        <v>1.4300306435137897E-2</v>
      </c>
      <c r="K38" s="891">
        <f>COMPOSITE!D$130/COMPOSITE!D$55</f>
        <v>5.3877748248369169E-2</v>
      </c>
      <c r="L38" s="892">
        <f>COMPOSITE!D$131/COMPOSITE!D$56</f>
        <v>2.266839378238342E-2</v>
      </c>
      <c r="M38" s="891">
        <f>COMPOSITE!D$132/COMPOSITE!D$57</f>
        <v>2.5922671353251318E-2</v>
      </c>
      <c r="N38" s="891">
        <f>COMPOSITE!D$133/COMPOSITE!D$59</f>
        <v>4.8109965635738834E-2</v>
      </c>
      <c r="O38" s="891">
        <f>COMPOSITE!D$134/COMPOSITE!D$58</f>
        <v>4.3140638481449527E-4</v>
      </c>
      <c r="P38" s="891">
        <f>COMPOSITE!D$135/COMPOSITE!D$60</f>
        <v>1.2909632571996028E-2</v>
      </c>
      <c r="Q38" s="891">
        <f>COMPOSITE!D$136/COMPOSITE!D$61</f>
        <v>2.564102564102564E-2</v>
      </c>
      <c r="R38" s="891">
        <f>COMPOSITE!D$137/COMPOSITE!D$62</f>
        <v>1.3407821229050279E-2</v>
      </c>
      <c r="S38" s="891">
        <f>COMPOSITE!D$138/COMPOSITE!D$63</f>
        <v>3.883677298311445E-2</v>
      </c>
      <c r="T38" s="2148"/>
      <c r="U38" s="891">
        <f>COMPOSITE!D$140/COMPOSITE!D$65</f>
        <v>7.246376811594203E-3</v>
      </c>
      <c r="V38" s="891">
        <f>COMPOSITE!D$141/COMPOSITE!D$66</f>
        <v>3.5286103542234333E-2</v>
      </c>
      <c r="W38" s="2622">
        <f>COMPOSITE!D$142/COMPOSITE!D$67</f>
        <v>2.2454763461957707E-2</v>
      </c>
    </row>
    <row r="39" spans="1:23" ht="18" customHeight="1">
      <c r="A39" s="432">
        <v>42461</v>
      </c>
      <c r="B39" s="896">
        <f t="shared" si="2"/>
        <v>2.6042483868284609E-2</v>
      </c>
      <c r="C39" s="2562">
        <f>COMPOSITE!E$122/COMPOSITE!E$45</f>
        <v>3.6440677966101696E-2</v>
      </c>
      <c r="D39" s="2560">
        <f>COMPOSITE!E$123/COMPOSITE!E$46</f>
        <v>4.0259203088377223E-2</v>
      </c>
      <c r="E39" s="891">
        <f>COMPOSITE!E$124/COMPOSITE!E$47</f>
        <v>5.4869684499314125E-3</v>
      </c>
      <c r="F39" s="891">
        <f>COMPOSITE!E$125/COMPOSITE!E$48</f>
        <v>2.3201856148491878E-3</v>
      </c>
      <c r="G39" s="2146">
        <f>COMPOSITE!E$126/COMPOSITE!E$49</f>
        <v>2.8948332722609015E-2</v>
      </c>
      <c r="H39" s="2146">
        <f>COMPOSITE!E$127/COMPOSITE!E$51</f>
        <v>6.5507776761207684E-2</v>
      </c>
      <c r="I39" s="891">
        <f>COMPOSITE!E$128/COMPOSITE!E$53</f>
        <v>2.3262178434592228E-3</v>
      </c>
      <c r="J39" s="891">
        <f>COMPOSITE!E$129/COMPOSITE!E$54</f>
        <v>1.9133937562940583E-2</v>
      </c>
      <c r="K39" s="891">
        <f>COMPOSITE!E$130/COMPOSITE!E$55</f>
        <v>5.793319415448852E-2</v>
      </c>
      <c r="L39" s="892">
        <f>COMPOSITE!E$131/COMPOSITE!E$56</f>
        <v>2.6792179580014484E-2</v>
      </c>
      <c r="M39" s="891">
        <f>COMPOSITE!E$132/COMPOSITE!E$57</f>
        <v>2.3534840793724043E-2</v>
      </c>
      <c r="N39" s="2146">
        <f>COMPOSITE!E$133/COMPOSITE!E$59</f>
        <v>5.128205128205128E-2</v>
      </c>
      <c r="O39" s="891">
        <f>COMPOSITE!E$134/COMPOSITE!E$58</f>
        <v>9.3896713615023472E-4</v>
      </c>
      <c r="P39" s="891">
        <f>COMPOSITE!E$135/COMPOSITE!E$60</f>
        <v>1.131687242798354E-2</v>
      </c>
      <c r="Q39" s="891">
        <f>COMPOSITE!E$136/COMPOSITE!E$61</f>
        <v>3.2446463335496431E-2</v>
      </c>
      <c r="R39" s="891">
        <f>COMPOSITE!E$137/COMPOSITE!E$62</f>
        <v>2.063106796116505E-2</v>
      </c>
      <c r="S39" s="2146">
        <f>COMPOSITE!E$138/COMPOSITE!E$63</f>
        <v>3.8138199712938282E-2</v>
      </c>
      <c r="T39" s="2148"/>
      <c r="U39" s="2146">
        <f>COMPOSITE!E$140/COMPOSITE!E$65</f>
        <v>8.5895117540687165E-3</v>
      </c>
      <c r="V39" s="2146">
        <f>COMPOSITE!E$141/COMPOSITE!E$66</f>
        <v>2.870742228171947E-2</v>
      </c>
      <c r="W39" s="2622">
        <f>COMPOSITE!E$142/COMPOSITE!E$67</f>
        <v>2.0115606936416185E-2</v>
      </c>
    </row>
    <row r="40" spans="1:23" ht="18" customHeight="1">
      <c r="A40" s="432">
        <v>42491</v>
      </c>
      <c r="B40" s="896" t="e">
        <f t="shared" si="2"/>
        <v>#DIV/0!</v>
      </c>
      <c r="C40" s="1377">
        <f>COMPOSITE!F$122/COMPOSITE!F$45</f>
        <v>3.8742589273404106E-2</v>
      </c>
      <c r="D40" s="891">
        <f>COMPOSITE!F$123/COMPOSITE!F$46</f>
        <v>3.9624754970596469E-2</v>
      </c>
      <c r="E40" s="891">
        <f>COMPOSITE!F$124/COMPOSITE!F$47</f>
        <v>3.2894736842105261E-3</v>
      </c>
      <c r="F40" s="891">
        <f>COMPOSITE!F$125/COMPOSITE!F$48</f>
        <v>9.0090090090090089E-3</v>
      </c>
      <c r="G40" s="891">
        <f>COMPOSITE!F$126/COMPOSITE!F$49</f>
        <v>2.6384243775548124E-2</v>
      </c>
      <c r="H40" s="891">
        <f>COMPOSITE!F$127/COMPOSITE!F$51</f>
        <v>4.6685178757375913E-2</v>
      </c>
      <c r="I40" s="891" t="e">
        <f>COMPOSITE!F$128/COMPOSITE!F$53</f>
        <v>#DIV/0!</v>
      </c>
      <c r="J40" s="891">
        <f>COMPOSITE!F$129/COMPOSITE!F$54</f>
        <v>1.8498367791077257E-2</v>
      </c>
      <c r="K40" s="891">
        <f>COMPOSITE!F$130/COMPOSITE!F$55</f>
        <v>5.4693662897712332E-2</v>
      </c>
      <c r="L40" s="892">
        <f>COMPOSITE!F$131/COMPOSITE!F$56</f>
        <v>2.0715630885122412E-2</v>
      </c>
      <c r="M40" s="891">
        <f>COMPOSITE!F$132/COMPOSITE!F$57</f>
        <v>2.6827012025901941E-2</v>
      </c>
      <c r="N40" s="891">
        <f>COMPOSITE!F$133/COMPOSITE!F$59</f>
        <v>4.7323135755258129E-2</v>
      </c>
      <c r="O40" s="891">
        <f>COMPOSITE!F$134/COMPOSITE!F$58</f>
        <v>0</v>
      </c>
      <c r="P40" s="891">
        <f>COMPOSITE!F$135/COMPOSITE!F$60</f>
        <v>7.575757575757576E-3</v>
      </c>
      <c r="Q40" s="891">
        <f>COMPOSITE!F$136/COMPOSITE!F$61</f>
        <v>2.5778372949447605E-2</v>
      </c>
      <c r="R40" s="891">
        <f>COMPOSITE!F$137/COMPOSITE!F$62</f>
        <v>1.2387387387387387E-2</v>
      </c>
      <c r="S40" s="891">
        <f>COMPOSITE!F$138/COMPOSITE!F$63</f>
        <v>3.366583541147132E-2</v>
      </c>
      <c r="T40" s="2149"/>
      <c r="U40" s="891">
        <f>COMPOSITE!F$140/COMPOSITE!F$65</f>
        <v>3.5906642728904849E-3</v>
      </c>
      <c r="V40" s="891">
        <f>COMPOSITE!F$141/COMPOSITE!F$66</f>
        <v>3.4703995333916597E-2</v>
      </c>
      <c r="W40" s="2622">
        <f>COMPOSITE!F$142/COMPOSITE!F$67</f>
        <v>2.503509592887225E-2</v>
      </c>
    </row>
    <row r="41" spans="1:23" ht="18" customHeight="1">
      <c r="A41" s="432">
        <v>42522</v>
      </c>
      <c r="B41" s="896" t="e">
        <f t="shared" si="2"/>
        <v>#DIV/0!</v>
      </c>
      <c r="C41" s="891">
        <f>COMPOSITE!G$122/COMPOSITE!G$45</f>
        <v>3.9139784946236558E-2</v>
      </c>
      <c r="D41" s="891">
        <f>COMPOSITE!G$123/COMPOSITE!G$46</f>
        <v>4.2249459264599859E-2</v>
      </c>
      <c r="E41" s="891">
        <f>COMPOSITE!G$124/COMPOSITE!G$47</f>
        <v>1.015228426395939E-2</v>
      </c>
      <c r="F41" s="891">
        <f>COMPOSITE!G$125/COMPOSITE!G$48</f>
        <v>3.2786885245901639E-3</v>
      </c>
      <c r="G41" s="891">
        <f>COMPOSITE!G$126/COMPOSITE!G$49</f>
        <v>3.0396306271642939E-2</v>
      </c>
      <c r="H41" s="891">
        <f>COMPOSITE!G$127/COMPOSITE!G$51</f>
        <v>5.1879010082493127E-2</v>
      </c>
      <c r="I41" s="891" t="e">
        <f>COMPOSITE!G$128/COMPOSITE!G$53</f>
        <v>#DIV/0!</v>
      </c>
      <c r="J41" s="891">
        <f>COMPOSITE!G$129/COMPOSITE!G$54</f>
        <v>2.0234291799787009E-2</v>
      </c>
      <c r="K41" s="891">
        <f>COMPOSITE!G$130/COMPOSITE!G$55</f>
        <v>5.767646251029937E-2</v>
      </c>
      <c r="L41" s="892">
        <f>COMPOSITE!G$131/COMPOSITE!G$56</f>
        <v>2.5412960609911054E-2</v>
      </c>
      <c r="M41" s="891">
        <f>COMPOSITE!G$132/COMPOSITE!G$57</f>
        <v>2.202845341899954E-2</v>
      </c>
      <c r="N41" s="891">
        <f>COMPOSITE!G$133/COMPOSITE!G$59</f>
        <v>4.428787116255662E-2</v>
      </c>
      <c r="O41" s="891">
        <f>COMPOSITE!G$134/COMPOSITE!G$58</f>
        <v>2.2935779816513763E-3</v>
      </c>
      <c r="P41" s="891">
        <f>COMPOSITE!G$135/COMPOSITE!G$60</f>
        <v>1.1918951132300357E-2</v>
      </c>
      <c r="Q41" s="891">
        <f>COMPOSITE!G$136/COMPOSITE!G$61</f>
        <v>3.0498136225008472E-2</v>
      </c>
      <c r="R41" s="891">
        <f>COMPOSITE!G$137/COMPOSITE!G$62</f>
        <v>7.6923076923076927E-3</v>
      </c>
      <c r="S41" s="891">
        <f>COMPOSITE!G$138/COMPOSITE!G$63</f>
        <v>3.7020517395182875E-2</v>
      </c>
      <c r="T41" s="2149"/>
      <c r="U41" s="891">
        <f>COMPOSITE!G$140/COMPOSITE!G$65</f>
        <v>4.0547389761784085E-3</v>
      </c>
      <c r="V41" s="891">
        <f>COMPOSITE!G$141/COMPOSITE!G$66</f>
        <v>2.8910767307391779E-2</v>
      </c>
      <c r="W41" s="2622">
        <f>COMPOSITE!G$142/COMPOSITE!G$67</f>
        <v>2.4325753569539928E-2</v>
      </c>
    </row>
    <row r="42" spans="1:23" ht="18" customHeight="1">
      <c r="A42" s="432">
        <v>42552</v>
      </c>
      <c r="B42" s="896" t="e">
        <f t="shared" si="2"/>
        <v>#DIV/0!</v>
      </c>
      <c r="C42" s="891">
        <f>COMPOSITE!H$122/COMPOSITE!H$45</f>
        <v>4.0716384496991748E-2</v>
      </c>
      <c r="D42" s="2146">
        <f>COMPOSITE!H$123/COMPOSITE!H$46</f>
        <v>4.7848928013630554E-2</v>
      </c>
      <c r="E42" s="891">
        <f>COMPOSITE!H$124/COMPOSITE!H$47</f>
        <v>6.8807339449541288E-3</v>
      </c>
      <c r="F42" s="891">
        <f>COMPOSITE!H$125/COMPOSITE!H$48</f>
        <v>0</v>
      </c>
      <c r="G42" s="2146">
        <f>COMPOSITE!H$126/COMPOSITE!H$49</f>
        <v>2.4739080015461924E-2</v>
      </c>
      <c r="H42" s="2146">
        <f>COMPOSITE!H$127/COMPOSITE!H$51</f>
        <v>5.8823529411764705E-2</v>
      </c>
      <c r="I42" s="891" t="e">
        <f>COMPOSITE!H$128/COMPOSITE!H$53</f>
        <v>#DIV/0!</v>
      </c>
      <c r="J42" s="891">
        <f>COMPOSITE!H$129/COMPOSITE!H$54</f>
        <v>2.0169851380042462E-2</v>
      </c>
      <c r="K42" s="891">
        <f>COMPOSITE!H$130/COMPOSITE!H$55</f>
        <v>4.5089401399326254E-2</v>
      </c>
      <c r="L42" s="892">
        <f>COMPOSITE!H$131/COMPOSITE!H$56</f>
        <v>2.6757934038581208E-2</v>
      </c>
      <c r="M42" s="891">
        <f>COMPOSITE!H$132/COMPOSITE!H$57</f>
        <v>1.8331805682859761E-2</v>
      </c>
      <c r="N42" s="2146">
        <f>COMPOSITE!H$133/COMPOSITE!H$59</f>
        <v>5.2813425468904246E-2</v>
      </c>
      <c r="O42" s="891">
        <f>COMPOSITE!H$134/COMPOSITE!H$58</f>
        <v>0</v>
      </c>
      <c r="P42" s="891">
        <f>COMPOSITE!H$135/COMPOSITE!H$60</f>
        <v>5.9405940594059407E-3</v>
      </c>
      <c r="Q42" s="891">
        <f>COMPOSITE!H$136/COMPOSITE!H$61</f>
        <v>2.0302932645826621E-2</v>
      </c>
      <c r="R42" s="891">
        <f>COMPOSITE!H$137/COMPOSITE!H$62</f>
        <v>4.3525571273122961E-3</v>
      </c>
      <c r="S42" s="2146">
        <f>COMPOSITE!H$138/COMPOSITE!H$63</f>
        <v>3.4399117971334069E-2</v>
      </c>
      <c r="T42" s="2149"/>
      <c r="U42" s="2146">
        <f>COMPOSITE!H$140/COMPOSITE!H$65</f>
        <v>5.053057099545225E-3</v>
      </c>
      <c r="V42" s="2146">
        <f>COMPOSITE!H$141/COMPOSITE!H$66</f>
        <v>3.0326354679802957E-2</v>
      </c>
      <c r="W42" s="2622">
        <f>COMPOSITE!G$142/COMPOSITE!G$67</f>
        <v>2.4325753569539928E-2</v>
      </c>
    </row>
    <row r="43" spans="1:23" ht="18" customHeight="1">
      <c r="A43" s="432">
        <v>42583</v>
      </c>
      <c r="B43" s="896">
        <f t="shared" si="2"/>
        <v>2.4333116864330387E-2</v>
      </c>
      <c r="C43" s="891">
        <f>COMPOSITE!I$122/COMPOSITE!I$45</f>
        <v>3.8506588579795019E-2</v>
      </c>
      <c r="D43" s="2146">
        <f>COMPOSITE!I$123/COMPOSITE!I$46</f>
        <v>4.9309948246118458E-2</v>
      </c>
      <c r="E43" s="891">
        <f>COMPOSITE!I$124/COMPOSITE!I$47</f>
        <v>1.2068965517241379E-2</v>
      </c>
      <c r="F43" s="891">
        <f>COMPOSITE!I$125/COMPOSITE!I$48</f>
        <v>0</v>
      </c>
      <c r="G43" s="2146">
        <f>COMPOSITE!I$126/COMPOSITE!I$49</f>
        <v>1.7617770968977403E-2</v>
      </c>
      <c r="H43" s="2146">
        <f>COMPOSITE!I$127/COMPOSITE!I$51</f>
        <v>5.5393053016453385E-2</v>
      </c>
      <c r="I43" s="2164"/>
      <c r="J43" s="891">
        <f>COMPOSITE!I$129/COMPOSITE!I$54</f>
        <v>2.9850746268656717E-3</v>
      </c>
      <c r="K43" s="891">
        <f>COMPOSITE!I$130/COMPOSITE!I$55</f>
        <v>5.9361924686192467E-2</v>
      </c>
      <c r="L43" s="892">
        <f>COMPOSITE!I$131/COMPOSITE!I$56</f>
        <v>1.5852885225110969E-2</v>
      </c>
      <c r="M43" s="891">
        <f>COMPOSITE!I$132/COMPOSITE!I$57</f>
        <v>2.6304624522698345E-2</v>
      </c>
      <c r="N43" s="2146">
        <f>COMPOSITE!I$133/COMPOSITE!I$59</f>
        <v>4.7255369928400952E-2</v>
      </c>
      <c r="O43" s="891">
        <f>COMPOSITE!I$134/COMPOSITE!I$58</f>
        <v>1.0167768174885613E-3</v>
      </c>
      <c r="P43" s="891">
        <f>COMPOSITE!I$135/COMPOSITE!I$60</f>
        <v>1.7605633802816902E-2</v>
      </c>
      <c r="Q43" s="891">
        <f>COMPOSITE!I$136/COMPOSITE!I$61</f>
        <v>2.1035598705501618E-2</v>
      </c>
      <c r="R43" s="891">
        <f>COMPOSITE!I$137/COMPOSITE!I$62</f>
        <v>1.1566771819137749E-2</v>
      </c>
      <c r="S43" s="2146">
        <f>COMPOSITE!I$138/COMPOSITE!I$63</f>
        <v>3.2109082911809986E-2</v>
      </c>
      <c r="T43" s="2149"/>
      <c r="U43" s="2146">
        <f>COMPOSITE!I$140/COMPOSITE!I$65</f>
        <v>3.9880358923230306E-3</v>
      </c>
      <c r="V43" s="2146">
        <f>COMPOSITE!I$141/COMPOSITE!I$66</f>
        <v>2.7818663526641155E-2</v>
      </c>
      <c r="W43" s="2620">
        <f>COMPOSITE!I$142/COMPOSITE!I$67</f>
        <v>2.2532451628704386E-2</v>
      </c>
    </row>
    <row r="44" spans="1:23" ht="18" customHeight="1">
      <c r="A44" s="432">
        <v>42614</v>
      </c>
      <c r="B44" s="896">
        <f t="shared" si="2"/>
        <v>1.9997890845997113E-2</v>
      </c>
      <c r="C44" s="891">
        <f>COMPOSITE!J$122/COMPOSITE!J$45</f>
        <v>3.5253155375018136E-2</v>
      </c>
      <c r="D44" s="2146">
        <f>COMPOSITE!J$123/COMPOSITE!J$46</f>
        <v>3.5176586464049531E-2</v>
      </c>
      <c r="E44" s="891">
        <f>COMPOSITE!J$124/COMPOSITE!J$47</f>
        <v>1.0889292196007259E-2</v>
      </c>
      <c r="F44" s="891">
        <f>COMPOSITE!J$125/COMPOSITE!J$48</f>
        <v>0</v>
      </c>
      <c r="G44" s="2146">
        <f>COMPOSITE!J$126/COMPOSITE!J$49</f>
        <v>1.4657980456026058E-2</v>
      </c>
      <c r="H44" s="2146">
        <f>COMPOSITE!J$127/COMPOSITE!J$51</f>
        <v>5.50098231827112E-2</v>
      </c>
      <c r="I44" s="2148"/>
      <c r="J44" s="891">
        <f>COMPOSITE!J$129/COMPOSITE!J$54</f>
        <v>9.7370983446932822E-3</v>
      </c>
      <c r="K44" s="891">
        <f>COMPOSITE!J$130/COMPOSITE!J$55</f>
        <v>2.7096774193548386E-2</v>
      </c>
      <c r="L44" s="892">
        <f>COMPOSITE!J$131/COMPOSITE!J$56</f>
        <v>1.9723865877712032E-2</v>
      </c>
      <c r="M44" s="891">
        <f>COMPOSITE!J$132/COMPOSITE!J$57</f>
        <v>1.7379679144385027E-2</v>
      </c>
      <c r="N44" s="2146">
        <f>COMPOSITE!J$133/COMPOSITE!J$59</f>
        <v>3.5339063992359122E-2</v>
      </c>
      <c r="O44" s="891">
        <f>COMPOSITE!J$134/COMPOSITE!J$58</f>
        <v>0</v>
      </c>
      <c r="P44" s="891">
        <f>COMPOSITE!J$135/COMPOSITE!J$60</f>
        <v>9.7799511002444987E-3</v>
      </c>
      <c r="Q44" s="891">
        <f>COMPOSITE!J$136/COMPOSITE!J$61</f>
        <v>1.3888888888888888E-2</v>
      </c>
      <c r="R44" s="891">
        <f>COMPOSITE!J$137/COMPOSITE!J$62</f>
        <v>1.1410788381742738E-2</v>
      </c>
      <c r="S44" s="2146">
        <f>COMPOSITE!J$138/COMPOSITE!J$63</f>
        <v>3.2596041909196738E-2</v>
      </c>
      <c r="T44" s="2149"/>
      <c r="U44" s="2146">
        <f>COMPOSITE!J$140/COMPOSITE!J$65</f>
        <v>3.4398034398034397E-3</v>
      </c>
      <c r="V44" s="2146">
        <f>COMPOSITE!J$141/COMPOSITE!J$66</f>
        <v>3.033569448721897E-2</v>
      </c>
      <c r="W44" s="2620">
        <f>COMPOSITE!J$142/COMPOSITE!J$67</f>
        <v>1.8245438640339916E-2</v>
      </c>
    </row>
    <row r="45" spans="1:23" ht="18" customHeight="1">
      <c r="A45" s="432">
        <v>42644</v>
      </c>
      <c r="B45" s="896">
        <f t="shared" si="2"/>
        <v>2.6314858636512471E-2</v>
      </c>
      <c r="C45" s="891">
        <f>COMPOSITE!K$122/COMPOSITE!K$45</f>
        <v>5.1795678924023467E-2</v>
      </c>
      <c r="D45" s="2146">
        <f>COMPOSITE!K$123/COMPOSITE!K$46</f>
        <v>4.4710237790118186E-2</v>
      </c>
      <c r="E45" s="891">
        <f>COMPOSITE!K$124/COMPOSITE!K$47</f>
        <v>1.4563106796116505E-2</v>
      </c>
      <c r="F45" s="891">
        <f>COMPOSITE!K$125/COMPOSITE!K$48</f>
        <v>5.8479532163742687E-3</v>
      </c>
      <c r="G45" s="2146">
        <f>COMPOSITE!K$126/COMPOSITE!K$49</f>
        <v>2.1965748324646314E-2</v>
      </c>
      <c r="H45" s="2146">
        <f>COMPOSITE!K$127/COMPOSITE!K$51</f>
        <v>5.6361299798053974E-2</v>
      </c>
      <c r="I45" s="2148"/>
      <c r="J45" s="891">
        <f>COMPOSITE!K$129/COMPOSITE!K$54</f>
        <v>7.5431034482758624E-3</v>
      </c>
      <c r="K45" s="891">
        <f>COMPOSITE!K$130/COMPOSITE!K$55</f>
        <v>4.4620091789903109E-2</v>
      </c>
      <c r="L45" s="892">
        <f>COMPOSITE!K$131/COMPOSITE!K$56</f>
        <v>1.9581363943281565E-2</v>
      </c>
      <c r="M45" s="891">
        <f>COMPOSITE!K$132/COMPOSITE!K$57</f>
        <v>1.9153674832962139E-2</v>
      </c>
      <c r="N45" s="2146">
        <f>COMPOSITE!K$133/COMPOSITE!K$59</f>
        <v>5.2882324916626963E-2</v>
      </c>
      <c r="O45" s="891">
        <f>COMPOSITE!K$134/COMPOSITE!K$58</f>
        <v>5.3533190578158461E-4</v>
      </c>
      <c r="P45" s="891">
        <f>COMPOSITE!K$135/COMPOSITE!K$60</f>
        <v>1.6129032258064516E-2</v>
      </c>
      <c r="Q45" s="891">
        <f>COMPOSITE!K$136/COMPOSITE!K$61</f>
        <v>2.8655161185281667E-2</v>
      </c>
      <c r="R45" s="891">
        <f>COMPOSITE!K$137/COMPOSITE!K$62</f>
        <v>1.8199233716475097E-2</v>
      </c>
      <c r="S45" s="2146">
        <f>COMPOSITE!K$138/COMPOSITE!K$63</f>
        <v>3.8016528925619832E-2</v>
      </c>
      <c r="T45" s="2149"/>
      <c r="U45" s="2146">
        <f>COMPOSITE!K$140/COMPOSITE!K$65</f>
        <v>5.246589716684155E-3</v>
      </c>
      <c r="V45" s="2146">
        <f>COMPOSITE!K$141/COMPOSITE!K$66</f>
        <v>3.2600338305397505E-2</v>
      </c>
      <c r="W45" s="2620">
        <f>COMPOSITE!K$142/COMPOSITE!K$67</f>
        <v>2.1575514300050176E-2</v>
      </c>
    </row>
    <row r="46" spans="1:23" ht="18" customHeight="1">
      <c r="A46" s="432">
        <v>42675</v>
      </c>
      <c r="B46" s="896">
        <f t="shared" si="2"/>
        <v>2.5617231249663128E-2</v>
      </c>
      <c r="C46" s="891" t="s">
        <v>766</v>
      </c>
      <c r="D46" s="2146">
        <f>COMPOSITE!L$123/COMPOSITE!L$46</f>
        <v>5.160349854227405E-2</v>
      </c>
      <c r="E46" s="891">
        <f>COMPOSITE!L$124/COMPOSITE!L$47</f>
        <v>1.2678288431061807E-2</v>
      </c>
      <c r="F46" s="891">
        <f>COMPOSITE!L$125/COMPOSITE!L$48</f>
        <v>0</v>
      </c>
      <c r="G46" s="2146">
        <f>COMPOSITE!L$126/COMPOSITE!L$49</f>
        <v>2.6231832683445588E-2</v>
      </c>
      <c r="H46" s="2146">
        <f>COMPOSITE!L$127/COMPOSITE!L$51</f>
        <v>6.512566501559347E-2</v>
      </c>
      <c r="I46" s="2148"/>
      <c r="J46" s="891">
        <f>COMPOSITE!L$129/COMPOSITE!L$54</f>
        <v>1.6891891891891893E-2</v>
      </c>
      <c r="K46" s="891">
        <f>COMPOSITE!L$130/COMPOSITE!L$55</f>
        <v>4.9879967991464394E-2</v>
      </c>
      <c r="L46" s="892">
        <f>COMPOSITE!L$131/COMPOSITE!L$56</f>
        <v>3.3075299085151305E-2</v>
      </c>
      <c r="M46" s="891">
        <f>COMPOSITE!L$132/COMPOSITE!L$57</f>
        <v>1.9134396355353075E-2</v>
      </c>
      <c r="N46" s="2146">
        <f>COMPOSITE!L$133/COMPOSITE!L$59</f>
        <v>3.7614678899082571E-2</v>
      </c>
      <c r="O46" s="891">
        <f>COMPOSITE!L$134/COMPOSITE!L$58</f>
        <v>0</v>
      </c>
      <c r="P46" s="891">
        <f>COMPOSITE!L$135/COMPOSITE!L$60</f>
        <v>9.2105263157894728E-3</v>
      </c>
      <c r="Q46" s="891">
        <f>COMPOSITE!L$136/COMPOSITE!L$61</f>
        <v>2.716297786720322E-2</v>
      </c>
      <c r="R46" s="891">
        <f>COMPOSITE!L$137/COMPOSITE!L$62</f>
        <v>1.6042780748663103E-2</v>
      </c>
      <c r="S46" s="2146">
        <f>COMPOSITE!L$138/COMPOSITE!L$63</f>
        <v>3.9243838238813111E-2</v>
      </c>
      <c r="T46" s="2148"/>
      <c r="U46" s="2146">
        <f>COMPOSITE!L$140/COMPOSITE!L$65</f>
        <v>3.1529164477141357E-3</v>
      </c>
      <c r="V46" s="2146">
        <f>COMPOSITE!L$141/COMPOSITE!L$66</f>
        <v>3.1076066790352505E-2</v>
      </c>
      <c r="W46" s="2620">
        <f>COMPOSITE!L$142/COMPOSITE!L$67</f>
        <v>2.2985537190082644E-2</v>
      </c>
    </row>
    <row r="47" spans="1:23" ht="18" customHeight="1">
      <c r="A47" s="432">
        <v>42705</v>
      </c>
      <c r="B47" s="896">
        <f t="shared" si="2"/>
        <v>2.7968358226024774E-2</v>
      </c>
      <c r="C47" s="891" t="s">
        <v>766</v>
      </c>
      <c r="D47" s="2146">
        <f>COMPOSITE!M$123/COMPOSITE!M$46</f>
        <v>6.1120309050772627E-2</v>
      </c>
      <c r="E47" s="891">
        <f>COMPOSITE!M$124/COMPOSITE!M$47</f>
        <v>8.4541062801932361E-3</v>
      </c>
      <c r="F47" s="891">
        <f>COMPOSITE!M$125/COMPOSITE!M$48</f>
        <v>0</v>
      </c>
      <c r="G47" s="2146">
        <f>COMPOSITE!M$126/COMPOSITE!M$49</f>
        <v>2.3577491354919836E-2</v>
      </c>
      <c r="H47" s="2146">
        <f>COMPOSITE!M$127/COMPOSITE!M$51</f>
        <v>6.5998926846717945E-2</v>
      </c>
      <c r="I47" s="2165"/>
      <c r="J47" s="891">
        <f>COMPOSITE!M$129/COMPOSITE!M$54</f>
        <v>1.1198208286674132E-2</v>
      </c>
      <c r="K47" s="891">
        <f>COMPOSITE!M$130/COMPOSITE!M$55</f>
        <v>4.8148148148148148E-2</v>
      </c>
      <c r="L47" s="892">
        <f>COMPOSITE!M$131/COMPOSITE!M$56</f>
        <v>2.7190332326283987E-2</v>
      </c>
      <c r="M47" s="891">
        <f>COMPOSITE!M$132/COMPOSITE!M$57</f>
        <v>1.9659239842726082E-2</v>
      </c>
      <c r="N47" s="2146">
        <f>COMPOSITE!M$133/COMPOSITE!M$59</f>
        <v>5.7733735458853942E-2</v>
      </c>
      <c r="O47" s="891">
        <f>COMPOSITE!M$134/COMPOSITE!M$58</f>
        <v>5.025125628140704E-4</v>
      </c>
      <c r="P47" s="891">
        <f>COMPOSITE!M$135/COMPOSITE!M$60</f>
        <v>1.6872890888638921E-2</v>
      </c>
      <c r="Q47" s="891" t="s">
        <v>766</v>
      </c>
      <c r="R47" s="891" t="s">
        <v>766</v>
      </c>
      <c r="S47" s="2146">
        <f>COMPOSITE!M$138/COMPOSITE!M$63</f>
        <v>4.9151027703306524E-2</v>
      </c>
      <c r="T47" s="2148"/>
      <c r="U47" s="2146">
        <f>COMPOSITE!M$140/COMPOSITE!M$65</f>
        <v>3.5478966041561076E-3</v>
      </c>
      <c r="V47" s="2146">
        <f>COMPOSITE!M$141/COMPOSITE!M$66</f>
        <v>2.9481834425253126E-2</v>
      </c>
      <c r="W47" s="2620">
        <f>COMPOSITE!M$142/COMPOSITE!M$67</f>
        <v>2.4857071836937607E-2</v>
      </c>
    </row>
    <row r="48" spans="1:23" ht="18" customHeight="1" thickBot="1">
      <c r="A48" s="1084" t="s">
        <v>261</v>
      </c>
      <c r="B48" s="1135" t="e">
        <f t="shared" ref="B48:H48" si="3">AVERAGE(B36:B47)</f>
        <v>#DIV/0!</v>
      </c>
      <c r="C48" s="1135">
        <f t="shared" si="3"/>
        <v>4.135120526306453E-2</v>
      </c>
      <c r="D48" s="1135">
        <f t="shared" si="3"/>
        <v>4.7021950557750401E-2</v>
      </c>
      <c r="E48" s="1135">
        <f t="shared" si="3"/>
        <v>8.4429315320048593E-3</v>
      </c>
      <c r="F48" s="1135">
        <f t="shared" si="3"/>
        <v>2.5295527693530995E-3</v>
      </c>
      <c r="G48" s="1135">
        <f t="shared" si="3"/>
        <v>2.4313605994999262E-2</v>
      </c>
      <c r="H48" s="1135">
        <f t="shared" si="3"/>
        <v>5.8917614913562781E-2</v>
      </c>
      <c r="I48" s="1135">
        <f>SUM(COMPOSITE!B128:M128)/SUM(COMPOSITE!B53:M53)</f>
        <v>4.9368619022031168E-3</v>
      </c>
      <c r="J48" s="1135">
        <f t="shared" ref="J48:S48" si="4">AVERAGE(J36:J47)</f>
        <v>1.3556102039502688E-2</v>
      </c>
      <c r="K48" s="1135">
        <f t="shared" si="4"/>
        <v>4.8460366353408287E-2</v>
      </c>
      <c r="L48" s="1135">
        <f t="shared" si="4"/>
        <v>2.3516577759741485E-2</v>
      </c>
      <c r="M48" s="1135">
        <f t="shared" si="4"/>
        <v>2.3241936116124712E-2</v>
      </c>
      <c r="N48" s="1135">
        <f t="shared" si="4"/>
        <v>4.7872271560836156E-2</v>
      </c>
      <c r="O48" s="1135">
        <f t="shared" si="4"/>
        <v>4.7654773239169348E-4</v>
      </c>
      <c r="P48" s="1135">
        <f t="shared" si="4"/>
        <v>1.2102955585366828E-2</v>
      </c>
      <c r="Q48" s="1135">
        <f t="shared" si="4"/>
        <v>2.4504776640422221E-2</v>
      </c>
      <c r="R48" s="1135">
        <f t="shared" si="4"/>
        <v>1.2405882213441794E-2</v>
      </c>
      <c r="S48" s="2150">
        <f t="shared" si="4"/>
        <v>3.6944807149344991E-2</v>
      </c>
      <c r="T48" s="1135"/>
      <c r="U48" s="2151">
        <f>AVERAGE(U36:U47)</f>
        <v>4.9300249159026539E-3</v>
      </c>
      <c r="V48" s="1136">
        <f>AVERAGE(V36:V47)</f>
        <v>3.1378125093101887E-2</v>
      </c>
      <c r="W48" s="1136">
        <f>AVERAGE(W36:W47)</f>
        <v>2.333964946119706E-2</v>
      </c>
    </row>
    <row r="49" ht="15.75" thickTop="1"/>
  </sheetData>
  <mergeCells count="2">
    <mergeCell ref="A33:B34"/>
    <mergeCell ref="A18:B18"/>
  </mergeCells>
  <printOptions horizontalCentered="1" verticalCentered="1"/>
  <pageMargins left="0" right="0" top="0" bottom="0" header="0" footer="0"/>
  <pageSetup paperSize="5" scale="60" fitToHeight="3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6" tint="0.59999389629810485"/>
    <pageSetUpPr fitToPage="1"/>
  </sheetPr>
  <dimension ref="A1:BJ39"/>
  <sheetViews>
    <sheetView showGridLines="0" zoomScale="60" zoomScaleNormal="60" workbookViewId="0">
      <selection activeCell="H26" sqref="H26"/>
    </sheetView>
  </sheetViews>
  <sheetFormatPr defaultColWidth="9.140625" defaultRowHeight="15"/>
  <cols>
    <col min="1" max="1" width="1" style="23" customWidth="1"/>
    <col min="2" max="12" width="13.7109375" style="23" customWidth="1"/>
    <col min="13" max="13" width="23" style="23" customWidth="1"/>
    <col min="14" max="14" width="23.42578125" style="23" customWidth="1"/>
    <col min="15" max="18" width="13.7109375" style="23" customWidth="1"/>
    <col min="19" max="19" width="14.7109375" style="23" customWidth="1"/>
    <col min="20" max="62" width="13.7109375" style="23" customWidth="1"/>
    <col min="63" max="16384" width="9.140625" style="23"/>
  </cols>
  <sheetData>
    <row r="1" spans="1:14" ht="15.75" thickBot="1">
      <c r="A1" s="787"/>
    </row>
    <row r="2" spans="1:14" ht="24.95" customHeight="1" thickTop="1" thickBot="1">
      <c r="M2" s="1407" t="s">
        <v>445</v>
      </c>
      <c r="N2" s="1408" t="s">
        <v>283</v>
      </c>
    </row>
    <row r="3" spans="1:14" ht="24.95" customHeight="1" thickTop="1">
      <c r="M3" s="1413" t="s">
        <v>6</v>
      </c>
      <c r="N3" s="1411"/>
    </row>
    <row r="4" spans="1:14" ht="24.95" customHeight="1">
      <c r="M4" s="1414" t="s">
        <v>29</v>
      </c>
      <c r="N4" s="1412"/>
    </row>
    <row r="5" spans="1:14" ht="24.95" customHeight="1">
      <c r="M5" s="1414" t="s">
        <v>41</v>
      </c>
      <c r="N5" s="1412"/>
    </row>
    <row r="6" spans="1:14" ht="24.95" customHeight="1">
      <c r="M6" s="1414" t="s">
        <v>9</v>
      </c>
      <c r="N6" s="1412"/>
    </row>
    <row r="7" spans="1:14" ht="24.95" customHeight="1">
      <c r="M7" s="1414" t="s">
        <v>84</v>
      </c>
      <c r="N7" s="1412"/>
    </row>
    <row r="8" spans="1:14" ht="24.95" customHeight="1">
      <c r="M8" s="1414" t="s">
        <v>28</v>
      </c>
      <c r="N8" s="1412"/>
    </row>
    <row r="9" spans="1:14" ht="24.95" customHeight="1">
      <c r="M9" s="1414" t="s">
        <v>219</v>
      </c>
      <c r="N9" s="1412"/>
    </row>
    <row r="10" spans="1:14" ht="24.95" customHeight="1">
      <c r="M10" s="1414" t="s">
        <v>372</v>
      </c>
      <c r="N10" s="1412"/>
    </row>
    <row r="11" spans="1:14" ht="24.95" customHeight="1">
      <c r="M11" s="1414" t="s">
        <v>30</v>
      </c>
      <c r="N11" s="1412"/>
    </row>
    <row r="12" spans="1:14" ht="24.95" customHeight="1">
      <c r="M12" s="1414" t="s">
        <v>314</v>
      </c>
      <c r="N12" s="1412"/>
    </row>
    <row r="13" spans="1:14" ht="24.95" customHeight="1">
      <c r="M13" s="1414" t="s">
        <v>85</v>
      </c>
      <c r="N13" s="1412"/>
    </row>
    <row r="14" spans="1:14" ht="24.95" customHeight="1">
      <c r="M14" s="1414" t="s">
        <v>301</v>
      </c>
      <c r="N14" s="1412"/>
    </row>
    <row r="15" spans="1:14" ht="24.95" customHeight="1">
      <c r="M15" s="1414" t="s">
        <v>81</v>
      </c>
      <c r="N15" s="1412"/>
    </row>
    <row r="16" spans="1:14" ht="24.95" customHeight="1">
      <c r="M16" s="1414" t="s">
        <v>378</v>
      </c>
      <c r="N16" s="1412"/>
    </row>
    <row r="17" spans="2:62" ht="24.95" customHeight="1">
      <c r="M17" s="1414" t="s">
        <v>379</v>
      </c>
      <c r="N17" s="1412"/>
    </row>
    <row r="18" spans="2:62" ht="24.95" customHeight="1">
      <c r="M18" s="1414" t="s">
        <v>377</v>
      </c>
      <c r="N18" s="1412"/>
    </row>
    <row r="19" spans="2:62" ht="24.95" customHeight="1">
      <c r="M19" s="1414" t="s">
        <v>432</v>
      </c>
      <c r="N19" s="1412"/>
    </row>
    <row r="20" spans="2:62" ht="24.95" customHeight="1">
      <c r="M20" s="1414" t="s">
        <v>446</v>
      </c>
      <c r="N20" s="1412"/>
    </row>
    <row r="21" spans="2:62" ht="24.95" customHeight="1" thickBot="1">
      <c r="M21" s="1415" t="s">
        <v>433</v>
      </c>
      <c r="N21" s="2037"/>
    </row>
    <row r="22" spans="2:62" ht="24.95" customHeight="1" thickTop="1" thickBot="1">
      <c r="M22" s="1409" t="s">
        <v>62</v>
      </c>
      <c r="N22" s="1410"/>
    </row>
    <row r="23" spans="2:62" ht="35.1" customHeight="1" thickTop="1" thickBot="1">
      <c r="M23" s="135"/>
      <c r="N23" s="135"/>
    </row>
    <row r="24" spans="2:62" ht="35.1" customHeight="1" thickTop="1">
      <c r="B24" s="3023" t="s">
        <v>276</v>
      </c>
      <c r="C24" s="3025" t="s">
        <v>62</v>
      </c>
      <c r="D24" s="3025"/>
      <c r="E24" s="3025"/>
      <c r="F24" s="3025" t="s">
        <v>275</v>
      </c>
      <c r="G24" s="3025"/>
      <c r="H24" s="3025"/>
      <c r="I24" s="3025" t="s">
        <v>29</v>
      </c>
      <c r="J24" s="3025"/>
      <c r="K24" s="3025"/>
      <c r="L24" s="3026" t="s">
        <v>41</v>
      </c>
      <c r="M24" s="3027"/>
      <c r="N24" s="3028"/>
      <c r="O24" s="3025" t="s">
        <v>9</v>
      </c>
      <c r="P24" s="3025"/>
      <c r="Q24" s="3025"/>
      <c r="R24" s="3025" t="s">
        <v>474</v>
      </c>
      <c r="S24" s="3025"/>
      <c r="T24" s="3025"/>
      <c r="U24" s="3025" t="s">
        <v>476</v>
      </c>
      <c r="V24" s="3025"/>
      <c r="W24" s="3025"/>
      <c r="X24" s="3025" t="s">
        <v>477</v>
      </c>
      <c r="Y24" s="3025"/>
      <c r="Z24" s="3025"/>
      <c r="AA24" s="3025" t="s">
        <v>478</v>
      </c>
      <c r="AB24" s="3025"/>
      <c r="AC24" s="3025"/>
      <c r="AD24" s="3025" t="s">
        <v>479</v>
      </c>
      <c r="AE24" s="3025"/>
      <c r="AF24" s="3025"/>
      <c r="AG24" s="3025" t="s">
        <v>480</v>
      </c>
      <c r="AH24" s="3025"/>
      <c r="AI24" s="3025"/>
      <c r="AJ24" s="3025" t="s">
        <v>490</v>
      </c>
      <c r="AK24" s="3025"/>
      <c r="AL24" s="3025"/>
      <c r="AM24" s="3025" t="s">
        <v>488</v>
      </c>
      <c r="AN24" s="3025"/>
      <c r="AO24" s="3025"/>
      <c r="AP24" s="3025" t="s">
        <v>473</v>
      </c>
      <c r="AQ24" s="3025"/>
      <c r="AR24" s="3025"/>
      <c r="AS24" s="3025" t="s">
        <v>468</v>
      </c>
      <c r="AT24" s="3025"/>
      <c r="AU24" s="3025"/>
      <c r="AV24" s="3025" t="s">
        <v>491</v>
      </c>
      <c r="AW24" s="3025"/>
      <c r="AX24" s="3025"/>
      <c r="AY24" s="3025" t="s">
        <v>470</v>
      </c>
      <c r="AZ24" s="3025"/>
      <c r="BA24" s="3033"/>
      <c r="BB24" s="3029" t="s">
        <v>472</v>
      </c>
      <c r="BC24" s="3025"/>
      <c r="BD24" s="3030"/>
      <c r="BE24" s="3031" t="s">
        <v>496</v>
      </c>
      <c r="BF24" s="3025"/>
      <c r="BG24" s="3030"/>
      <c r="BH24" s="3031" t="s">
        <v>489</v>
      </c>
      <c r="BI24" s="3025"/>
      <c r="BJ24" s="3032"/>
    </row>
    <row r="25" spans="2:62" ht="75.75" customHeight="1">
      <c r="B25" s="3024"/>
      <c r="C25" s="1137" t="s">
        <v>298</v>
      </c>
      <c r="D25" s="1137" t="s">
        <v>299</v>
      </c>
      <c r="E25" s="1137" t="s">
        <v>556</v>
      </c>
      <c r="F25" s="1137" t="s">
        <v>298</v>
      </c>
      <c r="G25" s="1137" t="s">
        <v>299</v>
      </c>
      <c r="H25" s="1137" t="s">
        <v>556</v>
      </c>
      <c r="I25" s="1137" t="s">
        <v>298</v>
      </c>
      <c r="J25" s="1137" t="s">
        <v>299</v>
      </c>
      <c r="K25" s="1137" t="s">
        <v>556</v>
      </c>
      <c r="L25" s="1137" t="s">
        <v>298</v>
      </c>
      <c r="M25" s="1137" t="s">
        <v>299</v>
      </c>
      <c r="N25" s="1137" t="s">
        <v>556</v>
      </c>
      <c r="O25" s="1137" t="s">
        <v>298</v>
      </c>
      <c r="P25" s="1137" t="s">
        <v>299</v>
      </c>
      <c r="Q25" s="1137" t="s">
        <v>556</v>
      </c>
      <c r="R25" s="1137" t="s">
        <v>298</v>
      </c>
      <c r="S25" s="1137" t="s">
        <v>299</v>
      </c>
      <c r="T25" s="1137" t="s">
        <v>556</v>
      </c>
      <c r="U25" s="1137" t="s">
        <v>298</v>
      </c>
      <c r="V25" s="1137" t="s">
        <v>299</v>
      </c>
      <c r="W25" s="1137" t="s">
        <v>556</v>
      </c>
      <c r="X25" s="1137" t="s">
        <v>298</v>
      </c>
      <c r="Y25" s="1137" t="s">
        <v>299</v>
      </c>
      <c r="Z25" s="1137" t="s">
        <v>556</v>
      </c>
      <c r="AA25" s="1075" t="s">
        <v>298</v>
      </c>
      <c r="AB25" s="1075" t="s">
        <v>299</v>
      </c>
      <c r="AC25" s="1137" t="s">
        <v>556</v>
      </c>
      <c r="AD25" s="1137" t="s">
        <v>298</v>
      </c>
      <c r="AE25" s="1137" t="s">
        <v>299</v>
      </c>
      <c r="AF25" s="1137" t="s">
        <v>300</v>
      </c>
      <c r="AG25" s="1075" t="s">
        <v>298</v>
      </c>
      <c r="AH25" s="1075" t="s">
        <v>299</v>
      </c>
      <c r="AI25" s="1137" t="s">
        <v>556</v>
      </c>
      <c r="AJ25" s="1137" t="s">
        <v>298</v>
      </c>
      <c r="AK25" s="1137" t="s">
        <v>299</v>
      </c>
      <c r="AL25" s="1137" t="s">
        <v>556</v>
      </c>
      <c r="AM25" s="1137" t="s">
        <v>298</v>
      </c>
      <c r="AN25" s="1137" t="s">
        <v>299</v>
      </c>
      <c r="AO25" s="1137" t="s">
        <v>556</v>
      </c>
      <c r="AP25" s="1137" t="s">
        <v>298</v>
      </c>
      <c r="AQ25" s="1137" t="s">
        <v>299</v>
      </c>
      <c r="AR25" s="1137" t="s">
        <v>556</v>
      </c>
      <c r="AS25" s="1075" t="s">
        <v>298</v>
      </c>
      <c r="AT25" s="1075" t="s">
        <v>299</v>
      </c>
      <c r="AU25" s="1137" t="s">
        <v>556</v>
      </c>
      <c r="AV25" s="1075" t="s">
        <v>298</v>
      </c>
      <c r="AW25" s="1075" t="s">
        <v>299</v>
      </c>
      <c r="AX25" s="1137" t="s">
        <v>556</v>
      </c>
      <c r="AY25" s="1075" t="s">
        <v>298</v>
      </c>
      <c r="AZ25" s="1075" t="s">
        <v>299</v>
      </c>
      <c r="BA25" s="1137" t="s">
        <v>556</v>
      </c>
      <c r="BB25" s="1138" t="s">
        <v>298</v>
      </c>
      <c r="BC25" s="1075" t="s">
        <v>299</v>
      </c>
      <c r="BD25" s="1137" t="s">
        <v>556</v>
      </c>
      <c r="BE25" s="1139" t="s">
        <v>298</v>
      </c>
      <c r="BF25" s="1075" t="s">
        <v>299</v>
      </c>
      <c r="BG25" s="1137" t="s">
        <v>556</v>
      </c>
      <c r="BH25" s="1139" t="s">
        <v>298</v>
      </c>
      <c r="BI25" s="1075" t="s">
        <v>299</v>
      </c>
      <c r="BJ25" s="1399" t="s">
        <v>556</v>
      </c>
    </row>
    <row r="26" spans="2:62" s="182" customFormat="1" ht="35.1" customHeight="1">
      <c r="B26" s="1400">
        <v>42370</v>
      </c>
      <c r="C26" s="2564">
        <f t="shared" ref="C26:C32" si="0">SUM(F26,I26,L26,O26,R26,U26,X26,AA26,AD26,AG26,AJ26,AM26,AP26,AS26,AV26,AY26,BB26)</f>
        <v>1136</v>
      </c>
      <c r="D26" s="1383">
        <f>C26/SUM(COMPOSITE!B$45:B$65)</f>
        <v>1.9276781320527396E-2</v>
      </c>
      <c r="E26" s="1387">
        <f t="shared" ref="E26:E32" si="1">SUM(H26,K26,N26,Q26,T26,W26,Z26,AC26,AF26,AI26,AL26,AO26,AR26,AU26,AX26,BA26,BD26)</f>
        <v>190</v>
      </c>
      <c r="F26" s="1393">
        <f>COMPOSITE!B$371</f>
        <v>41</v>
      </c>
      <c r="G26" s="1383">
        <f>COMPOSITE!B$371/COMPOSITE!B$45</f>
        <v>5.556308442878439E-3</v>
      </c>
      <c r="H26" s="1394">
        <f>COMPOSITE!B$398</f>
        <v>0</v>
      </c>
      <c r="I26" s="1390">
        <f>COMPOSITE!B$374</f>
        <v>110</v>
      </c>
      <c r="J26" s="1383">
        <f>COMPOSITE!B$374/COMPOSITE!B$46</f>
        <v>1.4921323928377646E-2</v>
      </c>
      <c r="K26" s="1387">
        <f>COMPOSITE!B$401</f>
        <v>23</v>
      </c>
      <c r="L26" s="1393">
        <f>COMPOSITE!B$372</f>
        <v>26</v>
      </c>
      <c r="M26" s="1383">
        <f>COMPOSITE!B$372/COMPOSITE!B$47</f>
        <v>3.048065650644783E-2</v>
      </c>
      <c r="N26" s="1394">
        <f>COMPOSITE!B$399</f>
        <v>2</v>
      </c>
      <c r="O26" s="1390">
        <f>COMPOSITE!B$373</f>
        <v>4</v>
      </c>
      <c r="P26" s="1383">
        <f>COMPOSITE!B$373/COMPOSITE!B$48</f>
        <v>8.5653104925053538E-3</v>
      </c>
      <c r="Q26" s="1387">
        <f>COMPOSITE!B$400</f>
        <v>2</v>
      </c>
      <c r="R26" s="1393">
        <f>COMPOSITE!B$376+COMPOSITE!B$375</f>
        <v>15</v>
      </c>
      <c r="S26" s="2567">
        <f>R26/SUM(COMPOSITE!B$49:B$50)</f>
        <v>4.6439628482972135E-3</v>
      </c>
      <c r="T26" s="1394">
        <f>COMPOSITE!B$403+COMPOSITE!B$402</f>
        <v>11</v>
      </c>
      <c r="U26" s="1390">
        <f>COMPOSITE!B$377</f>
        <v>158</v>
      </c>
      <c r="V26" s="1383">
        <f>COMPOSITE!B$377/COMPOSITE!B$51</f>
        <v>2.9521674140508221E-2</v>
      </c>
      <c r="W26" s="1387">
        <f>COMPOSITE!B$404</f>
        <v>27</v>
      </c>
      <c r="X26" s="1393">
        <f>COMPOSITE!B$378</f>
        <v>35</v>
      </c>
      <c r="Y26" s="1383">
        <f>COMPOSITE!B$378/COMPOSITE!B$53</f>
        <v>4.93374682830561E-3</v>
      </c>
      <c r="Z26" s="1394">
        <f>COMPOSITE!B$405</f>
        <v>15</v>
      </c>
      <c r="AA26" s="1390">
        <f>COMPOSITE!B$379</f>
        <v>59</v>
      </c>
      <c r="AB26" s="1383">
        <f>COMPOSITE!B$379/COMPOSITE!B$54</f>
        <v>6.6893424036281179E-2</v>
      </c>
      <c r="AC26" s="1387">
        <f>COMPOSITE!B$406</f>
        <v>9</v>
      </c>
      <c r="AD26" s="1393">
        <f>COMPOSITE!B$380</f>
        <v>19</v>
      </c>
      <c r="AE26" s="1383">
        <f>COMPOSITE!B$380/COMPOSITE!B$55</f>
        <v>4.9556598852373498E-3</v>
      </c>
      <c r="AF26" s="1394">
        <f>COMPOSITE!B$407</f>
        <v>1</v>
      </c>
      <c r="AG26" s="1390">
        <f>COMPOSITE!B$381</f>
        <v>14</v>
      </c>
      <c r="AH26" s="1383">
        <f>COMPOSITE!B$381/COMPOSITE!B$56</f>
        <v>9.1563113145846954E-3</v>
      </c>
      <c r="AI26" s="1387">
        <f>COMPOSITE!B$408</f>
        <v>1</v>
      </c>
      <c r="AJ26" s="1393">
        <f>COMPOSITE!B$382</f>
        <v>105</v>
      </c>
      <c r="AK26" s="1383">
        <f>COMPOSITE!B$382/COMPOSITE!B$57</f>
        <v>5.1622418879056046E-2</v>
      </c>
      <c r="AL26" s="1394">
        <f>COMPOSITE!B$409</f>
        <v>65</v>
      </c>
      <c r="AM26" s="1390">
        <f>COMPOSITE!B$383+COMPOSITE!B$384</f>
        <v>33</v>
      </c>
      <c r="AN26" s="2567">
        <f>AM26/SUM(COMPOSITE!B$58:B$59)</f>
        <v>7.9537237888647871E-3</v>
      </c>
      <c r="AO26" s="1387">
        <f>COMPOSITE!B$410+COMPOSITE!B$411</f>
        <v>1</v>
      </c>
      <c r="AP26" s="1393">
        <f>COMPOSITE!B$385</f>
        <v>179</v>
      </c>
      <c r="AQ26" s="1383">
        <f>COMPOSITE!B$385/COMPOSITE!B$60</f>
        <v>0.17328170377541141</v>
      </c>
      <c r="AR26" s="1394">
        <f>COMPOSITE!B$412</f>
        <v>3</v>
      </c>
      <c r="AS26" s="1390">
        <f>COMPOSITE!B$386</f>
        <v>196</v>
      </c>
      <c r="AT26" s="1383">
        <f>COMPOSITE!B$386/COMPOSITE!B$61</f>
        <v>6.5464261857047429E-2</v>
      </c>
      <c r="AU26" s="1387">
        <f>COMPOSITE!B$413</f>
        <v>24</v>
      </c>
      <c r="AV26" s="1393">
        <f>COMPOSITE!B$387</f>
        <v>64</v>
      </c>
      <c r="AW26" s="1383">
        <f>COMPOSITE!B$387/COMPOSITE!B$62</f>
        <v>8.0402010050251257E-2</v>
      </c>
      <c r="AX26" s="1394">
        <f>COMPOSITE!B$414</f>
        <v>1</v>
      </c>
      <c r="AY26" s="1390">
        <f>COMPOSITE!B$388+COMPOSITE!B$389</f>
        <v>59</v>
      </c>
      <c r="AZ26" s="2567">
        <f>AY26/SUM(COMPOSITE!B$63:B$64)</f>
        <v>9.6499836440955191E-3</v>
      </c>
      <c r="BA26" s="1387">
        <f>COMPOSITE!B$415+COMPOSITE!B$416</f>
        <v>3</v>
      </c>
      <c r="BB26" s="1393">
        <f>COMPOSITE!B$390</f>
        <v>19</v>
      </c>
      <c r="BC26" s="1383">
        <f>COMPOSITE!B$390/COMPOSITE!B$65</f>
        <v>9.1478093403948007E-3</v>
      </c>
      <c r="BD26" s="1394">
        <f>COMPOSITE!B$417</f>
        <v>2</v>
      </c>
      <c r="BE26" s="2020"/>
      <c r="BF26" s="2021"/>
      <c r="BG26" s="2022"/>
      <c r="BH26" s="2023"/>
      <c r="BI26" s="2021"/>
      <c r="BJ26" s="2024"/>
    </row>
    <row r="27" spans="2:62" s="182" customFormat="1" ht="35.1" customHeight="1">
      <c r="B27" s="1400">
        <v>42401</v>
      </c>
      <c r="C27" s="2563">
        <f t="shared" si="0"/>
        <v>1696</v>
      </c>
      <c r="D27" s="1383">
        <f>C27/SUM(COMPOSITE!C$45:C$65)</f>
        <v>2.8932105083589219E-2</v>
      </c>
      <c r="E27" s="1387">
        <f t="shared" si="1"/>
        <v>173</v>
      </c>
      <c r="F27" s="1395">
        <f>COMPOSITE!C$371</f>
        <v>112</v>
      </c>
      <c r="G27" s="1384">
        <f>COMPOSITE!C$371/COMPOSITE!C$45</f>
        <v>1.5961236995867181E-2</v>
      </c>
      <c r="H27" s="1396">
        <f>COMPOSITE!C$398</f>
        <v>4</v>
      </c>
      <c r="I27" s="1391">
        <f>COMPOSITE!C$374</f>
        <v>212</v>
      </c>
      <c r="J27" s="1384">
        <f>COMPOSITE!C$374/COMPOSITE!C$46</f>
        <v>2.9205124672819948E-2</v>
      </c>
      <c r="K27" s="1388">
        <f>COMPOSITE!C$401</f>
        <v>8</v>
      </c>
      <c r="L27" s="1395">
        <f>COMPOSITE!C$372</f>
        <v>22</v>
      </c>
      <c r="M27" s="1384">
        <f>COMPOSITE!C$372/COMPOSITE!C$47</f>
        <v>2.6699029126213591E-2</v>
      </c>
      <c r="N27" s="1396">
        <f>COMPOSITE!C$399</f>
        <v>1</v>
      </c>
      <c r="O27" s="1391">
        <f>COMPOSITE!C$373</f>
        <v>1</v>
      </c>
      <c r="P27" s="1384">
        <f>COMPOSITE!C$373/COMPOSITE!C$48</f>
        <v>2E-3</v>
      </c>
      <c r="Q27" s="1388">
        <f>COMPOSITE!C$400</f>
        <v>0</v>
      </c>
      <c r="R27" s="2565">
        <f>COMPOSITE!C$376+COMPOSITE!C$375</f>
        <v>26</v>
      </c>
      <c r="S27" s="2568">
        <f>R27/SUM(COMPOSITE!C$49:C$50)</f>
        <v>8.4306095979247726E-3</v>
      </c>
      <c r="T27" s="2566">
        <f>COMPOSITE!C$403+COMPOSITE!C$402</f>
        <v>3</v>
      </c>
      <c r="U27" s="1391">
        <f>COMPOSITE!C$377</f>
        <v>355</v>
      </c>
      <c r="V27" s="1384">
        <f>COMPOSITE!C$377/COMPOSITE!C$51</f>
        <v>6.7825754680932368E-2</v>
      </c>
      <c r="W27" s="1388">
        <f>COMPOSITE!C$404</f>
        <v>13</v>
      </c>
      <c r="X27" s="1395">
        <f>COMPOSITE!C$378</f>
        <v>51</v>
      </c>
      <c r="Y27" s="1384">
        <f>COMPOSITE!C$378/COMPOSITE!C$53</f>
        <v>7.0744902205576365E-3</v>
      </c>
      <c r="Z27" s="1396">
        <f>COMPOSITE!C$405</f>
        <v>1</v>
      </c>
      <c r="AA27" s="1391">
        <f>COMPOSITE!C$379</f>
        <v>58</v>
      </c>
      <c r="AB27" s="1384">
        <f>COMPOSITE!C$379/COMPOSITE!C$54</f>
        <v>6.8075117370892016E-2</v>
      </c>
      <c r="AC27" s="1388">
        <f>COMPOSITE!C$406</f>
        <v>8</v>
      </c>
      <c r="AD27" s="1395">
        <f>COMPOSITE!C$380</f>
        <v>70</v>
      </c>
      <c r="AE27" s="1384">
        <f>COMPOSITE!C$380/COMPOSITE!C$55</f>
        <v>1.8990775908844276E-2</v>
      </c>
      <c r="AF27" s="1396">
        <f>COMPOSITE!C$407</f>
        <v>1</v>
      </c>
      <c r="AG27" s="1391">
        <f>COMPOSITE!C$381</f>
        <v>14</v>
      </c>
      <c r="AH27" s="1384">
        <f>COMPOSITE!C$381/COMPOSITE!C$56</f>
        <v>9.440323668240054E-3</v>
      </c>
      <c r="AI27" s="1388">
        <f>COMPOSITE!C$408</f>
        <v>5</v>
      </c>
      <c r="AJ27" s="1395">
        <f>COMPOSITE!C$382</f>
        <v>141</v>
      </c>
      <c r="AK27" s="1384">
        <f>COMPOSITE!C$382/COMPOSITE!C$57</f>
        <v>6.7496409765438012E-2</v>
      </c>
      <c r="AL27" s="1396">
        <f>COMPOSITE!C$409</f>
        <v>77</v>
      </c>
      <c r="AM27" s="2569">
        <f>COMPOSITE!C$383+COMPOSITE!C$384</f>
        <v>30</v>
      </c>
      <c r="AN27" s="2568">
        <f>AM27/SUM(COMPOSITE!C$58:C$59)</f>
        <v>7.2727272727272727E-3</v>
      </c>
      <c r="AO27" s="2570">
        <f>COMPOSITE!C$410+COMPOSITE!C$411</f>
        <v>0</v>
      </c>
      <c r="AP27" s="1395">
        <f>COMPOSITE!C$385</f>
        <v>118</v>
      </c>
      <c r="AQ27" s="1384">
        <f>COMPOSITE!C$385/COMPOSITE!C$60</f>
        <v>0.12102564102564102</v>
      </c>
      <c r="AR27" s="1396">
        <f>COMPOSITE!C$412</f>
        <v>3</v>
      </c>
      <c r="AS27" s="1391">
        <f>COMPOSITE!C$386</f>
        <v>248</v>
      </c>
      <c r="AT27" s="1384">
        <f>COMPOSITE!C$386/COMPOSITE!C$61</f>
        <v>8.8857040487280547E-2</v>
      </c>
      <c r="AU27" s="1388">
        <f>COMPOSITE!C$413</f>
        <v>22</v>
      </c>
      <c r="AV27" s="1395">
        <f>COMPOSITE!C$387</f>
        <v>80</v>
      </c>
      <c r="AW27" s="1384">
        <f>COMPOSITE!C$387/COMPOSITE!C$62</f>
        <v>9.4674556213017749E-2</v>
      </c>
      <c r="AX27" s="1396">
        <f>COMPOSITE!C$414</f>
        <v>2</v>
      </c>
      <c r="AY27" s="2569">
        <f>COMPOSITE!C$388+COMPOSITE!C$389</f>
        <v>117</v>
      </c>
      <c r="AZ27" s="2568">
        <f>AY27/SUM(COMPOSITE!C$63:C$64)</f>
        <v>1.8666241225271218E-2</v>
      </c>
      <c r="BA27" s="2570">
        <f>COMPOSITE!C$415+COMPOSITE!C$416</f>
        <v>21</v>
      </c>
      <c r="BB27" s="1395">
        <f>COMPOSITE!C$390</f>
        <v>41</v>
      </c>
      <c r="BC27" s="1384">
        <f>COMPOSITE!C$390/COMPOSITE!C$65</f>
        <v>1.7054908485856904E-2</v>
      </c>
      <c r="BD27" s="1396">
        <f>COMPOSITE!C$417</f>
        <v>4</v>
      </c>
      <c r="BE27" s="2025"/>
      <c r="BF27" s="2026"/>
      <c r="BG27" s="2027"/>
      <c r="BH27" s="2028"/>
      <c r="BI27" s="2026"/>
      <c r="BJ27" s="2029"/>
    </row>
    <row r="28" spans="2:62" s="182" customFormat="1" ht="35.1" customHeight="1">
      <c r="B28" s="1400">
        <v>42430</v>
      </c>
      <c r="C28" s="2563">
        <f t="shared" si="0"/>
        <v>988</v>
      </c>
      <c r="D28" s="1383">
        <f>C28/SUM(COMPOSITE!D$45:D$65)</f>
        <v>1.5402843601895734E-2</v>
      </c>
      <c r="E28" s="1387">
        <f t="shared" si="1"/>
        <v>118</v>
      </c>
      <c r="F28" s="1395">
        <f>COMPOSITE!D$371</f>
        <v>145</v>
      </c>
      <c r="G28" s="1384">
        <f>COMPOSITE!D$371/COMPOSITE!D$45</f>
        <v>1.8959205020920501E-2</v>
      </c>
      <c r="H28" s="1396">
        <f>COMPOSITE!D$398</f>
        <v>2</v>
      </c>
      <c r="I28" s="1391">
        <f>COMPOSITE!D$374</f>
        <v>120</v>
      </c>
      <c r="J28" s="1384">
        <f>COMPOSITE!D$374/COMPOSITE!D$46</f>
        <v>1.5410299216643122E-2</v>
      </c>
      <c r="K28" s="1388">
        <f>COMPOSITE!D$401</f>
        <v>3</v>
      </c>
      <c r="L28" s="1395">
        <f>COMPOSITE!D$372</f>
        <v>20</v>
      </c>
      <c r="M28" s="1384">
        <f>COMPOSITE!D$372/COMPOSITE!D$47</f>
        <v>2.5000000000000001E-2</v>
      </c>
      <c r="N28" s="1396">
        <f>COMPOSITE!D$399</f>
        <v>2</v>
      </c>
      <c r="O28" s="1391">
        <f>COMPOSITE!D$373</f>
        <v>29</v>
      </c>
      <c r="P28" s="1384">
        <f>COMPOSITE!D$373/COMPOSITE!D$48</f>
        <v>5.0966608084358524E-2</v>
      </c>
      <c r="Q28" s="1388">
        <f>COMPOSITE!D$400</f>
        <v>1</v>
      </c>
      <c r="R28" s="2565">
        <f>COMPOSITE!D$376+COMPOSITE!D$375</f>
        <v>11</v>
      </c>
      <c r="S28" s="2568">
        <f>R28/SUM(COMPOSITE!D$49:D$50)</f>
        <v>3.1581969566465691E-3</v>
      </c>
      <c r="T28" s="2566">
        <f>COMPOSITE!D$403+COMPOSITE!D$402</f>
        <v>3</v>
      </c>
      <c r="U28" s="1391">
        <f>COMPOSITE!D$377</f>
        <v>196</v>
      </c>
      <c r="V28" s="1384">
        <f>COMPOSITE!D$377/COMPOSITE!D$51</f>
        <v>3.2677559186395463E-2</v>
      </c>
      <c r="W28" s="1388">
        <f>COMPOSITE!D$404</f>
        <v>8</v>
      </c>
      <c r="X28" s="1395">
        <f>COMPOSITE!D$378</f>
        <v>29</v>
      </c>
      <c r="Y28" s="1384">
        <f>COMPOSITE!D$378/COMPOSITE!D$53</f>
        <v>3.5517452541334966E-3</v>
      </c>
      <c r="Z28" s="1396">
        <f>COMPOSITE!D$405</f>
        <v>2</v>
      </c>
      <c r="AA28" s="1391">
        <f>COMPOSITE!D$379</f>
        <v>20</v>
      </c>
      <c r="AB28" s="1384">
        <f>COMPOSITE!D$379/COMPOSITE!D$54</f>
        <v>2.0429009193054137E-2</v>
      </c>
      <c r="AC28" s="1388">
        <f>COMPOSITE!D$406</f>
        <v>1</v>
      </c>
      <c r="AD28" s="1395">
        <f>COMPOSITE!D$380</f>
        <v>10</v>
      </c>
      <c r="AE28" s="1384">
        <f>COMPOSITE!D$380/COMPOSITE!D$55</f>
        <v>2.4160425223483935E-3</v>
      </c>
      <c r="AF28" s="1396">
        <f>COMPOSITE!D$407</f>
        <v>0</v>
      </c>
      <c r="AG28" s="1391">
        <f>COMPOSITE!D$381</f>
        <v>22</v>
      </c>
      <c r="AH28" s="1384">
        <f>COMPOSITE!D$381/COMPOSITE!D$56</f>
        <v>1.4248704663212436E-2</v>
      </c>
      <c r="AI28" s="1388">
        <f>COMPOSITE!D$408</f>
        <v>4</v>
      </c>
      <c r="AJ28" s="1395">
        <f>COMPOSITE!D$382</f>
        <v>94</v>
      </c>
      <c r="AK28" s="1384">
        <f>COMPOSITE!D$382/COMPOSITE!D$57</f>
        <v>4.1300527240773287E-2</v>
      </c>
      <c r="AL28" s="1396">
        <f>COMPOSITE!D$409</f>
        <v>52</v>
      </c>
      <c r="AM28" s="2569">
        <f>COMPOSITE!D$383+COMPOSITE!D$384</f>
        <v>52</v>
      </c>
      <c r="AN28" s="2568">
        <f>AM28/SUM(COMPOSITE!D$58:D$59)</f>
        <v>1.1192423590185106E-2</v>
      </c>
      <c r="AO28" s="2570">
        <f>COMPOSITE!D$410+COMPOSITE!D$411</f>
        <v>4</v>
      </c>
      <c r="AP28" s="1395">
        <f>COMPOSITE!D$385</f>
        <v>62</v>
      </c>
      <c r="AQ28" s="1384">
        <f>COMPOSITE!D$385/COMPOSITE!D$60</f>
        <v>6.1569016881827213E-2</v>
      </c>
      <c r="AR28" s="1396">
        <f>COMPOSITE!D$412</f>
        <v>1</v>
      </c>
      <c r="AS28" s="1391">
        <f>COMPOSITE!D$386</f>
        <v>79</v>
      </c>
      <c r="AT28" s="1384">
        <f>COMPOSITE!D$386/COMPOSITE!D$61</f>
        <v>2.5969756738987507E-2</v>
      </c>
      <c r="AU28" s="1388">
        <f>COMPOSITE!D$413</f>
        <v>22</v>
      </c>
      <c r="AV28" s="1395">
        <f>COMPOSITE!D$387</f>
        <v>48</v>
      </c>
      <c r="AW28" s="1384">
        <f>COMPOSITE!D$387/COMPOSITE!B$62</f>
        <v>6.030150753768844E-2</v>
      </c>
      <c r="AX28" s="1396">
        <f>COMPOSITE!D$414</f>
        <v>10</v>
      </c>
      <c r="AY28" s="2569">
        <f>COMPOSITE!D$388+COMPOSITE!D$389</f>
        <v>37</v>
      </c>
      <c r="AZ28" s="2568">
        <f>AY28/SUM(COMPOSITE!D$63:D$64)</f>
        <v>5.8021013015524545E-3</v>
      </c>
      <c r="BA28" s="2570">
        <f>COMPOSITE!D$415+COMPOSITE!D$416</f>
        <v>1</v>
      </c>
      <c r="BB28" s="1395">
        <f>COMPOSITE!D$390</f>
        <v>14</v>
      </c>
      <c r="BC28" s="1384">
        <f>COMPOSITE!D$390/COMPOSITE!D$65</f>
        <v>5.3394355453852023E-3</v>
      </c>
      <c r="BD28" s="1396">
        <f>COMPOSITE!D$417</f>
        <v>2</v>
      </c>
      <c r="BE28" s="2025"/>
      <c r="BF28" s="2026"/>
      <c r="BG28" s="2027"/>
      <c r="BH28" s="2028"/>
      <c r="BI28" s="2026"/>
      <c r="BJ28" s="2029"/>
    </row>
    <row r="29" spans="2:62" s="182" customFormat="1" ht="35.1" customHeight="1">
      <c r="B29" s="1400">
        <v>42461</v>
      </c>
      <c r="C29" s="2563">
        <f t="shared" si="0"/>
        <v>1199</v>
      </c>
      <c r="D29" s="1383">
        <f>C29/SUM(COMPOSITE!E$45:E$65)</f>
        <v>2.0418589601675721E-2</v>
      </c>
      <c r="E29" s="1387">
        <f t="shared" si="1"/>
        <v>83</v>
      </c>
      <c r="F29" s="1395">
        <f>COMPOSITE!E$371</f>
        <v>32</v>
      </c>
      <c r="G29" s="1384">
        <f>COMPOSITE!E$371/COMPOSITE!E$45</f>
        <v>4.5197740112994352E-3</v>
      </c>
      <c r="H29" s="1396">
        <f>COMPOSITE!E$398</f>
        <v>1</v>
      </c>
      <c r="I29" s="1391">
        <f>COMPOSITE!E$374</f>
        <v>152</v>
      </c>
      <c r="J29" s="1384">
        <f>COMPOSITE!E$374/COMPOSITE!E$46</f>
        <v>2.0956845443264857E-2</v>
      </c>
      <c r="K29" s="1388">
        <f>COMPOSITE!E$401</f>
        <v>4</v>
      </c>
      <c r="L29" s="1395">
        <f>COMPOSITE!E$372</f>
        <v>9</v>
      </c>
      <c r="M29" s="1384">
        <f>COMPOSITE!E$372/COMPOSITE!E$47</f>
        <v>1.2345679012345678E-2</v>
      </c>
      <c r="N29" s="1396">
        <f>COMPOSITE!E$399</f>
        <v>0</v>
      </c>
      <c r="O29" s="1391">
        <f>COMPOSITE!E$373</f>
        <v>14</v>
      </c>
      <c r="P29" s="1384">
        <f>COMPOSITE!E$373/COMPOSITE!E$48</f>
        <v>3.248259860788863E-2</v>
      </c>
      <c r="Q29" s="1388">
        <f>COMPOSITE!E$400</f>
        <v>0</v>
      </c>
      <c r="R29" s="2565">
        <f>COMPOSITE!E$376+COMPOSITE!E$375</f>
        <v>9</v>
      </c>
      <c r="S29" s="2568">
        <f>R29/SUM(COMPOSITE!E$49:E$50)</f>
        <v>3.0487804878048782E-3</v>
      </c>
      <c r="T29" s="2566">
        <f>COMPOSITE!E$403+COMPOSITE!E$402</f>
        <v>3</v>
      </c>
      <c r="U29" s="1391">
        <f>COMPOSITE!E$377</f>
        <v>308</v>
      </c>
      <c r="V29" s="1384">
        <f>COMPOSITE!E$377/COMPOSITE!E$51</f>
        <v>5.6358645928636777E-2</v>
      </c>
      <c r="W29" s="1388">
        <f>COMPOSITE!E$404</f>
        <v>3</v>
      </c>
      <c r="X29" s="1395">
        <f>COMPOSITE!E$378</f>
        <v>34</v>
      </c>
      <c r="Y29" s="1384">
        <f>COMPOSITE!E$378/COMPOSITE!E$53</f>
        <v>4.6524356869184456E-3</v>
      </c>
      <c r="Z29" s="1396">
        <f>COMPOSITE!E$405</f>
        <v>0</v>
      </c>
      <c r="AA29" s="1391">
        <f>COMPOSITE!E$379</f>
        <v>52</v>
      </c>
      <c r="AB29" s="1384">
        <f>COMPOSITE!E$379/COMPOSITE!E$54</f>
        <v>5.2366565961732128E-2</v>
      </c>
      <c r="AC29" s="1388">
        <f>COMPOSITE!E$406</f>
        <v>11</v>
      </c>
      <c r="AD29" s="1395">
        <f>COMPOSITE!E$380</f>
        <v>44</v>
      </c>
      <c r="AE29" s="1384">
        <f>COMPOSITE!E$380/COMPOSITE!E$55</f>
        <v>1.1482254697286013E-2</v>
      </c>
      <c r="AF29" s="1396">
        <f>COMPOSITE!E$407</f>
        <v>0</v>
      </c>
      <c r="AG29" s="1391">
        <f>COMPOSITE!E$381</f>
        <v>8</v>
      </c>
      <c r="AH29" s="1384">
        <f>COMPOSITE!E$381/COMPOSITE!E$56</f>
        <v>5.7929036929761039E-3</v>
      </c>
      <c r="AI29" s="1388">
        <f>COMPOSITE!E$408</f>
        <v>5</v>
      </c>
      <c r="AJ29" s="1395">
        <f>COMPOSITE!E$382</f>
        <v>38</v>
      </c>
      <c r="AK29" s="1384">
        <f>COMPOSITE!E$382/COMPOSITE!E$57</f>
        <v>1.7535763728657131E-2</v>
      </c>
      <c r="AL29" s="1396">
        <f>COMPOSITE!E$409</f>
        <v>1</v>
      </c>
      <c r="AM29" s="2569">
        <f>COMPOSITE!E$383+COMPOSITE!E$384</f>
        <v>142</v>
      </c>
      <c r="AN29" s="2568">
        <f>AM29/SUM(COMPOSITE!E$58:E$59)</f>
        <v>3.3216374269005845E-2</v>
      </c>
      <c r="AO29" s="2570">
        <f>COMPOSITE!E$410+COMPOSITE!E$411</f>
        <v>3</v>
      </c>
      <c r="AP29" s="1395">
        <f>COMPOSITE!E$385</f>
        <v>71</v>
      </c>
      <c r="AQ29" s="1384">
        <f>COMPOSITE!E$385/COMPOSITE!E$60</f>
        <v>7.3045267489711935E-2</v>
      </c>
      <c r="AR29" s="1396">
        <f>COMPOSITE!E$412</f>
        <v>0</v>
      </c>
      <c r="AS29" s="1391">
        <f>COMPOSITE!E$386</f>
        <v>120</v>
      </c>
      <c r="AT29" s="1384">
        <f>COMPOSITE!E$386/COMPOSITE!E$61</f>
        <v>3.8935756002595717E-2</v>
      </c>
      <c r="AU29" s="1388">
        <f>COMPOSITE!E$413</f>
        <v>38</v>
      </c>
      <c r="AV29" s="1395">
        <f>COMPOSITE!E$387</f>
        <v>61</v>
      </c>
      <c r="AW29" s="1384">
        <f>COMPOSITE!E$387/COMPOSITE!E$62</f>
        <v>7.4029126213592228E-2</v>
      </c>
      <c r="AX29" s="1396">
        <f>COMPOSITE!E$414</f>
        <v>13</v>
      </c>
      <c r="AY29" s="2569">
        <f>COMPOSITE!E$388+COMPOSITE!E$389</f>
        <v>38</v>
      </c>
      <c r="AZ29" s="2568">
        <f>AY29/SUM(COMPOSITE!E$63:E$64)</f>
        <v>6.4167510976021616E-3</v>
      </c>
      <c r="BA29" s="2570">
        <f>COMPOSITE!E$415+COMPOSITE!E$416</f>
        <v>1</v>
      </c>
      <c r="BB29" s="1395">
        <f>COMPOSITE!E$390</f>
        <v>67</v>
      </c>
      <c r="BC29" s="1384">
        <f>COMPOSITE!E$390/COMPOSITE!E$65</f>
        <v>3.0289330922242313E-2</v>
      </c>
      <c r="BD29" s="1396">
        <f>COMPOSITE!E$417</f>
        <v>0</v>
      </c>
      <c r="BE29" s="2025"/>
      <c r="BF29" s="2026"/>
      <c r="BG29" s="2027"/>
      <c r="BH29" s="2028"/>
      <c r="BI29" s="2026"/>
      <c r="BJ29" s="2029"/>
    </row>
    <row r="30" spans="2:62" s="182" customFormat="1" ht="35.1" customHeight="1">
      <c r="B30" s="1400">
        <v>42491</v>
      </c>
      <c r="C30" s="2563">
        <f t="shared" si="0"/>
        <v>1947</v>
      </c>
      <c r="D30" s="1383">
        <f>C30/SUM(COMPOSITE!F$45:F$65)</f>
        <v>3.7983573616340548E-2</v>
      </c>
      <c r="E30" s="1387">
        <f t="shared" si="1"/>
        <v>115</v>
      </c>
      <c r="F30" s="1395">
        <f>COMPOSITE!F$371</f>
        <v>43</v>
      </c>
      <c r="G30" s="1384">
        <f>COMPOSITE!F$371/COMPOSITE!F$45</f>
        <v>5.9285812767130843E-3</v>
      </c>
      <c r="H30" s="1396">
        <f>COMPOSITE!F$398</f>
        <v>1</v>
      </c>
      <c r="I30" s="1391">
        <f>COMPOSITE!F$374</f>
        <v>211</v>
      </c>
      <c r="J30" s="1384">
        <f>COMPOSITE!F$374/COMPOSITE!F$46</f>
        <v>2.9543545225427053E-2</v>
      </c>
      <c r="K30" s="1388">
        <f>COMPOSITE!F$401</f>
        <v>1</v>
      </c>
      <c r="L30" s="1395">
        <f>COMPOSITE!F$372</f>
        <v>13</v>
      </c>
      <c r="M30" s="1384">
        <f>COMPOSITE!F$372/COMPOSITE!F$47</f>
        <v>2.1381578947368422E-2</v>
      </c>
      <c r="N30" s="1396">
        <f>COMPOSITE!F$399</f>
        <v>0</v>
      </c>
      <c r="O30" s="1391">
        <f>COMPOSITE!F$373</f>
        <v>13</v>
      </c>
      <c r="P30" s="1384">
        <f>COMPOSITE!F$373/COMPOSITE!F$48</f>
        <v>3.903903903903904E-2</v>
      </c>
      <c r="Q30" s="1388">
        <f>COMPOSITE!F$400</f>
        <v>0</v>
      </c>
      <c r="R30" s="2565">
        <f>COMPOSITE!F$376+COMPOSITE!F$375</f>
        <v>25</v>
      </c>
      <c r="S30" s="2568">
        <f>R30/SUM(COMPOSITE!F$49:F$50)</f>
        <v>8.5207907293796872E-3</v>
      </c>
      <c r="T30" s="2566">
        <f>COMPOSITE!F$403+COMPOSITE!F$402</f>
        <v>1</v>
      </c>
      <c r="U30" s="1391">
        <f>COMPOSITE!F$377</f>
        <v>359</v>
      </c>
      <c r="V30" s="1384">
        <f>COMPOSITE!F$377/COMPOSITE!F$51</f>
        <v>6.2304755293300935E-2</v>
      </c>
      <c r="W30" s="1388">
        <f>COMPOSITE!F$404</f>
        <v>4</v>
      </c>
      <c r="X30" s="1395">
        <f>COMPOSITE!F$378</f>
        <v>60</v>
      </c>
      <c r="Y30" s="1384" t="e">
        <f>COMPOSITE!F$378/COMPOSITE!F$53</f>
        <v>#DIV/0!</v>
      </c>
      <c r="Z30" s="1396">
        <f>COMPOSITE!F$405</f>
        <v>7</v>
      </c>
      <c r="AA30" s="1391">
        <f>COMPOSITE!F$379</f>
        <v>69</v>
      </c>
      <c r="AB30" s="1384">
        <f>COMPOSITE!F$379/COMPOSITE!F$54</f>
        <v>7.5081610446137106E-2</v>
      </c>
      <c r="AC30" s="1388">
        <f>COMPOSITE!F$406</f>
        <v>17</v>
      </c>
      <c r="AD30" s="1395">
        <f>COMPOSITE!F$380</f>
        <v>125</v>
      </c>
      <c r="AE30" s="1384">
        <f>COMPOSITE!F$380/COMPOSITE!F$55</f>
        <v>3.2868787799105972E-2</v>
      </c>
      <c r="AF30" s="1396">
        <f>COMPOSITE!F$407</f>
        <v>4</v>
      </c>
      <c r="AG30" s="1391">
        <f>COMPOSITE!F$381</f>
        <v>24</v>
      </c>
      <c r="AH30" s="1384">
        <f>COMPOSITE!F$381/COMPOSITE!F$56</f>
        <v>1.5065913370998116E-2</v>
      </c>
      <c r="AI30" s="1388">
        <f>COMPOSITE!F$408</f>
        <v>2</v>
      </c>
      <c r="AJ30" s="1395">
        <f>COMPOSITE!F$382</f>
        <v>80</v>
      </c>
      <c r="AK30" s="1384">
        <f>COMPOSITE!F$382/COMPOSITE!F$57</f>
        <v>3.7002775208140611E-2</v>
      </c>
      <c r="AL30" s="1396">
        <f>COMPOSITE!F$409</f>
        <v>6</v>
      </c>
      <c r="AM30" s="2569">
        <f>COMPOSITE!F$383+COMPOSITE!F$384</f>
        <v>226</v>
      </c>
      <c r="AN30" s="2568">
        <f>AM30/SUM(COMPOSITE!F$58:F$59)</f>
        <v>5.5871446229913475E-2</v>
      </c>
      <c r="AO30" s="2570">
        <f>COMPOSITE!F$410+COMPOSITE!F$411</f>
        <v>1</v>
      </c>
      <c r="AP30" s="1395">
        <f>COMPOSITE!F$385</f>
        <v>123</v>
      </c>
      <c r="AQ30" s="1384">
        <f>COMPOSITE!F$385/COMPOSITE!F$60</f>
        <v>0.13311688311688311</v>
      </c>
      <c r="AR30" s="1396">
        <f>COMPOSITE!F$412</f>
        <v>1</v>
      </c>
      <c r="AS30" s="1391">
        <f>COMPOSITE!F$386</f>
        <v>165</v>
      </c>
      <c r="AT30" s="1384">
        <f>COMPOSITE!F$386/COMPOSITE!F$61</f>
        <v>5.5239370605959154E-2</v>
      </c>
      <c r="AU30" s="1388">
        <f>COMPOSITE!F$413</f>
        <v>52</v>
      </c>
      <c r="AV30" s="1395">
        <f>COMPOSITE!F$387</f>
        <v>77</v>
      </c>
      <c r="AW30" s="1384">
        <f>COMPOSITE!F$387/COMPOSITE!F$62</f>
        <v>8.6711711711711714E-2</v>
      </c>
      <c r="AX30" s="1396">
        <f>COMPOSITE!F$414</f>
        <v>6</v>
      </c>
      <c r="AY30" s="2569">
        <f>COMPOSITE!F$388+COMPOSITE!F$389</f>
        <v>240</v>
      </c>
      <c r="AZ30" s="2568">
        <f>AY30/SUM(COMPOSITE!F$63:F$64)</f>
        <v>4.128677103044899E-2</v>
      </c>
      <c r="BA30" s="2570">
        <f>COMPOSITE!F$415+COMPOSITE!F$416</f>
        <v>6</v>
      </c>
      <c r="BB30" s="1395">
        <f>COMPOSITE!F$390</f>
        <v>94</v>
      </c>
      <c r="BC30" s="1384">
        <f>COMPOSITE!F$390/COMPOSITE!F$65</f>
        <v>4.2190305206463198E-2</v>
      </c>
      <c r="BD30" s="1396">
        <f>COMPOSITE!F$417</f>
        <v>6</v>
      </c>
      <c r="BE30" s="2025"/>
      <c r="BF30" s="2026"/>
      <c r="BG30" s="2027"/>
      <c r="BH30" s="2028"/>
      <c r="BI30" s="2026"/>
      <c r="BJ30" s="2029"/>
    </row>
    <row r="31" spans="2:62" s="182" customFormat="1" ht="35.1" customHeight="1">
      <c r="B31" s="1400">
        <v>42522</v>
      </c>
      <c r="C31" s="2563">
        <f t="shared" si="0"/>
        <v>1692</v>
      </c>
      <c r="D31" s="1383">
        <f>C31/SUM(COMPOSITE!G$45:G$65)</f>
        <v>3.4970238095238096E-2</v>
      </c>
      <c r="E31" s="1387">
        <f t="shared" si="1"/>
        <v>75</v>
      </c>
      <c r="F31" s="1395">
        <f>COMPOSITE!G$371</f>
        <v>35</v>
      </c>
      <c r="G31" s="1384">
        <f>COMPOSITE!G$371/COMPOSITE!G$45</f>
        <v>5.017921146953405E-3</v>
      </c>
      <c r="H31" s="1396">
        <f>COMPOSITE!G$398</f>
        <v>1</v>
      </c>
      <c r="I31" s="1391">
        <f>COMPOSITE!G$374</f>
        <v>192</v>
      </c>
      <c r="J31" s="1384">
        <f>COMPOSITE!G$374/COMPOSITE!G$46</f>
        <v>2.7685652487382841E-2</v>
      </c>
      <c r="K31" s="1388">
        <f>COMPOSITE!G$401</f>
        <v>4</v>
      </c>
      <c r="L31" s="1395">
        <f>COMPOSITE!G$372</f>
        <v>10</v>
      </c>
      <c r="M31" s="1384">
        <f>COMPOSITE!G$372/COMPOSITE!G$47</f>
        <v>1.6920473773265651E-2</v>
      </c>
      <c r="N31" s="1396">
        <f>COMPOSITE!G$399</f>
        <v>1</v>
      </c>
      <c r="O31" s="1391">
        <f>COMPOSITE!G$373</f>
        <v>7</v>
      </c>
      <c r="P31" s="1384">
        <f>COMPOSITE!G$373/COMPOSITE!G$48</f>
        <v>2.2950819672131147E-2</v>
      </c>
      <c r="Q31" s="1388">
        <f>COMPOSITE!G$400</f>
        <v>0</v>
      </c>
      <c r="R31" s="2565">
        <f>COMPOSITE!G$376+COMPOSITE!G$375</f>
        <v>19</v>
      </c>
      <c r="S31" s="2568">
        <f>R31/SUM(COMPOSITE!G$49:G$50)</f>
        <v>6.8369917236415978E-3</v>
      </c>
      <c r="T31" s="2566">
        <f>COMPOSITE!G$403+COMPOSITE!G$402</f>
        <v>1</v>
      </c>
      <c r="U31" s="1391">
        <f>COMPOSITE!G$377</f>
        <v>298</v>
      </c>
      <c r="V31" s="1384">
        <f>COMPOSITE!G$377/COMPOSITE!G$51</f>
        <v>5.4628780934922093E-2</v>
      </c>
      <c r="W31" s="1388">
        <f>COMPOSITE!G$404</f>
        <v>2</v>
      </c>
      <c r="X31" s="1395">
        <f>COMPOSITE!G$378</f>
        <v>45</v>
      </c>
      <c r="Y31" s="1384" t="e">
        <f>COMPOSITE!G$378/COMPOSITE!G$53</f>
        <v>#DIV/0!</v>
      </c>
      <c r="Z31" s="1396">
        <f>COMPOSITE!G$405</f>
        <v>0</v>
      </c>
      <c r="AA31" s="1391">
        <f>COMPOSITE!G$379</f>
        <v>46</v>
      </c>
      <c r="AB31" s="1384">
        <f>COMPOSITE!G$379/COMPOSITE!G$54</f>
        <v>4.898828541001065E-2</v>
      </c>
      <c r="AC31" s="1388">
        <f>COMPOSITE!G$406</f>
        <v>7</v>
      </c>
      <c r="AD31" s="1395">
        <f>COMPOSITE!G$380</f>
        <v>128</v>
      </c>
      <c r="AE31" s="1384">
        <f>COMPOSITE!G$380/COMPOSITE!G$55</f>
        <v>3.5155177149134853E-2</v>
      </c>
      <c r="AF31" s="1396">
        <f>COMPOSITE!G$407</f>
        <v>7</v>
      </c>
      <c r="AG31" s="1391">
        <f>COMPOSITE!G$381</f>
        <v>28</v>
      </c>
      <c r="AH31" s="1384">
        <f>COMPOSITE!G$381/COMPOSITE!G$56</f>
        <v>1.7789072426937738E-2</v>
      </c>
      <c r="AI31" s="1388">
        <f>COMPOSITE!G$408</f>
        <v>4</v>
      </c>
      <c r="AJ31" s="1395">
        <f>COMPOSITE!G$382</f>
        <v>70</v>
      </c>
      <c r="AK31" s="1384">
        <f>COMPOSITE!G$382/COMPOSITE!G$57</f>
        <v>3.2124827902707667E-2</v>
      </c>
      <c r="AL31" s="1396">
        <f>COMPOSITE!G$409</f>
        <v>3</v>
      </c>
      <c r="AM31" s="2569">
        <f>COMPOSITE!G$383+COMPOSITE!G$384</f>
        <v>256</v>
      </c>
      <c r="AN31" s="2568">
        <f>AM31/SUM(COMPOSITE!G$58:G$59)</f>
        <v>6.8614312516751541E-2</v>
      </c>
      <c r="AO31" s="2570">
        <f>COMPOSITE!G$410+COMPOSITE!G$411</f>
        <v>2</v>
      </c>
      <c r="AP31" s="1395">
        <f>COMPOSITE!G$385</f>
        <v>103</v>
      </c>
      <c r="AQ31" s="1384">
        <f>COMPOSITE!G$385/COMPOSITE!G$60</f>
        <v>0.12276519666269368</v>
      </c>
      <c r="AR31" s="1396">
        <f>COMPOSITE!G$412</f>
        <v>1</v>
      </c>
      <c r="AS31" s="1391">
        <f>COMPOSITE!G$386</f>
        <v>111</v>
      </c>
      <c r="AT31" s="1384">
        <f>COMPOSITE!G$386/COMPOSITE!G$61</f>
        <v>3.7614368010843779E-2</v>
      </c>
      <c r="AU31" s="1388">
        <f>COMPOSITE!G$413</f>
        <v>32</v>
      </c>
      <c r="AV31" s="1395">
        <f>COMPOSITE!G$387</f>
        <v>77</v>
      </c>
      <c r="AW31" s="1384">
        <f>COMPOSITE!G$387/COMPOSITE!G$62</f>
        <v>8.461538461538462E-2</v>
      </c>
      <c r="AX31" s="1396">
        <f>COMPOSITE!G$414</f>
        <v>4</v>
      </c>
      <c r="AY31" s="2569">
        <f>COMPOSITE!G$388+COMPOSITE!G$389</f>
        <v>182</v>
      </c>
      <c r="AZ31" s="2568">
        <f>AY31/SUM(COMPOSITE!G$63:G$64)</f>
        <v>3.4489293158991852E-2</v>
      </c>
      <c r="BA31" s="2570">
        <f>COMPOSITE!G$415+COMPOSITE!G$416</f>
        <v>4</v>
      </c>
      <c r="BB31" s="1395">
        <f>COMPOSITE!G$390</f>
        <v>85</v>
      </c>
      <c r="BC31" s="1384">
        <f>COMPOSITE!G$390/COMPOSITE!G$65</f>
        <v>4.3081601621895588E-2</v>
      </c>
      <c r="BD31" s="1396">
        <f>COMPOSITE!G$417</f>
        <v>2</v>
      </c>
      <c r="BE31" s="2025"/>
      <c r="BF31" s="2026"/>
      <c r="BG31" s="2027"/>
      <c r="BH31" s="2028"/>
      <c r="BI31" s="2026"/>
      <c r="BJ31" s="2029"/>
    </row>
    <row r="32" spans="2:62" s="182" customFormat="1" ht="35.1" customHeight="1">
      <c r="B32" s="1400">
        <v>42552</v>
      </c>
      <c r="C32" s="2563">
        <f t="shared" si="0"/>
        <v>2881</v>
      </c>
      <c r="D32" s="1384">
        <f>C32/SUM(COMPOSITE!H$45:H$65)</f>
        <v>5.741445624663704E-2</v>
      </c>
      <c r="E32" s="1387">
        <f t="shared" si="1"/>
        <v>77</v>
      </c>
      <c r="F32" s="1395">
        <f>COMPOSITE!H$371</f>
        <v>33</v>
      </c>
      <c r="G32" s="1384">
        <f>COMPOSITE!H$371/COMPOSITE!H$45</f>
        <v>4.6173219532671048E-3</v>
      </c>
      <c r="H32" s="1396">
        <f>COMPOSITE!H$398</f>
        <v>2</v>
      </c>
      <c r="I32" s="1391">
        <f>COMPOSITE!H$374</f>
        <v>399</v>
      </c>
      <c r="J32" s="1384">
        <f>COMPOSITE!H$374/COMPOSITE!H$46</f>
        <v>5.6651994888541814E-2</v>
      </c>
      <c r="K32" s="1388">
        <f>COMPOSITE!H$401</f>
        <v>3</v>
      </c>
      <c r="L32" s="1395">
        <f>COMPOSITE!H$372</f>
        <v>29</v>
      </c>
      <c r="M32" s="1384">
        <f>COMPOSITE!H$372/COMPOSITE!H$47</f>
        <v>3.3256880733944956E-2</v>
      </c>
      <c r="N32" s="1396">
        <f>COMPOSITE!H$399</f>
        <v>0</v>
      </c>
      <c r="O32" s="1391">
        <f>COMPOSITE!H$373</f>
        <v>46</v>
      </c>
      <c r="P32" s="1384">
        <f>COMPOSITE!H$373/COMPOSITE!H$48</f>
        <v>0.15131578947368421</v>
      </c>
      <c r="Q32" s="1388">
        <f>COMPOSITE!H$400</f>
        <v>1</v>
      </c>
      <c r="R32" s="2565">
        <f>COMPOSITE!H$376+COMPOSITE!H$375</f>
        <v>30</v>
      </c>
      <c r="S32" s="2568">
        <f>R32/SUM(COMPOSITE!H$49:H$50)</f>
        <v>1.0810810810810811E-2</v>
      </c>
      <c r="T32" s="2566">
        <f>COMPOSITE!H$403+COMPOSITE!H$402</f>
        <v>3</v>
      </c>
      <c r="U32" s="1391">
        <f>COMPOSITE!H$377</f>
        <v>449</v>
      </c>
      <c r="V32" s="1384">
        <f>COMPOSITE!H$377/COMPOSITE!H$51</f>
        <v>8.0035650623885915E-2</v>
      </c>
      <c r="W32" s="1388">
        <f>COMPOSITE!H$404</f>
        <v>6</v>
      </c>
      <c r="X32" s="1395">
        <f>COMPOSITE!H$378</f>
        <v>41</v>
      </c>
      <c r="Y32" s="1384" t="e">
        <f>COMPOSITE!H$378/COMPOSITE!H$53</f>
        <v>#DIV/0!</v>
      </c>
      <c r="Z32" s="1396">
        <f>COMPOSITE!H$405</f>
        <v>1</v>
      </c>
      <c r="AA32" s="1391">
        <f>COMPOSITE!H$379</f>
        <v>57</v>
      </c>
      <c r="AB32" s="1384">
        <f>COMPOSITE!H$379/COMPOSITE!H$54</f>
        <v>6.0509554140127389E-2</v>
      </c>
      <c r="AC32" s="1388">
        <f>COMPOSITE!H$406</f>
        <v>5</v>
      </c>
      <c r="AD32" s="1395">
        <f>COMPOSITE!H$380</f>
        <v>323</v>
      </c>
      <c r="AE32" s="1384">
        <f>COMPOSITE!H$380/COMPOSITE!H$55</f>
        <v>8.3700440528634359E-2</v>
      </c>
      <c r="AF32" s="1396">
        <f>COMPOSITE!H$407</f>
        <v>9</v>
      </c>
      <c r="AG32" s="1391">
        <f>COMPOSITE!H$381</f>
        <v>35</v>
      </c>
      <c r="AH32" s="1384">
        <f>COMPOSITE!H$381/COMPOSITE!H$56</f>
        <v>2.1779713752333542E-2</v>
      </c>
      <c r="AI32" s="1388">
        <f>COMPOSITE!H$408</f>
        <v>4</v>
      </c>
      <c r="AJ32" s="1395">
        <f>COMPOSITE!H$382</f>
        <v>209</v>
      </c>
      <c r="AK32" s="1384">
        <f>COMPOSITE!H$382/COMPOSITE!H$57</f>
        <v>9.5783684692942253E-2</v>
      </c>
      <c r="AL32" s="1396">
        <f>COMPOSITE!H$409</f>
        <v>6</v>
      </c>
      <c r="AM32" s="1391">
        <f>COMPOSITE!H$383+COMPOSITE!H$384</f>
        <v>552</v>
      </c>
      <c r="AN32" s="2571">
        <f>AM32/SUM(COMPOSITE!H$58:H$59)</f>
        <v>0.14114037330605983</v>
      </c>
      <c r="AO32" s="1388">
        <f>COMPOSITE!H$410+COMPOSITE!H$411</f>
        <v>9</v>
      </c>
      <c r="AP32" s="1395">
        <f>COMPOSITE!H$385</f>
        <v>130</v>
      </c>
      <c r="AQ32" s="1384">
        <f>COMPOSITE!H$385/COMPOSITE!H$60</f>
        <v>0.12871287128712872</v>
      </c>
      <c r="AR32" s="1396">
        <f>COMPOSITE!H$412</f>
        <v>1</v>
      </c>
      <c r="AS32" s="1391">
        <f>COMPOSITE!H$386</f>
        <v>96</v>
      </c>
      <c r="AT32" s="1384">
        <f>COMPOSITE!H$386/COMPOSITE!H$61</f>
        <v>3.0937802126973897E-2</v>
      </c>
      <c r="AU32" s="1388">
        <f>COMPOSITE!H$413</f>
        <v>22</v>
      </c>
      <c r="AV32" s="1395">
        <f>COMPOSITE!H$387</f>
        <v>55</v>
      </c>
      <c r="AW32" s="1384">
        <f>COMPOSITE!H$387/COMPOSITE!H$62</f>
        <v>5.9847660500544068E-2</v>
      </c>
      <c r="AX32" s="1396">
        <f>COMPOSITE!H$414</f>
        <v>0</v>
      </c>
      <c r="AY32" s="1391">
        <f>COMPOSITE!H$388+COMPOSITE!H$389</f>
        <v>294</v>
      </c>
      <c r="AZ32" s="2571">
        <f>AY32/SUM(COMPOSITE!H$63:H$64)</f>
        <v>5.3135731068136634E-2</v>
      </c>
      <c r="BA32" s="1388">
        <f>COMPOSITE!H$415+COMPOSITE!H$416</f>
        <v>2</v>
      </c>
      <c r="BB32" s="1395">
        <f>COMPOSITE!H$390</f>
        <v>103</v>
      </c>
      <c r="BC32" s="1384">
        <f>COMPOSITE!H$390/COMPOSITE!H$65</f>
        <v>5.2046488125315815E-2</v>
      </c>
      <c r="BD32" s="1396">
        <f>COMPOSITE!H$417</f>
        <v>3</v>
      </c>
      <c r="BE32" s="2025"/>
      <c r="BF32" s="2026"/>
      <c r="BG32" s="2027"/>
      <c r="BH32" s="2028"/>
      <c r="BI32" s="2026"/>
      <c r="BJ32" s="2029"/>
    </row>
    <row r="33" spans="2:62" s="182" customFormat="1" ht="35.1" customHeight="1">
      <c r="B33" s="1400">
        <v>42583</v>
      </c>
      <c r="C33" s="2563">
        <f>SUM(F33,I33,L33,O33,R33,U33,X33,AA33,AD33,AG33,AJ33,AM33,AP33,AS33,AV33,AY33,BB33)</f>
        <v>1642</v>
      </c>
      <c r="D33" s="1384">
        <f>C33/SUM(COMPOSITE!I$45:I$65)</f>
        <v>3.3262432897802084E-2</v>
      </c>
      <c r="E33" s="1387">
        <f>SUM(H33,K33,N33,Q33,T33,W33,Z33,AC33,AF33,AI33,AL33,AO33,AR33,AU33,AX33,BA33,BD33)</f>
        <v>101</v>
      </c>
      <c r="F33" s="1395">
        <f>COMPOSITE!I$371</f>
        <v>30</v>
      </c>
      <c r="G33" s="1384">
        <f>COMPOSITE!I$371/COMPOSITE!I$45</f>
        <v>4.3923865300146414E-3</v>
      </c>
      <c r="H33" s="1396">
        <f>COMPOSITE!I$398</f>
        <v>0</v>
      </c>
      <c r="I33" s="1391">
        <f>COMPOSITE!I$374</f>
        <v>172</v>
      </c>
      <c r="J33" s="1384">
        <f>COMPOSITE!I$374/COMPOSITE!I$46</f>
        <v>2.4726854514088556E-2</v>
      </c>
      <c r="K33" s="1388">
        <f>COMPOSITE!I$401</f>
        <v>3</v>
      </c>
      <c r="L33" s="1395">
        <f>COMPOSITE!I$372</f>
        <v>16</v>
      </c>
      <c r="M33" s="1384">
        <f>COMPOSITE!I$372/COMPOSITE!I$47</f>
        <v>2.7586206896551724E-2</v>
      </c>
      <c r="N33" s="1396">
        <f>COMPOSITE!I$399</f>
        <v>0</v>
      </c>
      <c r="O33" s="1391">
        <f>COMPOSITE!I$373</f>
        <v>17</v>
      </c>
      <c r="P33" s="1384">
        <f>COMPOSITE!I$373/COMPOSITE!I$48</f>
        <v>6.1594202898550728E-2</v>
      </c>
      <c r="Q33" s="1388">
        <f>COMPOSITE!I$400</f>
        <v>0</v>
      </c>
      <c r="R33" s="2565">
        <f>COMPOSITE!I$376+COMPOSITE!I$375</f>
        <v>21</v>
      </c>
      <c r="S33" s="2568">
        <f>R33/SUM(COMPOSITE!I$49:I$50)</f>
        <v>7.4946466809421844E-3</v>
      </c>
      <c r="T33" s="2566">
        <f>COMPOSITE!I$403+COMPOSITE!I$402</f>
        <v>4</v>
      </c>
      <c r="U33" s="1391">
        <f>COMPOSITE!I$377</f>
        <v>307</v>
      </c>
      <c r="V33" s="1384">
        <f>COMPOSITE!I$377/COMPOSITE!I$51</f>
        <v>5.6124314442413163E-2</v>
      </c>
      <c r="W33" s="1388">
        <f>COMPOSITE!I$404</f>
        <v>3</v>
      </c>
      <c r="X33" s="2381"/>
      <c r="Y33" s="2382"/>
      <c r="Z33" s="2383"/>
      <c r="AA33" s="1391">
        <f>COMPOSITE!I$379</f>
        <v>65</v>
      </c>
      <c r="AB33" s="1384">
        <f>COMPOSITE!I$379/COMPOSITE!I$54</f>
        <v>6.4676616915422883E-2</v>
      </c>
      <c r="AC33" s="1388">
        <f>COMPOSITE!I$406</f>
        <v>17</v>
      </c>
      <c r="AD33" s="1395">
        <f>COMPOSITE!I$380</f>
        <v>123</v>
      </c>
      <c r="AE33" s="1384">
        <f>COMPOSITE!I$380/COMPOSITE!I$55</f>
        <v>3.2165271966527194E-2</v>
      </c>
      <c r="AF33" s="1396">
        <f>COMPOSITE!I$407</f>
        <v>0</v>
      </c>
      <c r="AG33" s="1391">
        <f>COMPOSITE!I$381</f>
        <v>19</v>
      </c>
      <c r="AH33" s="1384">
        <f>COMPOSITE!I$381/COMPOSITE!I$56</f>
        <v>1.2048192771084338E-2</v>
      </c>
      <c r="AI33" s="1388">
        <f>COMPOSITE!I$408</f>
        <v>0</v>
      </c>
      <c r="AJ33" s="1395">
        <f>COMPOSITE!I$382</f>
        <v>56</v>
      </c>
      <c r="AK33" s="1384">
        <f>COMPOSITE!I$382/COMPOSITE!I$57</f>
        <v>2.3759015697921087E-2</v>
      </c>
      <c r="AL33" s="1396">
        <f>COMPOSITE!I$409</f>
        <v>0</v>
      </c>
      <c r="AM33" s="1391">
        <f>COMPOSITE!I$383+COMPOSITE!I$384</f>
        <v>225</v>
      </c>
      <c r="AN33" s="2571">
        <f>AM33/SUM(COMPOSITE!I$58:I$59)</f>
        <v>5.5391432791728215E-2</v>
      </c>
      <c r="AO33" s="1388">
        <f>COMPOSITE!I$410+COMPOSITE!I$411</f>
        <v>2</v>
      </c>
      <c r="AP33" s="1395">
        <f>COMPOSITE!I$385</f>
        <v>151</v>
      </c>
      <c r="AQ33" s="1384">
        <f>COMPOSITE!I$385/COMPOSITE!I$60</f>
        <v>0.17723004694835681</v>
      </c>
      <c r="AR33" s="1396">
        <f>COMPOSITE!I$412</f>
        <v>0</v>
      </c>
      <c r="AS33" s="1391">
        <f>COMPOSITE!I$386</f>
        <v>171</v>
      </c>
      <c r="AT33" s="1384">
        <f>COMPOSITE!I$386/COMPOSITE!I$61</f>
        <v>5.533980582524272E-2</v>
      </c>
      <c r="AU33" s="1388">
        <f>COMPOSITE!I$413</f>
        <v>67</v>
      </c>
      <c r="AV33" s="1395">
        <f>COMPOSITE!I$387</f>
        <v>53</v>
      </c>
      <c r="AW33" s="1384">
        <f>COMPOSITE!I$387/COMPOSITE!I$62</f>
        <v>5.573080967402734E-2</v>
      </c>
      <c r="AX33" s="1396">
        <f>COMPOSITE!I$414</f>
        <v>4</v>
      </c>
      <c r="AY33" s="1391">
        <f>COMPOSITE!I$388+COMPOSITE!I$389</f>
        <v>159</v>
      </c>
      <c r="AZ33" s="2571">
        <f>AY33/SUM(COMPOSITE!I$63:I$64)</f>
        <v>2.9158261507427105E-2</v>
      </c>
      <c r="BA33" s="1388">
        <f>COMPOSITE!I$415+COMPOSITE!I$416</f>
        <v>1</v>
      </c>
      <c r="BB33" s="1395">
        <f>COMPOSITE!I$390</f>
        <v>57</v>
      </c>
      <c r="BC33" s="1384">
        <f>COMPOSITE!I$390/COMPOSITE!I$65</f>
        <v>2.8414755732801594E-2</v>
      </c>
      <c r="BD33" s="1396">
        <f>COMPOSITE!I$417</f>
        <v>0</v>
      </c>
      <c r="BE33" s="2025"/>
      <c r="BF33" s="2026"/>
      <c r="BG33" s="2027"/>
      <c r="BH33" s="2028"/>
      <c r="BI33" s="2026"/>
      <c r="BJ33" s="2029"/>
    </row>
    <row r="34" spans="2:62" s="182" customFormat="1" ht="35.1" customHeight="1">
      <c r="B34" s="1400">
        <v>42614</v>
      </c>
      <c r="C34" s="2563">
        <f>SUM(F34,I34,L34,O34,R34,U34,X34,AA34,AD34,AG34,AJ34,AM34,AP34,AS34,AV34,AY34,BB34)</f>
        <v>1245</v>
      </c>
      <c r="D34" s="1384">
        <f>C34/SUM(COMPOSITE!J$45:J$65)</f>
        <v>2.5105868118572294E-2</v>
      </c>
      <c r="E34" s="1387">
        <f>SUM(H34,K34,N34,Q34,T34,W34,Z34,AC34,AF34,AI34,AL34,AO34,AR34,AU34,AX34,BA34,BD34)</f>
        <v>50</v>
      </c>
      <c r="F34" s="1395">
        <f>COMPOSITE!J$371</f>
        <v>40</v>
      </c>
      <c r="G34" s="1384">
        <f>COMPOSITE!J$371/COMPOSITE!J$45</f>
        <v>5.8029885390976357E-3</v>
      </c>
      <c r="H34" s="1396">
        <f>COMPOSITE!J$398</f>
        <v>2</v>
      </c>
      <c r="I34" s="1391">
        <f>COMPOSITE!J$374</f>
        <v>152</v>
      </c>
      <c r="J34" s="1384">
        <f>COMPOSITE!J$374/COMPOSITE!J$46</f>
        <v>2.1387364570142113E-2</v>
      </c>
      <c r="K34" s="1388">
        <f>COMPOSITE!J$401</f>
        <v>5</v>
      </c>
      <c r="L34" s="1395">
        <f>COMPOSITE!J$372</f>
        <v>7</v>
      </c>
      <c r="M34" s="1384">
        <f>COMPOSITE!J$372/COMPOSITE!J$47</f>
        <v>1.2704174228675136E-2</v>
      </c>
      <c r="N34" s="1396">
        <f>COMPOSITE!J$399</f>
        <v>0</v>
      </c>
      <c r="O34" s="1391">
        <f>COMPOSITE!J$373</f>
        <v>17</v>
      </c>
      <c r="P34" s="1384">
        <f>COMPOSITE!J$373/COMPOSITE!J$48</f>
        <v>6.1818181818181821E-2</v>
      </c>
      <c r="Q34" s="1388">
        <f>COMPOSITE!J$400</f>
        <v>0</v>
      </c>
      <c r="R34" s="2565">
        <f>COMPOSITE!J$376+COMPOSITE!J$375</f>
        <v>11</v>
      </c>
      <c r="S34" s="2568">
        <f>R34/SUM(COMPOSITE!J$49:J$50)</f>
        <v>4.1384499623777276E-3</v>
      </c>
      <c r="T34" s="2566">
        <f>COMPOSITE!J$403+COMPOSITE!J$402</f>
        <v>8</v>
      </c>
      <c r="U34" s="1391">
        <f>COMPOSITE!J$377</f>
        <v>196</v>
      </c>
      <c r="V34" s="1384">
        <f>COMPOSITE!J$377/COMPOSITE!J$51</f>
        <v>3.5006251116270766E-2</v>
      </c>
      <c r="W34" s="1388">
        <f>COMPOSITE!J$404</f>
        <v>8</v>
      </c>
      <c r="X34" s="2384"/>
      <c r="Y34" s="2385"/>
      <c r="Z34" s="2386"/>
      <c r="AA34" s="1391">
        <f>COMPOSITE!J$379</f>
        <v>37</v>
      </c>
      <c r="AB34" s="1384">
        <f>COMPOSITE!J$379/COMPOSITE!J$54</f>
        <v>3.6027263875365138E-2</v>
      </c>
      <c r="AC34" s="1388">
        <f>COMPOSITE!J$406</f>
        <v>2</v>
      </c>
      <c r="AD34" s="1395">
        <f>COMPOSITE!J$380</f>
        <v>111</v>
      </c>
      <c r="AE34" s="1384">
        <f>COMPOSITE!J$380/COMPOSITE!J$55</f>
        <v>2.8645161290322581E-2</v>
      </c>
      <c r="AF34" s="1396">
        <f>COMPOSITE!J$407</f>
        <v>1</v>
      </c>
      <c r="AG34" s="1391">
        <f>COMPOSITE!J$381</f>
        <v>15</v>
      </c>
      <c r="AH34" s="1384">
        <f>COMPOSITE!J$381/COMPOSITE!J$56</f>
        <v>9.8619329388560158E-3</v>
      </c>
      <c r="AI34" s="1388">
        <f>COMPOSITE!J$408</f>
        <v>0</v>
      </c>
      <c r="AJ34" s="1395">
        <f>COMPOSITE!J$382</f>
        <v>17</v>
      </c>
      <c r="AK34" s="1384">
        <f>COMPOSITE!J$382/COMPOSITE!J$57</f>
        <v>7.575757575757576E-3</v>
      </c>
      <c r="AL34" s="1396">
        <f>COMPOSITE!J$409</f>
        <v>0</v>
      </c>
      <c r="AM34" s="1391">
        <f>COMPOSITE!J$383+COMPOSITE!J$384</f>
        <v>214</v>
      </c>
      <c r="AN34" s="2571">
        <f>AM34/SUM(COMPOSITE!J$58:J$59)</f>
        <v>5.2657480314960627E-2</v>
      </c>
      <c r="AO34" s="1388">
        <f>COMPOSITE!J$410+COMPOSITE!J$411</f>
        <v>4</v>
      </c>
      <c r="AP34" s="1395">
        <f>COMPOSITE!J$385</f>
        <v>107</v>
      </c>
      <c r="AQ34" s="1384">
        <f>COMPOSITE!J$385/COMPOSITE!J$60</f>
        <v>0.13080684596577016</v>
      </c>
      <c r="AR34" s="1396">
        <f>COMPOSITE!J$412</f>
        <v>0</v>
      </c>
      <c r="AS34" s="1391">
        <f>COMPOSITE!J$386</f>
        <v>34</v>
      </c>
      <c r="AT34" s="1384">
        <f>COMPOSITE!J$386/COMPOSITE!J$61</f>
        <v>1.1243386243386243E-2</v>
      </c>
      <c r="AU34" s="1388">
        <f>COMPOSITE!J$413</f>
        <v>7</v>
      </c>
      <c r="AV34" s="1395">
        <f>COMPOSITE!J$387</f>
        <v>38</v>
      </c>
      <c r="AW34" s="1384">
        <f>COMPOSITE!J$387/COMPOSITE!J$62</f>
        <v>3.9419087136929459E-2</v>
      </c>
      <c r="AX34" s="1396">
        <f>COMPOSITE!J$414</f>
        <v>2</v>
      </c>
      <c r="AY34" s="1391">
        <f>COMPOSITE!J$388+COMPOSITE!J$389</f>
        <v>153</v>
      </c>
      <c r="AZ34" s="2571">
        <f>AY34/SUM(COMPOSITE!J$63:J$64)</f>
        <v>2.9411764705882353E-2</v>
      </c>
      <c r="BA34" s="1388">
        <f>COMPOSITE!J$415+COMPOSITE!J$416</f>
        <v>7</v>
      </c>
      <c r="BB34" s="1395">
        <f>COMPOSITE!J$390</f>
        <v>96</v>
      </c>
      <c r="BC34" s="1384">
        <f>COMPOSITE!J$390/COMPOSITE!J$65</f>
        <v>4.7174447174447173E-2</v>
      </c>
      <c r="BD34" s="1396">
        <f>COMPOSITE!J$417</f>
        <v>4</v>
      </c>
      <c r="BE34" s="2686"/>
      <c r="BF34" s="2687"/>
      <c r="BG34" s="2688"/>
      <c r="BH34" s="2689"/>
      <c r="BI34" s="2687"/>
      <c r="BJ34" s="2690"/>
    </row>
    <row r="35" spans="2:62" s="182" customFormat="1" ht="35.1" customHeight="1">
      <c r="B35" s="1400">
        <v>42644</v>
      </c>
      <c r="C35" s="2563">
        <f>SUM(F35,I35,L35,O35,R35,U35,X35,AA35,AD35,AG35,AJ35,AM35,AP35,AS35,AV35,AY35,BB35)</f>
        <v>829</v>
      </c>
      <c r="D35" s="1384">
        <f>C35/SUM(COMPOSITE!K$45:K$65)</f>
        <v>1.6783754783066426E-2</v>
      </c>
      <c r="E35" s="1387">
        <f>SUM(H35,K35,N35,Q35,T35,W35,Z35,AC35,AF35,AI35,AL35,AO35,AR35,AU35,AX35,BA35,BD35)</f>
        <v>42</v>
      </c>
      <c r="F35" s="1395">
        <f>COMPOSITE!K$371</f>
        <v>63</v>
      </c>
      <c r="G35" s="1384">
        <f>COMPOSITE!K$371/COMPOSITE!K$45</f>
        <v>9.0141651166118185E-3</v>
      </c>
      <c r="H35" s="1396">
        <f>COMPOSITE!K$398</f>
        <v>0</v>
      </c>
      <c r="I35" s="1391">
        <f>COMPOSITE!K$374</f>
        <v>122</v>
      </c>
      <c r="J35" s="1384">
        <f>COMPOSITE!K$374/COMPOSITE!K$46</f>
        <v>1.7371493663676491E-2</v>
      </c>
      <c r="K35" s="1388">
        <f>COMPOSITE!K$401</f>
        <v>4</v>
      </c>
      <c r="L35" s="1395">
        <f>COMPOSITE!K$372</f>
        <v>4</v>
      </c>
      <c r="M35" s="1384">
        <f>COMPOSITE!K$372/COMPOSITE!K$47</f>
        <v>6.4724919093851136E-3</v>
      </c>
      <c r="N35" s="1396">
        <f>COMPOSITE!K$399</f>
        <v>1</v>
      </c>
      <c r="O35" s="1391">
        <f>COMPOSITE!K$373</f>
        <v>14</v>
      </c>
      <c r="P35" s="1384">
        <f>COMPOSITE!K$373/COMPOSITE!K$48</f>
        <v>4.0935672514619881E-2</v>
      </c>
      <c r="Q35" s="1388">
        <f>COMPOSITE!K$400</f>
        <v>1</v>
      </c>
      <c r="R35" s="2565">
        <f>COMPOSITE!K$376+COMPOSITE!K$375</f>
        <v>8</v>
      </c>
      <c r="S35" s="2568">
        <f>R35/SUM(COMPOSITE!K$49:K$50)</f>
        <v>2.742543709290367E-3</v>
      </c>
      <c r="T35" s="2566">
        <f>COMPOSITE!K$403+COMPOSITE!K$402</f>
        <v>4</v>
      </c>
      <c r="U35" s="1391">
        <f>COMPOSITE!K$377</f>
        <v>131</v>
      </c>
      <c r="V35" s="1384">
        <f>COMPOSITE!K$377/COMPOSITE!K$51</f>
        <v>2.4049935744446485E-2</v>
      </c>
      <c r="W35" s="1388">
        <f>COMPOSITE!K$404</f>
        <v>7</v>
      </c>
      <c r="X35" s="2384"/>
      <c r="Y35" s="2385"/>
      <c r="Z35" s="2386"/>
      <c r="AA35" s="1391">
        <f>COMPOSITE!K$379</f>
        <v>32</v>
      </c>
      <c r="AB35" s="1384">
        <f>COMPOSITE!K$379/COMPOSITE!K$54</f>
        <v>3.4482758620689655E-2</v>
      </c>
      <c r="AC35" s="1388">
        <f>COMPOSITE!K$406</f>
        <v>3</v>
      </c>
      <c r="AD35" s="1395">
        <f>COMPOSITE!K$380</f>
        <v>58</v>
      </c>
      <c r="AE35" s="1384">
        <f>COMPOSITE!K$380/COMPOSITE!K$55</f>
        <v>1.4788373278939317E-2</v>
      </c>
      <c r="AF35" s="1396">
        <f>COMPOSITE!K$407</f>
        <v>3</v>
      </c>
      <c r="AG35" s="1391">
        <f>COMPOSITE!K$381</f>
        <v>4</v>
      </c>
      <c r="AH35" s="1384">
        <f>COMPOSITE!K$381/COMPOSITE!K$56</f>
        <v>2.7008777852802163E-3</v>
      </c>
      <c r="AI35" s="1388">
        <f>COMPOSITE!K$408</f>
        <v>0</v>
      </c>
      <c r="AJ35" s="1395">
        <f>COMPOSITE!K$382</f>
        <v>8</v>
      </c>
      <c r="AK35" s="1384">
        <f>COMPOSITE!K$382/COMPOSITE!K$57</f>
        <v>3.5634743875278397E-3</v>
      </c>
      <c r="AL35" s="1396">
        <f>COMPOSITE!K$409</f>
        <v>0</v>
      </c>
      <c r="AM35" s="1391">
        <f>COMPOSITE!K$383+COMPOSITE!K$384</f>
        <v>154</v>
      </c>
      <c r="AN35" s="2571">
        <f>AM35/SUM(COMPOSITE!K$58:K$59)</f>
        <v>3.8820267204436605E-2</v>
      </c>
      <c r="AO35" s="1388">
        <f>COMPOSITE!K$410+COMPOSITE!K$411</f>
        <v>1</v>
      </c>
      <c r="AP35" s="1395">
        <f>COMPOSITE!K$385</f>
        <v>44</v>
      </c>
      <c r="AQ35" s="1384">
        <f>COMPOSITE!K$385/COMPOSITE!K$60</f>
        <v>5.4590570719602979E-2</v>
      </c>
      <c r="AR35" s="1396">
        <f>COMPOSITE!K$412</f>
        <v>1</v>
      </c>
      <c r="AS35" s="1391">
        <f>COMPOSITE!K$386</f>
        <v>83</v>
      </c>
      <c r="AT35" s="1384">
        <f>COMPOSITE!K$386/COMPOSITE!K$61</f>
        <v>2.7027027027027029E-2</v>
      </c>
      <c r="AU35" s="1388">
        <f>COMPOSITE!K$413</f>
        <v>12</v>
      </c>
      <c r="AV35" s="1395">
        <f>COMPOSITE!K$387</f>
        <v>9</v>
      </c>
      <c r="AW35" s="1384">
        <f>COMPOSITE!K$387/COMPOSITE!K$62</f>
        <v>8.6206896551724137E-3</v>
      </c>
      <c r="AX35" s="1396">
        <f>COMPOSITE!K$414</f>
        <v>0</v>
      </c>
      <c r="AY35" s="1391">
        <f>COMPOSITE!K$388+COMPOSITE!K$389</f>
        <v>54</v>
      </c>
      <c r="AZ35" s="2571">
        <f>AY35/SUM(COMPOSITE!K$63:K$64)</f>
        <v>1.0497667185069984E-2</v>
      </c>
      <c r="BA35" s="1388">
        <f>COMPOSITE!K$415+COMPOSITE!K$416</f>
        <v>4</v>
      </c>
      <c r="BB35" s="1395">
        <f>COMPOSITE!K$390</f>
        <v>41</v>
      </c>
      <c r="BC35" s="1384">
        <f>COMPOSITE!K$390/COMPOSITE!K$65</f>
        <v>2.1511017838405037E-2</v>
      </c>
      <c r="BD35" s="1396">
        <f>COMPOSITE!K$417</f>
        <v>1</v>
      </c>
      <c r="BE35" s="2686"/>
      <c r="BF35" s="2687"/>
      <c r="BG35" s="2688"/>
      <c r="BH35" s="2689"/>
      <c r="BI35" s="2687"/>
      <c r="BJ35" s="2690"/>
    </row>
    <row r="36" spans="2:62" s="182" customFormat="1" ht="35.1" customHeight="1">
      <c r="B36" s="1400">
        <v>42675</v>
      </c>
      <c r="C36" s="2563">
        <f>SUM(F36,I36,L36,O36,R36,U36,X36,AA36,AD36,AG36,AJ36,AM36,AP36,AS36,AV36,AY36,BB36)</f>
        <v>1337</v>
      </c>
      <c r="D36" s="1384">
        <f>C36/SUM(COMPOSITE!L$45:L$65)</f>
        <v>2.7461693299921947E-2</v>
      </c>
      <c r="E36" s="1387">
        <f>SUM(H36,K36,N36,Q36,T36,W36,Z36,AC36,AF36,AI36,AL36,AO36,AR36,AU36,AX36,BA36,BD36)</f>
        <v>50</v>
      </c>
      <c r="F36" s="1395">
        <f>COMPOSITE!L$371</f>
        <v>21</v>
      </c>
      <c r="G36" s="1384">
        <f>COMPOSITE!L$371/COMPOSITE!L$45</f>
        <v>3.2700093428838367E-3</v>
      </c>
      <c r="H36" s="1396">
        <f>COMPOSITE!L$398</f>
        <v>1</v>
      </c>
      <c r="I36" s="1391">
        <f>COMPOSITE!L$374</f>
        <v>304</v>
      </c>
      <c r="J36" s="1384">
        <f>COMPOSITE!L$374/COMPOSITE!L$46</f>
        <v>4.4314868804664724E-2</v>
      </c>
      <c r="K36" s="1388">
        <f>COMPOSITE!L$401</f>
        <v>9</v>
      </c>
      <c r="L36" s="1395">
        <f>COMPOSITE!L$372</f>
        <v>18</v>
      </c>
      <c r="M36" s="1384">
        <f>COMPOSITE!L$372/COMPOSITE!L$47</f>
        <v>2.8526148969889066E-2</v>
      </c>
      <c r="N36" s="1396">
        <f>COMPOSITE!L$399</f>
        <v>2</v>
      </c>
      <c r="O36" s="1391">
        <f>COMPOSITE!L$373</f>
        <v>28</v>
      </c>
      <c r="P36" s="1384">
        <f>COMPOSITE!L$373/COMPOSITE!L$48</f>
        <v>7.4270557029177717E-2</v>
      </c>
      <c r="Q36" s="1388">
        <f>COMPOSITE!L$400</f>
        <v>6</v>
      </c>
      <c r="R36" s="2565">
        <f>COMPOSITE!L$376+COMPOSITE!L$375</f>
        <v>11</v>
      </c>
      <c r="S36" s="2568">
        <f>R36/SUM(COMPOSITE!L$49:L$50)</f>
        <v>3.6255767963085037E-3</v>
      </c>
      <c r="T36" s="2566">
        <f>COMPOSITE!L$403+COMPOSITE!L$402</f>
        <v>1</v>
      </c>
      <c r="U36" s="1391">
        <f>COMPOSITE!L$377</f>
        <v>344</v>
      </c>
      <c r="V36" s="1384">
        <f>COMPOSITE!L$377/COMPOSITE!L$51</f>
        <v>6.3107686662997611E-2</v>
      </c>
      <c r="W36" s="1388">
        <f>COMPOSITE!L$404</f>
        <v>5</v>
      </c>
      <c r="X36" s="2384"/>
      <c r="Y36" s="2385"/>
      <c r="Z36" s="2386"/>
      <c r="AA36" s="1391">
        <f>COMPOSITE!L$379</f>
        <v>68</v>
      </c>
      <c r="AB36" s="1384">
        <f>COMPOSITE!L$379/COMPOSITE!L$54</f>
        <v>7.6576576576576572E-2</v>
      </c>
      <c r="AC36" s="1388">
        <f>COMPOSITE!L$406</f>
        <v>10</v>
      </c>
      <c r="AD36" s="1395">
        <f>COMPOSITE!L$380</f>
        <v>124</v>
      </c>
      <c r="AE36" s="1384">
        <f>COMPOSITE!L$380/COMPOSITE!L$55</f>
        <v>3.3075486796479064E-2</v>
      </c>
      <c r="AF36" s="1396">
        <f>COMPOSITE!L$407</f>
        <v>4</v>
      </c>
      <c r="AG36" s="1391">
        <f>COMPOSITE!L$381</f>
        <v>21</v>
      </c>
      <c r="AH36" s="1384">
        <f>COMPOSITE!L$381/COMPOSITE!L$56</f>
        <v>1.4778325123152709E-2</v>
      </c>
      <c r="AI36" s="1388">
        <f>COMPOSITE!L$408</f>
        <v>1</v>
      </c>
      <c r="AJ36" s="1395">
        <f>COMPOSITE!L$382</f>
        <v>44</v>
      </c>
      <c r="AK36" s="1384">
        <f>COMPOSITE!L$382/COMPOSITE!L$57</f>
        <v>2.0045558086560365E-2</v>
      </c>
      <c r="AL36" s="1396">
        <f>COMPOSITE!L$409</f>
        <v>1</v>
      </c>
      <c r="AM36" s="1391">
        <f>COMPOSITE!L$383+COMPOSITE!L$384</f>
        <v>253</v>
      </c>
      <c r="AN36" s="2571">
        <f>AM36/SUM(COMPOSITE!L$58:L$59)</f>
        <v>6.0598802395209581E-2</v>
      </c>
      <c r="AO36" s="1388">
        <f>COMPOSITE!L$410+COMPOSITE!L$411</f>
        <v>4</v>
      </c>
      <c r="AP36" s="1395">
        <f>COMPOSITE!L$385</f>
        <v>101</v>
      </c>
      <c r="AQ36" s="1384">
        <f>COMPOSITE!L$385/COMPOSITE!L$60</f>
        <v>0.13289473684210526</v>
      </c>
      <c r="AR36" s="1396">
        <f>COMPOSITE!L$412</f>
        <v>6</v>
      </c>
      <c r="AS36" s="1391" t="s">
        <v>766</v>
      </c>
      <c r="AT36" s="1384" t="s">
        <v>766</v>
      </c>
      <c r="AU36" s="1388" t="s">
        <v>766</v>
      </c>
      <c r="AV36" s="1395" t="s">
        <v>766</v>
      </c>
      <c r="AW36" s="1384" t="s">
        <v>766</v>
      </c>
      <c r="AX36" s="1396" t="s">
        <v>766</v>
      </c>
      <c r="AY36" s="1391" t="s">
        <v>766</v>
      </c>
      <c r="AZ36" s="2571" t="s">
        <v>766</v>
      </c>
      <c r="BA36" s="1388" t="s">
        <v>766</v>
      </c>
      <c r="BB36" s="1395" t="s">
        <v>766</v>
      </c>
      <c r="BC36" s="1384" t="s">
        <v>766</v>
      </c>
      <c r="BD36" s="1396" t="s">
        <v>766</v>
      </c>
      <c r="BE36" s="2686"/>
      <c r="BF36" s="2687"/>
      <c r="BG36" s="2688"/>
      <c r="BH36" s="2689"/>
      <c r="BI36" s="2687"/>
      <c r="BJ36" s="2690"/>
    </row>
    <row r="37" spans="2:62" s="182" customFormat="1" ht="35.1" customHeight="1">
      <c r="B37" s="1400">
        <v>42705</v>
      </c>
      <c r="C37" s="1385">
        <f>SUM(F37,I37,L37,O37,R37,U37,X37,AA37,AD37,AG37,AJ37,AM37,AP37,AS37,AV37,AY37,BB37)</f>
        <v>1659</v>
      </c>
      <c r="D37" s="1386">
        <f>C37/SUM(COMPOSITE!L$45:L$65)</f>
        <v>3.4075504251735611E-2</v>
      </c>
      <c r="E37" s="1389">
        <f>SUM(H37,K37,N37,Q37,T37,W37,Z37,AC37,AF37,AI37,AL37,AO37,AR37,AU37,AX37,BA37,BD37)</f>
        <v>81</v>
      </c>
      <c r="F37" s="1395">
        <f>COMPOSITE!M$371</f>
        <v>49</v>
      </c>
      <c r="G37" s="1384">
        <f>COMPOSITE!M$371/COMPOSITE!M$45</f>
        <v>7.2517389373982534E-3</v>
      </c>
      <c r="H37" s="1396">
        <f>COMPOSITE!M$398</f>
        <v>2</v>
      </c>
      <c r="I37" s="1391">
        <f>COMPOSITE!M$374</f>
        <v>352</v>
      </c>
      <c r="J37" s="1384">
        <f>COMPOSITE!M$374/COMPOSITE!M$46</f>
        <v>4.856512141280353E-2</v>
      </c>
      <c r="K37" s="1388">
        <f>COMPOSITE!M$401</f>
        <v>11</v>
      </c>
      <c r="L37" s="1395">
        <f>COMPOSITE!M$372</f>
        <v>14</v>
      </c>
      <c r="M37" s="1384">
        <f>COMPOSITE!M$372/COMPOSITE!M$47</f>
        <v>1.6908212560386472E-2</v>
      </c>
      <c r="N37" s="1396">
        <f>COMPOSITE!M$399</f>
        <v>4</v>
      </c>
      <c r="O37" s="1391">
        <f>COMPOSITE!M$373</f>
        <v>31</v>
      </c>
      <c r="P37" s="1384">
        <f>COMPOSITE!M$373/COMPOSITE!M$48</f>
        <v>6.3008130081300809E-2</v>
      </c>
      <c r="Q37" s="1388">
        <f>COMPOSITE!M$400</f>
        <v>7</v>
      </c>
      <c r="R37" s="2565">
        <f>COMPOSITE!M$376+COMPOSITE!M$375</f>
        <v>37</v>
      </c>
      <c r="S37" s="2568">
        <f>R37/SUM(COMPOSITE!M$49:M$50)</f>
        <v>1.078088578088578E-2</v>
      </c>
      <c r="T37" s="2566">
        <f>COMPOSITE!M$403+COMPOSITE!M$402</f>
        <v>11</v>
      </c>
      <c r="U37" s="1391">
        <f>COMPOSITE!M$377</f>
        <v>328</v>
      </c>
      <c r="V37" s="1384">
        <f>COMPOSITE!M$377/COMPOSITE!M$51</f>
        <v>5.8665712752638169E-2</v>
      </c>
      <c r="W37" s="1388">
        <f>COMPOSITE!M$404</f>
        <v>5</v>
      </c>
      <c r="X37" s="2387"/>
      <c r="Y37" s="2388"/>
      <c r="Z37" s="2389"/>
      <c r="AA37" s="1391">
        <f>COMPOSITE!M$379</f>
        <v>72</v>
      </c>
      <c r="AB37" s="1384">
        <f>COMPOSITE!M$379/COMPOSITE!M$54</f>
        <v>8.062709966405375E-2</v>
      </c>
      <c r="AC37" s="1388">
        <f>COMPOSITE!M$406</f>
        <v>11</v>
      </c>
      <c r="AD37" s="1397">
        <f>COMPOSITE!M$380</f>
        <v>175</v>
      </c>
      <c r="AE37" s="1386">
        <f>COMPOSITE!M$380/COMPOSITE!M$55</f>
        <v>4.3209876543209874E-2</v>
      </c>
      <c r="AF37" s="1398">
        <f>COMPOSITE!M$407</f>
        <v>7</v>
      </c>
      <c r="AG37" s="1391">
        <f>COMPOSITE!M$381</f>
        <v>25</v>
      </c>
      <c r="AH37" s="1384">
        <f>COMPOSITE!M$381/COMPOSITE!M$56</f>
        <v>1.5105740181268883E-2</v>
      </c>
      <c r="AI37" s="1388">
        <f>COMPOSITE!M$408</f>
        <v>1</v>
      </c>
      <c r="AJ37" s="1395">
        <f>COMPOSITE!M$382</f>
        <v>39</v>
      </c>
      <c r="AK37" s="1384">
        <f>COMPOSITE!M$382/COMPOSITE!M$57</f>
        <v>1.7038007863695939E-2</v>
      </c>
      <c r="AL37" s="1396">
        <f>COMPOSITE!M$409</f>
        <v>3</v>
      </c>
      <c r="AM37" s="1391">
        <f>COMPOSITE!M$383+COMPOSITE!M$384</f>
        <v>178</v>
      </c>
      <c r="AN37" s="2571">
        <f>AM37/SUM(COMPOSITE!M$58:M$59)</f>
        <v>4.1289723961957785E-2</v>
      </c>
      <c r="AO37" s="1388">
        <f>COMPOSITE!M$410+COMPOSITE!M$411</f>
        <v>3</v>
      </c>
      <c r="AP37" s="1395">
        <f>COMPOSITE!M$385</f>
        <v>137</v>
      </c>
      <c r="AQ37" s="1384">
        <f>COMPOSITE!M$385/COMPOSITE!M$60</f>
        <v>0.15410573678290213</v>
      </c>
      <c r="AR37" s="1396">
        <f>COMPOSITE!M$412</f>
        <v>4</v>
      </c>
      <c r="AS37" s="1391" t="s">
        <v>766</v>
      </c>
      <c r="AT37" s="1384" t="s">
        <v>766</v>
      </c>
      <c r="AU37" s="1388" t="s">
        <v>766</v>
      </c>
      <c r="AV37" s="1397" t="s">
        <v>766</v>
      </c>
      <c r="AW37" s="1386" t="s">
        <v>766</v>
      </c>
      <c r="AX37" s="1398" t="s">
        <v>766</v>
      </c>
      <c r="AY37" s="1391">
        <f>COMPOSITE!M$388+COMPOSITE!M$389</f>
        <v>165</v>
      </c>
      <c r="AZ37" s="2571">
        <f>AY37/SUM(COMPOSITE!L$63:M$64)</f>
        <v>1.5611694578484247E-2</v>
      </c>
      <c r="BA37" s="1388">
        <f>COMPOSITE!M$415+COMPOSITE!M$416</f>
        <v>7</v>
      </c>
      <c r="BB37" s="1395">
        <f>COMPOSITE!M$390</f>
        <v>57</v>
      </c>
      <c r="BC37" s="1384">
        <f>COMPOSITE!M$390/COMPOSITE!M$65</f>
        <v>2.8890015205271159E-2</v>
      </c>
      <c r="BD37" s="1396">
        <f>COMPOSITE!M$417</f>
        <v>5</v>
      </c>
      <c r="BE37" s="1397"/>
      <c r="BF37" s="1386"/>
      <c r="BG37" s="1398"/>
      <c r="BH37" s="1392"/>
      <c r="BI37" s="1386"/>
      <c r="BJ37" s="1401"/>
    </row>
    <row r="38" spans="2:62" s="182" customFormat="1" ht="35.1" customHeight="1" thickBot="1">
      <c r="B38" s="1402" t="s">
        <v>277</v>
      </c>
      <c r="C38" s="1403">
        <f>SUM(C26:C37)</f>
        <v>18251</v>
      </c>
      <c r="D38" s="1404">
        <f>AVERAGE(D26:D37)</f>
        <v>2.9257320076416845E-2</v>
      </c>
      <c r="E38" s="1405">
        <f>SUM(E26:E37)</f>
        <v>1155</v>
      </c>
      <c r="F38" s="1403">
        <f>SUM(F26:F37)</f>
        <v>644</v>
      </c>
      <c r="G38" s="1404">
        <f>AVERAGE(G26:G37)</f>
        <v>7.524303109492112E-3</v>
      </c>
      <c r="H38" s="1405">
        <f>SUM(H26:H37)</f>
        <v>16</v>
      </c>
      <c r="I38" s="1403">
        <f>SUM(I26:I37)</f>
        <v>2498</v>
      </c>
      <c r="J38" s="1404">
        <f>AVERAGE(J26:J37)</f>
        <v>2.9228374068986058E-2</v>
      </c>
      <c r="K38" s="1405">
        <f>SUM(K26:K37)</f>
        <v>78</v>
      </c>
      <c r="L38" s="1403">
        <f>SUM(L26:L37)</f>
        <v>188</v>
      </c>
      <c r="M38" s="1404">
        <f>AVERAGE(M26:M37)</f>
        <v>2.1523461055372808E-2</v>
      </c>
      <c r="N38" s="1405">
        <f>SUM(N26:N37)</f>
        <v>13</v>
      </c>
      <c r="O38" s="1403">
        <f>SUM(O26:O37)</f>
        <v>221</v>
      </c>
      <c r="P38" s="1404">
        <f>AVERAGE(P26:P37)</f>
        <v>5.0745575809286486E-2</v>
      </c>
      <c r="Q38" s="1405">
        <f>SUM(Q26:Q37)</f>
        <v>18</v>
      </c>
      <c r="R38" s="1403">
        <f>SUM(R26:R37)</f>
        <v>223</v>
      </c>
      <c r="S38" s="1404">
        <f>AVERAGE(S26:S37)</f>
        <v>6.1860205070258419E-3</v>
      </c>
      <c r="T38" s="1405">
        <f>SUM(T26:T37)</f>
        <v>53</v>
      </c>
      <c r="U38" s="1403">
        <f>SUM(U26:U37)</f>
        <v>3429</v>
      </c>
      <c r="V38" s="1404">
        <f>AVERAGE(V26:V37)</f>
        <v>5.1692226792279E-2</v>
      </c>
      <c r="W38" s="1405">
        <f>SUM(W26:W37)</f>
        <v>91</v>
      </c>
      <c r="X38" s="1403">
        <f>SUM(X26:X32)</f>
        <v>295</v>
      </c>
      <c r="Y38" s="1404" t="e">
        <f>AVERAGE(Y26:Y32)</f>
        <v>#DIV/0!</v>
      </c>
      <c r="Z38" s="1405">
        <f>SUM(Z26:Z32)</f>
        <v>26</v>
      </c>
      <c r="AA38" s="1403">
        <f>SUM(AA26:AA34)</f>
        <v>463</v>
      </c>
      <c r="AB38" s="1404">
        <f>AVERAGE(AB26:AB37)</f>
        <v>5.7061156850861883E-2</v>
      </c>
      <c r="AC38" s="1405">
        <f>SUM(AC26:AC37)</f>
        <v>101</v>
      </c>
      <c r="AD38" s="1403">
        <f>SUM(AD26:AD37)</f>
        <v>1310</v>
      </c>
      <c r="AE38" s="1404">
        <f>AVERAGE(AE26:AE37)</f>
        <v>2.8454442363839105E-2</v>
      </c>
      <c r="AF38" s="1405">
        <f>SUM(AF26:AF37)</f>
        <v>37</v>
      </c>
      <c r="AG38" s="1405">
        <f>SUM(AG26:AG37)</f>
        <v>229</v>
      </c>
      <c r="AH38" s="1404">
        <f>AVERAGE(AH26:AH37)</f>
        <v>1.2314000974077069E-2</v>
      </c>
      <c r="AI38" s="1405">
        <f>SUM(AI26:AI37)</f>
        <v>27</v>
      </c>
      <c r="AJ38" s="1403">
        <f>SUM(AJ26:AJ37)</f>
        <v>901</v>
      </c>
      <c r="AK38" s="1404">
        <f>AVERAGE(AK26:AK37)</f>
        <v>3.4570685085764816E-2</v>
      </c>
      <c r="AL38" s="1405">
        <f>SUM(AL26:AL37)</f>
        <v>214</v>
      </c>
      <c r="AM38" s="1403">
        <f>SUM(AM26:AM37)</f>
        <v>2315</v>
      </c>
      <c r="AN38" s="1404">
        <f>AVERAGE(AN26:AN37)</f>
        <v>4.7834923970150052E-2</v>
      </c>
      <c r="AO38" s="1405">
        <f>SUM(AO26:AO37)</f>
        <v>34</v>
      </c>
      <c r="AP38" s="1403">
        <f>SUM(AP26:AP37)</f>
        <v>1326</v>
      </c>
      <c r="AQ38" s="1404">
        <f>AVERAGE(AQ26:AQ37)</f>
        <v>0.12192870979150287</v>
      </c>
      <c r="AR38" s="1405">
        <f>SUM(AR26:AR37)</f>
        <v>21</v>
      </c>
      <c r="AS38" s="1403">
        <f>SUM(AS26:AS37)</f>
        <v>1303</v>
      </c>
      <c r="AT38" s="1404">
        <f>AVERAGE(AT26:AT37)</f>
        <v>4.3662857492534402E-2</v>
      </c>
      <c r="AU38" s="1405">
        <f>SUM(AU26:AU37)</f>
        <v>298</v>
      </c>
      <c r="AV38" s="1403">
        <f>SUM(AV26:AV37)</f>
        <v>562</v>
      </c>
      <c r="AW38" s="1404">
        <f>AVERAGE(AW26:AW37)</f>
        <v>6.4435254330831915E-2</v>
      </c>
      <c r="AX38" s="1405">
        <f>SUM(AX26:AX37)</f>
        <v>42</v>
      </c>
      <c r="AY38" s="1403">
        <f>SUM(AY26:AY37)</f>
        <v>1498</v>
      </c>
      <c r="AZ38" s="1404">
        <f>AVERAGE(AZ26:AZ37)</f>
        <v>2.3102387318451136E-2</v>
      </c>
      <c r="BA38" s="1405">
        <f>SUM(BA26:BA37)</f>
        <v>57</v>
      </c>
      <c r="BB38" s="1403">
        <f>SUM(BB26:BB37)</f>
        <v>674</v>
      </c>
      <c r="BC38" s="1404">
        <f>AVERAGE(BC26:BC37)</f>
        <v>2.95581922907708E-2</v>
      </c>
      <c r="BD38" s="1405">
        <f>SUM(BD26:BD37)</f>
        <v>29</v>
      </c>
      <c r="BE38" s="1403">
        <f>SUM(COMPOSITE!B391:M391)</f>
        <v>0</v>
      </c>
      <c r="BF38" s="1404">
        <f>IFERROR(SUM(COMPOSITE!B391:M391)/SUM(COMPOSITE!B66:M66),0)</f>
        <v>0</v>
      </c>
      <c r="BG38" s="1405">
        <f>SUM(COMPOSITE!B418:M418)</f>
        <v>0</v>
      </c>
      <c r="BH38" s="1403">
        <f>SUM(COMPOSITE!B392:M392)</f>
        <v>0</v>
      </c>
      <c r="BI38" s="1404">
        <f>IFERROR(SUM(COMPOSITE!B392:M392)/SUM(COMPOSITE!B67:M67),0)</f>
        <v>0</v>
      </c>
      <c r="BJ38" s="1406">
        <f>SUM(COMPOSITE!B419:M419)</f>
        <v>0</v>
      </c>
    </row>
    <row r="39" spans="2:62" ht="15.75" thickTop="1"/>
  </sheetData>
  <mergeCells count="21">
    <mergeCell ref="BB24:BD24"/>
    <mergeCell ref="BE24:BG24"/>
    <mergeCell ref="BH24:BJ24"/>
    <mergeCell ref="AS24:AU24"/>
    <mergeCell ref="AV24:AX24"/>
    <mergeCell ref="AY24:BA24"/>
    <mergeCell ref="AJ24:AL24"/>
    <mergeCell ref="AP24:AR24"/>
    <mergeCell ref="U24:W24"/>
    <mergeCell ref="X24:Z24"/>
    <mergeCell ref="AD24:AF24"/>
    <mergeCell ref="AM24:AO24"/>
    <mergeCell ref="AG24:AI24"/>
    <mergeCell ref="AA24:AC24"/>
    <mergeCell ref="B24:B25"/>
    <mergeCell ref="R24:T24"/>
    <mergeCell ref="C24:E24"/>
    <mergeCell ref="F24:H24"/>
    <mergeCell ref="I24:K24"/>
    <mergeCell ref="L24:N24"/>
    <mergeCell ref="O24:Q24"/>
  </mergeCells>
  <printOptions horizontalCentered="1"/>
  <pageMargins left="0" right="0" top="0.25" bottom="0" header="0" footer="0"/>
  <pageSetup paperSize="5" scale="40" fitToWidth="2" pageOrder="overThenDown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>
          <x14:colorSeries rgb="FF0B528C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'REASON CODES'!G26:G37</xm:f>
              <xm:sqref>N3</xm:sqref>
            </x14:sparkline>
            <x14:sparkline>
              <xm:f>'REASON CODES'!J26:J37</xm:f>
              <xm:sqref>N4</xm:sqref>
            </x14:sparkline>
            <x14:sparkline>
              <xm:f>'REASON CODES'!M26:M37</xm:f>
              <xm:sqref>N5</xm:sqref>
            </x14:sparkline>
            <x14:sparkline>
              <xm:f>'REASON CODES'!P26:P37</xm:f>
              <xm:sqref>N6</xm:sqref>
            </x14:sparkline>
            <x14:sparkline>
              <xm:f>'REASON CODES'!S26:S37</xm:f>
              <xm:sqref>N7</xm:sqref>
            </x14:sparkline>
            <x14:sparkline>
              <xm:f>'REASON CODES'!V26:V37</xm:f>
              <xm:sqref>N8</xm:sqref>
            </x14:sparkline>
            <x14:sparkline>
              <xm:f>'REASON CODES'!Y26:Y37</xm:f>
              <xm:sqref>N9</xm:sqref>
            </x14:sparkline>
            <x14:sparkline>
              <xm:f>'REASON CODES'!AB26:AB37</xm:f>
              <xm:sqref>N10</xm:sqref>
            </x14:sparkline>
            <x14:sparkline>
              <xm:f>'REASON CODES'!AE26:AE37</xm:f>
              <xm:sqref>N11</xm:sqref>
            </x14:sparkline>
            <x14:sparkline>
              <xm:f>'REASON CODES'!AH26:AH37</xm:f>
              <xm:sqref>N12</xm:sqref>
            </x14:sparkline>
            <x14:sparkline>
              <xm:f>'REASON CODES'!AK26:AK37</xm:f>
              <xm:sqref>N13</xm:sqref>
            </x14:sparkline>
            <x14:sparkline>
              <xm:f>'REASON CODES'!AN26:AN37</xm:f>
              <xm:sqref>N14</xm:sqref>
            </x14:sparkline>
            <x14:sparkline>
              <xm:f>'REASON CODES'!AQ26:AQ37</xm:f>
              <xm:sqref>N15</xm:sqref>
            </x14:sparkline>
            <x14:sparkline>
              <xm:f>'REASON CODES'!AT26:AT37</xm:f>
              <xm:sqref>N16</xm:sqref>
            </x14:sparkline>
            <x14:sparkline>
              <xm:f>'REASON CODES'!AW26:AW37</xm:f>
              <xm:sqref>N17</xm:sqref>
            </x14:sparkline>
            <x14:sparkline>
              <xm:f>'REASON CODES'!AZ26:AZ37</xm:f>
              <xm:sqref>N18</xm:sqref>
            </x14:sparkline>
            <x14:sparkline>
              <xm:f>'REASON CODES'!BC26:BC37</xm:f>
              <xm:sqref>N19</xm:sqref>
            </x14:sparkline>
            <x14:sparkline>
              <xm:f>'REASON CODES'!BF26:BF37</xm:f>
              <xm:sqref>N20</xm:sqref>
            </x14:sparkline>
            <x14:sparkline>
              <xm:f>'REASON CODES'!BI26:BI37</xm:f>
              <xm:sqref>N21</xm:sqref>
            </x14:sparkline>
            <x14:sparkline>
              <xm:f>'REASON CODES'!D26:D37</xm:f>
              <xm:sqref>N22</xm:sqref>
            </x14:sparkline>
          </x14:sparklines>
        </x14:sparklineGroup>
      </x14:sparklineGroup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FF00"/>
    <pageSetUpPr fitToPage="1"/>
  </sheetPr>
  <dimension ref="A1:AO39"/>
  <sheetViews>
    <sheetView showGridLines="0" workbookViewId="0">
      <selection activeCell="C38" sqref="C38"/>
    </sheetView>
  </sheetViews>
  <sheetFormatPr defaultColWidth="9.140625" defaultRowHeight="15"/>
  <cols>
    <col min="1" max="1" width="1.140625" style="23" customWidth="1"/>
    <col min="2" max="2" width="9.5703125" style="23" bestFit="1" customWidth="1"/>
    <col min="3" max="3" width="10" style="23" customWidth="1"/>
    <col min="4" max="41" width="7.7109375" style="23" customWidth="1"/>
    <col min="42" max="16384" width="9.140625" style="23"/>
  </cols>
  <sheetData>
    <row r="1" spans="1:1" ht="6" customHeight="1">
      <c r="A1" s="787"/>
    </row>
    <row r="2" spans="1:1" ht="20.100000000000001" customHeight="1">
      <c r="A2" s="11"/>
    </row>
    <row r="3" spans="1:1" ht="20.100000000000001" customHeight="1"/>
    <row r="4" spans="1:1" ht="20.100000000000001" customHeight="1"/>
    <row r="5" spans="1:1" ht="20.100000000000001" customHeight="1"/>
    <row r="6" spans="1:1" ht="20.100000000000001" customHeight="1"/>
    <row r="7" spans="1:1" ht="20.100000000000001" customHeight="1"/>
    <row r="8" spans="1:1" ht="20.100000000000001" customHeight="1"/>
    <row r="9" spans="1:1" ht="20.100000000000001" customHeight="1"/>
    <row r="10" spans="1:1" ht="20.100000000000001" customHeight="1"/>
    <row r="11" spans="1:1" ht="20.100000000000001" customHeight="1"/>
    <row r="12" spans="1:1" ht="20.100000000000001" customHeight="1"/>
    <row r="13" spans="1:1" ht="20.100000000000001" customHeight="1"/>
    <row r="14" spans="1:1" ht="20.100000000000001" customHeight="1"/>
    <row r="15" spans="1:1" ht="20.100000000000001" customHeight="1"/>
    <row r="16" spans="1:1" ht="20.100000000000001" customHeight="1"/>
    <row r="17" spans="2:41" ht="20.100000000000001" customHeight="1"/>
    <row r="18" spans="2:41" ht="20.100000000000001" customHeight="1"/>
    <row r="19" spans="2:41" ht="20.100000000000001" customHeight="1">
      <c r="C19" s="144"/>
      <c r="D19" s="144"/>
    </row>
    <row r="20" spans="2:41" ht="20.100000000000001" customHeight="1">
      <c r="C20" s="144"/>
      <c r="D20" s="144"/>
    </row>
    <row r="21" spans="2:41" ht="20.100000000000001" customHeight="1">
      <c r="C21" s="144"/>
      <c r="D21" s="144"/>
    </row>
    <row r="22" spans="2:41" ht="20.100000000000001" customHeight="1">
      <c r="C22" s="144"/>
      <c r="D22" s="144"/>
    </row>
    <row r="23" spans="2:41" ht="20.100000000000001" customHeight="1" thickBot="1">
      <c r="C23" s="144"/>
      <c r="D23" s="144"/>
    </row>
    <row r="24" spans="2:41" ht="20.100000000000001" customHeight="1" thickTop="1">
      <c r="B24" s="3034" t="s">
        <v>276</v>
      </c>
      <c r="C24" s="3036" t="s">
        <v>291</v>
      </c>
      <c r="D24" s="3036" t="s">
        <v>275</v>
      </c>
      <c r="E24" s="3039"/>
      <c r="F24" s="3036" t="s">
        <v>29</v>
      </c>
      <c r="G24" s="3039"/>
      <c r="H24" s="3036" t="s">
        <v>41</v>
      </c>
      <c r="I24" s="3039"/>
      <c r="J24" s="3036" t="s">
        <v>9</v>
      </c>
      <c r="K24" s="3039"/>
      <c r="L24" s="3036" t="s">
        <v>474</v>
      </c>
      <c r="M24" s="3039"/>
      <c r="N24" s="3036" t="s">
        <v>476</v>
      </c>
      <c r="O24" s="3039"/>
      <c r="P24" s="3036" t="s">
        <v>477</v>
      </c>
      <c r="Q24" s="3039"/>
      <c r="R24" s="3036" t="s">
        <v>479</v>
      </c>
      <c r="S24" s="3039"/>
      <c r="T24" s="3036" t="s">
        <v>480</v>
      </c>
      <c r="U24" s="3039"/>
      <c r="V24" s="3036" t="s">
        <v>481</v>
      </c>
      <c r="W24" s="3039"/>
      <c r="X24" s="3036" t="s">
        <v>488</v>
      </c>
      <c r="Y24" s="3039"/>
      <c r="Z24" s="3036" t="s">
        <v>487</v>
      </c>
      <c r="AA24" s="3039"/>
      <c r="AB24" s="3036" t="s">
        <v>473</v>
      </c>
      <c r="AC24" s="3039"/>
      <c r="AD24" s="3036" t="s">
        <v>468</v>
      </c>
      <c r="AE24" s="3039"/>
      <c r="AF24" s="3036" t="s">
        <v>469</v>
      </c>
      <c r="AG24" s="3039"/>
      <c r="AH24" s="3036" t="s">
        <v>470</v>
      </c>
      <c r="AI24" s="3039"/>
      <c r="AJ24" s="3036" t="s">
        <v>472</v>
      </c>
      <c r="AK24" s="3039"/>
      <c r="AL24" s="3036" t="s">
        <v>486</v>
      </c>
      <c r="AM24" s="3039"/>
      <c r="AN24" s="3036" t="s">
        <v>489</v>
      </c>
      <c r="AO24" s="3038"/>
    </row>
    <row r="25" spans="2:41" ht="20.100000000000001" customHeight="1">
      <c r="B25" s="3035"/>
      <c r="C25" s="3037"/>
      <c r="D25" s="1701" t="s">
        <v>535</v>
      </c>
      <c r="E25" s="1702" t="s">
        <v>536</v>
      </c>
      <c r="F25" s="1701" t="s">
        <v>535</v>
      </c>
      <c r="G25" s="1702" t="s">
        <v>536</v>
      </c>
      <c r="H25" s="1701" t="s">
        <v>535</v>
      </c>
      <c r="I25" s="1702" t="s">
        <v>536</v>
      </c>
      <c r="J25" s="1701" t="s">
        <v>535</v>
      </c>
      <c r="K25" s="1702" t="s">
        <v>536</v>
      </c>
      <c r="L25" s="1701" t="s">
        <v>535</v>
      </c>
      <c r="M25" s="1702" t="s">
        <v>536</v>
      </c>
      <c r="N25" s="1701" t="s">
        <v>535</v>
      </c>
      <c r="O25" s="1702" t="s">
        <v>536</v>
      </c>
      <c r="P25" s="1701" t="s">
        <v>535</v>
      </c>
      <c r="Q25" s="1702" t="s">
        <v>536</v>
      </c>
      <c r="R25" s="1701" t="s">
        <v>535</v>
      </c>
      <c r="S25" s="1702" t="s">
        <v>536</v>
      </c>
      <c r="T25" s="1701" t="s">
        <v>535</v>
      </c>
      <c r="U25" s="1702" t="s">
        <v>536</v>
      </c>
      <c r="V25" s="1701" t="s">
        <v>535</v>
      </c>
      <c r="W25" s="1702" t="s">
        <v>536</v>
      </c>
      <c r="X25" s="1701" t="s">
        <v>535</v>
      </c>
      <c r="Y25" s="1702" t="s">
        <v>536</v>
      </c>
      <c r="Z25" s="1701" t="s">
        <v>535</v>
      </c>
      <c r="AA25" s="1702" t="s">
        <v>536</v>
      </c>
      <c r="AB25" s="1701" t="s">
        <v>535</v>
      </c>
      <c r="AC25" s="1702" t="s">
        <v>536</v>
      </c>
      <c r="AD25" s="1701" t="s">
        <v>535</v>
      </c>
      <c r="AE25" s="1702" t="s">
        <v>536</v>
      </c>
      <c r="AF25" s="1701" t="s">
        <v>535</v>
      </c>
      <c r="AG25" s="1702" t="s">
        <v>536</v>
      </c>
      <c r="AH25" s="1701" t="s">
        <v>535</v>
      </c>
      <c r="AI25" s="1702" t="s">
        <v>536</v>
      </c>
      <c r="AJ25" s="1701" t="s">
        <v>535</v>
      </c>
      <c r="AK25" s="1702" t="s">
        <v>536</v>
      </c>
      <c r="AL25" s="1701" t="s">
        <v>535</v>
      </c>
      <c r="AM25" s="1702" t="s">
        <v>536</v>
      </c>
      <c r="AN25" s="1701" t="s">
        <v>535</v>
      </c>
      <c r="AO25" s="1703" t="s">
        <v>536</v>
      </c>
    </row>
    <row r="26" spans="2:41" ht="20.100000000000001" customHeight="1">
      <c r="B26" s="2631" t="s">
        <v>819</v>
      </c>
      <c r="C26" s="1705">
        <f>SUM(D26:AO26)</f>
        <v>2</v>
      </c>
      <c r="D26" s="1706">
        <v>0</v>
      </c>
      <c r="E26" s="1707">
        <v>0</v>
      </c>
      <c r="F26" s="1708">
        <v>0</v>
      </c>
      <c r="G26" s="1709">
        <v>0</v>
      </c>
      <c r="H26" s="1706">
        <v>0</v>
      </c>
      <c r="I26" s="1707">
        <v>0</v>
      </c>
      <c r="J26" s="1708">
        <v>0</v>
      </c>
      <c r="K26" s="1709">
        <v>0</v>
      </c>
      <c r="L26" s="1706">
        <v>0</v>
      </c>
      <c r="M26" s="1707">
        <v>0</v>
      </c>
      <c r="N26" s="1708">
        <v>0</v>
      </c>
      <c r="O26" s="1709">
        <v>1</v>
      </c>
      <c r="P26" s="1706">
        <v>0</v>
      </c>
      <c r="Q26" s="1707">
        <v>0</v>
      </c>
      <c r="R26" s="1708">
        <v>0</v>
      </c>
      <c r="S26" s="1709">
        <v>0</v>
      </c>
      <c r="T26" s="1706">
        <v>0</v>
      </c>
      <c r="U26" s="1707">
        <v>0</v>
      </c>
      <c r="V26" s="1708">
        <v>0</v>
      </c>
      <c r="W26" s="1709">
        <v>0</v>
      </c>
      <c r="X26" s="1706">
        <v>0</v>
      </c>
      <c r="Y26" s="1707">
        <v>0</v>
      </c>
      <c r="Z26" s="1708">
        <v>0</v>
      </c>
      <c r="AA26" s="1709">
        <v>0</v>
      </c>
      <c r="AB26" s="1706">
        <v>0</v>
      </c>
      <c r="AC26" s="1707">
        <v>0</v>
      </c>
      <c r="AD26" s="1708">
        <v>0</v>
      </c>
      <c r="AE26" s="1709">
        <v>0</v>
      </c>
      <c r="AF26" s="1706">
        <v>0</v>
      </c>
      <c r="AG26" s="1707">
        <v>0</v>
      </c>
      <c r="AH26" s="1708">
        <v>0</v>
      </c>
      <c r="AI26" s="1709">
        <v>0</v>
      </c>
      <c r="AJ26" s="1706">
        <v>0</v>
      </c>
      <c r="AK26" s="1707">
        <v>0</v>
      </c>
      <c r="AL26" s="1710">
        <v>1</v>
      </c>
      <c r="AM26" s="1711">
        <v>0</v>
      </c>
      <c r="AN26" s="1708">
        <v>0</v>
      </c>
      <c r="AO26" s="1712">
        <v>0</v>
      </c>
    </row>
    <row r="27" spans="2:41" ht="20.100000000000001" customHeight="1">
      <c r="B27" s="2630">
        <v>42401</v>
      </c>
      <c r="C27" s="1705">
        <f>SUM(D27:AO27)</f>
        <v>3</v>
      </c>
      <c r="D27" s="1713">
        <v>0</v>
      </c>
      <c r="E27" s="1714">
        <v>0</v>
      </c>
      <c r="F27" s="1715">
        <v>0</v>
      </c>
      <c r="G27" s="1716">
        <v>0</v>
      </c>
      <c r="H27" s="1713">
        <v>0</v>
      </c>
      <c r="I27" s="1714">
        <v>0</v>
      </c>
      <c r="J27" s="1715">
        <v>0</v>
      </c>
      <c r="K27" s="1716">
        <v>0</v>
      </c>
      <c r="L27" s="1713">
        <v>0</v>
      </c>
      <c r="M27" s="1714">
        <v>0</v>
      </c>
      <c r="N27" s="1715">
        <v>0</v>
      </c>
      <c r="O27" s="1716">
        <v>0</v>
      </c>
      <c r="P27" s="1713">
        <v>0</v>
      </c>
      <c r="Q27" s="1714">
        <v>0</v>
      </c>
      <c r="R27" s="1715">
        <v>1</v>
      </c>
      <c r="S27" s="1716">
        <v>1</v>
      </c>
      <c r="T27" s="1713">
        <v>0</v>
      </c>
      <c r="U27" s="1714">
        <v>0</v>
      </c>
      <c r="V27" s="1715">
        <v>0</v>
      </c>
      <c r="W27" s="1716">
        <v>0</v>
      </c>
      <c r="X27" s="1713">
        <v>0</v>
      </c>
      <c r="Y27" s="1714">
        <v>0</v>
      </c>
      <c r="Z27" s="1715">
        <v>0</v>
      </c>
      <c r="AA27" s="1716">
        <v>0</v>
      </c>
      <c r="AB27" s="1713">
        <v>1</v>
      </c>
      <c r="AC27" s="1714">
        <v>0</v>
      </c>
      <c r="AD27" s="1715">
        <v>0</v>
      </c>
      <c r="AE27" s="1716">
        <v>0</v>
      </c>
      <c r="AF27" s="1713">
        <v>0</v>
      </c>
      <c r="AG27" s="1714">
        <v>0</v>
      </c>
      <c r="AH27" s="1715">
        <v>0</v>
      </c>
      <c r="AI27" s="1716">
        <v>0</v>
      </c>
      <c r="AJ27" s="1713">
        <v>0</v>
      </c>
      <c r="AK27" s="1714">
        <v>0</v>
      </c>
      <c r="AL27" s="1717">
        <v>0</v>
      </c>
      <c r="AM27" s="1718">
        <v>0</v>
      </c>
      <c r="AN27" s="1715">
        <v>0</v>
      </c>
      <c r="AO27" s="1719">
        <v>0</v>
      </c>
    </row>
    <row r="28" spans="2:41" ht="20.100000000000001" customHeight="1">
      <c r="B28" s="1704">
        <v>42430</v>
      </c>
      <c r="C28" s="1705">
        <f>SUM(D28:AO28)</f>
        <v>8</v>
      </c>
      <c r="D28" s="1713">
        <v>3</v>
      </c>
      <c r="E28" s="1714">
        <v>0</v>
      </c>
      <c r="F28" s="1715">
        <v>0</v>
      </c>
      <c r="G28" s="1716">
        <v>0</v>
      </c>
      <c r="H28" s="1713">
        <v>0</v>
      </c>
      <c r="I28" s="1714">
        <v>0</v>
      </c>
      <c r="J28" s="1715">
        <v>0</v>
      </c>
      <c r="K28" s="1716">
        <v>0</v>
      </c>
      <c r="L28" s="1713">
        <v>0</v>
      </c>
      <c r="M28" s="1714">
        <v>0</v>
      </c>
      <c r="N28" s="1715">
        <v>0</v>
      </c>
      <c r="O28" s="1716">
        <v>1</v>
      </c>
      <c r="P28" s="1713">
        <v>0</v>
      </c>
      <c r="Q28" s="1714">
        <v>0</v>
      </c>
      <c r="R28" s="1715">
        <v>0</v>
      </c>
      <c r="S28" s="1716">
        <v>3</v>
      </c>
      <c r="T28" s="1713">
        <v>0</v>
      </c>
      <c r="U28" s="1714">
        <v>0</v>
      </c>
      <c r="V28" s="1715">
        <v>0</v>
      </c>
      <c r="W28" s="1716">
        <v>0</v>
      </c>
      <c r="X28" s="1713">
        <v>0</v>
      </c>
      <c r="Y28" s="1714">
        <v>0</v>
      </c>
      <c r="Z28" s="1715">
        <v>0</v>
      </c>
      <c r="AA28" s="1716">
        <v>0</v>
      </c>
      <c r="AB28" s="1713">
        <v>0</v>
      </c>
      <c r="AC28" s="1714">
        <v>0</v>
      </c>
      <c r="AD28" s="1715">
        <v>0</v>
      </c>
      <c r="AE28" s="1716">
        <v>0</v>
      </c>
      <c r="AF28" s="1713">
        <v>0</v>
      </c>
      <c r="AG28" s="1714">
        <v>0</v>
      </c>
      <c r="AH28" s="1715">
        <v>0</v>
      </c>
      <c r="AI28" s="1716">
        <v>0</v>
      </c>
      <c r="AJ28" s="1713">
        <v>0</v>
      </c>
      <c r="AK28" s="1714">
        <v>0</v>
      </c>
      <c r="AL28" s="1717">
        <v>0</v>
      </c>
      <c r="AM28" s="1718">
        <v>1</v>
      </c>
      <c r="AN28" s="1715">
        <v>0</v>
      </c>
      <c r="AO28" s="1719">
        <v>0</v>
      </c>
    </row>
    <row r="29" spans="2:41" ht="20.100000000000001" customHeight="1">
      <c r="B29" s="1704">
        <v>42461</v>
      </c>
      <c r="C29" s="1705">
        <f t="shared" ref="C29:C37" si="0">SUM(D29:AO29)</f>
        <v>3</v>
      </c>
      <c r="D29" s="1713">
        <v>0</v>
      </c>
      <c r="E29" s="1714">
        <v>0</v>
      </c>
      <c r="F29" s="1715">
        <v>0</v>
      </c>
      <c r="G29" s="1716">
        <v>0</v>
      </c>
      <c r="H29" s="1713">
        <v>1</v>
      </c>
      <c r="I29" s="1714">
        <v>0</v>
      </c>
      <c r="J29" s="1715">
        <v>0</v>
      </c>
      <c r="K29" s="1716">
        <v>0</v>
      </c>
      <c r="L29" s="1713">
        <v>0</v>
      </c>
      <c r="M29" s="1714">
        <v>0</v>
      </c>
      <c r="N29" s="1715">
        <v>1</v>
      </c>
      <c r="O29" s="1716">
        <v>0</v>
      </c>
      <c r="P29" s="1713">
        <v>0</v>
      </c>
      <c r="Q29" s="1714">
        <v>0</v>
      </c>
      <c r="R29" s="1715">
        <v>0</v>
      </c>
      <c r="S29" s="1716">
        <v>0</v>
      </c>
      <c r="T29" s="1713">
        <v>0</v>
      </c>
      <c r="U29" s="1714">
        <v>0</v>
      </c>
      <c r="V29" s="1715">
        <v>0</v>
      </c>
      <c r="W29" s="1716">
        <v>0</v>
      </c>
      <c r="X29" s="1713">
        <v>0</v>
      </c>
      <c r="Y29" s="1714">
        <v>0</v>
      </c>
      <c r="Z29" s="1715">
        <v>0</v>
      </c>
      <c r="AA29" s="1716">
        <v>0</v>
      </c>
      <c r="AB29" s="1713">
        <v>0</v>
      </c>
      <c r="AC29" s="1714">
        <v>0</v>
      </c>
      <c r="AD29" s="1715">
        <v>0</v>
      </c>
      <c r="AE29" s="1716">
        <v>0</v>
      </c>
      <c r="AF29" s="1713">
        <v>0</v>
      </c>
      <c r="AG29" s="1714">
        <v>0</v>
      </c>
      <c r="AH29" s="1715">
        <v>0</v>
      </c>
      <c r="AI29" s="1716">
        <v>1</v>
      </c>
      <c r="AJ29" s="1713">
        <v>0</v>
      </c>
      <c r="AK29" s="1714">
        <v>0</v>
      </c>
      <c r="AL29" s="1717">
        <v>0</v>
      </c>
      <c r="AM29" s="1718">
        <v>0</v>
      </c>
      <c r="AN29" s="1715">
        <v>0</v>
      </c>
      <c r="AO29" s="1719">
        <v>0</v>
      </c>
    </row>
    <row r="30" spans="2:41" ht="20.100000000000001" customHeight="1">
      <c r="B30" s="1704">
        <v>42491</v>
      </c>
      <c r="C30" s="1705">
        <f t="shared" si="0"/>
        <v>4</v>
      </c>
      <c r="D30" s="1713">
        <v>0</v>
      </c>
      <c r="E30" s="1714">
        <v>0</v>
      </c>
      <c r="F30" s="1715">
        <v>0</v>
      </c>
      <c r="G30" s="1716">
        <v>0</v>
      </c>
      <c r="H30" s="1713">
        <v>0</v>
      </c>
      <c r="I30" s="1714">
        <v>0</v>
      </c>
      <c r="J30" s="1715">
        <v>0</v>
      </c>
      <c r="K30" s="1716">
        <v>0</v>
      </c>
      <c r="L30" s="1713">
        <v>0</v>
      </c>
      <c r="M30" s="1714">
        <v>0</v>
      </c>
      <c r="N30" s="1715">
        <v>0</v>
      </c>
      <c r="O30" s="1716">
        <v>1</v>
      </c>
      <c r="P30" s="1713">
        <v>0</v>
      </c>
      <c r="Q30" s="1714">
        <v>0</v>
      </c>
      <c r="R30" s="1715">
        <v>0</v>
      </c>
      <c r="S30" s="1716">
        <v>0</v>
      </c>
      <c r="T30" s="1713">
        <v>0</v>
      </c>
      <c r="U30" s="1714">
        <v>0</v>
      </c>
      <c r="V30" s="1715">
        <v>0</v>
      </c>
      <c r="W30" s="1716">
        <v>0</v>
      </c>
      <c r="X30" s="1713">
        <v>1</v>
      </c>
      <c r="Y30" s="1714">
        <v>0</v>
      </c>
      <c r="Z30" s="1715">
        <v>0</v>
      </c>
      <c r="AA30" s="1716">
        <v>0</v>
      </c>
      <c r="AB30" s="1713">
        <v>0</v>
      </c>
      <c r="AC30" s="1714">
        <v>0</v>
      </c>
      <c r="AD30" s="1715">
        <v>0</v>
      </c>
      <c r="AE30" s="1716">
        <v>0</v>
      </c>
      <c r="AF30" s="1713">
        <v>0</v>
      </c>
      <c r="AG30" s="1714">
        <v>0</v>
      </c>
      <c r="AH30" s="1715">
        <v>0</v>
      </c>
      <c r="AI30" s="1716">
        <v>0</v>
      </c>
      <c r="AJ30" s="1713">
        <v>0</v>
      </c>
      <c r="AK30" s="1714">
        <v>0</v>
      </c>
      <c r="AL30" s="1717">
        <v>0</v>
      </c>
      <c r="AM30" s="1718">
        <v>2</v>
      </c>
      <c r="AN30" s="1715">
        <v>0</v>
      </c>
      <c r="AO30" s="1719">
        <v>0</v>
      </c>
    </row>
    <row r="31" spans="2:41" ht="20.100000000000001" customHeight="1">
      <c r="B31" s="1704">
        <v>42522</v>
      </c>
      <c r="C31" s="1705">
        <f t="shared" si="0"/>
        <v>1</v>
      </c>
      <c r="D31" s="1713">
        <v>0</v>
      </c>
      <c r="E31" s="1714">
        <v>0</v>
      </c>
      <c r="F31" s="1715">
        <v>0</v>
      </c>
      <c r="G31" s="1716">
        <v>0</v>
      </c>
      <c r="H31" s="1713">
        <v>0</v>
      </c>
      <c r="I31" s="1714">
        <v>0</v>
      </c>
      <c r="J31" s="1715">
        <v>0</v>
      </c>
      <c r="K31" s="1716">
        <v>0</v>
      </c>
      <c r="L31" s="1713">
        <v>0</v>
      </c>
      <c r="M31" s="1714">
        <v>0</v>
      </c>
      <c r="N31" s="1715">
        <v>0</v>
      </c>
      <c r="O31" s="1716">
        <v>0</v>
      </c>
      <c r="P31" s="1713">
        <v>0</v>
      </c>
      <c r="Q31" s="1714">
        <v>0</v>
      </c>
      <c r="R31" s="1715">
        <v>1</v>
      </c>
      <c r="S31" s="1716">
        <v>0</v>
      </c>
      <c r="T31" s="1713">
        <v>0</v>
      </c>
      <c r="U31" s="1714">
        <v>0</v>
      </c>
      <c r="V31" s="1715">
        <v>0</v>
      </c>
      <c r="W31" s="1716">
        <v>0</v>
      </c>
      <c r="X31" s="1713">
        <v>0</v>
      </c>
      <c r="Y31" s="1714">
        <v>0</v>
      </c>
      <c r="Z31" s="1715">
        <v>0</v>
      </c>
      <c r="AA31" s="1716">
        <v>0</v>
      </c>
      <c r="AB31" s="1713">
        <v>0</v>
      </c>
      <c r="AC31" s="1714">
        <v>0</v>
      </c>
      <c r="AD31" s="1715">
        <v>0</v>
      </c>
      <c r="AE31" s="1716">
        <v>0</v>
      </c>
      <c r="AF31" s="1713">
        <v>0</v>
      </c>
      <c r="AG31" s="1714">
        <v>0</v>
      </c>
      <c r="AH31" s="1715">
        <v>0</v>
      </c>
      <c r="AI31" s="1716">
        <v>0</v>
      </c>
      <c r="AJ31" s="1713">
        <v>0</v>
      </c>
      <c r="AK31" s="1714">
        <v>0</v>
      </c>
      <c r="AL31" s="1717">
        <v>0</v>
      </c>
      <c r="AM31" s="1718">
        <v>0</v>
      </c>
      <c r="AN31" s="1715">
        <v>0</v>
      </c>
      <c r="AO31" s="1719">
        <v>0</v>
      </c>
    </row>
    <row r="32" spans="2:41" ht="20.100000000000001" customHeight="1">
      <c r="B32" s="1704">
        <v>42552</v>
      </c>
      <c r="C32" s="1705">
        <f t="shared" si="0"/>
        <v>4</v>
      </c>
      <c r="D32" s="1713">
        <v>0</v>
      </c>
      <c r="E32" s="1714">
        <v>0</v>
      </c>
      <c r="F32" s="1715">
        <v>0</v>
      </c>
      <c r="G32" s="1716">
        <v>0</v>
      </c>
      <c r="H32" s="1713">
        <v>0</v>
      </c>
      <c r="I32" s="1714">
        <v>0</v>
      </c>
      <c r="J32" s="1715">
        <v>0</v>
      </c>
      <c r="K32" s="1716">
        <v>0</v>
      </c>
      <c r="L32" s="1713">
        <v>0</v>
      </c>
      <c r="M32" s="1714">
        <v>0</v>
      </c>
      <c r="N32" s="1715">
        <v>1</v>
      </c>
      <c r="O32" s="1716">
        <v>0</v>
      </c>
      <c r="P32" s="1713">
        <v>0</v>
      </c>
      <c r="Q32" s="1714">
        <v>0</v>
      </c>
      <c r="R32" s="1715">
        <v>0</v>
      </c>
      <c r="S32" s="1716">
        <v>0</v>
      </c>
      <c r="T32" s="1713">
        <v>0</v>
      </c>
      <c r="U32" s="1714">
        <v>0</v>
      </c>
      <c r="V32" s="1715">
        <v>0</v>
      </c>
      <c r="W32" s="1716">
        <v>0</v>
      </c>
      <c r="X32" s="1713">
        <v>0</v>
      </c>
      <c r="Y32" s="1714">
        <v>0</v>
      </c>
      <c r="Z32" s="1715">
        <v>1</v>
      </c>
      <c r="AA32" s="1716">
        <v>0</v>
      </c>
      <c r="AB32" s="1713">
        <v>0</v>
      </c>
      <c r="AC32" s="1714">
        <v>0</v>
      </c>
      <c r="AD32" s="1715">
        <v>0</v>
      </c>
      <c r="AE32" s="1716">
        <v>1</v>
      </c>
      <c r="AF32" s="1713">
        <v>0</v>
      </c>
      <c r="AG32" s="1714">
        <v>0</v>
      </c>
      <c r="AH32" s="1715">
        <v>1</v>
      </c>
      <c r="AI32" s="1716">
        <v>0</v>
      </c>
      <c r="AJ32" s="1713">
        <v>0</v>
      </c>
      <c r="AK32" s="1714">
        <v>0</v>
      </c>
      <c r="AL32" s="1717">
        <v>0</v>
      </c>
      <c r="AM32" s="1718">
        <v>0</v>
      </c>
      <c r="AN32" s="1715">
        <v>0</v>
      </c>
      <c r="AO32" s="1719">
        <v>0</v>
      </c>
    </row>
    <row r="33" spans="2:41" ht="20.100000000000001" customHeight="1">
      <c r="B33" s="1704">
        <v>42583</v>
      </c>
      <c r="C33" s="1705">
        <f t="shared" si="0"/>
        <v>4</v>
      </c>
      <c r="D33" s="1713">
        <v>0</v>
      </c>
      <c r="E33" s="1714">
        <v>0</v>
      </c>
      <c r="F33" s="1715">
        <v>0</v>
      </c>
      <c r="G33" s="1716">
        <v>0</v>
      </c>
      <c r="H33" s="1713">
        <v>0</v>
      </c>
      <c r="I33" s="1714">
        <v>0</v>
      </c>
      <c r="J33" s="1715">
        <v>0</v>
      </c>
      <c r="K33" s="1716">
        <v>0</v>
      </c>
      <c r="L33" s="1713">
        <v>0</v>
      </c>
      <c r="M33" s="1714">
        <v>0</v>
      </c>
      <c r="N33" s="1715">
        <v>0</v>
      </c>
      <c r="O33" s="1716">
        <v>0</v>
      </c>
      <c r="P33" s="2390"/>
      <c r="Q33" s="2391"/>
      <c r="R33" s="1715">
        <v>1</v>
      </c>
      <c r="S33" s="1716">
        <v>0</v>
      </c>
      <c r="T33" s="1713">
        <v>0</v>
      </c>
      <c r="U33" s="1714">
        <v>0</v>
      </c>
      <c r="V33" s="1715">
        <v>0</v>
      </c>
      <c r="W33" s="1716">
        <v>1</v>
      </c>
      <c r="X33" s="1713">
        <v>1</v>
      </c>
      <c r="Y33" s="1714">
        <v>0</v>
      </c>
      <c r="Z33" s="1715">
        <v>0</v>
      </c>
      <c r="AA33" s="1716">
        <v>0</v>
      </c>
      <c r="AB33" s="1713">
        <v>0</v>
      </c>
      <c r="AC33" s="1714">
        <v>0</v>
      </c>
      <c r="AD33" s="1715">
        <v>0</v>
      </c>
      <c r="AE33" s="1716">
        <v>0</v>
      </c>
      <c r="AF33" s="1713">
        <v>0</v>
      </c>
      <c r="AG33" s="1714">
        <v>0</v>
      </c>
      <c r="AH33" s="1715">
        <v>1</v>
      </c>
      <c r="AI33" s="1716">
        <v>0</v>
      </c>
      <c r="AJ33" s="1713">
        <v>0</v>
      </c>
      <c r="AK33" s="1714">
        <v>0</v>
      </c>
      <c r="AL33" s="1717">
        <v>0</v>
      </c>
      <c r="AM33" s="1718">
        <v>0</v>
      </c>
      <c r="AN33" s="1715">
        <v>0</v>
      </c>
      <c r="AO33" s="1719">
        <v>0</v>
      </c>
    </row>
    <row r="34" spans="2:41" ht="20.100000000000001" customHeight="1">
      <c r="B34" s="1704">
        <v>42614</v>
      </c>
      <c r="C34" s="1705">
        <f t="shared" si="0"/>
        <v>8</v>
      </c>
      <c r="D34" s="1713">
        <v>0</v>
      </c>
      <c r="E34" s="1714">
        <v>0</v>
      </c>
      <c r="F34" s="1715">
        <v>0</v>
      </c>
      <c r="G34" s="1716">
        <v>0</v>
      </c>
      <c r="H34" s="1713">
        <v>0</v>
      </c>
      <c r="I34" s="1714">
        <v>0</v>
      </c>
      <c r="J34" s="1715">
        <v>0</v>
      </c>
      <c r="K34" s="1716">
        <v>0</v>
      </c>
      <c r="L34" s="1713">
        <v>1</v>
      </c>
      <c r="M34" s="1714">
        <v>0</v>
      </c>
      <c r="N34" s="1715">
        <v>0</v>
      </c>
      <c r="O34" s="1716">
        <v>1</v>
      </c>
      <c r="P34" s="2392"/>
      <c r="Q34" s="2393"/>
      <c r="R34" s="1715">
        <v>1</v>
      </c>
      <c r="S34" s="1716">
        <v>1</v>
      </c>
      <c r="T34" s="1713">
        <v>0</v>
      </c>
      <c r="U34" s="1714">
        <v>0</v>
      </c>
      <c r="V34" s="1715">
        <v>2</v>
      </c>
      <c r="W34" s="1716">
        <v>0</v>
      </c>
      <c r="X34" s="1713">
        <v>0</v>
      </c>
      <c r="Y34" s="1714">
        <v>0</v>
      </c>
      <c r="Z34" s="1715">
        <v>0</v>
      </c>
      <c r="AA34" s="1716">
        <v>0</v>
      </c>
      <c r="AB34" s="1713">
        <v>1</v>
      </c>
      <c r="AC34" s="1714">
        <v>0</v>
      </c>
      <c r="AD34" s="1715">
        <v>0</v>
      </c>
      <c r="AE34" s="1716">
        <v>0</v>
      </c>
      <c r="AF34" s="1713">
        <v>0</v>
      </c>
      <c r="AG34" s="1714">
        <v>0</v>
      </c>
      <c r="AH34" s="1715">
        <v>0</v>
      </c>
      <c r="AI34" s="1716">
        <v>0</v>
      </c>
      <c r="AJ34" s="1713">
        <v>0</v>
      </c>
      <c r="AK34" s="1714">
        <v>0</v>
      </c>
      <c r="AL34" s="1717">
        <v>1</v>
      </c>
      <c r="AM34" s="1718">
        <v>0</v>
      </c>
      <c r="AN34" s="1715">
        <v>0</v>
      </c>
      <c r="AO34" s="1719">
        <v>0</v>
      </c>
    </row>
    <row r="35" spans="2:41" ht="20.100000000000001" customHeight="1">
      <c r="B35" s="1704">
        <v>42644</v>
      </c>
      <c r="C35" s="1705">
        <f t="shared" si="0"/>
        <v>1</v>
      </c>
      <c r="D35" s="1713">
        <v>0</v>
      </c>
      <c r="E35" s="1714">
        <v>0</v>
      </c>
      <c r="F35" s="1715">
        <v>0</v>
      </c>
      <c r="G35" s="1716">
        <v>0</v>
      </c>
      <c r="H35" s="1713">
        <v>0</v>
      </c>
      <c r="I35" s="1714">
        <v>0</v>
      </c>
      <c r="J35" s="1715">
        <v>0</v>
      </c>
      <c r="K35" s="1716">
        <v>0</v>
      </c>
      <c r="L35" s="1713">
        <v>0</v>
      </c>
      <c r="M35" s="1714">
        <v>0</v>
      </c>
      <c r="N35" s="1715">
        <v>0</v>
      </c>
      <c r="O35" s="1716">
        <v>0</v>
      </c>
      <c r="P35" s="2392"/>
      <c r="Q35" s="2393"/>
      <c r="R35" s="1715">
        <v>0</v>
      </c>
      <c r="S35" s="1716">
        <v>0</v>
      </c>
      <c r="T35" s="1713">
        <v>0</v>
      </c>
      <c r="U35" s="1714">
        <v>0</v>
      </c>
      <c r="V35" s="1715">
        <v>0</v>
      </c>
      <c r="W35" s="1716">
        <v>0</v>
      </c>
      <c r="X35" s="1713">
        <v>0</v>
      </c>
      <c r="Y35" s="1714">
        <v>0</v>
      </c>
      <c r="Z35" s="1715">
        <v>0</v>
      </c>
      <c r="AA35" s="1716">
        <v>0</v>
      </c>
      <c r="AB35" s="1713">
        <v>0</v>
      </c>
      <c r="AC35" s="1714">
        <v>0</v>
      </c>
      <c r="AD35" s="1715">
        <v>0</v>
      </c>
      <c r="AE35" s="1716">
        <v>0</v>
      </c>
      <c r="AF35" s="1713">
        <v>0</v>
      </c>
      <c r="AG35" s="1714">
        <v>0</v>
      </c>
      <c r="AH35" s="1715">
        <v>0</v>
      </c>
      <c r="AI35" s="1716">
        <v>0</v>
      </c>
      <c r="AJ35" s="1713">
        <v>0</v>
      </c>
      <c r="AK35" s="1714">
        <v>0</v>
      </c>
      <c r="AL35" s="1717">
        <v>1</v>
      </c>
      <c r="AM35" s="1718">
        <v>0</v>
      </c>
      <c r="AN35" s="1715">
        <v>0</v>
      </c>
      <c r="AO35" s="1719">
        <v>0</v>
      </c>
    </row>
    <row r="36" spans="2:41" ht="20.100000000000001" customHeight="1">
      <c r="B36" s="1704">
        <v>42675</v>
      </c>
      <c r="C36" s="1705">
        <f t="shared" si="0"/>
        <v>2</v>
      </c>
      <c r="D36" s="1713">
        <v>0</v>
      </c>
      <c r="E36" s="1714">
        <v>0</v>
      </c>
      <c r="F36" s="1715">
        <v>1</v>
      </c>
      <c r="G36" s="1716">
        <v>0</v>
      </c>
      <c r="H36" s="1713">
        <v>0</v>
      </c>
      <c r="I36" s="1714">
        <v>0</v>
      </c>
      <c r="J36" s="1715">
        <v>0</v>
      </c>
      <c r="K36" s="1716">
        <v>0</v>
      </c>
      <c r="L36" s="1713">
        <v>0</v>
      </c>
      <c r="M36" s="1714">
        <v>0</v>
      </c>
      <c r="N36" s="1715">
        <v>0</v>
      </c>
      <c r="O36" s="1716">
        <v>0</v>
      </c>
      <c r="P36" s="2392"/>
      <c r="Q36" s="2393"/>
      <c r="R36" s="1715">
        <v>0</v>
      </c>
      <c r="S36" s="1716">
        <v>0</v>
      </c>
      <c r="T36" s="1713">
        <v>0</v>
      </c>
      <c r="U36" s="1714">
        <v>0</v>
      </c>
      <c r="V36" s="1715">
        <v>0</v>
      </c>
      <c r="W36" s="1716">
        <v>0</v>
      </c>
      <c r="X36" s="1713">
        <v>0</v>
      </c>
      <c r="Y36" s="1714">
        <v>0</v>
      </c>
      <c r="Z36" s="1715">
        <v>0</v>
      </c>
      <c r="AA36" s="1716">
        <v>0</v>
      </c>
      <c r="AB36" s="1713">
        <v>0</v>
      </c>
      <c r="AC36" s="1714">
        <v>0</v>
      </c>
      <c r="AD36" s="1715">
        <v>0</v>
      </c>
      <c r="AE36" s="1716">
        <v>0</v>
      </c>
      <c r="AF36" s="1713">
        <v>0</v>
      </c>
      <c r="AG36" s="1714">
        <v>0</v>
      </c>
      <c r="AH36" s="1715">
        <v>0</v>
      </c>
      <c r="AI36" s="1716">
        <v>0</v>
      </c>
      <c r="AJ36" s="1713">
        <v>0</v>
      </c>
      <c r="AK36" s="1714">
        <v>0</v>
      </c>
      <c r="AL36" s="1717">
        <v>1</v>
      </c>
      <c r="AM36" s="1718">
        <v>0</v>
      </c>
      <c r="AN36" s="1715">
        <v>0</v>
      </c>
      <c r="AO36" s="1719">
        <v>0</v>
      </c>
    </row>
    <row r="37" spans="2:41" ht="20.100000000000001" customHeight="1">
      <c r="B37" s="1704">
        <v>42705</v>
      </c>
      <c r="C37" s="1720">
        <f t="shared" si="0"/>
        <v>4</v>
      </c>
      <c r="D37" s="1721">
        <v>0</v>
      </c>
      <c r="E37" s="1722">
        <v>0</v>
      </c>
      <c r="F37" s="1723">
        <v>3</v>
      </c>
      <c r="G37" s="1724">
        <v>0</v>
      </c>
      <c r="H37" s="1721">
        <v>0</v>
      </c>
      <c r="I37" s="1722">
        <v>0</v>
      </c>
      <c r="J37" s="1723">
        <v>0</v>
      </c>
      <c r="K37" s="1724">
        <v>0</v>
      </c>
      <c r="L37" s="1721">
        <v>0</v>
      </c>
      <c r="M37" s="1722">
        <v>0</v>
      </c>
      <c r="N37" s="1723">
        <v>1</v>
      </c>
      <c r="O37" s="1724">
        <v>0</v>
      </c>
      <c r="P37" s="2394"/>
      <c r="Q37" s="2395"/>
      <c r="R37" s="1723">
        <v>0</v>
      </c>
      <c r="S37" s="1724">
        <v>0</v>
      </c>
      <c r="T37" s="1721">
        <v>0</v>
      </c>
      <c r="U37" s="1722">
        <v>0</v>
      </c>
      <c r="V37" s="1723">
        <v>0</v>
      </c>
      <c r="W37" s="1724">
        <v>0</v>
      </c>
      <c r="X37" s="1721">
        <v>0</v>
      </c>
      <c r="Y37" s="1722">
        <v>0</v>
      </c>
      <c r="Z37" s="1723">
        <v>0</v>
      </c>
      <c r="AA37" s="1724">
        <v>0</v>
      </c>
      <c r="AB37" s="1721">
        <v>0</v>
      </c>
      <c r="AC37" s="1722">
        <v>0</v>
      </c>
      <c r="AD37" s="1723">
        <v>0</v>
      </c>
      <c r="AE37" s="1724">
        <v>0</v>
      </c>
      <c r="AF37" s="1721">
        <v>0</v>
      </c>
      <c r="AG37" s="1722">
        <v>0</v>
      </c>
      <c r="AH37" s="1723">
        <v>0</v>
      </c>
      <c r="AI37" s="1724">
        <v>0</v>
      </c>
      <c r="AJ37" s="1721">
        <v>0</v>
      </c>
      <c r="AK37" s="1722">
        <v>0</v>
      </c>
      <c r="AL37" s="1725">
        <v>0</v>
      </c>
      <c r="AM37" s="1726">
        <v>0</v>
      </c>
      <c r="AN37" s="1723">
        <v>0</v>
      </c>
      <c r="AO37" s="1727">
        <v>0</v>
      </c>
    </row>
    <row r="38" spans="2:41" ht="20.100000000000001" customHeight="1" thickBot="1">
      <c r="B38" s="1728" t="s">
        <v>277</v>
      </c>
      <c r="C38" s="1729">
        <f>SUM(C26:C37)</f>
        <v>44</v>
      </c>
      <c r="D38" s="1729">
        <f>SUM(D26:D37)</f>
        <v>3</v>
      </c>
      <c r="E38" s="1729">
        <f>SUM(E26:E37)</f>
        <v>0</v>
      </c>
      <c r="F38" s="1729">
        <f t="shared" ref="F38:AO38" si="1">SUM(F26:F37)</f>
        <v>4</v>
      </c>
      <c r="G38" s="1729">
        <f t="shared" si="1"/>
        <v>0</v>
      </c>
      <c r="H38" s="1729">
        <f t="shared" si="1"/>
        <v>1</v>
      </c>
      <c r="I38" s="1729">
        <f t="shared" si="1"/>
        <v>0</v>
      </c>
      <c r="J38" s="1729">
        <f t="shared" si="1"/>
        <v>0</v>
      </c>
      <c r="K38" s="1729">
        <f t="shared" si="1"/>
        <v>0</v>
      </c>
      <c r="L38" s="1729">
        <f t="shared" si="1"/>
        <v>1</v>
      </c>
      <c r="M38" s="1729">
        <f t="shared" si="1"/>
        <v>0</v>
      </c>
      <c r="N38" s="1729">
        <f t="shared" si="1"/>
        <v>3</v>
      </c>
      <c r="O38" s="1729">
        <f t="shared" si="1"/>
        <v>4</v>
      </c>
      <c r="P38" s="1729">
        <f t="shared" si="1"/>
        <v>0</v>
      </c>
      <c r="Q38" s="1729">
        <f t="shared" si="1"/>
        <v>0</v>
      </c>
      <c r="R38" s="1729">
        <f t="shared" si="1"/>
        <v>4</v>
      </c>
      <c r="S38" s="1729">
        <f t="shared" si="1"/>
        <v>5</v>
      </c>
      <c r="T38" s="1729">
        <f t="shared" si="1"/>
        <v>0</v>
      </c>
      <c r="U38" s="1729">
        <f t="shared" si="1"/>
        <v>0</v>
      </c>
      <c r="V38" s="1729">
        <f t="shared" si="1"/>
        <v>2</v>
      </c>
      <c r="W38" s="1729">
        <f t="shared" si="1"/>
        <v>1</v>
      </c>
      <c r="X38" s="1729">
        <f t="shared" si="1"/>
        <v>2</v>
      </c>
      <c r="Y38" s="1729">
        <f t="shared" si="1"/>
        <v>0</v>
      </c>
      <c r="Z38" s="1729">
        <f t="shared" si="1"/>
        <v>1</v>
      </c>
      <c r="AA38" s="1729">
        <f t="shared" si="1"/>
        <v>0</v>
      </c>
      <c r="AB38" s="1729">
        <f t="shared" si="1"/>
        <v>2</v>
      </c>
      <c r="AC38" s="1729">
        <f t="shared" si="1"/>
        <v>0</v>
      </c>
      <c r="AD38" s="1729">
        <f t="shared" si="1"/>
        <v>0</v>
      </c>
      <c r="AE38" s="1729">
        <f t="shared" si="1"/>
        <v>1</v>
      </c>
      <c r="AF38" s="1729">
        <f t="shared" si="1"/>
        <v>0</v>
      </c>
      <c r="AG38" s="1729">
        <f t="shared" si="1"/>
        <v>0</v>
      </c>
      <c r="AH38" s="1729">
        <f t="shared" si="1"/>
        <v>2</v>
      </c>
      <c r="AI38" s="1729">
        <f t="shared" si="1"/>
        <v>1</v>
      </c>
      <c r="AJ38" s="1729">
        <f t="shared" si="1"/>
        <v>0</v>
      </c>
      <c r="AK38" s="1729">
        <f t="shared" si="1"/>
        <v>0</v>
      </c>
      <c r="AL38" s="1729">
        <f t="shared" si="1"/>
        <v>4</v>
      </c>
      <c r="AM38" s="1729">
        <f t="shared" si="1"/>
        <v>3</v>
      </c>
      <c r="AN38" s="1729">
        <f t="shared" si="1"/>
        <v>0</v>
      </c>
      <c r="AO38" s="1730">
        <f t="shared" si="1"/>
        <v>0</v>
      </c>
    </row>
    <row r="39" spans="2:41" ht="15.75" thickTop="1">
      <c r="C39" s="144"/>
      <c r="D39" s="144"/>
    </row>
  </sheetData>
  <mergeCells count="21">
    <mergeCell ref="P24:Q24"/>
    <mergeCell ref="R24:S24"/>
    <mergeCell ref="T24:U24"/>
    <mergeCell ref="V24:W24"/>
    <mergeCell ref="X24:Y24"/>
    <mergeCell ref="B24:B25"/>
    <mergeCell ref="C24:C25"/>
    <mergeCell ref="AN24:AO24"/>
    <mergeCell ref="AB24:AC24"/>
    <mergeCell ref="AD24:AE24"/>
    <mergeCell ref="AF24:AG24"/>
    <mergeCell ref="AH24:AI24"/>
    <mergeCell ref="AJ24:AK24"/>
    <mergeCell ref="AL24:AM24"/>
    <mergeCell ref="Z24:AA24"/>
    <mergeCell ref="D24:E24"/>
    <mergeCell ref="F24:G24"/>
    <mergeCell ref="H24:I24"/>
    <mergeCell ref="J24:K24"/>
    <mergeCell ref="L24:M24"/>
    <mergeCell ref="N24:O24"/>
  </mergeCells>
  <printOptions horizontalCentered="1"/>
  <pageMargins left="0" right="0" top="0.75" bottom="0.75" header="0.3" footer="0.3"/>
  <pageSetup scale="44" fitToHeight="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FFC000"/>
    <pageSetUpPr fitToPage="1"/>
  </sheetPr>
  <dimension ref="A1:BU38"/>
  <sheetViews>
    <sheetView showGridLines="0" topLeftCell="BE6" workbookViewId="0">
      <selection activeCell="N27" sqref="N27"/>
    </sheetView>
  </sheetViews>
  <sheetFormatPr defaultColWidth="9.140625" defaultRowHeight="15"/>
  <cols>
    <col min="1" max="1" width="13.140625" style="23" customWidth="1"/>
    <col min="2" max="2" width="19.5703125" style="23" customWidth="1"/>
    <col min="3" max="3" width="13.85546875" style="23" customWidth="1"/>
    <col min="4" max="4" width="12.7109375" style="23" customWidth="1"/>
    <col min="5" max="5" width="9.140625" style="23" customWidth="1"/>
    <col min="6" max="6" width="9.7109375" style="23" customWidth="1"/>
    <col min="7" max="7" width="12.7109375" style="23" customWidth="1"/>
    <col min="8" max="8" width="9.42578125" style="23" customWidth="1"/>
    <col min="9" max="9" width="8.85546875" style="23" customWidth="1"/>
    <col min="10" max="10" width="13.140625" style="23" customWidth="1"/>
    <col min="11" max="11" width="9" style="23" customWidth="1"/>
    <col min="12" max="12" width="10.140625" style="23" customWidth="1"/>
    <col min="13" max="13" width="13.7109375" style="23" customWidth="1"/>
    <col min="14" max="14" width="8.85546875" style="23" customWidth="1"/>
    <col min="15" max="15" width="9.28515625" style="23" customWidth="1"/>
    <col min="16" max="16" width="14.7109375" style="23" customWidth="1"/>
    <col min="17" max="17" width="9.7109375" style="23" customWidth="1"/>
    <col min="18" max="18" width="9.140625" style="23" customWidth="1"/>
    <col min="19" max="19" width="13.140625" style="23" customWidth="1"/>
    <col min="20" max="20" width="9.42578125" style="23" customWidth="1"/>
    <col min="21" max="21" width="9.7109375" style="23" customWidth="1"/>
    <col min="22" max="22" width="13.85546875" style="23" customWidth="1"/>
    <col min="23" max="23" width="9.28515625" style="23" customWidth="1"/>
    <col min="24" max="27" width="9.5703125" style="23" customWidth="1"/>
    <col min="28" max="28" width="13" style="23" customWidth="1"/>
    <col min="29" max="29" width="9.7109375" style="23" customWidth="1"/>
    <col min="30" max="30" width="9.42578125" style="23" customWidth="1"/>
    <col min="31" max="31" width="13.85546875" style="23" customWidth="1"/>
    <col min="32" max="32" width="9.42578125" style="23" customWidth="1"/>
    <col min="33" max="33" width="10.140625" style="23" customWidth="1"/>
    <col min="34" max="34" width="13.42578125" style="23" customWidth="1"/>
    <col min="35" max="35" width="9.140625" style="23" customWidth="1"/>
    <col min="36" max="36" width="9.7109375" style="23" customWidth="1"/>
    <col min="37" max="37" width="15.140625" style="23" customWidth="1"/>
    <col min="38" max="38" width="9.5703125" style="23" customWidth="1"/>
    <col min="39" max="39" width="10" style="23" customWidth="1"/>
    <col min="40" max="40" width="14.28515625" style="23" customWidth="1"/>
    <col min="41" max="41" width="9.140625" style="23" customWidth="1"/>
    <col min="42" max="42" width="9.85546875" style="23" customWidth="1"/>
    <col min="43" max="43" width="14.85546875" style="23" customWidth="1"/>
    <col min="44" max="44" width="9.140625" style="23" customWidth="1"/>
    <col min="45" max="45" width="9.5703125" style="23" customWidth="1"/>
    <col min="46" max="46" width="13.85546875" style="23" customWidth="1"/>
    <col min="47" max="48" width="9.140625" style="23"/>
    <col min="49" max="49" width="12.85546875" style="23" customWidth="1"/>
    <col min="50" max="50" width="11.140625" style="23" customWidth="1"/>
    <col min="51" max="51" width="10.42578125" style="23" customWidth="1"/>
    <col min="52" max="52" width="12.42578125" style="23" customWidth="1"/>
    <col min="53" max="54" width="9.140625" style="23"/>
    <col min="55" max="55" width="13.28515625" style="23" customWidth="1"/>
    <col min="56" max="57" width="9.140625" style="23"/>
    <col min="58" max="58" width="13" style="23" customWidth="1"/>
    <col min="59" max="60" width="9.140625" style="23"/>
    <col min="61" max="61" width="12.85546875" style="23" customWidth="1"/>
    <col min="62" max="63" width="9.140625" style="23"/>
    <col min="64" max="64" width="13.85546875" style="23" customWidth="1"/>
    <col min="65" max="66" width="9.140625" style="23"/>
    <col min="67" max="67" width="13.5703125" style="23" customWidth="1"/>
    <col min="68" max="69" width="9.140625" style="23"/>
    <col min="70" max="70" width="13.5703125" style="23" customWidth="1"/>
    <col min="71" max="16384" width="9.140625" style="23"/>
  </cols>
  <sheetData>
    <row r="1" ht="20.100000000000001" customHeight="1"/>
    <row r="2" ht="20.100000000000001" customHeight="1"/>
    <row r="3" ht="20.100000000000001" customHeight="1"/>
    <row r="4" ht="20.100000000000001" customHeight="1"/>
    <row r="5" ht="20.100000000000001" customHeight="1"/>
    <row r="6" ht="20.100000000000001" customHeight="1"/>
    <row r="7" ht="20.100000000000001" customHeight="1"/>
    <row r="8" ht="20.100000000000001" customHeight="1"/>
    <row r="9" ht="20.100000000000001" customHeight="1"/>
    <row r="10" ht="20.100000000000001" customHeight="1"/>
    <row r="11" ht="20.100000000000001" customHeight="1"/>
    <row r="12" ht="20.100000000000001" customHeight="1"/>
    <row r="13" ht="20.100000000000001" customHeight="1"/>
    <row r="14" ht="20.100000000000001" customHeight="1"/>
    <row r="15" ht="20.100000000000001" customHeight="1"/>
    <row r="16" ht="20.100000000000001" customHeight="1"/>
    <row r="17" spans="1:73" ht="20.100000000000001" customHeight="1"/>
    <row r="18" spans="1:73" ht="20.100000000000001" customHeight="1"/>
    <row r="19" spans="1:73" ht="20.100000000000001" customHeight="1"/>
    <row r="20" spans="1:73" ht="24.95" customHeight="1"/>
    <row r="21" spans="1:73" ht="24.95" customHeight="1"/>
    <row r="22" spans="1:73" ht="24.95" customHeight="1" thickBot="1"/>
    <row r="23" spans="1:73" s="398" customFormat="1" ht="24" customHeight="1" thickTop="1">
      <c r="A23" s="1582"/>
      <c r="B23" s="3040" t="s">
        <v>62</v>
      </c>
      <c r="C23" s="3041"/>
      <c r="D23" s="3041"/>
      <c r="E23" s="3041"/>
      <c r="F23" s="3042"/>
      <c r="G23" s="3040" t="s">
        <v>275</v>
      </c>
      <c r="H23" s="3041"/>
      <c r="I23" s="3042"/>
      <c r="J23" s="3040" t="s">
        <v>29</v>
      </c>
      <c r="K23" s="3041"/>
      <c r="L23" s="3043"/>
      <c r="M23" s="3040" t="s">
        <v>330</v>
      </c>
      <c r="N23" s="3041"/>
      <c r="O23" s="3043"/>
      <c r="P23" s="3040" t="s">
        <v>331</v>
      </c>
      <c r="Q23" s="3041"/>
      <c r="R23" s="3043"/>
      <c r="S23" s="3040" t="s">
        <v>84</v>
      </c>
      <c r="T23" s="3041"/>
      <c r="U23" s="3043"/>
      <c r="V23" s="3040" t="s">
        <v>28</v>
      </c>
      <c r="W23" s="3041"/>
      <c r="X23" s="3043"/>
      <c r="Y23" s="3040" t="s">
        <v>611</v>
      </c>
      <c r="Z23" s="3041"/>
      <c r="AA23" s="3043"/>
      <c r="AB23" s="3040" t="s">
        <v>332</v>
      </c>
      <c r="AC23" s="3041"/>
      <c r="AD23" s="3043"/>
      <c r="AE23" s="3040" t="s">
        <v>373</v>
      </c>
      <c r="AF23" s="3041"/>
      <c r="AG23" s="3043"/>
      <c r="AH23" s="3040" t="s">
        <v>30</v>
      </c>
      <c r="AI23" s="3041"/>
      <c r="AJ23" s="3043"/>
      <c r="AK23" s="3040" t="s">
        <v>333</v>
      </c>
      <c r="AL23" s="3041"/>
      <c r="AM23" s="3043"/>
      <c r="AN23" s="3040" t="s">
        <v>85</v>
      </c>
      <c r="AO23" s="3041"/>
      <c r="AP23" s="3043"/>
      <c r="AQ23" s="3040" t="s">
        <v>251</v>
      </c>
      <c r="AR23" s="3041"/>
      <c r="AS23" s="3043"/>
      <c r="AT23" s="3040" t="s">
        <v>31</v>
      </c>
      <c r="AU23" s="3041"/>
      <c r="AV23" s="3043"/>
      <c r="AW23" s="3040" t="s">
        <v>334</v>
      </c>
      <c r="AX23" s="3041"/>
      <c r="AY23" s="3043"/>
      <c r="AZ23" s="3044" t="s">
        <v>378</v>
      </c>
      <c r="BA23" s="3041"/>
      <c r="BB23" s="3042"/>
      <c r="BC23" s="3040" t="s">
        <v>499</v>
      </c>
      <c r="BD23" s="3041"/>
      <c r="BE23" s="3043"/>
      <c r="BF23" s="3040" t="s">
        <v>377</v>
      </c>
      <c r="BG23" s="3041"/>
      <c r="BH23" s="3043"/>
      <c r="BI23" s="3044" t="s">
        <v>804</v>
      </c>
      <c r="BJ23" s="3041"/>
      <c r="BK23" s="3042"/>
      <c r="BL23" s="3040" t="s">
        <v>432</v>
      </c>
      <c r="BM23" s="3041"/>
      <c r="BN23" s="3043"/>
      <c r="BO23" s="3040" t="s">
        <v>434</v>
      </c>
      <c r="BP23" s="3041"/>
      <c r="BQ23" s="3043"/>
      <c r="BR23" s="3044" t="s">
        <v>433</v>
      </c>
      <c r="BS23" s="3041"/>
      <c r="BT23" s="3045"/>
      <c r="BU23" s="784"/>
    </row>
    <row r="24" spans="1:73" s="4" customFormat="1" ht="50.25" customHeight="1">
      <c r="A24" s="1632" t="s">
        <v>276</v>
      </c>
      <c r="B24" s="1633" t="s">
        <v>617</v>
      </c>
      <c r="C24" s="1634" t="s">
        <v>615</v>
      </c>
      <c r="D24" s="1634" t="s">
        <v>616</v>
      </c>
      <c r="E24" s="1634" t="s">
        <v>618</v>
      </c>
      <c r="F24" s="1635" t="s">
        <v>327</v>
      </c>
      <c r="G24" s="1633" t="s">
        <v>329</v>
      </c>
      <c r="H24" s="1634" t="s">
        <v>326</v>
      </c>
      <c r="I24" s="1635" t="s">
        <v>327</v>
      </c>
      <c r="J24" s="1633" t="s">
        <v>329</v>
      </c>
      <c r="K24" s="1634" t="s">
        <v>326</v>
      </c>
      <c r="L24" s="1636" t="s">
        <v>327</v>
      </c>
      <c r="M24" s="1633" t="s">
        <v>329</v>
      </c>
      <c r="N24" s="1634" t="s">
        <v>326</v>
      </c>
      <c r="O24" s="1636" t="s">
        <v>327</v>
      </c>
      <c r="P24" s="1633" t="s">
        <v>329</v>
      </c>
      <c r="Q24" s="1634" t="s">
        <v>326</v>
      </c>
      <c r="R24" s="1636" t="s">
        <v>327</v>
      </c>
      <c r="S24" s="1633" t="s">
        <v>329</v>
      </c>
      <c r="T24" s="1634" t="s">
        <v>326</v>
      </c>
      <c r="U24" s="1636" t="s">
        <v>327</v>
      </c>
      <c r="V24" s="1633" t="s">
        <v>329</v>
      </c>
      <c r="W24" s="1634" t="s">
        <v>326</v>
      </c>
      <c r="X24" s="1636" t="s">
        <v>327</v>
      </c>
      <c r="Y24" s="1633" t="s">
        <v>329</v>
      </c>
      <c r="Z24" s="1634" t="s">
        <v>326</v>
      </c>
      <c r="AA24" s="1636" t="s">
        <v>327</v>
      </c>
      <c r="AB24" s="1633" t="s">
        <v>329</v>
      </c>
      <c r="AC24" s="1634" t="s">
        <v>326</v>
      </c>
      <c r="AD24" s="1636" t="s">
        <v>327</v>
      </c>
      <c r="AE24" s="1637" t="s">
        <v>329</v>
      </c>
      <c r="AF24" s="1638" t="s">
        <v>326</v>
      </c>
      <c r="AG24" s="1636" t="s">
        <v>327</v>
      </c>
      <c r="AH24" s="1633" t="s">
        <v>329</v>
      </c>
      <c r="AI24" s="1634" t="s">
        <v>326</v>
      </c>
      <c r="AJ24" s="1636" t="s">
        <v>327</v>
      </c>
      <c r="AK24" s="1637" t="s">
        <v>329</v>
      </c>
      <c r="AL24" s="1638" t="s">
        <v>326</v>
      </c>
      <c r="AM24" s="1636" t="s">
        <v>327</v>
      </c>
      <c r="AN24" s="1633" t="s">
        <v>329</v>
      </c>
      <c r="AO24" s="1634" t="s">
        <v>326</v>
      </c>
      <c r="AP24" s="1636" t="s">
        <v>327</v>
      </c>
      <c r="AQ24" s="1633" t="s">
        <v>329</v>
      </c>
      <c r="AR24" s="1634" t="s">
        <v>328</v>
      </c>
      <c r="AS24" s="1636" t="s">
        <v>327</v>
      </c>
      <c r="AT24" s="1633" t="s">
        <v>329</v>
      </c>
      <c r="AU24" s="1634" t="s">
        <v>326</v>
      </c>
      <c r="AV24" s="1636" t="s">
        <v>327</v>
      </c>
      <c r="AW24" s="1633" t="s">
        <v>329</v>
      </c>
      <c r="AX24" s="1634" t="s">
        <v>326</v>
      </c>
      <c r="AY24" s="1636" t="s">
        <v>327</v>
      </c>
      <c r="AZ24" s="1637" t="s">
        <v>329</v>
      </c>
      <c r="BA24" s="1638" t="s">
        <v>326</v>
      </c>
      <c r="BB24" s="1639" t="s">
        <v>327</v>
      </c>
      <c r="BC24" s="1637" t="s">
        <v>329</v>
      </c>
      <c r="BD24" s="1638" t="s">
        <v>326</v>
      </c>
      <c r="BE24" s="1636" t="s">
        <v>327</v>
      </c>
      <c r="BF24" s="1637" t="s">
        <v>329</v>
      </c>
      <c r="BG24" s="1638" t="s">
        <v>326</v>
      </c>
      <c r="BH24" s="1639" t="s">
        <v>327</v>
      </c>
      <c r="BI24" s="1640" t="s">
        <v>329</v>
      </c>
      <c r="BJ24" s="1638" t="s">
        <v>326</v>
      </c>
      <c r="BK24" s="1641" t="s">
        <v>327</v>
      </c>
      <c r="BL24" s="1637" t="s">
        <v>329</v>
      </c>
      <c r="BM24" s="1638" t="s">
        <v>326</v>
      </c>
      <c r="BN24" s="1639" t="s">
        <v>327</v>
      </c>
      <c r="BO24" s="1637" t="s">
        <v>329</v>
      </c>
      <c r="BP24" s="1638" t="s">
        <v>326</v>
      </c>
      <c r="BQ24" s="1639" t="s">
        <v>327</v>
      </c>
      <c r="BR24" s="1640" t="s">
        <v>329</v>
      </c>
      <c r="BS24" s="1638" t="s">
        <v>326</v>
      </c>
      <c r="BT24" s="1642" t="s">
        <v>327</v>
      </c>
      <c r="BU24" s="765"/>
    </row>
    <row r="25" spans="1:73" ht="20.100000000000001" customHeight="1">
      <c r="A25" s="1583">
        <v>42370</v>
      </c>
      <c r="B25" s="1584">
        <f>AVERAGE(G25,J25,S25,V25,Y25,AH25,AN25,AT25,AZ25,BF25,BL25,BO25,BR25)</f>
        <v>1.8954812154065317</v>
      </c>
      <c r="C25" s="1585">
        <f t="shared" ref="C25:C31" si="0">AVERAGE(N25,Q25,AC25,AF25,AL25,AX25,BD25,BJ25)</f>
        <v>1.2082868307727876</v>
      </c>
      <c r="D25" s="1586">
        <f>AVERAGE(H25,K25,T25,W25,Z25,AI25,AO25,AU25,BA25,BG25,BM25,BP25,BS25)</f>
        <v>2.4535280713106511</v>
      </c>
      <c r="E25" s="1585">
        <f t="shared" ref="E25:E32" si="1">AR25</f>
        <v>2.885752688172043</v>
      </c>
      <c r="F25" s="1587">
        <f>AVERAGE(L25,U25,X25,AA25,AJ25,AP25,AV25,BB25,BH25,BK25,BN25,BQ25,BT25)</f>
        <v>1.4525971234134256</v>
      </c>
      <c r="G25" s="1588">
        <f>H25</f>
        <v>1.9704301075268817</v>
      </c>
      <c r="H25" s="1585">
        <f>COMPOSITE!$B$73/COMPOSITE!$D$273</f>
        <v>1.9704301075268817</v>
      </c>
      <c r="I25" s="1589"/>
      <c r="J25" s="1590">
        <f>COMPOSITE!$B$46/SUM(COMPOSITE!$D$274+(0.5*COMPOSITE!$D$302))</f>
        <v>2.1032810271041371</v>
      </c>
      <c r="K25" s="1585">
        <f>COMPOSITE!$B$74/COMPOSITE!$D$274</f>
        <v>2.7552395209580838</v>
      </c>
      <c r="L25" s="1587">
        <f>COMPOSITE!$B$102/COMPOSITE!$D$302</f>
        <v>0.90876350540216089</v>
      </c>
      <c r="M25" s="1591">
        <f>N25</f>
        <v>1.1478494623655915</v>
      </c>
      <c r="N25" s="1585">
        <f>COMPOSITE!$B$75/COMPOSITE!$D$275</f>
        <v>1.1478494623655915</v>
      </c>
      <c r="O25" s="1589"/>
      <c r="P25" s="1590">
        <f>Q25</f>
        <v>0.62416107382550334</v>
      </c>
      <c r="Q25" s="1585">
        <f>COMPOSITE!$B$76/COMPOSITE!$D$276</f>
        <v>0.62416107382550334</v>
      </c>
      <c r="R25" s="1589"/>
      <c r="S25" s="1590">
        <f>COMPOSITE!$B$49/SUM(COMPOSITE!$D$277+(0.5*COMPOSITE!$D$303))</f>
        <v>2.0210526315789474</v>
      </c>
      <c r="T25" s="1585">
        <f>COMPOSITE!$B$77/COMPOSITE!$D$277</f>
        <v>2.6716027874564459</v>
      </c>
      <c r="U25" s="1592">
        <f>COMPOSITE!$B$103/COMPOSITE!$D$303</f>
        <v>1.2137096774193548</v>
      </c>
      <c r="V25" s="1588">
        <f>COMPOSITE!$B$51/SUM(COMPOSITE!$D$279+(0.5*COMPOSITE!$D$305))</f>
        <v>1.7122975404919016</v>
      </c>
      <c r="W25" s="1585">
        <f>COMPOSITE!$B$79/COMPOSITE!$D$279</f>
        <v>2.1448054552747693</v>
      </c>
      <c r="X25" s="1587">
        <f>COMPOSITE!$B$104/COMPOSITE!$D$305</f>
        <v>1.2266350523611935</v>
      </c>
      <c r="Y25" s="1588">
        <f>COMPOSITE!$B$52/SUM(COMPOSITE!$D$280+(0.5*COMPOSITE!$D$306))</f>
        <v>1.9369006254343295</v>
      </c>
      <c r="Z25" s="1585">
        <f>COMPOSITE!$B$80/COMPOSITE!$D$280</f>
        <v>2.2490322580645161</v>
      </c>
      <c r="AA25" s="1587">
        <f>COMPOSITE!$B$105/COMPOSITE!$D$306</f>
        <v>2.601005025125628</v>
      </c>
      <c r="AB25" s="1591">
        <f>AC25</f>
        <v>1.3058510638297873</v>
      </c>
      <c r="AC25" s="1585">
        <f>COMPOSITE!$B$81/COMPOSITE!$D$281</f>
        <v>1.3058510638297873</v>
      </c>
      <c r="AD25" s="1589"/>
      <c r="AE25" s="1593">
        <f>AF25</f>
        <v>1.1841397849462365</v>
      </c>
      <c r="AF25" s="1594">
        <f>COMPOSITE!$B$82/COMPOSITE!$D$282</f>
        <v>1.1841397849462365</v>
      </c>
      <c r="AG25" s="1595"/>
      <c r="AH25" s="1590">
        <f>COMPOSITE!$B$55/SUM(COMPOSITE!$D$283+(0.5*COMPOSITE!$D$309))</f>
        <v>2.03395225464191</v>
      </c>
      <c r="AI25" s="1585">
        <f>COMPOSITE!$B$83/COMPOSITE!$D$283</f>
        <v>2.8839487565938207</v>
      </c>
      <c r="AJ25" s="1587">
        <f>COMPOSITE!$B$106/COMPOSITE!$D$309</f>
        <v>1.2437275985663083</v>
      </c>
      <c r="AK25" s="1593">
        <f>AL25</f>
        <v>1.5410993444276349</v>
      </c>
      <c r="AL25" s="1596">
        <f>COMPOSITE!$B$84/COMPOSITE!$D$284</f>
        <v>1.5410993444276349</v>
      </c>
      <c r="AM25" s="1597"/>
      <c r="AN25" s="1598">
        <f>COMPOSITE!$B$57/SUM(COMPOSITE!$D$285+(0.5*COMPOSITE!$D$308))</f>
        <v>1.9543598366562576</v>
      </c>
      <c r="AO25" s="1585">
        <f>COMPOSITE!$B$85/COMPOSITE!$D$285</f>
        <v>2.7298387096774195</v>
      </c>
      <c r="AP25" s="1587">
        <f>COMPOSITE!$B$107/COMPOSITE!$D$308</f>
        <v>1.5130581297388375</v>
      </c>
      <c r="AQ25" s="1588">
        <f>COMPOSITE!$B$58/SUM(COMPOSITE!$D$287+(0.5*COMPOSITE!$D$311))</f>
        <v>2.5300353356890461</v>
      </c>
      <c r="AR25" s="1585">
        <f>COMPOSITE!$B$87/COMPOSITE!$D$287</f>
        <v>2.885752688172043</v>
      </c>
      <c r="AS25" s="1897">
        <f>COMPOSITE!$B$109/COMPOSITE!$D$311</f>
        <v>1.519047619047619</v>
      </c>
      <c r="AT25" s="1588">
        <f>COMPOSITE!$B$59/SUM(COMPOSITE!$D$286+(0.5*COMPOSITE!$D$310))</f>
        <v>1.7850133809099018</v>
      </c>
      <c r="AU25" s="1585">
        <f>COMPOSITE!$B$86/COMPOSITE!$D$286</f>
        <v>2.4672435105067985</v>
      </c>
      <c r="AV25" s="1587">
        <f>COMPOSITE!$B$108/COMPOSITE!$D$310</f>
        <v>0.87179487179487181</v>
      </c>
      <c r="AW25" s="1588">
        <f>AX25</f>
        <v>1.346774193548387</v>
      </c>
      <c r="AX25" s="1585">
        <f>COMPOSITE!$B$88/COMPOSITE!$D$288</f>
        <v>1.346774193548387</v>
      </c>
      <c r="AY25" s="1599"/>
      <c r="AZ25" s="1600">
        <f>COMPOSITE!$B$61/SUM(COMPOSITE!$D$289+(0.5*COMPOSITE!$D$313))</f>
        <v>2.0995792426367461</v>
      </c>
      <c r="BA25" s="1601">
        <f>COMPOSITE!$B$89/COMPOSITE!$D$289</f>
        <v>2.6792114695340503</v>
      </c>
      <c r="BB25" s="1602">
        <f>COMPOSITE!$B$110/COMPOSITE!$D$313</f>
        <v>2.1774193548387095</v>
      </c>
      <c r="BC25" s="1603">
        <f>BD25</f>
        <v>1.0631720430107527</v>
      </c>
      <c r="BD25" s="1604">
        <f>COMPOSITE!$B$90/COMPOSITE!$D$290</f>
        <v>1.0631720430107527</v>
      </c>
      <c r="BE25" s="1605" t="s">
        <v>67</v>
      </c>
      <c r="BF25" s="1588">
        <f>COMPOSITE!$B$63/SUM(COMPOSITE!$D$291+(0.5*COMPOSITE!$D$315))</f>
        <v>1.8406663045446316</v>
      </c>
      <c r="BG25" s="1604">
        <f>COMPOSITE!$B$91/COMPOSITE!$D$291</f>
        <v>2.5982599795291708</v>
      </c>
      <c r="BH25" s="1606">
        <f>COMPOSITE!$B$112/COMPOSITE!$D$315</f>
        <v>1.0130030959752323</v>
      </c>
      <c r="BI25" s="1588">
        <f>COMPOSITE!$B$64/SUM(COMPOSITE!$D$292+(0.5*COMPOSITE!$D$316))</f>
        <v>1.1630005640157925</v>
      </c>
      <c r="BJ25" s="1604">
        <f>COMPOSITE!$B$92/COMPOSITE!$D$292</f>
        <v>1.4532476802284082</v>
      </c>
      <c r="BK25" s="1606">
        <f>COMPOSITE!$B$113/COMPOSITE!$D$316</f>
        <v>9.9462365591397844E-2</v>
      </c>
      <c r="BL25" s="1588">
        <f>COMPOSITE!$B$65/SUM(COMPOSITE!$D$293+(0.5*COMPOSITE!$D$317))</f>
        <v>2.2333333333333334</v>
      </c>
      <c r="BM25" s="1604">
        <f>COMPOSITE!$B$93/COMPOSITE!$D$293</f>
        <v>2.8024193548387095</v>
      </c>
      <c r="BN25" s="1606">
        <f>COMPOSITE!$B$114/COMPOSITE!$D$317</f>
        <v>2.3736559139784945</v>
      </c>
      <c r="BO25" s="1588">
        <f>COMPOSITE!$B$67/SUM(COMPOSITE!$D$295+(0.5*COMPOSITE!$D$319))</f>
        <v>1.4360041623309052</v>
      </c>
      <c r="BP25" s="1604">
        <f>COMPOSITE!$B$94/COMPOSITE!$D$294</f>
        <v>2.0064516129032257</v>
      </c>
      <c r="BQ25" s="1607">
        <f>COMPOSITE!$B$115/COMPOSITE!$D$318</f>
        <v>1.2402376910016979</v>
      </c>
      <c r="BR25" s="1588">
        <f>COMPOSITE!$B$66/SUM(COMPOSITE!$D$294+(0.5*COMPOSITE!$D$318))</f>
        <v>1.5143853530950304</v>
      </c>
      <c r="BS25" s="1604">
        <f>COMPOSITE!$B$95/COMPOSITE!$D$295</f>
        <v>1.9373814041745732</v>
      </c>
      <c r="BT25" s="1608">
        <f>COMPOSITE!$B$116/COMPOSITE!$D$319</f>
        <v>2.4012903225806452</v>
      </c>
      <c r="BU25" s="135"/>
    </row>
    <row r="26" spans="1:73" ht="20.100000000000001" customHeight="1">
      <c r="A26" s="1583">
        <v>42401</v>
      </c>
      <c r="B26" s="1584">
        <f>AVERAGE(G26,J26,S26,V26,Y26,AH26,AN26,AT26,AZ26,BF26,BL26,BO26,BR26)</f>
        <v>2.0055749314603193</v>
      </c>
      <c r="C26" s="1585">
        <f t="shared" si="0"/>
        <v>1.3393924019193628</v>
      </c>
      <c r="D26" s="1586">
        <f>AVERAGE(H26,K26,T26,W26,Z26,AI26,AO26,AU26,BA26,BG26,BM26,BP26,BS26)</f>
        <v>2.6307195590035586</v>
      </c>
      <c r="E26" s="1585">
        <f t="shared" si="1"/>
        <v>3.1328566051938278</v>
      </c>
      <c r="F26" s="1587">
        <f>AVERAGE(L26,U26,X26,AA26,AJ26,AP26,AV26,BB26,BH26,BK26,BN26,BQ26,BT26)</f>
        <v>1.432624917541691</v>
      </c>
      <c r="G26" s="1588">
        <f t="shared" ref="G26:G32" si="2">H26</f>
        <v>2.0063218390804596</v>
      </c>
      <c r="H26" s="1585">
        <f>COMPOSITE!$C$73/COMPOSITE!$G$273</f>
        <v>2.0063218390804596</v>
      </c>
      <c r="I26" s="1609"/>
      <c r="J26" s="1590">
        <f>COMPOSITE!$C$46/SUM(COMPOSITE!$G$274+(0.5*COMPOSITE!$G$302))</f>
        <v>2.1820914590613611</v>
      </c>
      <c r="K26" s="1585">
        <f>COMPOSITE!$C$74/COMPOSITE!$G$274</f>
        <v>2.8903508771929824</v>
      </c>
      <c r="L26" s="1587">
        <f>COMPOSITE!$C$102/COMPOSITE!$G$302</f>
        <v>1.1629256375019086</v>
      </c>
      <c r="M26" s="1591">
        <f t="shared" ref="M26:M32" si="3">N26</f>
        <v>1.1781609195402298</v>
      </c>
      <c r="N26" s="1585">
        <f>COMPOSITE!$C$75/COMPOSITE!$G$275</f>
        <v>1.1781609195402298</v>
      </c>
      <c r="O26" s="1609"/>
      <c r="P26" s="1590">
        <f t="shared" ref="P26:P32" si="4">Q26</f>
        <v>0.71695402298850575</v>
      </c>
      <c r="Q26" s="1585">
        <f>COMPOSITE!$C$76/COMPOSITE!$G$276</f>
        <v>0.71695402298850575</v>
      </c>
      <c r="R26" s="1609"/>
      <c r="S26" s="1590">
        <f>COMPOSITE!$C$49/SUM(COMPOSITE!$G$277+(0.5*COMPOSITE!$G$303))</f>
        <v>1.9833101529902644</v>
      </c>
      <c r="T26" s="1585">
        <f>COMPOSITE!$C$77/COMPOSITE!$G$277</f>
        <v>2.6505125815470643</v>
      </c>
      <c r="U26" s="1592">
        <f>COMPOSITE!$C$103/COMPOSITE!$G$303</f>
        <v>1.215068493150685</v>
      </c>
      <c r="V26" s="1588">
        <f>COMPOSITE!$C$51/SUM(COMPOSITE!$G$279+(0.5*COMPOSITE!$G$305))</f>
        <v>1.7777777777777777</v>
      </c>
      <c r="W26" s="1585">
        <f>COMPOSITE!$C$79/COMPOSITE!$G$279</f>
        <v>2.2109936575052855</v>
      </c>
      <c r="X26" s="1587">
        <f>COMPOSITE!$C$104/COMPOSITE!$G$305</f>
        <v>1.524714008202029</v>
      </c>
      <c r="Y26" s="1588">
        <f>COMPOSITE!$C$52/SUM(COMPOSITE!$G$280+(0.5*COMPOSITE!$G$306))</f>
        <v>1.9549616431576342</v>
      </c>
      <c r="Z26" s="1585">
        <f>COMPOSITE!$C$80/COMPOSITE!$G$280</f>
        <v>2.6820652173913042</v>
      </c>
      <c r="AA26" s="1587">
        <f>COMPOSITE!$C$105/COMPOSITE!$G$306</f>
        <v>1.5897903372835005</v>
      </c>
      <c r="AB26" s="1591">
        <f t="shared" ref="AB26:AB31" si="5">AC26</f>
        <v>1.411095305832148</v>
      </c>
      <c r="AC26" s="1585">
        <f>COMPOSITE!$C$81/COMPOSITE!$G$281</f>
        <v>1.411095305832148</v>
      </c>
      <c r="AD26" s="1609"/>
      <c r="AE26" s="1593">
        <f t="shared" ref="AE26:AE32" si="6">AF26</f>
        <v>1.2241379310344827</v>
      </c>
      <c r="AF26" s="1594">
        <f>COMPOSITE!$C$82/COMPOSITE!$G$282</f>
        <v>1.2241379310344827</v>
      </c>
      <c r="AG26" s="1610"/>
      <c r="AH26" s="1590">
        <f>COMPOSITE!$C$55/SUM(COMPOSITE!$G$283+(0.5*COMPOSITE!$G$309))</f>
        <v>1.9914905112446815</v>
      </c>
      <c r="AI26" s="1585">
        <f>COMPOSITE!$C$83/COMPOSITE!$G$283</f>
        <v>2.7451564828614008</v>
      </c>
      <c r="AJ26" s="1587">
        <f>COMPOSITE!$C$106/COMPOSITE!$G$309</f>
        <v>1.3028739867354457</v>
      </c>
      <c r="AK26" s="1593">
        <f t="shared" ref="AK26:AK32" si="7">AL26</f>
        <v>1.5856531049250535</v>
      </c>
      <c r="AL26" s="1596">
        <f>COMPOSITE!$C$84/COMPOSITE!$G$284</f>
        <v>1.5856531049250535</v>
      </c>
      <c r="AM26" s="1611"/>
      <c r="AN26" s="1598">
        <f>COMPOSITE!$C$57/SUM(COMPOSITE!$G$285+(0.5*COMPOSITE!$G$308))</f>
        <v>2.1572221505098748</v>
      </c>
      <c r="AO26" s="1585">
        <f>COMPOSITE!$C$85/COMPOSITE!$G$285</f>
        <v>3.0043103448275863</v>
      </c>
      <c r="AP26" s="1587">
        <f>COMPOSITE!$C$107/COMPOSITE!$G$308</f>
        <v>1.6833409821018817</v>
      </c>
      <c r="AQ26" s="1588">
        <f>COMPOSITE!$C$58/SUM(COMPOSITE!$G$287+(0.5*COMPOSITE!$G$311))</f>
        <v>2.6987325316867077</v>
      </c>
      <c r="AR26" s="1585">
        <f>COMPOSITE!$C$87/COMPOSITE!$G$287</f>
        <v>3.1328566051938278</v>
      </c>
      <c r="AS26" s="1897">
        <f>COMPOSITE!$C$109/COMPOSITE!$G$311</f>
        <v>1.9904761904761905</v>
      </c>
      <c r="AT26" s="1588">
        <f>COMPOSITE!$C$59/SUM(COMPOSITE!$G$286+(0.5*COMPOSITE!$G$310))</f>
        <v>1.9747018431514276</v>
      </c>
      <c r="AU26" s="1585">
        <f>COMPOSITE!$C$86/COMPOSITE!$G$286</f>
        <v>2.745967741935484</v>
      </c>
      <c r="AV26" s="1587">
        <f>COMPOSITE!$C$108/COMPOSITE!$G$310</f>
        <v>0.9774372073222648</v>
      </c>
      <c r="AW26" s="1588">
        <f t="shared" ref="AW26:AW32" si="8">AX26</f>
        <v>1.5</v>
      </c>
      <c r="AX26" s="1585">
        <f>COMPOSITE!$C$88/COMPOSITE!$G$288</f>
        <v>1.5</v>
      </c>
      <c r="AY26" s="1612"/>
      <c r="AZ26" s="1600">
        <f>COMPOSITE!$C$61/SUM(COMPOSITE!$G$289+(0.5*COMPOSITE!$G$313))</f>
        <v>2.0890718562874251</v>
      </c>
      <c r="BA26" s="1613">
        <f>COMPOSITE!$C$89/COMPOSITE!$G$289</f>
        <v>2.6685823754789273</v>
      </c>
      <c r="BB26" s="1614">
        <f>COMPOSITE!$C$110/COMPOSITE!$G$313</f>
        <v>2.2893835616438358</v>
      </c>
      <c r="BC26" s="1615">
        <f t="shared" ref="BC26:BC32" si="9">BD26</f>
        <v>1.2140804597701149</v>
      </c>
      <c r="BD26" s="1616">
        <f>COMPOSITE!$C$90/COMPOSITE!$G$290</f>
        <v>1.2140804597701149</v>
      </c>
      <c r="BE26" s="1617"/>
      <c r="BF26" s="1600">
        <f>COMPOSITE!$C$63/SUM(COMPOSITE!$G$291+(0.5*COMPOSITE!$G$315))</f>
        <v>1.8991097922848665</v>
      </c>
      <c r="BG26" s="1613">
        <f>COMPOSITE!$C$91/COMPOSITE!$G$291</f>
        <v>2.7202983484283432</v>
      </c>
      <c r="BH26" s="1614">
        <f>COMPOSITE!$C$112/COMPOSITE!$G$315</f>
        <v>1.1544566544566544</v>
      </c>
      <c r="BI26" s="1600">
        <f>COMPOSITE!$C$64/SUM(COMPOSITE!$G$292+(0.5*COMPOSITE!$G$316))</f>
        <v>1.465859138419459</v>
      </c>
      <c r="BJ26" s="1613">
        <f>COMPOSITE!$C$92/COMPOSITE!$G$292</f>
        <v>1.8850574712643677</v>
      </c>
      <c r="BK26" s="1614">
        <f>COMPOSITE!$C$113/COMPOSITE!$G$316</f>
        <v>0.10048319789150011</v>
      </c>
      <c r="BL26" s="1600">
        <f>COMPOSITE!$C$65/SUM(COMPOSITE!$G$293+(0.5*COMPOSITE!$G$317))</f>
        <v>2.7171517377790337</v>
      </c>
      <c r="BM26" s="1613">
        <f>COMPOSITE!$C$93/COMPOSITE!$G$293</f>
        <v>3.4402290622763063</v>
      </c>
      <c r="BN26" s="1614">
        <f>COMPOSITE!$C$114/COMPOSITE!$G$317</f>
        <v>2.6630872483221477</v>
      </c>
      <c r="BO26" s="1600">
        <f>COMPOSITE!$C$67/SUM(COMPOSITE!$G$295+(0.5*COMPOSITE!$G$319))</f>
        <v>1.6414534668149796</v>
      </c>
      <c r="BP26" s="1613">
        <f>COMPOSITE!$C$94/COMPOSITE!$G$294</f>
        <v>2.2373040752351097</v>
      </c>
      <c r="BQ26" s="1614">
        <f>COMPOSITE!$C$115/COMPOSITE!$G$318</f>
        <v>1.544010889292196</v>
      </c>
      <c r="BR26" s="1600">
        <f>COMPOSITE!$C$66/SUM(COMPOSITE!$G$294+(0.5*COMPOSITE!$G$318))</f>
        <v>1.6978098788443616</v>
      </c>
      <c r="BS26" s="1613">
        <f>COMPOSITE!$C$95/COMPOSITE!$G$295</f>
        <v>2.197261663286004</v>
      </c>
      <c r="BT26" s="1614">
        <f>COMPOSITE!$C$116/COMPOSITE!$G$319</f>
        <v>1.4165517241379311</v>
      </c>
      <c r="BU26" s="135"/>
    </row>
    <row r="27" spans="1:73" ht="20.100000000000001" customHeight="1">
      <c r="A27" s="1583">
        <v>42430</v>
      </c>
      <c r="B27" s="1584">
        <f>AVERAGE(G27,J27,S27,V27,Y27,AH27,AN27,AT27,AZ27,BF27,BL27,BO27,BR27)</f>
        <v>2.0406857624623314</v>
      </c>
      <c r="C27" s="1585">
        <f t="shared" si="0"/>
        <v>1.28044758391309</v>
      </c>
      <c r="D27" s="1586">
        <f>AVERAGE(H27,K27,T27,W27,Z27,AI27,AO27,AU27,BA27,BG27,BM27,BP27,BS27)</f>
        <v>2.6669153375206252</v>
      </c>
      <c r="E27" s="1585">
        <f t="shared" si="1"/>
        <v>3.3753623188405797</v>
      </c>
      <c r="F27" s="1587">
        <f>AVERAGE(L27,U27,X27,AA27,AJ27,AP27,AV27,BB27,BH27,BN27,BQ27,BT27)</f>
        <v>1.697806535824083</v>
      </c>
      <c r="G27" s="1588">
        <f t="shared" si="2"/>
        <v>2.0860890953812516</v>
      </c>
      <c r="H27" s="1585">
        <f>COMPOSITE!$D$73/COMPOSITE!$J$273</f>
        <v>2.0860890953812516</v>
      </c>
      <c r="I27" s="1609"/>
      <c r="J27" s="1590">
        <f>COMPOSITE!$D$46/SUM(COMPOSITE!$J$274+(0.5*COMPOSITE!$J$302))</f>
        <v>2.1681748573019628</v>
      </c>
      <c r="K27" s="1585">
        <f>COMPOSITE!$D$74/COMPOSITE!$J$274</f>
        <v>2.8981343283582088</v>
      </c>
      <c r="L27" s="1587">
        <f>COMPOSITE!$D$102/COMPOSITE!$J$302</f>
        <v>2.274273176083379</v>
      </c>
      <c r="M27" s="1591">
        <f t="shared" si="3"/>
        <v>1.0725806451612903</v>
      </c>
      <c r="N27" s="1585">
        <f>COMPOSITE!$D$75/COMPOSITE!$J$275</f>
        <v>1.0725806451612903</v>
      </c>
      <c r="O27" s="1609"/>
      <c r="P27" s="1590">
        <f t="shared" si="4"/>
        <v>0.76446837146702562</v>
      </c>
      <c r="Q27" s="1585">
        <f>COMPOSITE!$D$76/COMPOSITE!$J$276</f>
        <v>0.76446837146702562</v>
      </c>
      <c r="R27" s="1609"/>
      <c r="S27" s="1590">
        <f>COMPOSITE!$D$49/SUM(COMPOSITE!$J$277+(0.5*COMPOSITE!$J$303))</f>
        <v>2.0264817150063053</v>
      </c>
      <c r="T27" s="1585">
        <f>COMPOSITE!$D$77/COMPOSITE!$J$277</f>
        <v>2.6597682119205297</v>
      </c>
      <c r="U27" s="1592">
        <f>COMPOSITE!$D$103/COMPOSITE!$J$303</f>
        <v>1.2275132275132274</v>
      </c>
      <c r="V27" s="1588">
        <f>COMPOSITE!$D$51/SUM(COMPOSITE!$J$279+(0.5*COMPOSITE!$J$305))</f>
        <v>1.92151209354477</v>
      </c>
      <c r="W27" s="1585">
        <f>COMPOSITE!$D$79/COMPOSITE!$J$279</f>
        <v>2.338996289787151</v>
      </c>
      <c r="X27" s="1587">
        <f>COMPOSITE!$D$104/COMPOSITE!$J$305</f>
        <v>2.392156862745098</v>
      </c>
      <c r="Y27" s="1588">
        <f>COMPOSITE!$D$52/SUM(COMPOSITE!$J$280+(0.5*COMPOSITE!$J$306))</f>
        <v>2.0404896421845575</v>
      </c>
      <c r="Z27" s="1585">
        <f>COMPOSITE!$D$80/COMPOSITE!$J$280</f>
        <v>2.7912371134020617</v>
      </c>
      <c r="AA27" s="1587">
        <f>COMPOSITE!$D$105/COMPOSITE!$J$306</f>
        <v>1.75</v>
      </c>
      <c r="AB27" s="1591">
        <f t="shared" si="5"/>
        <v>1.4404213298222515</v>
      </c>
      <c r="AC27" s="1585">
        <f>COMPOSITE!$D$81/COMPOSITE!$J$281</f>
        <v>1.4404213298222515</v>
      </c>
      <c r="AD27" s="1609"/>
      <c r="AE27" s="1593">
        <f t="shared" si="6"/>
        <v>1.2634408602150538</v>
      </c>
      <c r="AF27" s="1594">
        <f>COMPOSITE!$D$82/COMPOSITE!$J$282</f>
        <v>1.2634408602150538</v>
      </c>
      <c r="AG27" s="1610"/>
      <c r="AH27" s="1590">
        <f>COMPOSITE!$D$55/SUM(COMPOSITE!$J$283+(0.5*COMPOSITE!$J$309))</f>
        <v>2.0154163034956931</v>
      </c>
      <c r="AI27" s="1585">
        <f>COMPOSITE!$D$83/COMPOSITE!$J$283</f>
        <v>2.7653158785026108</v>
      </c>
      <c r="AJ27" s="1587">
        <f>COMPOSITE!$D$106/COMPOSITE!$J$309</f>
        <v>1.3279569892473118</v>
      </c>
      <c r="AK27" s="1593">
        <f t="shared" si="7"/>
        <v>1.550753768844221</v>
      </c>
      <c r="AL27" s="1596">
        <f>COMPOSITE!$D$84/COMPOSITE!$J$284</f>
        <v>1.550753768844221</v>
      </c>
      <c r="AM27" s="1611"/>
      <c r="AN27" s="1598">
        <f>COMPOSITE!$D$57/SUM(COMPOSITE!$J$285+(0.5*COMPOSITE!$J$308))</f>
        <v>2.1593927893738138</v>
      </c>
      <c r="AO27" s="1585">
        <f>COMPOSITE!$D$85/COMPOSITE!$J$285</f>
        <v>3.0524193548387095</v>
      </c>
      <c r="AP27" s="1587">
        <f>COMPOSITE!$D$107/COMPOSITE!$J$308</f>
        <v>1.417741935483871</v>
      </c>
      <c r="AQ27" s="1588">
        <f>COMPOSITE!$D$58/SUM(COMPOSITE!$J$287+(0.5*COMPOSITE!$J$311))</f>
        <v>2.8795031055900622</v>
      </c>
      <c r="AR27" s="1585">
        <f>COMPOSITE!$D$87/COMPOSITE!$J$287</f>
        <v>3.3753623188405797</v>
      </c>
      <c r="AS27" s="1897">
        <f>COMPOSITE!$D$109/COMPOSITE!$J$311</f>
        <v>2.1</v>
      </c>
      <c r="AT27" s="1588">
        <f>COMPOSITE!$D$59/SUM(COMPOSITE!$J$286+(0.5*COMPOSITE!$J$310))</f>
        <v>2.1456221198156684</v>
      </c>
      <c r="AU27" s="1585">
        <f>COMPOSITE!$D$86/COMPOSITE!$J$286</f>
        <v>2.9832258064516131</v>
      </c>
      <c r="AV27" s="1587">
        <f>COMPOSITE!$D$108/COMPOSITE!$J$310</f>
        <v>1.0129032258064516</v>
      </c>
      <c r="AW27" s="1588">
        <f t="shared" si="8"/>
        <v>1.3445040214477211</v>
      </c>
      <c r="AX27" s="1585">
        <f>COMPOSITE!$D$88/COMPOSITE!$J$288</f>
        <v>1.3445040214477211</v>
      </c>
      <c r="AY27" s="1612"/>
      <c r="AZ27" s="1600">
        <f>COMPOSITE!$D$61/SUM(COMPOSITE!$J$289+(0.5*COMPOSITE!$J$313))</f>
        <v>2.1198606271777005</v>
      </c>
      <c r="BA27" s="1613">
        <f>COMPOSITE!$D$89/COMPOSITE!$J$289</f>
        <v>2.6915555555555555</v>
      </c>
      <c r="BB27" s="1614">
        <f>COMPOSITE!$D$110/COMPOSITE!$J$313</f>
        <v>2.2564516129032257</v>
      </c>
      <c r="BC27" s="1615">
        <f t="shared" si="9"/>
        <v>1.1975806451612903</v>
      </c>
      <c r="BD27" s="1616">
        <f>COMPOSITE!$D$90/COMPOSITE!$J$290</f>
        <v>1.1975806451612903</v>
      </c>
      <c r="BE27" s="1617"/>
      <c r="BF27" s="1600">
        <f>COMPOSITE!$D$63/SUM(COMPOSITE!$J$291+(0.5*COMPOSITE!$J$315))</f>
        <v>1.9297610427226648</v>
      </c>
      <c r="BG27" s="1613">
        <f>COMPOSITE!$D$91/COMPOSITE!$J$291</f>
        <v>2.6779063915450427</v>
      </c>
      <c r="BH27" s="1614">
        <f>COMPOSITE!$D$112/COMPOSITE!$J$315</f>
        <v>1.064516129032258</v>
      </c>
      <c r="BI27" s="1600">
        <f t="shared" ref="BI27:BI32" si="10">BJ27</f>
        <v>1.609831029185868</v>
      </c>
      <c r="BJ27" s="1613">
        <f>COMPOSITE!$D$92/COMPOSITE!$J$292</f>
        <v>1.609831029185868</v>
      </c>
      <c r="BK27" s="2100"/>
      <c r="BL27" s="1600">
        <f>COMPOSITE!$D$65/SUM(COMPOSITE!$J$293+(0.5*COMPOSITE!$J$317))</f>
        <v>2.7312500000000002</v>
      </c>
      <c r="BM27" s="1613">
        <f>COMPOSITE!$D$93/COMPOSITE!$J$293</f>
        <v>3.51747311827957</v>
      </c>
      <c r="BN27" s="1614">
        <f>COMPOSITE!$D$114/COMPOSITE!$J$317</f>
        <v>2.9050925925925926</v>
      </c>
      <c r="BO27" s="1600">
        <f>COMPOSITE!$D$67/SUM(COMPOSITE!$J$295+(0.5*COMPOSITE!$J$319))</f>
        <v>1.5921555015619577</v>
      </c>
      <c r="BP27" s="1613">
        <f>COMPOSITE!$D$94/COMPOSITE!$J$294</f>
        <v>2.0715009408018528</v>
      </c>
      <c r="BQ27" s="1614">
        <f>COMPOSITE!$D$115/COMPOSITE!$J$318</f>
        <v>1.3702339688041594</v>
      </c>
      <c r="BR27" s="1600">
        <f>COMPOSITE!$D$66/SUM(COMPOSITE!$J$294+(0.5*COMPOSITE!$J$318))</f>
        <v>1.5927091244439622</v>
      </c>
      <c r="BS27" s="1613">
        <f>COMPOSITE!$D$95/COMPOSITE!$J$295</f>
        <v>2.1362773029439697</v>
      </c>
      <c r="BT27" s="1614">
        <f>COMPOSITE!$D$116/COMPOSITE!$J$319</f>
        <v>1.3748387096774193</v>
      </c>
      <c r="BU27" s="135"/>
    </row>
    <row r="28" spans="1:73" ht="20.100000000000001" customHeight="1">
      <c r="A28" s="1583">
        <v>42461</v>
      </c>
      <c r="B28" s="1584">
        <f>AVERAGE(G28,J28,S28,V28,Y28,AH28,AN28,AT28,AZ28,BF28,BL28,BO28,BR28)</f>
        <v>1.9389658151836666</v>
      </c>
      <c r="C28" s="1585">
        <f t="shared" si="0"/>
        <v>1.2513025387102992</v>
      </c>
      <c r="D28" s="1586">
        <f>AVERAGE(H28,K28,T28,W28,Z28,AI28,AO28,AU28,BA28,BG28,BM28,BP28,BS28)</f>
        <v>2.5634975250426058</v>
      </c>
      <c r="E28" s="1585">
        <f t="shared" si="1"/>
        <v>3.2166666666666668</v>
      </c>
      <c r="F28" s="1587">
        <f>AVERAGE(L28,U28,X28,AA28,AJ28,AP28,AV28,BB28,BH28,BN28,BQ28,BT28)</f>
        <v>1.6586997171463083</v>
      </c>
      <c r="G28" s="1588">
        <f t="shared" si="2"/>
        <v>1.9985787379192723</v>
      </c>
      <c r="H28" s="1585">
        <f>COMPOSITE!$E$73/COMPOSITE!$M$273</f>
        <v>1.9985787379192723</v>
      </c>
      <c r="I28" s="1609"/>
      <c r="J28" s="1590">
        <f>COMPOSITE!$E$46/SUM(COMPOSITE!$M$274+(0.5*COMPOSITE!$M$302))</f>
        <v>2.1205556189022698</v>
      </c>
      <c r="K28" s="1585">
        <f>COMPOSITE!$E$74/COMPOSITE!$M$274</f>
        <v>2.8546327703647676</v>
      </c>
      <c r="L28" s="1587">
        <f>COMPOSITE!$E$102/COMPOSITE!$M$302</f>
        <v>2.8310657596371884</v>
      </c>
      <c r="M28" s="1591">
        <f t="shared" si="3"/>
        <v>1.0118632240055827</v>
      </c>
      <c r="N28" s="1585">
        <f>COMPOSITE!$E$75/COMPOSITE!$M$275</f>
        <v>1.0118632240055827</v>
      </c>
      <c r="O28" s="1609"/>
      <c r="P28" s="1590">
        <f t="shared" si="4"/>
        <v>0.59853505406348095</v>
      </c>
      <c r="Q28" s="1585">
        <f>COMPOSITE!$E$76/COMPOSITE!$M$276</f>
        <v>0.59853505406348095</v>
      </c>
      <c r="R28" s="1609"/>
      <c r="S28" s="1590">
        <f>COMPOSITE!$E$49/SUM(COMPOSITE!$M$277+(0.5*COMPOSITE!$M$303))</f>
        <v>1.8255706998912953</v>
      </c>
      <c r="T28" s="1585">
        <f>COMPOSITE!$E$77/COMPOSITE!$M$277</f>
        <v>2.4024822695035462</v>
      </c>
      <c r="U28" s="1592">
        <f>COMPOSITE!$E$103/COMPOSITE!$M$303</f>
        <v>1.0207836456558774</v>
      </c>
      <c r="V28" s="1588">
        <f>COMPOSITE!$E$51/SUM(COMPOSITE!$M$279+(0.5*COMPOSITE!$M$305))</f>
        <v>1.8114020550215446</v>
      </c>
      <c r="W28" s="1585">
        <f>COMPOSITE!$E$79/COMPOSITE!$M$279</f>
        <v>2.235725938009788</v>
      </c>
      <c r="X28" s="1587">
        <f>COMPOSITE!$E$104/COMPOSITE!$M$305</f>
        <v>2.0194690265486726</v>
      </c>
      <c r="Y28" s="1588">
        <f>COMPOSITE!$E$52/SUM(COMPOSITE!$M$280+(0.5*COMPOSITE!$M$306))</f>
        <v>1.9817204301075269</v>
      </c>
      <c r="Z28" s="1585">
        <f>COMPOSITE!$E$80/COMPOSITE!$M$280</f>
        <v>2.5319444444444446</v>
      </c>
      <c r="AA28" s="1587">
        <f>COMPOSITE!$E$105/COMPOSITE!$M$306</f>
        <v>1.9619047619047618</v>
      </c>
      <c r="AB28" s="1591">
        <f t="shared" si="5"/>
        <v>1.5410526315789475</v>
      </c>
      <c r="AC28" s="1585">
        <f>COMPOSITE!$E$81/COMPOSITE!$M$281</f>
        <v>1.5410526315789475</v>
      </c>
      <c r="AD28" s="1609"/>
      <c r="AE28" s="1593">
        <f t="shared" si="6"/>
        <v>1.2930555555555556</v>
      </c>
      <c r="AF28" s="1594">
        <f>COMPOSITE!$E$82/COMPOSITE!$M$282</f>
        <v>1.2930555555555556</v>
      </c>
      <c r="AG28" s="1610"/>
      <c r="AH28" s="1590">
        <f>COMPOSITE!$E$55/SUM(COMPOSITE!$M$283+(0.5*COMPOSITE!$M$309))</f>
        <v>1.9281715831184352</v>
      </c>
      <c r="AI28" s="1585">
        <f>COMPOSITE!$E$83/COMPOSITE!$M$283</f>
        <v>2.6548611111111109</v>
      </c>
      <c r="AJ28" s="1587">
        <f>COMPOSITE!$E$106/COMPOSITE!$M$309</f>
        <v>1.2039278374058004</v>
      </c>
      <c r="AK28" s="1593">
        <f t="shared" si="7"/>
        <v>1.4244455905105724</v>
      </c>
      <c r="AL28" s="1596">
        <f>COMPOSITE!$E$84/COMPOSITE!$M$284</f>
        <v>1.4244455905105724</v>
      </c>
      <c r="AM28" s="1611"/>
      <c r="AN28" s="1598">
        <f>COMPOSITE!$E$57/SUM(COMPOSITE!$M$285+(0.5*COMPOSITE!$M$308))</f>
        <v>2.1245098039215686</v>
      </c>
      <c r="AO28" s="1585">
        <f>COMPOSITE!$E$85/COMPOSITE!$M$285</f>
        <v>3.0083333333333333</v>
      </c>
      <c r="AP28" s="1587">
        <f>COMPOSITE!$E$107/COMPOSITE!$M$308</f>
        <v>1.5716666666666668</v>
      </c>
      <c r="AQ28" s="1588">
        <f>COMPOSITE!$E$58/SUM(COMPOSITE!$M$287+(0.5*COMPOSITE!$M$311))</f>
        <v>2.784313725490196</v>
      </c>
      <c r="AR28" s="1585">
        <f>COMPOSITE!$E$87/COMPOSITE!$M$287</f>
        <v>3.2166666666666668</v>
      </c>
      <c r="AS28" s="1897">
        <f>COMPOSITE!$E$109/COMPOSITE!$M$311</f>
        <v>1.7285714285714286</v>
      </c>
      <c r="AT28" s="1588">
        <f>COMPOSITE!$E$59/SUM(COMPOSITE!$M$286+(0.5*COMPOSITE!$M$310))</f>
        <v>2.0662251655629138</v>
      </c>
      <c r="AU28" s="1585">
        <f>COMPOSITE!$E$86/COMPOSITE!$M$286</f>
        <v>2.9777777777777779</v>
      </c>
      <c r="AV28" s="1587">
        <f>COMPOSITE!$E$108/COMPOSITE!$M$310</f>
        <v>1.0263261296660118</v>
      </c>
      <c r="AW28" s="1588">
        <f t="shared" si="8"/>
        <v>1.3444444444444446</v>
      </c>
      <c r="AX28" s="1585">
        <f>COMPOSITE!$E$88/COMPOSITE!$M$288</f>
        <v>1.3444444444444446</v>
      </c>
      <c r="AY28" s="1612"/>
      <c r="AZ28" s="1600">
        <f>COMPOSITE!$E$61/SUM(COMPOSITE!$M$289+(0.5*COMPOSITE!$M$313))</f>
        <v>2.2172661870503596</v>
      </c>
      <c r="BA28" s="1613">
        <f>COMPOSITE!$E$89/COMPOSITE!$M$289</f>
        <v>2.85</v>
      </c>
      <c r="BB28" s="1614">
        <f>COMPOSITE!$E$110/COMPOSITE!$M$313</f>
        <v>2.2612903225806451</v>
      </c>
      <c r="BC28" s="1615">
        <f t="shared" si="9"/>
        <v>1.1430555555555555</v>
      </c>
      <c r="BD28" s="1616">
        <f>COMPOSITE!$E$90/COMPOSITE!$M$290</f>
        <v>1.1430555555555555</v>
      </c>
      <c r="BE28" s="1617"/>
      <c r="BF28" s="1600">
        <f>COMPOSITE!$E$63/SUM(COMPOSITE!$M$291+(0.5*COMPOSITE!$M$315))</f>
        <v>1.8187581577475294</v>
      </c>
      <c r="BG28" s="1613">
        <f>COMPOSITE!$E$91/COMPOSITE!$M$291</f>
        <v>2.5417972831765936</v>
      </c>
      <c r="BH28" s="1614">
        <f>COMPOSITE!$E$112/COMPOSITE!$M$315</f>
        <v>1.3902280130293159</v>
      </c>
      <c r="BI28" s="1600">
        <f t="shared" si="10"/>
        <v>1.6539682539682539</v>
      </c>
      <c r="BJ28" s="1613">
        <f>COMPOSITE!$E$92/COMPOSITE!$M$292</f>
        <v>1.6539682539682539</v>
      </c>
      <c r="BK28" s="2102"/>
      <c r="BL28" s="1600">
        <f>COMPOSITE!$E$65/SUM(COMPOSITE!$M$293+(0.5*COMPOSITE!$M$317))</f>
        <v>2.2525458248472505</v>
      </c>
      <c r="BM28" s="1613">
        <f>COMPOSITE!$E$93/COMPOSITE!$M$293</f>
        <v>3.0694444444444446</v>
      </c>
      <c r="BN28" s="1614">
        <f>COMPOSITE!$E$114/COMPOSITE!$M$317</f>
        <v>1.8893129770992367</v>
      </c>
      <c r="BO28" s="1600">
        <f>COMPOSITE!$E$67/SUM(COMPOSITE!$M$295+(0.5*COMPOSITE!$M$319))</f>
        <v>1.5500403189678345</v>
      </c>
      <c r="BP28" s="1613">
        <f>COMPOSITE!$E$94/COMPOSITE!$M$294</f>
        <v>1.9977360199230247</v>
      </c>
      <c r="BQ28" s="1614">
        <f>COMPOSITE!$E$115/COMPOSITE!$M$318</f>
        <v>1.357394366197183</v>
      </c>
      <c r="BR28" s="1600">
        <f>COMPOSITE!$E$66/SUM(COMPOSITE!$M$294+(0.5*COMPOSITE!$M$318))</f>
        <v>1.511211014329868</v>
      </c>
      <c r="BS28" s="1613">
        <f>COMPOSITE!$D$95/COMPOSITE!$M$295</f>
        <v>2.2021536955457659</v>
      </c>
      <c r="BT28" s="1614">
        <f>COMPOSITE!$E$116/COMPOSITE!$M$319</f>
        <v>1.3710270993643359</v>
      </c>
      <c r="BU28" s="135"/>
    </row>
    <row r="29" spans="1:73" ht="20.100000000000001" customHeight="1">
      <c r="A29" s="1583">
        <v>42491</v>
      </c>
      <c r="B29" s="1584">
        <f>AVERAGE(G29,J29,S29,V29,Y29,AH29,AN29,AT29,AZ29,BF29,BL29)</f>
        <v>1.9133240422385662</v>
      </c>
      <c r="C29" s="1585">
        <f t="shared" si="0"/>
        <v>1.1786645569380483</v>
      </c>
      <c r="D29" s="1586">
        <f>AVERAGE(H29,K29,T29,W29,Z29,AI29,AO29,AU29,BA29,BG29,BM29)</f>
        <v>2.508735201502168</v>
      </c>
      <c r="E29" s="1585">
        <f t="shared" si="1"/>
        <v>2.792560801144492</v>
      </c>
      <c r="F29" s="1587">
        <f>AVERAGE(L29,U29,X29,AA29,AJ29,AP29,AV29,BB29,BH29,BN29)</f>
        <v>1.5190610298799685</v>
      </c>
      <c r="G29" s="1588">
        <f t="shared" si="2"/>
        <v>1.9456903539583896</v>
      </c>
      <c r="H29" s="1585">
        <f>COMPOSITE!$F$73/COMPOSITE!$P$273</f>
        <v>1.9456903539583896</v>
      </c>
      <c r="I29" s="1609"/>
      <c r="J29" s="1590">
        <f>COMPOSITE!$F$46/SUM(COMPOSITE!$P$274+(0.5*COMPOSITE!$P$302))</f>
        <v>1.9811373092926492</v>
      </c>
      <c r="K29" s="1585">
        <f>COMPOSITE!$F$74/COMPOSITE!$P$274</f>
        <v>2.6557377049180326</v>
      </c>
      <c r="L29" s="1587">
        <f>COMPOSITE!$F$102/COMPOSITE!$P$302</f>
        <v>1.9516829533116178</v>
      </c>
      <c r="M29" s="1591">
        <f t="shared" si="3"/>
        <v>0.81451612903225812</v>
      </c>
      <c r="N29" s="1585">
        <f>COMPOSITE!$F$75/COMPOSITE!$P$275</f>
        <v>0.81451612903225812</v>
      </c>
      <c r="O29" s="1609"/>
      <c r="P29" s="1590">
        <f t="shared" si="4"/>
        <v>0.44758064516129031</v>
      </c>
      <c r="Q29" s="1585">
        <f>COMPOSITE!$F$76/COMPOSITE!$P$276</f>
        <v>0.44758064516129031</v>
      </c>
      <c r="R29" s="1609"/>
      <c r="S29" s="1590">
        <f>COMPOSITE!$F$49/SUM(COMPOSITE!$P$277+(0.5*COMPOSITE!$P$303))</f>
        <v>1.7462686567164178</v>
      </c>
      <c r="T29" s="1585">
        <f>COMPOSITE!$F$77/COMPOSITE!$P$277</f>
        <v>2.3522231909328681</v>
      </c>
      <c r="U29" s="1592">
        <f>COMPOSITE!$F$103/COMPOSITE!$P$303</f>
        <v>1.0532994923857868</v>
      </c>
      <c r="V29" s="1588">
        <f>COMPOSITE!$F$51/SUM(COMPOSITE!$P$279+(0.5*COMPOSITE!$P$305))</f>
        <v>1.8488689234718434</v>
      </c>
      <c r="W29" s="1585">
        <f>COMPOSITE!$F$79/COMPOSITE!$P$279</f>
        <v>2.2382432957637</v>
      </c>
      <c r="X29" s="1587">
        <f>COMPOSITE!$F$104/COMPOSITE!$P$305</f>
        <v>2.0045998160073597</v>
      </c>
      <c r="Y29" s="1588">
        <f>COMPOSITE!$F$52/SUM(COMPOSITE!$P$280+(0.5*COMPOSITE!$P$306))</f>
        <v>1.931641636457794</v>
      </c>
      <c r="Z29" s="1585">
        <f>COMPOSITE!$F$80/COMPOSITE!$P$280</f>
        <v>2.495967741935484</v>
      </c>
      <c r="AA29" s="1587">
        <f>COMPOSITE!$F$105/COMPOSITE!$P$306</f>
        <v>1.8442437923250565</v>
      </c>
      <c r="AB29" s="1591">
        <f t="shared" si="5"/>
        <v>1.4456375838926174</v>
      </c>
      <c r="AC29" s="1585">
        <f>COMPOSITE!$F$81/COMPOSITE!$P$281</f>
        <v>1.4456375838926174</v>
      </c>
      <c r="AD29" s="1609"/>
      <c r="AE29" s="1593">
        <f t="shared" si="6"/>
        <v>1.163978494623656</v>
      </c>
      <c r="AF29" s="1594">
        <f>COMPOSITE!$F$82/COMPOSITE!$P$282</f>
        <v>1.163978494623656</v>
      </c>
      <c r="AG29" s="1610"/>
      <c r="AH29" s="1590">
        <f>COMPOSITE!$F$55/SUM(COMPOSITE!$P$283+(0.5*COMPOSITE!$P$309))</f>
        <v>1.836754407148032</v>
      </c>
      <c r="AI29" s="1585">
        <f>COMPOSITE!$F$83/COMPOSITE!$P$283</f>
        <v>2.5262807717897537</v>
      </c>
      <c r="AJ29" s="1587">
        <f>COMPOSITE!$F$106/COMPOSITE!$P$309</f>
        <v>1.2229074889867841</v>
      </c>
      <c r="AK29" s="1593">
        <f t="shared" si="7"/>
        <v>1.5993975903614457</v>
      </c>
      <c r="AL29" s="1596">
        <f>COMPOSITE!$F$84/COMPOSITE!$P$284</f>
        <v>1.5993975903614457</v>
      </c>
      <c r="AM29" s="1611"/>
      <c r="AN29" s="1598">
        <f>COMPOSITE!$F$57/SUM(COMPOSITE!$P$285+(0.5*COMPOSITE!$P$308))</f>
        <v>2.0473484848484849</v>
      </c>
      <c r="AO29" s="1585">
        <f>COMPOSITE!$F$85/COMPOSITE!$P$285</f>
        <v>2.9045698924731185</v>
      </c>
      <c r="AP29" s="1587">
        <f>COMPOSITE!$F$107/COMPOSITE!$P$308</f>
        <v>1.4727564102564104</v>
      </c>
      <c r="AQ29" s="1588">
        <f>COMPOSITE!$F$58/SUM(COMPOSITE!$P$287+(0.5*COMPOSITE!$P$311))</f>
        <v>2.4140914709517922</v>
      </c>
      <c r="AR29" s="1585">
        <f>COMPOSITE!$F$87/COMPOSITE!$P$287</f>
        <v>2.792560801144492</v>
      </c>
      <c r="AS29" s="1897">
        <f>COMPOSITE!$F$109/COMPOSITE!$P$311</f>
        <v>1.7954545454545454</v>
      </c>
      <c r="AT29" s="1588">
        <f>COMPOSITE!$F$59/SUM(COMPOSITE!$P$286+(0.5*COMPOSITE!$P$310))</f>
        <v>1.7382633984212712</v>
      </c>
      <c r="AU29" s="1585">
        <f>COMPOSITE!$F$86/COMPOSITE!$P$286</f>
        <v>2.3906071019473081</v>
      </c>
      <c r="AV29" s="1587">
        <f>COMPOSITE!$F$108/COMPOSITE!$P$310</f>
        <v>0.85476550680786689</v>
      </c>
      <c r="AW29" s="1588">
        <f t="shared" si="8"/>
        <v>1.2375838926174496</v>
      </c>
      <c r="AX29" s="1585">
        <f>COMPOSITE!$F$88/COMPOSITE!$P$288</f>
        <v>1.2375838926174496</v>
      </c>
      <c r="AY29" s="1612"/>
      <c r="AZ29" s="1600">
        <f>COMPOSITE!$F$61/SUM(COMPOSITE!$P$289+(0.5*COMPOSITE!$P$313))</f>
        <v>2.0571625344352618</v>
      </c>
      <c r="BA29" s="1613">
        <f>COMPOSITE!$F$89/COMPOSITE!$P$289</f>
        <v>2.6630824372759858</v>
      </c>
      <c r="BB29" s="1614">
        <f>COMPOSITE!$F$110/COMPOSITE!$P$313</f>
        <v>1.9806547619047619</v>
      </c>
      <c r="BC29" s="1615">
        <f t="shared" si="9"/>
        <v>1.1922043010752688</v>
      </c>
      <c r="BD29" s="1616">
        <f>COMPOSITE!$F$90/COMPOSITE!$P$290</f>
        <v>1.1922043010752688</v>
      </c>
      <c r="BE29" s="1617"/>
      <c r="BF29" s="1600">
        <f>COMPOSITE!$F$63/SUM(COMPOSITE!$P$291+(0.5*COMPOSITE!$P$315))</f>
        <v>1.7450589301903898</v>
      </c>
      <c r="BG29" s="1613">
        <f>COMPOSITE!$F$91/COMPOSITE!$P$291</f>
        <v>2.4317492416582405</v>
      </c>
      <c r="BH29" s="1614">
        <f>COMPOSITE!$F$112/COMPOSITE!$P$315</f>
        <v>1.1513790891597178</v>
      </c>
      <c r="BI29" s="1600">
        <f t="shared" si="10"/>
        <v>1.5284178187403994</v>
      </c>
      <c r="BJ29" s="1613">
        <f>COMPOSITE!$F$92/COMPOSITE!$P$292</f>
        <v>1.5284178187403994</v>
      </c>
      <c r="BK29" s="2103"/>
      <c r="BL29" s="1600">
        <f>COMPOSITE!$F$65/SUM(COMPOSITE!$P$293+(0.5*COMPOSITE!$P$317))</f>
        <v>2.1683698296836984</v>
      </c>
      <c r="BM29" s="1613">
        <f>COMPOSITE!$F$93/COMPOSITE!$P$293</f>
        <v>2.9919354838709675</v>
      </c>
      <c r="BN29" s="1614">
        <f>COMPOSITE!$F$114/COMPOSITE!$P$317</f>
        <v>1.654320987654321</v>
      </c>
      <c r="BO29" s="1600">
        <f>COMPOSITE!$F$67/SUM(COMPOSITE!$P$295+(0.5*COMPOSITE!$P$319))</f>
        <v>1.4996491228070175</v>
      </c>
      <c r="BP29" s="1613">
        <f>COMPOSITE!$F$94/COMPOSITE!$P$294</f>
        <v>1.9865536392867582</v>
      </c>
      <c r="BQ29" s="1614">
        <f>COMPOSITE!$F$115/COMPOSITE!$P$318</f>
        <v>0</v>
      </c>
      <c r="BR29" s="1600">
        <f>COMPOSITE!$F$66/SUM(COMPOSITE!$P$294+(0.5*COMPOSITE!$P$318))</f>
        <v>1.5510573334841118</v>
      </c>
      <c r="BS29" s="1613">
        <f>COMPOSITE!$F$95/COMPOSITE!$P$295</f>
        <v>2.0289156626506024</v>
      </c>
      <c r="BT29" s="1614">
        <f>COMPOSITE!$F$116/COMPOSITE!$P$319</f>
        <v>0</v>
      </c>
      <c r="BU29" s="135"/>
    </row>
    <row r="30" spans="1:73" ht="20.100000000000001" customHeight="1">
      <c r="A30" s="1583">
        <v>42522</v>
      </c>
      <c r="B30" s="1584">
        <f>AVERAGE(G30,J30,S30,V30,Y30,AH30,AN30,AT30,AZ30,BF30,BL30)</f>
        <v>1.8662754846518852</v>
      </c>
      <c r="C30" s="1585">
        <f t="shared" si="0"/>
        <v>1.1495636204430943</v>
      </c>
      <c r="D30" s="1586">
        <f>AVERAGE(H30,K30,T30,W30,Z30,AI30,AO30,AU30,BA30,BG30,BM30)</f>
        <v>2.4730433129831977</v>
      </c>
      <c r="E30" s="1585">
        <f t="shared" si="1"/>
        <v>2.6029850746268655</v>
      </c>
      <c r="F30" s="1587">
        <f>AVERAGE(L30,U30,X30,AA30,AJ30,AP30,AV30,BB30,BH30,BN30)</f>
        <v>1.550448770014395</v>
      </c>
      <c r="G30" s="1588">
        <f t="shared" si="2"/>
        <v>1.9519257801518133</v>
      </c>
      <c r="H30" s="1585">
        <f>COMPOSITE!$G$73/COMPOSITE!$S$273</f>
        <v>1.9519257801518133</v>
      </c>
      <c r="I30" s="1609"/>
      <c r="J30" s="1590">
        <f>COMPOSITE!$G$46/SUM(COMPOSITE!$S$274+(0.5*COMPOSITE!$S$302))</f>
        <v>2.007235890014472</v>
      </c>
      <c r="K30" s="1585">
        <f>COMPOSITE!$G$74/COMPOSITE!$S$274</f>
        <v>2.7059742288168684</v>
      </c>
      <c r="L30" s="1587">
        <f>COMPOSITE!$G$102/COMPOSITE!$S$302</f>
        <v>2.0587248322147653</v>
      </c>
      <c r="M30" s="1591">
        <f t="shared" si="3"/>
        <v>0.8205841446453408</v>
      </c>
      <c r="N30" s="1585">
        <f>COMPOSITE!$G$75/COMPOSITE!$S$275</f>
        <v>0.8205841446453408</v>
      </c>
      <c r="O30" s="1609"/>
      <c r="P30" s="1590">
        <f t="shared" si="4"/>
        <v>0.42222222222222222</v>
      </c>
      <c r="Q30" s="1585">
        <f>COMPOSITE!$G$76/COMPOSITE!$S$276</f>
        <v>0.42222222222222222</v>
      </c>
      <c r="R30" s="1609"/>
      <c r="S30" s="1590">
        <f>COMPOSITE!$G$49/SUM(COMPOSITE!$S$277+(0.5*COMPOSITE!$S$303))</f>
        <v>1.8718041051494418</v>
      </c>
      <c r="T30" s="1585">
        <f>COMPOSITE!$G$77/COMPOSITE!$S$277</f>
        <v>2.5288932419196866</v>
      </c>
      <c r="U30" s="1592">
        <f>COMPOSITE!$G$103/COMPOSITE!$S$303</f>
        <v>1.1115646258503402</v>
      </c>
      <c r="V30" s="1588">
        <f>COMPOSITE!$G$51/SUM(COMPOSITE!$S$279+(0.5*COMPOSITE!$S$305))</f>
        <v>1.8000329978551395</v>
      </c>
      <c r="W30" s="1585">
        <f>COMPOSITE!$G$79/COMPOSITE!$S$279</f>
        <v>2.1823293172690761</v>
      </c>
      <c r="X30" s="1587">
        <f>COMPOSITE!$G$104/COMPOSITE!$S$305</f>
        <v>2.1970397779833486</v>
      </c>
      <c r="Y30" s="1588">
        <f>COMPOSITE!$G$52/SUM(COMPOSITE!$S$280+(0.5*COMPOSITE!$S$306))</f>
        <v>1.3380281690140845</v>
      </c>
      <c r="Z30" s="1585">
        <f>COMPOSITE!$G$80/COMPOSITE!$S$280</f>
        <v>1.8444444444444446</v>
      </c>
      <c r="AA30" s="1587">
        <f>COMPOSITE!$G$105/COMPOSITE!$S$306</f>
        <v>1.4708029197080292</v>
      </c>
      <c r="AB30" s="1591">
        <f t="shared" si="5"/>
        <v>1.3856749311294765</v>
      </c>
      <c r="AC30" s="1585">
        <f>COMPOSITE!$G$81/COMPOSITE!$S$281</f>
        <v>1.3856749311294765</v>
      </c>
      <c r="AD30" s="1609"/>
      <c r="AE30" s="1593">
        <f t="shared" si="6"/>
        <v>1.2555555555555555</v>
      </c>
      <c r="AF30" s="1594">
        <f>COMPOSITE!$G$82/COMPOSITE!$S$282</f>
        <v>1.2555555555555555</v>
      </c>
      <c r="AG30" s="1610"/>
      <c r="AH30" s="1590">
        <f>COMPOSITE!$G$55/SUM(COMPOSITE!$S$283+(0.5*COMPOSITE!$S$309))</f>
        <v>1.8064996278838998</v>
      </c>
      <c r="AI30" s="1585">
        <f>COMPOSITE!$G$83/COMPOSITE!$S$283</f>
        <v>2.5145228215767634</v>
      </c>
      <c r="AJ30" s="1587">
        <f>COMPOSITE!$G$106/COMPOSITE!$S$309</f>
        <v>1.1597892888498682</v>
      </c>
      <c r="AK30" s="1593">
        <f t="shared" si="7"/>
        <v>1.6283643892339545</v>
      </c>
      <c r="AL30" s="1596">
        <f>COMPOSITE!$G$84/COMPOSITE!$S$284</f>
        <v>1.6283643892339545</v>
      </c>
      <c r="AM30" s="1612"/>
      <c r="AN30" s="1598">
        <f>COMPOSITE!$G$57/SUM(COMPOSITE!$S$285+(0.5*COMPOSITE!$S$308))</f>
        <v>2.1362745098039215</v>
      </c>
      <c r="AO30" s="1585">
        <f>COMPOSITE!$G$85/COMPOSITE!$S$285</f>
        <v>3.0236111111111112</v>
      </c>
      <c r="AP30" s="1587">
        <f>COMPOSITE!$G$107/COMPOSITE!$S$308</f>
        <v>1.4033333333333333</v>
      </c>
      <c r="AQ30" s="1588">
        <f>COMPOSITE!$G$58/SUM(COMPOSITE!$S$287+(0.5*COMPOSITE!$S$311))</f>
        <v>2.2358974358974359</v>
      </c>
      <c r="AR30" s="1585">
        <f>COMPOSITE!$G$87/COMPOSITE!$S$287</f>
        <v>2.6029850746268655</v>
      </c>
      <c r="AS30" s="1897">
        <f>COMPOSITE!$G$109/COMPOSITE!$S$311</f>
        <v>1.5272727272727273</v>
      </c>
      <c r="AT30" s="1588">
        <f>COMPOSITE!$G$59/SUM(COMPOSITE!$S$286+(0.5*COMPOSITE!$S$310))</f>
        <v>1.8440835266821345</v>
      </c>
      <c r="AU30" s="1585">
        <f>COMPOSITE!$G$86/COMPOSITE!$S$286</f>
        <v>2.6444740346205058</v>
      </c>
      <c r="AV30" s="1587">
        <f>COMPOSITE!$G$108/COMPOSITE!$S$310</f>
        <v>0.8667687595712098</v>
      </c>
      <c r="AW30" s="1588">
        <f t="shared" si="8"/>
        <v>1.1567267683772537</v>
      </c>
      <c r="AX30" s="1585">
        <f>COMPOSITE!$G$88/COMPOSITE!$S$288</f>
        <v>1.1567267683772537</v>
      </c>
      <c r="AY30" s="1612"/>
      <c r="AZ30" s="1600">
        <f>COMPOSITE!$G$61/SUM(COMPOSITE!$S$289+(0.5*COMPOSITE!$S$313))</f>
        <v>2.1329960245753523</v>
      </c>
      <c r="BA30" s="1613">
        <f>COMPOSITE!$G$89/COMPOSITE!$S$289</f>
        <v>2.7361111111111112</v>
      </c>
      <c r="BB30" s="1614">
        <f>COMPOSITE!$G$110/COMPOSITE!$S$313</f>
        <v>2.2685337726523889</v>
      </c>
      <c r="BC30" s="1615">
        <f t="shared" si="9"/>
        <v>1.2638888888888888</v>
      </c>
      <c r="BD30" s="1616">
        <f>COMPOSITE!$G$90/COMPOSITE!$S$290</f>
        <v>1.2638888888888888</v>
      </c>
      <c r="BE30" s="1617"/>
      <c r="BF30" s="1600">
        <f>COMPOSITE!$G$63/SUM(COMPOSITE!$S$291+(0.5*COMPOSITE!$S$315))</f>
        <v>1.6482264289652637</v>
      </c>
      <c r="BG30" s="1613">
        <f>COMPOSITE!$G$91/COMPOSITE!$S$291</f>
        <v>2.3364681295715779</v>
      </c>
      <c r="BH30" s="1614">
        <f>COMPOSITE!$G$112/COMPOSITE!$S$315</f>
        <v>1.2951022938623682</v>
      </c>
      <c r="BI30" s="1600">
        <f t="shared" si="10"/>
        <v>1.2634920634920634</v>
      </c>
      <c r="BJ30" s="1613">
        <f>COMPOSITE!$G$92/COMPOSITE!$S$292</f>
        <v>1.2634920634920634</v>
      </c>
      <c r="BK30" s="2103"/>
      <c r="BL30" s="1600">
        <f>COMPOSITE!$G$65/SUM(COMPOSITE!$S$293+(0.5*COMPOSITE!$S$317))</f>
        <v>1.9919232710752146</v>
      </c>
      <c r="BM30" s="1613">
        <f>COMPOSITE!$G$93/COMPOSITE!$S$293</f>
        <v>2.7347222222222221</v>
      </c>
      <c r="BN30" s="1614">
        <f>COMPOSITE!$G$114/COMPOSITE!$S$317</f>
        <v>1.6728280961182995</v>
      </c>
      <c r="BO30" s="1600">
        <f>COMPOSITE!$G$67/SUM(COMPOSITE!$S$295+(0.5*COMPOSITE!$S$319))</f>
        <v>1.3940287504607445</v>
      </c>
      <c r="BP30" s="1613">
        <f>COMPOSITE!$G$94/COMPOSITE!$S$294</f>
        <v>1.9157320400121249</v>
      </c>
      <c r="BQ30" s="1614">
        <f>COMPOSITE!$G$115/COMPOSITE!$S$318</f>
        <v>0</v>
      </c>
      <c r="BR30" s="1600">
        <f>COMPOSITE!$G$66/SUM(COMPOSITE!$S$294+(0.5*COMPOSITE!$S$318))</f>
        <v>1.4415408875872944</v>
      </c>
      <c r="BS30" s="1613">
        <f>COMPOSITE!$G$95/COMPOSITE!$S$295</f>
        <v>1.8330878743249877</v>
      </c>
      <c r="BT30" s="1614">
        <f>COMPOSITE!$G$116/COMPOSITE!$S$319</f>
        <v>0</v>
      </c>
      <c r="BU30" s="135"/>
    </row>
    <row r="31" spans="1:73" ht="20.100000000000001" customHeight="1">
      <c r="A31" s="1583">
        <v>42552</v>
      </c>
      <c r="B31" s="1584">
        <f>AVERAGE(G31,J31,S31,V31,Y31,AH31,AN31,AT31,AZ31,BF31,BL31)</f>
        <v>1.8446512280718272</v>
      </c>
      <c r="C31" s="1585">
        <f t="shared" si="0"/>
        <v>1.0822638364855908</v>
      </c>
      <c r="D31" s="1586">
        <f>AVERAGE(H31,K31,T31,W31,Z31,AI31,AO31,AU31,BA31,BG31,BM31)</f>
        <v>2.4498893808689788</v>
      </c>
      <c r="E31" s="1585">
        <f t="shared" si="1"/>
        <v>2.7639296187683287</v>
      </c>
      <c r="F31" s="1587">
        <f>AVERAGE(L31,U31,X31,AA31,AJ31,AP31,AV31,BB31,BH31,BN31)</f>
        <v>1.4835669897158332</v>
      </c>
      <c r="G31" s="1588">
        <f t="shared" si="2"/>
        <v>1.9661250344257781</v>
      </c>
      <c r="H31" s="1585">
        <f>COMPOSITE!$H$73/COMPOSITE!$V$273</f>
        <v>1.9661250344257781</v>
      </c>
      <c r="I31" s="1609"/>
      <c r="J31" s="1590">
        <f>COMPOSITE!$H$46/SUM(COMPOSITE!$V$274+(0.5*COMPOSITE!$V$302))</f>
        <v>2.038199971060628</v>
      </c>
      <c r="K31" s="1585">
        <f>COMPOSITE!$H$74/COMPOSITE!$V$274</f>
        <v>2.7574685534591197</v>
      </c>
      <c r="L31" s="1587">
        <f>COMPOSITE!$H$102/COMPOSITE!$V$302</f>
        <v>2.0065825562260011</v>
      </c>
      <c r="M31" s="1591">
        <f t="shared" si="3"/>
        <v>0.7661290322580645</v>
      </c>
      <c r="N31" s="1585">
        <f>COMPOSITE!$H$75/COMPOSITE!$V$275</f>
        <v>0.7661290322580645</v>
      </c>
      <c r="O31" s="1609"/>
      <c r="P31" s="1590">
        <f t="shared" si="4"/>
        <v>0.40456989247311825</v>
      </c>
      <c r="Q31" s="1585">
        <f>COMPOSITE!$H$76/COMPOSITE!$V$276</f>
        <v>0.40456989247311825</v>
      </c>
      <c r="R31" s="1609"/>
      <c r="S31" s="1590">
        <f>COMPOSITE!$H$49/SUM(COMPOSITE!$V$277+(0.5*COMPOSITE!$V$303))</f>
        <v>1.7713111947963027</v>
      </c>
      <c r="T31" s="1585">
        <f>COMPOSITE!$H$77/COMPOSITE!$V$277</f>
        <v>2.3829787234042552</v>
      </c>
      <c r="U31" s="1592">
        <f>COMPOSITE!$H$103/COMPOSITE!$V$303</f>
        <v>1.0790513833992095</v>
      </c>
      <c r="V31" s="1588">
        <f>COMPOSITE!$H$51/SUM(COMPOSITE!$V$279+(0.5*COMPOSITE!$V$305))</f>
        <v>1.7934782608695652</v>
      </c>
      <c r="W31" s="1585">
        <f>COMPOSITE!$H$79/COMPOSITE!$V$279</f>
        <v>2.1780023319082784</v>
      </c>
      <c r="X31" s="1587">
        <f>COMPOSITE!$H$104/COMPOSITE!$V$305</f>
        <v>2.0783783783783782</v>
      </c>
      <c r="Y31" s="1588">
        <f>COMPOSITE!$H$52/SUM(COMPOSITE!$V$280+(0.5*COMPOSITE!$V$306))</f>
        <v>1.3781763826606876</v>
      </c>
      <c r="Z31" s="1585">
        <f>COMPOSITE!$H$80/COMPOSITE!$V$280</f>
        <v>1.8454301075268817</v>
      </c>
      <c r="AA31" s="1587">
        <f>COMPOSITE!$H$105/COMPOSITE!$V$306</f>
        <v>1.6030828516377649</v>
      </c>
      <c r="AB31" s="1591">
        <f t="shared" si="5"/>
        <v>1.3346774193548387</v>
      </c>
      <c r="AC31" s="1585">
        <f>COMPOSITE!$H$81/COMPOSITE!$V$281</f>
        <v>1.3346774193548387</v>
      </c>
      <c r="AD31" s="1609"/>
      <c r="AE31" s="1593">
        <f t="shared" si="6"/>
        <v>1.2190860215053763</v>
      </c>
      <c r="AF31" s="1594">
        <f>COMPOSITE!$H$82/COMPOSITE!$V$282</f>
        <v>1.2190860215053763</v>
      </c>
      <c r="AG31" s="1610"/>
      <c r="AH31" s="1590">
        <f>COMPOSITE!$H$55/SUM(COMPOSITE!$V$283+(0.5*COMPOSITE!$V$309))</f>
        <v>1.8332541567695961</v>
      </c>
      <c r="AI31" s="1585">
        <f>COMPOSITE!$H$83/COMPOSITE!$V$283</f>
        <v>2.5557029177718831</v>
      </c>
      <c r="AJ31" s="1587">
        <f>COMPOSITE!$H$106/COMPOSITE!$V$309</f>
        <v>1.1390284757118927</v>
      </c>
      <c r="AK31" s="1593">
        <f t="shared" si="7"/>
        <v>1.5960199004975124</v>
      </c>
      <c r="AL31" s="1596">
        <f>COMPOSITE!$H$84/COMPOSITE!$V$284</f>
        <v>1.5960199004975124</v>
      </c>
      <c r="AM31" s="1612"/>
      <c r="AN31" s="1598">
        <f>COMPOSITE!$H$57/SUM(COMPOSITE!$V$285+(0.5*COMPOSITE!$V$308))</f>
        <v>2.0344988344988346</v>
      </c>
      <c r="AO31" s="1585">
        <f>COMPOSITE!$H$85/COMPOSITE!$V$285</f>
        <v>2.9274193548387095</v>
      </c>
      <c r="AP31" s="1587">
        <f>COMPOSITE!$H$107/COMPOSITE!$V$308</f>
        <v>1.3500761035007611</v>
      </c>
      <c r="AQ31" s="1588">
        <f>COMPOSITE!$H$58/SUM(COMPOSITE!$V$287+(0.5*COMPOSITE!$V$311))</f>
        <v>2.3951715374841167</v>
      </c>
      <c r="AR31" s="1585">
        <f>COMPOSITE!$H$87/COMPOSITE!$V$287</f>
        <v>2.7639296187683287</v>
      </c>
      <c r="AS31" s="1897">
        <f>COMPOSITE!$H$109/COMPOSITE!$V$311</f>
        <v>1.5047619047619047</v>
      </c>
      <c r="AT31" s="1588">
        <f>COMPOSITE!$H$59/SUM(COMPOSITE!$V$286+(0.5*COMPOSITE!$V$310))</f>
        <v>1.7678883071553229</v>
      </c>
      <c r="AU31" s="1585">
        <f>COMPOSITE!$H$86/COMPOSITE!$V$286</f>
        <v>2.6074646074646073</v>
      </c>
      <c r="AV31" s="1587">
        <f>COMPOSITE!$H$108/COMPOSITE!$V$310</f>
        <v>0.80894308943089432</v>
      </c>
      <c r="AW31" s="1588">
        <f t="shared" si="8"/>
        <v>1.0332889480692411</v>
      </c>
      <c r="AX31" s="1585">
        <f>COMPOSITE!$H$88/COMPOSITE!$V$288</f>
        <v>1.0332889480692411</v>
      </c>
      <c r="AY31" s="1612"/>
      <c r="AZ31" s="1600">
        <f>COMPOSITE!$H$61/SUM(COMPOSITE!$V$289+(0.5*COMPOSITE!$V$313))</f>
        <v>2.1363166953528401</v>
      </c>
      <c r="BA31" s="1613">
        <f>COMPOSITE!$H$89/COMPOSITE!$V$289</f>
        <v>2.7768817204301075</v>
      </c>
      <c r="BB31" s="1614">
        <f>COMPOSITE!$H$110/COMPOSITE!$V$313</f>
        <v>2.026745913818722</v>
      </c>
      <c r="BC31" s="1615">
        <f t="shared" si="9"/>
        <v>1.2352150537634408</v>
      </c>
      <c r="BD31" s="1616">
        <f>COMPOSITE!$H$90/COMPOSITE!$V$290</f>
        <v>1.2352150537634408</v>
      </c>
      <c r="BE31" s="1617"/>
      <c r="BF31" s="1600">
        <f>COMPOSITE!$H$63/SUM(COMPOSITE!$V$291+(0.5*COMPOSITE!$V$315))</f>
        <v>1.6231209735146743</v>
      </c>
      <c r="BG31" s="1613">
        <f>COMPOSITE!$H$91/COMPOSITE!$V$291</f>
        <v>2.2886754297269971</v>
      </c>
      <c r="BH31" s="1614">
        <f>COMPOSITE!$H$112/COMPOSITE!$V$315</f>
        <v>1.1268382352941178</v>
      </c>
      <c r="BI31" s="1600">
        <f t="shared" si="10"/>
        <v>1.0691244239631337</v>
      </c>
      <c r="BJ31" s="1613">
        <f>COMPOSITE!$H$92/COMPOSITE!$V$292</f>
        <v>1.0691244239631337</v>
      </c>
      <c r="BK31" s="2103"/>
      <c r="BL31" s="1600">
        <f>COMPOSITE!$H$65/SUM(COMPOSITE!$V$293+(0.5*COMPOSITE!$V$317))</f>
        <v>1.9487936976858691</v>
      </c>
      <c r="BM31" s="1613">
        <f>COMPOSITE!$H$93/COMPOSITE!$V$293</f>
        <v>2.6626344086021505</v>
      </c>
      <c r="BN31" s="1614">
        <f>COMPOSITE!$H$114/COMPOSITE!$V$317</f>
        <v>1.6169429097605894</v>
      </c>
      <c r="BO31" s="1600">
        <f>COMPOSITE!$H$67/SUM(COMPOSITE!$V$295+(0.5*COMPOSITE!$V$319))</f>
        <v>1.2912142152023691</v>
      </c>
      <c r="BP31" s="1613">
        <f>COMPOSITE!$H$94/COMPOSITE!$V$294</f>
        <v>1.9009783575452119</v>
      </c>
      <c r="BQ31" s="1614">
        <f>COMPOSITE!$H$115/COMPOSITE!$V$318</f>
        <v>0</v>
      </c>
      <c r="BR31" s="1600">
        <f>COMPOSITE!$H$66/SUM(COMPOSITE!$V$294+(0.5*COMPOSITE!$V$318))</f>
        <v>1.4273785981103053</v>
      </c>
      <c r="BS31" s="1613">
        <f>COMPOSITE!$H$95/COMPOSITE!$V$295</f>
        <v>1.8361124344926156</v>
      </c>
      <c r="BT31" s="1614">
        <f>COMPOSITE!$H$116/COMPOSITE!$V$319</f>
        <v>0</v>
      </c>
      <c r="BU31" s="135"/>
    </row>
    <row r="32" spans="1:73" ht="20.100000000000001" customHeight="1">
      <c r="A32" s="1583">
        <v>42583</v>
      </c>
      <c r="B32" s="1584">
        <f>AVERAGE(G32,J32,S32,V32,Y32,AH32,AN32,AT32,AZ32,BF32,BL32,BO32,BR32)</f>
        <v>1.7907578355254672</v>
      </c>
      <c r="C32" s="1585">
        <f>AVERAGE(N32,Q32,AF32,AL32,AX32,BD32,BJ32)</f>
        <v>1.125834511760069</v>
      </c>
      <c r="D32" s="1586">
        <f>AVERAGE(H32,K32,T32,W32,Z32,AI32,AO32,AU32,BA32,BG32,BM32,BP32,BS32)</f>
        <v>2.3565025715411454</v>
      </c>
      <c r="E32" s="1585">
        <f t="shared" si="1"/>
        <v>2.8328530259365996</v>
      </c>
      <c r="F32" s="1587">
        <f>AVERAGE(L32,U32,X32,AA32,AJ32,AP32,AV32,BB32,BH32,BN32,BQ32,BT32)</f>
        <v>1.4701580684990969</v>
      </c>
      <c r="G32" s="1588">
        <f t="shared" si="2"/>
        <v>1.9262093468160699</v>
      </c>
      <c r="H32" s="1585">
        <f>COMPOSITE!$I$73/COMPOSITE!$Y$273</f>
        <v>1.9262093468160699</v>
      </c>
      <c r="I32" s="1609"/>
      <c r="J32" s="1590">
        <f>COMPOSITE!$I$46/SUM(COMPOSITE!$Y$274+(0.5*COMPOSITE!$Y$302))</f>
        <v>1.9279379157427938</v>
      </c>
      <c r="K32" s="1585">
        <f>COMPOSITE!$I$74/COMPOSITE!$Y$274</f>
        <v>2.6161654135338348</v>
      </c>
      <c r="L32" s="1587">
        <f>COMPOSITE!$I$102/COMPOSITE!$Y$302</f>
        <v>2.0031645569620253</v>
      </c>
      <c r="M32" s="1591">
        <f t="shared" si="3"/>
        <v>0.7768817204301075</v>
      </c>
      <c r="N32" s="1585">
        <f>COMPOSITE!$I$75/COMPOSITE!$Y$275</f>
        <v>0.7768817204301075</v>
      </c>
      <c r="O32" s="1609"/>
      <c r="P32" s="1590">
        <f t="shared" si="4"/>
        <v>0.37231182795698925</v>
      </c>
      <c r="Q32" s="1585">
        <f>COMPOSITE!$I$76/COMPOSITE!$Y$276</f>
        <v>0.37231182795698925</v>
      </c>
      <c r="R32" s="1609"/>
      <c r="S32" s="1590">
        <f>COMPOSITE!$I$49/SUM(COMPOSITE!$Y$277+(0.5*COMPOSITE!$Y$303))</f>
        <v>1.7177631578947368</v>
      </c>
      <c r="T32" s="1585">
        <f>COMPOSITE!$I$77/COMPOSITE!$Y$277</f>
        <v>2.2682926829268291</v>
      </c>
      <c r="U32" s="1592">
        <f>COMPOSITE!$I$103/COMPOSITE!$Y$303</f>
        <v>1.1115591397849462</v>
      </c>
      <c r="V32" s="1588">
        <f>COMPOSITE!$I$51/SUM(COMPOSITE!$Y$279+(0.5*COMPOSITE!$Y$305))</f>
        <v>1.6789441375076735</v>
      </c>
      <c r="W32" s="1585">
        <f>COMPOSITE!$I$79/COMPOSITE!$Y$279</f>
        <v>2.0233333333333334</v>
      </c>
      <c r="X32" s="1587">
        <f>COMPOSITE!$I$104/COMPOSITE!$Y$305</f>
        <v>1.8521505376344085</v>
      </c>
      <c r="Y32" s="1588">
        <f>COMPOSITE!$I$52/SUM(COMPOSITE!$Y$280+(0.5*COMPOSITE!$Y$306))</f>
        <v>1.281367865225044</v>
      </c>
      <c r="Z32" s="1585">
        <f>COMPOSITE!$I$80/COMPOSITE!$Y$280</f>
        <v>1.7123655913978495</v>
      </c>
      <c r="AA32" s="1587">
        <f>COMPOSITE!$I$105/COMPOSITE!$Y$306</f>
        <v>1.6263736263736264</v>
      </c>
      <c r="AB32" s="2396"/>
      <c r="AC32" s="2399"/>
      <c r="AD32" s="2400"/>
      <c r="AE32" s="1593">
        <f t="shared" si="6"/>
        <v>1.3521505376344085</v>
      </c>
      <c r="AF32" s="1594">
        <f>COMPOSITE!$I$82/COMPOSITE!$Y$282</f>
        <v>1.3521505376344085</v>
      </c>
      <c r="AG32" s="1610"/>
      <c r="AH32" s="1590">
        <f>COMPOSITE!$I$55/SUM(COMPOSITE!$Y$283+(0.5*COMPOSITE!$Y$309))</f>
        <v>1.8772704958271969</v>
      </c>
      <c r="AI32" s="1585">
        <f>COMPOSITE!$I$83/COMPOSITE!$Y$283</f>
        <v>2.6025903203817315</v>
      </c>
      <c r="AJ32" s="1587">
        <f>COMPOSITE!$I$106/COMPOSITE!$Y$309</f>
        <v>1.2131578947368422</v>
      </c>
      <c r="AK32" s="1593">
        <f t="shared" si="7"/>
        <v>1.5861027190332326</v>
      </c>
      <c r="AL32" s="1596">
        <f>COMPOSITE!$I$84/COMPOSITE!$Y$284</f>
        <v>1.5861027190332326</v>
      </c>
      <c r="AM32" s="1612"/>
      <c r="AN32" s="1598">
        <f>COMPOSITE!$I$57/SUM(COMPOSITE!$Y$285+(0.5*COMPOSITE!$Y$308))</f>
        <v>2.2341232227488153</v>
      </c>
      <c r="AO32" s="1585">
        <f>COMPOSITE!$I$85/COMPOSITE!$Y$285</f>
        <v>3.1626344086021505</v>
      </c>
      <c r="AP32" s="1587">
        <f>COMPOSITE!$I$107/COMPOSITE!$Y$308</f>
        <v>1.332797427652733</v>
      </c>
      <c r="AQ32" s="1588">
        <f>COMPOSITE!$I$58/SUM(COMPOSITE!$Y$287+(0.5*COMPOSITE!$Y$311))</f>
        <v>2.4313967861557479</v>
      </c>
      <c r="AR32" s="1585">
        <f>COMPOSITE!$I$87/COMPOSITE!$Y$287</f>
        <v>2.8328530259365996</v>
      </c>
      <c r="AS32" s="1897">
        <f>COMPOSITE!$I$109/COMPOSITE!$Y$311</f>
        <v>1.3826086956521739</v>
      </c>
      <c r="AT32" s="1588">
        <f>COMPOSITE!$I$59/SUM(COMPOSITE!$Y$286+(0.5*COMPOSITE!$Y$310))</f>
        <v>1.9398148148148149</v>
      </c>
      <c r="AU32" s="1585">
        <f>COMPOSITE!$I$86/COMPOSITE!$Y$286</f>
        <v>2.7181818181818183</v>
      </c>
      <c r="AV32" s="1587">
        <f>COMPOSITE!$I$108/COMPOSITE!$Y$310</f>
        <v>0.92741935483870963</v>
      </c>
      <c r="AW32" s="1588">
        <f t="shared" si="8"/>
        <v>1.1263440860215055</v>
      </c>
      <c r="AX32" s="1585">
        <f>COMPOSITE!$I$88/COMPOSITE!$Y$288</f>
        <v>1.1263440860215055</v>
      </c>
      <c r="AY32" s="1612"/>
      <c r="AZ32" s="1600">
        <f>COMPOSITE!$I$61/SUM(COMPOSITE!$Y$289+(0.5*COMPOSITE!$Y$313))</f>
        <v>2.1623512946116166</v>
      </c>
      <c r="BA32" s="1613">
        <f>COMPOSITE!$I$89/COMPOSITE!$Y$289</f>
        <v>2.760752688172043</v>
      </c>
      <c r="BB32" s="1614">
        <f>COMPOSITE!$I$110/COMPOSITE!$Y$313</f>
        <v>2.1261980830670928</v>
      </c>
      <c r="BC32" s="2619">
        <f t="shared" si="9"/>
        <v>1.2768817204301075</v>
      </c>
      <c r="BD32" s="1616">
        <f>COMPOSITE!$I$90/COMPOSITE!$Y$290</f>
        <v>1.2768817204301075</v>
      </c>
      <c r="BE32" s="1617"/>
      <c r="BF32" s="1600">
        <f>COMPOSITE!$I$63/SUM(COMPOSITE!$Y$291+(0.5*COMPOSITE!$Y$315))</f>
        <v>1.6516527424627678</v>
      </c>
      <c r="BG32" s="1613">
        <f>COMPOSITE!$I$91/COMPOSITE!$Y$291</f>
        <v>2.2962588473205257</v>
      </c>
      <c r="BH32" s="1614">
        <f>COMPOSITE!$I$112/COMPOSITE!$Y$315</f>
        <v>1.2225806451612904</v>
      </c>
      <c r="BI32" s="1600">
        <f t="shared" si="10"/>
        <v>1.390168970814132</v>
      </c>
      <c r="BJ32" s="1613">
        <f>COMPOSITE!$I$92/COMPOSITE!$Y$292</f>
        <v>1.390168970814132</v>
      </c>
      <c r="BK32" s="2103"/>
      <c r="BL32" s="1600">
        <f>COMPOSITE!$I$65/SUM(COMPOSITE!$Y$293+(0.5*COMPOSITE!$Y$317))</f>
        <v>1.9910669975186104</v>
      </c>
      <c r="BM32" s="1613">
        <f>COMPOSITE!$I$93/COMPOSITE!$Y$293</f>
        <v>2.6908602150537635</v>
      </c>
      <c r="BN32" s="1614">
        <f>COMPOSITE!$I$114/COMPOSITE!$Y$317</f>
        <v>1.6888045540796963</v>
      </c>
      <c r="BO32" s="1600">
        <f>COMPOSITE!$I$67/SUM(COMPOSITE!$Y$295+(0.5*COMPOSITE!$Y$319))</f>
        <v>1.4143933489217979</v>
      </c>
      <c r="BP32" s="1613">
        <f>COMPOSITE!$I$94/COMPOSITE!$Y$294</f>
        <v>1.9570426651081239</v>
      </c>
      <c r="BQ32" s="1614">
        <f>COMPOSITE!$I$115/COMPOSITE!$Y$318</f>
        <v>1.2860780984719864</v>
      </c>
      <c r="BR32" s="1600">
        <f>COMPOSITE!$I$66/SUM(COMPOSITE!$Y$294+(0.5*COMPOSITE!$Y$318))</f>
        <v>1.4769565217391305</v>
      </c>
      <c r="BS32" s="1613">
        <f>COMPOSITE!$I$95/COMPOSITE!$Y$295</f>
        <v>1.8998460992068189</v>
      </c>
      <c r="BT32" s="1614">
        <f>COMPOSITE!$I$116/COMPOSITE!$Y$319</f>
        <v>1.2516129032258065</v>
      </c>
      <c r="BU32" s="135"/>
    </row>
    <row r="33" spans="1:73" ht="20.100000000000001" customHeight="1">
      <c r="A33" s="1583">
        <v>42614</v>
      </c>
      <c r="B33" s="1584">
        <f>AVERAGE(G33,J33,S33,V33,Y33,AH33,AN33,AT33,AZ33,BF33,BL33,BO33,BR33)</f>
        <v>1.8521746184657093</v>
      </c>
      <c r="C33" s="1585">
        <f>AVERAGE(N33,Q33,AF33,AL33,AX33,BD33,BJ33)</f>
        <v>1.1256468523139915</v>
      </c>
      <c r="D33" s="1586">
        <f>AVERAGE(H33,K33,T33,W33,Z33,AI33,AO33,AU33,BA33,BG33,BM33,BP33,BS33)</f>
        <v>2.4554369014526305</v>
      </c>
      <c r="E33" s="1585">
        <f>AR33</f>
        <v>2.9267930137495357</v>
      </c>
      <c r="F33" s="1587">
        <f>AVERAGE(L33,U33,X33,AA33,AJ33,AP33,AV33,BB33,BH33,BN33,BQ33,BT33)</f>
        <v>1.4936500890693567</v>
      </c>
      <c r="G33" s="1588">
        <f>H33</f>
        <v>1.9881120860458534</v>
      </c>
      <c r="H33" s="1585">
        <f>COMPOSITE!$J$73/COMPOSITE!$AB$273</f>
        <v>1.9881120860458534</v>
      </c>
      <c r="I33" s="1609"/>
      <c r="J33" s="1590">
        <f>COMPOSITE!$J$46/SUM(COMPOSITE!$AB$274+(0.5*COMPOSITE!$AB$302))</f>
        <v>2.0299914310197087</v>
      </c>
      <c r="K33" s="1585">
        <f>COMPOSITE!$J$74/COMPOSITE!$AB$274</f>
        <v>2.74010861132661</v>
      </c>
      <c r="L33" s="1587">
        <f>COMPOSITE!$J$102/COMPOSITE!$AB$302</f>
        <v>2.0357529794149514</v>
      </c>
      <c r="M33" s="1591">
        <f>N33</f>
        <v>0.76560332871012482</v>
      </c>
      <c r="N33" s="1585">
        <f>COMPOSITE!$J$75/COMPOSITE!$AB$275</f>
        <v>0.76560332871012482</v>
      </c>
      <c r="O33" s="1609"/>
      <c r="P33" s="1590">
        <f>Q33</f>
        <v>0.38194444444444442</v>
      </c>
      <c r="Q33" s="1585">
        <f>COMPOSITE!$J$76/COMPOSITE!$AB$276</f>
        <v>0.38194444444444442</v>
      </c>
      <c r="R33" s="1609"/>
      <c r="S33" s="1590">
        <f>COMPOSITE!$J$49/SUM(COMPOSITE!$AB$277+(0.5*COMPOSITE!$AB$303))</f>
        <v>1.6406145624582498</v>
      </c>
      <c r="T33" s="1585">
        <f>COMPOSITE!$J$77/COMPOSITE!$AB$277</f>
        <v>2.2540540540540541</v>
      </c>
      <c r="U33" s="1592">
        <f>COMPOSITE!$J$103/COMPOSITE!$AB$303</f>
        <v>1.1136950904392764</v>
      </c>
      <c r="V33" s="1588">
        <f>COMPOSITE!$J$51/SUM(COMPOSITE!$AB$279+(0.5*COMPOSITE!$AB$305))</f>
        <v>1.7729575680810639</v>
      </c>
      <c r="W33" s="1585">
        <f>COMPOSITE!$J$79/COMPOSITE!$AB$279</f>
        <v>2.1359816653934303</v>
      </c>
      <c r="X33" s="1587">
        <f>COMPOSITE!$J$104/COMPOSITE!$AB$305</f>
        <v>2.1675925925925927</v>
      </c>
      <c r="Y33" s="1588">
        <f>COMPOSITE!$J$52/SUM(COMPOSITE!$AB$280+(0.5*COMPOSITE!$AB$306))</f>
        <v>1.7958549222797928</v>
      </c>
      <c r="Z33" s="1585">
        <f>COMPOSITE!$J$80/COMPOSITE!$AB$280</f>
        <v>2.401388888888889</v>
      </c>
      <c r="AA33" s="1587">
        <f>COMPOSITE!$J$105/COMPOSITE!$AB$306</f>
        <v>1.6448979591836734</v>
      </c>
      <c r="AB33" s="2397"/>
      <c r="AC33" s="2401"/>
      <c r="AD33" s="2400"/>
      <c r="AE33" s="1593">
        <f>AF33</f>
        <v>1.4263888888888889</v>
      </c>
      <c r="AF33" s="1594">
        <f>COMPOSITE!$J$82/COMPOSITE!$AB$282</f>
        <v>1.4263888888888889</v>
      </c>
      <c r="AG33" s="1610"/>
      <c r="AH33" s="1590">
        <f>COMPOSITE!$J$55/SUM(COMPOSITE!$AB$283+(0.5*COMPOSITE!$AB$309))</f>
        <v>1.9511581067472306</v>
      </c>
      <c r="AI33" s="1585">
        <f>COMPOSITE!$J$83/COMPOSITE!$AB$283</f>
        <v>2.6659751037344397</v>
      </c>
      <c r="AJ33" s="1587">
        <f>COMPOSITE!$J$106/COMPOSITE!$AB$309</f>
        <v>1.2537037037037038</v>
      </c>
      <c r="AK33" s="1593">
        <f>AL33</f>
        <v>1.5784008307372794</v>
      </c>
      <c r="AL33" s="1596">
        <f>COMPOSITE!$J$84/COMPOSITE!$AB$284</f>
        <v>1.5784008307372794</v>
      </c>
      <c r="AM33" s="1612"/>
      <c r="AN33" s="1598">
        <f>COMPOSITE!$J$57/SUM(COMPOSITE!$AB$285+(0.5*COMPOSITE!$AB$308))</f>
        <v>2.193548387096774</v>
      </c>
      <c r="AO33" s="1585">
        <f>COMPOSITE!$J$85/COMPOSITE!$AB$285</f>
        <v>3.1009681881051177</v>
      </c>
      <c r="AP33" s="1587">
        <f>COMPOSITE!$J$107/COMPOSITE!$AB$308</f>
        <v>1.4116666666666666</v>
      </c>
      <c r="AQ33" s="1588">
        <f>COMPOSITE!$J$58/SUM(COMPOSITE!$AB$287+(0.5*COMPOSITE!$AB$311))</f>
        <v>2.3944089942266786</v>
      </c>
      <c r="AR33" s="1585">
        <f>COMPOSITE!$J$87/COMPOSITE!$AB$287</f>
        <v>2.9267930137495357</v>
      </c>
      <c r="AS33" s="1897">
        <f>COMPOSITE!$J$109/COMPOSITE!$AB$311</f>
        <v>1.0466666666666666</v>
      </c>
      <c r="AT33" s="1588">
        <f>COMPOSITE!$J$59/SUM(COMPOSITE!$AB$286+(0.5*COMPOSITE!$AB$310))</f>
        <v>2.0192864030858244</v>
      </c>
      <c r="AU33" s="1585">
        <f>COMPOSITE!$J$86/COMPOSITE!$AB$286</f>
        <v>2.8789546079779917</v>
      </c>
      <c r="AV33" s="1587">
        <f>COMPOSITE!$J$108/COMPOSITE!$AB$310</f>
        <v>0.89838709677419359</v>
      </c>
      <c r="AW33" s="1588">
        <f>AX33</f>
        <v>1.1123439667128987</v>
      </c>
      <c r="AX33" s="1585">
        <f>COMPOSITE!$J$88/COMPOSITE!$AB$288</f>
        <v>1.1123439667128987</v>
      </c>
      <c r="AY33" s="1612"/>
      <c r="AZ33" s="1600">
        <f>COMPOSITE!$J$61/SUM(COMPOSITE!$AB$289+(0.5*COMPOSITE!$AB$313))</f>
        <v>2.164638511095204</v>
      </c>
      <c r="BA33" s="1613">
        <f>COMPOSITE!$J$89/COMPOSITE!$AB$289</f>
        <v>2.8</v>
      </c>
      <c r="BB33" s="1614">
        <f>COMPOSITE!$J$110/COMPOSITE!$AB$313</f>
        <v>2.2066246056782335</v>
      </c>
      <c r="BC33" s="2619">
        <f>BD33</f>
        <v>1.3374999999999999</v>
      </c>
      <c r="BD33" s="1616">
        <f>COMPOSITE!$J$90/COMPOSITE!$AB$290</f>
        <v>1.3374999999999999</v>
      </c>
      <c r="BE33" s="1617"/>
      <c r="BF33" s="1600">
        <f>COMPOSITE!$J$63/SUM(COMPOSITE!$AB$291+(0.5*COMPOSITE!$AB$315))</f>
        <v>1.6008199776369736</v>
      </c>
      <c r="BG33" s="1613">
        <f>COMPOSITE!$J$91/COMPOSITE!$AB$291</f>
        <v>2.24085684430512</v>
      </c>
      <c r="BH33" s="1614">
        <f>COMPOSITE!$J$112/COMPOSITE!$AB$315</f>
        <v>1.2158647594278285</v>
      </c>
      <c r="BI33" s="1600">
        <f>BJ33</f>
        <v>1.2773465067043048</v>
      </c>
      <c r="BJ33" s="1613">
        <f>COMPOSITE!$J$92/COMPOSITE!$AB$292</f>
        <v>1.2773465067043048</v>
      </c>
      <c r="BK33" s="2103"/>
      <c r="BL33" s="1600">
        <f>COMPOSITE!$J$65/SUM(COMPOSITE!$AB$293+(0.5*COMPOSITE!$AB$317))</f>
        <v>2.0329670329670328</v>
      </c>
      <c r="BM33" s="1613">
        <f>COMPOSITE!$J$93/COMPOSITE!$AB$293</f>
        <v>2.8236111111111111</v>
      </c>
      <c r="BN33" s="1614">
        <f>COMPOSITE!$J$114/COMPOSITE!$AB$317</f>
        <v>1.5373665480427046</v>
      </c>
      <c r="BO33" s="1600">
        <f>COMPOSITE!$J$67/SUM(COMPOSITE!$AB$295+(0.5*COMPOSITE!$AB$319))</f>
        <v>1.4258731290092659</v>
      </c>
      <c r="BP33" s="1613">
        <f>COMPOSITE!$J$94/COMPOSITE!$AB$294</f>
        <v>1.9445622538624658</v>
      </c>
      <c r="BQ33" s="1614">
        <f>COMPOSITE!$J$115/COMPOSITE!$AB$318</f>
        <v>1.2602018429135586</v>
      </c>
      <c r="BR33" s="1600">
        <f>COMPOSITE!$J$66/SUM(COMPOSITE!$AB$294+(0.5*COMPOSITE!$AB$318))</f>
        <v>1.4624479225312466</v>
      </c>
      <c r="BS33" s="1613">
        <f>COMPOSITE!$J$95/COMPOSITE!$AB$295</f>
        <v>1.94610630407911</v>
      </c>
      <c r="BT33" s="1614">
        <f>COMPOSITE!$J$116/COMPOSITE!$AB$319</f>
        <v>1.1780472239948947</v>
      </c>
      <c r="BU33" s="135"/>
    </row>
    <row r="34" spans="1:73" ht="20.100000000000001" customHeight="1">
      <c r="A34" s="1583">
        <v>42644</v>
      </c>
      <c r="B34" s="1584">
        <f>AVERAGE(G34,J34,S34,V34,Y34,AH34,AN34,AT34,AZ34,BF34,BL34,BO34,BR34)</f>
        <v>1.790633691920031</v>
      </c>
      <c r="C34" s="1585">
        <f>AVERAGE(N34,Q34,AF34,AL34,AX34,BD34,BJ34)</f>
        <v>1.1130986052670695</v>
      </c>
      <c r="D34" s="1586">
        <f>AVERAGE(H34,K34,T34,W34,Z34,AI34,AO34,AU34,BA34,BG34,BM34,BP34,BS34)</f>
        <v>2.3262813590165505</v>
      </c>
      <c r="E34" s="1585">
        <f>AR34</f>
        <v>2.6931121529029931</v>
      </c>
      <c r="F34" s="1587">
        <f>AVERAGE(L34,U34,X34,AA34,AJ34,AP34,AV34,BB34,BH34,BN34,BQ34,BT34)</f>
        <v>1.528459916916592</v>
      </c>
      <c r="G34" s="1588">
        <f>H34</f>
        <v>1.9261800219538969</v>
      </c>
      <c r="H34" s="1585">
        <f>COMPOSITE!$K$73/COMPOSITE!$AE$273</f>
        <v>1.9261800219538969</v>
      </c>
      <c r="I34" s="1609"/>
      <c r="J34" s="1590">
        <f>COMPOSITE!$K$46/SUM(COMPOSITE!$AE$274+(0.5*COMPOSITE!$AE$302))</f>
        <v>1.9647503147293328</v>
      </c>
      <c r="K34" s="1585">
        <f>COMPOSITE!$K$74/COMPOSITE!$AE$274</f>
        <v>2.643984962406015</v>
      </c>
      <c r="L34" s="1587">
        <f>COMPOSITE!$K$102/COMPOSITE!$AE$302</f>
        <v>1.9633679606342263</v>
      </c>
      <c r="M34" s="1591">
        <f>N34</f>
        <v>0.82795698924731187</v>
      </c>
      <c r="N34" s="1585">
        <f>COMPOSITE!$K$75/COMPOSITE!$AE$275</f>
        <v>0.82795698924731187</v>
      </c>
      <c r="O34" s="1609"/>
      <c r="P34" s="1590">
        <f>Q34</f>
        <v>0.45967741935483869</v>
      </c>
      <c r="Q34" s="1585">
        <f>COMPOSITE!$K$76/COMPOSITE!$AE$276</f>
        <v>0.45967741935483869</v>
      </c>
      <c r="R34" s="1609"/>
      <c r="S34" s="1590">
        <f>COMPOSITE!$K$49/SUM(COMPOSITE!$AE$277+(0.5*COMPOSITE!$AE$303))</f>
        <v>1.7700164744645799</v>
      </c>
      <c r="T34" s="1585">
        <f>COMPOSITE!$K$77/COMPOSITE!$AE$277</f>
        <v>2.3286835222319091</v>
      </c>
      <c r="U34" s="1592">
        <f>COMPOSITE!$K$103/COMPOSITE!$AE$303</f>
        <v>1.1052631578947369</v>
      </c>
      <c r="V34" s="1588">
        <f>COMPOSITE!$K$51/SUM(COMPOSITE!$AE$279+(0.5*COMPOSITE!$AE$305))</f>
        <v>1.6632061068702291</v>
      </c>
      <c r="W34" s="1585">
        <f>COMPOSITE!$K$79/COMPOSITE!$AE$279</f>
        <v>2.005888847994111</v>
      </c>
      <c r="X34" s="1587">
        <f>COMPOSITE!$K$104/COMPOSITE!$AE$305</f>
        <v>2.0985663082437278</v>
      </c>
      <c r="Y34" s="1588">
        <f>COMPOSITE!$K$52/SUM(COMPOSITE!$AE$280+(0.5*COMPOSITE!$AE$306))</f>
        <v>1.5981356809943035</v>
      </c>
      <c r="Z34" s="1585">
        <f>COMPOSITE!$K$80/COMPOSITE!$AE$280</f>
        <v>2.071236559139785</v>
      </c>
      <c r="AA34" s="1587">
        <f>COMPOSITE!$K$105/COMPOSITE!$AE$306</f>
        <v>1.855530474040632</v>
      </c>
      <c r="AB34" s="2397"/>
      <c r="AC34" s="2401"/>
      <c r="AD34" s="2400"/>
      <c r="AE34" s="1593">
        <f>AF34</f>
        <v>1.23252688172043</v>
      </c>
      <c r="AF34" s="1594">
        <f>COMPOSITE!$K$82/COMPOSITE!$AE$282</f>
        <v>1.23252688172043</v>
      </c>
      <c r="AG34" s="1609"/>
      <c r="AH34" s="1590">
        <f>COMPOSITE!$K$55/SUM(COMPOSITE!$AE$283+(0.5*COMPOSITE!$AE$309))</f>
        <v>1.9169110459433041</v>
      </c>
      <c r="AI34" s="1585">
        <f>COMPOSITE!$K$83/COMPOSITE!$AE$283</f>
        <v>2.6155913978494625</v>
      </c>
      <c r="AJ34" s="1587">
        <f>COMPOSITE!$K$106/COMPOSITE!$AE$309</f>
        <v>1.3055555555555556</v>
      </c>
      <c r="AK34" s="1593">
        <f>AL34</f>
        <v>1.4590325765054295</v>
      </c>
      <c r="AL34" s="1596">
        <f>COMPOSITE!$K$84/COMPOSITE!$AE$284</f>
        <v>1.4590325765054295</v>
      </c>
      <c r="AM34" s="1612"/>
      <c r="AN34" s="1598">
        <f>COMPOSITE!$K$57/SUM(COMPOSITE!$AE$285+(0.5*COMPOSITE!$AE$308))</f>
        <v>2.1299810246679316</v>
      </c>
      <c r="AO34" s="1585">
        <f>COMPOSITE!$K$85/COMPOSITE!$AE$285</f>
        <v>3.0080645161290325</v>
      </c>
      <c r="AP34" s="1587">
        <f>COMPOSITE!$K$107/COMPOSITE!$AE$308</f>
        <v>1.4693548387096773</v>
      </c>
      <c r="AQ34" s="1588">
        <f>COMPOSITE!$K$58/SUM(COMPOSITE!$AE$287+(0.5*COMPOSITE!$AE$311))</f>
        <v>2.3401190103351079</v>
      </c>
      <c r="AR34" s="1585">
        <f>COMPOSITE!$K$87/COMPOSITE!$AE$287</f>
        <v>2.6931121529029931</v>
      </c>
      <c r="AS34" s="1897">
        <f>COMPOSITE!$K$109/COMPOSITE!$AE$311</f>
        <v>1.9714285714285715</v>
      </c>
      <c r="AT34" s="1588">
        <f>COMPOSITE!$K$59/SUM(COMPOSITE!$AE$286+(0.5*COMPOSITE!$AE$310))</f>
        <v>1.9310027598896045</v>
      </c>
      <c r="AU34" s="1585">
        <f>COMPOSITE!$K$86/COMPOSITE!$AE$286</f>
        <v>2.471774193548387</v>
      </c>
      <c r="AV34" s="1587">
        <f>COMPOSITE!$K$108/COMPOSITE!$AE$310</f>
        <v>0.98104956268221577</v>
      </c>
      <c r="AW34" s="1588">
        <f>AX34</f>
        <v>1.0156453715775751</v>
      </c>
      <c r="AX34" s="1585">
        <f>COMPOSITE!$K$88/COMPOSITE!$AE$288</f>
        <v>1.0156453715775751</v>
      </c>
      <c r="AY34" s="1612"/>
      <c r="AZ34" s="1600">
        <f>COMPOSITE!$K$61/SUM(COMPOSITE!$AE$289+(0.5*COMPOSITE!$AE$313))</f>
        <v>2.1451148170784946</v>
      </c>
      <c r="BA34" s="1613">
        <f>COMPOSITE!$K$89/COMPOSITE!$AE$289</f>
        <v>2.7455197132616487</v>
      </c>
      <c r="BB34" s="1614">
        <f>COMPOSITE!$K$110/COMPOSITE!$AE$313</f>
        <v>2.3065346534653464</v>
      </c>
      <c r="BC34" s="2619">
        <f>BD34</f>
        <v>1.4005376344086022</v>
      </c>
      <c r="BD34" s="1616">
        <f>COMPOSITE!$K$90/COMPOSITE!$AE$290</f>
        <v>1.4005376344086022</v>
      </c>
      <c r="BE34" s="1617"/>
      <c r="BF34" s="1600">
        <f>COMPOSITE!$K$63/SUM(COMPOSITE!$AE$291+(0.5*COMPOSITE!$AE$315))</f>
        <v>1.5383218307301125</v>
      </c>
      <c r="BG34" s="1613">
        <f>COMPOSITE!$K$91/COMPOSITE!$AE$291</f>
        <v>2.109201213346815</v>
      </c>
      <c r="BH34" s="1614">
        <f>COMPOSITE!$K$112/COMPOSITE!$AE$315</f>
        <v>1.1774193548387097</v>
      </c>
      <c r="BI34" s="1600">
        <f>BJ34</f>
        <v>1.3963133640552996</v>
      </c>
      <c r="BJ34" s="1613">
        <f>COMPOSITE!$K$92/COMPOSITE!$AE$292</f>
        <v>1.3963133640552996</v>
      </c>
      <c r="BK34" s="2103"/>
      <c r="BL34" s="1600">
        <f>COMPOSITE!$K$65/SUM(COMPOSITE!$AE$293+(0.5*COMPOSITE!$AE$317))</f>
        <v>1.8748309356940858</v>
      </c>
      <c r="BM34" s="1613">
        <f>COMPOSITE!$K$93/COMPOSITE!$AE$293</f>
        <v>2.560483870967742</v>
      </c>
      <c r="BN34" s="1614">
        <f>COMPOSITE!$K$114/COMPOSITE!$AE$317</f>
        <v>1.6817973406694178</v>
      </c>
      <c r="BO34" s="1600">
        <f>COMPOSITE!$K$67/SUM(COMPOSITE!$AE$295+(0.5*COMPOSITE!$AE$319))</f>
        <v>1.3943156974202011</v>
      </c>
      <c r="BP34" s="1613">
        <f>COMPOSITE!$K$94/COMPOSITE!$AE$294</f>
        <v>1.8853427895981087</v>
      </c>
      <c r="BQ34" s="1614">
        <f>COMPOSITE!$K$115/COMPOSITE!$AE$318</f>
        <v>1.2190152801358234</v>
      </c>
      <c r="BR34" s="1600">
        <f>COMPOSITE!$K$66/SUM(COMPOSITE!$AE$294+(0.5*COMPOSITE!$AE$318))</f>
        <v>1.4254712845243314</v>
      </c>
      <c r="BS34" s="1613">
        <f>COMPOSITE!$K$95/COMPOSITE!$AE$295</f>
        <v>1.8697060587882424</v>
      </c>
      <c r="BT34" s="1614">
        <f>COMPOSITE!$K$116/COMPOSITE!$AE$319</f>
        <v>1.1780645161290322</v>
      </c>
      <c r="BU34" s="135"/>
    </row>
    <row r="35" spans="1:73" ht="20.100000000000001" customHeight="1">
      <c r="A35" s="1583">
        <v>42675</v>
      </c>
      <c r="B35" s="1584">
        <f>AVERAGE(G35,J35,S35,V35,Y35,AH35,AN35,AT35,AZ35,BF35,BL35,BO35,BR35)</f>
        <v>1.7638412441629505</v>
      </c>
      <c r="C35" s="1585">
        <f>AVERAGE(N35,Q35,AF35,AL35,AX35,BD35,BJ35)</f>
        <v>1.1920218731188086</v>
      </c>
      <c r="D35" s="1586">
        <f>AVERAGE(H35,K35,T35,W35,Z35,AI35,AO35,AU35,BA35,BG35,BM35,BP35,BS35)</f>
        <v>2.2899899331860323</v>
      </c>
      <c r="E35" s="1585">
        <f>AR35</f>
        <v>3.0405405405405403</v>
      </c>
      <c r="F35" s="1587">
        <f>AVERAGE(L35,U35,X35,AA35,AJ35,AP35,AV35,BB35,BH35,BN35,BQ35,BT35)</f>
        <v>1.4950066009075953</v>
      </c>
      <c r="G35" s="1588">
        <f>H35</f>
        <v>1.9658674188998591</v>
      </c>
      <c r="H35" s="1585">
        <f>COMPOSITE!$L$73/COMPOSITE!$AH$273</f>
        <v>1.9658674188998591</v>
      </c>
      <c r="I35" s="1609"/>
      <c r="J35" s="1590">
        <f>COMPOSITE!$L$46/SUM(COMPOSITE!$AH$274+(0.5*COMPOSITE!$AH$302))</f>
        <v>2.041970531329067</v>
      </c>
      <c r="K35" s="1585">
        <f>COMPOSITE!$L$74/COMPOSITE!$AH$274</f>
        <v>2.8407960199004973</v>
      </c>
      <c r="L35" s="1587">
        <f>COMPOSITE!$L$102/COMPOSITE!$AH$302</f>
        <v>1.8770448548812666</v>
      </c>
      <c r="M35" s="1591">
        <f>N35</f>
        <v>0.87794729542302363</v>
      </c>
      <c r="N35" s="1585">
        <f>COMPOSITE!$L$75/COMPOSITE!$AH$275</f>
        <v>0.87794729542302363</v>
      </c>
      <c r="O35" s="1609"/>
      <c r="P35" s="1590">
        <f>Q35</f>
        <v>0.52011095700416088</v>
      </c>
      <c r="Q35" s="1585">
        <f>COMPOSITE!$L$76/COMPOSITE!$AH$276</f>
        <v>0.52011095700416088</v>
      </c>
      <c r="R35" s="1609"/>
      <c r="S35" s="1590">
        <f>COMPOSITE!$L$49/SUM(COMPOSITE!$AH$277+(0.5*COMPOSITE!$AH$303))</f>
        <v>1.8182404125040283</v>
      </c>
      <c r="T35" s="1585">
        <f>COMPOSITE!$L$77/COMPOSITE!$AH$277</f>
        <v>2.4372331340734417</v>
      </c>
      <c r="U35" s="1592">
        <f>COMPOSITE!$L$103/COMPOSITE!$AH$303</f>
        <v>1.0840998685939554</v>
      </c>
      <c r="V35" s="1588">
        <f>COMPOSITE!$L$51/SUM(COMPOSITE!$AH$279+(0.5*COMPOSITE!$AH$305))</f>
        <v>1.7942725477287689</v>
      </c>
      <c r="W35" s="1585">
        <f>COMPOSITE!$L$79/COMPOSITE!$AH$279</f>
        <v>2.0900720576461169</v>
      </c>
      <c r="X35" s="1587">
        <f>COMPOSITE!$L$104/COMPOSITE!$AH$305</f>
        <v>2.1212962962962965</v>
      </c>
      <c r="Y35" s="1588">
        <f>COMPOSITE!$L$52/SUM(COMPOSITE!$AH$280+(0.5*COMPOSITE!$AH$306))</f>
        <v>1.8029045643153527</v>
      </c>
      <c r="Z35" s="1585">
        <f>COMPOSITE!$L$80/COMPOSITE!$AH$280</f>
        <v>2.4138888888888888</v>
      </c>
      <c r="AA35" s="1587">
        <f>COMPOSITE!$L$105/COMPOSITE!$AH$306</f>
        <v>1.6721311475409837</v>
      </c>
      <c r="AB35" s="2397"/>
      <c r="AC35" s="2401"/>
      <c r="AD35" s="2400"/>
      <c r="AE35" s="1593">
        <f>AF35</f>
        <v>1.66351606805293</v>
      </c>
      <c r="AF35" s="1594">
        <f>COMPOSITE!$L$82/COMPOSITE!$AH$282</f>
        <v>1.66351606805293</v>
      </c>
      <c r="AG35" s="1609"/>
      <c r="AH35" s="1590">
        <f>COMPOSITE!$L$55/SUM(COMPOSITE!$AH$283+(0.5*COMPOSITE!$AH$309))</f>
        <v>1.4847524752475247</v>
      </c>
      <c r="AI35" s="1585">
        <f>COMPOSITE!$L$83/COMPOSITE!$AH$283</f>
        <v>1.8324297683587973</v>
      </c>
      <c r="AJ35" s="1587">
        <f>COMPOSITE!$L$106/COMPOSITE!$AH$309</f>
        <v>1.373991935483871</v>
      </c>
      <c r="AK35" s="1593">
        <f>AL35</f>
        <v>1.3996062992125984</v>
      </c>
      <c r="AL35" s="1596">
        <f>COMPOSITE!$L$84/COMPOSITE!$AH$284</f>
        <v>1.3996062992125984</v>
      </c>
      <c r="AM35" s="1612"/>
      <c r="AN35" s="1598">
        <f>COMPOSITE!$L$57/SUM(COMPOSITE!$AH$285+(0.5*COMPOSITE!$AH$308))</f>
        <v>2.1346948699246293</v>
      </c>
      <c r="AO35" s="1585">
        <f>COMPOSITE!$L$85/COMPOSITE!$AH$285</f>
        <v>3.0332871012482663</v>
      </c>
      <c r="AP35" s="1587">
        <f>COMPOSITE!$L$107/COMPOSITE!$AH$308</f>
        <v>1.3360455655004069</v>
      </c>
      <c r="AQ35" s="1588">
        <f>COMPOSITE!$L$58/SUM(COMPOSITE!$AH$287+(0.5*COMPOSITE!$AH$311))</f>
        <v>2.5365543547361731</v>
      </c>
      <c r="AR35" s="1585">
        <f>COMPOSITE!$L$87/COMPOSITE!$AH$287</f>
        <v>3.0405405405405403</v>
      </c>
      <c r="AS35" s="1897">
        <f>COMPOSITE!$L$109/COMPOSITE!$AH$311</f>
        <v>1.6473029045643153</v>
      </c>
      <c r="AT35" s="1588">
        <f>COMPOSITE!$L$59/SUM(COMPOSITE!$AH$286+(0.5*COMPOSITE!$AH$310))</f>
        <v>1.9362717886088598</v>
      </c>
      <c r="AU35" s="1585">
        <f>COMPOSITE!$L$86/COMPOSITE!$AH$286</f>
        <v>2.9778085991678225</v>
      </c>
      <c r="AV35" s="1587">
        <f>COMPOSITE!$L$108/COMPOSITE!$AH$310</f>
        <v>0.85581969743748065</v>
      </c>
      <c r="AW35" s="1588">
        <f>AX35</f>
        <v>1.1419939577039275</v>
      </c>
      <c r="AX35" s="1585">
        <f>COMPOSITE!$L$88/COMPOSITE!$AH$288</f>
        <v>1.1419939577039275</v>
      </c>
      <c r="AY35" s="1612"/>
      <c r="AZ35" s="1600" t="s">
        <v>766</v>
      </c>
      <c r="BA35" s="1613" t="s">
        <v>766</v>
      </c>
      <c r="BB35" s="1614" t="s">
        <v>766</v>
      </c>
      <c r="BC35" s="2619" t="s">
        <v>766</v>
      </c>
      <c r="BD35" s="1616" t="s">
        <v>766</v>
      </c>
      <c r="BE35" s="1617"/>
      <c r="BF35" s="1600">
        <f>COMPOSITE!$L$63/SUM(COMPOSITE!$AH$291+(0.5*COMPOSITE!$AH$315))</f>
        <v>1.8911641588414978</v>
      </c>
      <c r="BG35" s="1613">
        <f>COMPOSITE!$L$91/COMPOSITE!$AH$291</f>
        <v>2.5685058896466213</v>
      </c>
      <c r="BH35" s="1614">
        <f>COMPOSITE!$L$112/COMPOSITE!$AH$315</f>
        <v>1.5726853791369921</v>
      </c>
      <c r="BI35" s="1600">
        <f>BJ35</f>
        <v>1.5489566613162118</v>
      </c>
      <c r="BJ35" s="1613">
        <f>COMPOSITE!$L$92/COMPOSITE!$AH$292</f>
        <v>1.5489566613162118</v>
      </c>
      <c r="BK35" s="2103"/>
      <c r="BL35" s="1600">
        <f>COMPOSITE!$L$65/SUM(COMPOSITE!$AH$293+(0.5*COMPOSITE!$AH$317))</f>
        <v>1.2480734546646992</v>
      </c>
      <c r="BM35" s="1613">
        <f>COMPOSITE!$L$93/COMPOSITE!$AH$293</f>
        <v>1.5012165450121655</v>
      </c>
      <c r="BN35" s="1614">
        <f>COMPOSITE!$L$114/COMPOSITE!$AH$317</f>
        <v>1.3796058269065981</v>
      </c>
      <c r="BO35" s="1600">
        <f>COMPOSITE!$L$67/SUM(COMPOSITE!$AH$295+(0.5*COMPOSITE!$AH$319))</f>
        <v>1.4990321331784746</v>
      </c>
      <c r="BP35" s="1613">
        <f>COMPOSITE!$L$94/COMPOSITE!$AH$294</f>
        <v>1.9346365302382407</v>
      </c>
      <c r="BQ35" s="1614">
        <f>COMPOSITE!$L$115/COMPOSITE!$AH$318</f>
        <v>1.6164079822616408</v>
      </c>
      <c r="BR35" s="1600">
        <f>COMPOSITE!$L$66/SUM(COMPOSITE!$AH$294+(0.5*COMPOSITE!$AH$318))</f>
        <v>1.5488505747126438</v>
      </c>
      <c r="BS35" s="1613">
        <f>COMPOSITE!$L$95/COMPOSITE!$AH$295</f>
        <v>1.8841372451516658</v>
      </c>
      <c r="BT35" s="1614">
        <f>COMPOSITE!$L$116/COMPOSITE!$AH$319</f>
        <v>1.555944055944056</v>
      </c>
      <c r="BU35" s="135"/>
    </row>
    <row r="36" spans="1:73" ht="20.100000000000001" customHeight="1">
      <c r="A36" s="1583">
        <v>42705</v>
      </c>
      <c r="B36" s="1584">
        <f>AVERAGE(G36,J36,S36,V36,Y36,AH36,AN36,AT36,AZ36,BF36,BL36,BO36,BR36)</f>
        <v>1.8826757341505362</v>
      </c>
      <c r="C36" s="1585">
        <f>AVERAGE(N36,Q36,AF36,AL36,AX36,BD36,BJ36)</f>
        <v>1.1795074884792627</v>
      </c>
      <c r="D36" s="1586">
        <f>AVERAGE(H36,K36,T36,W36,Z36,AI36,AO36,AU36,BA36,BG36,BM36,BP36,BS36)</f>
        <v>2.4360324798070732</v>
      </c>
      <c r="E36" s="1585">
        <f>AR36</f>
        <v>2.8812316715542523</v>
      </c>
      <c r="F36" s="1587">
        <f>AVERAGE(L36,U36,X36,AA36,AJ36,AP36,AV36,BB36,BH36,BN36,BQ36,BT36)</f>
        <v>1.3992984028069011</v>
      </c>
      <c r="G36" s="1588" t="s">
        <v>766</v>
      </c>
      <c r="H36" s="1585" t="s">
        <v>766</v>
      </c>
      <c r="I36" s="1618"/>
      <c r="J36" s="1590">
        <f>COMPOSITE!$M$46/SUM(COMPOSITE!$AK$274+(0.5*COMPOSITE!$AK$302))</f>
        <v>2.0276961812840959</v>
      </c>
      <c r="K36" s="1585">
        <f>COMPOSITE!$M$74/COMPOSITE!$AK$274</f>
        <v>2.6710526315789473</v>
      </c>
      <c r="L36" s="1587">
        <f>COMPOSITE!$M$102/COMPOSITE!$AK$302</f>
        <v>1.3723346090759978</v>
      </c>
      <c r="M36" s="1591">
        <f>N36</f>
        <v>1.1048387096774193</v>
      </c>
      <c r="N36" s="1585">
        <f>COMPOSITE!$M$75/COMPOSITE!$AK$275</f>
        <v>1.1048387096774193</v>
      </c>
      <c r="O36" s="1618"/>
      <c r="P36" s="1590">
        <f>Q36</f>
        <v>0.64247311827956988</v>
      </c>
      <c r="Q36" s="1585">
        <f>COMPOSITE!$M$76/COMPOSITE!$AK$276</f>
        <v>0.64247311827956988</v>
      </c>
      <c r="R36" s="1618"/>
      <c r="S36" s="1590">
        <f>COMPOSITE!$M$49/SUM(COMPOSITE!$AK$277+(0.5*COMPOSITE!$AK$303))</f>
        <v>2.0941408821593153</v>
      </c>
      <c r="T36" s="1585">
        <f>COMPOSITE!$M$77/COMPOSITE!$AK$277</f>
        <v>2.4952048823016564</v>
      </c>
      <c r="U36" s="1592">
        <f>COMPOSITE!$M$103/COMPOSITE!$AK$303</f>
        <v>1.071236559139785</v>
      </c>
      <c r="V36" s="1588">
        <f>COMPOSITE!$M$51/SUM(COMPOSITE!$AK$279+(0.5*COMPOSITE!$AK$305))</f>
        <v>1.7856914723730437</v>
      </c>
      <c r="W36" s="1585">
        <f>COMPOSITE!$M$79/COMPOSITE!$AK$279</f>
        <v>2.1002720559657986</v>
      </c>
      <c r="X36" s="1587">
        <f>COMPOSITE!$M$104/COMPOSITE!$AK$305</f>
        <v>2.0224014336917562</v>
      </c>
      <c r="Y36" s="1588">
        <f>COMPOSITE!$M$52/SUM(COMPOSITE!$AK$280+(0.5*COMPOSITE!$AK$306))</f>
        <v>2.0052029136316336</v>
      </c>
      <c r="Z36" s="1585">
        <f>COMPOSITE!$M$80/COMPOSITE!$AK$280</f>
        <v>2.5631720430107525</v>
      </c>
      <c r="AA36" s="1587">
        <f>COMPOSITE!$M$105/COMPOSITE!$AK$306</f>
        <v>1.9055299539170507</v>
      </c>
      <c r="AB36" s="2398"/>
      <c r="AC36" s="2402"/>
      <c r="AD36" s="2403"/>
      <c r="AE36" s="1593">
        <f>AF36</f>
        <v>1.1599462365591398</v>
      </c>
      <c r="AF36" s="1594">
        <f>COMPOSITE!$M$82/COMPOSITE!$AK$282</f>
        <v>1.1599462365591398</v>
      </c>
      <c r="AG36" s="1609"/>
      <c r="AH36" s="1590">
        <f>COMPOSITE!$M$55/SUM(COMPOSITE!$AK$283+(0.5*COMPOSITE!$AK$309))</f>
        <v>1.9794721407624634</v>
      </c>
      <c r="AI36" s="1585">
        <f>COMPOSITE!$M$83/COMPOSITE!$AK$283</f>
        <v>2.6196236559139785</v>
      </c>
      <c r="AJ36" s="1587">
        <f>COMPOSITE!$M$106/COMPOSITE!$AK$309</f>
        <v>1.2535842293906809</v>
      </c>
      <c r="AK36" s="1593">
        <f>AL36</f>
        <v>1.6018145161290323</v>
      </c>
      <c r="AL36" s="1596">
        <f>COMPOSITE!$M$84/COMPOSITE!$AK$284</f>
        <v>1.6018145161290323</v>
      </c>
      <c r="AM36" s="1612"/>
      <c r="AN36" s="1598">
        <f>COMPOSITE!$M$57/SUM(COMPOSITE!$AK$285+(0.5*COMPOSITE!$AK$308))</f>
        <v>2.1717267552182165</v>
      </c>
      <c r="AO36" s="1585">
        <f>COMPOSITE!$M$85/COMPOSITE!$AK$285</f>
        <v>2.928763440860215</v>
      </c>
      <c r="AP36" s="1587">
        <f>COMPOSITE!$M$107/COMPOSITE!$AK$308</f>
        <v>1.482258064516129</v>
      </c>
      <c r="AQ36" s="1588">
        <f>COMPOSITE!$M$58/SUM(COMPOSITE!$AK$287+(0.5*COMPOSITE!$AK$311))</f>
        <v>2.3775388291517325</v>
      </c>
      <c r="AR36" s="1585">
        <f>COMPOSITE!$M$87/COMPOSITE!$AK$287</f>
        <v>2.8812316715542523</v>
      </c>
      <c r="AS36" s="1897">
        <f>COMPOSITE!$M$109/COMPOSITE!$AK$311</f>
        <v>1.2451612903225806</v>
      </c>
      <c r="AT36" s="1588">
        <f>COMPOSITE!$M$59/SUM(COMPOSITE!$AK$286+(0.5*COMPOSITE!$AK$310))</f>
        <v>2.2020872865275143</v>
      </c>
      <c r="AU36" s="1585">
        <f>COMPOSITE!$M$86/COMPOSITE!$AK$286</f>
        <v>3.0228494623655915</v>
      </c>
      <c r="AV36" s="1587">
        <f>COMPOSITE!$M$108/COMPOSITE!$AK$310</f>
        <v>0.98870967741935489</v>
      </c>
      <c r="AW36" s="1588">
        <f>AX36</f>
        <v>1.153225806451613</v>
      </c>
      <c r="AX36" s="1585">
        <f>COMPOSITE!$M$88/COMPOSITE!$AK$288</f>
        <v>1.153225806451613</v>
      </c>
      <c r="AY36" s="1619"/>
      <c r="AZ36" s="1600" t="s">
        <v>766</v>
      </c>
      <c r="BA36" s="1613" t="s">
        <v>766</v>
      </c>
      <c r="BB36" s="1614" t="s">
        <v>766</v>
      </c>
      <c r="BC36" s="1620" t="s">
        <v>766</v>
      </c>
      <c r="BD36" s="1621" t="s">
        <v>766</v>
      </c>
      <c r="BE36" s="1622"/>
      <c r="BF36" s="1600">
        <f>COMPOSITE!$M$63/SUM(COMPOSITE!$AK$291+(0.5*COMPOSITE!$AK$315))</f>
        <v>1.6258626952415547</v>
      </c>
      <c r="BG36" s="1613">
        <f>COMPOSITE!$M$91/COMPOSITE!$AK$291</f>
        <v>2.192618806875632</v>
      </c>
      <c r="BH36" s="1614">
        <f>COMPOSITE!$M$112/COMPOSITE!$AK$315</f>
        <v>1.1735483870967742</v>
      </c>
      <c r="BI36" s="1600">
        <f>BJ36</f>
        <v>1.4147465437788018</v>
      </c>
      <c r="BJ36" s="1613">
        <f>COMPOSITE!$M$92/COMPOSITE!$AK$292</f>
        <v>1.4147465437788018</v>
      </c>
      <c r="BK36" s="2101"/>
      <c r="BL36" s="1600">
        <f>COMPOSITE!$M$65/SUM(COMPOSITE!$AK$293+(0.5*COMPOSITE!$AK$317))</f>
        <v>1.9583126550868486</v>
      </c>
      <c r="BM36" s="1613">
        <f>COMPOSITE!$M$93/COMPOSITE!$AK$293</f>
        <v>2.454301075268817</v>
      </c>
      <c r="BN36" s="1614">
        <f>COMPOSITE!$M$114/COMPOSITE!$AK$317</f>
        <v>1.6223908918406071</v>
      </c>
      <c r="BO36" s="1600">
        <f>COMPOSITE!$M$67/SUM(COMPOSITE!$AK$295+(0.5*COMPOSITE!$AK$319))</f>
        <v>1.3954214360041624</v>
      </c>
      <c r="BP36" s="1613">
        <f>COMPOSITE!$M$94/COMPOSITE!$AK$294</f>
        <v>1.9102639296187682</v>
      </c>
      <c r="BQ36" s="1614">
        <f>COMPOSITE!$M$115/COMPOSITE!$AK$318</f>
        <v>1.3009337860780985</v>
      </c>
      <c r="BR36" s="1600">
        <f>COMPOSITE!$M$66/SUM(COMPOSITE!$AK$294+(0.5*COMPOSITE!$AK$318))</f>
        <v>1.4638186573670444</v>
      </c>
      <c r="BS36" s="1613">
        <f>COMPOSITE!$M$95/COMPOSITE!$AK$295</f>
        <v>1.838235294117647</v>
      </c>
      <c r="BT36" s="1614">
        <f>COMPOSITE!$M$116/COMPOSITE!$AK$319</f>
        <v>1.1993548387096775</v>
      </c>
      <c r="BU36" s="135"/>
    </row>
    <row r="37" spans="1:73" ht="20.100000000000001" customHeight="1" thickBot="1">
      <c r="A37" s="1623" t="s">
        <v>294</v>
      </c>
      <c r="B37" s="1624">
        <f>AVERAGE(B25:B36)</f>
        <v>1.8820868003083184</v>
      </c>
      <c r="C37" s="1625">
        <f t="shared" ref="C37:BO37" si="11">AVERAGE(C25:C36)</f>
        <v>1.1855025583434562</v>
      </c>
      <c r="D37" s="1625">
        <f t="shared" si="11"/>
        <v>2.4675476361029349</v>
      </c>
      <c r="E37" s="1625">
        <f t="shared" si="11"/>
        <v>2.928720348174727</v>
      </c>
      <c r="F37" s="1626">
        <f t="shared" si="11"/>
        <v>1.5151148468112705</v>
      </c>
      <c r="G37" s="1624">
        <f t="shared" si="11"/>
        <v>1.9755936201963202</v>
      </c>
      <c r="H37" s="1625">
        <f t="shared" si="11"/>
        <v>1.9755936201963202</v>
      </c>
      <c r="I37" s="1627"/>
      <c r="J37" s="1628">
        <f t="shared" si="11"/>
        <v>2.0494185422368734</v>
      </c>
      <c r="K37" s="1625">
        <f t="shared" si="11"/>
        <v>2.752470468567831</v>
      </c>
      <c r="L37" s="1626">
        <f t="shared" si="11"/>
        <v>1.8704736151121242</v>
      </c>
      <c r="M37" s="1624">
        <f t="shared" si="11"/>
        <v>0.93040930004136213</v>
      </c>
      <c r="N37" s="1625">
        <f>AVERAGE(N25:N36)</f>
        <v>0.93040930004136213</v>
      </c>
      <c r="O37" s="1627"/>
      <c r="P37" s="1628">
        <f t="shared" si="11"/>
        <v>0.52958408743676244</v>
      </c>
      <c r="Q37" s="1625">
        <f t="shared" si="11"/>
        <v>0.52958408743676244</v>
      </c>
      <c r="R37" s="1629"/>
      <c r="S37" s="1624">
        <f t="shared" si="11"/>
        <v>1.8572145538008238</v>
      </c>
      <c r="T37" s="1625">
        <f t="shared" si="11"/>
        <v>2.4526607735226906</v>
      </c>
      <c r="U37" s="1630">
        <f t="shared" si="11"/>
        <v>1.1172370301022649</v>
      </c>
      <c r="V37" s="1628">
        <f t="shared" si="11"/>
        <v>1.7800367901327772</v>
      </c>
      <c r="W37" s="1625">
        <f t="shared" si="11"/>
        <v>2.1570536871542365</v>
      </c>
      <c r="X37" s="1626">
        <f t="shared" si="11"/>
        <v>1.9754166742237385</v>
      </c>
      <c r="Y37" s="1628">
        <f>AVERAGE(Y25:Y36)</f>
        <v>1.7537820396218946</v>
      </c>
      <c r="Z37" s="1625">
        <f>AVERAGE(Z25:Z36)</f>
        <v>2.3001811082112749</v>
      </c>
      <c r="AA37" s="1626">
        <f>AVERAGE(AA25:AA36)</f>
        <v>1.7937744040867256</v>
      </c>
      <c r="AB37" s="1624">
        <f t="shared" si="11"/>
        <v>1.4092014664914381</v>
      </c>
      <c r="AC37" s="1625">
        <f t="shared" si="11"/>
        <v>1.4092014664914381</v>
      </c>
      <c r="AD37" s="1627"/>
      <c r="AE37" s="1624">
        <f>AVERAGE(AE25:AE36)</f>
        <v>1.2864935680243095</v>
      </c>
      <c r="AF37" s="1625">
        <f>AVERAGE(AF25:AF36)</f>
        <v>1.2864935680243095</v>
      </c>
      <c r="AG37" s="1627"/>
      <c r="AH37" s="1624">
        <f t="shared" si="11"/>
        <v>1.8879252590691642</v>
      </c>
      <c r="AI37" s="1625">
        <f t="shared" si="11"/>
        <v>2.5818332488704798</v>
      </c>
      <c r="AJ37" s="1630">
        <f t="shared" si="11"/>
        <v>1.250017082031172</v>
      </c>
      <c r="AK37" s="1628">
        <f t="shared" si="11"/>
        <v>1.5458908858681639</v>
      </c>
      <c r="AL37" s="1625">
        <f t="shared" si="11"/>
        <v>1.5458908858681639</v>
      </c>
      <c r="AM37" s="1629"/>
      <c r="AN37" s="1624">
        <f t="shared" si="11"/>
        <v>2.1231400557724269</v>
      </c>
      <c r="AO37" s="1625">
        <f t="shared" si="11"/>
        <v>2.9903516463370639</v>
      </c>
      <c r="AP37" s="1630">
        <f t="shared" si="11"/>
        <v>1.4536746770106144</v>
      </c>
      <c r="AQ37" s="1628">
        <f t="shared" si="11"/>
        <v>2.5014802597828996</v>
      </c>
      <c r="AR37" s="1625">
        <f t="shared" si="11"/>
        <v>2.928720348174727</v>
      </c>
      <c r="AS37" s="1630">
        <f t="shared" si="11"/>
        <v>1.6215627120182272</v>
      </c>
      <c r="AT37" s="1624">
        <f t="shared" si="11"/>
        <v>1.9458550662187715</v>
      </c>
      <c r="AU37" s="1625">
        <f t="shared" si="11"/>
        <v>2.7405274384954752</v>
      </c>
      <c r="AV37" s="1630">
        <f t="shared" si="11"/>
        <v>0.92252701496262712</v>
      </c>
      <c r="AW37" s="1628">
        <f t="shared" si="11"/>
        <v>1.2094062880810015</v>
      </c>
      <c r="AX37" s="1625">
        <f t="shared" si="11"/>
        <v>1.2094062880810015</v>
      </c>
      <c r="AY37" s="1626"/>
      <c r="AZ37" s="1624">
        <f t="shared" si="11"/>
        <v>2.1324357790301001</v>
      </c>
      <c r="BA37" s="1625">
        <f t="shared" si="11"/>
        <v>2.737169707081943</v>
      </c>
      <c r="BB37" s="1630">
        <f t="shared" si="11"/>
        <v>2.1899836642552959</v>
      </c>
      <c r="BC37" s="1628">
        <f t="shared" si="11"/>
        <v>1.2324116302064021</v>
      </c>
      <c r="BD37" s="1625">
        <f t="shared" si="11"/>
        <v>1.2324116302064021</v>
      </c>
      <c r="BE37" s="1630"/>
      <c r="BF37" s="1624">
        <f t="shared" si="11"/>
        <v>1.7343769195735774</v>
      </c>
      <c r="BG37" s="1625">
        <f t="shared" si="11"/>
        <v>2.4168830337608904</v>
      </c>
      <c r="BH37" s="1630">
        <f t="shared" si="11"/>
        <v>1.2131351697059383</v>
      </c>
      <c r="BI37" s="1624">
        <f>AVERAGE(BI25:BI36)</f>
        <v>1.3984354448711429</v>
      </c>
      <c r="BJ37" s="1625">
        <f>AVERAGE(BJ25:BJ36)</f>
        <v>1.4575558989592701</v>
      </c>
      <c r="BK37" s="1630">
        <f>AVERAGE(BK25:BK36)</f>
        <v>9.9972781741448968E-2</v>
      </c>
      <c r="BL37" s="1628">
        <f t="shared" si="11"/>
        <v>2.0957182308613063</v>
      </c>
      <c r="BM37" s="1625">
        <f t="shared" si="11"/>
        <v>2.7707775759956648</v>
      </c>
      <c r="BN37" s="1630">
        <f t="shared" si="11"/>
        <v>1.8904338239220586</v>
      </c>
      <c r="BO37" s="1628">
        <f t="shared" si="11"/>
        <v>1.4611317735566427</v>
      </c>
      <c r="BP37" s="1625">
        <f>AVERAGE(BP25:BP36)</f>
        <v>1.9790087378444179</v>
      </c>
      <c r="BQ37" s="1630">
        <f>AVERAGE(BQ25:BQ36)</f>
        <v>1.016209492096362</v>
      </c>
      <c r="BR37" s="1628">
        <f>AVERAGE(BR25:BR36)</f>
        <v>1.5094697625641114</v>
      </c>
      <c r="BS37" s="1625">
        <f>AVERAGE(BS25:BS36)</f>
        <v>1.9674350865635004</v>
      </c>
      <c r="BT37" s="1631">
        <f>AVERAGE(BT25:BT36)</f>
        <v>1.0772276161469831</v>
      </c>
      <c r="BU37" s="135"/>
    </row>
    <row r="38" spans="1:73" ht="20.100000000000001" customHeight="1" thickTop="1">
      <c r="A38" s="214" t="s">
        <v>614</v>
      </c>
      <c r="B38" s="442"/>
      <c r="D38" s="234"/>
      <c r="E38" s="233"/>
      <c r="F38" s="234"/>
    </row>
  </sheetData>
  <mergeCells count="23">
    <mergeCell ref="BO23:BQ23"/>
    <mergeCell ref="BR23:BT23"/>
    <mergeCell ref="AH23:AJ23"/>
    <mergeCell ref="AK23:AM23"/>
    <mergeCell ref="AZ23:BB23"/>
    <mergeCell ref="BC23:BE23"/>
    <mergeCell ref="BF23:BH23"/>
    <mergeCell ref="AW23:AY23"/>
    <mergeCell ref="BL23:BN23"/>
    <mergeCell ref="BI23:BK23"/>
    <mergeCell ref="B23:F23"/>
    <mergeCell ref="AN23:AP23"/>
    <mergeCell ref="AQ23:AS23"/>
    <mergeCell ref="AT23:AV23"/>
    <mergeCell ref="G23:I23"/>
    <mergeCell ref="J23:L23"/>
    <mergeCell ref="M23:O23"/>
    <mergeCell ref="P23:R23"/>
    <mergeCell ref="S23:U23"/>
    <mergeCell ref="V23:X23"/>
    <mergeCell ref="AB23:AD23"/>
    <mergeCell ref="AE23:AG23"/>
    <mergeCell ref="Y23:AA23"/>
  </mergeCells>
  <printOptions horizontalCentered="1"/>
  <pageMargins left="0" right="0" top="0.75" bottom="0" header="0.5" footer="0.5"/>
  <pageSetup paperSize="5" scale="43" fitToWidth="2" fitToHeight="0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FFC000"/>
    <pageSetUpPr fitToPage="1"/>
  </sheetPr>
  <dimension ref="A1:X116"/>
  <sheetViews>
    <sheetView showGridLines="0" topLeftCell="A18" workbookViewId="0">
      <selection activeCell="D33" sqref="D33"/>
    </sheetView>
  </sheetViews>
  <sheetFormatPr defaultColWidth="9.140625" defaultRowHeight="15"/>
  <cols>
    <col min="1" max="1" width="0.85546875" style="23" customWidth="1"/>
    <col min="2" max="24" width="16.7109375" style="23" customWidth="1"/>
    <col min="25" max="16384" width="9.140625" style="23"/>
  </cols>
  <sheetData>
    <row r="1" spans="1:12" ht="24.95" customHeight="1" thickBot="1">
      <c r="A1" s="2"/>
    </row>
    <row r="2" spans="1:12" ht="24.95" customHeight="1" thickTop="1" thickBot="1">
      <c r="K2" s="1288" t="s">
        <v>302</v>
      </c>
      <c r="L2" s="1289" t="s">
        <v>283</v>
      </c>
    </row>
    <row r="3" spans="1:12" ht="24.95" customHeight="1">
      <c r="K3" s="2419" t="s">
        <v>6</v>
      </c>
      <c r="L3" s="1290"/>
    </row>
    <row r="4" spans="1:12" ht="24.95" customHeight="1">
      <c r="K4" s="2420" t="s">
        <v>29</v>
      </c>
      <c r="L4" s="1291"/>
    </row>
    <row r="5" spans="1:12" ht="24.95" customHeight="1">
      <c r="K5" s="2420" t="s">
        <v>41</v>
      </c>
      <c r="L5" s="1291"/>
    </row>
    <row r="6" spans="1:12" ht="24.95" customHeight="1">
      <c r="K6" s="2420" t="s">
        <v>9</v>
      </c>
      <c r="L6" s="1291"/>
    </row>
    <row r="7" spans="1:12" ht="24.95" customHeight="1">
      <c r="K7" s="2420" t="s">
        <v>84</v>
      </c>
      <c r="L7" s="1291"/>
    </row>
    <row r="8" spans="1:12" ht="24.95" customHeight="1">
      <c r="K8" s="2420" t="s">
        <v>28</v>
      </c>
      <c r="L8" s="1291"/>
    </row>
    <row r="9" spans="1:12" ht="24.95" customHeight="1">
      <c r="K9" s="2420" t="s">
        <v>219</v>
      </c>
      <c r="L9" s="1291"/>
    </row>
    <row r="10" spans="1:12" ht="24.95" customHeight="1">
      <c r="K10" s="2420" t="s">
        <v>372</v>
      </c>
      <c r="L10" s="1291"/>
    </row>
    <row r="11" spans="1:12" ht="24.95" customHeight="1">
      <c r="K11" s="2420" t="s">
        <v>30</v>
      </c>
      <c r="L11" s="1291"/>
    </row>
    <row r="12" spans="1:12" ht="24.95" customHeight="1">
      <c r="K12" s="2421" t="s">
        <v>314</v>
      </c>
      <c r="L12" s="1291"/>
    </row>
    <row r="13" spans="1:12" ht="24.95" customHeight="1">
      <c r="K13" s="2420" t="s">
        <v>85</v>
      </c>
      <c r="L13" s="1291"/>
    </row>
    <row r="14" spans="1:12" ht="24.95" customHeight="1">
      <c r="K14" s="2420" t="s">
        <v>287</v>
      </c>
      <c r="L14" s="1291"/>
    </row>
    <row r="15" spans="1:12" ht="24.95" customHeight="1" thickBot="1">
      <c r="K15" s="2419" t="s">
        <v>81</v>
      </c>
      <c r="L15" s="1292"/>
    </row>
    <row r="16" spans="1:12" ht="24.95" customHeight="1" thickBot="1">
      <c r="K16" s="2202" t="s">
        <v>278</v>
      </c>
      <c r="L16" s="1293"/>
    </row>
    <row r="17" spans="2:24" s="181" customFormat="1" ht="24.95" customHeight="1" thickTop="1" thickBot="1">
      <c r="B17" s="3048" t="s">
        <v>305</v>
      </c>
      <c r="C17" s="3048"/>
      <c r="D17" s="3048"/>
      <c r="E17" s="3048"/>
      <c r="F17" s="3048"/>
      <c r="G17" s="3048"/>
      <c r="H17" s="3048"/>
      <c r="I17" s="3048"/>
      <c r="J17" s="3048"/>
      <c r="K17" s="3048"/>
      <c r="L17" s="3048"/>
      <c r="M17" s="3048"/>
      <c r="N17" s="3048"/>
      <c r="O17" s="3048"/>
      <c r="P17" s="3048"/>
      <c r="Q17" s="3048"/>
      <c r="R17" s="3048"/>
      <c r="S17" s="3048"/>
      <c r="T17" s="3048"/>
      <c r="U17" s="766"/>
    </row>
    <row r="18" spans="2:24" ht="30" customHeight="1" thickTop="1">
      <c r="B18" s="1674" t="s">
        <v>276</v>
      </c>
      <c r="C18" s="1675" t="s">
        <v>360</v>
      </c>
      <c r="D18" s="1676" t="s">
        <v>361</v>
      </c>
      <c r="E18" s="1677" t="s">
        <v>275</v>
      </c>
      <c r="F18" s="1677" t="s">
        <v>29</v>
      </c>
      <c r="G18" s="1677" t="s">
        <v>41</v>
      </c>
      <c r="H18" s="1677" t="s">
        <v>9</v>
      </c>
      <c r="I18" s="1677" t="s">
        <v>474</v>
      </c>
      <c r="J18" s="1677" t="s">
        <v>476</v>
      </c>
      <c r="K18" s="1677" t="s">
        <v>477</v>
      </c>
      <c r="L18" s="1677" t="s">
        <v>478</v>
      </c>
      <c r="M18" s="1677" t="s">
        <v>479</v>
      </c>
      <c r="N18" s="1677" t="s">
        <v>480</v>
      </c>
      <c r="O18" s="1677" t="s">
        <v>490</v>
      </c>
      <c r="P18" s="1677" t="s">
        <v>484</v>
      </c>
      <c r="Q18" s="1677" t="s">
        <v>473</v>
      </c>
      <c r="R18" s="1677" t="s">
        <v>468</v>
      </c>
      <c r="S18" s="1677" t="s">
        <v>491</v>
      </c>
      <c r="T18" s="1677" t="s">
        <v>470</v>
      </c>
      <c r="U18" s="1677" t="s">
        <v>471</v>
      </c>
      <c r="V18" s="1677" t="s">
        <v>472</v>
      </c>
      <c r="W18" s="1677" t="s">
        <v>486</v>
      </c>
      <c r="X18" s="1678" t="s">
        <v>485</v>
      </c>
    </row>
    <row r="19" spans="2:24" ht="24.95" customHeight="1">
      <c r="B19" s="1679">
        <v>42370</v>
      </c>
      <c r="C19" s="1680">
        <f>((E19*COMPOSITE!B45)+(F19*COMPOSITE!B46)+(G19*COMPOSITE!B47)+(H19*COMPOSITE!B48)+(I19*SUM(COMPOSITE!B49+COMPOSITE!B50))+(J19*SUM(COMPOSITE!B51+COMPOSITE!B52))+(L19*COMPOSITE!B54)+(M19*COMPOSITE!B55)+(N19*COMPOSITE!B56)+(O19*COMPOSITE!B57)+(P19*SUM(COMPOSITE!B58+COMPOSITE!B59))+(Q19*COMPOSITE!B60)+(R19*COMPOSITE!B61)+(S19*COMPOSITE!B62)+(T19*COMPOSITE!B63)+(U19*COMPOSITE!B64)+(V19*COMPOSITE!B65))/SUM(COMPOSITE!B45,COMPOSITE!B46,COMPOSITE!B47,COMPOSITE!B48,COMPOSITE!B49,COMPOSITE!B50,COMPOSITE!B51,COMPOSITE!B52,COMPOSITE!B54,COMPOSITE!B55,COMPOSITE!B56,COMPOSITE!B57,COMPOSITE!B58,COMPOSITE!B59,COMPOSITE!B60,COMPOSITE!B61,COMPOSITE!B62,COMPOSITE!B63,COMPOSITE!B64,COMPOSITE!B65)</f>
        <v>27.030028165210179</v>
      </c>
      <c r="D19" s="1681">
        <f>((F19*COMPOSITE!B46)+(G19*COMPOSITE!B47)+(H19*COMPOSITE!B48)+(I19*SUM(COMPOSITE!B49+COMPOSITE!B50))+(J19*SUM(COMPOSITE!B51+COMPOSITE!B52))+(L19*COMPOSITE!B54)+(M19*COMPOSITE!B55)+(N19*COMPOSITE!B56)+(O19*COMPOSITE!B57)+(P19*SUM(COMPOSITE!B58+COMPOSITE!B59))+(Q19*COMPOSITE!B60)+(R19*COMPOSITE!B61)+(S19*COMPOSITE!B62)+(T19*COMPOSITE!B63)+(U19*COMPOSITE!B64)+(V19*COMPOSITE!B65))/SUM(COMPOSITE!B46,COMPOSITE!B47,COMPOSITE!B48,COMPOSITE!B49,COMPOSITE!B50,COMPOSITE!B51,COMPOSITE!B52,COMPOSITE!B54,COMPOSITE!B55,COMPOSITE!B56,COMPOSITE!B57,COMPOSITE!B58,COMPOSITE!B59,COMPOSITE!B60,COMPOSITE!B61,COMPOSITE!B62,COMPOSITE!B63,COMPOSITE!B64,COMPOSITE!B65)</f>
        <v>12.595023842727969</v>
      </c>
      <c r="E19" s="1682">
        <f>FACILITIES!$B$206</f>
        <v>114</v>
      </c>
      <c r="F19" s="1682">
        <f>FACILITIES!$B$46</f>
        <v>10</v>
      </c>
      <c r="G19" s="2581">
        <f>FACILITIES!$B$66</f>
        <v>9</v>
      </c>
      <c r="H19" s="1682">
        <f>FACILITIES!$B$86</f>
        <v>6</v>
      </c>
      <c r="I19" s="1682">
        <f>FACILITIES!$B$166</f>
        <v>23</v>
      </c>
      <c r="J19" s="1682">
        <f>FACILITIES!$B$6</f>
        <v>16</v>
      </c>
      <c r="K19" s="1682">
        <f>FACILITIES!$B$226</f>
        <v>19</v>
      </c>
      <c r="L19" s="1682">
        <f>FACILITIES!$B$266</f>
        <v>25</v>
      </c>
      <c r="M19" s="1682">
        <f>FACILITIES!$B$106</f>
        <v>6</v>
      </c>
      <c r="N19" s="1682">
        <f>FACILITIES!$B$246</f>
        <v>21</v>
      </c>
      <c r="O19" s="1683">
        <f>FACILITIES!$B$146</f>
        <v>12</v>
      </c>
      <c r="P19" s="1682">
        <f>FACILITIES!$B$126</f>
        <v>8</v>
      </c>
      <c r="Q19" s="1682">
        <f>FACILITIES!$B$186</f>
        <v>28.29</v>
      </c>
      <c r="R19" s="1682">
        <f>FACILITIES!$B$286</f>
        <v>15</v>
      </c>
      <c r="S19" s="1682">
        <f>FACILITIES!$B$306</f>
        <v>17</v>
      </c>
      <c r="T19" s="1682">
        <f>FACILITIES!$B$326</f>
        <v>8</v>
      </c>
      <c r="U19" s="1682">
        <f>FACILITIES!$B$346</f>
        <v>8</v>
      </c>
      <c r="V19" s="1682">
        <f>FACILITIES!$B$366</f>
        <v>8</v>
      </c>
      <c r="W19" s="1682">
        <f>FACILITIES!$B$386</f>
        <v>19.7</v>
      </c>
      <c r="X19" s="2696">
        <f>FACILITIES!$B$406</f>
        <v>22.9</v>
      </c>
    </row>
    <row r="20" spans="2:24" ht="24.95" customHeight="1">
      <c r="B20" s="1679">
        <v>42401</v>
      </c>
      <c r="C20" s="1684">
        <f>((E20*COMPOSITE!C45)+(F20*COMPOSITE!C46)+(G20*COMPOSITE!C47)+(H20*COMPOSITE!C48)+(I20*SUM(COMPOSITE!C49+COMPOSITE!C50))+(J20*SUM(COMPOSITE!C51+COMPOSITE!C52))+(L20*COMPOSITE!C54)+(M20*COMPOSITE!C55)+(N20*COMPOSITE!C56)+(O20*COMPOSITE!C57)+(P20*SUM(COMPOSITE!C58+COMPOSITE!C59))+(Q20*COMPOSITE!C60)+(R20*COMPOSITE!C61)+(S20*COMPOSITE!C62)+(T20*COMPOSITE!C63)+(U20*COMPOSITE!C64)+(V20*COMPOSITE!C65))/SUM(COMPOSITE!C45,COMPOSITE!C46,COMPOSITE!C47,COMPOSITE!C48,COMPOSITE!C49,COMPOSITE!C50,COMPOSITE!C51,COMPOSITE!C52,COMPOSITE!C54,COMPOSITE!C55,COMPOSITE!C56,COMPOSITE!C57,COMPOSITE!C58,COMPOSITE!C59,COMPOSITE!C60,COMPOSITE!C61,COMPOSITE!C62,COMPOSITE!C63,COMPOSITE!C64,COMPOSITE!C65)</f>
        <v>28.897045379393514</v>
      </c>
      <c r="D20" s="1685">
        <f>((F20*COMPOSITE!C46)+(G20*COMPOSITE!C47)+(H20*COMPOSITE!C48)+(I20*SUM(COMPOSITE!C49+COMPOSITE!C50))+(J20*SUM(COMPOSITE!C51+COMPOSITE!C52))+(L20*COMPOSITE!C54)+(M20*COMPOSITE!C55)+(N20*COMPOSITE!C56)+(O20*COMPOSITE!C57)+(P20*SUM(COMPOSITE!C58+COMPOSITE!C59))+(Q20*COMPOSITE!C60)+(R20*COMPOSITE!C61)+(S20*COMPOSITE!C62)+(T20*COMPOSITE!C63)+(U20*COMPOSITE!C64)+(V20*COMPOSITE!C65))/SUM(COMPOSITE!C46,COMPOSITE!C47,COMPOSITE!C48,COMPOSITE!C49,COMPOSITE!C50,COMPOSITE!C51,COMPOSITE!C52,COMPOSITE!C54,COMPOSITE!C55,COMPOSITE!C56,COMPOSITE!C57,COMPOSITE!C58,COMPOSITE!C59,COMPOSITE!C60,COMPOSITE!C61,COMPOSITE!C62,COMPOSITE!C63,COMPOSITE!C64,COMPOSITE!C65)</f>
        <v>14.813263053565796</v>
      </c>
      <c r="E20" s="1685">
        <f>FACILITIES!$C$206</f>
        <v>118</v>
      </c>
      <c r="F20" s="1685">
        <f>FACILITIES!$C$46</f>
        <v>9</v>
      </c>
      <c r="G20" s="2549">
        <f>FACILITIES!$C$66</f>
        <v>9</v>
      </c>
      <c r="H20" s="1685">
        <f>FACILITIES!$C$86</f>
        <v>7</v>
      </c>
      <c r="I20" s="2206">
        <f>FACILITIES!$C$166</f>
        <v>48</v>
      </c>
      <c r="J20" s="1685">
        <f>FACILITIES!$C$6</f>
        <v>16</v>
      </c>
      <c r="K20" s="1880">
        <f>FACILITIES!$C$226</f>
        <v>22</v>
      </c>
      <c r="L20" s="1685">
        <f>FACILITIES!$C$266</f>
        <v>25</v>
      </c>
      <c r="M20" s="1685">
        <f>FACILITIES!$C$106</f>
        <v>6</v>
      </c>
      <c r="N20" s="1685">
        <f>FACILITIES!$C$246</f>
        <v>20</v>
      </c>
      <c r="O20" s="1685">
        <f>FACILITIES!$C$146</f>
        <v>14</v>
      </c>
      <c r="P20" s="1685">
        <f>FACILITIES!$C$126</f>
        <v>9</v>
      </c>
      <c r="Q20" s="1685">
        <f>FACILITIES!$C$186</f>
        <v>24</v>
      </c>
      <c r="R20" s="1685">
        <f>FACILITIES!$C$286</f>
        <v>13</v>
      </c>
      <c r="S20" s="1880">
        <f>FACILITIES!$C$306</f>
        <v>7</v>
      </c>
      <c r="T20" s="1685">
        <f>FACILITIES!$C$326</f>
        <v>13</v>
      </c>
      <c r="U20" s="1685">
        <f>FACILITIES!$C$346</f>
        <v>9</v>
      </c>
      <c r="V20" s="2205">
        <f>FACILITIES!$C$366</f>
        <v>15</v>
      </c>
      <c r="W20" s="2551">
        <f>FACILITIES!$C$386</f>
        <v>24.5</v>
      </c>
      <c r="X20" s="2696">
        <f>FACILITIES!$C$406</f>
        <v>30</v>
      </c>
    </row>
    <row r="21" spans="2:24" ht="24.95" customHeight="1">
      <c r="B21" s="1679">
        <v>42430</v>
      </c>
      <c r="C21" s="1684">
        <f>((E21*COMPOSITE!D45)+(F21*COMPOSITE!D46)+(G21*COMPOSITE!D47)+(H21*COMPOSITE!D48)+(I21*SUM(COMPOSITE!D49+COMPOSITE!D50))+(J21*SUM(COMPOSITE!D51+COMPOSITE!D52))+(L21*COMPOSITE!D54)+(M21*COMPOSITE!D55)+(N21*COMPOSITE!D56)+(O21*COMPOSITE!D57)+(P21*SUM(COMPOSITE!D58+COMPOSITE!D59))+(Q21*COMPOSITE!D60)+(R21*COMPOSITE!D61)+(S21*COMPOSITE!D62)+(T21*COMPOSITE!D63)+(U21*COMPOSITE!D64)+(V21*COMPOSITE!D65))/SUM(COMPOSITE!D45,COMPOSITE!D46,COMPOSITE!D47,COMPOSITE!D48,COMPOSITE!D49,COMPOSITE!D50,COMPOSITE!D51,COMPOSITE!D52,COMPOSITE!D54,COMPOSITE!D55,COMPOSITE!D56,COMPOSITE!D57,COMPOSITE!D58,COMPOSITE!D59,COMPOSITE!D60,COMPOSITE!D61,COMPOSITE!D62,COMPOSITE!D63,COMPOSITE!D64,COMPOSITE!D65)</f>
        <v>34.247114810911235</v>
      </c>
      <c r="D21" s="1685">
        <f>((F21*COMPOSITE!D46)+(G21*COMPOSITE!D47)+(H21*COMPOSITE!D48)+(I21*SUM(COMPOSITE!D49+COMPOSITE!D50))+(J21*SUM(COMPOSITE!D51+COMPOSITE!D52))+(L21*COMPOSITE!D54)+(M21*COMPOSITE!D55)+(N21*COMPOSITE!D56)+(O21*COMPOSITE!D57)+(P21*SUM(COMPOSITE!D58+COMPOSITE!D59))+(Q21*COMPOSITE!D60)+(R21*COMPOSITE!D61)+(S21*COMPOSITE!D62)+(T21*COMPOSITE!D63)+(U21*COMPOSITE!D64)+(V21*COMPOSITE!D65))/SUM(COMPOSITE!D46,COMPOSITE!D47,COMPOSITE!D48,COMPOSITE!D49,COMPOSITE!D50,COMPOSITE!D51,COMPOSITE!D52,COMPOSITE!D54,COMPOSITE!D55,COMPOSITE!D56,COMPOSITE!D57,COMPOSITE!D58,COMPOSITE!D59,COMPOSITE!D60,COMPOSITE!D61,COMPOSITE!D62,COMPOSITE!D63,COMPOSITE!D64,COMPOSITE!D65)</f>
        <v>14.031227162690612</v>
      </c>
      <c r="E21" s="2206">
        <f>FACILITIES!$D$206</f>
        <v>162</v>
      </c>
      <c r="F21" s="2206">
        <f>FACILITIES!$D$46</f>
        <v>10</v>
      </c>
      <c r="G21" s="1685">
        <f>FACILITIES!$D$66</f>
        <v>8</v>
      </c>
      <c r="H21" s="2205">
        <f>FACILITIES!$D$86</f>
        <v>7</v>
      </c>
      <c r="I21" s="2551">
        <f>FACILITIES!$D$166</f>
        <v>42</v>
      </c>
      <c r="J21" s="2548">
        <f>FACILITIES!$D$6</f>
        <v>11</v>
      </c>
      <c r="K21" s="1880">
        <f>FACILITIES!$D$226</f>
        <v>19</v>
      </c>
      <c r="L21" s="1685">
        <f>FACILITIES!$D$266</f>
        <v>35</v>
      </c>
      <c r="M21" s="1685">
        <f>FACILITIES!$D$106</f>
        <v>7</v>
      </c>
      <c r="N21" s="1685">
        <f>FACILITIES!$D$246</f>
        <v>18</v>
      </c>
      <c r="O21" s="1685">
        <f>FACILITIES!$D$146</f>
        <v>17</v>
      </c>
      <c r="P21" s="1685">
        <f>FACILITIES!$D$126</f>
        <v>9</v>
      </c>
      <c r="Q21" s="1880">
        <f>FACILITIES!$D$186</f>
        <v>23.32</v>
      </c>
      <c r="R21" s="1685">
        <f>FACILITIES!$D$286</f>
        <v>15</v>
      </c>
      <c r="S21" s="1880">
        <f>FACILITIES!$D$306</f>
        <v>8</v>
      </c>
      <c r="T21" s="1685">
        <f>FACILITIES!$D$326</f>
        <v>13</v>
      </c>
      <c r="U21" s="1685">
        <f>FACILITIES!$D$346</f>
        <v>10</v>
      </c>
      <c r="V21" s="2205">
        <f>FACILITIES!$D$366</f>
        <v>10</v>
      </c>
      <c r="W21" s="2551">
        <f>FACILITIES!$D$386</f>
        <v>23.6</v>
      </c>
      <c r="X21" s="2696">
        <f>FACILITIES!$D$406</f>
        <v>27.6</v>
      </c>
    </row>
    <row r="22" spans="2:24" ht="24.95" customHeight="1">
      <c r="B22" s="1679">
        <v>42461</v>
      </c>
      <c r="C22" s="1684">
        <f>((E22*COMPOSITE!E45)+(F22*COMPOSITE!E46)+(G22*COMPOSITE!E47)+(H22*COMPOSITE!E48)+(I22*SUM(COMPOSITE!E49+COMPOSITE!E50))+(J22*SUM(COMPOSITE!E51+COMPOSITE!E52))+(L22*COMPOSITE!E54)+(M22*COMPOSITE!E55)+(N22*COMPOSITE!E56)+(O22*COMPOSITE!E57)+(P22*SUM(COMPOSITE!E58+COMPOSITE!E59))+(Q22*COMPOSITE!E60)+(R22*COMPOSITE!E61)+(S22*COMPOSITE!E62)+(T22*COMPOSITE!E63)+(U22*COMPOSITE!E64)+(V22*COMPOSITE!E65))/SUM(COMPOSITE!E45,COMPOSITE!E46,COMPOSITE!E47,COMPOSITE!E48,COMPOSITE!E49,COMPOSITE!E50,COMPOSITE!E51,COMPOSITE!E52,COMPOSITE!E54,COMPOSITE!E55,COMPOSITE!E56,COMPOSITE!E57,COMPOSITE!E58,COMPOSITE!E59,COMPOSITE!E60,COMPOSITE!E61,COMPOSITE!E62,COMPOSITE!E63,COMPOSITE!E64,COMPOSITE!E65)</f>
        <v>29.523170404372436</v>
      </c>
      <c r="D22" s="2554">
        <f>((F22*COMPOSITE!E46)+(G22*COMPOSITE!E47)+(H22*COMPOSITE!E48)+(I22*SUM(COMPOSITE!E49+COMPOSITE!E50))+(J22*SUM(COMPOSITE!E51+COMPOSITE!E52))+(L22*COMPOSITE!E54)+(M22*COMPOSITE!E55)+(N22*COMPOSITE!E56)+(O22*COMPOSITE!E57)+(P22*SUM(COMPOSITE!E58+COMPOSITE!E59))+(Q22*COMPOSITE!E60)+(R22*COMPOSITE!E61)+(S22*COMPOSITE!E62)+(T22*COMPOSITE!E63)+(U22*COMPOSITE!E64)+(V22*COMPOSITE!E65))/SUM(COMPOSITE!E46,COMPOSITE!E47,COMPOSITE!E48,COMPOSITE!E49,COMPOSITE!E50,COMPOSITE!E51,COMPOSITE!E52,COMPOSITE!E54,COMPOSITE!E55,COMPOSITE!E56,COMPOSITE!E57,COMPOSITE!E58,COMPOSITE!E59,COMPOSITE!E60,COMPOSITE!E61,COMPOSITE!E62,COMPOSITE!E63,COMPOSITE!E64,COMPOSITE!E65)</f>
        <v>12.678473371980241</v>
      </c>
      <c r="E22" s="2550">
        <f>FACILITIES!$E$206</f>
        <v>135</v>
      </c>
      <c r="F22" s="2551">
        <f>FACILITIES!$E$46</f>
        <v>7</v>
      </c>
      <c r="G22" s="2548">
        <f>FACILITIES!$E$66</f>
        <v>5</v>
      </c>
      <c r="H22" s="1685">
        <f>FACILITIES!$E$86</f>
        <v>6</v>
      </c>
      <c r="I22" s="2549">
        <f>FACILITIES!$E$166</f>
        <v>42</v>
      </c>
      <c r="J22" s="1685">
        <f>FACILITIES!$E$6</f>
        <v>9</v>
      </c>
      <c r="K22" s="1880">
        <f>FACILITIES!$E$226</f>
        <v>16</v>
      </c>
      <c r="L22" s="1685">
        <f>FACILITIES!$E$266</f>
        <v>38</v>
      </c>
      <c r="M22" s="1685">
        <f>FACILITIES!$E$106</f>
        <v>6</v>
      </c>
      <c r="N22" s="1685">
        <f>FACILITIES!$E$246</f>
        <v>16</v>
      </c>
      <c r="O22" s="1685">
        <f>FACILITIES!$E$146</f>
        <v>14</v>
      </c>
      <c r="P22" s="1685">
        <f>FACILITIES!$E$126</f>
        <v>7</v>
      </c>
      <c r="Q22" s="1685">
        <f>FACILITIES!$E$186</f>
        <v>23.33</v>
      </c>
      <c r="R22" s="1685">
        <f>FACILITIES!$E$286</f>
        <v>17</v>
      </c>
      <c r="S22" s="1685">
        <f>FACILITIES!$E$306</f>
        <v>14</v>
      </c>
      <c r="T22" s="1685">
        <f>FACILITIES!$E$326</f>
        <v>12</v>
      </c>
      <c r="U22" s="1685">
        <f>FACILITIES!$E$346</f>
        <v>9</v>
      </c>
      <c r="V22" s="2205">
        <f>FACILITIES!$E$366</f>
        <v>8</v>
      </c>
      <c r="W22" s="2551">
        <f>FACILITIES!$E$386</f>
        <v>19.2</v>
      </c>
      <c r="X22" s="2696">
        <f>FACILITIES!$E$406</f>
        <v>27.5</v>
      </c>
    </row>
    <row r="23" spans="2:24" ht="24.95" customHeight="1">
      <c r="B23" s="1679">
        <v>42491</v>
      </c>
      <c r="C23" s="2552">
        <f>((E23*COMPOSITE!F45)+(F23*COMPOSITE!F46)+(G23*COMPOSITE!F47)+(H23*COMPOSITE!F48)+(I23*SUM(COMPOSITE!F49+COMPOSITE!F50))+(J23*SUM(COMPOSITE!F51+COMPOSITE!F52))+(L23*COMPOSITE!F54)+(M23*COMPOSITE!F55)+(N23*COMPOSITE!F56)+(O23*COMPOSITE!F57)+(P23*SUM(COMPOSITE!F58+COMPOSITE!F59))+(Q23*COMPOSITE!F60)+(R23*COMPOSITE!F61)+(S23*COMPOSITE!F62)+(T23*COMPOSITE!F63)+(U23*COMPOSITE!F64)+(V23*COMPOSITE!F65))/SUM(COMPOSITE!F45,COMPOSITE!F46,COMPOSITE!F47,COMPOSITE!F48,COMPOSITE!F49,COMPOSITE!F50,COMPOSITE!F51,COMPOSITE!F52,COMPOSITE!F54,COMPOSITE!F55,COMPOSITE!F56,COMPOSITE!F57,COMPOSITE!F58,COMPOSITE!F59,COMPOSITE!F60,COMPOSITE!F61,COMPOSITE!F62,COMPOSITE!F63,COMPOSITE!F64,COMPOSITE!F65)</f>
        <v>27.620734700247763</v>
      </c>
      <c r="D23" s="2551">
        <f>((F23*COMPOSITE!F46)+(G23*COMPOSITE!F47)+(H23*COMPOSITE!F48)+(I23*SUM(COMPOSITE!F49+COMPOSITE!F50))+(J23*SUM(COMPOSITE!F51+COMPOSITE!F52))+(L23*COMPOSITE!F54)+(M23*COMPOSITE!F55)+(N23*COMPOSITE!F56)+(O23*COMPOSITE!F57)+(P23*SUM(COMPOSITE!F58+COMPOSITE!F59))+(Q23*COMPOSITE!F60)+(R23*COMPOSITE!F61)+(S23*COMPOSITE!F62)+(T23*COMPOSITE!F63)+(U23*COMPOSITE!F64)+(V23*COMPOSITE!F65))/SUM(COMPOSITE!F46,COMPOSITE!F47,COMPOSITE!F48,COMPOSITE!F49,COMPOSITE!F50,COMPOSITE!F51,COMPOSITE!F52,COMPOSITE!F54,COMPOSITE!F55,COMPOSITE!F56,COMPOSITE!F57,COMPOSITE!F58,COMPOSITE!F59,COMPOSITE!F60,COMPOSITE!F61,COMPOSITE!F62,COMPOSITE!F63,COMPOSITE!F64,COMPOSITE!F65)</f>
        <v>10.911562968686088</v>
      </c>
      <c r="E23" s="2553">
        <f>FACILITIES!$F$206</f>
        <v>129</v>
      </c>
      <c r="F23" s="2549">
        <f>FACILITIES!$F$46</f>
        <v>9</v>
      </c>
      <c r="G23" s="1685">
        <f>FACILITIES!$F$66</f>
        <v>6</v>
      </c>
      <c r="H23" s="1685">
        <f>FACILITIES!$F$86</f>
        <v>6</v>
      </c>
      <c r="I23" s="2206">
        <f>FACILITIES!$F$166</f>
        <v>24</v>
      </c>
      <c r="J23" s="1685">
        <f>FACILITIES!$F$6</f>
        <v>8</v>
      </c>
      <c r="K23" s="1880">
        <f>FACILITIES!$F$226</f>
        <v>18</v>
      </c>
      <c r="L23" s="1685">
        <f>FACILITIES!$F$266</f>
        <v>32</v>
      </c>
      <c r="M23" s="1685">
        <f>FACILITIES!$F$106</f>
        <v>5</v>
      </c>
      <c r="N23" s="1685">
        <f>FACILITIES!$F$246</f>
        <v>16</v>
      </c>
      <c r="O23" s="1685">
        <f>FACILITIES!$F$146</f>
        <v>12</v>
      </c>
      <c r="P23" s="1685">
        <f>FACILITIES!$F$126</f>
        <v>7</v>
      </c>
      <c r="Q23" s="1685">
        <f>FACILITIES!$F$186</f>
        <v>20.010000000000002</v>
      </c>
      <c r="R23" s="1685">
        <f>FACILITIES!$F$286</f>
        <v>14</v>
      </c>
      <c r="S23" s="1880">
        <f>FACILITIES!$F$306</f>
        <v>9</v>
      </c>
      <c r="T23" s="1685">
        <f>FACILITIES!$F$326</f>
        <v>12</v>
      </c>
      <c r="U23" s="1685">
        <f>FACILITIES!$F$346</f>
        <v>9</v>
      </c>
      <c r="V23" s="2205">
        <f>FACILITIES!$F$366</f>
        <v>7</v>
      </c>
      <c r="W23" s="2551">
        <f>FACILITIES!$F$386</f>
        <v>18.2</v>
      </c>
      <c r="X23" s="2696">
        <f>FACILITIES!$F$406</f>
        <v>23</v>
      </c>
    </row>
    <row r="24" spans="2:24" ht="24.95" customHeight="1">
      <c r="B24" s="1679">
        <v>42522</v>
      </c>
      <c r="C24" s="1684">
        <f>((E24*COMPOSITE!G45)+(F24*COMPOSITE!G46)+(G24*COMPOSITE!G47)+(H24*COMPOSITE!G48)+(I24*SUM(COMPOSITE!G49+COMPOSITE!G50))+(J24*SUM(COMPOSITE!G51+COMPOSITE!G52))+(L24*COMPOSITE!G54)+(M24*COMPOSITE!G55)+(N24*COMPOSITE!G56)+(O24*COMPOSITE!G57)+(P24*SUM(COMPOSITE!G58+COMPOSITE!G59))+(Q24*COMPOSITE!G60)+(R24*COMPOSITE!G61)+(S24*COMPOSITE!G62)+(T24*COMPOSITE!G63)+(U24*COMPOSITE!G64)+(V24*COMPOSITE!G65))/SUM(COMPOSITE!G45,COMPOSITE!G46,COMPOSITE!G47,COMPOSITE!G48,COMPOSITE!G49,COMPOSITE!G50,COMPOSITE!G51,COMPOSITE!G52,COMPOSITE!G54,COMPOSITE!G55,COMPOSITE!G56,COMPOSITE!G57,COMPOSITE!G58,COMPOSITE!G59,COMPOSITE!G60,COMPOSITE!G61,COMPOSITE!G62,COMPOSITE!G63,COMPOSITE!G64,COMPOSITE!G65)</f>
        <v>30.775070271164022</v>
      </c>
      <c r="D24" s="2207">
        <f>((F24*COMPOSITE!G46)+(G24*COMPOSITE!G47)+(H24*COMPOSITE!G48)+(I24*SUM(COMPOSITE!G49+COMPOSITE!G50))+(J24*SUM(COMPOSITE!G51+COMPOSITE!G52))+(L24*COMPOSITE!G54)+(M24*COMPOSITE!G55)+(N24*COMPOSITE!G56)+(O24*COMPOSITE!G57)+(P24*SUM(COMPOSITE!G58+COMPOSITE!G59))+(Q24*COMPOSITE!G60)+(R24*COMPOSITE!G61)+(S24*COMPOSITE!G62)+(T24*COMPOSITE!G63)+(U24*COMPOSITE!G64)+(V24*COMPOSITE!G65))/SUM(COMPOSITE!G46,COMPOSITE!G47,COMPOSITE!G48,COMPOSITE!G49,COMPOSITE!G50,COMPOSITE!G51,COMPOSITE!G52,COMPOSITE!G54,COMPOSITE!G55,COMPOSITE!G56,COMPOSITE!G57,COMPOSITE!G58,COMPOSITE!G59,COMPOSITE!G60,COMPOSITE!G61,COMPOSITE!G62,COMPOSITE!G63,COMPOSITE!G64,COMPOSITE!G65)</f>
        <v>10.355743920403777</v>
      </c>
      <c r="E24" s="1685">
        <f>FACILITIES!$G$206</f>
        <v>152</v>
      </c>
      <c r="F24" s="1685">
        <f>FACILITIES!$G$46</f>
        <v>8</v>
      </c>
      <c r="G24" s="1685">
        <f>FACILITIES!$G$66</f>
        <v>6</v>
      </c>
      <c r="H24" s="2205">
        <f>FACILITIES!$G$86</f>
        <v>6</v>
      </c>
      <c r="I24" s="2551">
        <f>FACILITIES!$G$166</f>
        <v>31</v>
      </c>
      <c r="J24" s="2548">
        <f>FACILITIES!$G$6</f>
        <v>6</v>
      </c>
      <c r="K24" s="2555">
        <f>FACILITIES!$G$226</f>
        <v>18</v>
      </c>
      <c r="L24" s="1685">
        <f>FACILITIES!$G$266</f>
        <v>32</v>
      </c>
      <c r="M24" s="1685">
        <f>FACILITIES!$G$106</f>
        <v>5</v>
      </c>
      <c r="N24" s="1685">
        <f>FACILITIES!$G$246</f>
        <v>16</v>
      </c>
      <c r="O24" s="1685">
        <f>FACILITIES!$G$146</f>
        <v>11</v>
      </c>
      <c r="P24" s="1685">
        <f>FACILITIES!$G$126</f>
        <v>6</v>
      </c>
      <c r="Q24" s="1880">
        <f>FACILITIES!$G$186</f>
        <v>15</v>
      </c>
      <c r="R24" s="1685">
        <f>FACILITIES!$G$286</f>
        <v>12</v>
      </c>
      <c r="S24" s="1880">
        <f>FACILITIES!$G$306</f>
        <v>9</v>
      </c>
      <c r="T24" s="1685">
        <f>FACILITIES!$G$326</f>
        <v>11</v>
      </c>
      <c r="U24" s="1685">
        <f>FACILITIES!$G$346</f>
        <v>5</v>
      </c>
      <c r="V24" s="2205">
        <f>FACILITIES!$G$366</f>
        <v>6</v>
      </c>
      <c r="W24" s="2551">
        <f>FACILITIES!$G$386</f>
        <v>15.8</v>
      </c>
      <c r="X24" s="2696">
        <f>FACILITIES!$G$406</f>
        <v>18.8</v>
      </c>
    </row>
    <row r="25" spans="2:24" ht="24.95" customHeight="1">
      <c r="B25" s="1679">
        <v>42552</v>
      </c>
      <c r="C25" s="1684">
        <f>((E25*COMPOSITE!H45)+(F25*COMPOSITE!H46)+(G25*COMPOSITE!H47)+(H25*COMPOSITE!H48)+(I25*SUM(COMPOSITE!H49+COMPOSITE!H50))+(J25*SUM(COMPOSITE!H51+COMPOSITE!H52))+(L25*COMPOSITE!H54)+(M25*COMPOSITE!H55)+(N25*COMPOSITE!H56)+(O25*COMPOSITE!H57)+(P25*SUM(COMPOSITE!H58+COMPOSITE!H59))+(Q25*COMPOSITE!H60)+(R25*COMPOSITE!H61)+(S25*COMPOSITE!H62)+(T25*COMPOSITE!H63)+(U25*COMPOSITE!H64)+(V25*COMPOSITE!H65))/SUM(COMPOSITE!H45,COMPOSITE!H46,COMPOSITE!H47,COMPOSITE!H48,COMPOSITE!H49,COMPOSITE!H50,COMPOSITE!H51,COMPOSITE!H52,COMPOSITE!H54,COMPOSITE!H55,COMPOSITE!H56,COMPOSITE!H57,COMPOSITE!H58,COMPOSITE!H59,COMPOSITE!H60,COMPOSITE!H61,COMPOSITE!H62,COMPOSITE!H63,COMPOSITE!H64,COMPOSITE!H65)</f>
        <v>21.54180234759561</v>
      </c>
      <c r="D25" s="1685">
        <f>((F25*COMPOSITE!H46)+(G25*COMPOSITE!H47)+(H25*COMPOSITE!H48)+(I25*SUM(COMPOSITE!H49+COMPOSITE!H50))+(J25*SUM(COMPOSITE!H51+COMPOSITE!H52))+(L25*COMPOSITE!H54)+(M25*COMPOSITE!H55)+(N25*COMPOSITE!H56)+(O25*COMPOSITE!H57)+(P25*SUM(COMPOSITE!H58+COMPOSITE!H59))+(Q25*COMPOSITE!H60)+(R25*COMPOSITE!H61)+(S25*COMPOSITE!H62)+(T25*COMPOSITE!H63)+(U25*COMPOSITE!H64)+(V25*COMPOSITE!H65))/SUM(COMPOSITE!H46,COMPOSITE!H47,COMPOSITE!H48,COMPOSITE!H49,COMPOSITE!H50,COMPOSITE!H51,COMPOSITE!H52,COMPOSITE!H54,COMPOSITE!H55,COMPOSITE!H56,COMPOSITE!H57,COMPOSITE!H58,COMPOSITE!H59,COMPOSITE!H60,COMPOSITE!H61,COMPOSITE!H62,COMPOSITE!H63,COMPOSITE!H64,COMPOSITE!H65)</f>
        <v>10.836217233686558</v>
      </c>
      <c r="E25" s="1685">
        <f>FACILITIES!$H$206</f>
        <v>86</v>
      </c>
      <c r="F25" s="1685">
        <f>FACILITIES!$H$46</f>
        <v>6</v>
      </c>
      <c r="G25" s="1685">
        <f>FACILITIES!$H$66</f>
        <v>5</v>
      </c>
      <c r="H25" s="1685">
        <f>FACILITIES!$H$86</f>
        <v>5</v>
      </c>
      <c r="I25" s="2549">
        <f>FACILITIES!$H$166</f>
        <v>40</v>
      </c>
      <c r="J25" s="2205">
        <f>FACILITIES!$H$6</f>
        <v>6</v>
      </c>
      <c r="K25" s="2557"/>
      <c r="L25" s="2548">
        <f>FACILITIES!$H$266</f>
        <v>35</v>
      </c>
      <c r="M25" s="1685">
        <f>FACILITIES!$H$106</f>
        <v>4</v>
      </c>
      <c r="N25" s="1685">
        <f>FACILITIES!$H$246</f>
        <v>17</v>
      </c>
      <c r="O25" s="1685">
        <f>FACILITIES!$H$146</f>
        <v>12</v>
      </c>
      <c r="P25" s="1685">
        <f>FACILITIES!$H$126</f>
        <v>6</v>
      </c>
      <c r="Q25" s="1685">
        <f>FACILITIES!$H$186</f>
        <v>20.11</v>
      </c>
      <c r="R25" s="1685">
        <f>FACILITIES!$H$286</f>
        <v>14</v>
      </c>
      <c r="S25" s="1685">
        <f>FACILITIES!$H$306</f>
        <v>8</v>
      </c>
      <c r="T25" s="1685">
        <f>FACILITIES!$H$326</f>
        <v>11</v>
      </c>
      <c r="U25" s="1685">
        <f>FACILITIES!$H$346</f>
        <v>5</v>
      </c>
      <c r="V25" s="2205">
        <f>FACILITIES!$H$366</f>
        <v>7</v>
      </c>
      <c r="W25" s="2551">
        <f>FACILITIES!$H$386</f>
        <v>16.2</v>
      </c>
      <c r="X25" s="2696">
        <f>FACILITIES!$H$406</f>
        <v>20.7</v>
      </c>
    </row>
    <row r="26" spans="2:24" ht="24.95" customHeight="1">
      <c r="B26" s="1679">
        <v>42583</v>
      </c>
      <c r="C26" s="1684">
        <f>((E26*COMPOSITE!I45)+(F26*COMPOSITE!I46)+(G26*COMPOSITE!I47)+(H26*COMPOSITE!I48)+(I26*SUM(COMPOSITE!I49+COMPOSITE!I50))+(J26*SUM(COMPOSITE!I51+COMPOSITE!I52))+(L26*COMPOSITE!I54)+(M26*COMPOSITE!I55)+(N26*COMPOSITE!I56)+(O26*COMPOSITE!I57)+(P26*SUM(COMPOSITE!I58+COMPOSITE!I59))+(Q26*COMPOSITE!I60)+(R26*COMPOSITE!I61)+(S26*COMPOSITE!I62)+(T26*COMPOSITE!I63)+(U26*COMPOSITE!I64)+(V26*COMPOSITE!I65))/SUM(COMPOSITE!I45,COMPOSITE!I46,COMPOSITE!I47,COMPOSITE!I48,COMPOSITE!I49,COMPOSITE!I50,COMPOSITE!I51,COMPOSITE!I52,COMPOSITE!I54,COMPOSITE!I55,COMPOSITE!I56,COMPOSITE!I57,COMPOSITE!I58,COMPOSITE!I59,COMPOSITE!I60,COMPOSITE!I61,COMPOSITE!I62,COMPOSITE!I63,COMPOSITE!I64,COMPOSITE!I65)</f>
        <v>24.887207535703432</v>
      </c>
      <c r="D26" s="1685">
        <f>((F26*COMPOSITE!I46)+(G26*COMPOSITE!I47)+(H26*COMPOSITE!I48)+(I26*SUM(COMPOSITE!I49+COMPOSITE!I50))+(J26*SUM(COMPOSITE!I51+COMPOSITE!I52))+(L26*COMPOSITE!I54)+(M26*COMPOSITE!I55)+(N26*COMPOSITE!I56)+(O26*COMPOSITE!I57)+(P26*SUM(COMPOSITE!I58+COMPOSITE!I59))+(Q26*COMPOSITE!I60)+(R26*COMPOSITE!I61)+(S26*COMPOSITE!I62)+(T26*COMPOSITE!I63)+(U26*COMPOSITE!I64)+(V26*COMPOSITE!I65))/SUM(COMPOSITE!I46,COMPOSITE!I47,COMPOSITE!I48,COMPOSITE!I49,COMPOSITE!I50,COMPOSITE!I51,COMPOSITE!I52,COMPOSITE!I54,COMPOSITE!I55,COMPOSITE!I56,COMPOSITE!I57,COMPOSITE!I58,COMPOSITE!I59,COMPOSITE!I60,COMPOSITE!I61,COMPOSITE!I62,COMPOSITE!I63,COMPOSITE!I64,COMPOSITE!I65)</f>
        <v>9.454026096156106</v>
      </c>
      <c r="E26" s="1685">
        <v>121</v>
      </c>
      <c r="F26" s="1685">
        <f>FACILITIES!$I$46</f>
        <v>7</v>
      </c>
      <c r="G26" s="1685">
        <f>FACILITIES!$I$66</f>
        <v>5</v>
      </c>
      <c r="H26" s="1685">
        <f>FACILITIES!$I$86</f>
        <v>6</v>
      </c>
      <c r="I26" s="2549">
        <f>FACILITIES!$I$166</f>
        <v>13</v>
      </c>
      <c r="J26" s="2205">
        <f>FACILITIES!$I$6</f>
        <v>5</v>
      </c>
      <c r="K26" s="2558"/>
      <c r="L26" s="2548">
        <f>FACILITIES!$I$266</f>
        <v>28</v>
      </c>
      <c r="M26" s="1685">
        <f>FACILITIES!$I$106</f>
        <v>5</v>
      </c>
      <c r="N26" s="1685">
        <f>FACILITIES!$I$246</f>
        <v>17</v>
      </c>
      <c r="O26" s="1685">
        <f>FACILITIES!$I$146</f>
        <v>14</v>
      </c>
      <c r="P26" s="1685">
        <f>FACILITIES!$I$126</f>
        <v>6</v>
      </c>
      <c r="Q26" s="1685">
        <f>FACILITIES!$I$186</f>
        <v>25</v>
      </c>
      <c r="R26" s="1685">
        <f>FACILITIES!$I$286</f>
        <v>15</v>
      </c>
      <c r="S26" s="1685">
        <f>FACILITIES!$I$306</f>
        <v>8</v>
      </c>
      <c r="T26" s="1685">
        <f>FACILITIES!$I$326</f>
        <v>12</v>
      </c>
      <c r="U26" s="1685">
        <f>FACILITIES!$I$346</f>
        <v>6</v>
      </c>
      <c r="V26" s="2205">
        <f>FACILITIES!$I$366</f>
        <v>6</v>
      </c>
      <c r="W26" s="2551">
        <f>FACILITIES!$I$386</f>
        <v>17.399999999999999</v>
      </c>
      <c r="X26" s="2696">
        <f>FACILITIES!$I$406</f>
        <v>21.8</v>
      </c>
    </row>
    <row r="27" spans="2:24" ht="24.95" customHeight="1">
      <c r="B27" s="1679">
        <v>42614</v>
      </c>
      <c r="C27" s="1684">
        <f>((E27*COMPOSITE!J45)+(F27*COMPOSITE!J46)+(G27*COMPOSITE!J47)+(H27*COMPOSITE!J48)+(I27*SUM(COMPOSITE!J49+COMPOSITE!J50))+(J27*SUM(COMPOSITE!J51+COMPOSITE!J52))+(L27*COMPOSITE!J54)+(M27*COMPOSITE!J55)+(N27*COMPOSITE!J56)+(O27*COMPOSITE!J57)+(P27*SUM(COMPOSITE!J58+COMPOSITE!J59))+(Q27*COMPOSITE!J60)+(R27*COMPOSITE!J61)+(S27*COMPOSITE!J62)+(T27*COMPOSITE!J63)+(U27*COMPOSITE!J64)+(V27*COMPOSITE!J65))/SUM(COMPOSITE!J45,COMPOSITE!J46,COMPOSITE!J47,COMPOSITE!J48,COMPOSITE!J49,COMPOSITE!J50,COMPOSITE!J51,COMPOSITE!J52,COMPOSITE!J54,COMPOSITE!J55,COMPOSITE!J56,COMPOSITE!J57,COMPOSITE!J58,COMPOSITE!J59,COMPOSITE!J60,COMPOSITE!J61,COMPOSITE!J62,COMPOSITE!J63,COMPOSITE!J64,COMPOSITE!J65)</f>
        <v>27.796772736438797</v>
      </c>
      <c r="D27" s="1685">
        <f>((F27*COMPOSITE!J46)+(G27*COMPOSITE!J47)+(H27*COMPOSITE!J48)+(I27*SUM(COMPOSITE!J49+COMPOSITE!J50))+(J27*SUM(COMPOSITE!J51+COMPOSITE!J52))+(L27*COMPOSITE!J54)+(M27*COMPOSITE!J55)+(N27*COMPOSITE!J56)+(O27*COMPOSITE!J57)+(P27*SUM(COMPOSITE!J58+COMPOSITE!J59))+(Q27*COMPOSITE!J60)+(R27*COMPOSITE!J61)+(S27*COMPOSITE!J62)+(T27*COMPOSITE!J63)+(U27*COMPOSITE!J64)+(V27*COMPOSITE!J65))/SUM(COMPOSITE!J46,COMPOSITE!J47,COMPOSITE!J48,COMPOSITE!J49,COMPOSITE!J50,COMPOSITE!J51,COMPOSITE!J52,COMPOSITE!J54,COMPOSITE!J55,COMPOSITE!J56,COMPOSITE!J57,COMPOSITE!J58,COMPOSITE!J59,COMPOSITE!J60,COMPOSITE!J61,COMPOSITE!J62,COMPOSITE!J63,COMPOSITE!J64,COMPOSITE!J65)</f>
        <v>9.8441333114738754</v>
      </c>
      <c r="E27" s="1685">
        <v>139</v>
      </c>
      <c r="F27" s="1685">
        <f>FACILITIES!$J$46</f>
        <v>8</v>
      </c>
      <c r="G27" s="1685">
        <f>FACILITIES!$J$66</f>
        <v>4</v>
      </c>
      <c r="H27" s="1685">
        <f>FACILITIES!$J$86</f>
        <v>5</v>
      </c>
      <c r="I27" s="1685">
        <f>FACILITIES!$J$166</f>
        <v>14</v>
      </c>
      <c r="J27" s="2205">
        <f>FACILITIES!$J$6</f>
        <v>6</v>
      </c>
      <c r="K27" s="2558"/>
      <c r="L27" s="2548">
        <f>FACILITIES!$J$266</f>
        <v>34</v>
      </c>
      <c r="M27" s="1685">
        <f>FACILITIES!$J$106</f>
        <v>5</v>
      </c>
      <c r="N27" s="1685">
        <f>FACILITIES!$J$246</f>
        <v>12</v>
      </c>
      <c r="O27" s="1685">
        <f>FACILITIES!$J$146</f>
        <v>15</v>
      </c>
      <c r="P27" s="1685">
        <f>FACILITIES!$J$126</f>
        <v>7</v>
      </c>
      <c r="Q27" s="1685">
        <f>FACILITIES!$J$186</f>
        <v>27.22</v>
      </c>
      <c r="R27" s="1685">
        <f>FACILITIES!$J$286</f>
        <v>17</v>
      </c>
      <c r="S27" s="1685">
        <f>FACILITIES!$J$306</f>
        <v>8</v>
      </c>
      <c r="T27" s="1685">
        <f>FACILITIES!$J$326</f>
        <v>10</v>
      </c>
      <c r="U27" s="1685">
        <f>FACILITIES!$J$346</f>
        <v>6</v>
      </c>
      <c r="V27" s="2205">
        <f>FACILITIES!$J$366</f>
        <v>7</v>
      </c>
      <c r="W27" s="2551">
        <f>FACILITIES!$J$386</f>
        <v>18.8</v>
      </c>
      <c r="X27" s="2696">
        <f>FACILITIES!$J$406</f>
        <v>23.2</v>
      </c>
    </row>
    <row r="28" spans="2:24" ht="24.95" customHeight="1">
      <c r="B28" s="1679">
        <v>42644</v>
      </c>
      <c r="C28" s="1684">
        <f>((E28*COMPOSITE!K45)+(F28*COMPOSITE!K46)+(G28*COMPOSITE!K47)+(H28*COMPOSITE!K48)+(I28*SUM(COMPOSITE!K49+COMPOSITE!K50))+(J28*SUM(COMPOSITE!K51+COMPOSITE!K52))+(L28*COMPOSITE!K54)+(M28*COMPOSITE!K55)+(N28*COMPOSITE!K56)+(O28*COMPOSITE!K57)+(P28*SUM(COMPOSITE!K58+COMPOSITE!K59))+(Q28*COMPOSITE!K60)+(R28*COMPOSITE!K61)+(S28*COMPOSITE!K62)+(T28*COMPOSITE!K63)+(U28*COMPOSITE!K64)+(V28*COMPOSITE!K65))/SUM(COMPOSITE!K45,COMPOSITE!K46,COMPOSITE!K47,COMPOSITE!K48,COMPOSITE!K49,COMPOSITE!K50,COMPOSITE!K51,COMPOSITE!K52,COMPOSITE!K54,COMPOSITE!K55,COMPOSITE!K56,COMPOSITE!K57,COMPOSITE!K58,COMPOSITE!K59,COMPOSITE!K60,COMPOSITE!K61,COMPOSITE!K62,COMPOSITE!K63,COMPOSITE!K64,COMPOSITE!K65)</f>
        <v>26.360567286862512</v>
      </c>
      <c r="D28" s="1685">
        <f>((F28*COMPOSITE!K46)+(G28*COMPOSITE!K47)+(H28*COMPOSITE!K48)+(I28*SUM(COMPOSITE!K49+COMPOSITE!K50))+(J28*SUM(COMPOSITE!K51+COMPOSITE!K52))+(L28*COMPOSITE!K54)+(M28*COMPOSITE!K55)+(N28*COMPOSITE!K56)+(O28*COMPOSITE!K57)+(P28*SUM(COMPOSITE!K58+COMPOSITE!K59))+(Q28*COMPOSITE!K60)+(R28*COMPOSITE!K61)+(S28*COMPOSITE!K62)+(T28*COMPOSITE!K63)+(U28*COMPOSITE!K64)+(V28*COMPOSITE!K65))/SUM(COMPOSITE!K46,COMPOSITE!K47,COMPOSITE!K48,COMPOSITE!K49,COMPOSITE!K50,COMPOSITE!K51,COMPOSITE!K52,COMPOSITE!K54,COMPOSITE!K55,COMPOSITE!K56,COMPOSITE!K57,COMPOSITE!K58,COMPOSITE!K59,COMPOSITE!K60,COMPOSITE!K61,COMPOSITE!K62,COMPOSITE!K63,COMPOSITE!K64,COMPOSITE!K65)</f>
        <v>9.2787826620130183</v>
      </c>
      <c r="E28" s="1685">
        <v>130</v>
      </c>
      <c r="F28" s="1685">
        <f>FACILITIES!$K$46</f>
        <v>8</v>
      </c>
      <c r="G28" s="1685">
        <f>FACILITIES!$K$66</f>
        <v>5</v>
      </c>
      <c r="H28" s="1685">
        <f>FACILITIES!$K$86</f>
        <v>5</v>
      </c>
      <c r="I28" s="1685">
        <f>FACILITIES!$K$166</f>
        <v>15</v>
      </c>
      <c r="J28" s="2205">
        <f>FACILITIES!$K$6</f>
        <v>6</v>
      </c>
      <c r="K28" s="2558"/>
      <c r="L28" s="2548">
        <f>FACILITIES!$K$266</f>
        <v>24</v>
      </c>
      <c r="M28" s="1685">
        <f>FACILITIES!$K$106</f>
        <v>5</v>
      </c>
      <c r="N28" s="1685">
        <f>FACILITIES!$K$246</f>
        <v>12</v>
      </c>
      <c r="O28" s="1685">
        <f>FACILITIES!$K$146</f>
        <v>13</v>
      </c>
      <c r="P28" s="1685">
        <f>FACILITIES!$K$126</f>
        <v>6</v>
      </c>
      <c r="Q28" s="1685">
        <f>FACILITIES!$K$186</f>
        <v>21.75</v>
      </c>
      <c r="R28" s="1685">
        <v>15</v>
      </c>
      <c r="S28" s="1685">
        <v>9</v>
      </c>
      <c r="T28" s="1685">
        <f>FACILITIES!$K$326</f>
        <v>10</v>
      </c>
      <c r="U28" s="1685">
        <f>FACILITIES!$K$346</f>
        <v>6</v>
      </c>
      <c r="V28" s="2205">
        <v>7</v>
      </c>
      <c r="W28" s="2551">
        <f>FACILITIES!$K$386</f>
        <v>17.399999999999999</v>
      </c>
      <c r="X28" s="2696">
        <f>FACILITIES!$K$406</f>
        <v>22.1</v>
      </c>
    </row>
    <row r="29" spans="2:24" ht="24.95" customHeight="1">
      <c r="B29" s="1679">
        <v>42675</v>
      </c>
      <c r="C29" s="1684">
        <f>AVERAGE(E29:J29,M29:Q29,T29:X29)</f>
        <v>11.946666666666667</v>
      </c>
      <c r="D29" s="1685">
        <f>AVERAGE(F29:J29,M29:Q29,T29:X29)</f>
        <v>11.946666666666667</v>
      </c>
      <c r="E29" s="1880" t="s">
        <v>766</v>
      </c>
      <c r="F29" s="1685">
        <f>FACILITIES!$L$46</f>
        <v>7</v>
      </c>
      <c r="G29" s="1685">
        <f>FACILITIES!$L$66</f>
        <v>5</v>
      </c>
      <c r="H29" s="1685">
        <f>FACILITIES!$L$86</f>
        <v>5</v>
      </c>
      <c r="I29" s="1685">
        <f>FACILITIES!$L$166</f>
        <v>23</v>
      </c>
      <c r="J29" s="2205">
        <f>FACILITIES!$L$6</f>
        <v>7</v>
      </c>
      <c r="K29" s="2558"/>
      <c r="L29" s="2558"/>
      <c r="M29" s="1685">
        <f>FACILITIES!$L$106</f>
        <v>6</v>
      </c>
      <c r="N29" s="1685">
        <f>FACILITIES!$L$246</f>
        <v>13</v>
      </c>
      <c r="O29" s="1685">
        <f>FACILITIES!$L$146</f>
        <v>12</v>
      </c>
      <c r="P29" s="1685">
        <f>FACILITIES!$L$126</f>
        <v>7</v>
      </c>
      <c r="Q29" s="1685">
        <f>FACILITIES!$L$186</f>
        <v>26</v>
      </c>
      <c r="R29" s="2695"/>
      <c r="S29" s="2695"/>
      <c r="T29" s="1685">
        <f>FACILITIES!$L$326</f>
        <v>13</v>
      </c>
      <c r="U29" s="1685">
        <f>FACILITIES!$L$346</f>
        <v>9</v>
      </c>
      <c r="V29" s="2205">
        <v>8</v>
      </c>
      <c r="W29" s="2551">
        <f>FACILITIES!$L$386</f>
        <v>17.399999999999999</v>
      </c>
      <c r="X29" s="2696">
        <f>FACILITIES!$L$406</f>
        <v>20.8</v>
      </c>
    </row>
    <row r="30" spans="2:24" ht="24.95" customHeight="1">
      <c r="B30" s="1679">
        <v>42705</v>
      </c>
      <c r="C30" s="1686">
        <f>AVERAGE(E30:J30,M30:Q30,T30:X30)</f>
        <v>11.854000000000003</v>
      </c>
      <c r="D30" s="1687">
        <f>AVERAGE(F30:J30,M30:Q30,T30:X30)</f>
        <v>11.854000000000003</v>
      </c>
      <c r="E30" s="1688" t="s">
        <v>766</v>
      </c>
      <c r="F30" s="1685">
        <f>FACILITIES!$M$46</f>
        <v>8</v>
      </c>
      <c r="G30" s="1685">
        <f>FACILITIES!$M$66</f>
        <v>6</v>
      </c>
      <c r="H30" s="1685">
        <f>FACILITIES!$M$86</f>
        <v>5</v>
      </c>
      <c r="I30" s="1685">
        <f>FACILITIES!$M$166</f>
        <v>14</v>
      </c>
      <c r="J30" s="2205">
        <f>FACILITIES!$M$6</f>
        <v>9</v>
      </c>
      <c r="K30" s="2558"/>
      <c r="L30" s="2558"/>
      <c r="M30" s="1685">
        <f>FACILITIES!$M$106</f>
        <v>6</v>
      </c>
      <c r="N30" s="1685">
        <f>FACILITIES!$M$246</f>
        <v>18</v>
      </c>
      <c r="O30" s="1685">
        <f>FACILITIES!$M$146</f>
        <v>14</v>
      </c>
      <c r="P30" s="1685">
        <f>FACILITIES!$M$126</f>
        <v>7</v>
      </c>
      <c r="Q30" s="1685">
        <f>FACILITIES!$M$186</f>
        <v>23.11</v>
      </c>
      <c r="R30" s="2695"/>
      <c r="S30" s="2695"/>
      <c r="T30" s="1685">
        <f>FACILITIES!$M$326</f>
        <v>13</v>
      </c>
      <c r="U30" s="1685">
        <f>FACILITIES!$M$346</f>
        <v>9</v>
      </c>
      <c r="V30" s="2205">
        <f>FACILITIES!$M$366</f>
        <v>7</v>
      </c>
      <c r="W30" s="2551">
        <f>FACILITIES!$M$386</f>
        <v>17.399999999999999</v>
      </c>
      <c r="X30" s="2696">
        <f>FACILITIES!$M$406</f>
        <v>21.3</v>
      </c>
    </row>
    <row r="31" spans="2:24" ht="24.95" customHeight="1" thickBot="1">
      <c r="B31" s="1689" t="s">
        <v>294</v>
      </c>
      <c r="C31" s="1690">
        <f>AVERAGE(C19:C30)</f>
        <v>25.20668169204718</v>
      </c>
      <c r="D31" s="1690">
        <f>AVERAGE(D19:D30)</f>
        <v>11.549926690837559</v>
      </c>
      <c r="E31" s="1690">
        <f>AVERAGE(E19:E30)</f>
        <v>128.6</v>
      </c>
      <c r="F31" s="1690">
        <f t="shared" ref="F31:W31" si="0">AVERAGE(F19:F30)</f>
        <v>8.0833333333333339</v>
      </c>
      <c r="G31" s="1690">
        <f t="shared" si="0"/>
        <v>6.083333333333333</v>
      </c>
      <c r="H31" s="1690">
        <f t="shared" si="0"/>
        <v>5.75</v>
      </c>
      <c r="I31" s="1690">
        <f t="shared" si="0"/>
        <v>27.416666666666668</v>
      </c>
      <c r="J31" s="1690">
        <f t="shared" si="0"/>
        <v>8.75</v>
      </c>
      <c r="K31" s="2556">
        <f t="shared" si="0"/>
        <v>18.666666666666668</v>
      </c>
      <c r="L31" s="1690">
        <f t="shared" si="0"/>
        <v>30.8</v>
      </c>
      <c r="M31" s="1690">
        <f t="shared" si="0"/>
        <v>5.5</v>
      </c>
      <c r="N31" s="1690">
        <f t="shared" si="0"/>
        <v>16.333333333333332</v>
      </c>
      <c r="O31" s="1690">
        <f t="shared" si="0"/>
        <v>13.333333333333334</v>
      </c>
      <c r="P31" s="1690">
        <f t="shared" si="0"/>
        <v>7.083333333333333</v>
      </c>
      <c r="Q31" s="1690">
        <f t="shared" si="0"/>
        <v>23.094999999999999</v>
      </c>
      <c r="R31" s="1690">
        <f t="shared" si="0"/>
        <v>14.7</v>
      </c>
      <c r="S31" s="1690">
        <f t="shared" si="0"/>
        <v>9.6999999999999993</v>
      </c>
      <c r="T31" s="1690">
        <f>AVERAGE(T19:T30)</f>
        <v>11.5</v>
      </c>
      <c r="U31" s="1690">
        <f t="shared" si="0"/>
        <v>7.583333333333333</v>
      </c>
      <c r="V31" s="1690">
        <f>AVERAGE(V19:V30)</f>
        <v>8</v>
      </c>
      <c r="W31" s="1690">
        <f t="shared" si="0"/>
        <v>18.800000000000004</v>
      </c>
      <c r="X31" s="2208">
        <f>IFERROR(AVERAGE(X19:X30),0)</f>
        <v>23.308333333333334</v>
      </c>
    </row>
    <row r="32" spans="2:24" ht="24.95" customHeight="1" thickTop="1" thickBot="1">
      <c r="B32" s="180"/>
      <c r="C32" s="179"/>
      <c r="D32" s="179">
        <f>AVERAGE(L31,N31,Q31,S31,G31,H31)</f>
        <v>15.29361111111111</v>
      </c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</row>
    <row r="33" spans="2:16" ht="24.95" customHeight="1" thickBot="1">
      <c r="C33" s="144"/>
      <c r="K33" s="1691" t="s">
        <v>303</v>
      </c>
      <c r="L33" s="1691" t="s">
        <v>283</v>
      </c>
    </row>
    <row r="34" spans="2:16" ht="24.95" customHeight="1">
      <c r="C34" s="144"/>
      <c r="K34" s="2424" t="s">
        <v>6</v>
      </c>
      <c r="L34" s="1692"/>
    </row>
    <row r="35" spans="2:16" ht="24.95" customHeight="1">
      <c r="C35" s="144"/>
      <c r="K35" s="2425" t="s">
        <v>29</v>
      </c>
      <c r="L35" s="1693"/>
    </row>
    <row r="36" spans="2:16" ht="24.95" customHeight="1">
      <c r="C36" s="144"/>
      <c r="K36" s="2425" t="s">
        <v>41</v>
      </c>
      <c r="L36" s="1693"/>
    </row>
    <row r="37" spans="2:16" ht="24.95" customHeight="1">
      <c r="C37" s="144"/>
      <c r="K37" s="2425" t="s">
        <v>9</v>
      </c>
      <c r="L37" s="1693"/>
    </row>
    <row r="38" spans="2:16" ht="24.95" customHeight="1">
      <c r="C38" s="144"/>
      <c r="K38" s="2425" t="s">
        <v>84</v>
      </c>
      <c r="L38" s="1693"/>
    </row>
    <row r="39" spans="2:16" ht="24.95" customHeight="1">
      <c r="C39" s="144"/>
      <c r="K39" s="2425" t="s">
        <v>28</v>
      </c>
      <c r="L39" s="1693"/>
    </row>
    <row r="40" spans="2:16" ht="24.95" customHeight="1">
      <c r="C40" s="144"/>
      <c r="K40" s="2425" t="s">
        <v>219</v>
      </c>
      <c r="L40" s="1693"/>
    </row>
    <row r="41" spans="2:16" ht="24.95" customHeight="1">
      <c r="C41" s="144"/>
      <c r="K41" s="2425" t="s">
        <v>372</v>
      </c>
      <c r="L41" s="1693"/>
    </row>
    <row r="42" spans="2:16" ht="24.95" customHeight="1">
      <c r="C42" s="144"/>
      <c r="K42" s="2425" t="s">
        <v>30</v>
      </c>
      <c r="L42" s="1693"/>
    </row>
    <row r="43" spans="2:16" ht="24.95" customHeight="1">
      <c r="C43" s="144"/>
      <c r="K43" s="2426" t="s">
        <v>314</v>
      </c>
      <c r="L43" s="1693"/>
    </row>
    <row r="44" spans="2:16" ht="24.95" customHeight="1">
      <c r="C44" s="144"/>
      <c r="K44" s="2425" t="s">
        <v>85</v>
      </c>
      <c r="L44" s="1693"/>
    </row>
    <row r="45" spans="2:16" ht="24.95" customHeight="1">
      <c r="C45" s="144"/>
      <c r="K45" s="2425" t="s">
        <v>301</v>
      </c>
      <c r="L45" s="1693"/>
    </row>
    <row r="46" spans="2:16" ht="24.95" customHeight="1">
      <c r="C46" s="144"/>
      <c r="K46" s="2425" t="s">
        <v>81</v>
      </c>
      <c r="L46" s="1693"/>
    </row>
    <row r="47" spans="2:16" ht="24.95" customHeight="1" thickBot="1">
      <c r="C47" s="144"/>
      <c r="K47" s="1694" t="s">
        <v>278</v>
      </c>
      <c r="L47" s="1695"/>
    </row>
    <row r="48" spans="2:16" s="181" customFormat="1" ht="24.95" customHeight="1" thickBot="1">
      <c r="B48" s="3047" t="s">
        <v>46</v>
      </c>
      <c r="C48" s="3047"/>
      <c r="D48" s="3047"/>
      <c r="E48" s="3047"/>
      <c r="F48" s="3047"/>
      <c r="G48" s="3047"/>
      <c r="H48" s="3047"/>
      <c r="I48" s="3047"/>
      <c r="J48" s="3047"/>
      <c r="K48" s="3047"/>
      <c r="L48" s="3047"/>
      <c r="M48" s="3047"/>
      <c r="N48" s="3047"/>
      <c r="O48" s="3047"/>
      <c r="P48" s="3047"/>
    </row>
    <row r="49" spans="2:23" ht="30" customHeight="1" thickTop="1">
      <c r="B49" s="1670" t="s">
        <v>494</v>
      </c>
      <c r="C49" s="1581" t="s">
        <v>291</v>
      </c>
      <c r="D49" s="1671" t="s">
        <v>275</v>
      </c>
      <c r="E49" s="1671" t="s">
        <v>29</v>
      </c>
      <c r="F49" s="1671" t="s">
        <v>41</v>
      </c>
      <c r="G49" s="1671" t="s">
        <v>9</v>
      </c>
      <c r="H49" s="1671" t="s">
        <v>474</v>
      </c>
      <c r="I49" s="1671" t="s">
        <v>476</v>
      </c>
      <c r="J49" s="1671" t="s">
        <v>477</v>
      </c>
      <c r="K49" s="1671" t="s">
        <v>478</v>
      </c>
      <c r="L49" s="1671" t="s">
        <v>479</v>
      </c>
      <c r="M49" s="1671" t="s">
        <v>480</v>
      </c>
      <c r="N49" s="1671" t="s">
        <v>490</v>
      </c>
      <c r="O49" s="1581" t="s">
        <v>484</v>
      </c>
      <c r="P49" s="1671" t="s">
        <v>473</v>
      </c>
      <c r="Q49" s="1671" t="s">
        <v>468</v>
      </c>
      <c r="R49" s="1671" t="s">
        <v>491</v>
      </c>
      <c r="S49" s="1671" t="s">
        <v>470</v>
      </c>
      <c r="T49" s="1581" t="s">
        <v>471</v>
      </c>
      <c r="U49" s="1581" t="s">
        <v>472</v>
      </c>
      <c r="V49" s="1671" t="s">
        <v>486</v>
      </c>
      <c r="W49" s="1657" t="s">
        <v>489</v>
      </c>
    </row>
    <row r="50" spans="2:23" ht="24.95" customHeight="1">
      <c r="B50" s="1658">
        <v>42370</v>
      </c>
      <c r="C50" s="1659">
        <f t="shared" ref="C50:C61" si="1">AVERAGE(D50:W50)</f>
        <v>174.64500000000001</v>
      </c>
      <c r="D50" s="1659">
        <f>FACILITIES!B214</f>
        <v>321</v>
      </c>
      <c r="E50" s="1659">
        <f>FACILITIES!$B$54</f>
        <v>165</v>
      </c>
      <c r="F50" s="1659">
        <f>FACILITIES!$B$74</f>
        <v>92</v>
      </c>
      <c r="G50" s="1659">
        <f>FACILITIES!$B$94</f>
        <v>77</v>
      </c>
      <c r="H50" s="1665">
        <f>FACILITIES!$B$174</f>
        <v>139</v>
      </c>
      <c r="I50" s="1659">
        <f>FACILITIES!$B$14</f>
        <v>186</v>
      </c>
      <c r="J50" s="1660">
        <f>FACILITIES!$B$234</f>
        <v>127</v>
      </c>
      <c r="K50" s="1660">
        <f>FACILITIES!$B$274</f>
        <v>353</v>
      </c>
      <c r="L50" s="1664">
        <f>FACILITIES!$B$114</f>
        <v>169</v>
      </c>
      <c r="M50" s="1664">
        <f>FACILITIES!$B$254</f>
        <v>142</v>
      </c>
      <c r="N50" s="1672">
        <f>FACILITIES!$B$154</f>
        <v>113</v>
      </c>
      <c r="O50" s="1659">
        <f>FACILITIES!$B$134</f>
        <v>146</v>
      </c>
      <c r="P50" s="1659">
        <f>FACILITIES!$B$194</f>
        <v>204</v>
      </c>
      <c r="Q50" s="1659">
        <f>FACILITIES!$B$294</f>
        <v>235</v>
      </c>
      <c r="R50" s="1659">
        <f>FACILITIES!$B$314</f>
        <v>217</v>
      </c>
      <c r="S50" s="1659">
        <f>FACILITIES!$B$334</f>
        <v>168</v>
      </c>
      <c r="T50" s="1659">
        <f>FACILITIES!$B$354</f>
        <v>118</v>
      </c>
      <c r="U50" s="1659">
        <f>FACILITIES!$B$374</f>
        <v>112</v>
      </c>
      <c r="V50" s="1659">
        <f>FACILITIES!$B$394</f>
        <v>208.9</v>
      </c>
      <c r="W50" s="1659">
        <f>FACILITIES!$B$414</f>
        <v>200</v>
      </c>
    </row>
    <row r="51" spans="2:23" ht="24.95" customHeight="1">
      <c r="B51" s="1658">
        <v>42401</v>
      </c>
      <c r="C51" s="1659">
        <f t="shared" si="1"/>
        <v>188.66299999999998</v>
      </c>
      <c r="D51" s="1659">
        <f>FACILITIES!C214</f>
        <v>314</v>
      </c>
      <c r="E51" s="1659">
        <f>FACILITIES!$C$54</f>
        <v>175</v>
      </c>
      <c r="F51" s="1659">
        <f>FACILITIES!$C$74</f>
        <v>98</v>
      </c>
      <c r="G51" s="1659">
        <f>FACILITIES!$C$94</f>
        <v>88</v>
      </c>
      <c r="H51" s="1659">
        <f>FACILITIES!$C$174</f>
        <v>245</v>
      </c>
      <c r="I51" s="1659">
        <f>FACILITIES!$C$14</f>
        <v>194</v>
      </c>
      <c r="J51" s="2201">
        <f>FACILITIES!$C$234</f>
        <v>130</v>
      </c>
      <c r="K51" s="1660">
        <f>FACILITIES!$C$274</f>
        <v>420</v>
      </c>
      <c r="L51" s="1664">
        <f>FACILITIES!$C$114</f>
        <v>167</v>
      </c>
      <c r="M51" s="1664">
        <f>FACILITIES!$C$254</f>
        <v>137</v>
      </c>
      <c r="N51" s="1672">
        <f>FACILITIES!$C$154</f>
        <v>118</v>
      </c>
      <c r="O51" s="1659">
        <f>FACILITIES!$C$134</f>
        <v>159</v>
      </c>
      <c r="P51" s="1659">
        <f>FACILITIES!$C$194</f>
        <v>221.06</v>
      </c>
      <c r="Q51" s="1659">
        <f>FACILITIES!$C$294</f>
        <v>226</v>
      </c>
      <c r="R51" s="1659">
        <f>FACILITIES!$C$314</f>
        <v>223</v>
      </c>
      <c r="S51" s="1659">
        <f>FACILITIES!$C$334</f>
        <v>175</v>
      </c>
      <c r="T51" s="1659">
        <f>FACILITIES!$C$354</f>
        <v>130</v>
      </c>
      <c r="U51" s="1659">
        <f>FACILITIES!$C$374</f>
        <v>125</v>
      </c>
      <c r="V51" s="1659">
        <f>FACILITIES!$C$394</f>
        <v>219.7</v>
      </c>
      <c r="W51" s="1659">
        <f>FACILITIES!$C$414</f>
        <v>208.5</v>
      </c>
    </row>
    <row r="52" spans="2:23" ht="24.95" customHeight="1">
      <c r="B52" s="1658">
        <v>42430</v>
      </c>
      <c r="C52" s="1659">
        <f t="shared" si="1"/>
        <v>196.83499999999998</v>
      </c>
      <c r="D52" s="1659">
        <f>FACILITIES!D$214</f>
        <v>317</v>
      </c>
      <c r="E52" s="1659">
        <f>FACILITIES!$D$54</f>
        <v>177</v>
      </c>
      <c r="F52" s="1659">
        <f>FACILITIES!$D$74</f>
        <v>99</v>
      </c>
      <c r="G52" s="1659">
        <f>FACILITIES!$D$94</f>
        <v>93</v>
      </c>
      <c r="H52" s="1659">
        <f>FACILITIES!$D$174</f>
        <v>202</v>
      </c>
      <c r="I52" s="1659">
        <f>FACILITIES!$D$14</f>
        <v>173</v>
      </c>
      <c r="J52" s="2201">
        <f>FACILITIES!$D$234</f>
        <v>124</v>
      </c>
      <c r="K52" s="1660">
        <f>FACILITIES!$D$274</f>
        <v>320</v>
      </c>
      <c r="L52" s="1664">
        <f>FACILITIES!$D$114</f>
        <v>168</v>
      </c>
      <c r="M52" s="1664">
        <f>FACILITIES!$D$254</f>
        <v>139</v>
      </c>
      <c r="N52" s="1672">
        <f>FACILITIES!$D$154</f>
        <v>120</v>
      </c>
      <c r="O52" s="1659">
        <f>FACILITIES!$D$134</f>
        <v>153</v>
      </c>
      <c r="P52" s="1659">
        <f>FACILITIES!$D$194</f>
        <v>256</v>
      </c>
      <c r="Q52" s="1659">
        <f>FACILITIES!$D$294</f>
        <v>228</v>
      </c>
      <c r="R52" s="1659">
        <f>FACILITIES!$D$314</f>
        <v>503</v>
      </c>
      <c r="S52" s="1659">
        <f>FACILITIES!$D$334</f>
        <v>182</v>
      </c>
      <c r="T52" s="1659">
        <f>FACILITIES!$D$354</f>
        <v>127</v>
      </c>
      <c r="U52" s="1659">
        <f>FACILITIES!$D$374</f>
        <v>113</v>
      </c>
      <c r="V52" s="1659">
        <f>FACILITIES!$D$394</f>
        <v>227.5</v>
      </c>
      <c r="W52" s="1659">
        <f>FACILITIES!$D$414</f>
        <v>215.2</v>
      </c>
    </row>
    <row r="53" spans="2:23" ht="24.95" customHeight="1">
      <c r="B53" s="1658">
        <v>42461</v>
      </c>
      <c r="C53" s="1659">
        <f t="shared" si="1"/>
        <v>174.81052631578947</v>
      </c>
      <c r="D53" s="1659">
        <f>FACILITIES!E$214</f>
        <v>300</v>
      </c>
      <c r="E53" s="1659">
        <f>FACILITIES!$E$54</f>
        <v>159</v>
      </c>
      <c r="F53" s="1659">
        <f>FACILITIES!$E$74</f>
        <v>95</v>
      </c>
      <c r="G53" s="1659">
        <f>FACILITIES!$E$94</f>
        <v>78</v>
      </c>
      <c r="H53" s="2067" t="s">
        <v>766</v>
      </c>
      <c r="I53" s="1659">
        <f>FACILITIES!$E$14</f>
        <v>170</v>
      </c>
      <c r="J53" s="2201">
        <f>FACILITIES!$E$234</f>
        <v>124</v>
      </c>
      <c r="K53" s="1664">
        <f>FACILITIES!$E$274</f>
        <v>252</v>
      </c>
      <c r="L53" s="1664">
        <f>FACILITIES!$E$114</f>
        <v>152</v>
      </c>
      <c r="M53" s="1664">
        <f>FACILITIES!$E$254</f>
        <v>142</v>
      </c>
      <c r="N53" s="1672">
        <f>FACILITIES!$E$154</f>
        <v>112</v>
      </c>
      <c r="O53" s="1659">
        <f>FACILITIES!$E$134</f>
        <v>139</v>
      </c>
      <c r="P53" s="1660">
        <f>FACILITIES!$E$194</f>
        <v>261</v>
      </c>
      <c r="Q53" s="1664">
        <f>FACILITIES!$E$294</f>
        <v>235</v>
      </c>
      <c r="R53" s="1664">
        <f>FACILITIES!$E$314</f>
        <v>221</v>
      </c>
      <c r="S53" s="1664">
        <f>FACILITIES!$E$334</f>
        <v>191</v>
      </c>
      <c r="T53" s="2577">
        <f>FACILITIES!$E$354</f>
        <v>129</v>
      </c>
      <c r="U53" s="2577">
        <f>FACILITIES!$E$374</f>
        <v>126</v>
      </c>
      <c r="V53" s="1659">
        <f>FACILITIES!$E$394</f>
        <v>219.6</v>
      </c>
      <c r="W53" s="1659">
        <f>FACILITIES!$E$414</f>
        <v>215.8</v>
      </c>
    </row>
    <row r="54" spans="2:23" ht="24.95" customHeight="1">
      <c r="B54" s="1658">
        <v>42491</v>
      </c>
      <c r="C54" s="1659">
        <f t="shared" si="1"/>
        <v>166.26315789473685</v>
      </c>
      <c r="D54" s="1659">
        <f>FACILITIES!F$214</f>
        <v>300</v>
      </c>
      <c r="E54" s="1659">
        <f>FACILITIES!$F$54</f>
        <v>161</v>
      </c>
      <c r="F54" s="1659">
        <f>FACILITIES!$F$74</f>
        <v>84</v>
      </c>
      <c r="G54" s="1659">
        <f>FACILITIES!$F$94</f>
        <v>80</v>
      </c>
      <c r="H54" s="2067" t="s">
        <v>766</v>
      </c>
      <c r="I54" s="1659">
        <f>FACILITIES!$F$14</f>
        <v>152</v>
      </c>
      <c r="J54" s="2201">
        <f>FACILITIES!$F$234</f>
        <v>115</v>
      </c>
      <c r="K54" s="1660">
        <f>FACILITIES!$F$274</f>
        <v>215</v>
      </c>
      <c r="L54" s="1664">
        <f>FACILITIES!$F$114</f>
        <v>142</v>
      </c>
      <c r="M54" s="1664">
        <f>FACILITIES!$F$254</f>
        <v>133</v>
      </c>
      <c r="N54" s="1672">
        <f>FACILITIES!$F$154</f>
        <v>109</v>
      </c>
      <c r="O54" s="1659">
        <f>FACILITIES!$F$134</f>
        <v>130</v>
      </c>
      <c r="P54" s="1659">
        <f>FACILITIES!$F$194</f>
        <v>255</v>
      </c>
      <c r="Q54" s="1659">
        <f>FACILITIES!$F$294</f>
        <v>226</v>
      </c>
      <c r="R54" s="1659">
        <f>FACILITIES!$F$314</f>
        <v>206</v>
      </c>
      <c r="S54" s="1659">
        <f>FACILITIES!$F$334</f>
        <v>190</v>
      </c>
      <c r="T54" s="1659">
        <f>FACILITIES!$F$354</f>
        <v>120</v>
      </c>
      <c r="U54" s="1659">
        <f>FACILITIES!$F$374</f>
        <v>121</v>
      </c>
      <c r="V54" s="1659">
        <f>FACILITIES!$F$394</f>
        <v>214.6</v>
      </c>
      <c r="W54" s="1659">
        <f>FACILITIES!$F$414</f>
        <v>205.4</v>
      </c>
    </row>
    <row r="55" spans="2:23" ht="24.95" customHeight="1">
      <c r="B55" s="1658">
        <v>42522</v>
      </c>
      <c r="C55" s="1659">
        <f t="shared" si="1"/>
        <v>164.88421052631577</v>
      </c>
      <c r="D55" s="1659">
        <f>FACILITIES!G$214</f>
        <v>303</v>
      </c>
      <c r="E55" s="1659">
        <f>FACILITIES!$G$54</f>
        <v>164</v>
      </c>
      <c r="F55" s="1659">
        <f>FACILITIES!$G$74</f>
        <v>87</v>
      </c>
      <c r="G55" s="1659">
        <f>FACILITIES!$G$94</f>
        <v>85</v>
      </c>
      <c r="H55" s="2067" t="s">
        <v>766</v>
      </c>
      <c r="I55" s="1659">
        <f>FACILITIES!$G$14</f>
        <v>142</v>
      </c>
      <c r="J55" s="2201">
        <f>FACILITIES!$G$234</f>
        <v>117</v>
      </c>
      <c r="K55" s="1664">
        <f>FACILITIES!$G$274</f>
        <v>226</v>
      </c>
      <c r="L55" s="1664">
        <f>FACILITIES!$G$114</f>
        <v>143</v>
      </c>
      <c r="M55" s="1664">
        <f>FACILITIES!$G$254</f>
        <v>133</v>
      </c>
      <c r="N55" s="1672">
        <f>FACILITIES!$G$154</f>
        <v>105</v>
      </c>
      <c r="O55" s="1659">
        <f>FACILITIES!$G$134</f>
        <v>133</v>
      </c>
      <c r="P55" s="1660">
        <f>FACILITIES!$G$194</f>
        <v>262</v>
      </c>
      <c r="Q55" s="1664">
        <f>FACILITIES!$G$294</f>
        <v>229</v>
      </c>
      <c r="R55" s="1664">
        <f>FACILITIES!$G$314</f>
        <v>205</v>
      </c>
      <c r="S55" s="1664">
        <f>FACILITIES!$G$334</f>
        <v>174</v>
      </c>
      <c r="T55" s="2577">
        <f>FACILITIES!$G$354</f>
        <v>112</v>
      </c>
      <c r="U55" s="2577">
        <f>FACILITIES!$G$374</f>
        <v>116</v>
      </c>
      <c r="V55" s="1659">
        <f>FACILITIES!$G$394</f>
        <v>199.7</v>
      </c>
      <c r="W55" s="1659">
        <f>FACILITIES!$G$414</f>
        <v>197.1</v>
      </c>
    </row>
    <row r="56" spans="2:23" ht="24.95" customHeight="1">
      <c r="B56" s="1658">
        <v>42552</v>
      </c>
      <c r="C56" s="1659">
        <f t="shared" si="1"/>
        <v>154.75</v>
      </c>
      <c r="D56" s="1659">
        <f>FACILITIES!H$214</f>
        <v>227</v>
      </c>
      <c r="E56" s="1659">
        <f>FACILITIES!$H$54</f>
        <v>157</v>
      </c>
      <c r="F56" s="1659">
        <f>FACILITIES!$H$74</f>
        <v>86</v>
      </c>
      <c r="G56" s="1659">
        <f>FACILITIES!$H$94</f>
        <v>84</v>
      </c>
      <c r="H56" s="2067" t="s">
        <v>766</v>
      </c>
      <c r="I56" s="1659">
        <f>FACILITIES!$H$14</f>
        <v>130</v>
      </c>
      <c r="J56" s="2580"/>
      <c r="K56" s="1660">
        <f>FACILITIES!$H$274</f>
        <v>215</v>
      </c>
      <c r="L56" s="1664">
        <f>FACILITIES!$H$114</f>
        <v>134</v>
      </c>
      <c r="M56" s="1664">
        <f>FACILITIES!$H$254</f>
        <v>141</v>
      </c>
      <c r="N56" s="1672">
        <f>FACILITIES!$H$154</f>
        <v>105</v>
      </c>
      <c r="O56" s="1659">
        <f>FACILITIES!$H$134</f>
        <v>131</v>
      </c>
      <c r="P56" s="1659">
        <f>FACILITIES!$H$194</f>
        <v>178</v>
      </c>
      <c r="Q56" s="1659">
        <f>FACILITIES!$H$294</f>
        <v>229</v>
      </c>
      <c r="R56" s="1659">
        <f>FACILITIES!$H$314</f>
        <v>158</v>
      </c>
      <c r="S56" s="1659">
        <f>FACILITIES!$H$334</f>
        <v>179</v>
      </c>
      <c r="T56" s="1659">
        <f>FACILITIES!$H$354</f>
        <v>106</v>
      </c>
      <c r="U56" s="1659">
        <f>FACILITIES!$H$374</f>
        <v>115</v>
      </c>
      <c r="V56" s="1659">
        <f>FACILITIES!$H$394</f>
        <v>208.7</v>
      </c>
      <c r="W56" s="1659">
        <f>FACILITIES!$H$414</f>
        <v>201.8</v>
      </c>
    </row>
    <row r="57" spans="2:23" ht="24.95" customHeight="1">
      <c r="B57" s="1658">
        <v>42583</v>
      </c>
      <c r="C57" s="1659">
        <f t="shared" si="1"/>
        <v>159.45555555555555</v>
      </c>
      <c r="D57" s="1659">
        <f>FACILITIES!I$214</f>
        <v>278</v>
      </c>
      <c r="E57" s="1659">
        <f>FACILITIES!$I$54</f>
        <v>152</v>
      </c>
      <c r="F57" s="1659">
        <f>FACILITIES!$I$74</f>
        <v>91</v>
      </c>
      <c r="G57" s="1659">
        <f>FACILITIES!$I$94</f>
        <v>87</v>
      </c>
      <c r="H57" s="2067" t="s">
        <v>766</v>
      </c>
      <c r="I57" s="1659">
        <f>FACILITIES!$I$14</f>
        <v>132</v>
      </c>
      <c r="J57" s="2580"/>
      <c r="K57" s="1660">
        <f>FACILITIES!$I$274</f>
        <v>206</v>
      </c>
      <c r="L57" s="1664">
        <f>FACILITIES!$I$114</f>
        <v>139</v>
      </c>
      <c r="M57" s="1664">
        <f>FACILITIES!$I$254</f>
        <v>137</v>
      </c>
      <c r="N57" s="1672">
        <f>FACILITIES!$I$154</f>
        <v>109</v>
      </c>
      <c r="O57" s="1659">
        <f>FACILITIES!$I$134</f>
        <v>129</v>
      </c>
      <c r="P57" s="1659">
        <f>FACILITIES!$I$194</f>
        <v>213</v>
      </c>
      <c r="Q57" s="1659">
        <f>FACILITIES!$I$294</f>
        <v>226</v>
      </c>
      <c r="R57" s="1659">
        <f>FACILITIES!$I$314</f>
        <v>154</v>
      </c>
      <c r="S57" s="1659">
        <f>FACILITIES!$I$334</f>
        <v>187</v>
      </c>
      <c r="T57" s="1659">
        <f>FACILITIES!$I$354</f>
        <v>118</v>
      </c>
      <c r="U57" s="1659">
        <f>FACILITIES!$I$374</f>
        <v>107</v>
      </c>
      <c r="V57" s="1659">
        <f>FACILITIES!$I$394</f>
        <v>203.6</v>
      </c>
      <c r="W57" s="1659">
        <f>FACILITIES!$I$414</f>
        <v>201.6</v>
      </c>
    </row>
    <row r="58" spans="2:23" ht="24.95" customHeight="1">
      <c r="B58" s="1658">
        <v>42614</v>
      </c>
      <c r="C58" s="1659">
        <f t="shared" si="1"/>
        <v>161</v>
      </c>
      <c r="D58" s="1659">
        <f>FACILITIES!J$214</f>
        <v>278</v>
      </c>
      <c r="E58" s="1659">
        <f>FACILITIES!$J$54</f>
        <v>155</v>
      </c>
      <c r="F58" s="1659">
        <f>FACILITIES!$J$74</f>
        <v>94</v>
      </c>
      <c r="G58" s="1659">
        <f>FACILITIES!$J$94</f>
        <v>85</v>
      </c>
      <c r="H58" s="1659">
        <f>FACILITIES!$J$174</f>
        <v>136</v>
      </c>
      <c r="I58" s="1659">
        <f>FACILITIES!$J$14</f>
        <v>143</v>
      </c>
      <c r="J58" s="2578"/>
      <c r="K58" s="1660">
        <f>FACILITIES!$J$274</f>
        <v>219</v>
      </c>
      <c r="L58" s="1664">
        <f>FACILITIES!$J$114</f>
        <v>137</v>
      </c>
      <c r="M58" s="1664">
        <f>FACILITIES!$J$254</f>
        <v>138</v>
      </c>
      <c r="N58" s="1672">
        <f>FACILITIES!$J$154</f>
        <v>108</v>
      </c>
      <c r="O58" s="1659">
        <f>FACILITIES!$J$134</f>
        <v>133</v>
      </c>
      <c r="P58" s="1659">
        <f>FACILITIES!$J$194</f>
        <v>222</v>
      </c>
      <c r="Q58" s="1659">
        <f>FACILITIES!$J$294</f>
        <v>231</v>
      </c>
      <c r="R58" s="1659">
        <f>FACILITIES!$J$314</f>
        <v>150</v>
      </c>
      <c r="S58" s="1659">
        <f>FACILITIES!$J$334</f>
        <v>186</v>
      </c>
      <c r="T58" s="1659">
        <f>FACILITIES!$J$354</f>
        <v>118</v>
      </c>
      <c r="U58" s="1659">
        <f>FACILITIES!$J$374</f>
        <v>113</v>
      </c>
      <c r="V58" s="1659">
        <f>FACILITIES!$J$394</f>
        <v>210.1</v>
      </c>
      <c r="W58" s="1659">
        <f>FACILITIES!$J$414</f>
        <v>202.9</v>
      </c>
    </row>
    <row r="59" spans="2:23" ht="24.95" customHeight="1">
      <c r="B59" s="1658">
        <v>42644</v>
      </c>
      <c r="C59" s="1659">
        <f t="shared" si="1"/>
        <v>158.69473684210524</v>
      </c>
      <c r="D59" s="1659">
        <f>FACILITIES!K$214</f>
        <v>286</v>
      </c>
      <c r="E59" s="1659">
        <f>FACILITIES!$K$54</f>
        <v>157</v>
      </c>
      <c r="F59" s="1659">
        <f>FACILITIES!$K$74</f>
        <v>96</v>
      </c>
      <c r="G59" s="1659">
        <f>FACILITIES!$K$94</f>
        <v>88</v>
      </c>
      <c r="H59" s="1659">
        <f>FACILITIES!$K$174</f>
        <v>148</v>
      </c>
      <c r="I59" s="1659">
        <f>FACILITIES!$K$14</f>
        <v>143</v>
      </c>
      <c r="J59" s="2578"/>
      <c r="K59" s="1660">
        <f>FACILITIES!$K$274</f>
        <v>153</v>
      </c>
      <c r="L59" s="1664">
        <f>FACILITIES!$K$114</f>
        <v>137</v>
      </c>
      <c r="M59" s="1664">
        <f>FACILITIES!$K$254</f>
        <v>137</v>
      </c>
      <c r="N59" s="1672">
        <f>FACILITIES!$K$154</f>
        <v>111</v>
      </c>
      <c r="O59" s="1659">
        <f>FACILITIES!$K$134</f>
        <v>130</v>
      </c>
      <c r="P59" s="1659">
        <f>FACILITIES!$K$194</f>
        <v>223</v>
      </c>
      <c r="Q59" s="1659">
        <f>FACILITIES!$K$294</f>
        <v>245</v>
      </c>
      <c r="R59" s="1659">
        <f>FACILITIES!$K$314</f>
        <v>155</v>
      </c>
      <c r="S59" s="1659">
        <f>FACILITIES!$K$334</f>
        <v>174</v>
      </c>
      <c r="T59" s="1659">
        <f>FACILITIES!$K$354</f>
        <v>121</v>
      </c>
      <c r="U59" s="1659">
        <f>FACILITIES!$K$374</f>
        <v>105</v>
      </c>
      <c r="V59" s="1659">
        <f>FACILITIES!$K$394</f>
        <v>210.6</v>
      </c>
      <c r="W59" s="1659">
        <f>FACILITIES!$K$414</f>
        <v>195.6</v>
      </c>
    </row>
    <row r="60" spans="2:23" ht="24.95" customHeight="1">
      <c r="B60" s="1658">
        <v>42675</v>
      </c>
      <c r="C60" s="1659">
        <f t="shared" si="1"/>
        <v>149.74117647058824</v>
      </c>
      <c r="D60" s="1659" t="s">
        <v>766</v>
      </c>
      <c r="E60" s="1659">
        <f>FACILITIES!$L$54</f>
        <v>152</v>
      </c>
      <c r="F60" s="1659">
        <f>FACILITIES!$L$74</f>
        <v>98</v>
      </c>
      <c r="G60" s="1659">
        <f>FACILITIES!$L$94</f>
        <v>91</v>
      </c>
      <c r="H60" s="1659">
        <f>FACILITIES!$L$174</f>
        <v>162</v>
      </c>
      <c r="I60" s="1659">
        <f>FACILITIES!$L$14</f>
        <v>136</v>
      </c>
      <c r="J60" s="2579"/>
      <c r="K60" s="2578"/>
      <c r="L60" s="1664">
        <f>FACILITIES!$L$114</f>
        <v>148</v>
      </c>
      <c r="M60" s="1664">
        <f>FACILITIES!$L$254</f>
        <v>133</v>
      </c>
      <c r="N60" s="1672">
        <f>FACILITIES!$L$154</f>
        <v>107</v>
      </c>
      <c r="O60" s="1659">
        <f>FACILITIES!$L$134</f>
        <v>136</v>
      </c>
      <c r="P60" s="1659">
        <f>FACILITIES!$L$194</f>
        <v>198</v>
      </c>
      <c r="Q60" s="1659">
        <f>FACILITIES!$L$294</f>
        <v>230</v>
      </c>
      <c r="R60" s="1659">
        <f>FACILITIES!$L$314</f>
        <v>151</v>
      </c>
      <c r="S60" s="1659">
        <f>FACILITIES!$L$334</f>
        <v>171</v>
      </c>
      <c r="T60" s="1659">
        <f>FACILITIES!$L$354</f>
        <v>107</v>
      </c>
      <c r="U60" s="1659">
        <f>FACILITIES!$L$374</f>
        <v>117</v>
      </c>
      <c r="V60" s="1659">
        <f>FACILITIES!$L$394</f>
        <v>210.8</v>
      </c>
      <c r="W60" s="1659">
        <f>FACILITIES!$L$414</f>
        <v>197.8</v>
      </c>
    </row>
    <row r="61" spans="2:23" ht="24.95" customHeight="1">
      <c r="B61" s="1658">
        <v>42705</v>
      </c>
      <c r="C61" s="1659">
        <f t="shared" si="1"/>
        <v>130.56666666666666</v>
      </c>
      <c r="D61" s="1673" t="s">
        <v>766</v>
      </c>
      <c r="E61" s="1659">
        <f>FACILITIES!$M$54</f>
        <v>155</v>
      </c>
      <c r="F61" s="1659">
        <f>FACILITIES!$M$74</f>
        <v>98</v>
      </c>
      <c r="G61" s="1659">
        <f>FACILITIES!$M$94</f>
        <v>90</v>
      </c>
      <c r="H61" s="1659">
        <f>FACILITIES!$M$174</f>
        <v>131</v>
      </c>
      <c r="I61" s="1659">
        <f>FACILITIES!$M$14</f>
        <v>152</v>
      </c>
      <c r="J61" s="2579"/>
      <c r="K61" s="2578"/>
      <c r="L61" s="1664">
        <f>FACILITIES!$M$114</f>
        <v>147</v>
      </c>
      <c r="M61" s="1664">
        <f>FACILITIES!$M$254</f>
        <v>140.5</v>
      </c>
      <c r="N61" s="1672">
        <f>FACILITIES!$M$154</f>
        <v>109</v>
      </c>
      <c r="O61" s="1659">
        <f>FACILITIES!$M$134</f>
        <v>137</v>
      </c>
      <c r="P61" s="1659" t="s">
        <v>766</v>
      </c>
      <c r="Q61" s="1659" t="s">
        <v>766</v>
      </c>
      <c r="R61" s="1659">
        <f>FACILITIES!$M$314</f>
        <v>0</v>
      </c>
      <c r="S61" s="1659">
        <f>FACILITIES!$M$334</f>
        <v>170</v>
      </c>
      <c r="T61" s="1659">
        <f>FACILITIES!$M$354</f>
        <v>106</v>
      </c>
      <c r="U61" s="1659">
        <f>FACILITIES!$M$374</f>
        <v>116</v>
      </c>
      <c r="V61" s="1659">
        <f>FACILITIES!$M$394</f>
        <v>208.4</v>
      </c>
      <c r="W61" s="1659">
        <f>FACILITIES!$M$414</f>
        <v>198.6</v>
      </c>
    </row>
    <row r="62" spans="2:23" ht="24.95" customHeight="1" thickBot="1">
      <c r="B62" s="1668" t="s">
        <v>294</v>
      </c>
      <c r="C62" s="1669">
        <f>AVERAGE(C50:C61)</f>
        <v>165.02575252264648</v>
      </c>
      <c r="D62" s="1669">
        <f>AVERAGE(D50:D57)</f>
        <v>295</v>
      </c>
      <c r="E62" s="1669">
        <f t="shared" ref="E62:U62" si="2">AVERAGE(E50:E61)</f>
        <v>160.75</v>
      </c>
      <c r="F62" s="1669">
        <f t="shared" si="2"/>
        <v>93.166666666666671</v>
      </c>
      <c r="G62" s="1669">
        <f t="shared" si="2"/>
        <v>85.5</v>
      </c>
      <c r="H62" s="1669">
        <f t="shared" si="2"/>
        <v>166.14285714285714</v>
      </c>
      <c r="I62" s="1669">
        <f t="shared" si="2"/>
        <v>154.41666666666666</v>
      </c>
      <c r="J62" s="1669">
        <f t="shared" si="2"/>
        <v>122.83333333333333</v>
      </c>
      <c r="K62" s="1669">
        <f t="shared" si="2"/>
        <v>257.89999999999998</v>
      </c>
      <c r="L62" s="1669">
        <f t="shared" si="2"/>
        <v>148.58333333333334</v>
      </c>
      <c r="M62" s="1669">
        <f t="shared" si="2"/>
        <v>137.70833333333334</v>
      </c>
      <c r="N62" s="1669">
        <f t="shared" si="2"/>
        <v>110.5</v>
      </c>
      <c r="O62" s="1669">
        <f t="shared" si="2"/>
        <v>138</v>
      </c>
      <c r="P62" s="1669">
        <f t="shared" si="2"/>
        <v>226.64181818181817</v>
      </c>
      <c r="Q62" s="1669">
        <f t="shared" si="2"/>
        <v>230.90909090909091</v>
      </c>
      <c r="R62" s="1669">
        <f t="shared" si="2"/>
        <v>195.25</v>
      </c>
      <c r="S62" s="1669">
        <f t="shared" si="2"/>
        <v>178.91666666666666</v>
      </c>
      <c r="T62" s="1669">
        <f t="shared" si="2"/>
        <v>117.66666666666667</v>
      </c>
      <c r="U62" s="1669">
        <f t="shared" si="2"/>
        <v>115.5</v>
      </c>
      <c r="V62" s="1669">
        <f>AVERAGE(V50:V61)</f>
        <v>211.85000000000002</v>
      </c>
      <c r="W62" s="1669">
        <f>AVERAGE(W50:W61)</f>
        <v>203.35833333333332</v>
      </c>
    </row>
    <row r="63" spans="2:23" ht="24.95" customHeight="1" thickTop="1" thickBot="1">
      <c r="D63" s="121">
        <f>AVERAGE(K62,M62,P62,R62,F62,G62)</f>
        <v>166.02780303030303</v>
      </c>
    </row>
    <row r="64" spans="2:23" ht="24.95" customHeight="1" thickTop="1">
      <c r="C64" s="144"/>
      <c r="K64" s="1213" t="s">
        <v>304</v>
      </c>
      <c r="L64" s="1214" t="s">
        <v>283</v>
      </c>
    </row>
    <row r="65" spans="2:23" ht="24.95" customHeight="1">
      <c r="C65" s="144"/>
      <c r="K65" s="2422" t="s">
        <v>6</v>
      </c>
      <c r="L65" s="215"/>
    </row>
    <row r="66" spans="2:23" ht="24.95" customHeight="1">
      <c r="C66" s="144"/>
      <c r="K66" s="2422" t="s">
        <v>29</v>
      </c>
      <c r="L66" s="215"/>
    </row>
    <row r="67" spans="2:23" ht="24.95" customHeight="1">
      <c r="C67" s="144"/>
      <c r="K67" s="2422" t="s">
        <v>41</v>
      </c>
      <c r="L67" s="215"/>
    </row>
    <row r="68" spans="2:23" ht="24.95" customHeight="1">
      <c r="C68" s="144"/>
      <c r="K68" s="2422" t="s">
        <v>9</v>
      </c>
      <c r="L68" s="215"/>
    </row>
    <row r="69" spans="2:23" ht="24.95" customHeight="1">
      <c r="C69" s="144"/>
      <c r="K69" s="2422" t="s">
        <v>84</v>
      </c>
      <c r="L69" s="215"/>
    </row>
    <row r="70" spans="2:23" ht="24.95" customHeight="1">
      <c r="C70" s="144"/>
      <c r="K70" s="2422" t="s">
        <v>28</v>
      </c>
      <c r="L70" s="215"/>
    </row>
    <row r="71" spans="2:23" ht="24.95" customHeight="1">
      <c r="C71" s="144"/>
      <c r="K71" s="2422" t="s">
        <v>219</v>
      </c>
      <c r="L71" s="215"/>
    </row>
    <row r="72" spans="2:23" ht="24.95" customHeight="1">
      <c r="C72" s="144"/>
      <c r="K72" s="2422" t="s">
        <v>372</v>
      </c>
      <c r="L72" s="215"/>
    </row>
    <row r="73" spans="2:23" ht="24.95" customHeight="1">
      <c r="C73" s="144"/>
      <c r="K73" s="2422" t="s">
        <v>30</v>
      </c>
      <c r="L73" s="215"/>
    </row>
    <row r="74" spans="2:23" ht="24.95" customHeight="1">
      <c r="C74" s="144"/>
      <c r="K74" s="2423" t="s">
        <v>314</v>
      </c>
      <c r="L74" s="215"/>
    </row>
    <row r="75" spans="2:23" ht="24.95" customHeight="1">
      <c r="C75" s="144"/>
      <c r="K75" s="2422" t="s">
        <v>85</v>
      </c>
      <c r="L75" s="215"/>
    </row>
    <row r="76" spans="2:23" ht="24.95" customHeight="1">
      <c r="C76" s="144"/>
      <c r="K76" s="2422" t="s">
        <v>301</v>
      </c>
      <c r="L76" s="215"/>
    </row>
    <row r="77" spans="2:23" ht="24.95" customHeight="1">
      <c r="C77" s="144"/>
      <c r="K77" s="2422" t="s">
        <v>81</v>
      </c>
      <c r="L77" s="215"/>
    </row>
    <row r="78" spans="2:23" ht="24.95" customHeight="1" thickBot="1">
      <c r="C78" s="144"/>
      <c r="K78" s="1145" t="s">
        <v>278</v>
      </c>
      <c r="L78" s="216"/>
    </row>
    <row r="79" spans="2:23" s="181" customFormat="1" ht="24.95" customHeight="1" thickTop="1" thickBot="1">
      <c r="B79" s="3046" t="s">
        <v>47</v>
      </c>
      <c r="C79" s="3046"/>
      <c r="D79" s="3046"/>
      <c r="E79" s="3046"/>
      <c r="F79" s="3046"/>
      <c r="G79" s="3046"/>
      <c r="H79" s="3046"/>
      <c r="I79" s="3046"/>
      <c r="J79" s="3046"/>
      <c r="K79" s="3046"/>
      <c r="L79" s="3046"/>
      <c r="M79" s="3046"/>
      <c r="N79" s="3046"/>
      <c r="O79" s="3046"/>
      <c r="P79" s="3046"/>
    </row>
    <row r="80" spans="2:23" ht="35.25" customHeight="1" thickTop="1">
      <c r="B80" s="1656" t="s">
        <v>494</v>
      </c>
      <c r="C80" s="1581" t="s">
        <v>291</v>
      </c>
      <c r="D80" s="1581" t="s">
        <v>275</v>
      </c>
      <c r="E80" s="1581" t="s">
        <v>29</v>
      </c>
      <c r="F80" s="1581" t="s">
        <v>41</v>
      </c>
      <c r="G80" s="1581" t="s">
        <v>9</v>
      </c>
      <c r="H80" s="1581" t="s">
        <v>474</v>
      </c>
      <c r="I80" s="1581" t="s">
        <v>476</v>
      </c>
      <c r="J80" s="1581" t="s">
        <v>477</v>
      </c>
      <c r="K80" s="1581" t="s">
        <v>478</v>
      </c>
      <c r="L80" s="1581" t="s">
        <v>479</v>
      </c>
      <c r="M80" s="1581" t="s">
        <v>480</v>
      </c>
      <c r="N80" s="1581" t="s">
        <v>490</v>
      </c>
      <c r="O80" s="1581" t="s">
        <v>484</v>
      </c>
      <c r="P80" s="1581" t="s">
        <v>473</v>
      </c>
      <c r="Q80" s="1581" t="s">
        <v>468</v>
      </c>
      <c r="R80" s="1581" t="s">
        <v>491</v>
      </c>
      <c r="S80" s="1581" t="s">
        <v>470</v>
      </c>
      <c r="T80" s="1581" t="s">
        <v>471</v>
      </c>
      <c r="U80" s="1581" t="s">
        <v>472</v>
      </c>
      <c r="V80" s="1581" t="s">
        <v>486</v>
      </c>
      <c r="W80" s="1657" t="s">
        <v>489</v>
      </c>
    </row>
    <row r="81" spans="2:23" ht="24.95" customHeight="1">
      <c r="B81" s="1658">
        <v>42370</v>
      </c>
      <c r="C81" s="1659">
        <f>AVERAGE(D81:W81)</f>
        <v>379.38888888888891</v>
      </c>
      <c r="D81" s="1659">
        <f>FACILITIES!$B$211</f>
        <v>632</v>
      </c>
      <c r="E81" s="1659">
        <f>FACILITIES!$B$51</f>
        <v>352</v>
      </c>
      <c r="F81" s="1659">
        <f>FACILITIES!$B$71</f>
        <v>269</v>
      </c>
      <c r="G81" s="1659">
        <f>FACILITIES!$B$91</f>
        <v>261</v>
      </c>
      <c r="H81" s="1659">
        <f>FACILITIES!$B$171</f>
        <v>371</v>
      </c>
      <c r="I81" s="1659">
        <f>FACILITIES!$B$11</f>
        <v>459</v>
      </c>
      <c r="J81" s="1660">
        <f>FACILITIES!$B$231</f>
        <v>202</v>
      </c>
      <c r="K81" s="1661">
        <f>FACILITIES!$B$271</f>
        <v>404</v>
      </c>
      <c r="L81" s="1662">
        <f>FACILITIES!$B$111</f>
        <v>438</v>
      </c>
      <c r="M81" s="1663">
        <f>FACILITIES!$B$251</f>
        <v>252</v>
      </c>
      <c r="N81" s="1664">
        <f>FACILITIES!$B$151</f>
        <v>222</v>
      </c>
      <c r="O81" s="1664">
        <f>FACILITIES!$B$131</f>
        <v>551</v>
      </c>
      <c r="P81" s="1664">
        <f>FACILITIES!$B$191</f>
        <v>546</v>
      </c>
      <c r="Q81" s="1914" t="s">
        <v>766</v>
      </c>
      <c r="R81" s="1914" t="s">
        <v>766</v>
      </c>
      <c r="S81" s="1664">
        <f>FACILITIES!$B$331</f>
        <v>482</v>
      </c>
      <c r="T81" s="1664">
        <f>FACILITIES!$B$351</f>
        <v>291</v>
      </c>
      <c r="U81" s="1664">
        <f>FACILITIES!$B$371</f>
        <v>365</v>
      </c>
      <c r="V81" s="1664">
        <f>FACILITIES!$B$391</f>
        <v>372</v>
      </c>
      <c r="W81" s="1664">
        <f>FACILITIES!$B$411</f>
        <v>360</v>
      </c>
    </row>
    <row r="82" spans="2:23" ht="24.95" customHeight="1">
      <c r="B82" s="1658">
        <v>42401</v>
      </c>
      <c r="C82" s="1659">
        <f>AVERAGE(D82:W82)</f>
        <v>381.73277777777776</v>
      </c>
      <c r="D82" s="1659">
        <f>FACILITIES!$C$211</f>
        <v>607</v>
      </c>
      <c r="E82" s="1659">
        <f>FACILITIES!$C$51</f>
        <v>392</v>
      </c>
      <c r="F82" s="1659">
        <f>FACILITIES!$C$71</f>
        <v>270</v>
      </c>
      <c r="G82" s="1659">
        <f>FACILITIES!$C$91</f>
        <v>204</v>
      </c>
      <c r="H82" s="1659">
        <f>FACILITIES!$C$171</f>
        <v>392</v>
      </c>
      <c r="I82" s="1659">
        <f>FACILITIES!$C$11</f>
        <v>448</v>
      </c>
      <c r="J82" s="2201">
        <f>FACILITIES!$C$231</f>
        <v>218</v>
      </c>
      <c r="K82" s="1664">
        <f>FACILITIES!$C$271</f>
        <v>352</v>
      </c>
      <c r="L82" s="1662">
        <f>FACILITIES!$C$111</f>
        <v>398</v>
      </c>
      <c r="M82" s="1663">
        <f>FACILITIES!$C$251</f>
        <v>221</v>
      </c>
      <c r="N82" s="1664">
        <f>FACILITIES!$C$151</f>
        <v>286</v>
      </c>
      <c r="O82" s="1664">
        <f>FACILITIES!$C$131</f>
        <v>592</v>
      </c>
      <c r="P82" s="1664">
        <f>FACILITIES!$C$191</f>
        <v>382.19</v>
      </c>
      <c r="Q82" s="1914" t="s">
        <v>766</v>
      </c>
      <c r="R82" s="1914" t="s">
        <v>766</v>
      </c>
      <c r="S82" s="1664">
        <f>FACILITIES!$C$331</f>
        <v>553</v>
      </c>
      <c r="T82" s="1664">
        <f>FACILITIES!$C$351</f>
        <v>369</v>
      </c>
      <c r="U82" s="1664">
        <f>FACILITIES!$C$371</f>
        <v>377</v>
      </c>
      <c r="V82" s="1914">
        <f>FACILITIES!$C$391</f>
        <v>402</v>
      </c>
      <c r="W82" s="1914">
        <f>FACILITIES!$C$411</f>
        <v>408</v>
      </c>
    </row>
    <row r="83" spans="2:23" ht="24.95" customHeight="1">
      <c r="B83" s="1658">
        <v>42430</v>
      </c>
      <c r="C83" s="1659">
        <f>AVERAGE(D83:W83)</f>
        <v>365.22222222222223</v>
      </c>
      <c r="D83" s="1659">
        <f>FACILITIES!$D$211</f>
        <v>565</v>
      </c>
      <c r="E83" s="1659">
        <f>FACILITIES!$D$51</f>
        <v>367</v>
      </c>
      <c r="F83" s="1659">
        <f>FACILITIES!$D$71</f>
        <v>279</v>
      </c>
      <c r="G83" s="1659">
        <f>FACILITIES!$D$91</f>
        <v>275</v>
      </c>
      <c r="H83" s="1659">
        <f>FACILITIES!$D$171</f>
        <v>397</v>
      </c>
      <c r="I83" s="1659">
        <f>FACILITIES!$D$11</f>
        <v>362</v>
      </c>
      <c r="J83" s="2201">
        <f>FACILITIES!$D$231</f>
        <v>221</v>
      </c>
      <c r="K83" s="1664">
        <f>FACILITIES!$D$271</f>
        <v>340</v>
      </c>
      <c r="L83" s="1662">
        <f>FACILITIES!$D$111</f>
        <v>483</v>
      </c>
      <c r="M83" s="1663">
        <f>FACILITIES!$D$251</f>
        <v>220</v>
      </c>
      <c r="N83" s="1664">
        <f>FACILITIES!$D$151</f>
        <v>272</v>
      </c>
      <c r="O83" s="1664">
        <f>FACILITIES!$D$131</f>
        <v>599</v>
      </c>
      <c r="P83" s="1664">
        <f>FACILITIES!$D$191</f>
        <v>308</v>
      </c>
      <c r="Q83" s="1914" t="s">
        <v>766</v>
      </c>
      <c r="R83" s="1914" t="s">
        <v>766</v>
      </c>
      <c r="S83" s="1664">
        <f>FACILITIES!$D$331</f>
        <v>467</v>
      </c>
      <c r="T83" s="1664">
        <f>FACILITIES!$D$351</f>
        <v>305</v>
      </c>
      <c r="U83" s="1664">
        <f>FACILITIES!$D$371</f>
        <v>328</v>
      </c>
      <c r="V83" s="1914">
        <f>FACILITIES!$D$391</f>
        <v>408</v>
      </c>
      <c r="W83" s="1914">
        <f>FACILITIES!$D$411</f>
        <v>378</v>
      </c>
    </row>
    <row r="84" spans="2:23" ht="24.95" customHeight="1">
      <c r="B84" s="1658">
        <v>42461</v>
      </c>
      <c r="C84" s="1659">
        <f t="shared" ref="C84:C92" si="3">AVERAGE(D84:W84)</f>
        <v>333.41176470588238</v>
      </c>
      <c r="D84" s="2067">
        <f>FACILITIES!$E$211</f>
        <v>550</v>
      </c>
      <c r="E84" s="2067">
        <f>FACILITIES!$E$51</f>
        <v>290</v>
      </c>
      <c r="F84" s="2067">
        <f>FACILITIES!$E$71</f>
        <v>247</v>
      </c>
      <c r="G84" s="2067">
        <f>FACILITIES!$E$91</f>
        <v>195</v>
      </c>
      <c r="H84" s="2067" t="s">
        <v>766</v>
      </c>
      <c r="I84" s="2067">
        <f>FACILITIES!$E$11</f>
        <v>381</v>
      </c>
      <c r="J84" s="2201">
        <f>FACILITIES!$E$231</f>
        <v>213</v>
      </c>
      <c r="K84" s="1914">
        <f>FACILITIES!$E$271</f>
        <v>407</v>
      </c>
      <c r="L84" s="2066">
        <f>FACILITIES!$E$111</f>
        <v>331</v>
      </c>
      <c r="M84" s="1663">
        <f>FACILITIES!$E$251</f>
        <v>206</v>
      </c>
      <c r="N84" s="1914">
        <f>FACILITIES!$E$151</f>
        <v>260</v>
      </c>
      <c r="O84" s="1914">
        <f>FACILITIES!$E$131</f>
        <v>411</v>
      </c>
      <c r="P84" s="1914">
        <f>FACILITIES!$E$191</f>
        <v>315</v>
      </c>
      <c r="Q84" s="1914" t="s">
        <v>766</v>
      </c>
      <c r="R84" s="1914" t="s">
        <v>766</v>
      </c>
      <c r="S84" s="1914">
        <f>FACILITIES!$E$331</f>
        <v>473</v>
      </c>
      <c r="T84" s="1914">
        <f>FACILITIES!$E$351</f>
        <v>371</v>
      </c>
      <c r="U84" s="1914">
        <f>FACILITIES!$E$371</f>
        <v>328</v>
      </c>
      <c r="V84" s="1664">
        <f>FACILITIES!$E$391</f>
        <v>372</v>
      </c>
      <c r="W84" s="1664">
        <f>FACILITIES!$E$411</f>
        <v>318</v>
      </c>
    </row>
    <row r="85" spans="2:23" ht="24.95" customHeight="1">
      <c r="B85" s="1658">
        <v>42491</v>
      </c>
      <c r="C85" s="1659">
        <f t="shared" si="3"/>
        <v>326.05882352941177</v>
      </c>
      <c r="D85" s="1659">
        <f>FACILITIES!$F$211</f>
        <v>567</v>
      </c>
      <c r="E85" s="1659">
        <f>FACILITIES!$F$51</f>
        <v>267</v>
      </c>
      <c r="F85" s="1659">
        <f>FACILITIES!$F$71</f>
        <v>248</v>
      </c>
      <c r="G85" s="1659">
        <f>FACILITIES!$F$91</f>
        <v>245</v>
      </c>
      <c r="H85" s="2067" t="s">
        <v>766</v>
      </c>
      <c r="I85" s="1659">
        <f>FACILITIES!$F$11</f>
        <v>296</v>
      </c>
      <c r="J85" s="2201">
        <f>FACILITIES!$F$231</f>
        <v>196</v>
      </c>
      <c r="K85" s="1664">
        <f>FACILITIES!$F$271</f>
        <v>438</v>
      </c>
      <c r="L85" s="1662">
        <f>FACILITIES!$F$111</f>
        <v>307</v>
      </c>
      <c r="M85" s="1663">
        <f>FACILITIES!$F$251</f>
        <v>203</v>
      </c>
      <c r="N85" s="1664">
        <f>FACILITIES!$F$151</f>
        <v>239</v>
      </c>
      <c r="O85" s="1664">
        <f>FACILITIES!$F$131</f>
        <v>423</v>
      </c>
      <c r="P85" s="1664">
        <f>FACILITIES!$F$191</f>
        <v>304</v>
      </c>
      <c r="Q85" s="1914" t="s">
        <v>766</v>
      </c>
      <c r="R85" s="1914" t="s">
        <v>766</v>
      </c>
      <c r="S85" s="1664">
        <f>FACILITIES!$F$331</f>
        <v>480</v>
      </c>
      <c r="T85" s="1664">
        <f>FACILITIES!$F$351</f>
        <v>310</v>
      </c>
      <c r="U85" s="1664">
        <f>FACILITIES!$F$371</f>
        <v>402</v>
      </c>
      <c r="V85" s="1664">
        <f>FACILITIES!$F$391</f>
        <v>330</v>
      </c>
      <c r="W85" s="1914">
        <f>FACILITIES!$F$411</f>
        <v>288</v>
      </c>
    </row>
    <row r="86" spans="2:23" ht="24.95" customHeight="1">
      <c r="B86" s="1658">
        <v>42522</v>
      </c>
      <c r="C86" s="1659">
        <f t="shared" si="3"/>
        <v>327.11764705882354</v>
      </c>
      <c r="D86" s="2067">
        <f>FACILITIES!$G$211</f>
        <v>534</v>
      </c>
      <c r="E86" s="2067">
        <f>FACILITIES!$G$51</f>
        <v>296</v>
      </c>
      <c r="F86" s="2067">
        <f>FACILITIES!$G$71</f>
        <v>252</v>
      </c>
      <c r="G86" s="2067">
        <f>FACILITIES!$G$91</f>
        <v>306</v>
      </c>
      <c r="H86" s="2067" t="s">
        <v>766</v>
      </c>
      <c r="I86" s="2067">
        <f>FACILITIES!$G$11</f>
        <v>274</v>
      </c>
      <c r="J86" s="2201">
        <f>FACILITIES!$G$231</f>
        <v>200</v>
      </c>
      <c r="K86" s="1914">
        <f>FACILITIES!$G$271</f>
        <v>419</v>
      </c>
      <c r="L86" s="2066">
        <f>FACILITIES!$G$111</f>
        <v>325</v>
      </c>
      <c r="M86" s="1663">
        <f>FACILITIES!$G$251</f>
        <v>208</v>
      </c>
      <c r="N86" s="1914">
        <f>FACILITIES!$G$151</f>
        <v>215</v>
      </c>
      <c r="O86" s="1914">
        <f>FACILITIES!$G$131</f>
        <v>453</v>
      </c>
      <c r="P86" s="1914">
        <f>FACILITIES!$G$191</f>
        <v>333</v>
      </c>
      <c r="Q86" s="1914" t="s">
        <v>766</v>
      </c>
      <c r="R86" s="1914" t="s">
        <v>766</v>
      </c>
      <c r="S86" s="1914">
        <f>FACILITIES!$G$331</f>
        <v>505</v>
      </c>
      <c r="T86" s="1914">
        <f>FACILITIES!$G$351</f>
        <v>325</v>
      </c>
      <c r="U86" s="1914">
        <f>FACILITIES!$G$371</f>
        <v>340</v>
      </c>
      <c r="V86" s="1664">
        <f>FACILITIES!$G$391</f>
        <v>306</v>
      </c>
      <c r="W86" s="1914">
        <f>FACILITIES!$G$411</f>
        <v>270</v>
      </c>
    </row>
    <row r="87" spans="2:23" ht="24.95" customHeight="1">
      <c r="B87" s="1658">
        <v>42552</v>
      </c>
      <c r="C87" s="1659">
        <f t="shared" si="3"/>
        <v>311.875</v>
      </c>
      <c r="D87" s="1659">
        <f>FACILITIES!$H$211</f>
        <v>563</v>
      </c>
      <c r="E87" s="1659">
        <f>FACILITIES!$H$51</f>
        <v>276</v>
      </c>
      <c r="F87" s="1659">
        <f>FACILITIES!$H$71</f>
        <v>258</v>
      </c>
      <c r="G87" s="1659">
        <f>FACILITIES!$H$91</f>
        <v>213</v>
      </c>
      <c r="H87" s="2693" t="s">
        <v>766</v>
      </c>
      <c r="I87" s="1659">
        <f>FACILITIES!$H$11</f>
        <v>261</v>
      </c>
      <c r="J87" s="2580"/>
      <c r="K87" s="1664">
        <f>FACILITIES!$H$271</f>
        <v>408</v>
      </c>
      <c r="L87" s="1662">
        <f>FACILITIES!$H$111</f>
        <v>266</v>
      </c>
      <c r="M87" s="1663">
        <f>FACILITIES!$H$251</f>
        <v>227</v>
      </c>
      <c r="N87" s="1664">
        <f>FACILITIES!$H$151</f>
        <v>241</v>
      </c>
      <c r="O87" s="1664">
        <f>FACILITIES!$H$131</f>
        <v>399</v>
      </c>
      <c r="P87" s="1664">
        <f>FACILITIES!$H$191</f>
        <v>305</v>
      </c>
      <c r="Q87" s="1914" t="s">
        <v>766</v>
      </c>
      <c r="R87" s="1914" t="s">
        <v>766</v>
      </c>
      <c r="S87" s="1664">
        <f>FACILITIES!$H$331</f>
        <v>405</v>
      </c>
      <c r="T87" s="1664">
        <f>FACILITIES!$H$351</f>
        <v>238</v>
      </c>
      <c r="U87" s="1664">
        <f>FACILITIES!$H$371</f>
        <v>312</v>
      </c>
      <c r="V87" s="1664">
        <f>FACILITIES!$H$391</f>
        <v>330</v>
      </c>
      <c r="W87" s="1664">
        <f>FACILITIES!$H$411</f>
        <v>288</v>
      </c>
    </row>
    <row r="88" spans="2:23" ht="24.95" customHeight="1">
      <c r="B88" s="1658">
        <v>42583</v>
      </c>
      <c r="C88" s="1659">
        <f t="shared" si="3"/>
        <v>307.3125</v>
      </c>
      <c r="D88" s="1659">
        <f>FACILITIES!$I$211</f>
        <v>511</v>
      </c>
      <c r="E88" s="1659">
        <f>FACILITIES!$I$51</f>
        <v>293</v>
      </c>
      <c r="F88" s="1659">
        <f>FACILITIES!$I$71</f>
        <v>260</v>
      </c>
      <c r="G88" s="1659">
        <f>FACILITIES!$I$91</f>
        <v>186</v>
      </c>
      <c r="H88" s="2693" t="s">
        <v>766</v>
      </c>
      <c r="I88" s="1659">
        <f>FACILITIES!$I$11</f>
        <v>284</v>
      </c>
      <c r="J88" s="2578"/>
      <c r="K88" s="1664">
        <f>FACILITIES!$I$271</f>
        <v>346</v>
      </c>
      <c r="L88" s="1662">
        <f>FACILITIES!$I$111</f>
        <v>247</v>
      </c>
      <c r="M88" s="1663">
        <f>FACILITIES!$I$251</f>
        <v>216</v>
      </c>
      <c r="N88" s="1664">
        <f>FACILITIES!$I$151</f>
        <v>223</v>
      </c>
      <c r="O88" s="1664">
        <f>FACILITIES!$I$131</f>
        <v>444</v>
      </c>
      <c r="P88" s="1664">
        <f>FACILITIES!$I$191</f>
        <v>331</v>
      </c>
      <c r="Q88" s="1914" t="s">
        <v>766</v>
      </c>
      <c r="R88" s="1914" t="s">
        <v>766</v>
      </c>
      <c r="S88" s="1664">
        <f>FACILITIES!$I$331</f>
        <v>416</v>
      </c>
      <c r="T88" s="1664">
        <f>FACILITIES!$I$351</f>
        <v>252</v>
      </c>
      <c r="U88" s="1664">
        <f>FACILITIES!$I$371</f>
        <v>314</v>
      </c>
      <c r="V88" s="1664">
        <f>FACILITIES!$I$391</f>
        <v>306</v>
      </c>
      <c r="W88" s="1914">
        <f>FACILITIES!$I$411</f>
        <v>288</v>
      </c>
    </row>
    <row r="89" spans="2:23" ht="24.95" customHeight="1">
      <c r="B89" s="1658">
        <v>42614</v>
      </c>
      <c r="C89" s="1659">
        <f t="shared" si="3"/>
        <v>324.23529411764707</v>
      </c>
      <c r="D89" s="1659">
        <f>FACILITIES!$J$211</f>
        <v>492</v>
      </c>
      <c r="E89" s="1659">
        <f>FACILITIES!$J$51</f>
        <v>307</v>
      </c>
      <c r="F89" s="1659">
        <f>FACILITIES!$J$71</f>
        <v>252</v>
      </c>
      <c r="G89" s="1659">
        <f>FACILITIES!$J$91</f>
        <v>154</v>
      </c>
      <c r="H89" s="2067">
        <f>FACILITIES!$J$171</f>
        <v>323</v>
      </c>
      <c r="I89" s="1659">
        <f>FACILITIES!$J$11</f>
        <v>323</v>
      </c>
      <c r="J89" s="2578"/>
      <c r="K89" s="1664">
        <f>FACILITIES!$J$271</f>
        <v>359</v>
      </c>
      <c r="L89" s="1662">
        <f>FACILITIES!$J$111</f>
        <v>222</v>
      </c>
      <c r="M89" s="1663">
        <f>FACILITIES!$J$251</f>
        <v>218</v>
      </c>
      <c r="N89" s="1664">
        <f>FACILITIES!$J$151</f>
        <v>254</v>
      </c>
      <c r="O89" s="1664">
        <f>FACILITIES!$J$131</f>
        <v>389</v>
      </c>
      <c r="P89" s="1664">
        <f>FACILITIES!$J$191</f>
        <v>343</v>
      </c>
      <c r="Q89" s="1914" t="s">
        <v>766</v>
      </c>
      <c r="R89" s="1914" t="s">
        <v>766</v>
      </c>
      <c r="S89" s="1664">
        <f>FACILITIES!$J$331</f>
        <v>469</v>
      </c>
      <c r="T89" s="1664">
        <f>FACILITIES!$J$351</f>
        <v>382</v>
      </c>
      <c r="U89" s="1664">
        <f>FACILITIES!$J$371</f>
        <v>371</v>
      </c>
      <c r="V89" s="1664">
        <f>FACILITIES!$J$391</f>
        <v>324</v>
      </c>
      <c r="W89" s="1914">
        <f>FACILITIES!$J$411</f>
        <v>330</v>
      </c>
    </row>
    <row r="90" spans="2:23" ht="24.95" customHeight="1">
      <c r="B90" s="1658">
        <v>42644</v>
      </c>
      <c r="C90" s="1659">
        <f t="shared" si="3"/>
        <v>311.1764705882353</v>
      </c>
      <c r="D90" s="1659">
        <f>FACILITIES!$K$211</f>
        <v>400</v>
      </c>
      <c r="E90" s="1659">
        <f>FACILITIES!$K$51</f>
        <v>347</v>
      </c>
      <c r="F90" s="1659">
        <f>FACILITIES!$K$71</f>
        <v>294</v>
      </c>
      <c r="G90" s="1659">
        <f>FACILITIES!$K$91</f>
        <v>99</v>
      </c>
      <c r="H90" s="1659">
        <f>FACILITIES!$K$171</f>
        <v>310</v>
      </c>
      <c r="I90" s="1659">
        <f>FACILITIES!$K$11</f>
        <v>297</v>
      </c>
      <c r="J90" s="2579"/>
      <c r="K90" s="1664">
        <f>FACILITIES!$K$271</f>
        <v>328</v>
      </c>
      <c r="L90" s="1662">
        <f>FACILITIES!$K$111</f>
        <v>243</v>
      </c>
      <c r="M90" s="1663">
        <f>FACILITIES!$K$251</f>
        <v>217</v>
      </c>
      <c r="N90" s="1664">
        <f>FACILITIES!$K$151</f>
        <v>240</v>
      </c>
      <c r="O90" s="1664">
        <f>FACILITIES!$K$131</f>
        <v>384</v>
      </c>
      <c r="P90" s="1664">
        <f>FACILITIES!$K$191</f>
        <v>359</v>
      </c>
      <c r="Q90" s="1914" t="s">
        <v>766</v>
      </c>
      <c r="R90" s="1914" t="s">
        <v>766</v>
      </c>
      <c r="S90" s="1664">
        <f>FACILITIES!$K$331</f>
        <v>453</v>
      </c>
      <c r="T90" s="1664">
        <f>FACILITIES!$K$351</f>
        <v>315</v>
      </c>
      <c r="U90" s="1664">
        <f>FACILITIES!$K$371</f>
        <v>392</v>
      </c>
      <c r="V90" s="1664">
        <f>FACILITIES!$K$391</f>
        <v>312</v>
      </c>
      <c r="W90" s="1914">
        <f>FACILITIES!$K$411</f>
        <v>300</v>
      </c>
    </row>
    <row r="91" spans="2:23" ht="24.95" customHeight="1">
      <c r="B91" s="1658">
        <v>42675</v>
      </c>
      <c r="C91" s="1659">
        <f t="shared" si="3"/>
        <v>314</v>
      </c>
      <c r="D91" s="1659" t="s">
        <v>766</v>
      </c>
      <c r="E91" s="1659">
        <f>FACILITIES!$L$51</f>
        <v>320</v>
      </c>
      <c r="F91" s="1659">
        <f>FACILITIES!$L$71</f>
        <v>319</v>
      </c>
      <c r="G91" s="1659">
        <f>FACILITIES!$L$91</f>
        <v>216</v>
      </c>
      <c r="H91" s="1659">
        <f>FACILITIES!$L$171</f>
        <v>357</v>
      </c>
      <c r="I91" s="1659">
        <f>FACILITIES!$L$11</f>
        <v>293</v>
      </c>
      <c r="J91" s="2579"/>
      <c r="K91" s="2579"/>
      <c r="L91" s="1662">
        <f>FACILITIES!$L$111</f>
        <v>304</v>
      </c>
      <c r="M91" s="1663">
        <f>FACILITIES!$L$251</f>
        <v>212</v>
      </c>
      <c r="N91" s="1664">
        <f>FACILITIES!$L$151</f>
        <v>247</v>
      </c>
      <c r="O91" s="1664">
        <f>FACILITIES!$L$131</f>
        <v>412</v>
      </c>
      <c r="P91" s="1664">
        <f>FACILITIES!$L$191</f>
        <v>319</v>
      </c>
      <c r="Q91" s="1914" t="s">
        <v>766</v>
      </c>
      <c r="R91" s="1914" t="s">
        <v>766</v>
      </c>
      <c r="S91" s="1664">
        <f>FACILITIES!$L$331</f>
        <v>441</v>
      </c>
      <c r="T91" s="1664">
        <f>FACILITIES!$L$351</f>
        <v>323</v>
      </c>
      <c r="U91" s="1664">
        <f>FACILITIES!$L$371</f>
        <v>353</v>
      </c>
      <c r="V91" s="1664">
        <f>FACILITIES!$L$391</f>
        <v>300</v>
      </c>
      <c r="W91" s="1914">
        <f>FACILITIES!$L$411</f>
        <v>294</v>
      </c>
    </row>
    <row r="92" spans="2:23" ht="24.95" customHeight="1">
      <c r="B92" s="1658">
        <v>42705</v>
      </c>
      <c r="C92" s="1659">
        <f t="shared" si="3"/>
        <v>317.31333333333333</v>
      </c>
      <c r="D92" s="1666" t="s">
        <v>766</v>
      </c>
      <c r="E92" s="1659">
        <f>FACILITIES!$M$51</f>
        <v>327</v>
      </c>
      <c r="F92" s="1659">
        <f>FACILITIES!$M$71</f>
        <v>319</v>
      </c>
      <c r="G92" s="1659">
        <f>FACILITIES!$M$91</f>
        <v>216</v>
      </c>
      <c r="H92" s="1659">
        <f>FACILITIES!$M$171</f>
        <v>299</v>
      </c>
      <c r="I92" s="1659">
        <f>FACILITIES!$M$11</f>
        <v>314</v>
      </c>
      <c r="J92" s="2579"/>
      <c r="K92" s="2579"/>
      <c r="L92" s="1662">
        <f>FACILITIES!$M$111</f>
        <v>303</v>
      </c>
      <c r="M92" s="1663">
        <f>FACILITIES!$M$251</f>
        <v>231.7</v>
      </c>
      <c r="N92" s="1664">
        <f>FACILITIES!$M$151</f>
        <v>230</v>
      </c>
      <c r="O92" s="1664">
        <f>FACILITIES!$M$131</f>
        <v>412</v>
      </c>
      <c r="P92" s="1664">
        <f>FACILITIES!$M$191</f>
        <v>397</v>
      </c>
      <c r="Q92" s="1914" t="s">
        <v>766</v>
      </c>
      <c r="R92" s="1914" t="s">
        <v>766</v>
      </c>
      <c r="S92" s="1664">
        <f>FACILITIES!$M$331</f>
        <v>437</v>
      </c>
      <c r="T92" s="1667">
        <f>FACILITIES!$M$351</f>
        <v>311</v>
      </c>
      <c r="U92" s="1667">
        <f>FACILITIES!$M$371</f>
        <v>351</v>
      </c>
      <c r="V92" s="1667">
        <f>FACILITIES!$M$391</f>
        <v>306</v>
      </c>
      <c r="W92" s="1667">
        <f>FACILITIES!$M$411</f>
        <v>306</v>
      </c>
    </row>
    <row r="93" spans="2:23" ht="24.95" customHeight="1" thickBot="1">
      <c r="B93" s="1668" t="s">
        <v>294</v>
      </c>
      <c r="C93" s="1669">
        <f>AVERAGE(C81:C92)</f>
        <v>333.23706018518516</v>
      </c>
      <c r="D93" s="1669">
        <f>AVERAGE(D81:D90)</f>
        <v>542.1</v>
      </c>
      <c r="E93" s="1669">
        <f t="shared" ref="E93:W93" si="4">AVERAGE(E81:E90)</f>
        <v>318.7</v>
      </c>
      <c r="F93" s="1669">
        <f t="shared" si="4"/>
        <v>262.89999999999998</v>
      </c>
      <c r="G93" s="1669">
        <f t="shared" si="4"/>
        <v>213.8</v>
      </c>
      <c r="H93" s="1669">
        <f t="shared" si="4"/>
        <v>358.6</v>
      </c>
      <c r="I93" s="1669">
        <f t="shared" si="4"/>
        <v>338.5</v>
      </c>
      <c r="J93" s="1669">
        <f t="shared" si="4"/>
        <v>208.33333333333334</v>
      </c>
      <c r="K93" s="1669">
        <f t="shared" si="4"/>
        <v>380.1</v>
      </c>
      <c r="L93" s="1669">
        <f t="shared" si="4"/>
        <v>326</v>
      </c>
      <c r="M93" s="1669">
        <f t="shared" si="4"/>
        <v>218.8</v>
      </c>
      <c r="N93" s="1669">
        <f t="shared" si="4"/>
        <v>245.2</v>
      </c>
      <c r="O93" s="1669">
        <f t="shared" si="4"/>
        <v>464.5</v>
      </c>
      <c r="P93" s="1669">
        <f t="shared" si="4"/>
        <v>352.61900000000003</v>
      </c>
      <c r="Q93" s="1669">
        <f>IFERROR(AVERAGE(Q81:Q90),0)</f>
        <v>0</v>
      </c>
      <c r="R93" s="1669" t="e">
        <f t="shared" si="4"/>
        <v>#DIV/0!</v>
      </c>
      <c r="S93" s="1669">
        <f t="shared" si="4"/>
        <v>470.3</v>
      </c>
      <c r="T93" s="1669">
        <f t="shared" si="4"/>
        <v>315.8</v>
      </c>
      <c r="U93" s="1669">
        <f t="shared" si="4"/>
        <v>352.9</v>
      </c>
      <c r="V93" s="1669">
        <f t="shared" si="4"/>
        <v>346.2</v>
      </c>
      <c r="W93" s="1669">
        <f t="shared" si="4"/>
        <v>322.8</v>
      </c>
    </row>
    <row r="94" spans="2:23" ht="24.95" customHeight="1" thickTop="1"/>
    <row r="95" spans="2:23" ht="24.95" customHeight="1">
      <c r="D95" s="121">
        <f>AVERAGE(K93,M93,P93,F93,G93)</f>
        <v>285.6438</v>
      </c>
    </row>
    <row r="96" spans="2:23" ht="24.95" customHeight="1"/>
    <row r="97" ht="24.95" customHeight="1"/>
    <row r="98" ht="24.95" customHeight="1"/>
    <row r="99" ht="24.95" customHeight="1"/>
    <row r="100" ht="24.95" customHeight="1"/>
    <row r="101" ht="24.95" customHeight="1"/>
    <row r="102" ht="24.95" customHeight="1"/>
    <row r="103" ht="24.95" customHeight="1"/>
    <row r="104" ht="24.95" customHeight="1"/>
    <row r="105" ht="24.95" customHeight="1"/>
    <row r="106" ht="24.95" customHeight="1"/>
    <row r="107" ht="24.95" customHeight="1"/>
    <row r="108" ht="24.95" customHeight="1"/>
    <row r="109" ht="24.95" customHeight="1"/>
    <row r="110" ht="24.95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</sheetData>
  <mergeCells count="3">
    <mergeCell ref="B79:P79"/>
    <mergeCell ref="B48:P48"/>
    <mergeCell ref="B17:T17"/>
  </mergeCells>
  <conditionalFormatting sqref="C32:Q32 F31:H31 F19:H19 J31:K31 M22 F23 H22 O22:Q22 D19:D22 J22:K22 J19:Q19 M31:Q31 G20 H25:H26 J25:K26 F27:K29 M25:M29 D24:D29 C30:D31 O25:Q30 F30:M30">
    <cfRule type="cellIs" dxfId="52" priority="20" operator="greaterThan">
      <formula>30</formula>
    </cfRule>
  </conditionalFormatting>
  <conditionalFormatting sqref="R22 R32 R25:R30">
    <cfRule type="cellIs" dxfId="51" priority="19" operator="greaterThan">
      <formula>30</formula>
    </cfRule>
  </conditionalFormatting>
  <conditionalFormatting sqref="S22 S32 S25:S30">
    <cfRule type="cellIs" dxfId="50" priority="18" operator="greaterThan">
      <formula>30</formula>
    </cfRule>
  </conditionalFormatting>
  <conditionalFormatting sqref="T22:U22 T32:U32 T25:U30">
    <cfRule type="cellIs" dxfId="49" priority="17" operator="greaterThan">
      <formula>30</formula>
    </cfRule>
  </conditionalFormatting>
  <conditionalFormatting sqref="V22 V25:V30">
    <cfRule type="cellIs" dxfId="48" priority="10" operator="greaterThan">
      <formula>30</formula>
    </cfRule>
  </conditionalFormatting>
  <conditionalFormatting sqref="T31 V31">
    <cfRule type="cellIs" dxfId="47" priority="7" operator="greaterThan">
      <formula>30</formula>
    </cfRule>
  </conditionalFormatting>
  <conditionalFormatting sqref="R19:W19">
    <cfRule type="cellIs" dxfId="46" priority="6" operator="greaterThan">
      <formula>30</formula>
    </cfRule>
  </conditionalFormatting>
  <conditionalFormatting sqref="W31:X31 U31 R31:S31">
    <cfRule type="cellIs" dxfId="45" priority="5" operator="greaterThan">
      <formula>30</formula>
    </cfRule>
  </conditionalFormatting>
  <conditionalFormatting sqref="R20:W20 R21:V21 R23:V24 W21:W30">
    <cfRule type="cellIs" dxfId="44" priority="3" operator="greaterThan">
      <formula>30</formula>
    </cfRule>
  </conditionalFormatting>
  <conditionalFormatting sqref="L29">
    <cfRule type="cellIs" dxfId="43" priority="1" operator="greaterThan">
      <formula>30</formula>
    </cfRule>
  </conditionalFormatting>
  <printOptions horizontalCentered="1"/>
  <pageMargins left="0.25" right="0" top="1" bottom="0" header="0.25" footer="0"/>
  <pageSetup paperSize="5" scale="45" fitToHeight="0" orientation="landscape" r:id="rId1"/>
  <headerFooter>
    <oddHeader>&amp;C&amp;"-,Bold"&amp;20 &amp;24 &amp;36 &amp;28 &amp;U&amp;K04-0432015 Efficiency Data</oddHeader>
  </headerFooter>
  <rowBreaks count="3" manualBreakCount="3">
    <brk id="31" max="16383" man="1"/>
    <brk id="62" max="16383" man="1"/>
    <brk id="93" max="16383" man="1"/>
  </rowBreaks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EFFICIENCY!M50:M61</xm:f>
              <xm:sqref>L43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EFFICIENCY!Q19:Q30</xm:f>
              <xm:sqref>L15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EFFICIENCY!P19:P30</xm:f>
              <xm:sqref>L14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EFFICIENCY!C19:C30</xm:f>
              <xm:sqref>L16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EFFICIENCY!O19:O30</xm:f>
              <xm:sqref>L13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EFFICIENCY!N19:N30</xm:f>
              <xm:sqref>L12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EFFICIENCY!M19:M30</xm:f>
              <xm:sqref>L11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EFFICIENCY!L19:L30</xm:f>
              <xm:sqref>L10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EFFICIENCY!K19:K30</xm:f>
              <xm:sqref>L9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EFFICIENCY!J19:J30</xm:f>
              <xm:sqref>L8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EFFICIENCY!I19:I30</xm:f>
              <xm:sqref>L7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EFFICIENCY!H19:H30</xm:f>
              <xm:sqref>L6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EFFICIENCY!G19:G30</xm:f>
              <xm:sqref>L5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EFFICIENCY!F19:F30</xm:f>
              <xm:sqref>L4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EFFICIENCY!C50:C61</xm:f>
              <xm:sqref>L47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EFFICIENCY!P50:P61</xm:f>
              <xm:sqref>L46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EFFICIENCY!O50:O61</xm:f>
              <xm:sqref>L45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EFFICIENCY!N50:N61</xm:f>
              <xm:sqref>L44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EFFICIENCY!L50:L61</xm:f>
              <xm:sqref>L42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EFFICIENCY!J50:J61</xm:f>
              <xm:sqref>L40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EFFICIENCY!I50:I61</xm:f>
              <xm:sqref>L39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EFFICIENCY!H50:H61</xm:f>
              <xm:sqref>L38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EFFICIENCY!G50:G61</xm:f>
              <xm:sqref>L37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EFFICIENCY!F50:F61</xm:f>
              <xm:sqref>L36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EFFICIENCY!E50:E61</xm:f>
              <xm:sqref>L35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EFFICIENCY!D50:D61</xm:f>
              <xm:sqref>L34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EFFICIENCY!E19:E30</xm:f>
              <xm:sqref>L3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EFFICIENCY!K50:K61</xm:f>
              <xm:sqref>L41</xm:sqref>
            </x14:sparkline>
          </x14:sparklines>
        </x14:sparklineGroup>
        <x14:sparklineGroup manualMax="0" manualMin="0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EFFICIENCY!D81:D92</xm:f>
              <xm:sqref>L65</xm:sqref>
            </x14:sparkline>
            <x14:sparkline>
              <xm:f>EFFICIENCY!K81:K91</xm:f>
              <xm:sqref>L72</xm:sqref>
            </x14:sparkline>
            <x14:sparkline>
              <xm:f>EFFICIENCY!E81:E92</xm:f>
              <xm:sqref>L66</xm:sqref>
            </x14:sparkline>
            <x14:sparkline>
              <xm:f>EFFICIENCY!F81:F92</xm:f>
              <xm:sqref>L67</xm:sqref>
            </x14:sparkline>
            <x14:sparkline>
              <xm:f>EFFICIENCY!G81:G92</xm:f>
              <xm:sqref>L68</xm:sqref>
            </x14:sparkline>
            <x14:sparkline>
              <xm:f>EFFICIENCY!H81:H92</xm:f>
              <xm:sqref>L69</xm:sqref>
            </x14:sparkline>
            <x14:sparkline>
              <xm:f>EFFICIENCY!I81:I92</xm:f>
              <xm:sqref>L70</xm:sqref>
            </x14:sparkline>
            <x14:sparkline>
              <xm:f>EFFICIENCY!J81:J92</xm:f>
              <xm:sqref>L71</xm:sqref>
            </x14:sparkline>
            <x14:sparkline>
              <xm:f>EFFICIENCY!L81:L92</xm:f>
              <xm:sqref>L73</xm:sqref>
            </x14:sparkline>
            <x14:sparkline>
              <xm:f>EFFICIENCY!N81:N92</xm:f>
              <xm:sqref>L75</xm:sqref>
            </x14:sparkline>
            <x14:sparkline>
              <xm:f>EFFICIENCY!O81:O92</xm:f>
              <xm:sqref>L76</xm:sqref>
            </x14:sparkline>
            <x14:sparkline>
              <xm:f>EFFICIENCY!P81:P92</xm:f>
              <xm:sqref>L77</xm:sqref>
            </x14:sparkline>
            <x14:sparkline>
              <xm:f>EFFICIENCY!C81:C92</xm:f>
              <xm:sqref>L78</xm:sqref>
            </x14:sparkline>
            <x14:sparkline>
              <xm:f>EFFICIENCY!M81:M91</xm:f>
              <xm:sqref>L74</xm:sqref>
            </x14:sparkline>
          </x14:sparklines>
        </x14:sparklineGroup>
      </x14:sparklineGroup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FFC000"/>
    <pageSetUpPr fitToPage="1"/>
  </sheetPr>
  <dimension ref="A1:V40"/>
  <sheetViews>
    <sheetView showGridLines="0" topLeftCell="A3" workbookViewId="0">
      <selection activeCell="J16" sqref="J16"/>
    </sheetView>
  </sheetViews>
  <sheetFormatPr defaultColWidth="9.140625" defaultRowHeight="15"/>
  <cols>
    <col min="1" max="1" width="9.5703125" style="23" bestFit="1" customWidth="1"/>
    <col min="2" max="2" width="9.5703125" style="23" customWidth="1"/>
    <col min="3" max="3" width="10" style="23" customWidth="1"/>
    <col min="4" max="4" width="10.5703125" style="23" customWidth="1"/>
    <col min="5" max="5" width="10.85546875" style="23" customWidth="1"/>
    <col min="6" max="6" width="10.140625" style="23" customWidth="1"/>
    <col min="7" max="7" width="11.85546875" style="23" customWidth="1"/>
    <col min="8" max="8" width="10.42578125" style="23" customWidth="1"/>
    <col min="9" max="10" width="12" style="23" customWidth="1"/>
    <col min="11" max="11" width="11.42578125" style="23" customWidth="1"/>
    <col min="12" max="12" width="10.28515625" style="23" bestFit="1" customWidth="1"/>
    <col min="13" max="13" width="13.140625" style="23" customWidth="1"/>
    <col min="14" max="14" width="10.7109375" style="23" customWidth="1"/>
    <col min="15" max="15" width="13.7109375" style="23" customWidth="1"/>
    <col min="16" max="16" width="12.7109375" style="23" customWidth="1"/>
    <col min="17" max="17" width="12" style="23" customWidth="1"/>
    <col min="18" max="19" width="11.42578125" style="23" customWidth="1"/>
    <col min="20" max="20" width="10.5703125" style="23" customWidth="1"/>
    <col min="21" max="21" width="9.28515625" style="23" bestFit="1" customWidth="1"/>
    <col min="22" max="16384" width="9.140625" style="23"/>
  </cols>
  <sheetData>
    <row r="1" spans="1:22" ht="21.95" customHeight="1">
      <c r="A1" s="2"/>
      <c r="B1" s="2"/>
      <c r="U1" s="135"/>
      <c r="V1" s="135"/>
    </row>
    <row r="2" spans="1:22" ht="21.95" customHeight="1">
      <c r="A2" s="124"/>
      <c r="B2" s="124"/>
      <c r="C2" s="144"/>
      <c r="U2" s="135"/>
      <c r="V2" s="135"/>
    </row>
    <row r="3" spans="1:22" ht="21.95" customHeight="1" thickBot="1">
      <c r="A3" s="124"/>
      <c r="B3" s="124"/>
      <c r="C3" s="144"/>
      <c r="U3" s="135"/>
      <c r="V3" s="135"/>
    </row>
    <row r="4" spans="1:22" s="4" customFormat="1" ht="35.1" customHeight="1" thickTop="1">
      <c r="A4" s="3053" t="s">
        <v>276</v>
      </c>
      <c r="B4" s="3056" t="s">
        <v>820</v>
      </c>
      <c r="C4" s="3049" t="s">
        <v>747</v>
      </c>
      <c r="D4" s="3049" t="s">
        <v>746</v>
      </c>
      <c r="E4" s="3049" t="s">
        <v>748</v>
      </c>
      <c r="F4" s="3049" t="s">
        <v>750</v>
      </c>
      <c r="G4" s="3049" t="s">
        <v>749</v>
      </c>
      <c r="H4" s="3049" t="s">
        <v>751</v>
      </c>
      <c r="I4" s="3049" t="s">
        <v>752</v>
      </c>
      <c r="J4" s="3049" t="s">
        <v>768</v>
      </c>
      <c r="K4" s="3049" t="s">
        <v>753</v>
      </c>
      <c r="L4" s="3049" t="s">
        <v>754</v>
      </c>
      <c r="M4" s="3049" t="s">
        <v>852</v>
      </c>
      <c r="N4" s="3049" t="s">
        <v>755</v>
      </c>
      <c r="O4" s="3049" t="s">
        <v>473</v>
      </c>
      <c r="P4" s="3049" t="s">
        <v>590</v>
      </c>
      <c r="Q4" s="3049" t="s">
        <v>589</v>
      </c>
      <c r="R4" s="3049" t="s">
        <v>756</v>
      </c>
      <c r="S4" s="3049" t="s">
        <v>757</v>
      </c>
      <c r="T4" s="3049" t="s">
        <v>758</v>
      </c>
      <c r="U4" s="3051" t="s">
        <v>759</v>
      </c>
      <c r="V4" s="436"/>
    </row>
    <row r="5" spans="1:22" s="444" customFormat="1" ht="35.1" customHeight="1">
      <c r="A5" s="3054"/>
      <c r="B5" s="3057"/>
      <c r="C5" s="3055"/>
      <c r="D5" s="3055"/>
      <c r="E5" s="3055"/>
      <c r="F5" s="3055"/>
      <c r="G5" s="3055"/>
      <c r="H5" s="3055"/>
      <c r="I5" s="3055"/>
      <c r="J5" s="3050"/>
      <c r="K5" s="3050"/>
      <c r="L5" s="3050"/>
      <c r="M5" s="3050"/>
      <c r="N5" s="3050"/>
      <c r="O5" s="3050"/>
      <c r="P5" s="3050"/>
      <c r="Q5" s="3050"/>
      <c r="R5" s="3050"/>
      <c r="S5" s="3050"/>
      <c r="T5" s="3050"/>
      <c r="U5" s="3052"/>
      <c r="V5" s="443"/>
    </row>
    <row r="6" spans="1:22" s="230" customFormat="1" ht="21.95" customHeight="1">
      <c r="A6" s="2628">
        <v>42370</v>
      </c>
      <c r="B6" s="2664">
        <f t="shared" ref="B6:B17" si="0">AVERAGE(C6:U6)</f>
        <v>0.75826666666666664</v>
      </c>
      <c r="C6" s="2665">
        <f>FACILITIES!B$219</f>
        <v>0.86</v>
      </c>
      <c r="D6" s="2649">
        <f>FACILITIES!B$59</f>
        <v>0.57699999999999996</v>
      </c>
      <c r="E6" s="2649">
        <f>FACILITIES!B$79</f>
        <v>0.87</v>
      </c>
      <c r="F6" s="2649">
        <f>FACILITIES!B$99</f>
        <v>0.84499999999999997</v>
      </c>
      <c r="G6" s="2650">
        <f>FACILITIES!B$179</f>
        <v>0.77</v>
      </c>
      <c r="H6" s="2649">
        <f>FACILITIES!B$19</f>
        <v>0.75800000000000001</v>
      </c>
      <c r="I6" s="2650">
        <f>FACILITIES!B$239</f>
        <v>0.85299999999999998</v>
      </c>
      <c r="J6" s="2633">
        <f>FACILITIES!B$279</f>
        <v>0.79269999999999996</v>
      </c>
      <c r="K6" s="2633">
        <f>FACILITIES!B$119</f>
        <v>0.56899999999999995</v>
      </c>
      <c r="L6" s="2633">
        <f>FACILITIES!B$259</f>
        <v>0.93200000000000005</v>
      </c>
      <c r="M6" s="2640">
        <f>FACILITIES!B$159</f>
        <v>0.71899999999999997</v>
      </c>
      <c r="N6" s="2641">
        <f>FACILITIES!B$139</f>
        <v>0.56100000000000005</v>
      </c>
      <c r="O6" s="2666"/>
      <c r="P6" s="2632">
        <f>FACILITIES!B$299</f>
        <v>0.6</v>
      </c>
      <c r="Q6" s="2633">
        <f>FACILITIES!B$319</f>
        <v>1</v>
      </c>
      <c r="R6" s="1644">
        <f>FACILITIES!B$339</f>
        <v>0.52800000000000002</v>
      </c>
      <c r="S6" s="1644">
        <f>FACILITIES!B$379</f>
        <v>0.67900000000000005</v>
      </c>
      <c r="T6" s="1644">
        <f>FACILITIES!B$399</f>
        <v>0.81940000000000002</v>
      </c>
      <c r="U6" s="1645">
        <f>FACILITIES!B$419</f>
        <v>0.91569999999999996</v>
      </c>
      <c r="V6" s="441"/>
    </row>
    <row r="7" spans="1:22" s="230" customFormat="1" ht="21.95" customHeight="1">
      <c r="A7" s="2628">
        <v>42401</v>
      </c>
      <c r="B7" s="2660">
        <f t="shared" si="0"/>
        <v>0.71140000000000003</v>
      </c>
      <c r="C7" s="2661">
        <f>FACILITIES!C$219</f>
        <v>0.84</v>
      </c>
      <c r="D7" s="2651">
        <f>FACILITIES!C$59</f>
        <v>0.56200000000000006</v>
      </c>
      <c r="E7" s="2652">
        <f>FACILITIES!C$79</f>
        <v>0.83199999999999996</v>
      </c>
      <c r="F7" s="2653">
        <f>FACILITIES!C$99</f>
        <v>0.86299999999999999</v>
      </c>
      <c r="G7" s="2643">
        <f>FACILITIES!C$179</f>
        <v>0.85599999999999998</v>
      </c>
      <c r="H7" s="2652">
        <f>FACILITIES!C$19</f>
        <v>0.61299999999999999</v>
      </c>
      <c r="I7" s="2643">
        <f>FACILITIES!C$239</f>
        <v>0.85299999999999998</v>
      </c>
      <c r="J7" s="2642">
        <f>FACILITIES!C$279</f>
        <v>0.79269999999999996</v>
      </c>
      <c r="K7" s="2643">
        <f>FACILITIES!C$119</f>
        <v>0.52500000000000002</v>
      </c>
      <c r="L7" s="2644">
        <f>FACILITIES!C$259</f>
        <v>0.82699999999999996</v>
      </c>
      <c r="M7" s="2645">
        <f>FACILITIES!C$159</f>
        <v>0.6</v>
      </c>
      <c r="N7" s="2641">
        <f>FACILITIES!C$139</f>
        <v>0.58299999999999996</v>
      </c>
      <c r="O7" s="1643"/>
      <c r="P7" s="2634">
        <f>FACILITIES!C$299</f>
        <v>0.53300000000000003</v>
      </c>
      <c r="Q7" s="2635">
        <f>FACILITIES!C$319</f>
        <v>0.47099999999999997</v>
      </c>
      <c r="R7" s="1646">
        <f>FACILITIES!C$339</f>
        <v>0.54</v>
      </c>
      <c r="S7" s="1646">
        <f>FACILITIES!C$379</f>
        <v>0.75</v>
      </c>
      <c r="T7" s="1646">
        <f>FACILITIES!C$399</f>
        <v>0.90159999999999996</v>
      </c>
      <c r="U7" s="1647">
        <f>FACILITIES!C$419</f>
        <v>0.8629</v>
      </c>
      <c r="V7" s="441"/>
    </row>
    <row r="8" spans="1:22" s="230" customFormat="1" ht="21.95" customHeight="1">
      <c r="A8" s="2628">
        <v>42430</v>
      </c>
      <c r="B8" s="2660">
        <f t="shared" si="0"/>
        <v>0.71909444444444437</v>
      </c>
      <c r="C8" s="2661">
        <f>FACILITIES!D$219</f>
        <v>0.86</v>
      </c>
      <c r="D8" s="2654">
        <f>FACILITIES!D$59</f>
        <v>0.50700000000000001</v>
      </c>
      <c r="E8" s="2655">
        <f>FACILITIES!D$79</f>
        <v>0.81399999999999995</v>
      </c>
      <c r="F8" s="2648">
        <f>FACILITIES!D$99</f>
        <v>0.86</v>
      </c>
      <c r="G8" s="2647">
        <f>FACILITIES!D$179</f>
        <v>0.73699999999999999</v>
      </c>
      <c r="H8" s="2648">
        <f>FACILITIES!D$19</f>
        <v>0.65200000000000002</v>
      </c>
      <c r="I8" s="2647">
        <f>FACILITIES!D$239</f>
        <v>0.85299999999999998</v>
      </c>
      <c r="J8" s="2646">
        <f>FACILITIES!D$279</f>
        <v>0.79269999999999996</v>
      </c>
      <c r="K8" s="2647">
        <f>FACILITIES!D$119</f>
        <v>0.45900000000000002</v>
      </c>
      <c r="L8" s="2648">
        <f>FACILITIES!D$259</f>
        <v>0.78</v>
      </c>
      <c r="M8" s="2645">
        <f>FACILITIES!D$159</f>
        <v>1</v>
      </c>
      <c r="N8" s="2641">
        <f>FACILITIES!D$139</f>
        <v>0.45800000000000002</v>
      </c>
      <c r="O8" s="1643"/>
      <c r="P8" s="2636">
        <f>FACILITIES!D$299</f>
        <v>0.55600000000000005</v>
      </c>
      <c r="Q8" s="2637">
        <f>FACILITIES!D$319</f>
        <v>0.6</v>
      </c>
      <c r="R8" s="2574">
        <f>FACILITIES!D$339</f>
        <v>0.54400000000000004</v>
      </c>
      <c r="S8" s="2104">
        <f>FACILITIES!D$379</f>
        <v>0.73099999999999998</v>
      </c>
      <c r="T8" s="1646">
        <f>FACILITIES!D$399</f>
        <v>0.85360000000000003</v>
      </c>
      <c r="U8" s="1647">
        <f>FACILITIES!D$419</f>
        <v>0.88639999999999997</v>
      </c>
      <c r="V8" s="441"/>
    </row>
    <row r="9" spans="1:22" s="230" customFormat="1" ht="21.95" customHeight="1">
      <c r="A9" s="2628">
        <v>42461</v>
      </c>
      <c r="B9" s="2660">
        <f t="shared" si="0"/>
        <v>0.69810000000000005</v>
      </c>
      <c r="C9" s="2661">
        <f>FACILITIES!E$219</f>
        <v>0.84</v>
      </c>
      <c r="D9" s="2654">
        <f>FACILITIES!E$59</f>
        <v>0.69899999999999995</v>
      </c>
      <c r="E9" s="2655">
        <f>FACILITIES!E$79</f>
        <v>0.78300000000000003</v>
      </c>
      <c r="F9" s="2648">
        <f>FACILITIES!E$99</f>
        <v>0.86499999999999999</v>
      </c>
      <c r="G9" s="2647">
        <f>FACILITIES!E$179</f>
        <v>0.84299999999999997</v>
      </c>
      <c r="H9" s="2648">
        <f>FACILITIES!E$19</f>
        <v>0.73299999999999998</v>
      </c>
      <c r="I9" s="2647">
        <f>FACILITIES!E$239</f>
        <v>0</v>
      </c>
      <c r="J9" s="2646">
        <f>FACILITIES!E$279</f>
        <v>0.627</v>
      </c>
      <c r="K9" s="2647">
        <f>FACILITIES!E$119</f>
        <v>0.59299999999999997</v>
      </c>
      <c r="L9" s="2648">
        <f>FACILITIES!E$259</f>
        <v>0.84699999999999998</v>
      </c>
      <c r="M9" s="2645">
        <f>FACILITIES!E$159</f>
        <v>0.88900000000000001</v>
      </c>
      <c r="N9" s="2641">
        <f>FACILITIES!E$139</f>
        <v>0.59099999999999997</v>
      </c>
      <c r="O9" s="1643"/>
      <c r="P9" s="2638">
        <f>FACILITIES!E$299</f>
        <v>0.52800000000000002</v>
      </c>
      <c r="Q9" s="2639">
        <f>FACILITIES!E$319</f>
        <v>0.69199999999999995</v>
      </c>
      <c r="R9" s="2572">
        <f>FACILITIES!E$339</f>
        <v>0.64100000000000001</v>
      </c>
      <c r="S9" s="2574">
        <f>FACILITIES!E$379</f>
        <v>0.71199999999999997</v>
      </c>
      <c r="T9" s="2575">
        <f>FACILITIES!E$399</f>
        <v>0.87270000000000003</v>
      </c>
      <c r="U9" s="2576">
        <f>FACILITIES!E$419</f>
        <v>0.81010000000000004</v>
      </c>
      <c r="V9" s="441"/>
    </row>
    <row r="10" spans="1:22" s="230" customFormat="1" ht="21.95" customHeight="1">
      <c r="A10" s="2628">
        <v>42491</v>
      </c>
      <c r="B10" s="2660">
        <f t="shared" si="0"/>
        <v>0.73857222222222219</v>
      </c>
      <c r="C10" s="2662">
        <f>FACILITIES!F$219</f>
        <v>0.82</v>
      </c>
      <c r="D10" s="2654">
        <f>FACILITIES!F$59</f>
        <v>0.58799999999999997</v>
      </c>
      <c r="E10" s="2655">
        <f>FACILITIES!F$79</f>
        <v>0.92200000000000004</v>
      </c>
      <c r="F10" s="2655">
        <f>FACILITIES!F$99</f>
        <v>0.875</v>
      </c>
      <c r="G10" s="2647">
        <f>FACILITIES!F$179</f>
        <v>0.80500000000000005</v>
      </c>
      <c r="H10" s="2655">
        <f>FACILITIES!F$19</f>
        <v>0.68</v>
      </c>
      <c r="I10" s="2647">
        <f>FACILITIES!F$239</f>
        <v>0</v>
      </c>
      <c r="J10" s="2646">
        <f>FACILITIES!F$279</f>
        <v>0.78300000000000003</v>
      </c>
      <c r="K10" s="2647">
        <f>FACILITIES!F$119</f>
        <v>0.67</v>
      </c>
      <c r="L10" s="2648">
        <f>FACILITIES!F$259</f>
        <v>0.81200000000000006</v>
      </c>
      <c r="M10" s="2645">
        <f>FACILITIES!F$159</f>
        <v>0.83299999999999996</v>
      </c>
      <c r="N10" s="2641">
        <f>FACILITIES!F$139</f>
        <v>0.69499999999999995</v>
      </c>
      <c r="O10" s="1643"/>
      <c r="P10" s="2634">
        <f>FACILITIES!F$299</f>
        <v>0.84199999999999997</v>
      </c>
      <c r="Q10" s="2635">
        <f>FACILITIES!F$319</f>
        <v>0.876</v>
      </c>
      <c r="R10" s="1646">
        <f>FACILITIES!F$339</f>
        <v>0.58099999999999996</v>
      </c>
      <c r="S10" s="2572">
        <f>FACILITIES!F$379</f>
        <v>0.76400000000000001</v>
      </c>
      <c r="T10" s="2572">
        <f>FACILITIES!F$399</f>
        <v>0.87719999999999998</v>
      </c>
      <c r="U10" s="2573">
        <f>FACILITIES!F$419</f>
        <v>0.87109999999999999</v>
      </c>
      <c r="V10" s="441"/>
    </row>
    <row r="11" spans="1:22" s="230" customFormat="1" ht="21.95" customHeight="1">
      <c r="A11" s="2628">
        <v>42522</v>
      </c>
      <c r="B11" s="2663">
        <f t="shared" si="0"/>
        <v>0.7058444444444445</v>
      </c>
      <c r="C11" s="2656">
        <f>FACILITIES!G$219</f>
        <v>0.86</v>
      </c>
      <c r="D11" s="2657">
        <f>FACILITIES!G$59</f>
        <v>0.59899999999999998</v>
      </c>
      <c r="E11" s="2655">
        <f>FACILITIES!G$79</f>
        <v>0.83699999999999997</v>
      </c>
      <c r="F11" s="2648">
        <f>FACILITIES!G$99</f>
        <v>0.86599999999999999</v>
      </c>
      <c r="G11" s="2647">
        <f>FACILITIES!G$179</f>
        <v>0.86099999999999999</v>
      </c>
      <c r="H11" s="2655">
        <f>FACILITIES!G$19</f>
        <v>0.71499999999999997</v>
      </c>
      <c r="I11" s="2658">
        <f>FACILITIES!G$239</f>
        <v>0</v>
      </c>
      <c r="J11" s="2646">
        <f>FACILITIES!G$279</f>
        <v>0.61099999999999999</v>
      </c>
      <c r="K11" s="2647">
        <f>FACILITIES!G$119</f>
        <v>0.64200000000000002</v>
      </c>
      <c r="L11" s="2648">
        <f>FACILITIES!G$259</f>
        <v>0.76600000000000001</v>
      </c>
      <c r="M11" s="2645">
        <f>FACILITIES!G$159</f>
        <v>0.65900000000000003</v>
      </c>
      <c r="N11" s="2641">
        <f>FACILITIES!G$139</f>
        <v>0.76900000000000002</v>
      </c>
      <c r="O11" s="1648"/>
      <c r="P11" s="2634">
        <f>FACILITIES!G$299</f>
        <v>0.57699999999999996</v>
      </c>
      <c r="Q11" s="2635">
        <f>FACILITIES!G$319</f>
        <v>0.83299999999999996</v>
      </c>
      <c r="R11" s="2104">
        <f>FACILITIES!G$339</f>
        <v>0.6</v>
      </c>
      <c r="S11" s="1646">
        <f>FACILITIES!G$379</f>
        <v>0.77800000000000002</v>
      </c>
      <c r="T11" s="2572">
        <f>FACILITIES!G$399</f>
        <v>0.89219999999999999</v>
      </c>
      <c r="U11" s="2573">
        <f>FACILITIES!G$419</f>
        <v>0.84</v>
      </c>
      <c r="V11" s="441"/>
    </row>
    <row r="12" spans="1:22" s="230" customFormat="1" ht="21.95" customHeight="1">
      <c r="A12" s="2628">
        <v>42552</v>
      </c>
      <c r="B12" s="2663">
        <f t="shared" si="0"/>
        <v>0.74713333333333343</v>
      </c>
      <c r="C12" s="2656">
        <f>FACILITIES!H$219</f>
        <v>0.83</v>
      </c>
      <c r="D12" s="2657">
        <f>FACILITIES!H$59</f>
        <v>0.59799999999999998</v>
      </c>
      <c r="E12" s="2655">
        <f>FACILITIES!H$79</f>
        <v>0.78800000000000003</v>
      </c>
      <c r="F12" s="2648">
        <f>FACILITIES!H$99</f>
        <v>0.98399999999999999</v>
      </c>
      <c r="G12" s="2647">
        <f>FACILITIES!H$179</f>
        <v>0.84299999999999997</v>
      </c>
      <c r="H12" s="2655">
        <f>FACILITIES!H$19</f>
        <v>0.78900000000000003</v>
      </c>
      <c r="I12" s="2582"/>
      <c r="J12" s="2646">
        <f>FACILITIES!H$279</f>
        <v>0.76200000000000001</v>
      </c>
      <c r="K12" s="2647">
        <f>FACILITIES!H$119</f>
        <v>0.60899999999999999</v>
      </c>
      <c r="L12" s="2648">
        <f>FACILITIES!H$259</f>
        <v>0.753</v>
      </c>
      <c r="M12" s="2645">
        <f>FACILITIES!H$159</f>
        <v>0.83299999999999996</v>
      </c>
      <c r="N12" s="2641">
        <f>FACILITIES!H$139</f>
        <v>0.74399999999999999</v>
      </c>
      <c r="O12" s="1648"/>
      <c r="P12" s="2634">
        <f>FACILITIES!H$299</f>
        <v>0.65900000000000003</v>
      </c>
      <c r="Q12" s="2635">
        <f>FACILITIES!H$319</f>
        <v>0.61799999999999999</v>
      </c>
      <c r="R12" s="2104">
        <f>FACILITIES!H$339</f>
        <v>0.59599999999999997</v>
      </c>
      <c r="S12" s="1646">
        <f>FACILITIES!H$379</f>
        <v>0.80100000000000005</v>
      </c>
      <c r="T12" s="2708" t="s">
        <v>766</v>
      </c>
      <c r="U12" s="2709" t="s">
        <v>766</v>
      </c>
      <c r="V12" s="441"/>
    </row>
    <row r="13" spans="1:22" s="230" customFormat="1" ht="21.95" customHeight="1">
      <c r="A13" s="2628">
        <v>42583</v>
      </c>
      <c r="B13" s="2663">
        <f t="shared" si="0"/>
        <v>0.74733333333333329</v>
      </c>
      <c r="C13" s="2656">
        <f>FACILITIES!I$219</f>
        <v>0.85</v>
      </c>
      <c r="D13" s="2657">
        <f>FACILITIES!I$59</f>
        <v>0.58499999999999996</v>
      </c>
      <c r="E13" s="2655">
        <f>FACILITIES!I$79</f>
        <v>0.88200000000000001</v>
      </c>
      <c r="F13" s="2648">
        <f>FACILITIES!I$99</f>
        <v>0.85899999999999999</v>
      </c>
      <c r="G13" s="2647">
        <f>FACILITIES!I$179</f>
        <v>0.94499999999999995</v>
      </c>
      <c r="H13" s="2655">
        <f>FACILITIES!I$19</f>
        <v>0.80200000000000005</v>
      </c>
      <c r="I13" s="2404"/>
      <c r="J13" s="2646">
        <f>FACILITIES!I$279</f>
        <v>0.63200000000000001</v>
      </c>
      <c r="K13" s="2647">
        <f>FACILITIES!I$119</f>
        <v>0.55000000000000004</v>
      </c>
      <c r="L13" s="2648">
        <f>FACILITIES!I$259</f>
        <v>0.96</v>
      </c>
      <c r="M13" s="2645">
        <f>FACILITIES!I$159</f>
        <v>0.63300000000000001</v>
      </c>
      <c r="N13" s="2641">
        <f>FACILITIES!I$139</f>
        <v>0.66200000000000003</v>
      </c>
      <c r="O13" s="1648"/>
      <c r="P13" s="2634">
        <f>FACILITIES!I$299</f>
        <v>0.70599999999999996</v>
      </c>
      <c r="Q13" s="2635">
        <f>FACILITIES!I$319</f>
        <v>0.61899999999999999</v>
      </c>
      <c r="R13" s="2104">
        <f>FACILITIES!I$339</f>
        <v>0.72399999999999998</v>
      </c>
      <c r="S13" s="1646">
        <f>FACILITIES!I$379</f>
        <v>0.80100000000000005</v>
      </c>
      <c r="T13" s="2708" t="s">
        <v>766</v>
      </c>
      <c r="U13" s="2709" t="s">
        <v>766</v>
      </c>
      <c r="V13" s="441"/>
    </row>
    <row r="14" spans="1:22" s="230" customFormat="1" ht="21.95" customHeight="1">
      <c r="A14" s="2628">
        <v>42614</v>
      </c>
      <c r="B14" s="2663">
        <f t="shared" si="0"/>
        <v>0.71093333333333342</v>
      </c>
      <c r="C14" s="2656">
        <f>FACILITIES!J$219</f>
        <v>0.877</v>
      </c>
      <c r="D14" s="2657">
        <f>FACILITIES!J$59</f>
        <v>0.59599999999999997</v>
      </c>
      <c r="E14" s="2655">
        <f>FACILITIES!J$79</f>
        <v>0.82899999999999996</v>
      </c>
      <c r="F14" s="2648">
        <f>FACILITIES!J$99</f>
        <v>0.83799999999999997</v>
      </c>
      <c r="G14" s="2647">
        <f>FACILITIES!J$179</f>
        <v>0.79800000000000004</v>
      </c>
      <c r="H14" s="2655">
        <f>FACILITIES!J$19</f>
        <v>0.749</v>
      </c>
      <c r="I14" s="2404"/>
      <c r="J14" s="2646">
        <f>FACILITIES!J$279</f>
        <v>0.63300000000000001</v>
      </c>
      <c r="K14" s="2647">
        <f>FACILITIES!J$119</f>
        <v>0.55200000000000005</v>
      </c>
      <c r="L14" s="2648">
        <f>FACILITIES!J$259</f>
        <v>0.88600000000000001</v>
      </c>
      <c r="M14" s="2645">
        <f>FACILITIES!J$159</f>
        <v>0.70599999999999996</v>
      </c>
      <c r="N14" s="2641">
        <f>FACILITIES!J$139</f>
        <v>0.66700000000000004</v>
      </c>
      <c r="O14" s="1648"/>
      <c r="P14" s="2634">
        <f>FACILITIES!J$299</f>
        <v>0.53100000000000003</v>
      </c>
      <c r="Q14" s="2635">
        <f>FACILITIES!J$319</f>
        <v>0.68799999999999994</v>
      </c>
      <c r="R14" s="2104">
        <f>FACILITIES!J$339</f>
        <v>0.69299999999999995</v>
      </c>
      <c r="S14" s="1646">
        <f>FACILITIES!J$379</f>
        <v>0.621</v>
      </c>
      <c r="T14" s="2710" t="s">
        <v>766</v>
      </c>
      <c r="U14" s="2711" t="s">
        <v>766</v>
      </c>
      <c r="V14" s="441"/>
    </row>
    <row r="15" spans="1:22" s="230" customFormat="1" ht="21.95" customHeight="1">
      <c r="A15" s="2628">
        <v>42644</v>
      </c>
      <c r="B15" s="2663">
        <f t="shared" si="0"/>
        <v>0.71846153846153848</v>
      </c>
      <c r="C15" s="2656" t="s">
        <v>766</v>
      </c>
      <c r="D15" s="2657">
        <f>FACILITIES!K$59</f>
        <v>0.60799999999999998</v>
      </c>
      <c r="E15" s="2655">
        <f>FACILITIES!K$79</f>
        <v>0.66900000000000004</v>
      </c>
      <c r="F15" s="2648">
        <f>FACILITIES!K$99</f>
        <v>0.85499999999999998</v>
      </c>
      <c r="G15" s="2647">
        <f>FACILITIES!K$179</f>
        <v>0.83099999999999996</v>
      </c>
      <c r="H15" s="2655">
        <f>FACILITIES!K$19</f>
        <v>0.70699999999999996</v>
      </c>
      <c r="I15" s="2404"/>
      <c r="J15" s="2646" t="s">
        <v>766</v>
      </c>
      <c r="K15" s="2647">
        <f>FACILITIES!K$119</f>
        <v>0.71899999999999997</v>
      </c>
      <c r="L15" s="2648">
        <f>FACILITIES!K$259</f>
        <v>0.871</v>
      </c>
      <c r="M15" s="2645">
        <f>FACILITIES!K$159</f>
        <v>0.90900000000000003</v>
      </c>
      <c r="N15" s="2641">
        <f>FACILITIES!K$139</f>
        <v>0.61599999999999999</v>
      </c>
      <c r="O15" s="1648"/>
      <c r="P15" s="2634">
        <f>FACILITIES!K$299</f>
        <v>0.54800000000000004</v>
      </c>
      <c r="Q15" s="2635">
        <f>FACILITIES!K$319</f>
        <v>0.629</v>
      </c>
      <c r="R15" s="2104">
        <f>FACILITIES!K$339</f>
        <v>0.61199999999999999</v>
      </c>
      <c r="S15" s="1646">
        <f>FACILITIES!K$379</f>
        <v>0.76600000000000001</v>
      </c>
      <c r="T15" s="2710" t="s">
        <v>766</v>
      </c>
      <c r="U15" s="2711" t="s">
        <v>766</v>
      </c>
      <c r="V15" s="441"/>
    </row>
    <row r="16" spans="1:22" s="230" customFormat="1" ht="21.95" customHeight="1">
      <c r="A16" s="2628">
        <v>42675</v>
      </c>
      <c r="B16" s="2663">
        <f t="shared" si="0"/>
        <v>0.73290000000000011</v>
      </c>
      <c r="C16" s="2629" t="s">
        <v>766</v>
      </c>
      <c r="D16" s="2657">
        <f>FACILITIES!L$59</f>
        <v>0.56000000000000005</v>
      </c>
      <c r="E16" s="2655">
        <f>FACILITIES!L$79</f>
        <v>0.84899999999999998</v>
      </c>
      <c r="F16" s="2648">
        <f>FACILITIES!L$99</f>
        <v>0.90200000000000002</v>
      </c>
      <c r="G16" s="2647">
        <f>FACILITIES!L$179</f>
        <v>0.90400000000000003</v>
      </c>
      <c r="H16" s="2655">
        <f>FACILITIES!L$19</f>
        <v>0.76500000000000001</v>
      </c>
      <c r="I16" s="2404"/>
      <c r="J16" s="2646" t="s">
        <v>766</v>
      </c>
      <c r="K16" s="2647">
        <f>FACILITIES!L$119</f>
        <v>0.66700000000000004</v>
      </c>
      <c r="L16" s="2648" t="s">
        <v>766</v>
      </c>
      <c r="M16" s="2645">
        <f>FACILITIES!L$159</f>
        <v>0.63600000000000001</v>
      </c>
      <c r="N16" s="2641">
        <f>FACILITIES!L$139</f>
        <v>0.68899999999999995</v>
      </c>
      <c r="O16" s="1648"/>
      <c r="P16" s="2634" t="s">
        <v>766</v>
      </c>
      <c r="Q16" s="2635" t="s">
        <v>766</v>
      </c>
      <c r="R16" s="2104">
        <f>FACILITIES!L$339</f>
        <v>0.59599999999999997</v>
      </c>
      <c r="S16" s="1646">
        <f>FACILITIES!L$379</f>
        <v>0.76100000000000001</v>
      </c>
      <c r="T16" s="2710" t="s">
        <v>766</v>
      </c>
      <c r="U16" s="2711" t="s">
        <v>766</v>
      </c>
      <c r="V16" s="441"/>
    </row>
    <row r="17" spans="1:22" s="230" customFormat="1" ht="21.95" customHeight="1">
      <c r="A17" s="2628">
        <v>42705</v>
      </c>
      <c r="B17" s="2663">
        <f t="shared" si="0"/>
        <v>0.76663636363636367</v>
      </c>
      <c r="C17" s="2659" t="s">
        <v>766</v>
      </c>
      <c r="D17" s="2657">
        <v>0.60099999999999998</v>
      </c>
      <c r="E17" s="2655">
        <v>0.73099999999999998</v>
      </c>
      <c r="F17" s="2648">
        <v>0.85599999999999998</v>
      </c>
      <c r="G17" s="2647">
        <f>FACILITIES!M$179</f>
        <v>0.94</v>
      </c>
      <c r="H17" s="2655">
        <v>0.77400000000000002</v>
      </c>
      <c r="I17" s="2405"/>
      <c r="J17" s="1649" t="s">
        <v>766</v>
      </c>
      <c r="K17" s="2647">
        <f>FACILITIES!M$119</f>
        <v>0.64200000000000002</v>
      </c>
      <c r="L17" s="1650">
        <v>0.82899999999999996</v>
      </c>
      <c r="M17" s="2645">
        <f>FACILITIES!M$159</f>
        <v>0.94</v>
      </c>
      <c r="N17" s="2641">
        <f>FACILITIES!M$139</f>
        <v>0.63400000000000001</v>
      </c>
      <c r="O17" s="1648"/>
      <c r="P17" s="2714" t="s">
        <v>766</v>
      </c>
      <c r="Q17" s="2714" t="s">
        <v>766</v>
      </c>
      <c r="R17" s="1651">
        <v>0.68799999999999994</v>
      </c>
      <c r="S17" s="1651">
        <v>0.79800000000000004</v>
      </c>
      <c r="T17" s="2712" t="s">
        <v>766</v>
      </c>
      <c r="U17" s="2713" t="s">
        <v>766</v>
      </c>
      <c r="V17" s="441"/>
    </row>
    <row r="18" spans="1:22" s="230" customFormat="1" ht="21.95" customHeight="1" thickBot="1">
      <c r="A18" s="1652" t="s">
        <v>294</v>
      </c>
      <c r="B18" s="2668">
        <f>AVERAGE(B6:B17)</f>
        <v>0.72955630665630666</v>
      </c>
      <c r="C18" s="1653">
        <f t="shared" ref="C18:Q18" si="1">AVERAGE(C6:C17)</f>
        <v>0.84855555555555551</v>
      </c>
      <c r="D18" s="1653">
        <f t="shared" si="1"/>
        <v>0.59</v>
      </c>
      <c r="E18" s="1653">
        <f t="shared" si="1"/>
        <v>0.8171666666666666</v>
      </c>
      <c r="F18" s="1653">
        <f t="shared" si="1"/>
        <v>0.87233333333333318</v>
      </c>
      <c r="G18" s="1653">
        <f t="shared" si="1"/>
        <v>0.84441666666666659</v>
      </c>
      <c r="H18" s="1653">
        <f t="shared" si="1"/>
        <v>0.7280833333333333</v>
      </c>
      <c r="I18" s="1653">
        <f t="shared" si="1"/>
        <v>0.42650000000000005</v>
      </c>
      <c r="J18" s="1653">
        <f t="shared" si="1"/>
        <v>0.71401111111111104</v>
      </c>
      <c r="K18" s="1654">
        <f t="shared" si="1"/>
        <v>0.59975000000000012</v>
      </c>
      <c r="L18" s="1654">
        <f t="shared" si="1"/>
        <v>0.84209090909090911</v>
      </c>
      <c r="M18" s="1654">
        <f>AVERAGE(M6:M17)</f>
        <v>0.77974999999999994</v>
      </c>
      <c r="N18" s="1654">
        <f t="shared" si="1"/>
        <v>0.63908333333333334</v>
      </c>
      <c r="O18" s="2667"/>
      <c r="P18" s="1654">
        <f t="shared" si="1"/>
        <v>0.60799999999999987</v>
      </c>
      <c r="Q18" s="1654">
        <f t="shared" si="1"/>
        <v>0.7026</v>
      </c>
      <c r="R18" s="1654">
        <f>AVERAGE(R6:R17)</f>
        <v>0.61191666666666666</v>
      </c>
      <c r="S18" s="1654">
        <f>AVERAGE(S6:S17)</f>
        <v>0.74683333333333335</v>
      </c>
      <c r="T18" s="1654">
        <f>AVERAGE(T6:T17)</f>
        <v>0.86945000000000006</v>
      </c>
      <c r="U18" s="1655">
        <f>AVERAGE(U6:U17)</f>
        <v>0.86436666666666673</v>
      </c>
      <c r="V18" s="441"/>
    </row>
    <row r="19" spans="1:22" ht="21.95" customHeight="1" thickTop="1">
      <c r="A19" s="2776">
        <f>AVERAGE(J20,L20,Q20,E20,F20)</f>
        <v>0.79966666666666653</v>
      </c>
      <c r="B19" s="175" t="s">
        <v>501</v>
      </c>
      <c r="C19" s="2780">
        <f t="shared" ref="C19:H19" si="2">AVERAGE(C6:C8)</f>
        <v>0.85333333333333339</v>
      </c>
      <c r="D19" s="86">
        <f t="shared" si="2"/>
        <v>0.54866666666666664</v>
      </c>
      <c r="E19" s="86">
        <f t="shared" si="2"/>
        <v>0.83866666666666667</v>
      </c>
      <c r="F19" s="86">
        <f t="shared" si="2"/>
        <v>0.85599999999999998</v>
      </c>
      <c r="G19" s="86">
        <f t="shared" si="2"/>
        <v>0.78766666666666663</v>
      </c>
      <c r="H19" s="86">
        <f t="shared" si="2"/>
        <v>0.67433333333333334</v>
      </c>
      <c r="I19" s="86"/>
      <c r="J19" s="86">
        <f t="shared" ref="J19:N19" si="3">AVERAGE(J6:J8)</f>
        <v>0.79269999999999996</v>
      </c>
      <c r="K19" s="86">
        <f t="shared" si="3"/>
        <v>0.51766666666666661</v>
      </c>
      <c r="L19" s="86">
        <f t="shared" si="3"/>
        <v>0.84633333333333327</v>
      </c>
      <c r="M19" s="86">
        <f t="shared" si="3"/>
        <v>0.77300000000000002</v>
      </c>
      <c r="N19" s="86">
        <f t="shared" si="3"/>
        <v>0.53400000000000003</v>
      </c>
      <c r="O19" s="86"/>
      <c r="P19" s="86">
        <f t="shared" ref="P19:U19" si="4">AVERAGE(P6:P8)</f>
        <v>0.56300000000000006</v>
      </c>
      <c r="Q19" s="86">
        <f t="shared" si="4"/>
        <v>0.69033333333333335</v>
      </c>
      <c r="R19" s="86">
        <f t="shared" si="4"/>
        <v>0.53733333333333333</v>
      </c>
      <c r="S19" s="120">
        <f t="shared" si="4"/>
        <v>0.72000000000000008</v>
      </c>
      <c r="T19" s="120">
        <f t="shared" si="4"/>
        <v>0.85820000000000007</v>
      </c>
      <c r="U19" s="120">
        <f t="shared" si="4"/>
        <v>0.88833333333333331</v>
      </c>
    </row>
    <row r="20" spans="1:22" ht="21.95" customHeight="1">
      <c r="B20" s="175" t="s">
        <v>502</v>
      </c>
      <c r="C20" s="86">
        <f t="shared" ref="C20:H20" si="5">AVERAGE(C9:C11)</f>
        <v>0.84</v>
      </c>
      <c r="D20" s="86">
        <f t="shared" si="5"/>
        <v>0.6286666666666666</v>
      </c>
      <c r="E20" s="86">
        <f t="shared" si="5"/>
        <v>0.84733333333333327</v>
      </c>
      <c r="F20" s="86">
        <f t="shared" si="5"/>
        <v>0.86866666666666659</v>
      </c>
      <c r="G20" s="86">
        <f t="shared" si="5"/>
        <v>0.83633333333333348</v>
      </c>
      <c r="H20" s="86">
        <f t="shared" si="5"/>
        <v>0.70933333333333337</v>
      </c>
      <c r="I20" s="86"/>
      <c r="J20" s="86">
        <f t="shared" ref="J20:N20" si="6">AVERAGE(J9:J11)</f>
        <v>0.67366666666666664</v>
      </c>
      <c r="K20" s="86">
        <f t="shared" si="6"/>
        <v>0.6349999999999999</v>
      </c>
      <c r="L20" s="86">
        <f t="shared" si="6"/>
        <v>0.80833333333333324</v>
      </c>
      <c r="M20" s="86">
        <f t="shared" si="6"/>
        <v>0.79366666666666674</v>
      </c>
      <c r="N20" s="86">
        <f t="shared" si="6"/>
        <v>0.68500000000000005</v>
      </c>
      <c r="O20" s="86"/>
      <c r="P20" s="86">
        <f t="shared" ref="P20:U20" si="7">AVERAGE(P9:P11)</f>
        <v>0.64900000000000002</v>
      </c>
      <c r="Q20" s="86">
        <f t="shared" si="7"/>
        <v>0.80033333333333323</v>
      </c>
      <c r="R20" s="86">
        <f t="shared" si="7"/>
        <v>0.60733333333333339</v>
      </c>
      <c r="S20" s="120">
        <f t="shared" si="7"/>
        <v>0.7513333333333333</v>
      </c>
      <c r="T20" s="120">
        <f t="shared" si="7"/>
        <v>0.88070000000000004</v>
      </c>
      <c r="U20" s="120">
        <f t="shared" si="7"/>
        <v>0.84039999999999992</v>
      </c>
    </row>
    <row r="21" spans="1:22" ht="21.95" customHeight="1">
      <c r="A21" s="2776">
        <f>AVERAGE(L22,D22,E22,Q22)</f>
        <v>0.70458333333333334</v>
      </c>
      <c r="B21" s="175" t="s">
        <v>883</v>
      </c>
      <c r="C21" s="86">
        <f t="shared" ref="C21:H21" si="8">AVERAGE(C12:C14)</f>
        <v>0.85233333333333328</v>
      </c>
      <c r="D21" s="86">
        <f t="shared" si="8"/>
        <v>0.59299999999999997</v>
      </c>
      <c r="E21" s="86">
        <f t="shared" si="8"/>
        <v>0.83299999999999985</v>
      </c>
      <c r="F21" s="86">
        <f t="shared" si="8"/>
        <v>0.89366666666666672</v>
      </c>
      <c r="G21" s="86">
        <f t="shared" si="8"/>
        <v>0.86199999999999999</v>
      </c>
      <c r="H21" s="86">
        <f t="shared" si="8"/>
        <v>0.78000000000000014</v>
      </c>
      <c r="I21" s="86"/>
      <c r="J21" s="86">
        <f t="shared" ref="J21:N21" si="9">AVERAGE(J12:J14)</f>
        <v>0.67566666666666675</v>
      </c>
      <c r="K21" s="86">
        <f t="shared" si="9"/>
        <v>0.57033333333333336</v>
      </c>
      <c r="L21" s="86">
        <f t="shared" si="9"/>
        <v>0.8663333333333334</v>
      </c>
      <c r="M21" s="86">
        <f t="shared" si="9"/>
        <v>0.72399999999999987</v>
      </c>
      <c r="N21" s="86">
        <f t="shared" si="9"/>
        <v>0.69100000000000017</v>
      </c>
      <c r="O21" s="86"/>
      <c r="P21" s="86">
        <f>AVERAGE(P12:P14)</f>
        <v>0.63200000000000001</v>
      </c>
      <c r="Q21" s="86">
        <f>AVERAGE(Q12:Q14)</f>
        <v>0.64166666666666672</v>
      </c>
      <c r="R21" s="86">
        <f>AVERAGE(R12:R14)</f>
        <v>0.67099999999999993</v>
      </c>
      <c r="S21" s="120">
        <f>AVERAGE(S12:S14)</f>
        <v>0.74099999999999999</v>
      </c>
      <c r="T21" s="120"/>
      <c r="U21" s="120"/>
    </row>
    <row r="22" spans="1:22" ht="21.95" customHeight="1">
      <c r="B22" s="2778" t="s">
        <v>884</v>
      </c>
      <c r="C22" s="2779" t="s">
        <v>766</v>
      </c>
      <c r="D22" s="86">
        <f>AVERAGE(D15:D17)</f>
        <v>0.58966666666666667</v>
      </c>
      <c r="E22" s="86">
        <f t="shared" ref="E22:S22" si="10">AVERAGE(E15:E17)</f>
        <v>0.7496666666666667</v>
      </c>
      <c r="F22" s="86">
        <f t="shared" si="10"/>
        <v>0.871</v>
      </c>
      <c r="G22" s="86">
        <f t="shared" si="10"/>
        <v>0.89166666666666661</v>
      </c>
      <c r="H22" s="86">
        <f t="shared" si="10"/>
        <v>0.7486666666666667</v>
      </c>
      <c r="I22" s="86"/>
      <c r="J22" s="751"/>
      <c r="K22" s="86">
        <f t="shared" si="10"/>
        <v>0.67600000000000005</v>
      </c>
      <c r="L22" s="86">
        <f t="shared" si="10"/>
        <v>0.85</v>
      </c>
      <c r="M22" s="86">
        <f t="shared" si="10"/>
        <v>0.82833333333333325</v>
      </c>
      <c r="N22" s="86">
        <f t="shared" si="10"/>
        <v>0.64633333333333332</v>
      </c>
      <c r="O22" s="86"/>
      <c r="P22" s="86">
        <f t="shared" si="10"/>
        <v>0.54800000000000004</v>
      </c>
      <c r="Q22" s="86">
        <f t="shared" si="10"/>
        <v>0.629</v>
      </c>
      <c r="R22" s="86">
        <f t="shared" si="10"/>
        <v>0.63200000000000001</v>
      </c>
      <c r="S22" s="120">
        <f t="shared" si="10"/>
        <v>0.77500000000000002</v>
      </c>
      <c r="T22" s="2781"/>
      <c r="U22" s="2781"/>
    </row>
    <row r="23" spans="1:22" ht="21.95" customHeight="1"/>
    <row r="24" spans="1:22" ht="21.95" customHeight="1"/>
    <row r="25" spans="1:22" ht="20.100000000000001" customHeight="1"/>
    <row r="26" spans="1:22" ht="20.100000000000001" customHeight="1"/>
    <row r="27" spans="1:22" ht="20.100000000000001" customHeight="1"/>
    <row r="28" spans="1:22" ht="20.100000000000001" customHeight="1"/>
    <row r="29" spans="1:22" ht="20.100000000000001" customHeight="1"/>
    <row r="30" spans="1:22" ht="20.100000000000001" customHeight="1"/>
    <row r="31" spans="1:22" ht="20.100000000000001" customHeight="1"/>
    <row r="32" spans="1:2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</sheetData>
  <mergeCells count="21">
    <mergeCell ref="M4:M5"/>
    <mergeCell ref="A4:A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B4:B5"/>
    <mergeCell ref="T4:T5"/>
    <mergeCell ref="U4:U5"/>
    <mergeCell ref="N4:N5"/>
    <mergeCell ref="O4:O5"/>
    <mergeCell ref="P4:P5"/>
    <mergeCell ref="Q4:Q5"/>
    <mergeCell ref="R4:R5"/>
    <mergeCell ref="S4:S5"/>
  </mergeCells>
  <printOptions horizontalCentered="1"/>
  <pageMargins left="0" right="0" top="1.25" bottom="0" header="0.3" footer="0.3"/>
  <pageSetup paperSize="5" scale="78" fitToHeight="0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5" tint="-0.249977111117893"/>
    <pageSetUpPr fitToPage="1"/>
  </sheetPr>
  <dimension ref="A1:S39"/>
  <sheetViews>
    <sheetView showGridLines="0" zoomScale="80" zoomScaleNormal="80" workbookViewId="0">
      <selection activeCell="D32" sqref="D32"/>
    </sheetView>
  </sheetViews>
  <sheetFormatPr defaultColWidth="9.140625" defaultRowHeight="15"/>
  <cols>
    <col min="1" max="1" width="9.28515625" style="23" customWidth="1"/>
    <col min="2" max="2" width="14.85546875" style="23" customWidth="1"/>
    <col min="3" max="6" width="9.140625" style="23"/>
    <col min="7" max="7" width="10.42578125" style="23" customWidth="1"/>
    <col min="8" max="8" width="11.42578125" style="23" customWidth="1"/>
    <col min="9" max="10" width="9.140625" style="23"/>
    <col min="11" max="11" width="10.7109375" style="23" customWidth="1"/>
    <col min="12" max="12" width="12.85546875" style="23" customWidth="1"/>
    <col min="13" max="13" width="13.28515625" style="23" customWidth="1"/>
    <col min="14" max="14" width="15" style="23" customWidth="1"/>
    <col min="15" max="15" width="12.5703125" style="23" customWidth="1"/>
    <col min="16" max="16" width="13.85546875" style="23" customWidth="1"/>
    <col min="17" max="18" width="12.7109375" style="23" customWidth="1"/>
    <col min="19" max="19" width="12.28515625" style="23" customWidth="1"/>
    <col min="20" max="20" width="1.42578125" style="23" customWidth="1"/>
    <col min="21" max="16384" width="9.140625" style="23"/>
  </cols>
  <sheetData>
    <row r="1" ht="20.100000000000001" customHeight="1"/>
    <row r="2" ht="20.100000000000001" customHeight="1"/>
    <row r="3" ht="20.100000000000001" customHeight="1"/>
    <row r="4" ht="20.100000000000001" customHeight="1"/>
    <row r="5" ht="20.100000000000001" customHeight="1"/>
    <row r="6" ht="20.100000000000001" customHeight="1"/>
    <row r="7" ht="20.100000000000001" customHeight="1"/>
    <row r="8" ht="20.100000000000001" customHeight="1"/>
    <row r="9" ht="20.100000000000001" customHeight="1"/>
    <row r="10" ht="20.100000000000001" customHeight="1"/>
    <row r="11" ht="20.100000000000001" customHeight="1"/>
    <row r="12" ht="20.100000000000001" customHeight="1"/>
    <row r="13" ht="20.100000000000001" customHeight="1"/>
    <row r="14" ht="20.100000000000001" customHeight="1"/>
    <row r="15" ht="20.100000000000001" customHeight="1"/>
    <row r="16" ht="20.100000000000001" customHeight="1"/>
    <row r="17" spans="1:19" ht="20.100000000000001" customHeight="1"/>
    <row r="18" spans="1:19" ht="20.25" customHeight="1">
      <c r="A18" s="200" t="s">
        <v>274</v>
      </c>
      <c r="C18" s="254" t="s">
        <v>362</v>
      </c>
    </row>
    <row r="19" spans="1:19" ht="3" customHeight="1" thickBot="1">
      <c r="A19" s="200"/>
      <c r="C19" s="254"/>
    </row>
    <row r="20" spans="1:19" ht="50.1" customHeight="1" thickTop="1" thickBot="1">
      <c r="A20" s="1547" t="s">
        <v>276</v>
      </c>
      <c r="B20" s="1548" t="s">
        <v>823</v>
      </c>
      <c r="C20" s="1549" t="s">
        <v>6</v>
      </c>
      <c r="D20" s="1549" t="s">
        <v>29</v>
      </c>
      <c r="E20" s="1549" t="s">
        <v>41</v>
      </c>
      <c r="F20" s="1549" t="s">
        <v>9</v>
      </c>
      <c r="G20" s="1549" t="s">
        <v>84</v>
      </c>
      <c r="H20" s="1549" t="s">
        <v>28</v>
      </c>
      <c r="I20" s="1549" t="s">
        <v>219</v>
      </c>
      <c r="J20" s="1549" t="s">
        <v>372</v>
      </c>
      <c r="K20" s="1549" t="s">
        <v>30</v>
      </c>
      <c r="L20" s="1549" t="s">
        <v>314</v>
      </c>
      <c r="M20" s="1549" t="s">
        <v>85</v>
      </c>
      <c r="N20" s="1549" t="s">
        <v>251</v>
      </c>
      <c r="O20" s="1549" t="s">
        <v>31</v>
      </c>
      <c r="P20" s="1549" t="s">
        <v>81</v>
      </c>
      <c r="Q20" s="1548" t="s">
        <v>378</v>
      </c>
      <c r="R20" s="1548" t="s">
        <v>379</v>
      </c>
      <c r="S20" s="1550" t="s">
        <v>377</v>
      </c>
    </row>
    <row r="21" spans="1:19" ht="20.100000000000001" customHeight="1" thickTop="1">
      <c r="A21" s="1551">
        <v>42370</v>
      </c>
      <c r="B21" s="1557">
        <f>3/4</f>
        <v>0.75</v>
      </c>
      <c r="C21" s="1561" t="s">
        <v>307</v>
      </c>
      <c r="D21" s="1561" t="s">
        <v>307</v>
      </c>
      <c r="E21" s="1560" t="s">
        <v>170</v>
      </c>
      <c r="F21" s="1560" t="s">
        <v>170</v>
      </c>
      <c r="G21" s="1560" t="s">
        <v>170</v>
      </c>
      <c r="H21" s="1561" t="s">
        <v>308</v>
      </c>
      <c r="I21" s="1560" t="s">
        <v>170</v>
      </c>
      <c r="J21" s="1561" t="s">
        <v>307</v>
      </c>
      <c r="K21" s="1562" t="s">
        <v>170</v>
      </c>
      <c r="L21" s="1563" t="s">
        <v>170</v>
      </c>
      <c r="M21" s="1562" t="s">
        <v>170</v>
      </c>
      <c r="N21" s="1562" t="s">
        <v>170</v>
      </c>
      <c r="O21" s="1562" t="s">
        <v>170</v>
      </c>
      <c r="P21" s="1562" t="s">
        <v>170</v>
      </c>
      <c r="Q21" s="1562" t="s">
        <v>170</v>
      </c>
      <c r="R21" s="1562" t="s">
        <v>170</v>
      </c>
      <c r="S21" s="1564" t="s">
        <v>170</v>
      </c>
    </row>
    <row r="22" spans="1:19" ht="20.100000000000001" customHeight="1">
      <c r="A22" s="1552">
        <v>42401</v>
      </c>
      <c r="B22" s="1558">
        <f>3/6</f>
        <v>0.5</v>
      </c>
      <c r="C22" s="1565" t="s">
        <v>170</v>
      </c>
      <c r="D22" s="1565" t="s">
        <v>170</v>
      </c>
      <c r="E22" s="1565" t="s">
        <v>170</v>
      </c>
      <c r="F22" s="1565" t="s">
        <v>170</v>
      </c>
      <c r="G22" s="1565" t="s">
        <v>170</v>
      </c>
      <c r="H22" s="1566" t="s">
        <v>760</v>
      </c>
      <c r="I22" s="1565" t="s">
        <v>170</v>
      </c>
      <c r="J22" s="1565" t="s">
        <v>170</v>
      </c>
      <c r="K22" s="1565" t="s">
        <v>170</v>
      </c>
      <c r="L22" s="1565" t="s">
        <v>170</v>
      </c>
      <c r="M22" s="1566" t="s">
        <v>307</v>
      </c>
      <c r="N22" s="1565" t="s">
        <v>170</v>
      </c>
      <c r="O22" s="1565" t="s">
        <v>170</v>
      </c>
      <c r="P22" s="1566" t="s">
        <v>307</v>
      </c>
      <c r="Q22" s="1565" t="s">
        <v>170</v>
      </c>
      <c r="R22" s="1565" t="s">
        <v>170</v>
      </c>
      <c r="S22" s="1567" t="s">
        <v>170</v>
      </c>
    </row>
    <row r="23" spans="1:19" ht="20.100000000000001" customHeight="1">
      <c r="A23" s="1552">
        <v>42430</v>
      </c>
      <c r="B23" s="1558">
        <f>5/5</f>
        <v>1</v>
      </c>
      <c r="C23" s="1565" t="s">
        <v>170</v>
      </c>
      <c r="D23" s="1566" t="s">
        <v>307</v>
      </c>
      <c r="E23" s="1565" t="s">
        <v>170</v>
      </c>
      <c r="F23" s="1565" t="s">
        <v>170</v>
      </c>
      <c r="G23" s="1566" t="s">
        <v>307</v>
      </c>
      <c r="H23" s="1565" t="s">
        <v>170</v>
      </c>
      <c r="I23" s="1565" t="s">
        <v>170</v>
      </c>
      <c r="J23" s="1565" t="s">
        <v>170</v>
      </c>
      <c r="K23" s="1566" t="s">
        <v>307</v>
      </c>
      <c r="L23" s="1565" t="s">
        <v>170</v>
      </c>
      <c r="M23" s="1566" t="s">
        <v>307</v>
      </c>
      <c r="N23" s="1565" t="s">
        <v>170</v>
      </c>
      <c r="O23" s="1565" t="s">
        <v>170</v>
      </c>
      <c r="P23" s="1565" t="s">
        <v>170</v>
      </c>
      <c r="Q23" s="1565" t="s">
        <v>170</v>
      </c>
      <c r="R23" s="1565" t="s">
        <v>170</v>
      </c>
      <c r="S23" s="1885" t="s">
        <v>307</v>
      </c>
    </row>
    <row r="24" spans="1:19" ht="20.100000000000001" customHeight="1">
      <c r="A24" s="1552">
        <v>42461</v>
      </c>
      <c r="B24" s="1558">
        <f>3/3</f>
        <v>1</v>
      </c>
      <c r="C24" s="1565" t="s">
        <v>170</v>
      </c>
      <c r="D24" s="1565" t="s">
        <v>170</v>
      </c>
      <c r="E24" s="1565" t="s">
        <v>170</v>
      </c>
      <c r="F24" s="1565" t="s">
        <v>170</v>
      </c>
      <c r="G24" s="1565" t="s">
        <v>170</v>
      </c>
      <c r="H24" s="1565" t="s">
        <v>170</v>
      </c>
      <c r="I24" s="1565" t="s">
        <v>170</v>
      </c>
      <c r="J24" s="1565" t="s">
        <v>170</v>
      </c>
      <c r="K24" s="1566" t="s">
        <v>307</v>
      </c>
      <c r="L24" s="1565" t="s">
        <v>170</v>
      </c>
      <c r="M24" s="1565" t="s">
        <v>170</v>
      </c>
      <c r="N24" s="1565" t="s">
        <v>170</v>
      </c>
      <c r="O24" s="1565" t="s">
        <v>170</v>
      </c>
      <c r="P24" s="1566" t="s">
        <v>307</v>
      </c>
      <c r="Q24" s="1566" t="s">
        <v>307</v>
      </c>
      <c r="R24" s="1565" t="s">
        <v>170</v>
      </c>
      <c r="S24" s="1567" t="s">
        <v>170</v>
      </c>
    </row>
    <row r="25" spans="1:19" ht="20.100000000000001" customHeight="1">
      <c r="A25" s="1552">
        <v>42491</v>
      </c>
      <c r="B25" s="1558">
        <f>8/9</f>
        <v>0.88888888888888884</v>
      </c>
      <c r="C25" s="1565" t="s">
        <v>170</v>
      </c>
      <c r="D25" s="1566" t="s">
        <v>806</v>
      </c>
      <c r="E25" s="1565" t="s">
        <v>170</v>
      </c>
      <c r="F25" s="1565" t="s">
        <v>170</v>
      </c>
      <c r="G25" s="1565" t="s">
        <v>170</v>
      </c>
      <c r="H25" s="1566" t="s">
        <v>807</v>
      </c>
      <c r="I25" s="1565" t="s">
        <v>170</v>
      </c>
      <c r="J25" s="1566" t="s">
        <v>180</v>
      </c>
      <c r="K25" s="1565" t="s">
        <v>170</v>
      </c>
      <c r="L25" s="1565" t="s">
        <v>170</v>
      </c>
      <c r="M25" s="1566" t="s">
        <v>307</v>
      </c>
      <c r="N25" s="1565" t="s">
        <v>170</v>
      </c>
      <c r="O25" s="1565" t="s">
        <v>170</v>
      </c>
      <c r="P25" s="1565" t="s">
        <v>170</v>
      </c>
      <c r="Q25" s="1565" t="s">
        <v>170</v>
      </c>
      <c r="R25" s="1565" t="s">
        <v>170</v>
      </c>
      <c r="S25" s="1567" t="s">
        <v>170</v>
      </c>
    </row>
    <row r="26" spans="1:19" ht="20.100000000000001" customHeight="1">
      <c r="A26" s="1552">
        <v>42522</v>
      </c>
      <c r="B26" s="1558">
        <f>10/10</f>
        <v>1</v>
      </c>
      <c r="C26" s="1565" t="s">
        <v>170</v>
      </c>
      <c r="D26" s="1566" t="s">
        <v>809</v>
      </c>
      <c r="E26" s="1565" t="s">
        <v>170</v>
      </c>
      <c r="F26" s="1565" t="s">
        <v>170</v>
      </c>
      <c r="G26" s="1565" t="s">
        <v>170</v>
      </c>
      <c r="H26" s="1566" t="s">
        <v>809</v>
      </c>
      <c r="I26" s="1565" t="s">
        <v>170</v>
      </c>
      <c r="J26" s="1566" t="s">
        <v>307</v>
      </c>
      <c r="K26" s="1565" t="s">
        <v>170</v>
      </c>
      <c r="L26" s="1566" t="s">
        <v>307</v>
      </c>
      <c r="M26" s="1565" t="s">
        <v>170</v>
      </c>
      <c r="N26" s="1565" t="s">
        <v>170</v>
      </c>
      <c r="O26" s="1565" t="s">
        <v>170</v>
      </c>
      <c r="P26" s="1566" t="s">
        <v>307</v>
      </c>
      <c r="Q26" s="1565" t="s">
        <v>170</v>
      </c>
      <c r="R26" s="1565" t="s">
        <v>170</v>
      </c>
      <c r="S26" s="1885" t="s">
        <v>307</v>
      </c>
    </row>
    <row r="27" spans="1:19" ht="20.100000000000001" customHeight="1">
      <c r="A27" s="1552">
        <v>42552</v>
      </c>
      <c r="B27" s="1558">
        <f>1/2</f>
        <v>0.5</v>
      </c>
      <c r="C27" s="1565" t="s">
        <v>170</v>
      </c>
      <c r="D27" s="1565" t="s">
        <v>170</v>
      </c>
      <c r="E27" s="1565" t="s">
        <v>170</v>
      </c>
      <c r="F27" s="1565" t="s">
        <v>170</v>
      </c>
      <c r="G27" s="1565" t="s">
        <v>170</v>
      </c>
      <c r="H27" s="1565" t="s">
        <v>170</v>
      </c>
      <c r="I27" s="1565" t="s">
        <v>170</v>
      </c>
      <c r="J27" s="1569" t="s">
        <v>170</v>
      </c>
      <c r="K27" s="1566" t="s">
        <v>307</v>
      </c>
      <c r="L27" s="1569" t="s">
        <v>170</v>
      </c>
      <c r="M27" s="1569" t="s">
        <v>170</v>
      </c>
      <c r="N27" s="1569" t="s">
        <v>170</v>
      </c>
      <c r="O27" s="1569" t="s">
        <v>170</v>
      </c>
      <c r="P27" s="1569" t="s">
        <v>170</v>
      </c>
      <c r="Q27" s="1566" t="s">
        <v>308</v>
      </c>
      <c r="R27" s="1569" t="s">
        <v>170</v>
      </c>
      <c r="S27" s="1567" t="s">
        <v>170</v>
      </c>
    </row>
    <row r="28" spans="1:19" ht="20.100000000000001" customHeight="1">
      <c r="A28" s="1552">
        <v>42583</v>
      </c>
      <c r="B28" s="1558">
        <f>6/6</f>
        <v>1</v>
      </c>
      <c r="C28" s="1565" t="s">
        <v>170</v>
      </c>
      <c r="D28" s="1566" t="s">
        <v>307</v>
      </c>
      <c r="E28" s="1565" t="s">
        <v>170</v>
      </c>
      <c r="F28" s="1565" t="s">
        <v>170</v>
      </c>
      <c r="G28" s="1565" t="s">
        <v>170</v>
      </c>
      <c r="H28" s="1566" t="s">
        <v>180</v>
      </c>
      <c r="I28" s="1565" t="s">
        <v>170</v>
      </c>
      <c r="J28" s="1569" t="s">
        <v>170</v>
      </c>
      <c r="K28" s="1566" t="s">
        <v>307</v>
      </c>
      <c r="L28" s="1569" t="s">
        <v>170</v>
      </c>
      <c r="M28" s="1569" t="s">
        <v>170</v>
      </c>
      <c r="N28" s="1569" t="s">
        <v>170</v>
      </c>
      <c r="O28" s="1569" t="s">
        <v>170</v>
      </c>
      <c r="P28" s="1569" t="s">
        <v>170</v>
      </c>
      <c r="Q28" s="1569" t="s">
        <v>170</v>
      </c>
      <c r="R28" s="1569" t="s">
        <v>170</v>
      </c>
      <c r="S28" s="1885" t="s">
        <v>180</v>
      </c>
    </row>
    <row r="29" spans="1:19" ht="20.100000000000001" customHeight="1">
      <c r="A29" s="1552">
        <v>42614</v>
      </c>
      <c r="B29" s="1558">
        <f>7/12</f>
        <v>0.58333333333333337</v>
      </c>
      <c r="C29" s="2692" t="s">
        <v>180</v>
      </c>
      <c r="D29" s="1565" t="s">
        <v>170</v>
      </c>
      <c r="E29" s="1565" t="s">
        <v>170</v>
      </c>
      <c r="F29" s="1565" t="s">
        <v>170</v>
      </c>
      <c r="G29" s="2674" t="s">
        <v>170</v>
      </c>
      <c r="H29" s="1566" t="s">
        <v>180</v>
      </c>
      <c r="I29" s="1565" t="s">
        <v>170</v>
      </c>
      <c r="J29" s="1569" t="s">
        <v>170</v>
      </c>
      <c r="K29" s="2692" t="s">
        <v>808</v>
      </c>
      <c r="L29" s="1569" t="s">
        <v>170</v>
      </c>
      <c r="M29" s="1569" t="s">
        <v>170</v>
      </c>
      <c r="N29" s="1569" t="s">
        <v>170</v>
      </c>
      <c r="O29" s="1569" t="s">
        <v>170</v>
      </c>
      <c r="P29" s="1569" t="s">
        <v>170</v>
      </c>
      <c r="Q29" s="1566" t="s">
        <v>648</v>
      </c>
      <c r="R29" s="1569" t="s">
        <v>170</v>
      </c>
      <c r="S29" s="1885" t="s">
        <v>824</v>
      </c>
    </row>
    <row r="30" spans="1:19" ht="20.100000000000001" customHeight="1">
      <c r="A30" s="1552">
        <v>42644</v>
      </c>
      <c r="B30" s="1558">
        <f>3/7</f>
        <v>0.42857142857142855</v>
      </c>
      <c r="C30" s="1568" t="s">
        <v>170</v>
      </c>
      <c r="D30" s="1565" t="s">
        <v>170</v>
      </c>
      <c r="E30" s="1565" t="s">
        <v>170</v>
      </c>
      <c r="F30" s="1565" t="s">
        <v>170</v>
      </c>
      <c r="G30" s="1565" t="s">
        <v>170</v>
      </c>
      <c r="H30" s="1566" t="s">
        <v>307</v>
      </c>
      <c r="I30" s="1565" t="s">
        <v>170</v>
      </c>
      <c r="J30" s="1566" t="s">
        <v>648</v>
      </c>
      <c r="K30" s="1569" t="s">
        <v>170</v>
      </c>
      <c r="L30" s="1566" t="s">
        <v>307</v>
      </c>
      <c r="M30" s="1569" t="s">
        <v>170</v>
      </c>
      <c r="N30" s="1569" t="s">
        <v>170</v>
      </c>
      <c r="O30" s="1569" t="s">
        <v>170</v>
      </c>
      <c r="P30" s="1569" t="s">
        <v>170</v>
      </c>
      <c r="Q30" s="1569" t="s">
        <v>170</v>
      </c>
      <c r="R30" s="1569" t="s">
        <v>170</v>
      </c>
      <c r="S30" s="1885" t="s">
        <v>824</v>
      </c>
    </row>
    <row r="31" spans="1:19" ht="20.100000000000001" customHeight="1">
      <c r="A31" s="1552">
        <v>42675</v>
      </c>
      <c r="B31" s="1558">
        <f>2/4</f>
        <v>0.5</v>
      </c>
      <c r="C31" s="1568" t="s">
        <v>170</v>
      </c>
      <c r="D31" s="1566" t="s">
        <v>308</v>
      </c>
      <c r="E31" s="1565" t="s">
        <v>170</v>
      </c>
      <c r="F31" s="1565" t="s">
        <v>170</v>
      </c>
      <c r="G31" s="1565" t="s">
        <v>170</v>
      </c>
      <c r="H31" s="1565" t="s">
        <v>170</v>
      </c>
      <c r="I31" s="1565" t="s">
        <v>170</v>
      </c>
      <c r="J31" s="1565" t="s">
        <v>170</v>
      </c>
      <c r="K31" s="1566" t="s">
        <v>807</v>
      </c>
      <c r="L31" s="1565" t="s">
        <v>170</v>
      </c>
      <c r="M31" s="1566" t="s">
        <v>307</v>
      </c>
      <c r="N31" s="1569" t="s">
        <v>170</v>
      </c>
      <c r="O31" s="1569" t="s">
        <v>170</v>
      </c>
      <c r="P31" s="1569" t="s">
        <v>170</v>
      </c>
      <c r="Q31" s="1569" t="s">
        <v>170</v>
      </c>
      <c r="R31" s="1569" t="s">
        <v>170</v>
      </c>
      <c r="S31" s="1570" t="s">
        <v>170</v>
      </c>
    </row>
    <row r="32" spans="1:19" ht="20.100000000000001" customHeight="1">
      <c r="A32" s="1552">
        <v>42705</v>
      </c>
      <c r="B32" s="1559"/>
      <c r="C32" s="1568" t="s">
        <v>170</v>
      </c>
      <c r="D32" s="1566" t="s">
        <v>648</v>
      </c>
      <c r="E32" s="1565" t="s">
        <v>170</v>
      </c>
      <c r="F32" s="1565" t="s">
        <v>170</v>
      </c>
      <c r="G32" s="1565" t="s">
        <v>170</v>
      </c>
      <c r="H32" s="1571"/>
      <c r="I32" s="1571"/>
      <c r="J32" s="1571"/>
      <c r="K32" s="1571"/>
      <c r="L32" s="1571"/>
      <c r="M32" s="1571"/>
      <c r="N32" s="1571"/>
      <c r="O32" s="1571"/>
      <c r="P32" s="1571"/>
      <c r="Q32" s="1572"/>
      <c r="R32" s="1572"/>
      <c r="S32" s="1573"/>
    </row>
    <row r="33" spans="1:19" ht="20.100000000000001" customHeight="1" thickBot="1">
      <c r="A33" s="1553" t="s">
        <v>261</v>
      </c>
      <c r="B33" s="1554">
        <f>51/68</f>
        <v>0.75</v>
      </c>
      <c r="C33" s="1555" t="s">
        <v>809</v>
      </c>
      <c r="D33" s="1555" t="s">
        <v>865</v>
      </c>
      <c r="E33" s="1555" t="s">
        <v>170</v>
      </c>
      <c r="F33" s="1556" t="s">
        <v>170</v>
      </c>
      <c r="G33" s="1555" t="s">
        <v>307</v>
      </c>
      <c r="H33" s="1555" t="s">
        <v>862</v>
      </c>
      <c r="I33" s="1555" t="s">
        <v>170</v>
      </c>
      <c r="J33" s="1555" t="s">
        <v>851</v>
      </c>
      <c r="K33" s="2598" t="s">
        <v>864</v>
      </c>
      <c r="L33" s="2627" t="s">
        <v>180</v>
      </c>
      <c r="M33" s="1555" t="s">
        <v>806</v>
      </c>
      <c r="N33" s="1555" t="s">
        <v>170</v>
      </c>
      <c r="O33" s="1556" t="s">
        <v>170</v>
      </c>
      <c r="P33" s="1555" t="s">
        <v>809</v>
      </c>
      <c r="Q33" s="1555" t="s">
        <v>760</v>
      </c>
      <c r="R33" s="1555" t="s">
        <v>170</v>
      </c>
      <c r="S33" s="1555" t="s">
        <v>863</v>
      </c>
    </row>
    <row r="34" spans="1:19" ht="20.100000000000001" customHeight="1" thickTop="1">
      <c r="B34" s="144"/>
    </row>
    <row r="35" spans="1:19" ht="20.100000000000001" customHeight="1">
      <c r="L35" s="2610"/>
    </row>
    <row r="36" spans="1:19" ht="20.100000000000001" customHeight="1">
      <c r="L36" s="2610"/>
    </row>
    <row r="37" spans="1:19" ht="20.100000000000001" customHeight="1">
      <c r="L37" s="2610"/>
    </row>
    <row r="38" spans="1:19" ht="20.100000000000001" customHeight="1">
      <c r="L38" s="2610"/>
    </row>
    <row r="39" spans="1:19" ht="20.100000000000001" customHeight="1"/>
  </sheetData>
  <printOptions horizontalCentered="1"/>
  <pageMargins left="0" right="0" top="0.25" bottom="0" header="0" footer="0"/>
  <pageSetup paperSize="5" scale="79" fitToHeight="0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5" tint="-0.249977111117893"/>
    <pageSetUpPr fitToPage="1"/>
  </sheetPr>
  <dimension ref="A1:BA64"/>
  <sheetViews>
    <sheetView showGridLines="0" zoomScale="50" zoomScaleNormal="50" workbookViewId="0">
      <selection activeCell="Z11" sqref="Z11"/>
    </sheetView>
  </sheetViews>
  <sheetFormatPr defaultColWidth="9.140625" defaultRowHeight="15"/>
  <cols>
    <col min="1" max="1" width="2" style="23" customWidth="1"/>
    <col min="2" max="2" width="10.7109375" style="23" hidden="1" customWidth="1"/>
    <col min="3" max="3" width="16.42578125" style="23" bestFit="1" customWidth="1"/>
    <col min="4" max="4" width="10.42578125" style="23" bestFit="1" customWidth="1"/>
    <col min="5" max="5" width="12.140625" style="23" bestFit="1" customWidth="1"/>
    <col min="6" max="6" width="15.28515625" style="23" bestFit="1" customWidth="1"/>
    <col min="7" max="7" width="19.85546875" style="23" customWidth="1"/>
    <col min="8" max="8" width="17.28515625" style="23" customWidth="1"/>
    <col min="9" max="9" width="17.5703125" style="23" customWidth="1"/>
    <col min="10" max="10" width="19" style="23" customWidth="1"/>
    <col min="11" max="12" width="12.140625" style="23" bestFit="1" customWidth="1"/>
    <col min="13" max="13" width="15.28515625" style="23" bestFit="1" customWidth="1"/>
    <col min="14" max="14" width="18.42578125" style="23" bestFit="1" customWidth="1"/>
    <col min="15" max="15" width="18.140625" style="23" customWidth="1"/>
    <col min="16" max="17" width="18.42578125" style="23" customWidth="1"/>
    <col min="18" max="18" width="15.5703125" style="23" customWidth="1"/>
    <col min="19" max="19" width="12.7109375" style="23" customWidth="1"/>
    <col min="20" max="20" width="16.28515625" style="23" customWidth="1"/>
    <col min="21" max="22" width="18.28515625" style="23" customWidth="1"/>
    <col min="23" max="23" width="17.5703125" style="23" customWidth="1"/>
    <col min="24" max="24" width="18.42578125" style="23" customWidth="1"/>
    <col min="25" max="25" width="12.7109375" style="23" customWidth="1"/>
    <col min="26" max="26" width="13.28515625" style="23" customWidth="1"/>
    <col min="27" max="27" width="15.28515625" style="23" bestFit="1" customWidth="1"/>
    <col min="28" max="28" width="18.42578125" style="23" bestFit="1" customWidth="1"/>
    <col min="29" max="29" width="19.140625" style="23" customWidth="1"/>
    <col min="30" max="30" width="17" style="23" customWidth="1"/>
    <col min="31" max="31" width="17.7109375" style="23" customWidth="1"/>
    <col min="32" max="32" width="10.42578125" style="23" bestFit="1" customWidth="1"/>
    <col min="33" max="33" width="12.140625" style="23" customWidth="1"/>
    <col min="34" max="34" width="15.28515625" style="23" bestFit="1" customWidth="1"/>
    <col min="35" max="35" width="18.42578125" style="23" bestFit="1" customWidth="1"/>
    <col min="36" max="36" width="18.28515625" style="23" customWidth="1"/>
    <col min="37" max="37" width="18.140625" style="23" customWidth="1"/>
    <col min="38" max="38" width="18.85546875" style="23" customWidth="1"/>
    <col min="39" max="39" width="10.42578125" style="23" bestFit="1" customWidth="1"/>
    <col min="40" max="40" width="12.140625" style="23" bestFit="1" customWidth="1"/>
    <col min="41" max="41" width="15.28515625" style="23" bestFit="1" customWidth="1"/>
    <col min="42" max="42" width="18.42578125" style="23" bestFit="1" customWidth="1"/>
    <col min="43" max="43" width="20.42578125" style="23" customWidth="1"/>
    <col min="44" max="44" width="19.5703125" style="23" customWidth="1"/>
    <col min="45" max="45" width="18.42578125" style="23" bestFit="1" customWidth="1"/>
    <col min="46" max="46" width="12.140625" style="23" customWidth="1"/>
    <col min="47" max="47" width="12.140625" style="23" bestFit="1" customWidth="1"/>
    <col min="48" max="48" width="15.28515625" style="23" bestFit="1" customWidth="1"/>
    <col min="49" max="49" width="18.42578125" style="23" bestFit="1" customWidth="1"/>
    <col min="50" max="50" width="20.28515625" style="23" customWidth="1"/>
    <col min="51" max="51" width="17.28515625" style="23" customWidth="1"/>
    <col min="52" max="52" width="18.42578125" style="23" bestFit="1" customWidth="1"/>
    <col min="53" max="53" width="2.5703125" style="23" customWidth="1"/>
    <col min="54" max="66" width="11.7109375" style="23" customWidth="1"/>
    <col min="67" max="16384" width="9.140625" style="23"/>
  </cols>
  <sheetData>
    <row r="1" spans="3:17" ht="51.75" customHeight="1">
      <c r="C1" s="3063"/>
      <c r="D1" s="3063"/>
      <c r="E1" s="3063"/>
      <c r="F1" s="3063"/>
      <c r="G1" s="3063"/>
      <c r="H1" s="3063"/>
      <c r="I1" s="3063"/>
      <c r="J1" s="3063"/>
      <c r="K1" s="3063"/>
      <c r="L1" s="3063"/>
      <c r="M1" s="3063"/>
      <c r="N1" s="3063"/>
      <c r="O1" s="2068"/>
      <c r="P1" s="2068"/>
      <c r="Q1" s="2139"/>
    </row>
    <row r="2" spans="3:17" ht="39.75" customHeight="1"/>
    <row r="3" spans="3:17" ht="39.950000000000003" customHeight="1"/>
    <row r="4" spans="3:17" ht="39.950000000000003" customHeight="1"/>
    <row r="5" spans="3:17" ht="39.75" customHeight="1"/>
    <row r="6" spans="3:17" ht="39.950000000000003" customHeight="1"/>
    <row r="7" spans="3:17" ht="39.950000000000003" customHeight="1"/>
    <row r="8" spans="3:17" ht="39.950000000000003" customHeight="1"/>
    <row r="9" spans="3:17" ht="39.950000000000003" customHeight="1"/>
    <row r="10" spans="3:17" ht="39.950000000000003" customHeight="1"/>
    <row r="11" spans="3:17" ht="39.950000000000003" customHeight="1"/>
    <row r="12" spans="3:17" ht="39.950000000000003" customHeight="1"/>
    <row r="13" spans="3:17" ht="39.950000000000003" customHeight="1"/>
    <row r="14" spans="3:17" ht="39.950000000000003" customHeight="1"/>
    <row r="15" spans="3:17" ht="39.950000000000003" customHeight="1"/>
    <row r="16" spans="3:17" ht="39.950000000000003" customHeight="1"/>
    <row r="17" ht="39.950000000000003" customHeight="1"/>
    <row r="18" ht="39.950000000000003" customHeight="1"/>
    <row r="19" ht="39.950000000000003" customHeight="1"/>
    <row r="20" ht="39.950000000000003" customHeight="1"/>
    <row r="21" ht="39.950000000000003" customHeight="1"/>
    <row r="22" ht="39.950000000000003" customHeight="1"/>
    <row r="23" ht="39.950000000000003" customHeight="1"/>
    <row r="24" ht="39.950000000000003" customHeight="1"/>
    <row r="25" ht="39.950000000000003" customHeight="1"/>
    <row r="26" ht="39.950000000000003" customHeight="1"/>
    <row r="27" ht="39.950000000000003" customHeight="1"/>
    <row r="28" ht="39.950000000000003" customHeight="1"/>
    <row r="29" ht="39.950000000000003" customHeight="1"/>
    <row r="30" ht="39.950000000000003" customHeight="1"/>
    <row r="31" ht="39.950000000000003" customHeight="1"/>
    <row r="32" ht="39.950000000000003" customHeight="1"/>
    <row r="33" spans="1:53" ht="39.950000000000003" customHeight="1"/>
    <row r="34" spans="1:53" ht="39.950000000000003" customHeight="1"/>
    <row r="35" spans="1:53" ht="39.950000000000003" customHeight="1"/>
    <row r="36" spans="1:53" ht="39.950000000000003" customHeight="1"/>
    <row r="37" spans="1:53" ht="39.950000000000003" customHeight="1"/>
    <row r="38" spans="1:53" ht="39.950000000000003" customHeight="1"/>
    <row r="39" spans="1:53" ht="39.950000000000003" customHeight="1"/>
    <row r="40" spans="1:53" ht="39.950000000000003" customHeight="1"/>
    <row r="41" spans="1:53" ht="39.950000000000003" customHeight="1"/>
    <row r="42" spans="1:53" s="2220" customFormat="1" ht="39.950000000000003" customHeight="1">
      <c r="A42" s="2215"/>
      <c r="B42" s="2216"/>
      <c r="C42" s="2217"/>
      <c r="D42" s="2218"/>
      <c r="E42" s="2216"/>
      <c r="F42" s="2216"/>
      <c r="G42" s="2216"/>
      <c r="H42" s="2216"/>
      <c r="I42" s="2216"/>
      <c r="J42" s="2216"/>
      <c r="K42" s="2216"/>
      <c r="L42" s="2216"/>
      <c r="M42" s="2216"/>
      <c r="N42" s="2216"/>
      <c r="O42" s="2216"/>
      <c r="P42" s="2216"/>
      <c r="Q42" s="2216"/>
      <c r="R42" s="2216"/>
      <c r="S42" s="2216"/>
      <c r="T42" s="2216"/>
      <c r="U42" s="2216"/>
      <c r="V42" s="2216"/>
      <c r="W42" s="2216"/>
      <c r="X42" s="2216"/>
      <c r="Y42" s="2216"/>
      <c r="Z42" s="2216"/>
      <c r="AA42" s="2216"/>
      <c r="AB42" s="2216"/>
      <c r="AC42" s="2216"/>
      <c r="AD42" s="2216"/>
      <c r="AE42" s="2216"/>
      <c r="AF42" s="2216"/>
      <c r="AG42" s="2216"/>
      <c r="AH42" s="2216"/>
      <c r="AI42" s="2216"/>
      <c r="AJ42" s="2216"/>
      <c r="AK42" s="2216"/>
      <c r="AL42" s="2216"/>
      <c r="AM42" s="2216"/>
      <c r="AN42" s="2216"/>
      <c r="AO42" s="2216"/>
      <c r="AP42" s="2216"/>
      <c r="AQ42" s="2216"/>
      <c r="AR42" s="2216"/>
      <c r="AS42" s="2216"/>
      <c r="AT42" s="2216"/>
      <c r="AU42" s="2216"/>
      <c r="AV42" s="2216"/>
      <c r="AW42" s="2216"/>
      <c r="AX42" s="2216"/>
      <c r="AY42" s="2216"/>
      <c r="AZ42" s="2216"/>
      <c r="BA42" s="2219"/>
    </row>
    <row r="43" spans="1:53" s="2214" customFormat="1" ht="39.950000000000003" customHeight="1">
      <c r="A43" s="2211"/>
      <c r="B43" s="2212"/>
      <c r="C43" s="3064" t="s">
        <v>276</v>
      </c>
      <c r="D43" s="3058" t="s">
        <v>62</v>
      </c>
      <c r="E43" s="3066"/>
      <c r="F43" s="3066"/>
      <c r="G43" s="3066"/>
      <c r="H43" s="3066"/>
      <c r="I43" s="3066"/>
      <c r="J43" s="3067"/>
      <c r="K43" s="3058" t="s">
        <v>275</v>
      </c>
      <c r="L43" s="3059"/>
      <c r="M43" s="3059"/>
      <c r="N43" s="3059"/>
      <c r="O43" s="3060"/>
      <c r="P43" s="3060"/>
      <c r="Q43" s="3061"/>
      <c r="R43" s="3058" t="s">
        <v>29</v>
      </c>
      <c r="S43" s="3059"/>
      <c r="T43" s="3059"/>
      <c r="U43" s="3059"/>
      <c r="V43" s="3060"/>
      <c r="W43" s="3060"/>
      <c r="X43" s="3067"/>
      <c r="Y43" s="3058" t="s">
        <v>474</v>
      </c>
      <c r="Z43" s="3059"/>
      <c r="AA43" s="3059"/>
      <c r="AB43" s="3059"/>
      <c r="AC43" s="3060"/>
      <c r="AD43" s="3060"/>
      <c r="AE43" s="3061"/>
      <c r="AF43" s="3058" t="s">
        <v>476</v>
      </c>
      <c r="AG43" s="3059"/>
      <c r="AH43" s="3059"/>
      <c r="AI43" s="3059"/>
      <c r="AJ43" s="3060"/>
      <c r="AK43" s="3060"/>
      <c r="AL43" s="3061"/>
      <c r="AM43" s="3058" t="s">
        <v>479</v>
      </c>
      <c r="AN43" s="3059"/>
      <c r="AO43" s="3059"/>
      <c r="AP43" s="3059"/>
      <c r="AQ43" s="3060"/>
      <c r="AR43" s="3060"/>
      <c r="AS43" s="3061"/>
      <c r="AT43" s="3058" t="s">
        <v>722</v>
      </c>
      <c r="AU43" s="3059"/>
      <c r="AV43" s="3059"/>
      <c r="AW43" s="3059"/>
      <c r="AX43" s="3060"/>
      <c r="AY43" s="3060"/>
      <c r="AZ43" s="3062"/>
      <c r="BA43" s="2213"/>
    </row>
    <row r="44" spans="1:53" s="2226" customFormat="1" ht="131.25" customHeight="1" thickBot="1">
      <c r="A44" s="2221"/>
      <c r="B44" s="2222" t="s">
        <v>498</v>
      </c>
      <c r="C44" s="3065"/>
      <c r="D44" s="2223" t="s">
        <v>25</v>
      </c>
      <c r="E44" s="2223" t="s">
        <v>8</v>
      </c>
      <c r="F44" s="2223" t="s">
        <v>26</v>
      </c>
      <c r="G44" s="2223" t="s">
        <v>770</v>
      </c>
      <c r="H44" s="2223" t="s">
        <v>721</v>
      </c>
      <c r="I44" s="2224" t="s">
        <v>725</v>
      </c>
      <c r="J44" s="2224" t="s">
        <v>726</v>
      </c>
      <c r="K44" s="2224" t="s">
        <v>25</v>
      </c>
      <c r="L44" s="2223" t="s">
        <v>8</v>
      </c>
      <c r="M44" s="2223" t="s">
        <v>26</v>
      </c>
      <c r="N44" s="2223" t="s">
        <v>340</v>
      </c>
      <c r="O44" s="2223" t="s">
        <v>770</v>
      </c>
      <c r="P44" s="2223" t="s">
        <v>721</v>
      </c>
      <c r="Q44" s="2223" t="s">
        <v>340</v>
      </c>
      <c r="R44" s="2223" t="s">
        <v>25</v>
      </c>
      <c r="S44" s="2223" t="s">
        <v>8</v>
      </c>
      <c r="T44" s="2223" t="s">
        <v>26</v>
      </c>
      <c r="U44" s="2223" t="s">
        <v>340</v>
      </c>
      <c r="V44" s="2223" t="s">
        <v>770</v>
      </c>
      <c r="W44" s="2223" t="s">
        <v>721</v>
      </c>
      <c r="X44" s="2223" t="s">
        <v>340</v>
      </c>
      <c r="Y44" s="2223" t="s">
        <v>25</v>
      </c>
      <c r="Z44" s="2223" t="s">
        <v>8</v>
      </c>
      <c r="AA44" s="2223" t="s">
        <v>26</v>
      </c>
      <c r="AB44" s="2223" t="s">
        <v>340</v>
      </c>
      <c r="AC44" s="2223" t="s">
        <v>770</v>
      </c>
      <c r="AD44" s="2223" t="s">
        <v>721</v>
      </c>
      <c r="AE44" s="2223" t="s">
        <v>340</v>
      </c>
      <c r="AF44" s="2223" t="s">
        <v>25</v>
      </c>
      <c r="AG44" s="2223" t="s">
        <v>8</v>
      </c>
      <c r="AH44" s="2223" t="s">
        <v>26</v>
      </c>
      <c r="AI44" s="2223" t="s">
        <v>340</v>
      </c>
      <c r="AJ44" s="2223" t="s">
        <v>770</v>
      </c>
      <c r="AK44" s="2223" t="s">
        <v>721</v>
      </c>
      <c r="AL44" s="2223" t="s">
        <v>340</v>
      </c>
      <c r="AM44" s="2223" t="s">
        <v>25</v>
      </c>
      <c r="AN44" s="2223" t="s">
        <v>8</v>
      </c>
      <c r="AO44" s="2223" t="s">
        <v>26</v>
      </c>
      <c r="AP44" s="2223" t="s">
        <v>340</v>
      </c>
      <c r="AQ44" s="2223" t="s">
        <v>770</v>
      </c>
      <c r="AR44" s="2223" t="s">
        <v>721</v>
      </c>
      <c r="AS44" s="2223" t="s">
        <v>340</v>
      </c>
      <c r="AT44" s="2223" t="s">
        <v>25</v>
      </c>
      <c r="AU44" s="2223" t="s">
        <v>8</v>
      </c>
      <c r="AV44" s="2223" t="s">
        <v>26</v>
      </c>
      <c r="AW44" s="2223" t="s">
        <v>340</v>
      </c>
      <c r="AX44" s="2223" t="s">
        <v>770</v>
      </c>
      <c r="AY44" s="2223" t="s">
        <v>721</v>
      </c>
      <c r="AZ44" s="2223" t="s">
        <v>340</v>
      </c>
      <c r="BA44" s="2225"/>
    </row>
    <row r="45" spans="1:53" s="2242" customFormat="1" ht="39.950000000000003" customHeight="1" thickTop="1">
      <c r="A45" s="2227"/>
      <c r="B45" s="2228">
        <v>0.95</v>
      </c>
      <c r="C45" s="2229">
        <v>42370</v>
      </c>
      <c r="D45" s="2230">
        <f>COMPOSITE!B$443/COMPOSITE!C$443</f>
        <v>0.9441624365482234</v>
      </c>
      <c r="E45" s="2231">
        <f>COMPOSITE!D$443/COMPOSITE!E$443</f>
        <v>0.99328859060402686</v>
      </c>
      <c r="F45" s="2231">
        <f>COMPOSITE!F$443/COMPOSITE!G$443</f>
        <v>0.99266503667481665</v>
      </c>
      <c r="G45" s="2232"/>
      <c r="H45" s="2233"/>
      <c r="I45" s="2234">
        <f>SUM(COMPOSITE!B$443,COMPOSITE!D$443,COMPOSITE!F$443)/SUM(COMPOSITE!C$443,COMPOSITE!E$443,COMPOSITE!G$443)</f>
        <v>0.98502495840266224</v>
      </c>
      <c r="J45" s="2232"/>
      <c r="K45" s="2235">
        <f>COMPOSITE!B$425/COMPOSITE!C$425</f>
        <v>0.95161290322580649</v>
      </c>
      <c r="L45" s="2231">
        <f>COMPOSITE!D$425/COMPOSITE!E$425</f>
        <v>1</v>
      </c>
      <c r="M45" s="2231">
        <f>COMPOSITE!F$425/COMPOSITE!G$425</f>
        <v>0.96470588235294119</v>
      </c>
      <c r="N45" s="2231">
        <f>SUM(COMPOSITE!B$425,COMPOSITE!D$425,COMPOSITE!F$425)/SUM(COMPOSITE!C$425,COMPOSITE!E$425,COMPOSITE!G$425)</f>
        <v>0.97986577181208057</v>
      </c>
      <c r="O45" s="2236"/>
      <c r="P45" s="2232"/>
      <c r="Q45" s="2232"/>
      <c r="R45" s="2231">
        <f>COMPOSITE!B$426/COMPOSITE!C$426</f>
        <v>0.95</v>
      </c>
      <c r="S45" s="2231">
        <f>COMPOSITE!D$426/COMPOSITE!E$426</f>
        <v>0.99173553719008267</v>
      </c>
      <c r="T45" s="2231">
        <f>COMPOSITE!F$426/COMPOSITE!G$426</f>
        <v>1</v>
      </c>
      <c r="U45" s="2231">
        <f>SUM(COMPOSITE!B$426,COMPOSITE!D$426,COMPOSITE!F$426)/SUM(COMPOSITE!C$426,COMPOSITE!E$426,COMPOSITE!G$426)</f>
        <v>0.98947368421052628</v>
      </c>
      <c r="V45" s="2236"/>
      <c r="W45" s="2232"/>
      <c r="X45" s="2232"/>
      <c r="Y45" s="2231">
        <f>COMPOSITE!B$427/COMPOSITE!C$427</f>
        <v>1</v>
      </c>
      <c r="Z45" s="2231">
        <f>COMPOSITE!D$427/COMPOSITE!E$427</f>
        <v>1</v>
      </c>
      <c r="AA45" s="2231">
        <f>COMPOSITE!F$427/COMPOSITE!G$427</f>
        <v>1</v>
      </c>
      <c r="AB45" s="2231">
        <f>SUM(COMPOSITE!B$427,COMPOSITE!D$427,COMPOSITE!F$427)/SUM(COMPOSITE!C$427,COMPOSITE!E$427,COMPOSITE!G$427)</f>
        <v>1</v>
      </c>
      <c r="AC45" s="2236"/>
      <c r="AD45" s="2232"/>
      <c r="AE45" s="2232"/>
      <c r="AF45" s="2231">
        <f>COMPOSITE!B$428/COMPOSITE!C$428</f>
        <v>0.90740740740740744</v>
      </c>
      <c r="AG45" s="2231">
        <f>COMPOSITE!D$428/COMPOSITE!E$428</f>
        <v>0.98039215686274506</v>
      </c>
      <c r="AH45" s="2231">
        <f>COMPOSITE!F$428/COMPOSITE!G$428</f>
        <v>1</v>
      </c>
      <c r="AI45" s="2231">
        <f>SUM(COMPOSITE!B$428,COMPOSITE!D$428,COMPOSITE!F$428)/SUM(COMPOSITE!C$428,COMPOSITE!E$428,COMPOSITE!G$428)</f>
        <v>0.97324414715719065</v>
      </c>
      <c r="AJ45" s="2236"/>
      <c r="AK45" s="2232"/>
      <c r="AL45" s="2232"/>
      <c r="AM45" s="2231">
        <f>COMPOSITE!B$429/COMPOSITE!C$429</f>
        <v>0.95833333333333337</v>
      </c>
      <c r="AN45" s="2231">
        <f>COMPOSITE!D$429/COMPOSITE!E$429</f>
        <v>1</v>
      </c>
      <c r="AO45" s="2231">
        <f>COMPOSITE!F$429/COMPOSITE!G$429</f>
        <v>1</v>
      </c>
      <c r="AP45" s="2231">
        <f>SUM(COMPOSITE!B$429,COMPOSITE!D$429,COMPOSITE!F$429)/SUM(COMPOSITE!C$429,COMPOSITE!E$429,COMPOSITE!G$429)</f>
        <v>0.99242424242424243</v>
      </c>
      <c r="AQ45" s="2236"/>
      <c r="AR45" s="2232"/>
      <c r="AS45" s="2232"/>
      <c r="AT45" s="2237">
        <f>COMPOSITE!B$430/COMPOSITE!C$430</f>
        <v>1</v>
      </c>
      <c r="AU45" s="2238">
        <f>COMPOSITE!D$430/COMPOSITE!E$430</f>
        <v>1</v>
      </c>
      <c r="AV45" s="2238">
        <f>COMPOSITE!F$430/COMPOSITE!G$430</f>
        <v>1</v>
      </c>
      <c r="AW45" s="2239">
        <f>SUM(COMPOSITE!B$430,COMPOSITE!D$430,COMPOSITE!F$430)/SUM(COMPOSITE!C$430,COMPOSITE!E$430,COMPOSITE!G$430)</f>
        <v>1</v>
      </c>
      <c r="AX45" s="2236"/>
      <c r="AY45" s="2232"/>
      <c r="AZ45" s="2240"/>
      <c r="BA45" s="2241"/>
    </row>
    <row r="46" spans="1:53" s="2242" customFormat="1" ht="39.950000000000003" customHeight="1">
      <c r="A46" s="2227"/>
      <c r="B46" s="2243">
        <v>0.95</v>
      </c>
      <c r="C46" s="2244">
        <v>42401</v>
      </c>
      <c r="D46" s="2245">
        <f>COMPOSITE!L$443/COMPOSITE!M$443</f>
        <v>0.9363636363636364</v>
      </c>
      <c r="E46" s="2246">
        <f>COMPOSITE!N$443/COMPOSITE!O$443</f>
        <v>1</v>
      </c>
      <c r="F46" s="2246">
        <f>COMPOSITE!P$443/COMPOSITE!Q$443</f>
        <v>0.99714285714285711</v>
      </c>
      <c r="G46" s="2247"/>
      <c r="H46" s="2248"/>
      <c r="I46" s="2249">
        <f>SUM(COMPOSITE!L$443,COMPOSITE!N$443,COMPOSITE!P$443)/SUM(COMPOSITE!M$443,COMPOSITE!O$443,COMPOSITE!Q$443)</f>
        <v>0.98661909009812665</v>
      </c>
      <c r="J46" s="2247"/>
      <c r="K46" s="2250">
        <f>COMPOSITE!L$425/COMPOSITE!M$425</f>
        <v>0.98630136986301364</v>
      </c>
      <c r="L46" s="2246">
        <f>COMPOSITE!N$425/COMPOSITE!O$425</f>
        <v>1</v>
      </c>
      <c r="M46" s="2246">
        <f>COMPOSITE!P$425/COMPOSITE!Q$425</f>
        <v>1</v>
      </c>
      <c r="N46" s="2246">
        <f>SUM(COMPOSITE!L$425,COMPOSITE!N$425,COMPOSITE!P$425)/SUM(COMPOSITE!M$425,COMPOSITE!O$425,COMPOSITE!Q$425)</f>
        <v>0.99679487179487181</v>
      </c>
      <c r="O46" s="2251"/>
      <c r="P46" s="2247"/>
      <c r="Q46" s="2247"/>
      <c r="R46" s="2246">
        <f>COMPOSITE!L$426/COMPOSITE!M$426</f>
        <v>0.9375</v>
      </c>
      <c r="S46" s="2246">
        <f>COMPOSITE!N$426/COMPOSITE!O$426</f>
        <v>1</v>
      </c>
      <c r="T46" s="2246">
        <f>COMPOSITE!P$426/COMPOSITE!Q$426</f>
        <v>1</v>
      </c>
      <c r="U46" s="2246">
        <f>SUM(COMPOSITE!L$426,COMPOSITE!N$426,COMPOSITE!P$426)/SUM(COMPOSITE!N$426,COMPOSITE!O$426,COMPOSITE!Q$426)</f>
        <v>0.85671641791044773</v>
      </c>
      <c r="V46" s="2251"/>
      <c r="W46" s="2247"/>
      <c r="X46" s="2247"/>
      <c r="Y46" s="2246">
        <f>COMPOSITE!L$427/COMPOSITE!M$427</f>
        <v>1</v>
      </c>
      <c r="Z46" s="2246">
        <f>COMPOSITE!N$427/COMPOSITE!O$427</f>
        <v>1</v>
      </c>
      <c r="AA46" s="2246">
        <f>COMPOSITE!P$427/COMPOSITE!Q$427</f>
        <v>1</v>
      </c>
      <c r="AB46" s="2246">
        <f>SUM(COMPOSITE!L$427,COMPOSITE!N$427,COMPOSITE!P$427)/SUM(COMPOSITE!N$427,COMPOSITE!O$427,COMPOSITE!Q$427)</f>
        <v>0.72164948453608246</v>
      </c>
      <c r="AC46" s="2251"/>
      <c r="AD46" s="2247"/>
      <c r="AE46" s="2247"/>
      <c r="AF46" s="2246">
        <f>COMPOSITE!L$428/COMPOSITE!M$428</f>
        <v>0.86</v>
      </c>
      <c r="AG46" s="2246">
        <f>COMPOSITE!N$428/COMPOSITE!O$428</f>
        <v>1</v>
      </c>
      <c r="AH46" s="2246">
        <f>COMPOSITE!P$428/COMPOSITE!Q$428</f>
        <v>1</v>
      </c>
      <c r="AI46" s="2246">
        <f>SUM(COMPOSITE!L$428,COMPOSITE!N$428,COMPOSITE!P$428)/SUM(COMPOSITE!N$428,COMPOSITE!O$428,COMPOSITE!Q$428)</f>
        <v>0.73278236914600547</v>
      </c>
      <c r="AJ46" s="2251"/>
      <c r="AK46" s="2247"/>
      <c r="AL46" s="2247"/>
      <c r="AM46" s="2246">
        <f>COMPOSITE!L$429/COMPOSITE!M$429</f>
        <v>0.95238095238095233</v>
      </c>
      <c r="AN46" s="2246">
        <f>COMPOSITE!N$429/COMPOSITE!O$429</f>
        <v>1</v>
      </c>
      <c r="AO46" s="2246">
        <f>COMPOSITE!P$429/COMPOSITE!Q$429</f>
        <v>0.95</v>
      </c>
      <c r="AP46" s="2246">
        <f>SUM(COMPOSITE!L$429,COMPOSITE!N$429,COMPOSITE!P$429)/SUM(COMPOSITE!N$429,COMPOSITE!O$429,COMPOSITE!Q$429)</f>
        <v>0.6705882352941176</v>
      </c>
      <c r="AQ46" s="2251"/>
      <c r="AR46" s="2247"/>
      <c r="AS46" s="2247"/>
      <c r="AT46" s="2252">
        <f>COMPOSITE!L$430/COMPOSITE!M$430</f>
        <v>0.875</v>
      </c>
      <c r="AU46" s="2253">
        <f>COMPOSITE!N$430/COMPOSITE!O$430</f>
        <v>1</v>
      </c>
      <c r="AV46" s="2253">
        <f>COMPOSITE!P$430/COMPOSITE!Q$430</f>
        <v>1</v>
      </c>
      <c r="AW46" s="2254">
        <f>SUM(COMPOSITE!L$430,COMPOSITE!N$430,COMPOSITE!P$430)/SUM(COMPOSITE!N$430,COMPOSITE!O$430,COMPOSITE!Q$430)</f>
        <v>0.64444444444444449</v>
      </c>
      <c r="AX46" s="2251"/>
      <c r="AY46" s="2247"/>
      <c r="AZ46" s="2255"/>
      <c r="BA46" s="2241"/>
    </row>
    <row r="47" spans="1:53" s="2242" customFormat="1" ht="39.950000000000003" customHeight="1">
      <c r="A47" s="2227"/>
      <c r="B47" s="2243">
        <v>0.95</v>
      </c>
      <c r="C47" s="2244">
        <v>42430</v>
      </c>
      <c r="D47" s="2256">
        <f>COMPOSITE!V$443/COMPOSITE!W$443</f>
        <v>0.97714285714285709</v>
      </c>
      <c r="E47" s="2257">
        <f>COMPOSITE!X$443/COMPOSITE!Y$443</f>
        <v>1</v>
      </c>
      <c r="F47" s="2257">
        <f>COMPOSITE!Z$443/COMPOSITE!AA$443</f>
        <v>0.99721448467966578</v>
      </c>
      <c r="G47" s="2258"/>
      <c r="H47" s="2259"/>
      <c r="I47" s="2260">
        <f>SUM(COMPOSITE!V$443,COMPOSITE!X$443,COMPOSITE!Z$443)/SUM(COMPOSITE!W$443,COMPOSITE!Y$443,COMPOSITE!AA$443)</f>
        <v>0.99537892791127547</v>
      </c>
      <c r="J47" s="2247"/>
      <c r="K47" s="2261">
        <f>COMPOSITE!V$425/COMPOSITE!W$425</f>
        <v>1</v>
      </c>
      <c r="L47" s="2262">
        <f>COMPOSITE!X$425/COMPOSITE!Y$425</f>
        <v>1</v>
      </c>
      <c r="M47" s="2262">
        <f>COMPOSITE!Z$425/COMPOSITE!AA$425</f>
        <v>0.99082568807339455</v>
      </c>
      <c r="N47" s="2263">
        <f>SUM(COMPOSITE!V$425,COMPOSITE!X$425,COMPOSITE!Z$425)/SUM(COMPOSITE!W$425,COMPOSITE!Y$425,COMPOSITE!AA$425)</f>
        <v>0.99743589743589745</v>
      </c>
      <c r="O47" s="2264"/>
      <c r="P47" s="2247"/>
      <c r="Q47" s="2247"/>
      <c r="R47" s="2265">
        <f>COMPOSITE!V$426/COMPOSITE!W$426</f>
        <v>1</v>
      </c>
      <c r="S47" s="2257">
        <f>COMPOSITE!X$426/COMPOSITE!Y$426</f>
        <v>1</v>
      </c>
      <c r="T47" s="2257">
        <f>COMPOSITE!Z$426/COMPOSITE!AA$426</f>
        <v>1</v>
      </c>
      <c r="U47" s="2266">
        <f>SUM(COMPOSITE!V$426,COMPOSITE!X$426,COMPOSITE!Z$426)/SUM(COMPOSITE!W$426,COMPOSITE!Y$426,COMPOSITE!AA$426)</f>
        <v>1</v>
      </c>
      <c r="V47" s="2267"/>
      <c r="W47" s="2258"/>
      <c r="X47" s="2258"/>
      <c r="Y47" s="2268">
        <f>COMPOSITE!V$427/COMPOSITE!W$427</f>
        <v>1</v>
      </c>
      <c r="Z47" s="2257">
        <f>COMPOSITE!X$427/COMPOSITE!Y$427</f>
        <v>1</v>
      </c>
      <c r="AA47" s="2257">
        <f>COMPOSITE!Z$427/COMPOSITE!AA$427</f>
        <v>1</v>
      </c>
      <c r="AB47" s="2269">
        <f>SUM(COMPOSITE!V$427,COMPOSITE!X$427,COMPOSITE!Z$427)/SUM(COMPOSITE!W$427,COMPOSITE!Y$427,COMPOSITE!AA$427)</f>
        <v>1</v>
      </c>
      <c r="AC47" s="2264"/>
      <c r="AD47" s="2247"/>
      <c r="AE47" s="2247"/>
      <c r="AF47" s="2270">
        <f>COMPOSITE!V$428/COMPOSITE!W$428</f>
        <v>0.9375</v>
      </c>
      <c r="AG47" s="2262">
        <f>COMPOSITE!X$428/COMPOSITE!Y$428</f>
        <v>1</v>
      </c>
      <c r="AH47" s="2262">
        <f>COMPOSITE!Z$428/COMPOSITE!AA$428</f>
        <v>1</v>
      </c>
      <c r="AI47" s="2271">
        <f>SUM(COMPOSITE!V$428,COMPOSITE!X$428,COMPOSITE!Z$428)/SUM(COMPOSITE!W$428,COMPOSITE!Y$428,COMPOSITE!AA$428)</f>
        <v>0.98974358974358978</v>
      </c>
      <c r="AJ47" s="2258"/>
      <c r="AK47" s="2258"/>
      <c r="AL47" s="2258"/>
      <c r="AM47" s="2272">
        <f>COMPOSITE!V$429/COMPOSITE!W$429</f>
        <v>0.9375</v>
      </c>
      <c r="AN47" s="2257">
        <f>COMPOSITE!X$429/COMPOSITE!Y$429</f>
        <v>1</v>
      </c>
      <c r="AO47" s="2257">
        <f>COMPOSITE!Z$429/COMPOSITE!AA$429</f>
        <v>1</v>
      </c>
      <c r="AP47" s="2269">
        <f>SUM(COMPOSITE!V$429,COMPOSITE!X$429,COMPOSITE!Z$429)/SUM(COMPOSITE!W$429,COMPOSITE!Y$429,COMPOSITE!AA$429)</f>
        <v>0.99009900990099009</v>
      </c>
      <c r="AQ47" s="2264"/>
      <c r="AR47" s="2247"/>
      <c r="AS47" s="2247"/>
      <c r="AT47" s="2273">
        <f>COMPOSITE!V$430/COMPOSITE!W$430</f>
        <v>0.9</v>
      </c>
      <c r="AU47" s="2274">
        <f>COMPOSITE!X$430/COMPOSITE!Y$430</f>
        <v>1</v>
      </c>
      <c r="AV47" s="2274">
        <f>COMPOSITE!Z$430/COMPOSITE!AA$430</f>
        <v>1</v>
      </c>
      <c r="AW47" s="2275">
        <f>SUM(COMPOSITE!V$430,COMPOSITE!X$430,COMPOSITE!Z$430)/SUM(COMPOSITE!W$430,COMPOSITE!Y$430,COMPOSITE!AA$430)</f>
        <v>0.98936170212765961</v>
      </c>
      <c r="AX47" s="2276"/>
      <c r="AY47" s="2258"/>
      <c r="AZ47" s="2277"/>
      <c r="BA47" s="2241"/>
    </row>
    <row r="48" spans="1:53" s="2242" customFormat="1" ht="39.950000000000003" customHeight="1">
      <c r="A48" s="2227"/>
      <c r="B48" s="2243">
        <v>0.95</v>
      </c>
      <c r="C48" s="2244">
        <v>42461</v>
      </c>
      <c r="D48" s="2278"/>
      <c r="E48" s="2279"/>
      <c r="F48" s="2279"/>
      <c r="G48" s="2257">
        <f>COMPOSITE!AL443/COMPOSITE!AM443</f>
        <v>1</v>
      </c>
      <c r="H48" s="2257">
        <f>COMPOSITE!AN443/COMPOSITE!AO443</f>
        <v>0.99702823179791977</v>
      </c>
      <c r="I48" s="2247"/>
      <c r="J48" s="2280">
        <f>SUM(COMPOSITE!AL443,COMPOSITE!AN443)/SUM(COMPOSITE!AM443,COMPOSITE!AO443)</f>
        <v>0.99718668952481426</v>
      </c>
      <c r="K48" s="2247"/>
      <c r="L48" s="2247"/>
      <c r="M48" s="2247"/>
      <c r="N48" s="2247"/>
      <c r="O48" s="2281">
        <f>COMPOSITE!AL425/COMPOSITE!AM425</f>
        <v>1</v>
      </c>
      <c r="P48" s="2282">
        <f>COMPOSITE!AN425/COMPOSITE!AO425</f>
        <v>0.99955237242614148</v>
      </c>
      <c r="Q48" s="2283">
        <f t="shared" ref="Q48:Q53" si="0">AVERAGE(O48:P48)</f>
        <v>0.99977618621307074</v>
      </c>
      <c r="R48" s="2279"/>
      <c r="S48" s="2279"/>
      <c r="T48" s="2279"/>
      <c r="U48" s="2284"/>
      <c r="V48" s="2584">
        <f>COMPOSITE!AL426/COMPOSITE!AM426</f>
        <v>1</v>
      </c>
      <c r="W48" s="2286">
        <f>COMPOSITE!AN426/COMPOSITE!AO426</f>
        <v>0.99430415796468574</v>
      </c>
      <c r="X48" s="2287">
        <f t="shared" ref="X48:X53" si="1">AVERAGE(V48:W48)</f>
        <v>0.99715207898234293</v>
      </c>
      <c r="Y48" s="2247"/>
      <c r="Z48" s="2247"/>
      <c r="AA48" s="2247"/>
      <c r="AB48" s="2247"/>
      <c r="AC48" s="2257">
        <f>COMPOSITE!AL427/COMPOSITE!AM427</f>
        <v>1</v>
      </c>
      <c r="AD48" s="2257">
        <f>COMPOSITE!AN427/COMPOSITE!AO427</f>
        <v>0.99858088930936617</v>
      </c>
      <c r="AE48" s="2288">
        <f t="shared" ref="AE48:AE53" si="2">AVERAGE(AC48:AD48)</f>
        <v>0.99929044465468309</v>
      </c>
      <c r="AF48" s="2289"/>
      <c r="AG48" s="2290"/>
      <c r="AH48" s="2290"/>
      <c r="AI48" s="2291"/>
      <c r="AJ48" s="2286">
        <f>COMPOSITE!AL428/COMPOSITE!AM428</f>
        <v>1</v>
      </c>
      <c r="AK48" s="2286">
        <f>COMPOSITE!AN428/COMPOSITE!AO428</f>
        <v>0.99771324033844044</v>
      </c>
      <c r="AL48" s="2288">
        <f t="shared" ref="AL48:AL53" si="3">AVERAGE(AJ48:AK48)</f>
        <v>0.99885662016922017</v>
      </c>
      <c r="AM48" s="2279"/>
      <c r="AN48" s="2279"/>
      <c r="AO48" s="2279"/>
      <c r="AP48" s="2279"/>
      <c r="AQ48" s="2253">
        <f>COMPOSITE!AL429/COMPOSITE!AM429</f>
        <v>1</v>
      </c>
      <c r="AR48" s="2253">
        <f>COMPOSITE!AN429/COMPOSITE!AO429</f>
        <v>0.99235807860262004</v>
      </c>
      <c r="AS48" s="2253">
        <f t="shared" ref="AS48:AS53" si="4">AVERAGE(AQ48:AR48)</f>
        <v>0.99617903930131002</v>
      </c>
      <c r="AT48" s="2279"/>
      <c r="AU48" s="2279"/>
      <c r="AV48" s="2279"/>
      <c r="AW48" s="2292"/>
      <c r="AX48" s="2257">
        <f>COMPOSITE!AL430/COMPOSITE!AM430</f>
        <v>1</v>
      </c>
      <c r="AY48" s="2257">
        <f>COMPOSITE!AN430/COMPOSITE!AO430</f>
        <v>0.99679487179487181</v>
      </c>
      <c r="AZ48" s="2293">
        <f t="shared" ref="AZ48:AZ53" si="5">AVERAGE(AX48:AY48)</f>
        <v>0.9983974358974359</v>
      </c>
      <c r="BA48" s="2241"/>
    </row>
    <row r="49" spans="1:53" s="2242" customFormat="1" ht="39.950000000000003" customHeight="1">
      <c r="A49" s="2227"/>
      <c r="B49" s="2243">
        <v>0.95</v>
      </c>
      <c r="C49" s="2244">
        <v>42491</v>
      </c>
      <c r="D49" s="2294"/>
      <c r="E49" s="2247"/>
      <c r="F49" s="2247"/>
      <c r="G49" s="2257">
        <f>COMPOSITE!AX443/COMPOSITE!AY443</f>
        <v>0.99629171817058093</v>
      </c>
      <c r="H49" s="2257">
        <f>COMPOSITE!AZ443/COMPOSITE!BA443</f>
        <v>0.99343417553191493</v>
      </c>
      <c r="I49" s="2247"/>
      <c r="J49" s="2280">
        <f>SUM(COMPOSITE!AX443,COMPOSITE!AZ443)/SUM(COMPOSITE!AY443,COMPOSITE!BA443)</f>
        <v>0.99361420450120708</v>
      </c>
      <c r="K49" s="2247"/>
      <c r="L49" s="2247"/>
      <c r="M49" s="2247"/>
      <c r="N49" s="2247"/>
      <c r="O49" s="2281">
        <f>COMPOSITE!AX425/COMPOSITE!AY425</f>
        <v>0.99522673031026254</v>
      </c>
      <c r="P49" s="2282">
        <f>COMPOSITE!AZ425/COMPOSITE!BA425</f>
        <v>0.99863387978142082</v>
      </c>
      <c r="Q49" s="2283">
        <f t="shared" si="0"/>
        <v>0.99693030504584168</v>
      </c>
      <c r="R49" s="2247"/>
      <c r="S49" s="2247"/>
      <c r="T49" s="2247"/>
      <c r="U49" s="2295"/>
      <c r="V49" s="2584">
        <f>COMPOSITE!AX426/COMPOSITE!AY426</f>
        <v>1</v>
      </c>
      <c r="W49" s="2253">
        <f>COMPOSITE!AZ426/COMPOSITE!BA426</f>
        <v>0.98727512066695922</v>
      </c>
      <c r="X49" s="2287">
        <f t="shared" si="1"/>
        <v>0.99363756033347961</v>
      </c>
      <c r="Y49" s="2247"/>
      <c r="Z49" s="2247"/>
      <c r="AA49" s="2247"/>
      <c r="AB49" s="2247"/>
      <c r="AC49" s="2257">
        <f>COMPOSITE!AX427/COMPOSITE!AY427</f>
        <v>1</v>
      </c>
      <c r="AD49" s="2257">
        <f>COMPOSITE!AZ427/COMPOSITE!BA427</f>
        <v>0.98782608695652174</v>
      </c>
      <c r="AE49" s="2288">
        <f t="shared" si="2"/>
        <v>0.99391304347826082</v>
      </c>
      <c r="AF49" s="2251"/>
      <c r="AG49" s="2247"/>
      <c r="AH49" s="2247"/>
      <c r="AI49" s="2295"/>
      <c r="AJ49" s="2253">
        <f>COMPOSITE!AX428/COMPOSITE!AY428</f>
        <v>0.98888888888888893</v>
      </c>
      <c r="AK49" s="2253">
        <f>COMPOSITE!AZ428/COMPOSITE!BA428</f>
        <v>0.99299568965517238</v>
      </c>
      <c r="AL49" s="2288">
        <f t="shared" si="3"/>
        <v>0.99094228927203065</v>
      </c>
      <c r="AM49" s="2247"/>
      <c r="AN49" s="2247"/>
      <c r="AO49" s="2247"/>
      <c r="AP49" s="2247"/>
      <c r="AQ49" s="2253">
        <f>COMPOSITE!AX429/COMPOSITE!AY429</f>
        <v>1</v>
      </c>
      <c r="AR49" s="2253">
        <f>COMPOSITE!AZ429/COMPOSITE!BA429</f>
        <v>0.99630086313193589</v>
      </c>
      <c r="AS49" s="2253">
        <f t="shared" si="4"/>
        <v>0.99815043156596794</v>
      </c>
      <c r="AT49" s="2247"/>
      <c r="AU49" s="2247"/>
      <c r="AV49" s="2247"/>
      <c r="AW49" s="2296"/>
      <c r="AX49" s="2257">
        <f>COMPOSITE!AX430/COMPOSITE!AY430</f>
        <v>1</v>
      </c>
      <c r="AY49" s="2257">
        <f>COMPOSITE!AZ430/COMPOSITE!BA430</f>
        <v>0.97099236641221376</v>
      </c>
      <c r="AZ49" s="2293">
        <f t="shared" si="5"/>
        <v>0.98549618320610688</v>
      </c>
      <c r="BA49" s="2241"/>
    </row>
    <row r="50" spans="1:53" s="2242" customFormat="1" ht="39.950000000000003" customHeight="1">
      <c r="A50" s="2227"/>
      <c r="B50" s="2243">
        <v>0.95</v>
      </c>
      <c r="C50" s="2244">
        <v>42522</v>
      </c>
      <c r="D50" s="2294"/>
      <c r="E50" s="2247"/>
      <c r="F50" s="2247"/>
      <c r="G50" s="2272">
        <f t="shared" ref="G50:H52" si="6">AVERAGE(O50,V50,AC50,AJ50,AQ50,AX50)</f>
        <v>0.99414624576077648</v>
      </c>
      <c r="H50" s="2257">
        <f t="shared" si="6"/>
        <v>0.99009690267153661</v>
      </c>
      <c r="I50" s="2247"/>
      <c r="J50" s="2280">
        <f t="shared" ref="J50:J55" si="7">AVERAGE(Q50,X50,AE50,AL50,AS50,AZ50)</f>
        <v>0.99212157421615643</v>
      </c>
      <c r="K50" s="2247"/>
      <c r="L50" s="2247"/>
      <c r="M50" s="2247"/>
      <c r="N50" s="2247"/>
      <c r="O50" s="2281">
        <f>COMPOSITE!BJ425/COMPOSITE!BK425</f>
        <v>1</v>
      </c>
      <c r="P50" s="2282">
        <f>COMPOSITE!BL425/COMPOSITE!BM425</f>
        <v>0.99771306601616105</v>
      </c>
      <c r="Q50" s="2583">
        <f t="shared" si="0"/>
        <v>0.99885653300808053</v>
      </c>
      <c r="R50" s="2247"/>
      <c r="S50" s="2247"/>
      <c r="T50" s="2247"/>
      <c r="U50" s="2295"/>
      <c r="V50" s="2285">
        <f>COMPOSITE!BJ426/COMPOSITE!BK426</f>
        <v>0.99382716049382713</v>
      </c>
      <c r="W50" s="2253">
        <f>COMPOSITE!BL426/COMPOSITE!BM426</f>
        <v>0.98203395417834183</v>
      </c>
      <c r="X50" s="2300">
        <f t="shared" si="1"/>
        <v>0.98793055733608448</v>
      </c>
      <c r="Y50" s="2247"/>
      <c r="Z50" s="2247"/>
      <c r="AA50" s="2247"/>
      <c r="AB50" s="2247"/>
      <c r="AC50" s="2257">
        <f>COMPOSITE!BJ427/COMPOSITE!BK427</f>
        <v>0.98449612403100772</v>
      </c>
      <c r="AD50" s="2257">
        <f>COMPOSITE!BL427/COMPOSITE!BM427</f>
        <v>0.98955613577023493</v>
      </c>
      <c r="AE50" s="2288">
        <f t="shared" si="2"/>
        <v>0.98702612990062133</v>
      </c>
      <c r="AF50" s="2251"/>
      <c r="AG50" s="2247"/>
      <c r="AH50" s="2247"/>
      <c r="AI50" s="2295"/>
      <c r="AJ50" s="2253">
        <f>COMPOSITE!BJ428/COMPOSITE!BK428</f>
        <v>1</v>
      </c>
      <c r="AK50" s="2253">
        <f>COMPOSITE!BL428/COMPOSITE!BM428</f>
        <v>0.99361532322426183</v>
      </c>
      <c r="AL50" s="2253">
        <f t="shared" si="3"/>
        <v>0.99680766161213086</v>
      </c>
      <c r="AM50" s="2247"/>
      <c r="AN50" s="2247"/>
      <c r="AO50" s="2247"/>
      <c r="AP50" s="2247"/>
      <c r="AQ50" s="2253">
        <f>COMPOSITE!BJ429/COMPOSITE!BK429</f>
        <v>0.99481865284974091</v>
      </c>
      <c r="AR50" s="2253">
        <f>COMPOSITE!BL429/COMPOSITE!BM429</f>
        <v>0.99010848755583913</v>
      </c>
      <c r="AS50" s="2253">
        <f t="shared" si="4"/>
        <v>0.99246357020278997</v>
      </c>
      <c r="AT50" s="2247"/>
      <c r="AU50" s="2247"/>
      <c r="AV50" s="2247"/>
      <c r="AW50" s="2296"/>
      <c r="AX50" s="2257">
        <f>COMPOSITE!BJ430/COMPOSITE!BK430</f>
        <v>0.99173553719008267</v>
      </c>
      <c r="AY50" s="2257">
        <f>COMPOSITE!BL430/COMPOSITE!BM430</f>
        <v>0.98755444928438085</v>
      </c>
      <c r="AZ50" s="2293">
        <f t="shared" si="5"/>
        <v>0.98964499323723176</v>
      </c>
      <c r="BA50" s="2241"/>
    </row>
    <row r="51" spans="1:53" s="2242" customFormat="1" ht="39.950000000000003" customHeight="1">
      <c r="A51" s="2227"/>
      <c r="B51" s="2243">
        <v>0.95</v>
      </c>
      <c r="C51" s="2244">
        <v>42552</v>
      </c>
      <c r="D51" s="2294"/>
      <c r="E51" s="2247"/>
      <c r="F51" s="2247"/>
      <c r="G51" s="2272">
        <f t="shared" si="6"/>
        <v>0.91150442477876104</v>
      </c>
      <c r="H51" s="2257">
        <f t="shared" si="6"/>
        <v>0.99024119619118778</v>
      </c>
      <c r="I51" s="2247"/>
      <c r="J51" s="2280">
        <f t="shared" si="7"/>
        <v>0.98325773790214044</v>
      </c>
      <c r="K51" s="2247"/>
      <c r="L51" s="2247"/>
      <c r="M51" s="2247"/>
      <c r="N51" s="2247"/>
      <c r="O51" s="2623">
        <f>COMPOSITE!BV425/COMPOSITE!BW425</f>
        <v>0.91150442477876104</v>
      </c>
      <c r="P51" s="2624">
        <f>COMPOSITE!BX425/COMPOSITE!BY425</f>
        <v>0.99530592424732922</v>
      </c>
      <c r="Q51" s="2625">
        <f t="shared" si="0"/>
        <v>0.95340517451304518</v>
      </c>
      <c r="R51" s="2247"/>
      <c r="S51" s="2247"/>
      <c r="T51" s="2247"/>
      <c r="U51" s="2295"/>
      <c r="V51" s="2285" t="s">
        <v>766</v>
      </c>
      <c r="W51" s="2253">
        <f>COMPOSITE!BX426/COMPOSITE!BY426</f>
        <v>0.97220426632191337</v>
      </c>
      <c r="X51" s="2300">
        <f t="shared" si="1"/>
        <v>0.97220426632191337</v>
      </c>
      <c r="Y51" s="2247"/>
      <c r="Z51" s="2247"/>
      <c r="AA51" s="2247"/>
      <c r="AB51" s="2247"/>
      <c r="AC51" s="2257" t="s">
        <v>766</v>
      </c>
      <c r="AD51" s="2257">
        <f>COMPOSITE!BX427/COMPOSITE!BY427</f>
        <v>0.99234693877551017</v>
      </c>
      <c r="AE51" s="2288">
        <f t="shared" si="2"/>
        <v>0.99234693877551017</v>
      </c>
      <c r="AF51" s="2251"/>
      <c r="AG51" s="2247"/>
      <c r="AH51" s="2247"/>
      <c r="AI51" s="2295"/>
      <c r="AJ51" s="2253" t="s">
        <v>766</v>
      </c>
      <c r="AK51" s="2253">
        <f>COMPOSITE!BX428/COMPOSITE!BY428</f>
        <v>0.99059861857252496</v>
      </c>
      <c r="AL51" s="2253">
        <f t="shared" si="3"/>
        <v>0.99059861857252496</v>
      </c>
      <c r="AM51" s="2247"/>
      <c r="AN51" s="2247"/>
      <c r="AO51" s="2247"/>
      <c r="AP51" s="2247"/>
      <c r="AQ51" s="2253" t="s">
        <v>766</v>
      </c>
      <c r="AR51" s="2253">
        <f>COMPOSITE!BX429/COMPOSITE!BY429</f>
        <v>0.99266647110589612</v>
      </c>
      <c r="AS51" s="2253">
        <f t="shared" si="4"/>
        <v>0.99266647110589612</v>
      </c>
      <c r="AT51" s="2247"/>
      <c r="AU51" s="2247"/>
      <c r="AV51" s="2247"/>
      <c r="AW51" s="2296"/>
      <c r="AX51" s="2257" t="s">
        <v>766</v>
      </c>
      <c r="AY51" s="2257">
        <f>COMPOSITE!BX430/COMPOSITE!BY430</f>
        <v>0.99832495812395305</v>
      </c>
      <c r="AZ51" s="2293">
        <f t="shared" si="5"/>
        <v>0.99832495812395305</v>
      </c>
      <c r="BA51" s="2241"/>
    </row>
    <row r="52" spans="1:53" s="2242" customFormat="1" ht="39.950000000000003" customHeight="1">
      <c r="A52" s="2227"/>
      <c r="B52" s="2243">
        <v>0.95</v>
      </c>
      <c r="C52" s="2244">
        <v>42583</v>
      </c>
      <c r="D52" s="2294"/>
      <c r="E52" s="2247"/>
      <c r="F52" s="2247"/>
      <c r="G52" s="2272">
        <f t="shared" si="6"/>
        <v>0.99437149475413555</v>
      </c>
      <c r="H52" s="2257">
        <f t="shared" si="6"/>
        <v>0.99030413411739693</v>
      </c>
      <c r="I52" s="2247"/>
      <c r="J52" s="2280">
        <f t="shared" si="7"/>
        <v>0.9923378144357663</v>
      </c>
      <c r="K52" s="2247"/>
      <c r="L52" s="2247"/>
      <c r="M52" s="2247"/>
      <c r="N52" s="2247"/>
      <c r="O52" s="2623">
        <f>COMPOSITE!CH425/COMPOSITE!CI425</f>
        <v>0.99310344827586206</v>
      </c>
      <c r="P52" s="2624">
        <f>COMPOSITE!CJ425/COMPOSITE!CK425</f>
        <v>1</v>
      </c>
      <c r="Q52" s="2299">
        <f t="shared" si="0"/>
        <v>0.99655172413793103</v>
      </c>
      <c r="R52" s="2247"/>
      <c r="S52" s="2247"/>
      <c r="T52" s="2247"/>
      <c r="U52" s="2295"/>
      <c r="V52" s="2285">
        <f>COMPOSITE!CH426/COMPOSITE!CI426</f>
        <v>0.9943661971830986</v>
      </c>
      <c r="W52" s="2253">
        <f>COMPOSITE!CJ426/COMPOSITE!CK426</f>
        <v>0.97834981247869079</v>
      </c>
      <c r="X52" s="2300">
        <f t="shared" si="1"/>
        <v>0.98635800483089464</v>
      </c>
      <c r="Y52" s="2247"/>
      <c r="Z52" s="2247"/>
      <c r="AA52" s="2247"/>
      <c r="AB52" s="2247"/>
      <c r="AC52" s="2257">
        <f>COMPOSITE!CH427/COMPOSITE!CI427</f>
        <v>0.99082568807339455</v>
      </c>
      <c r="AD52" s="2257">
        <f>COMPOSITE!CJ427/COMPOSITE!CK427</f>
        <v>0.98944702406078511</v>
      </c>
      <c r="AE52" s="2288">
        <f t="shared" si="2"/>
        <v>0.99013635606708983</v>
      </c>
      <c r="AF52" s="2251"/>
      <c r="AG52" s="2247"/>
      <c r="AH52" s="2247"/>
      <c r="AI52" s="2295"/>
      <c r="AJ52" s="2253">
        <f>COMPOSITE!CH428/COMPOSITE!CI428</f>
        <v>0.99633699633699635</v>
      </c>
      <c r="AK52" s="2253">
        <f>COMPOSITE!CJ428/COMPOSITE!CK428</f>
        <v>0.99093953121922396</v>
      </c>
      <c r="AL52" s="2253">
        <f t="shared" si="3"/>
        <v>0.99363826377811015</v>
      </c>
      <c r="AM52" s="2247"/>
      <c r="AN52" s="2247"/>
      <c r="AO52" s="2247"/>
      <c r="AP52" s="2247"/>
      <c r="AQ52" s="2253">
        <f>COMPOSITE!CH429/COMPOSITE!CI429</f>
        <v>1</v>
      </c>
      <c r="AR52" s="2253">
        <f>COMPOSITE!CJ429/COMPOSITE!CK429</f>
        <v>0.98753041362530414</v>
      </c>
      <c r="AS52" s="2253">
        <f t="shared" si="4"/>
        <v>0.99376520681265212</v>
      </c>
      <c r="AT52" s="2247"/>
      <c r="AU52" s="2247"/>
      <c r="AV52" s="2247"/>
      <c r="AW52" s="2296"/>
      <c r="AX52" s="2257">
        <f>COMPOSITE!CH430/COMPOSITE!CI430</f>
        <v>0.99159663865546221</v>
      </c>
      <c r="AY52" s="2257">
        <f>COMPOSITE!CJ430/COMPOSITE!CK430</f>
        <v>0.99555802332037757</v>
      </c>
      <c r="AZ52" s="2293">
        <f t="shared" si="5"/>
        <v>0.99357733098791989</v>
      </c>
      <c r="BA52" s="2241"/>
    </row>
    <row r="53" spans="1:53" s="2242" customFormat="1" ht="39.950000000000003" customHeight="1">
      <c r="A53" s="2227"/>
      <c r="B53" s="2243">
        <v>0.95</v>
      </c>
      <c r="C53" s="2244">
        <v>42614</v>
      </c>
      <c r="D53" s="2294"/>
      <c r="E53" s="2247"/>
      <c r="F53" s="2247"/>
      <c r="G53" s="2272">
        <f t="shared" ref="G53:H55" si="8">AVERAGE(O53,V53,AC53,AJ53,AQ53,AX53)</f>
        <v>0.9905501236600035</v>
      </c>
      <c r="H53" s="2257">
        <f t="shared" si="8"/>
        <v>0.9886042791639934</v>
      </c>
      <c r="I53" s="2247"/>
      <c r="J53" s="2280">
        <f t="shared" si="7"/>
        <v>0.98957720141199845</v>
      </c>
      <c r="K53" s="2247"/>
      <c r="L53" s="2247"/>
      <c r="M53" s="2247"/>
      <c r="N53" s="2247"/>
      <c r="O53" s="2623">
        <f>COMPOSITE!CT425/COMPOSITE!CU425</f>
        <v>0.99784017278617709</v>
      </c>
      <c r="P53" s="2624">
        <f>COMPOSITE!CV425/COMPOSITE!CW425</f>
        <v>1</v>
      </c>
      <c r="Q53" s="2299">
        <f t="shared" si="0"/>
        <v>0.99892008639308849</v>
      </c>
      <c r="R53" s="2247"/>
      <c r="S53" s="2247"/>
      <c r="T53" s="2247"/>
      <c r="U53" s="2295"/>
      <c r="V53" s="2285">
        <f>COMPOSITE!CT426/COMPOSITE!CU426</f>
        <v>0.99282296650717705</v>
      </c>
      <c r="W53" s="2253">
        <f>COMPOSITE!CV426/COMPOSITE!CW426</f>
        <v>0.97165648336727761</v>
      </c>
      <c r="X53" s="2300">
        <f t="shared" si="1"/>
        <v>0.98223972493722733</v>
      </c>
      <c r="Y53" s="2247"/>
      <c r="Z53" s="2247"/>
      <c r="AA53" s="2247"/>
      <c r="AB53" s="2247"/>
      <c r="AC53" s="2257">
        <f>COMPOSITE!CT$427/COMPOSITE!CU$427</f>
        <v>0.98947368421052628</v>
      </c>
      <c r="AD53" s="2257">
        <f>COMPOSITE!CJ$427/COMPOSITE!CK$427</f>
        <v>0.98944702406078511</v>
      </c>
      <c r="AE53" s="2288">
        <f t="shared" si="2"/>
        <v>0.9894603541356557</v>
      </c>
      <c r="AF53" s="2251"/>
      <c r="AG53" s="2247"/>
      <c r="AH53" s="2247"/>
      <c r="AI53" s="2295"/>
      <c r="AJ53" s="2253">
        <f>COMPOSITE!CT428/COMPOSITE!CU428</f>
        <v>0.98606271777003485</v>
      </c>
      <c r="AK53" s="2253">
        <f>COMPOSITE!CV428/COMPOSITE!CW428</f>
        <v>0.99220467719368377</v>
      </c>
      <c r="AL53" s="2253">
        <f t="shared" si="3"/>
        <v>0.98913369748185931</v>
      </c>
      <c r="AM53" s="2247"/>
      <c r="AN53" s="2247"/>
      <c r="AO53" s="2247"/>
      <c r="AP53" s="2247"/>
      <c r="AQ53" s="2253">
        <f>COMPOSITE!CT$429/COMPOSITE!CU$429</f>
        <v>0.99528301886792447</v>
      </c>
      <c r="AR53" s="2253">
        <f>COMPOSITE!CV$429/COMPOSITE!CW$429</f>
        <v>0.9841688654353562</v>
      </c>
      <c r="AS53" s="2253">
        <f t="shared" si="4"/>
        <v>0.98972594215164034</v>
      </c>
      <c r="AT53" s="2247"/>
      <c r="AU53" s="2247"/>
      <c r="AV53" s="2247"/>
      <c r="AW53" s="2296"/>
      <c r="AX53" s="2257">
        <f>COMPOSITE!CT$430/COMPOSITE!CU$430</f>
        <v>0.98181818181818181</v>
      </c>
      <c r="AY53" s="2257">
        <f>COMPOSITE!CV$430/COMPOSITE!CW$430</f>
        <v>0.99414862492685785</v>
      </c>
      <c r="AZ53" s="2293">
        <f t="shared" si="5"/>
        <v>0.98798340337251989</v>
      </c>
      <c r="BA53" s="2241"/>
    </row>
    <row r="54" spans="1:53" s="2242" customFormat="1" ht="39.950000000000003" customHeight="1">
      <c r="A54" s="2227"/>
      <c r="B54" s="2243">
        <v>0.95</v>
      </c>
      <c r="C54" s="2244">
        <v>42644</v>
      </c>
      <c r="D54" s="2294"/>
      <c r="E54" s="2247"/>
      <c r="F54" s="2247"/>
      <c r="G54" s="2272">
        <f t="shared" si="8"/>
        <v>0.98424690504124623</v>
      </c>
      <c r="H54" s="2257">
        <f t="shared" si="8"/>
        <v>0.99340273274114843</v>
      </c>
      <c r="I54" s="2247"/>
      <c r="J54" s="2280">
        <f t="shared" si="7"/>
        <v>0.98882481889119733</v>
      </c>
      <c r="K54" s="2247"/>
      <c r="L54" s="2247"/>
      <c r="M54" s="2247"/>
      <c r="N54" s="2247"/>
      <c r="O54" s="2623">
        <f>COMPOSITE!DF$425/COMPOSITE!DG$425</f>
        <v>1</v>
      </c>
      <c r="P54" s="2624">
        <f>COMPOSITE!DH$425/COMPOSITE!DI$425</f>
        <v>0.99954469570496285</v>
      </c>
      <c r="Q54" s="2299">
        <f>AVERAGE(O54:P54)</f>
        <v>0.99977234785248137</v>
      </c>
      <c r="R54" s="2247"/>
      <c r="S54" s="2247"/>
      <c r="T54" s="2247"/>
      <c r="U54" s="2295"/>
      <c r="V54" s="2285">
        <f>COMPOSITE!DF$426/COMPOSITE!DG$426</f>
        <v>0.98620689655172411</v>
      </c>
      <c r="W54" s="2253">
        <f>COMPOSITE!DH$426/COMPOSITE!DI$426</f>
        <v>0.97882037533512067</v>
      </c>
      <c r="X54" s="2300">
        <f>AVERAGE(V54:W54)</f>
        <v>0.98251363594342234</v>
      </c>
      <c r="Y54" s="2247"/>
      <c r="Z54" s="2247"/>
      <c r="AA54" s="2247"/>
      <c r="AB54" s="2247"/>
      <c r="AC54" s="2257">
        <f>COMPOSITE!DF$427/COMPOSITE!DG$427</f>
        <v>0.96808510638297873</v>
      </c>
      <c r="AD54" s="2257">
        <f>COMPOSITE!DH$427/COMPOSITE!DI$427</f>
        <v>0.99831932773109244</v>
      </c>
      <c r="AE54" s="2288">
        <f>AVERAGE(AC54:AD54)</f>
        <v>0.98320221705703559</v>
      </c>
      <c r="AF54" s="2251"/>
      <c r="AG54" s="2247"/>
      <c r="AH54" s="2247"/>
      <c r="AI54" s="2295"/>
      <c r="AJ54" s="2253">
        <f>COMPOSITE!DF$428/COMPOSITE!DG$428</f>
        <v>0.99118942731277537</v>
      </c>
      <c r="AK54" s="2253">
        <f>COMPOSITE!DH$428/COMPOSITE!DI$428</f>
        <v>0.99559118236472943</v>
      </c>
      <c r="AL54" s="2253">
        <f>AVERAGE(AJ54:AK54)</f>
        <v>0.99339030483875246</v>
      </c>
      <c r="AM54" s="2247"/>
      <c r="AN54" s="2247"/>
      <c r="AO54" s="2247"/>
      <c r="AP54" s="2247"/>
      <c r="AQ54" s="2253">
        <f>COMPOSITE!DF$429/COMPOSITE!DG$429</f>
        <v>1</v>
      </c>
      <c r="AR54" s="2253">
        <f>COMPOSITE!DH$429/COMPOSITE!DI$429</f>
        <v>0.99390635022450291</v>
      </c>
      <c r="AS54" s="2253">
        <f>AVERAGE(AQ54:AR54)</f>
        <v>0.99695317511225146</v>
      </c>
      <c r="AT54" s="2247"/>
      <c r="AU54" s="2247"/>
      <c r="AV54" s="2247"/>
      <c r="AW54" s="2296"/>
      <c r="AX54" s="2257">
        <f>COMPOSITE!DF$430/COMPOSITE!DG$430</f>
        <v>0.96</v>
      </c>
      <c r="AY54" s="2257">
        <f>COMPOSITE!DH$430/COMPOSITE!DI$430</f>
        <v>0.99423446508648305</v>
      </c>
      <c r="AZ54" s="2293">
        <f>AVERAGE(AX54:AY54)</f>
        <v>0.97711723254324157</v>
      </c>
      <c r="BA54" s="2241"/>
    </row>
    <row r="55" spans="1:53" s="2242" customFormat="1" ht="39.950000000000003" customHeight="1">
      <c r="A55" s="2227"/>
      <c r="B55" s="2243">
        <v>0.95</v>
      </c>
      <c r="C55" s="2244">
        <v>42675</v>
      </c>
      <c r="D55" s="2294"/>
      <c r="E55" s="2247"/>
      <c r="F55" s="2247"/>
      <c r="G55" s="2272">
        <f t="shared" si="8"/>
        <v>0.99589487974177426</v>
      </c>
      <c r="H55" s="2257">
        <f t="shared" si="8"/>
        <v>0.99197835729355466</v>
      </c>
      <c r="I55" s="2247"/>
      <c r="J55" s="2280">
        <f t="shared" si="7"/>
        <v>0.99393661851766435</v>
      </c>
      <c r="K55" s="2247"/>
      <c r="L55" s="2247"/>
      <c r="M55" s="2247"/>
      <c r="N55" s="2247"/>
      <c r="O55" s="2623">
        <f>COMPOSITE!DR$425/COMPOSITE!DS$425</f>
        <v>1</v>
      </c>
      <c r="P55" s="2624">
        <f>COMPOSITE!DT$425/COMPOSITE!DU$425</f>
        <v>0.99811276244397262</v>
      </c>
      <c r="Q55" s="2299">
        <f>AVERAGE(O55:P55)</f>
        <v>0.99905638122198637</v>
      </c>
      <c r="R55" s="2247"/>
      <c r="S55" s="2247"/>
      <c r="T55" s="2247"/>
      <c r="U55" s="2295"/>
      <c r="V55" s="2285">
        <f>COMPOSITE!DR$426/COMPOSITE!DS$426</f>
        <v>0.9946236559139785</v>
      </c>
      <c r="W55" s="2253">
        <f>COMPOSITE!DT$426/COMPOSITE!DU$426</f>
        <v>0.97467700258397938</v>
      </c>
      <c r="X55" s="2300">
        <f>AVERAGE(V55:W55)</f>
        <v>0.98465032924897899</v>
      </c>
      <c r="Y55" s="2247"/>
      <c r="Z55" s="2247"/>
      <c r="AA55" s="2247"/>
      <c r="AB55" s="2247"/>
      <c r="AC55" s="2257">
        <f>COMPOSITE!DR$427/COMPOSITE!DS$427</f>
        <v>1</v>
      </c>
      <c r="AD55" s="2257">
        <f>COMPOSITE!DT$427/COMPOSITE!DU$427</f>
        <v>0.99610726643598613</v>
      </c>
      <c r="AE55" s="2288">
        <f>AVERAGE(AC55:AD55)</f>
        <v>0.99805363321799301</v>
      </c>
      <c r="AF55" s="2251"/>
      <c r="AG55" s="2247"/>
      <c r="AH55" s="2247"/>
      <c r="AI55" s="2295"/>
      <c r="AJ55" s="2253">
        <f>COMPOSITE!DR$428/COMPOSITE!DS$428</f>
        <v>0.99567099567099571</v>
      </c>
      <c r="AK55" s="2253">
        <f>COMPOSITE!DT$428/COMPOSITE!DU$428</f>
        <v>0.99669676282757103</v>
      </c>
      <c r="AL55" s="2253">
        <f>AVERAGE(AJ55:AK55)</f>
        <v>0.99618387924928342</v>
      </c>
      <c r="AM55" s="2247"/>
      <c r="AN55" s="2247"/>
      <c r="AO55" s="2247"/>
      <c r="AP55" s="2247"/>
      <c r="AQ55" s="2253">
        <f>COMPOSITE!DR$429/COMPOSITE!DS$429</f>
        <v>0.9850746268656716</v>
      </c>
      <c r="AR55" s="2253">
        <f>COMPOSITE!DT$429/COMPOSITE!DU$429</f>
        <v>0.99353081375553287</v>
      </c>
      <c r="AS55" s="2253">
        <f>AVERAGE(AQ55:AR55)</f>
        <v>0.98930272031060218</v>
      </c>
      <c r="AT55" s="2247"/>
      <c r="AU55" s="2247"/>
      <c r="AV55" s="2247"/>
      <c r="AW55" s="2296"/>
      <c r="AX55" s="2257">
        <f>COMPOSITE!DR$430/COMPOSITE!DS$430</f>
        <v>1</v>
      </c>
      <c r="AY55" s="2257">
        <f>COMPOSITE!DT$430/COMPOSITE!DU$430</f>
        <v>0.9927455357142857</v>
      </c>
      <c r="AZ55" s="2293">
        <f>AVERAGE(AX55:AY55)</f>
        <v>0.99637276785714279</v>
      </c>
      <c r="BA55" s="2241"/>
    </row>
    <row r="56" spans="1:53" s="2242" customFormat="1" ht="39.950000000000003" customHeight="1">
      <c r="A56" s="2227"/>
      <c r="B56" s="2301">
        <v>0.95</v>
      </c>
      <c r="C56" s="2302">
        <v>42705</v>
      </c>
      <c r="D56" s="2294"/>
      <c r="E56" s="2247"/>
      <c r="F56" s="2247"/>
      <c r="G56" s="2272"/>
      <c r="H56" s="2257"/>
      <c r="I56" s="2247"/>
      <c r="J56" s="2280"/>
      <c r="K56" s="2247"/>
      <c r="L56" s="2247"/>
      <c r="M56" s="2247"/>
      <c r="N56" s="2247"/>
      <c r="O56" s="2297"/>
      <c r="P56" s="2298"/>
      <c r="Q56" s="2299"/>
      <c r="R56" s="2247"/>
      <c r="S56" s="2247"/>
      <c r="T56" s="2247"/>
      <c r="U56" s="2295"/>
      <c r="V56" s="2285"/>
      <c r="W56" s="2253"/>
      <c r="X56" s="2300"/>
      <c r="Y56" s="2247"/>
      <c r="Z56" s="2247"/>
      <c r="AA56" s="2247"/>
      <c r="AB56" s="2247"/>
      <c r="AC56" s="2272"/>
      <c r="AD56" s="2257"/>
      <c r="AE56" s="2303"/>
      <c r="AF56" s="2251"/>
      <c r="AG56" s="2247"/>
      <c r="AH56" s="2247"/>
      <c r="AI56" s="2295"/>
      <c r="AJ56" s="2253"/>
      <c r="AK56" s="2253"/>
      <c r="AL56" s="2253"/>
      <c r="AM56" s="2247"/>
      <c r="AN56" s="2247"/>
      <c r="AO56" s="2247"/>
      <c r="AP56" s="2247"/>
      <c r="AQ56" s="2253"/>
      <c r="AR56" s="2253"/>
      <c r="AS56" s="2253"/>
      <c r="AT56" s="2247"/>
      <c r="AU56" s="2247"/>
      <c r="AV56" s="2247"/>
      <c r="AW56" s="2296"/>
      <c r="AX56" s="2257"/>
      <c r="AY56" s="2257"/>
      <c r="AZ56" s="2293"/>
      <c r="BA56" s="2241"/>
    </row>
    <row r="57" spans="1:53" s="2242" customFormat="1" ht="39.950000000000003" customHeight="1" thickBot="1">
      <c r="A57" s="2227"/>
      <c r="B57" s="2304"/>
      <c r="C57" s="2305" t="s">
        <v>277</v>
      </c>
      <c r="D57" s="2306"/>
      <c r="E57" s="2307"/>
      <c r="F57" s="2307"/>
      <c r="G57" s="2308"/>
      <c r="H57" s="2309"/>
      <c r="I57" s="2307"/>
      <c r="J57" s="2310"/>
      <c r="K57" s="2307"/>
      <c r="L57" s="2307"/>
      <c r="M57" s="2307"/>
      <c r="N57" s="2307"/>
      <c r="O57" s="2311"/>
      <c r="P57" s="2312"/>
      <c r="Q57" s="2313"/>
      <c r="R57" s="2307"/>
      <c r="S57" s="2307"/>
      <c r="T57" s="2307"/>
      <c r="U57" s="2314"/>
      <c r="V57" s="2315"/>
      <c r="W57" s="2316"/>
      <c r="X57" s="2317"/>
      <c r="Y57" s="2307"/>
      <c r="Z57" s="2307"/>
      <c r="AA57" s="2307"/>
      <c r="AB57" s="2307"/>
      <c r="AC57" s="2308"/>
      <c r="AD57" s="2309"/>
      <c r="AE57" s="2318"/>
      <c r="AF57" s="2319"/>
      <c r="AG57" s="2307"/>
      <c r="AH57" s="2307"/>
      <c r="AI57" s="2314"/>
      <c r="AJ57" s="2316"/>
      <c r="AK57" s="2316"/>
      <c r="AL57" s="2316"/>
      <c r="AM57" s="2307"/>
      <c r="AN57" s="2307"/>
      <c r="AO57" s="2307"/>
      <c r="AP57" s="2307"/>
      <c r="AQ57" s="2316"/>
      <c r="AR57" s="2316"/>
      <c r="AS57" s="2316"/>
      <c r="AT57" s="2307"/>
      <c r="AU57" s="2307"/>
      <c r="AV57" s="2307"/>
      <c r="AW57" s="2320"/>
      <c r="AX57" s="2309"/>
      <c r="AY57" s="2309"/>
      <c r="AZ57" s="2321"/>
      <c r="BA57" s="2241"/>
    </row>
    <row r="58" spans="1:53" s="2220" customFormat="1" ht="39.950000000000003" customHeight="1" thickTop="1">
      <c r="A58" s="2322"/>
      <c r="B58" s="2323"/>
      <c r="C58" s="2323"/>
      <c r="D58" s="2323"/>
      <c r="E58" s="2323"/>
      <c r="F58" s="2323"/>
      <c r="G58" s="2323"/>
      <c r="H58" s="2324"/>
      <c r="I58" s="2324"/>
      <c r="J58" s="2324"/>
      <c r="K58" s="2323"/>
      <c r="L58" s="2323"/>
      <c r="M58" s="2323"/>
      <c r="N58" s="2323"/>
      <c r="O58" s="2323"/>
      <c r="P58" s="2323"/>
      <c r="Q58" s="2323"/>
      <c r="R58" s="2323"/>
      <c r="S58" s="2323"/>
      <c r="T58" s="2323"/>
      <c r="U58" s="2323"/>
      <c r="V58" s="2323"/>
      <c r="W58" s="2323"/>
      <c r="X58" s="2323"/>
      <c r="Y58" s="2323"/>
      <c r="Z58" s="2323"/>
      <c r="AA58" s="2323"/>
      <c r="AB58" s="2323"/>
      <c r="AC58" s="2323"/>
      <c r="AD58" s="2323"/>
      <c r="AE58" s="2323"/>
      <c r="AF58" s="2323"/>
      <c r="AG58" s="2323"/>
      <c r="AH58" s="2323"/>
      <c r="AI58" s="2323"/>
      <c r="AJ58" s="2323"/>
      <c r="AK58" s="2323"/>
      <c r="AL58" s="2323"/>
      <c r="AM58" s="2323"/>
      <c r="AN58" s="2323"/>
      <c r="AO58" s="2323"/>
      <c r="AP58" s="2323"/>
      <c r="AQ58" s="2323"/>
      <c r="AR58" s="2323"/>
      <c r="AS58" s="2323"/>
      <c r="AT58" s="2323"/>
      <c r="AU58" s="2323"/>
      <c r="AV58" s="2323"/>
      <c r="AW58" s="2323"/>
      <c r="AX58" s="2323"/>
      <c r="AY58" s="2323"/>
      <c r="AZ58" s="2323"/>
      <c r="BA58" s="2325"/>
    </row>
    <row r="59" spans="1:53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  <c r="AT59" s="151"/>
      <c r="AU59" s="151"/>
      <c r="AV59" s="151"/>
      <c r="AW59" s="151"/>
      <c r="AX59" s="151"/>
      <c r="AY59" s="151"/>
      <c r="AZ59" s="151"/>
      <c r="BA59" s="151"/>
    </row>
    <row r="60" spans="1:53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1"/>
      <c r="AU60" s="151"/>
      <c r="AV60" s="151"/>
      <c r="AW60" s="151"/>
      <c r="AX60" s="151"/>
      <c r="AY60" s="151"/>
      <c r="AZ60" s="151"/>
      <c r="BA60" s="151"/>
    </row>
    <row r="61" spans="1:53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</row>
    <row r="62" spans="1:53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</row>
    <row r="63" spans="1:53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151"/>
      <c r="AS63" s="151"/>
      <c r="AT63" s="151"/>
      <c r="AU63" s="151"/>
      <c r="AV63" s="151"/>
      <c r="AW63" s="151"/>
      <c r="AX63" s="151"/>
      <c r="AY63" s="151"/>
      <c r="AZ63" s="151"/>
      <c r="BA63" s="151"/>
    </row>
    <row r="64" spans="1:53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AT64" s="151"/>
      <c r="AU64" s="151"/>
      <c r="AV64" s="151"/>
      <c r="AW64" s="151"/>
      <c r="AX64" s="151"/>
      <c r="AY64" s="151"/>
      <c r="AZ64" s="151"/>
      <c r="BA64" s="151"/>
    </row>
  </sheetData>
  <mergeCells count="9">
    <mergeCell ref="Y43:AE43"/>
    <mergeCell ref="AF43:AL43"/>
    <mergeCell ref="AM43:AS43"/>
    <mergeCell ref="AT43:AZ43"/>
    <mergeCell ref="C1:N1"/>
    <mergeCell ref="C43:C44"/>
    <mergeCell ref="D43:J43"/>
    <mergeCell ref="K43:Q43"/>
    <mergeCell ref="R43:X43"/>
  </mergeCells>
  <printOptions horizontalCentered="1" verticalCentered="1"/>
  <pageMargins left="0" right="0" top="0" bottom="0" header="0" footer="0"/>
  <pageSetup paperSize="5" scale="21" fitToHeight="0" orientation="landscape" r:id="rId1"/>
  <headerFooter scaleWithDoc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5" tint="-0.249977111117893"/>
    <pageSetUpPr fitToPage="1"/>
  </sheetPr>
  <dimension ref="A1:AK35"/>
  <sheetViews>
    <sheetView showGridLines="0" zoomScale="80" zoomScaleNormal="80" workbookViewId="0">
      <selection activeCell="W31" sqref="W31"/>
    </sheetView>
  </sheetViews>
  <sheetFormatPr defaultColWidth="9.140625" defaultRowHeight="15"/>
  <cols>
    <col min="1" max="1" width="1.28515625" style="23" customWidth="1"/>
    <col min="2" max="2" width="9.28515625" style="23" bestFit="1" customWidth="1"/>
    <col min="3" max="3" width="11.7109375" style="23" bestFit="1" customWidth="1"/>
    <col min="4" max="4" width="9.140625" style="23"/>
    <col min="5" max="5" width="10.5703125" style="23" customWidth="1"/>
    <col min="6" max="6" width="9.140625" style="23"/>
    <col min="7" max="7" width="11.5703125" style="23" customWidth="1"/>
    <col min="8" max="8" width="9.140625" style="23"/>
    <col min="9" max="9" width="11.140625" style="23" customWidth="1"/>
    <col min="10" max="10" width="9.140625" style="23"/>
    <col min="11" max="11" width="11.5703125" style="23" customWidth="1"/>
    <col min="12" max="12" width="10.28515625" style="23" customWidth="1"/>
    <col min="13" max="13" width="11.7109375" style="23" customWidth="1"/>
    <col min="14" max="14" width="9.140625" style="23" customWidth="1"/>
    <col min="15" max="15" width="11.140625" style="23" customWidth="1"/>
    <col min="16" max="16" width="9.140625" style="23"/>
    <col min="17" max="17" width="12" style="23" customWidth="1"/>
    <col min="18" max="18" width="17.42578125" style="23" customWidth="1"/>
    <col min="19" max="19" width="12.5703125" style="23" customWidth="1"/>
    <col min="20" max="20" width="9.140625" style="23"/>
    <col min="21" max="21" width="11.85546875" style="23" customWidth="1"/>
    <col min="22" max="22" width="9.140625" style="23"/>
    <col min="23" max="23" width="11.5703125" style="23" customWidth="1"/>
    <col min="24" max="24" width="10.85546875" style="23" customWidth="1"/>
    <col min="25" max="25" width="11.28515625" style="23" customWidth="1"/>
    <col min="26" max="26" width="9.140625" style="23"/>
    <col min="27" max="27" width="11.140625" style="23" customWidth="1"/>
    <col min="28" max="28" width="9.140625" style="23"/>
    <col min="29" max="29" width="10.140625" style="23" bestFit="1" customWidth="1"/>
    <col min="30" max="30" width="9.85546875" style="23" customWidth="1"/>
    <col min="31" max="31" width="11.85546875" style="23" customWidth="1"/>
    <col min="32" max="34" width="9.140625" style="23"/>
    <col min="35" max="35" width="9.7109375" style="23" customWidth="1"/>
    <col min="36" max="16384" width="9.140625" style="23"/>
  </cols>
  <sheetData>
    <row r="1" spans="1:19" ht="6" customHeight="1">
      <c r="A1" s="787"/>
    </row>
    <row r="2" spans="1:19" ht="5.25" customHeight="1" thickBot="1"/>
    <row r="3" spans="1:19" ht="35.1" customHeight="1" thickTop="1">
      <c r="R3" s="1147"/>
      <c r="S3" s="1915" t="s">
        <v>345</v>
      </c>
    </row>
    <row r="4" spans="1:19" ht="35.1" customHeight="1">
      <c r="R4" s="2431" t="s">
        <v>6</v>
      </c>
      <c r="S4" s="225">
        <f>COUNTIF(G$22:G$33,"&gt;1%")</f>
        <v>0</v>
      </c>
    </row>
    <row r="5" spans="1:19" ht="35.1" customHeight="1">
      <c r="R5" s="2431" t="s">
        <v>29</v>
      </c>
      <c r="S5" s="225">
        <f>COUNTIF(I$22:I$33,"&gt;1%")</f>
        <v>12</v>
      </c>
    </row>
    <row r="6" spans="1:19" ht="35.1" customHeight="1">
      <c r="R6" s="2431" t="s">
        <v>41</v>
      </c>
      <c r="S6" s="225">
        <f>COUNTIF(K$22:K$33,"&gt;1%")</f>
        <v>2</v>
      </c>
    </row>
    <row r="7" spans="1:19" ht="35.1" customHeight="1">
      <c r="R7" s="2431" t="s">
        <v>9</v>
      </c>
      <c r="S7" s="225">
        <f>COUNTIF(M$22:M$33,"&gt;1%")</f>
        <v>0</v>
      </c>
    </row>
    <row r="8" spans="1:19" ht="35.1" customHeight="1">
      <c r="R8" s="2431" t="s">
        <v>84</v>
      </c>
      <c r="S8" s="225">
        <f>COUNTIF(O$22:O$33,"&gt;1%")</f>
        <v>6</v>
      </c>
    </row>
    <row r="9" spans="1:19" ht="35.1" customHeight="1">
      <c r="R9" s="2431" t="s">
        <v>28</v>
      </c>
      <c r="S9" s="225">
        <f>COUNTIF(Q$22:Q$33,"&gt;1%")</f>
        <v>6</v>
      </c>
    </row>
    <row r="10" spans="1:19" ht="35.1" customHeight="1">
      <c r="R10" s="2431" t="s">
        <v>372</v>
      </c>
      <c r="S10" s="225">
        <f>COUNTIF(S$22:S$33,"&gt;1%")</f>
        <v>0</v>
      </c>
    </row>
    <row r="11" spans="1:19" ht="35.1" customHeight="1">
      <c r="R11" s="2431" t="s">
        <v>30</v>
      </c>
      <c r="S11" s="225">
        <f>COUNTIF(U$22:U$33,"&gt;1%")</f>
        <v>7</v>
      </c>
    </row>
    <row r="12" spans="1:19" ht="35.1" customHeight="1">
      <c r="R12" s="2432" t="s">
        <v>314</v>
      </c>
      <c r="S12" s="225">
        <f>COUNTIF(W$22:W$33,"&gt;1%")</f>
        <v>5</v>
      </c>
    </row>
    <row r="13" spans="1:19" ht="35.1" customHeight="1">
      <c r="R13" s="2431" t="s">
        <v>85</v>
      </c>
      <c r="S13" s="225">
        <f>COUNTIF(Y$22:Y$33,"&gt;1%")</f>
        <v>0</v>
      </c>
    </row>
    <row r="14" spans="1:19" ht="35.1" customHeight="1">
      <c r="R14" s="2431" t="s">
        <v>287</v>
      </c>
      <c r="S14" s="225">
        <f>COUNTIF(AA$22:AA$33,"&gt;1%")</f>
        <v>0</v>
      </c>
    </row>
    <row r="15" spans="1:19" ht="35.1" customHeight="1">
      <c r="R15" s="2431" t="s">
        <v>81</v>
      </c>
      <c r="S15" s="225">
        <f>COUNTIF(AC$22:AC$33,"&gt;1%")</f>
        <v>5</v>
      </c>
    </row>
    <row r="16" spans="1:19" ht="35.1" customHeight="1">
      <c r="R16" s="2431" t="s">
        <v>377</v>
      </c>
      <c r="S16" s="225">
        <f>COUNTIF(AI$22:AI$33,"&gt;1%")</f>
        <v>12</v>
      </c>
    </row>
    <row r="17" spans="2:37" ht="35.1" customHeight="1">
      <c r="R17" s="2431" t="s">
        <v>432</v>
      </c>
      <c r="S17" s="225">
        <f>COUNTIF(AK$22:AK$33,"&gt;1%")</f>
        <v>0</v>
      </c>
    </row>
    <row r="18" spans="2:37" ht="35.1" customHeight="1" thickBot="1">
      <c r="R18" s="1145" t="s">
        <v>278</v>
      </c>
      <c r="S18" s="1146">
        <f>COUNTIF(E22:E33,"&gt;1%")</f>
        <v>2</v>
      </c>
    </row>
    <row r="19" spans="2:37" ht="35.1" customHeight="1" thickTop="1" thickBot="1"/>
    <row r="20" spans="2:37" s="255" customFormat="1" ht="24.95" customHeight="1" thickTop="1">
      <c r="B20" s="3070" t="s">
        <v>276</v>
      </c>
      <c r="C20" s="3072" t="s">
        <v>629</v>
      </c>
      <c r="D20" s="3068" t="s">
        <v>62</v>
      </c>
      <c r="E20" s="3068"/>
      <c r="F20" s="3068" t="s">
        <v>275</v>
      </c>
      <c r="G20" s="3068"/>
      <c r="H20" s="3068" t="s">
        <v>29</v>
      </c>
      <c r="I20" s="3068"/>
      <c r="J20" s="3068" t="s">
        <v>41</v>
      </c>
      <c r="K20" s="3068"/>
      <c r="L20" s="3068" t="s">
        <v>9</v>
      </c>
      <c r="M20" s="3068"/>
      <c r="N20" s="3068" t="s">
        <v>84</v>
      </c>
      <c r="O20" s="3068"/>
      <c r="P20" s="3068" t="s">
        <v>28</v>
      </c>
      <c r="Q20" s="3068"/>
      <c r="R20" s="3068" t="s">
        <v>372</v>
      </c>
      <c r="S20" s="3068"/>
      <c r="T20" s="3068" t="s">
        <v>30</v>
      </c>
      <c r="U20" s="3068"/>
      <c r="V20" s="3068" t="s">
        <v>314</v>
      </c>
      <c r="W20" s="3068"/>
      <c r="X20" s="3068" t="s">
        <v>85</v>
      </c>
      <c r="Y20" s="3068"/>
      <c r="Z20" s="3068" t="s">
        <v>286</v>
      </c>
      <c r="AA20" s="3068"/>
      <c r="AB20" s="3068" t="s">
        <v>81</v>
      </c>
      <c r="AC20" s="3068"/>
      <c r="AD20" s="3068" t="s">
        <v>378</v>
      </c>
      <c r="AE20" s="3068"/>
      <c r="AF20" s="3068" t="s">
        <v>379</v>
      </c>
      <c r="AG20" s="3068"/>
      <c r="AH20" s="3068" t="s">
        <v>377</v>
      </c>
      <c r="AI20" s="3069"/>
      <c r="AJ20" s="3068" t="s">
        <v>432</v>
      </c>
      <c r="AK20" s="3069"/>
    </row>
    <row r="21" spans="2:37" s="255" customFormat="1" ht="97.5" customHeight="1">
      <c r="B21" s="3071"/>
      <c r="C21" s="3073"/>
      <c r="D21" s="1148" t="s">
        <v>343</v>
      </c>
      <c r="E21" s="1148" t="s">
        <v>344</v>
      </c>
      <c r="F21" s="1148" t="s">
        <v>343</v>
      </c>
      <c r="G21" s="1148" t="s">
        <v>344</v>
      </c>
      <c r="H21" s="1148" t="s">
        <v>343</v>
      </c>
      <c r="I21" s="1148" t="s">
        <v>344</v>
      </c>
      <c r="J21" s="1148" t="s">
        <v>343</v>
      </c>
      <c r="K21" s="1148" t="s">
        <v>344</v>
      </c>
      <c r="L21" s="1148" t="s">
        <v>343</v>
      </c>
      <c r="M21" s="1148" t="s">
        <v>344</v>
      </c>
      <c r="N21" s="1148" t="s">
        <v>343</v>
      </c>
      <c r="O21" s="1148" t="s">
        <v>344</v>
      </c>
      <c r="P21" s="1148" t="s">
        <v>343</v>
      </c>
      <c r="Q21" s="1148" t="s">
        <v>344</v>
      </c>
      <c r="R21" s="1148" t="s">
        <v>343</v>
      </c>
      <c r="S21" s="1148" t="s">
        <v>344</v>
      </c>
      <c r="T21" s="1148" t="s">
        <v>343</v>
      </c>
      <c r="U21" s="1148" t="s">
        <v>344</v>
      </c>
      <c r="V21" s="1148" t="s">
        <v>343</v>
      </c>
      <c r="W21" s="1148" t="s">
        <v>344</v>
      </c>
      <c r="X21" s="1148" t="s">
        <v>343</v>
      </c>
      <c r="Y21" s="1148" t="s">
        <v>344</v>
      </c>
      <c r="Z21" s="1148" t="s">
        <v>343</v>
      </c>
      <c r="AA21" s="1148" t="s">
        <v>344</v>
      </c>
      <c r="AB21" s="1148" t="s">
        <v>343</v>
      </c>
      <c r="AC21" s="1148" t="s">
        <v>344</v>
      </c>
      <c r="AD21" s="1148" t="s">
        <v>343</v>
      </c>
      <c r="AE21" s="1148" t="s">
        <v>344</v>
      </c>
      <c r="AF21" s="1148" t="s">
        <v>343</v>
      </c>
      <c r="AG21" s="1148" t="s">
        <v>344</v>
      </c>
      <c r="AH21" s="1148" t="s">
        <v>343</v>
      </c>
      <c r="AI21" s="1149" t="s">
        <v>344</v>
      </c>
      <c r="AJ21" s="1148" t="s">
        <v>343</v>
      </c>
      <c r="AK21" s="1149" t="s">
        <v>344</v>
      </c>
    </row>
    <row r="22" spans="2:37" ht="24.95" customHeight="1">
      <c r="B22" s="1208">
        <v>42370</v>
      </c>
      <c r="C22" s="1205">
        <v>0.01</v>
      </c>
      <c r="D22" s="2591">
        <f t="shared" ref="D22:D30" si="0">SUM(H22,J22,L22,N22,P22,R22,T22,V22,X22,Z22,AB22,AD22,AF22,AH22,AJ22)</f>
        <v>1774</v>
      </c>
      <c r="E22" s="2594">
        <f t="shared" ref="E22:E28" si="1">AVERAGE(I22,K22,M22,O22,Q22,S22,U22,W22,Y22,AA22,AC22,AE22,AG22,AI22,AK22)</f>
        <v>9.2234409584653464E-3</v>
      </c>
      <c r="F22" s="1898"/>
      <c r="G22" s="1899"/>
      <c r="H22" s="1019">
        <f>COMPOSITE!B449</f>
        <v>409</v>
      </c>
      <c r="I22" s="1020">
        <f>COMPOSITE!C449/COMPOSITE!B46</f>
        <v>2.7129679869777535E-2</v>
      </c>
      <c r="J22" s="1019">
        <f>COMPOSITE!B450</f>
        <v>23</v>
      </c>
      <c r="K22" s="1020">
        <f>COMPOSITE!C450/COMPOSITE!B$47</f>
        <v>4.6893317702227429E-3</v>
      </c>
      <c r="L22" s="1019">
        <f>COMPOSITE!B451</f>
        <v>15</v>
      </c>
      <c r="M22" s="1020">
        <f>COMPOSITE!C451/COMPOSITE!B48</f>
        <v>4.2826552462526769E-3</v>
      </c>
      <c r="N22" s="1019">
        <f>COMPOSITE!B$452</f>
        <v>171</v>
      </c>
      <c r="O22" s="1020">
        <f>COMPOSITE!C$452/COMPOSITE!B$49</f>
        <v>1.1393229166666666E-2</v>
      </c>
      <c r="P22" s="1069">
        <f>COMPOSITE!B$453+COMPOSITE!B$454</f>
        <v>347</v>
      </c>
      <c r="Q22" s="1021">
        <f>SUM(COMPOSITE!C$453+COMPOSITE!C$454)/SUM(COMPOSITE!B$51+COMPOSITE!B$52)</f>
        <v>1.1136171412461236E-2</v>
      </c>
      <c r="R22" s="1019">
        <f>COMPOSITE!B$456</f>
        <v>26</v>
      </c>
      <c r="S22" s="1020">
        <f>COMPOSITE!C$456/COMPOSITE!B$54</f>
        <v>2.2675736961451248E-3</v>
      </c>
      <c r="T22" s="1019">
        <f>COMPOSITE!B$457</f>
        <v>101</v>
      </c>
      <c r="U22" s="1020">
        <f>COMPOSITE!C$457/COMPOSITE!B$55</f>
        <v>1.0432968179447052E-3</v>
      </c>
      <c r="V22" s="1019">
        <f>COMPOSITE!B458</f>
        <v>51</v>
      </c>
      <c r="W22" s="1020">
        <f>COMPOSITE!C$458/COMPOSITE!B$56</f>
        <v>7.1942446043165471E-3</v>
      </c>
      <c r="X22" s="1019">
        <f>COMPOSITE!B$459</f>
        <v>72</v>
      </c>
      <c r="Y22" s="1020">
        <f>COMPOSITE!C$459/COMPOSITE!B$57</f>
        <v>7.3746312684365781E-3</v>
      </c>
      <c r="Z22" s="1019">
        <f>COMPOSITE!B$460</f>
        <v>127</v>
      </c>
      <c r="AA22" s="1020">
        <f>COMPOSITE!C$460/(COMPOSITE!B$58+COMPOSITE!B$59)</f>
        <v>2.1691973969631237E-3</v>
      </c>
      <c r="AB22" s="1019">
        <f>COMPOSITE!B$461</f>
        <v>28</v>
      </c>
      <c r="AC22" s="1021">
        <f>COMPOSITE!C$461/COMPOSITE!B$60</f>
        <v>1.452081316553727E-2</v>
      </c>
      <c r="AD22" s="1069" t="s">
        <v>766</v>
      </c>
      <c r="AE22" s="1021" t="s">
        <v>766</v>
      </c>
      <c r="AF22" s="1069" t="s">
        <v>766</v>
      </c>
      <c r="AG22" s="1021" t="s">
        <v>766</v>
      </c>
      <c r="AH22" s="1022">
        <f>COMPOSITE!B464</f>
        <v>333</v>
      </c>
      <c r="AI22" s="1023">
        <f>COMPOSITE!C$464/(COMPOSITE!B$63+COMPOSITE!B$64)</f>
        <v>2.0444880601897284E-2</v>
      </c>
      <c r="AJ22" s="1022">
        <f>COMPOSITE!B$466</f>
        <v>71</v>
      </c>
      <c r="AK22" s="1023">
        <f>COMPOSITE!C$466/COMPOSITE!B$65</f>
        <v>6.2590274434280212E-3</v>
      </c>
    </row>
    <row r="23" spans="2:37" ht="24.95" customHeight="1">
      <c r="B23" s="1209">
        <v>42401</v>
      </c>
      <c r="C23" s="1206">
        <v>0.01</v>
      </c>
      <c r="D23" s="1018">
        <f t="shared" si="0"/>
        <v>1657</v>
      </c>
      <c r="E23" s="1211">
        <f t="shared" si="1"/>
        <v>8.4623304593400006E-3</v>
      </c>
      <c r="F23" s="1900"/>
      <c r="G23" s="1901"/>
      <c r="H23" s="1014">
        <f>COMPOSITE!D449</f>
        <v>347</v>
      </c>
      <c r="I23" s="1015">
        <f>COMPOSITE!E449/COMPOSITE!C46</f>
        <v>2.5210084033613446E-2</v>
      </c>
      <c r="J23" s="1014">
        <f>COMPOSITE!D450</f>
        <v>25</v>
      </c>
      <c r="K23" s="1015">
        <f>COMPOSITE!E450/COMPOSITE!C47</f>
        <v>0</v>
      </c>
      <c r="L23" s="1014">
        <f>COMPOSITE!D451</f>
        <v>10</v>
      </c>
      <c r="M23" s="1015">
        <f>COMPOSITE!E451/COMPOSITE!C48</f>
        <v>0</v>
      </c>
      <c r="N23" s="1014">
        <f>COMPOSITE!D$452</f>
        <v>95</v>
      </c>
      <c r="O23" s="1015">
        <f>COMPOSITE!E$452/COMPOSITE!C$49</f>
        <v>9.4670406732117809E-3</v>
      </c>
      <c r="P23" s="1070">
        <f>COMPOSITE!D$453+COMPOSITE!D$454</f>
        <v>365</v>
      </c>
      <c r="Q23" s="1024">
        <f>SUM(COMPOSITE!E$453+COMPOSITE!E$454)/SUM(COMPOSITE!C$51+COMPOSITE!C$52)</f>
        <v>1.0126231100013872E-2</v>
      </c>
      <c r="R23" s="1014">
        <f>COMPOSITE!D$456</f>
        <v>21</v>
      </c>
      <c r="S23" s="1015">
        <f>COMPOSITE!E$456/COMPOSITE!C$54</f>
        <v>0</v>
      </c>
      <c r="T23" s="1014">
        <f>COMPOSITE!D$457</f>
        <v>82</v>
      </c>
      <c r="U23" s="1015">
        <f>COMPOSITE!E$457/COMPOSITE!C$55</f>
        <v>2.7129679869777537E-4</v>
      </c>
      <c r="V23" s="1014">
        <f>COMPOSITE!D458</f>
        <v>60</v>
      </c>
      <c r="W23" s="1024">
        <f>COMPOSITE!E$458/COMPOSITE!C$56</f>
        <v>1.0114632501685773E-2</v>
      </c>
      <c r="X23" s="2427">
        <f>COMPOSITE!D$459</f>
        <v>61</v>
      </c>
      <c r="Y23" s="2428">
        <f>COMPOSITE!E$459/COMPOSITE!C$57</f>
        <v>5.7443752991862135E-3</v>
      </c>
      <c r="Z23" s="1014">
        <f>COMPOSITE!D$460</f>
        <v>119</v>
      </c>
      <c r="AA23" s="1015">
        <f>COMPOSITE!E$460/(COMPOSITE!C$58+COMPOSITE!C$59)</f>
        <v>2.6666666666666666E-3</v>
      </c>
      <c r="AB23" s="1014">
        <f>COMPOSITE!D$461</f>
        <v>43</v>
      </c>
      <c r="AC23" s="1024">
        <f>COMPOSITE!E$461/COMPOSITE!C$60</f>
        <v>2.2564102564102566E-2</v>
      </c>
      <c r="AD23" s="1070" t="s">
        <v>766</v>
      </c>
      <c r="AE23" s="1024" t="s">
        <v>766</v>
      </c>
      <c r="AF23" s="1070" t="s">
        <v>766</v>
      </c>
      <c r="AG23" s="1024" t="s">
        <v>766</v>
      </c>
      <c r="AH23" s="1013">
        <f>COMPOSITE!D464</f>
        <v>334</v>
      </c>
      <c r="AI23" s="1025">
        <f>COMPOSITE!E$464/(COMPOSITE!C$63+COMPOSITE!C$64)</f>
        <v>2.0102105934907466E-2</v>
      </c>
      <c r="AJ23" s="1022">
        <f>COMPOSITE!D$466</f>
        <v>95</v>
      </c>
      <c r="AK23" s="1023">
        <f>COMPOSITE!E$466/COMPOSITE!C$65</f>
        <v>3.7437603993344427E-3</v>
      </c>
    </row>
    <row r="24" spans="2:37" ht="24.95" customHeight="1">
      <c r="B24" s="1209">
        <v>42430</v>
      </c>
      <c r="C24" s="1206">
        <v>0.01</v>
      </c>
      <c r="D24" s="2593">
        <f t="shared" si="0"/>
        <v>1915</v>
      </c>
      <c r="E24" s="2596">
        <f t="shared" si="1"/>
        <v>8.1204346358176929E-3</v>
      </c>
      <c r="F24" s="1900"/>
      <c r="G24" s="1901"/>
      <c r="H24" s="1014">
        <f>COMPOSITE!F449</f>
        <v>405</v>
      </c>
      <c r="I24" s="1015">
        <f>COMPOSITE!G449/COMPOSITE!D46</f>
        <v>2.4014382945935532E-2</v>
      </c>
      <c r="J24" s="1014">
        <f>COMPOSITE!F$450</f>
        <v>26</v>
      </c>
      <c r="K24" s="1015">
        <f>COMPOSITE!G$450/COMPOSITE!D$47</f>
        <v>1.25E-3</v>
      </c>
      <c r="L24" s="1014">
        <f>COMPOSITE!F$451</f>
        <v>10</v>
      </c>
      <c r="M24" s="1015">
        <f>COMPOSITE!G$451/COMPOSITE!D$48</f>
        <v>0</v>
      </c>
      <c r="N24" s="1014">
        <f>COMPOSITE!F$452</f>
        <v>126</v>
      </c>
      <c r="O24" s="1015">
        <f>COMPOSITE!G$452/COMPOSITE!D$49</f>
        <v>9.0230242688238947E-3</v>
      </c>
      <c r="P24" s="1070">
        <f>COMPOSITE!F$453+COMPOSITE!F$454</f>
        <v>437</v>
      </c>
      <c r="Q24" s="2590">
        <f>SUM(COMPOSITE!G$453+COMPOSITE!G$454)/SUM(COMPOSITE!D$51+COMPOSITE!D$52)</f>
        <v>8.8181261481935086E-3</v>
      </c>
      <c r="R24" s="2588">
        <f>COMPOSITE!F$456</f>
        <v>33</v>
      </c>
      <c r="S24" s="2589">
        <f>COMPOSITE!G$456/COMPOSITE!D$54</f>
        <v>1.0214504596527069E-3</v>
      </c>
      <c r="T24" s="1014">
        <f>COMPOSITE!F$457</f>
        <v>113</v>
      </c>
      <c r="U24" s="1015">
        <f>COMPOSITE!G$457/COMPOSITE!D$55</f>
        <v>9.664170089393573E-4</v>
      </c>
      <c r="V24" s="1014">
        <f>COMPOSITE!F458</f>
        <v>57</v>
      </c>
      <c r="W24" s="1024">
        <f>COMPOSITE!G$458/COMPOSITE!D$56</f>
        <v>1.0362694300518135E-2</v>
      </c>
      <c r="X24" s="2427">
        <f>COMPOSITE!F$459</f>
        <v>76</v>
      </c>
      <c r="Y24" s="2428">
        <f>COMPOSITE!G$459/COMPOSITE!D$57</f>
        <v>7.4692442882249559E-3</v>
      </c>
      <c r="Z24" s="1014">
        <f>COMPOSITE!F$460</f>
        <v>163</v>
      </c>
      <c r="AA24" s="1015">
        <f>COMPOSITE!G$460/(COMPOSITE!D$58+COMPOSITE!D$59)</f>
        <v>1.5066724063710719E-3</v>
      </c>
      <c r="AB24" s="1014">
        <f>COMPOSITE!F$461</f>
        <v>36</v>
      </c>
      <c r="AC24" s="1024">
        <f>COMPOSITE!G$461/COMPOSITE!D$60</f>
        <v>1.7874875868917579E-2</v>
      </c>
      <c r="AD24" s="1070" t="s">
        <v>766</v>
      </c>
      <c r="AE24" s="1024" t="s">
        <v>766</v>
      </c>
      <c r="AF24" s="1070" t="s">
        <v>766</v>
      </c>
      <c r="AG24" s="1024" t="s">
        <v>766</v>
      </c>
      <c r="AH24" s="1013">
        <f>COMPOSITE!F464</f>
        <v>340</v>
      </c>
      <c r="AI24" s="1025">
        <f>COMPOSITE!G$464/(COMPOSITE!D$63+COMPOSITE!D$64)</f>
        <v>1.944488003763525E-2</v>
      </c>
      <c r="AJ24" s="1022">
        <f>COMPOSITE!F$466</f>
        <v>93</v>
      </c>
      <c r="AK24" s="1023">
        <f>COMPOSITE!G$466/COMPOSITE!D$65</f>
        <v>3.8138825324180014E-3</v>
      </c>
    </row>
    <row r="25" spans="2:37" ht="24.95" customHeight="1">
      <c r="B25" s="1209">
        <v>42461</v>
      </c>
      <c r="C25" s="1206">
        <v>0.01</v>
      </c>
      <c r="D25" s="1018">
        <f t="shared" si="0"/>
        <v>1664</v>
      </c>
      <c r="E25" s="1211">
        <f t="shared" si="1"/>
        <v>8.8669768094222015E-3</v>
      </c>
      <c r="F25" s="1900"/>
      <c r="G25" s="1901"/>
      <c r="H25" s="1014">
        <f>COMPOSITE!H$449</f>
        <v>389</v>
      </c>
      <c r="I25" s="1015">
        <f>COMPOSITE!I449/COMPOSITE!E46</f>
        <v>2.2887081207776092E-2</v>
      </c>
      <c r="J25" s="1014">
        <f>COMPOSITE!H$450</f>
        <v>23</v>
      </c>
      <c r="K25" s="1015">
        <f>COMPOSITE!I450/COMPOSITE!E$47</f>
        <v>5.4869684499314125E-3</v>
      </c>
      <c r="L25" s="1014">
        <f>COMPOSITE!H$451</f>
        <v>9</v>
      </c>
      <c r="M25" s="1015">
        <f>COMPOSITE!I$451/COMPOSITE!E$48</f>
        <v>0</v>
      </c>
      <c r="N25" s="1070">
        <f>COMPOSITE!H$452</f>
        <v>58</v>
      </c>
      <c r="O25" s="1024">
        <f>COMPOSITE!I$452/COMPOSITE!E$49</f>
        <v>9.1608647856357642E-3</v>
      </c>
      <c r="P25" s="1070">
        <f>COMPOSITE!H$453+COMPOSITE!H$454</f>
        <v>378</v>
      </c>
      <c r="Q25" s="1024">
        <f>SUM(COMPOSITE!I$453+COMPOSITE!I$454)/SUM(COMPOSITE!E$51+COMPOSITE!E$52)</f>
        <v>1.0399562123700055E-2</v>
      </c>
      <c r="R25" s="1014">
        <f>COMPOSITE!H$456</f>
        <v>18</v>
      </c>
      <c r="S25" s="1015">
        <f>COMPOSITE!I$456/COMPOSITE!E$54</f>
        <v>0</v>
      </c>
      <c r="T25" s="1014">
        <f>COMPOSITE!H$457</f>
        <v>122</v>
      </c>
      <c r="U25" s="1015">
        <f>COMPOSITE!I$457/COMPOSITE!E$55</f>
        <v>5.2192066805845506E-4</v>
      </c>
      <c r="V25" s="1070">
        <f>COMPOSITE!H$458</f>
        <v>53</v>
      </c>
      <c r="W25" s="1024">
        <f>COMPOSITE!I$458/COMPOSITE!E$56</f>
        <v>1.3758146270818247E-2</v>
      </c>
      <c r="X25" s="2427">
        <f>COMPOSITE!H$459</f>
        <v>58</v>
      </c>
      <c r="Y25" s="2428">
        <f>COMPOSITE!I$459/COMPOSITE!E$57</f>
        <v>3.6917397323488694E-3</v>
      </c>
      <c r="Z25" s="1014">
        <f>COMPOSITE!H$460</f>
        <v>129</v>
      </c>
      <c r="AA25" s="1015">
        <f>COMPOSITE!I$460/(COMPOSITE!E$58+COMPOSITE!E$59)</f>
        <v>1.1695906432748538E-3</v>
      </c>
      <c r="AB25" s="2427">
        <f>COMPOSITE!H$461</f>
        <v>35</v>
      </c>
      <c r="AC25" s="2428">
        <f>COMPOSITE!I$461/COMPOSITE!E$60</f>
        <v>2.5720164609053499E-2</v>
      </c>
      <c r="AD25" s="1070" t="s">
        <v>766</v>
      </c>
      <c r="AE25" s="1024" t="s">
        <v>766</v>
      </c>
      <c r="AF25" s="1070" t="s">
        <v>766</v>
      </c>
      <c r="AG25" s="1024" t="s">
        <v>766</v>
      </c>
      <c r="AH25" s="1013">
        <f>COMPOSITE!H464</f>
        <v>316</v>
      </c>
      <c r="AI25" s="1025">
        <f>COMPOSITE!I$464/(COMPOSITE!E$63+COMPOSITE!E$64)</f>
        <v>1.840594393785883E-2</v>
      </c>
      <c r="AJ25" s="1022">
        <f>COMPOSITE!H$466</f>
        <v>76</v>
      </c>
      <c r="AK25" s="1023">
        <f>COMPOSITE!I$466/COMPOSITE!E$65</f>
        <v>4.06871609403255E-3</v>
      </c>
    </row>
    <row r="26" spans="2:37" ht="24.95" customHeight="1">
      <c r="B26" s="1209">
        <v>42491</v>
      </c>
      <c r="C26" s="1206">
        <v>0.01</v>
      </c>
      <c r="D26" s="2593">
        <f t="shared" si="0"/>
        <v>1767</v>
      </c>
      <c r="E26" s="2596">
        <f t="shared" si="1"/>
        <v>8.8756203523236675E-3</v>
      </c>
      <c r="F26" s="1900"/>
      <c r="G26" s="1901"/>
      <c r="H26" s="1014">
        <f>COMPOSITE!J$449</f>
        <v>358</v>
      </c>
      <c r="I26" s="1015">
        <f>COMPOSITE!K$449/COMPOSITE!F$46</f>
        <v>2.660319238308597E-2</v>
      </c>
      <c r="J26" s="1014">
        <f>COMPOSITE!J$450</f>
        <v>18</v>
      </c>
      <c r="K26" s="1015">
        <f>COMPOSITE!K$450/COMPOSITE!F$47</f>
        <v>4.9342105263157892E-3</v>
      </c>
      <c r="L26" s="1014">
        <f>COMPOSITE!J$451</f>
        <v>7</v>
      </c>
      <c r="M26" s="1015">
        <f>COMPOSITE!K$451/COMPOSITE!F$48</f>
        <v>0</v>
      </c>
      <c r="N26" s="1014">
        <f>COMPOSITE!J$452</f>
        <v>47</v>
      </c>
      <c r="O26" s="1015">
        <f>COMPOSITE!K$452/COMPOSITE!F$49</f>
        <v>8.175399479747306E-3</v>
      </c>
      <c r="P26" s="1070">
        <f>COMPOSITE!J$453+COMPOSITE!J$454</f>
        <v>389</v>
      </c>
      <c r="Q26" s="2590">
        <f>SUM(COMPOSITE!K$453+COMPOSITE!K$454)/SUM(COMPOSITE!F$51+COMPOSITE!F$52)</f>
        <v>1.0751278353218829E-2</v>
      </c>
      <c r="R26" s="2588">
        <f>COMPOSITE!J$456</f>
        <v>23</v>
      </c>
      <c r="S26" s="2589">
        <f>COMPOSITE!K$456/COMPOSITE!F$54</f>
        <v>0</v>
      </c>
      <c r="T26" s="1014">
        <f>COMPOSITE!J$457</f>
        <v>196</v>
      </c>
      <c r="U26" s="1015">
        <f>COMPOSITE!K$457/COMPOSITE!F$55</f>
        <v>1.2621614514856692E-2</v>
      </c>
      <c r="V26" s="1070">
        <f>COMPOSITE!J$458</f>
        <v>51</v>
      </c>
      <c r="W26" s="1024">
        <f>COMPOSITE!K$458/COMPOSITE!F$56</f>
        <v>8.1607030759573134E-3</v>
      </c>
      <c r="X26" s="2427">
        <f>COMPOSITE!J$459</f>
        <v>62</v>
      </c>
      <c r="Y26" s="2428">
        <f>COMPOSITE!K$459/COMPOSITE!F$57</f>
        <v>8.7881591119333951E-3</v>
      </c>
      <c r="Z26" s="1014">
        <f>COMPOSITE!J$460</f>
        <v>166</v>
      </c>
      <c r="AA26" s="1015">
        <f>COMPOSITE!K$460/(COMPOSITE!F$58+COMPOSITE!F$59)</f>
        <v>5.6860321384425219E-3</v>
      </c>
      <c r="AB26" s="1014">
        <f>COMPOSITE!J$461</f>
        <v>26</v>
      </c>
      <c r="AC26" s="1024">
        <f>COMPOSITE!K$461/COMPOSITE!F$60</f>
        <v>4.329004329004329E-3</v>
      </c>
      <c r="AD26" s="1070" t="s">
        <v>766</v>
      </c>
      <c r="AE26" s="1024" t="s">
        <v>766</v>
      </c>
      <c r="AF26" s="1070" t="s">
        <v>766</v>
      </c>
      <c r="AG26" s="1024" t="s">
        <v>766</v>
      </c>
      <c r="AH26" s="1013">
        <f>COMPOSITE!J$464</f>
        <v>327</v>
      </c>
      <c r="AI26" s="1025">
        <f>COMPOSITE!K$464/(COMPOSITE!F$63+COMPOSITE!F$64)</f>
        <v>2.2191639428866334E-2</v>
      </c>
      <c r="AJ26" s="1022">
        <f>COMPOSITE!J$466</f>
        <v>97</v>
      </c>
      <c r="AK26" s="1023">
        <f>COMPOSITE!K$466/COMPOSITE!F$65</f>
        <v>3.1418312387791743E-3</v>
      </c>
    </row>
    <row r="27" spans="2:37" ht="24.95" customHeight="1">
      <c r="B27" s="1209">
        <v>42522</v>
      </c>
      <c r="C27" s="1206">
        <v>0.01</v>
      </c>
      <c r="D27" s="1018">
        <f t="shared" si="0"/>
        <v>1765</v>
      </c>
      <c r="E27" s="1211">
        <f t="shared" si="1"/>
        <v>9.7517975604602663E-3</v>
      </c>
      <c r="F27" s="1900"/>
      <c r="G27" s="1901"/>
      <c r="H27" s="1014">
        <f>COMPOSITE!L$449</f>
        <v>411</v>
      </c>
      <c r="I27" s="1015">
        <f>COMPOSITE!M$449/COMPOSITE!G$46</f>
        <v>2.8262436914203316E-2</v>
      </c>
      <c r="J27" s="1014">
        <f>COMPOSITE!L$450</f>
        <v>26</v>
      </c>
      <c r="K27" s="1015">
        <f>COMPOSITE!M$450/COMPOSITE!G$47</f>
        <v>8.4602368866328256E-3</v>
      </c>
      <c r="L27" s="1014">
        <f>COMPOSITE!L$451</f>
        <v>13</v>
      </c>
      <c r="M27" s="1015">
        <f>COMPOSITE!M$451/COMPOSITE!G$48</f>
        <v>3.2786885245901639E-3</v>
      </c>
      <c r="N27" s="1070">
        <f>COMPOSITE!L$452</f>
        <v>56</v>
      </c>
      <c r="O27" s="1024">
        <f>COMPOSITE!M$452/COMPOSITE!G$49</f>
        <v>1.0388611004232396E-2</v>
      </c>
      <c r="P27" s="1070">
        <f>COMPOSITE!L$453+COMPOSITE!L$454</f>
        <v>326</v>
      </c>
      <c r="Q27" s="1024">
        <f>SUM(COMPOSITE!M$453+COMPOSITE!M$454)/SUM(COMPOSITE!G$51+COMPOSITE!G$52)</f>
        <v>1.0022107590272659E-2</v>
      </c>
      <c r="R27" s="1014">
        <f>COMPOSITE!L$456</f>
        <v>24</v>
      </c>
      <c r="S27" s="1015">
        <f>COMPOSITE!M$456/COMPOSITE!G$54</f>
        <v>0</v>
      </c>
      <c r="T27" s="1014">
        <f>COMPOSITE!L$457</f>
        <v>181</v>
      </c>
      <c r="U27" s="1015">
        <f>COMPOSITE!M$457/COMPOSITE!G$55</f>
        <v>1.0711343037627026E-2</v>
      </c>
      <c r="V27" s="1070">
        <f>COMPOSITE!L$458</f>
        <v>92</v>
      </c>
      <c r="W27" s="1024">
        <f>COMPOSITE!M$458/COMPOSITE!G$56</f>
        <v>1.207115628970775E-2</v>
      </c>
      <c r="X27" s="2427">
        <f>COMPOSITE!L$459</f>
        <v>70</v>
      </c>
      <c r="Y27" s="2428">
        <f>COMPOSITE!M$459/COMPOSITE!G$57</f>
        <v>7.3428178063331805E-3</v>
      </c>
      <c r="Z27" s="1014">
        <f>COMPOSITE!L$460</f>
        <v>164</v>
      </c>
      <c r="AA27" s="1015">
        <f>COMPOSITE!M$460/(COMPOSITE!G$58+COMPOSITE!G$59)</f>
        <v>7.5046904315196998E-3</v>
      </c>
      <c r="AB27" s="2427">
        <f>COMPOSITE!L$461</f>
        <v>22</v>
      </c>
      <c r="AC27" s="2428">
        <f>COMPOSITE!M$461/COMPOSITE!G$60</f>
        <v>3.5756853396901071E-3</v>
      </c>
      <c r="AD27" s="1070" t="s">
        <v>766</v>
      </c>
      <c r="AE27" s="1024" t="s">
        <v>766</v>
      </c>
      <c r="AF27" s="1070" t="s">
        <v>766</v>
      </c>
      <c r="AG27" s="1024" t="s">
        <v>766</v>
      </c>
      <c r="AH27" s="1013">
        <f>COMPOSITE!L$464</f>
        <v>312</v>
      </c>
      <c r="AI27" s="1025">
        <f>COMPOSITE!M$464/(COMPOSITE!G$63+COMPOSITE!G$64)</f>
        <v>2.0087170740951298E-2</v>
      </c>
      <c r="AJ27" s="1022">
        <f>COMPOSITE!L$466</f>
        <v>68</v>
      </c>
      <c r="AK27" s="1023">
        <f>COMPOSITE!M$466/COMPOSITE!G$65</f>
        <v>5.0684237202230104E-3</v>
      </c>
    </row>
    <row r="28" spans="2:37" ht="24.95" customHeight="1">
      <c r="B28" s="1209">
        <v>42552</v>
      </c>
      <c r="C28" s="1206">
        <v>0.01</v>
      </c>
      <c r="D28" s="2592">
        <f t="shared" si="0"/>
        <v>1741</v>
      </c>
      <c r="E28" s="2595">
        <f t="shared" si="1"/>
        <v>9.7402127182606331E-3</v>
      </c>
      <c r="F28" s="1900"/>
      <c r="G28" s="1901"/>
      <c r="H28" s="1014">
        <f>COMPOSITE!N$449</f>
        <v>390</v>
      </c>
      <c r="I28" s="1015">
        <f>COMPOSITE!O$449/COMPOSITE!H$46</f>
        <v>2.7829050120687208E-2</v>
      </c>
      <c r="J28" s="1014">
        <f>COMPOSITE!N$450</f>
        <v>22</v>
      </c>
      <c r="K28" s="1015">
        <f>COMPOSITE!O$450/COMPOSITE!H$47</f>
        <v>3.4403669724770644E-3</v>
      </c>
      <c r="L28" s="1014">
        <f>COMPOSITE!N$451</f>
        <v>6</v>
      </c>
      <c r="M28" s="1015">
        <f>COMPOSITE!O$451/COMPOSITE!H$48</f>
        <v>0</v>
      </c>
      <c r="N28" s="1014">
        <f>COMPOSITE!N$452</f>
        <v>58</v>
      </c>
      <c r="O28" s="1015">
        <f>COMPOSITE!O$452/COMPOSITE!H$49</f>
        <v>1.0436799381522999E-2</v>
      </c>
      <c r="P28" s="1070">
        <f>COMPOSITE!N$453+COMPOSITE!N$454</f>
        <v>295</v>
      </c>
      <c r="Q28" s="2626">
        <f>SUM(COMPOSITE!O$453+COMPOSITE!O$454)/SUM(COMPOSITE!H$51+COMPOSITE!H$52)</f>
        <v>1.0296010296010296E-2</v>
      </c>
      <c r="R28" s="1014">
        <f>COMPOSITE!N$456</f>
        <v>20</v>
      </c>
      <c r="S28" s="2589">
        <f>COMPOSITE!O$456/COMPOSITE!H$54</f>
        <v>0</v>
      </c>
      <c r="T28" s="1014">
        <f>COMPOSITE!N$457</f>
        <v>194</v>
      </c>
      <c r="U28" s="1015">
        <f>COMPOSITE!O$457/COMPOSITE!H$55</f>
        <v>1.1920186576833377E-2</v>
      </c>
      <c r="V28" s="1014">
        <f>COMPOSITE!N$458</f>
        <v>72</v>
      </c>
      <c r="W28" s="1024">
        <f>COMPOSITE!O$458/COMPOSITE!H$56</f>
        <v>9.3341630367143741E-3</v>
      </c>
      <c r="X28" s="2427">
        <f>COMPOSITE!N$459</f>
        <v>90</v>
      </c>
      <c r="Y28" s="2428">
        <f>COMPOSITE!O$459/COMPOSITE!H$57</f>
        <v>9.1659028414298807E-3</v>
      </c>
      <c r="Z28" s="1014">
        <f>COMPOSITE!N$460</f>
        <v>151</v>
      </c>
      <c r="AA28" s="1015">
        <f>COMPOSITE!O$460/(COMPOSITE!H$58+COMPOSITE!H$59)</f>
        <v>7.414983380209665E-3</v>
      </c>
      <c r="AB28" s="1014">
        <f>COMPOSITE!N$461</f>
        <v>18</v>
      </c>
      <c r="AC28" s="1024">
        <f>COMPOSITE!O$461/COMPOSITE!H$60</f>
        <v>4.9504950495049506E-3</v>
      </c>
      <c r="AD28" s="1070" t="s">
        <v>766</v>
      </c>
      <c r="AE28" s="1024" t="s">
        <v>766</v>
      </c>
      <c r="AF28" s="1070" t="s">
        <v>766</v>
      </c>
      <c r="AG28" s="1024" t="s">
        <v>766</v>
      </c>
      <c r="AH28" s="1013">
        <f>COMPOSITE!N$464</f>
        <v>337</v>
      </c>
      <c r="AI28" s="1025">
        <f>COMPOSITE!O$464/(COMPOSITE!H$63+COMPOSITE!H$64)</f>
        <v>2.47605277426351E-2</v>
      </c>
      <c r="AJ28" s="1022">
        <f>COMPOSITE!N$466</f>
        <v>88</v>
      </c>
      <c r="AK28" s="1023">
        <f>COMPOSITE!O$466/COMPOSITE!H$65</f>
        <v>7.0742799393633147E-3</v>
      </c>
    </row>
    <row r="29" spans="2:37" ht="24.95" customHeight="1">
      <c r="B29" s="1209">
        <v>42583</v>
      </c>
      <c r="C29" s="1206">
        <v>0.01</v>
      </c>
      <c r="D29" s="2592">
        <f t="shared" si="0"/>
        <v>1686</v>
      </c>
      <c r="E29" s="2595">
        <f>AVERAGE(I29,K29,M29,O29,Q29,S29,U29,W29,AA29,AC29,AI29,AK29)</f>
        <v>9.3754453864623773E-3</v>
      </c>
      <c r="F29" s="1900"/>
      <c r="G29" s="1901"/>
      <c r="H29" s="1014">
        <f>COMPOSITE!P$449</f>
        <v>376</v>
      </c>
      <c r="I29" s="1015">
        <f>COMPOSITE!Q$449/COMPOSITE!I$46</f>
        <v>2.6739505462909718E-2</v>
      </c>
      <c r="J29" s="1014">
        <f>COMPOSITE!P$450</f>
        <v>14</v>
      </c>
      <c r="K29" s="1015">
        <f>COMPOSITE!Q$450/COMPOSITE!I$47</f>
        <v>3.4482758620689655E-3</v>
      </c>
      <c r="L29" s="1014">
        <f>COMPOSITE!P$451</f>
        <v>4</v>
      </c>
      <c r="M29" s="1015">
        <f>COMPOSITE!Q$451/COMPOSITE!I$48</f>
        <v>0</v>
      </c>
      <c r="N29" s="1014">
        <f>COMPOSITE!P$452</f>
        <v>62</v>
      </c>
      <c r="O29" s="1015">
        <f>COMPOSITE!Q$452/COMPOSITE!I$49</f>
        <v>7.2769054002297974E-3</v>
      </c>
      <c r="P29" s="1070">
        <f>COMPOSITE!P$453+COMPOSITE!P$454</f>
        <v>293</v>
      </c>
      <c r="Q29" s="1024">
        <f>SUM(COMPOSITE!Q$453+COMPOSITE!Q$454)/SUM(COMPOSITE!I$51+COMPOSITE!I$52)</f>
        <v>8.7485172004744954E-3</v>
      </c>
      <c r="R29" s="1014">
        <f>COMPOSITE!P$456</f>
        <v>25</v>
      </c>
      <c r="S29" s="2585">
        <f>COMPOSITE!Q$456/COMPOSITE!I$54</f>
        <v>0</v>
      </c>
      <c r="T29" s="1014">
        <f>COMPOSITE!P$457</f>
        <v>192</v>
      </c>
      <c r="U29" s="1015">
        <f>COMPOSITE!Q$457/COMPOSITE!I$55</f>
        <v>1.1506276150627616E-2</v>
      </c>
      <c r="V29" s="1014">
        <f>COMPOSITE!P$458</f>
        <v>76</v>
      </c>
      <c r="W29" s="1024">
        <f>COMPOSITE!Q$458/COMPOSITE!I$56</f>
        <v>1.2048192771084338E-2</v>
      </c>
      <c r="X29" s="2427">
        <f>COMPOSITE!P$459</f>
        <v>80</v>
      </c>
      <c r="Y29" s="2428">
        <f>COMPOSITE!Q$459/COMPOSITE!I$57</f>
        <v>6.3640220619431481E-3</v>
      </c>
      <c r="Z29" s="1014">
        <f>COMPOSITE!P$460</f>
        <v>158</v>
      </c>
      <c r="AA29" s="1015">
        <f>COMPOSITE!Q$460/(COMPOSITE!I$58+COMPOSITE!I$59)</f>
        <v>8.1240768094534704E-3</v>
      </c>
      <c r="AB29" s="1014">
        <f>COMPOSITE!P$461</f>
        <v>24</v>
      </c>
      <c r="AC29" s="1024">
        <f>COMPOSITE!Q$461/COMPOSITE!I$60</f>
        <v>5.8685446009389668E-3</v>
      </c>
      <c r="AD29" s="1070" t="s">
        <v>766</v>
      </c>
      <c r="AE29" s="1024" t="s">
        <v>766</v>
      </c>
      <c r="AF29" s="1070" t="s">
        <v>766</v>
      </c>
      <c r="AG29" s="1024" t="s">
        <v>766</v>
      </c>
      <c r="AH29" s="1013">
        <f>COMPOSITE!P$464</f>
        <v>317</v>
      </c>
      <c r="AI29" s="1025">
        <f>COMPOSITE!Q$464/(COMPOSITE!I$63+COMPOSITE!I$64)</f>
        <v>2.4757014487438108E-2</v>
      </c>
      <c r="AJ29" s="1022">
        <f>COMPOSITE!P$466</f>
        <v>65</v>
      </c>
      <c r="AK29" s="1023">
        <f>COMPOSITE!Q$466/COMPOSITE!I$65</f>
        <v>3.9880358923230306E-3</v>
      </c>
    </row>
    <row r="30" spans="2:37" ht="24.95" customHeight="1">
      <c r="B30" s="1209">
        <v>42614</v>
      </c>
      <c r="C30" s="1206">
        <v>0.01</v>
      </c>
      <c r="D30" s="1018">
        <f t="shared" si="0"/>
        <v>1759</v>
      </c>
      <c r="E30" s="2595">
        <f>AVERAGE(I30,K30,M30,O30,Q30,S30,U30,W30,AA30,AC30,AI30,AK30)</f>
        <v>1.0986247444361295E-2</v>
      </c>
      <c r="F30" s="1900"/>
      <c r="G30" s="1901"/>
      <c r="H30" s="1014">
        <f>COMPOSITE!R$449</f>
        <v>405</v>
      </c>
      <c r="I30" s="1015">
        <f>COMPOSITE!S$449/COMPOSITE!J$46</f>
        <v>2.7719150133671027E-2</v>
      </c>
      <c r="J30" s="1014">
        <f>COMPOSITE!R$450</f>
        <v>19</v>
      </c>
      <c r="K30" s="1015">
        <f>COMPOSITE!S$450/COMPOSITE!J$47</f>
        <v>5.4446460980036296E-3</v>
      </c>
      <c r="L30" s="1014">
        <f>COMPOSITE!R$451</f>
        <v>4</v>
      </c>
      <c r="M30" s="1015">
        <f>COMPOSITE!S$451/COMPOSITE!J$48</f>
        <v>0</v>
      </c>
      <c r="N30" s="1014">
        <f>COMPOSITE!R$452</f>
        <v>119</v>
      </c>
      <c r="O30" s="1015">
        <f>COMPOSITE!S$452/COMPOSITE!J$49</f>
        <v>1.5879478827361564E-2</v>
      </c>
      <c r="P30" s="1070">
        <f>COMPOSITE!R$453+COMPOSITE!R$454</f>
        <v>328</v>
      </c>
      <c r="Q30" s="1024">
        <f>SUM(COMPOSITE!S$453+COMPOSITE!S$454)/SUM(COMPOSITE!J$51+COMPOSITE!J$52)</f>
        <v>9.138025095471904E-3</v>
      </c>
      <c r="R30" s="1014" t="s">
        <v>766</v>
      </c>
      <c r="S30" s="2699" t="s">
        <v>766</v>
      </c>
      <c r="T30" s="1014">
        <f>COMPOSITE!R$457</f>
        <v>192</v>
      </c>
      <c r="U30" s="1015">
        <f>COMPOSITE!S$457/COMPOSITE!J$55</f>
        <v>1.0580645161290323E-2</v>
      </c>
      <c r="V30" s="1014">
        <f>COMPOSITE!R$458</f>
        <v>52</v>
      </c>
      <c r="W30" s="1024">
        <f>COMPOSITE!S$458/COMPOSITE!J$56</f>
        <v>6.5746219592373442E-3</v>
      </c>
      <c r="X30" s="2427">
        <f>COMPOSITE!R$459</f>
        <v>81</v>
      </c>
      <c r="Y30" s="2428">
        <f>COMPOSITE!S$459/COMPOSITE!J$57</f>
        <v>8.9126559714795012E-3</v>
      </c>
      <c r="Z30" s="1014">
        <f>COMPOSITE!R$460</f>
        <v>178</v>
      </c>
      <c r="AA30" s="1015">
        <f>COMPOSITE!S$460/(COMPOSITE!J$58+COMPOSITE!J$59)</f>
        <v>7.3818897637795275E-3</v>
      </c>
      <c r="AB30" s="1014">
        <f>COMPOSITE!R$461</f>
        <v>24</v>
      </c>
      <c r="AC30" s="1024">
        <f>COMPOSITE!S$461/COMPOSITE!J$60</f>
        <v>1.1002444987775062E-2</v>
      </c>
      <c r="AD30" s="1014" t="s">
        <v>766</v>
      </c>
      <c r="AE30" s="1015" t="s">
        <v>766</v>
      </c>
      <c r="AF30" s="1014" t="s">
        <v>766</v>
      </c>
      <c r="AG30" s="1015" t="s">
        <v>766</v>
      </c>
      <c r="AH30" s="1013">
        <f>COMPOSITE!R$464</f>
        <v>276</v>
      </c>
      <c r="AI30" s="1025">
        <f>COMPOSITE!S$464/(COMPOSITE!J$63+COMPOSITE!J$64)</f>
        <v>2.1722414455978469E-2</v>
      </c>
      <c r="AJ30" s="1022">
        <f>COMPOSITE!R$466</f>
        <v>81</v>
      </c>
      <c r="AK30" s="1023">
        <f>COMPOSITE!S$466/COMPOSITE!J$65</f>
        <v>5.4054054054054057E-3</v>
      </c>
    </row>
    <row r="31" spans="2:37" ht="24.95" customHeight="1">
      <c r="B31" s="1209">
        <v>42644</v>
      </c>
      <c r="C31" s="1206">
        <v>0.01</v>
      </c>
      <c r="D31" s="1018">
        <f>SUM(H31,J31,L31,N31,P31,R31,T31,V31,X31,Z31,AB31,AD31,AF31,AH31,AJ31)</f>
        <v>1643</v>
      </c>
      <c r="E31" s="2595">
        <f>AVERAGE(I31,K31,M31,O31,Q31,S31,U31,W31,AA31,AC31,AI31,AK31)</f>
        <v>1.0285292648713607E-2</v>
      </c>
      <c r="F31" s="1900"/>
      <c r="G31" s="1901"/>
      <c r="H31" s="1014">
        <f>COMPOSITE!T$449</f>
        <v>355</v>
      </c>
      <c r="I31" s="1015">
        <f>COMPOSITE!U$449/COMPOSITE!K$46</f>
        <v>2.6342019080165171E-2</v>
      </c>
      <c r="J31" s="1014">
        <f>COMPOSITE!T$450</f>
        <v>23</v>
      </c>
      <c r="K31" s="1015">
        <f>COMPOSITE!U$450/COMPOSITE!K$47</f>
        <v>4.8543689320388345E-3</v>
      </c>
      <c r="L31" s="1014">
        <f>COMPOSITE!T$451</f>
        <v>13</v>
      </c>
      <c r="M31" s="1015">
        <f>COMPOSITE!U$451/COMPOSITE!K$48</f>
        <v>0</v>
      </c>
      <c r="N31" s="1014">
        <f>COMPOSITE!T$452</f>
        <v>60</v>
      </c>
      <c r="O31" s="1015">
        <f>COMPOSITE!U$452/COMPOSITE!K$49</f>
        <v>1.0052122114668651E-2</v>
      </c>
      <c r="P31" s="1070">
        <f>COMPOSITE!T$453+COMPOSITE!T$454</f>
        <v>261</v>
      </c>
      <c r="Q31" s="1024">
        <f>SUM(COMPOSITE!U$453+COMPOSITE!U$454)/SUM(COMPOSITE!K$51+COMPOSITE!K$52)</f>
        <v>9.4420600858369091E-3</v>
      </c>
      <c r="R31" s="2697" t="s">
        <v>766</v>
      </c>
      <c r="S31" s="2698" t="s">
        <v>766</v>
      </c>
      <c r="T31" s="1014">
        <f>COMPOSITE!T$457</f>
        <v>197</v>
      </c>
      <c r="U31" s="1015">
        <f>COMPOSITE!U$457/COMPOSITE!K$55</f>
        <v>1.1218765935747067E-2</v>
      </c>
      <c r="V31" s="1014">
        <f>COMPOSITE!T$458</f>
        <v>57</v>
      </c>
      <c r="W31" s="1024">
        <f>COMPOSITE!U$458/COMPOSITE!K$56</f>
        <v>9.4530722484807567E-3</v>
      </c>
      <c r="X31" s="2427">
        <f>COMPOSITE!T$459</f>
        <v>100</v>
      </c>
      <c r="Y31" s="2428">
        <f>COMPOSITE!U$459/COMPOSITE!K$57</f>
        <v>8.4632516703786187E-3</v>
      </c>
      <c r="Z31" s="1014">
        <f>COMPOSITE!T$460</f>
        <v>159</v>
      </c>
      <c r="AA31" s="1015">
        <f>COMPOSITE!U$460/(COMPOSITE!K$58+COMPOSITE!K$59)</f>
        <v>8.3186286866649868E-3</v>
      </c>
      <c r="AB31" s="1014">
        <f>COMPOSITE!T$461</f>
        <v>23</v>
      </c>
      <c r="AC31" s="1024">
        <f>COMPOSITE!U$461/COMPOSITE!K$60</f>
        <v>6.2034739454094297E-3</v>
      </c>
      <c r="AD31" s="1014" t="s">
        <v>766</v>
      </c>
      <c r="AE31" s="1015" t="s">
        <v>766</v>
      </c>
      <c r="AF31" s="1014" t="s">
        <v>766</v>
      </c>
      <c r="AG31" s="1015" t="s">
        <v>766</v>
      </c>
      <c r="AH31" s="1013">
        <f>COMPOSITE!T$464</f>
        <v>314</v>
      </c>
      <c r="AI31" s="1025">
        <f>COMPOSITE!U$464/(COMPOSITE!K$63+COMPOSITE!K$64)</f>
        <v>2.410575427682737E-2</v>
      </c>
      <c r="AJ31" s="1022">
        <f>COMPOSITE!T$466</f>
        <v>81</v>
      </c>
      <c r="AK31" s="1023">
        <f>COMPOSITE!U$466/COMPOSITE!K$65</f>
        <v>3.1479538300104933E-3</v>
      </c>
    </row>
    <row r="32" spans="2:37" ht="24.95" customHeight="1">
      <c r="B32" s="1209">
        <v>42675</v>
      </c>
      <c r="C32" s="1206">
        <v>0.01</v>
      </c>
      <c r="D32" s="1018">
        <f>SUM(H32,J32,L32,N32,P32,R32,T32,V32,X32,Z32,AB32,AD32,AF32,AH32,AJ32)</f>
        <v>1557</v>
      </c>
      <c r="E32" s="2595">
        <f>AVERAGE(I32,K32,M32,O32,Q32,S32,U32,W32,AA32,AC32,AI32,AK32)</f>
        <v>9.81996618905389E-3</v>
      </c>
      <c r="F32" s="1900"/>
      <c r="G32" s="1901"/>
      <c r="H32" s="1014">
        <f>COMPOSITE!V$449</f>
        <v>375</v>
      </c>
      <c r="I32" s="1015">
        <f>COMPOSITE!W$449/COMPOSITE!L$46</f>
        <v>2.7696793002915453E-2</v>
      </c>
      <c r="J32" s="1014">
        <f>COMPOSITE!V$450</f>
        <v>27</v>
      </c>
      <c r="K32" s="1015">
        <f>COMPOSITE!W$450/COMPOSITE!L$47</f>
        <v>1.2678288431061807E-2</v>
      </c>
      <c r="L32" s="1014">
        <f>COMPOSITE!V$451</f>
        <v>5</v>
      </c>
      <c r="M32" s="1015">
        <f>COMPOSITE!W$451/COMPOSITE!L$48</f>
        <v>0</v>
      </c>
      <c r="N32" s="1014">
        <f>COMPOSITE!V$452</f>
        <v>61</v>
      </c>
      <c r="O32" s="1015">
        <f>COMPOSITE!W$452/COMPOSITE!L$49</f>
        <v>9.9255583126550868E-3</v>
      </c>
      <c r="P32" s="1070">
        <f>COMPOSITE!V$453+COMPOSITE!V$454</f>
        <v>312</v>
      </c>
      <c r="Q32" s="1024">
        <f>SUM(COMPOSITE!W$453+COMPOSITE!W$454)/SUM(COMPOSITE!L$51+COMPOSITE!L$52)</f>
        <v>8.4851857003755745E-3</v>
      </c>
      <c r="R32" s="2697" t="s">
        <v>766</v>
      </c>
      <c r="S32" s="2698" t="s">
        <v>766</v>
      </c>
      <c r="T32" s="1014">
        <f>COMPOSITE!V$457</f>
        <v>169</v>
      </c>
      <c r="U32" s="1015">
        <f>COMPOSITE!W$457/COMPOSITE!L$55</f>
        <v>1.0669511869831956E-2</v>
      </c>
      <c r="V32" s="1014">
        <f>COMPOSITE!V$458</f>
        <v>61</v>
      </c>
      <c r="W32" s="1024">
        <f>COMPOSITE!W$458/COMPOSITE!L$56</f>
        <v>9.1484869809992965E-3</v>
      </c>
      <c r="X32" s="2427">
        <f>COMPOSITE!V$459</f>
        <v>74</v>
      </c>
      <c r="Y32" s="2428">
        <f>COMPOSITE!W$459/COMPOSITE!L$57</f>
        <v>7.7448747152619587E-3</v>
      </c>
      <c r="Z32" s="1014">
        <f>COMPOSITE!V$460</f>
        <v>178</v>
      </c>
      <c r="AA32" s="1015">
        <f>COMPOSITE!W$460/(COMPOSITE!L$58+COMPOSITE!L$59)</f>
        <v>9.5808383233532933E-3</v>
      </c>
      <c r="AB32" s="1014">
        <f>COMPOSITE!V$461</f>
        <v>15</v>
      </c>
      <c r="AC32" s="1024">
        <f>COMPOSITE!W$461/COMPOSITE!L$60</f>
        <v>2.631578947368421E-3</v>
      </c>
      <c r="AD32" s="1014" t="s">
        <v>766</v>
      </c>
      <c r="AE32" s="1015" t="s">
        <v>766</v>
      </c>
      <c r="AF32" s="1014" t="s">
        <v>766</v>
      </c>
      <c r="AG32" s="1015" t="s">
        <v>766</v>
      </c>
      <c r="AH32" s="1013">
        <f>COMPOSITE!V$464</f>
        <v>203</v>
      </c>
      <c r="AI32" s="1025">
        <f>COMPOSITE!W$464/(COMPOSITE!L$63+COMPOSITE!L$64)</f>
        <v>1.1423039690222653E-2</v>
      </c>
      <c r="AJ32" s="1022">
        <f>COMPOSITE!V$466</f>
        <v>77</v>
      </c>
      <c r="AK32" s="1023">
        <f>COMPOSITE!W$466/COMPOSITE!L$65</f>
        <v>5.7803468208092483E-3</v>
      </c>
    </row>
    <row r="33" spans="2:37" ht="24.95" customHeight="1">
      <c r="B33" s="1210">
        <v>42705</v>
      </c>
      <c r="C33" s="1207">
        <v>0.01</v>
      </c>
      <c r="D33" s="1018">
        <f>SUM(H33,J33,L33,N33,P33,R33,T33,V33,X33,Z33,AB33,AD33,AF33,AH33,AJ33)</f>
        <v>1439</v>
      </c>
      <c r="E33" s="1212">
        <f>AVERAGE(I33,K33,M33,O33,Q33,S33,U33,W33,AA33,AC33,AI33,AK33)</f>
        <v>9.2037236144406082E-3</v>
      </c>
      <c r="F33" s="1902"/>
      <c r="G33" s="1903"/>
      <c r="H33" s="1014">
        <f>COMPOSITE!X$449</f>
        <v>423</v>
      </c>
      <c r="I33" s="1015">
        <f>COMPOSITE!Y$449/COMPOSITE!M$46</f>
        <v>3.4216335540838853E-2</v>
      </c>
      <c r="J33" s="1014">
        <f>COMPOSITE!X$450</f>
        <v>42</v>
      </c>
      <c r="K33" s="1015">
        <f>COMPOSITE!Y$450/COMPOSITE!M$47</f>
        <v>1.0869565217391304E-2</v>
      </c>
      <c r="L33" s="1014">
        <f>COMPOSITE!X$451</f>
        <v>17</v>
      </c>
      <c r="M33" s="1015">
        <f>COMPOSITE!Y$451/COMPOSITE!M$48</f>
        <v>6.0975609756097563E-3</v>
      </c>
      <c r="N33" s="1014">
        <f>COMPOSITE!X$452</f>
        <v>106</v>
      </c>
      <c r="O33" s="1015">
        <f>COMPOSITE!Y$452/COMPOSITE!M$49</f>
        <v>1.2260295504558314E-2</v>
      </c>
      <c r="P33" s="1070">
        <f>COMPOSITE!X$453+COMPOSITE!X$454</f>
        <v>318</v>
      </c>
      <c r="Q33" s="1024">
        <f>SUM(COMPOSITE!Y$453+COMPOSITE!Y$454)/SUM(COMPOSITE!M$51+COMPOSITE!M$52)</f>
        <v>5.0545357807927644E-3</v>
      </c>
      <c r="R33" s="2587" t="s">
        <v>766</v>
      </c>
      <c r="S33" s="2586" t="s">
        <v>766</v>
      </c>
      <c r="T33" s="1014">
        <f>COMPOSITE!X$457</f>
        <v>32</v>
      </c>
      <c r="U33" s="1015">
        <f>COMPOSITE!Y$457/COMPOSITE!M$55</f>
        <v>4.9382716049382717E-4</v>
      </c>
      <c r="V33" s="1014">
        <f>COMPOSITE!X$458</f>
        <v>73</v>
      </c>
      <c r="W33" s="1024">
        <f>COMPOSITE!Y$458/COMPOSITE!M$56</f>
        <v>7.8549848942598196E-3</v>
      </c>
      <c r="X33" s="2427">
        <f>COMPOSITE!X$459</f>
        <v>82</v>
      </c>
      <c r="Y33" s="2428">
        <f>COMPOSITE!Y$459/COMPOSITE!M$57</f>
        <v>8.3005679335954562E-3</v>
      </c>
      <c r="Z33" s="1014">
        <f>COMPOSITE!X$460</f>
        <v>31</v>
      </c>
      <c r="AA33" s="1015">
        <f>COMPOSITE!Y$460/(COMPOSITE!M$58+COMPOSITE!M$59)</f>
        <v>6.9589422407794019E-4</v>
      </c>
      <c r="AB33" s="1014">
        <f>COMPOSITE!X$461</f>
        <v>26</v>
      </c>
      <c r="AC33" s="1024">
        <f>COMPOSITE!Y$461/COMPOSITE!M$60</f>
        <v>8.9988751406074249E-3</v>
      </c>
      <c r="AD33" s="1016"/>
      <c r="AE33" s="1017"/>
      <c r="AF33" s="1016"/>
      <c r="AG33" s="1017"/>
      <c r="AH33" s="1013">
        <f>COMPOSITE!X$464</f>
        <v>228</v>
      </c>
      <c r="AI33" s="1025">
        <f>COMPOSITE!Y$464/(COMPOSITE!M$63+COMPOSITE!M$64)</f>
        <v>1.1658031088082901E-2</v>
      </c>
      <c r="AJ33" s="1022">
        <f>COMPOSITE!X$466</f>
        <v>61</v>
      </c>
      <c r="AK33" s="1023">
        <f>COMPOSITE!Y$466/COMPOSITE!M$65</f>
        <v>3.0410542321338066E-3</v>
      </c>
    </row>
    <row r="34" spans="2:37" ht="24.95" customHeight="1" thickBot="1">
      <c r="B34" s="1150" t="s">
        <v>277</v>
      </c>
      <c r="C34" s="1204"/>
      <c r="D34" s="1151">
        <f>SUM(D22:D33)</f>
        <v>20367</v>
      </c>
      <c r="E34" s="1154">
        <f>AVERAGE(E22:E33)</f>
        <v>9.3926240647601317E-3</v>
      </c>
      <c r="F34" s="1151" t="s">
        <v>170</v>
      </c>
      <c r="G34" s="1152" t="s">
        <v>170</v>
      </c>
      <c r="H34" s="1151">
        <f t="shared" ref="H34:N34" si="2">SUM(H22:H33)</f>
        <v>4643</v>
      </c>
      <c r="I34" s="1152">
        <f>AVERAGE(I22:I33)</f>
        <v>2.7054142557964941E-2</v>
      </c>
      <c r="J34" s="1151">
        <f t="shared" si="2"/>
        <v>288</v>
      </c>
      <c r="K34" s="1152">
        <f>AVERAGE(K22:K33)</f>
        <v>5.4630215955120314E-3</v>
      </c>
      <c r="L34" s="1151">
        <f t="shared" si="2"/>
        <v>113</v>
      </c>
      <c r="M34" s="1153">
        <f>AVERAGE(M22:M33)</f>
        <v>1.1382420622043832E-3</v>
      </c>
      <c r="N34" s="1151">
        <f t="shared" si="2"/>
        <v>1019</v>
      </c>
      <c r="O34" s="1154">
        <f>AVERAGE(O22:O33)</f>
        <v>1.0286610743276185E-2</v>
      </c>
      <c r="P34" s="1151">
        <f>SUM(P22:P33)</f>
        <v>4049</v>
      </c>
      <c r="Q34" s="1152">
        <f>AVERAGE(Q22:Q33)</f>
        <v>9.3681509072351746E-3</v>
      </c>
      <c r="R34" s="1151">
        <f>SUM(R22:R33)</f>
        <v>190</v>
      </c>
      <c r="S34" s="1154">
        <f>AVERAGE(S22:S33)</f>
        <v>4.1112801947472898E-4</v>
      </c>
      <c r="T34" s="1151">
        <f>SUM(T22:T33)</f>
        <v>1771</v>
      </c>
      <c r="U34" s="1154">
        <f>AVERAGE(U22:U33)</f>
        <v>6.8770918084123493E-3</v>
      </c>
      <c r="V34" s="1151">
        <f>SUM(V22:V33)</f>
        <v>755</v>
      </c>
      <c r="W34" s="1152">
        <f>AVERAGE(W22:W33)</f>
        <v>9.6729249111483073E-3</v>
      </c>
      <c r="X34" s="1151">
        <f>SUM(X22:X33)</f>
        <v>906</v>
      </c>
      <c r="Y34" s="1152">
        <f>AVERAGE(Y22:Y33)</f>
        <v>7.4468535583793139E-3</v>
      </c>
      <c r="Z34" s="1151">
        <f>SUM(Z22:Z33)</f>
        <v>1723</v>
      </c>
      <c r="AA34" s="1154">
        <f>AVERAGE(AA22:AA33)</f>
        <v>5.1849300725647354E-3</v>
      </c>
      <c r="AB34" s="1151">
        <f>SUM(AB22:AB33)</f>
        <v>320</v>
      </c>
      <c r="AC34" s="1152">
        <f>AVERAGE(AC22:AC33)</f>
        <v>1.0686671545659136E-2</v>
      </c>
      <c r="AD34" s="1151" t="str">
        <f>AD29</f>
        <v>no data</v>
      </c>
      <c r="AE34" s="1152" t="str">
        <f>AE29</f>
        <v>no data</v>
      </c>
      <c r="AF34" s="1151" t="str">
        <f>AF29</f>
        <v>no data</v>
      </c>
      <c r="AG34" s="1152" t="str">
        <f>AG29</f>
        <v>no data</v>
      </c>
      <c r="AH34" s="1151">
        <f>SUM(AH22:AH33)</f>
        <v>3637</v>
      </c>
      <c r="AI34" s="1155">
        <f>AVERAGE(AI22:AI33)</f>
        <v>1.992528353527509E-2</v>
      </c>
      <c r="AJ34" s="1151">
        <f>SUM(AJ22:AJ33)</f>
        <v>953</v>
      </c>
      <c r="AK34" s="1155">
        <f>AVERAGE(AK22:AK33)</f>
        <v>4.5443931290217081E-3</v>
      </c>
    </row>
    <row r="35" spans="2:37" ht="15.75" thickTop="1"/>
  </sheetData>
  <mergeCells count="19">
    <mergeCell ref="V20:W20"/>
    <mergeCell ref="Z20:AA20"/>
    <mergeCell ref="X20:Y20"/>
    <mergeCell ref="AJ20:AK20"/>
    <mergeCell ref="B20:B21"/>
    <mergeCell ref="AD20:AE20"/>
    <mergeCell ref="AF20:AG20"/>
    <mergeCell ref="C20:C21"/>
    <mergeCell ref="AH20:AI20"/>
    <mergeCell ref="AB20:AC20"/>
    <mergeCell ref="D20:E20"/>
    <mergeCell ref="F20:G20"/>
    <mergeCell ref="H20:I20"/>
    <mergeCell ref="J20:K20"/>
    <mergeCell ref="N20:O20"/>
    <mergeCell ref="L20:M20"/>
    <mergeCell ref="P20:Q20"/>
    <mergeCell ref="T20:U20"/>
    <mergeCell ref="R20:S20"/>
  </mergeCells>
  <conditionalFormatting sqref="E22:E28">
    <cfRule type="cellIs" dxfId="42" priority="71" operator="greaterThanOrEqual">
      <formula>0.01</formula>
    </cfRule>
  </conditionalFormatting>
  <conditionalFormatting sqref="E33:E34">
    <cfRule type="cellIs" dxfId="41" priority="70" operator="greaterThanOrEqual">
      <formula>0.01</formula>
    </cfRule>
  </conditionalFormatting>
  <conditionalFormatting sqref="K22">
    <cfRule type="cellIs" dxfId="40" priority="67" operator="greaterThanOrEqual">
      <formula>0.01</formula>
    </cfRule>
  </conditionalFormatting>
  <conditionalFormatting sqref="M22">
    <cfRule type="cellIs" dxfId="39" priority="65" operator="greaterThanOrEqual">
      <formula>0.01</formula>
    </cfRule>
  </conditionalFormatting>
  <conditionalFormatting sqref="S22:S28">
    <cfRule type="cellIs" dxfId="38" priority="59" operator="greaterThanOrEqual">
      <formula>0.01</formula>
    </cfRule>
  </conditionalFormatting>
  <conditionalFormatting sqref="S34">
    <cfRule type="cellIs" dxfId="37" priority="58" operator="greaterThanOrEqual">
      <formula>0.01</formula>
    </cfRule>
  </conditionalFormatting>
  <conditionalFormatting sqref="U22">
    <cfRule type="cellIs" dxfId="36" priority="57" operator="greaterThanOrEqual">
      <formula>0.01</formula>
    </cfRule>
  </conditionalFormatting>
  <conditionalFormatting sqref="U34">
    <cfRule type="cellIs" dxfId="35" priority="56" operator="greaterThanOrEqual">
      <formula>0.01</formula>
    </cfRule>
  </conditionalFormatting>
  <conditionalFormatting sqref="W22">
    <cfRule type="cellIs" dxfId="34" priority="55" operator="greaterThanOrEqual">
      <formula>0.01</formula>
    </cfRule>
  </conditionalFormatting>
  <conditionalFormatting sqref="W34">
    <cfRule type="cellIs" dxfId="33" priority="54" operator="greaterThanOrEqual">
      <formula>0.01</formula>
    </cfRule>
  </conditionalFormatting>
  <conditionalFormatting sqref="Y22">
    <cfRule type="cellIs" dxfId="32" priority="53" operator="greaterThanOrEqual">
      <formula>0.01</formula>
    </cfRule>
  </conditionalFormatting>
  <conditionalFormatting sqref="AA22">
    <cfRule type="cellIs" dxfId="31" priority="51" operator="greaterThanOrEqual">
      <formula>0.01</formula>
    </cfRule>
  </conditionalFormatting>
  <conditionalFormatting sqref="AA34">
    <cfRule type="cellIs" dxfId="30" priority="50" operator="greaterThanOrEqual">
      <formula>0.01</formula>
    </cfRule>
  </conditionalFormatting>
  <conditionalFormatting sqref="AG33">
    <cfRule type="cellIs" dxfId="29" priority="40" operator="greaterThanOrEqual">
      <formula>0.01</formula>
    </cfRule>
  </conditionalFormatting>
  <conditionalFormatting sqref="AE33">
    <cfRule type="cellIs" dxfId="28" priority="37" operator="greaterThanOrEqual">
      <formula>0.01</formula>
    </cfRule>
  </conditionalFormatting>
  <conditionalFormatting sqref="K23">
    <cfRule type="cellIs" dxfId="27" priority="32" operator="greaterThanOrEqual">
      <formula>0.01</formula>
    </cfRule>
  </conditionalFormatting>
  <conditionalFormatting sqref="M23">
    <cfRule type="cellIs" dxfId="26" priority="31" operator="greaterThanOrEqual">
      <formula>0.01</formula>
    </cfRule>
  </conditionalFormatting>
  <conditionalFormatting sqref="U23">
    <cfRule type="cellIs" dxfId="25" priority="28" operator="greaterThanOrEqual">
      <formula>0.01</formula>
    </cfRule>
  </conditionalFormatting>
  <conditionalFormatting sqref="Y23">
    <cfRule type="cellIs" dxfId="24" priority="26" operator="greaterThanOrEqual">
      <formula>0.01</formula>
    </cfRule>
  </conditionalFormatting>
  <conditionalFormatting sqref="AA23">
    <cfRule type="cellIs" dxfId="23" priority="25" operator="greaterThanOrEqual">
      <formula>0.01</formula>
    </cfRule>
  </conditionalFormatting>
  <conditionalFormatting sqref="K24 K26 K28:K31">
    <cfRule type="cellIs" dxfId="22" priority="21" operator="greaterThanOrEqual">
      <formula>0.01</formula>
    </cfRule>
  </conditionalFormatting>
  <conditionalFormatting sqref="M24 M26 M28:M33">
    <cfRule type="cellIs" dxfId="21" priority="20" operator="greaterThanOrEqual">
      <formula>0.01</formula>
    </cfRule>
  </conditionalFormatting>
  <conditionalFormatting sqref="U24">
    <cfRule type="cellIs" dxfId="20" priority="17" operator="greaterThanOrEqual">
      <formula>0.01</formula>
    </cfRule>
  </conditionalFormatting>
  <conditionalFormatting sqref="Y24 Y26 Y28:Y33">
    <cfRule type="cellIs" dxfId="19" priority="16" operator="greaterThanOrEqual">
      <formula>0.01</formula>
    </cfRule>
  </conditionalFormatting>
  <conditionalFormatting sqref="AA24 AA26 AA28:AA33">
    <cfRule type="cellIs" dxfId="18" priority="15" operator="greaterThanOrEqual">
      <formula>0.01</formula>
    </cfRule>
  </conditionalFormatting>
  <conditionalFormatting sqref="K25 K27">
    <cfRule type="cellIs" dxfId="17" priority="11" operator="greaterThanOrEqual">
      <formula>0.01</formula>
    </cfRule>
  </conditionalFormatting>
  <conditionalFormatting sqref="M25 M27">
    <cfRule type="cellIs" dxfId="16" priority="10" operator="greaterThanOrEqual">
      <formula>0.01</formula>
    </cfRule>
  </conditionalFormatting>
  <conditionalFormatting sqref="U25">
    <cfRule type="cellIs" dxfId="15" priority="8" operator="greaterThanOrEqual">
      <formula>0.01</formula>
    </cfRule>
  </conditionalFormatting>
  <conditionalFormatting sqref="Y25 Y27">
    <cfRule type="cellIs" dxfId="14" priority="7" operator="greaterThanOrEqual">
      <formula>0.01</formula>
    </cfRule>
  </conditionalFormatting>
  <conditionalFormatting sqref="AA25 AA27">
    <cfRule type="cellIs" dxfId="13" priority="6" operator="greaterThanOrEqual">
      <formula>0.01</formula>
    </cfRule>
  </conditionalFormatting>
  <printOptions horizontalCentered="1"/>
  <pageMargins left="0" right="0" top="0.75" bottom="0" header="0" footer="0"/>
  <pageSetup paperSize="5" scale="48" fitToHeight="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5" tint="-0.249977111117893"/>
    <pageSetUpPr fitToPage="1"/>
  </sheetPr>
  <dimension ref="A1:AD61"/>
  <sheetViews>
    <sheetView showGridLines="0" workbookViewId="0">
      <selection activeCell="F40" sqref="F40"/>
    </sheetView>
  </sheetViews>
  <sheetFormatPr defaultColWidth="9.140625" defaultRowHeight="15"/>
  <cols>
    <col min="1" max="1" width="0.85546875" style="23" customWidth="1"/>
    <col min="2" max="2" width="9.5703125" style="23" bestFit="1" customWidth="1"/>
    <col min="3" max="3" width="11.42578125" style="23" customWidth="1"/>
    <col min="4" max="4" width="10.5703125" style="23" customWidth="1"/>
    <col min="5" max="5" width="11" style="23" customWidth="1"/>
    <col min="6" max="6" width="11.5703125" style="23" customWidth="1"/>
    <col min="7" max="7" width="11.28515625" style="23" customWidth="1"/>
    <col min="8" max="8" width="11.140625" style="23" customWidth="1"/>
    <col min="9" max="9" width="11" style="23" customWidth="1"/>
    <col min="10" max="10" width="11.5703125" style="23" customWidth="1"/>
    <col min="11" max="11" width="14.28515625" style="23" customWidth="1"/>
    <col min="12" max="12" width="10.42578125" style="23" customWidth="1"/>
    <col min="13" max="13" width="18.28515625" style="23" customWidth="1"/>
    <col min="14" max="17" width="11.140625" style="23" customWidth="1"/>
    <col min="18" max="19" width="12" style="23" customWidth="1"/>
    <col min="20" max="22" width="11.85546875" style="23" customWidth="1"/>
    <col min="23" max="24" width="11.5703125" style="23" customWidth="1"/>
    <col min="25" max="25" width="10.85546875" style="23" customWidth="1"/>
    <col min="26" max="26" width="11.28515625" style="23" customWidth="1"/>
    <col min="27" max="27" width="11.7109375" style="23" customWidth="1"/>
    <col min="28" max="28" width="12.85546875" style="23" customWidth="1"/>
    <col min="29" max="29" width="11.7109375" style="23" customWidth="1"/>
    <col min="30" max="30" width="10.85546875" style="23" customWidth="1"/>
    <col min="31" max="16384" width="9.140625" style="23"/>
  </cols>
  <sheetData>
    <row r="1" spans="1:14" ht="9" customHeight="1" thickBot="1">
      <c r="A1" s="787"/>
    </row>
    <row r="2" spans="1:14" ht="20.100000000000001" customHeight="1" thickTop="1">
      <c r="M2" s="1156">
        <v>2016</v>
      </c>
      <c r="N2" s="1157" t="s">
        <v>348</v>
      </c>
    </row>
    <row r="3" spans="1:14" ht="20.100000000000001" customHeight="1">
      <c r="M3" s="2429" t="s">
        <v>6</v>
      </c>
      <c r="N3" s="225">
        <f>IFERROR(SUM(COMPOSITE!C476,COMPOSITE!E476,COMPOSITE!G476,COMPOSITE!I476,COMPOSITE!K476,COMPOSITE!M476,COMPOSITE!#REF!,COMPOSITE!Q476,COMPOSITE!S476,COMPOSITE!U476,COMPOSITE!W476,COMPOSITE!Y476),0)</f>
        <v>0</v>
      </c>
    </row>
    <row r="4" spans="1:14" ht="20.100000000000001" customHeight="1">
      <c r="M4" s="2429" t="s">
        <v>29</v>
      </c>
      <c r="N4" s="225">
        <f>IFERROR(SUM(COMPOSITE!C477,COMPOSITE!E477,COMPOSITE!G477,COMPOSITE!I477,COMPOSITE!K477,COMPOSITE!M477,COMPOSITE!#REF!,COMPOSITE!Q477,COMPOSITE!S477,COMPOSITE!U477,COMPOSITE!W477,COMPOSITE!Y477),0)</f>
        <v>0</v>
      </c>
    </row>
    <row r="5" spans="1:14" ht="20.100000000000001" customHeight="1">
      <c r="M5" s="2429" t="s">
        <v>84</v>
      </c>
      <c r="N5" s="225">
        <f>IFERROR(SUM(COMPOSITE!C478,COMPOSITE!E478,COMPOSITE!G478,COMPOSITE!I478,COMPOSITE!K478,COMPOSITE!M478,COMPOSITE!#REF!,COMPOSITE!Q478,COMPOSITE!S478,COMPOSITE!U478,COMPOSITE!W478,COMPOSITE!Y478),0)</f>
        <v>0</v>
      </c>
    </row>
    <row r="6" spans="1:14" ht="20.100000000000001" customHeight="1">
      <c r="M6" s="2429" t="s">
        <v>28</v>
      </c>
      <c r="N6" s="2350">
        <f>IFERROR(SUM(COMPOSITE!C479,COMPOSITE!E479,COMPOSITE!G479,COMPOSITE!I479,COMPOSITE!K479,COMPOSITE!M479,COMPOSITE!Q479,COMPOSITE!Q479,COMPOSITE!S479,COMPOSITE!U479,COMPOSITE!W479,COMPOSITE!Y479),0)</f>
        <v>1</v>
      </c>
    </row>
    <row r="7" spans="1:14" ht="20.100000000000001" customHeight="1">
      <c r="M7" s="2429" t="s">
        <v>219</v>
      </c>
      <c r="N7" s="225">
        <f>IFERROR(SUM(COMPOSITE!C480,COMPOSITE!E480,COMPOSITE!G480,COMPOSITE!I480,COMPOSITE!K480,COMPOSITE!M480,COMPOSITE!#REF!,COMPOSITE!Q480,COMPOSITE!S480,COMPOSITE!U480,COMPOSITE!W480,COMPOSITE!Y480),0)</f>
        <v>0</v>
      </c>
    </row>
    <row r="8" spans="1:14" ht="20.100000000000001" customHeight="1">
      <c r="M8" s="2429" t="s">
        <v>372</v>
      </c>
      <c r="N8" s="225">
        <f>IFERROR(SUM(COMPOSITE!C481,COMPOSITE!E481,COMPOSITE!G481,COMPOSITE!I481,COMPOSITE!K481,COMPOSITE!M481,COMPOSITE!#REF!,COMPOSITE!Q481,COMPOSITE!S481,COMPOSITE!U481,COMPOSITE!W481,COMPOSITE!Y481),0)</f>
        <v>0</v>
      </c>
    </row>
    <row r="9" spans="1:14" ht="20.100000000000001" customHeight="1">
      <c r="M9" s="2429" t="s">
        <v>349</v>
      </c>
      <c r="N9" s="2350">
        <f>SUM(COMPOSITE!C482,COMPOSITE!E482,COMPOSITE!G482,COMPOSITE!I482,COMPOSITE!K482,COMPOSITE!M482,COMPOSITE!O482,COMPOSITE!Q482,COMPOSITE!S482,COMPOSITE!U482,COMPOSITE!W482,COMPOSITE!Y482)</f>
        <v>1</v>
      </c>
    </row>
    <row r="10" spans="1:14" ht="20.100000000000001" customHeight="1">
      <c r="M10" s="2430" t="s">
        <v>314</v>
      </c>
      <c r="N10" s="225">
        <f>SUM(COMPOSITE!C483,COMPOSITE!E483,COMPOSITE!G483,COMPOSITE!I483,COMPOSITE!K483,COMPOSITE!M483,COMPOSITE!O483,COMPOSITE!Q483,COMPOSITE!S483,COMPOSITE!U483,COMPOSITE!W483,COMPOSITE!Y483)</f>
        <v>0</v>
      </c>
    </row>
    <row r="11" spans="1:14" ht="20.100000000000001" customHeight="1">
      <c r="M11" s="2429" t="s">
        <v>85</v>
      </c>
      <c r="N11" s="225">
        <f>IFERROR(SUM(COMPOSITE!C484,COMPOSITE!E484,COMPOSITE!G484,COMPOSITE!I484,COMPOSITE!K484,COMPOSITE!M484,COMPOSITE!#REF!,COMPOSITE!Q484,COMPOSITE!S484,COMPOSITE!U484,COMPOSITE!W484,COMPOSITE!Y484),0)</f>
        <v>0</v>
      </c>
    </row>
    <row r="12" spans="1:14" ht="20.100000000000001" customHeight="1">
      <c r="M12" s="2429" t="s">
        <v>81</v>
      </c>
      <c r="N12" s="2350">
        <f>SUM(COMPOSITE!C485,COMPOSITE!E485,COMPOSITE!G485,COMPOSITE!I485,COMPOSITE!K485,COMPOSITE!M485,COMPOSITE!O485,COMPOSITE!Q485,COMPOSITE!S485,COMPOSITE!U485,COMPOSITE!W485,COMPOSITE!Y485)</f>
        <v>1</v>
      </c>
    </row>
    <row r="13" spans="1:14" ht="20.100000000000001" customHeight="1" thickBot="1">
      <c r="M13" s="1142" t="s">
        <v>278</v>
      </c>
      <c r="N13" s="1158">
        <f>SUM(COMPOSITE!C493,COMPOSITE!E493,COMPOSITE!G493,COMPOSITE!I493,COMPOSITE!K493,COMPOSITE!M493,COMPOSITE!Q493,COMPOSITE!S493,COMPOSITE!U493,COMPOSITE!W493,COMPOSITE!Y493)</f>
        <v>3</v>
      </c>
    </row>
    <row r="14" spans="1:14" ht="20.100000000000001" customHeight="1" thickTop="1"/>
    <row r="15" spans="1:14" ht="20.100000000000001" customHeight="1"/>
    <row r="16" spans="1:14" ht="20.100000000000001" customHeight="1"/>
    <row r="17" spans="2:30" ht="20.100000000000001" customHeight="1"/>
    <row r="18" spans="2:30" ht="20.100000000000001" customHeight="1"/>
    <row r="19" spans="2:30" ht="20.100000000000001" customHeight="1">
      <c r="C19" s="144"/>
    </row>
    <row r="20" spans="2:30" ht="20.100000000000001" customHeight="1">
      <c r="C20" s="144"/>
    </row>
    <row r="21" spans="2:30" ht="20.100000000000001" customHeight="1" thickBot="1">
      <c r="C21" s="144"/>
    </row>
    <row r="22" spans="2:30" ht="36" customHeight="1" thickTop="1">
      <c r="B22" s="3074" t="s">
        <v>276</v>
      </c>
      <c r="C22" s="3068" t="s">
        <v>62</v>
      </c>
      <c r="D22" s="3068"/>
      <c r="E22" s="3068" t="s">
        <v>275</v>
      </c>
      <c r="F22" s="3068"/>
      <c r="G22" s="3068" t="s">
        <v>29</v>
      </c>
      <c r="H22" s="3068"/>
      <c r="I22" s="3068" t="s">
        <v>84</v>
      </c>
      <c r="J22" s="3068"/>
      <c r="K22" s="3068" t="s">
        <v>28</v>
      </c>
      <c r="L22" s="3068"/>
      <c r="M22" s="3068" t="s">
        <v>219</v>
      </c>
      <c r="N22" s="3068"/>
      <c r="O22" s="3068" t="s">
        <v>372</v>
      </c>
      <c r="P22" s="3068"/>
      <c r="Q22" s="3068" t="s">
        <v>35</v>
      </c>
      <c r="R22" s="3068"/>
      <c r="S22" s="3068" t="s">
        <v>314</v>
      </c>
      <c r="T22" s="3068"/>
      <c r="U22" s="3068" t="s">
        <v>85</v>
      </c>
      <c r="V22" s="3068"/>
      <c r="W22" s="3068" t="s">
        <v>81</v>
      </c>
      <c r="X22" s="3068"/>
      <c r="Y22" s="3068" t="s">
        <v>378</v>
      </c>
      <c r="Z22" s="3068"/>
      <c r="AA22" s="3068" t="s">
        <v>379</v>
      </c>
      <c r="AB22" s="3068"/>
      <c r="AC22" s="3068" t="s">
        <v>377</v>
      </c>
      <c r="AD22" s="3069"/>
    </row>
    <row r="23" spans="2:30" ht="36" customHeight="1">
      <c r="B23" s="3075"/>
      <c r="C23" s="1544" t="s">
        <v>347</v>
      </c>
      <c r="D23" s="1544" t="s">
        <v>346</v>
      </c>
      <c r="E23" s="1544" t="s">
        <v>347</v>
      </c>
      <c r="F23" s="1544" t="s">
        <v>346</v>
      </c>
      <c r="G23" s="1544" t="s">
        <v>347</v>
      </c>
      <c r="H23" s="1544" t="s">
        <v>346</v>
      </c>
      <c r="I23" s="1544" t="s">
        <v>347</v>
      </c>
      <c r="J23" s="1544" t="s">
        <v>346</v>
      </c>
      <c r="K23" s="1544" t="s">
        <v>347</v>
      </c>
      <c r="L23" s="1544" t="s">
        <v>346</v>
      </c>
      <c r="M23" s="1544" t="s">
        <v>347</v>
      </c>
      <c r="N23" s="1544" t="s">
        <v>346</v>
      </c>
      <c r="O23" s="1544" t="s">
        <v>347</v>
      </c>
      <c r="P23" s="1544" t="s">
        <v>346</v>
      </c>
      <c r="Q23" s="1544" t="s">
        <v>347</v>
      </c>
      <c r="R23" s="1544" t="s">
        <v>346</v>
      </c>
      <c r="S23" s="1544" t="s">
        <v>347</v>
      </c>
      <c r="T23" s="1544" t="s">
        <v>346</v>
      </c>
      <c r="U23" s="1544" t="s">
        <v>347</v>
      </c>
      <c r="V23" s="1544" t="s">
        <v>346</v>
      </c>
      <c r="W23" s="1544" t="s">
        <v>347</v>
      </c>
      <c r="X23" s="1544" t="s">
        <v>346</v>
      </c>
      <c r="Y23" s="1544" t="s">
        <v>347</v>
      </c>
      <c r="Z23" s="1544" t="s">
        <v>346</v>
      </c>
      <c r="AA23" s="1544" t="s">
        <v>347</v>
      </c>
      <c r="AB23" s="1544" t="s">
        <v>346</v>
      </c>
      <c r="AC23" s="1544" t="s">
        <v>347</v>
      </c>
      <c r="AD23" s="1545" t="s">
        <v>346</v>
      </c>
    </row>
    <row r="24" spans="2:30" ht="20.100000000000001" customHeight="1">
      <c r="B24" s="1534">
        <v>42370</v>
      </c>
      <c r="C24" s="1535">
        <f>SUM(E24,G24,I24,K24,M24,O24,Q24,S24,U24,W24,Y24,AA24,AC24)</f>
        <v>64</v>
      </c>
      <c r="D24" s="1536">
        <f>AVERAGE(F24,H24,J24,L24,N24,P24,R24,T24,V24,X24,Z24,AB24,AD24)</f>
        <v>0</v>
      </c>
      <c r="E24" s="1932">
        <f>COMPOSITE!B476</f>
        <v>14</v>
      </c>
      <c r="F24" s="1536">
        <f>COMPOSITE!C$476/E24</f>
        <v>0</v>
      </c>
      <c r="G24" s="1535">
        <f>COMPOSITE!B$477</f>
        <v>15</v>
      </c>
      <c r="H24" s="1536">
        <f>COMPOSITE!C$477/G24</f>
        <v>0</v>
      </c>
      <c r="I24" s="1535">
        <f>COMPOSITE!B$478</f>
        <v>4</v>
      </c>
      <c r="J24" s="1536">
        <f>COMPOSITE!C$478/I24</f>
        <v>0</v>
      </c>
      <c r="K24" s="1535">
        <f>COMPOSITE!B$479</f>
        <v>12</v>
      </c>
      <c r="L24" s="1536">
        <f>COMPOSITE!C$479/K24</f>
        <v>0</v>
      </c>
      <c r="M24" s="1535">
        <f>COMPOSITE!B$480</f>
        <v>2</v>
      </c>
      <c r="N24" s="1536">
        <f>COMPOSITE!C$480/M24</f>
        <v>0</v>
      </c>
      <c r="O24" s="1537">
        <f>COMPOSITE!B$481</f>
        <v>0</v>
      </c>
      <c r="P24" s="1536">
        <v>0</v>
      </c>
      <c r="Q24" s="1535">
        <f>COMPOSITE!B$482</f>
        <v>7</v>
      </c>
      <c r="R24" s="1536">
        <f>COMPOSITE!C$482/Q24</f>
        <v>0</v>
      </c>
      <c r="S24" s="1538">
        <f>COMPOSITE!B483</f>
        <v>1</v>
      </c>
      <c r="T24" s="1539">
        <f>COMPOSITE!C$483/S24</f>
        <v>0</v>
      </c>
      <c r="U24" s="1535">
        <f>COMPOSITE!B$484</f>
        <v>2</v>
      </c>
      <c r="V24" s="1540">
        <f>COMPOSITE!C$484/U24</f>
        <v>0</v>
      </c>
      <c r="W24" s="1535">
        <f>COMPOSITE!B$485</f>
        <v>0</v>
      </c>
      <c r="X24" s="1536">
        <v>0</v>
      </c>
      <c r="Y24" s="1535">
        <f>COMPOSITE!B486</f>
        <v>6</v>
      </c>
      <c r="Z24" s="1536">
        <f>COMPOSITE!C$486/Y24</f>
        <v>0</v>
      </c>
      <c r="AA24" s="1535">
        <f>COMPOSITE!B487</f>
        <v>1</v>
      </c>
      <c r="AB24" s="1536">
        <f>COMPOSITE!C$487/AA24</f>
        <v>0</v>
      </c>
      <c r="AC24" s="1932">
        <f>COMPOSITE!B488</f>
        <v>0</v>
      </c>
      <c r="AD24" s="2597">
        <v>0</v>
      </c>
    </row>
    <row r="25" spans="2:30" ht="20.100000000000001" customHeight="1">
      <c r="B25" s="1534">
        <v>42401</v>
      </c>
      <c r="C25" s="1535">
        <f t="shared" ref="C25:C32" si="0">SUM(E25,G25,I25,K25,M25,O25,Q25,S25,U25,W25,Y25,AA25,AC25)</f>
        <v>63</v>
      </c>
      <c r="D25" s="1536">
        <f t="shared" ref="D25:D32" si="1">AVERAGE(F25,H25,J25,L25,N25,P25,R25,T25,V25,X25,Z25,AB25,AD25)</f>
        <v>0</v>
      </c>
      <c r="E25" s="1932">
        <f>COMPOSITE!D476</f>
        <v>11</v>
      </c>
      <c r="F25" s="1536">
        <f>COMPOSITE!E$476/E25</f>
        <v>0</v>
      </c>
      <c r="G25" s="1535">
        <f>COMPOSITE!D$477</f>
        <v>13</v>
      </c>
      <c r="H25" s="1536">
        <f>COMPOSITE!E$477/G25</f>
        <v>0</v>
      </c>
      <c r="I25" s="1535">
        <f>COMPOSITE!D$478</f>
        <v>5</v>
      </c>
      <c r="J25" s="1536">
        <f>COMPOSITE!E$478/I25</f>
        <v>0</v>
      </c>
      <c r="K25" s="1535">
        <f>COMPOSITE!D$479</f>
        <v>19</v>
      </c>
      <c r="L25" s="1536">
        <f>COMPOSITE!E$479/K25</f>
        <v>0</v>
      </c>
      <c r="M25" s="1932">
        <f>COMPOSITE!D$480</f>
        <v>0</v>
      </c>
      <c r="N25" s="1536">
        <v>0</v>
      </c>
      <c r="O25" s="1537">
        <f>COMPOSITE!D$481</f>
        <v>0</v>
      </c>
      <c r="P25" s="1536">
        <v>0</v>
      </c>
      <c r="Q25" s="1535">
        <f>COMPOSITE!D$482</f>
        <v>4</v>
      </c>
      <c r="R25" s="1536">
        <f>COMPOSITE!E$482/Q25</f>
        <v>0</v>
      </c>
      <c r="S25" s="1538">
        <f>COMPOSITE!D$483</f>
        <v>1</v>
      </c>
      <c r="T25" s="1539">
        <f>COMPOSITE!E$483/S25</f>
        <v>0</v>
      </c>
      <c r="U25" s="1535">
        <f>COMPOSITE!D$484</f>
        <v>4</v>
      </c>
      <c r="V25" s="1540">
        <f>COMPOSITE!E$484/U25</f>
        <v>0</v>
      </c>
      <c r="W25" s="1535">
        <f>COMPOSITE!D$485</f>
        <v>0</v>
      </c>
      <c r="X25" s="1536">
        <v>0</v>
      </c>
      <c r="Y25" s="1535">
        <f>COMPOSITE!D$486</f>
        <v>5</v>
      </c>
      <c r="Z25" s="1536">
        <f>COMPOSITE!E$486/Y25</f>
        <v>0</v>
      </c>
      <c r="AA25" s="1535">
        <f>COMPOSITE!D$487</f>
        <v>1</v>
      </c>
      <c r="AB25" s="1536">
        <f>COMPOSITE!E$487/AA25</f>
        <v>0</v>
      </c>
      <c r="AC25" s="1932">
        <f>COMPOSITE!D$488</f>
        <v>0</v>
      </c>
      <c r="AD25" s="2597">
        <v>0</v>
      </c>
    </row>
    <row r="26" spans="2:30" ht="20.100000000000001" customHeight="1">
      <c r="B26" s="1534">
        <v>42430</v>
      </c>
      <c r="C26" s="1535">
        <f t="shared" si="0"/>
        <v>52</v>
      </c>
      <c r="D26" s="1536">
        <f t="shared" si="1"/>
        <v>3.8461538461538464E-2</v>
      </c>
      <c r="E26" s="1932">
        <f>COMPOSITE!F476</f>
        <v>5</v>
      </c>
      <c r="F26" s="1536">
        <f>COMPOSITE!G$476/E26</f>
        <v>0</v>
      </c>
      <c r="G26" s="1535">
        <f>COMPOSITE!F$477</f>
        <v>13</v>
      </c>
      <c r="H26" s="1536">
        <f>COMPOSITE!G$477/G26</f>
        <v>0</v>
      </c>
      <c r="I26" s="1535">
        <f>COMPOSITE!F$478</f>
        <v>1</v>
      </c>
      <c r="J26" s="1536">
        <f>COMPOSITE!G$478/I26</f>
        <v>0</v>
      </c>
      <c r="K26" s="1535">
        <f>COMPOSITE!F$479</f>
        <v>15</v>
      </c>
      <c r="L26" s="1536">
        <f>COMPOSITE!G$479/K26</f>
        <v>0</v>
      </c>
      <c r="M26" s="1932">
        <f>COMPOSITE!F$480</f>
        <v>0</v>
      </c>
      <c r="N26" s="1536">
        <v>0</v>
      </c>
      <c r="O26" s="1537">
        <f>COMPOSITE!F$481</f>
        <v>1</v>
      </c>
      <c r="P26" s="1536">
        <f>COMPOSITE!G$481/O26</f>
        <v>0</v>
      </c>
      <c r="Q26" s="1535">
        <f>COMPOSITE!F$482</f>
        <v>0</v>
      </c>
      <c r="R26" s="1536">
        <v>0</v>
      </c>
      <c r="S26" s="1538">
        <f>COMPOSITE!F$483</f>
        <v>2</v>
      </c>
      <c r="T26" s="1539">
        <f>COMPOSITE!G$483/S26</f>
        <v>0</v>
      </c>
      <c r="U26" s="1535">
        <f>COMPOSITE!F$484</f>
        <v>1</v>
      </c>
      <c r="V26" s="1540">
        <f>COMPOSITE!G$484/U26</f>
        <v>0</v>
      </c>
      <c r="W26" s="1932">
        <f>COMPOSITE!F$485</f>
        <v>2</v>
      </c>
      <c r="X26" s="1536">
        <f>COMPOSITE!G$485/W26</f>
        <v>0.5</v>
      </c>
      <c r="Y26" s="1535">
        <f>COMPOSITE!F$486</f>
        <v>11</v>
      </c>
      <c r="Z26" s="1536">
        <f>COMPOSITE!G$486/Y26</f>
        <v>0</v>
      </c>
      <c r="AA26" s="1535">
        <f>COMPOSITE!F$487</f>
        <v>1</v>
      </c>
      <c r="AB26" s="1536">
        <f>COMPOSITE!G$487/AA26</f>
        <v>0</v>
      </c>
      <c r="AC26" s="1932">
        <f>COMPOSITE!F$488</f>
        <v>0</v>
      </c>
      <c r="AD26" s="2597">
        <v>0</v>
      </c>
    </row>
    <row r="27" spans="2:30" ht="20.100000000000001" customHeight="1">
      <c r="B27" s="1534">
        <v>42461</v>
      </c>
      <c r="C27" s="1535">
        <f t="shared" si="0"/>
        <v>51</v>
      </c>
      <c r="D27" s="1536">
        <f t="shared" si="1"/>
        <v>1.9230769230769232E-2</v>
      </c>
      <c r="E27" s="1932">
        <f>COMPOSITE!H476</f>
        <v>8</v>
      </c>
      <c r="F27" s="1536">
        <f>COMPOSITE!I$476/E27</f>
        <v>0</v>
      </c>
      <c r="G27" s="1535">
        <f>COMPOSITE!H$477</f>
        <v>11</v>
      </c>
      <c r="H27" s="1536">
        <f>COMPOSITE!I$477/G27</f>
        <v>0</v>
      </c>
      <c r="I27" s="1535">
        <f>COMPOSITE!H$478</f>
        <v>3</v>
      </c>
      <c r="J27" s="1536">
        <f>COMPOSITE!I$478/I27</f>
        <v>0</v>
      </c>
      <c r="K27" s="1535">
        <f>COMPOSITE!H$479</f>
        <v>15</v>
      </c>
      <c r="L27" s="1536">
        <f>COMPOSITE!I$479/K27</f>
        <v>0</v>
      </c>
      <c r="M27" s="1932">
        <f>COMPOSITE!H$480</f>
        <v>0</v>
      </c>
      <c r="N27" s="1536">
        <v>0</v>
      </c>
      <c r="O27" s="1537">
        <f>COMPOSITE!H$481</f>
        <v>0</v>
      </c>
      <c r="P27" s="1536">
        <v>0</v>
      </c>
      <c r="Q27" s="1535">
        <f>COMPOSITE!H$482</f>
        <v>4</v>
      </c>
      <c r="R27" s="1536">
        <f>COMPOSITE!I$482/Q27</f>
        <v>0.25</v>
      </c>
      <c r="S27" s="1538">
        <f>COMPOSITE!H$483</f>
        <v>0</v>
      </c>
      <c r="T27" s="1539">
        <v>0</v>
      </c>
      <c r="U27" s="1535">
        <f>COMPOSITE!H$484</f>
        <v>1</v>
      </c>
      <c r="V27" s="1540">
        <f>COMPOSITE!I$484/U27</f>
        <v>0</v>
      </c>
      <c r="W27" s="1932">
        <f>COMPOSITE!H$485</f>
        <v>0</v>
      </c>
      <c r="X27" s="1536">
        <v>0</v>
      </c>
      <c r="Y27" s="1535">
        <f>COMPOSITE!H$486</f>
        <v>9</v>
      </c>
      <c r="Z27" s="1536">
        <f>COMPOSITE!I$486/Y27</f>
        <v>0</v>
      </c>
      <c r="AA27" s="1932">
        <f>COMPOSITE!H$487</f>
        <v>0</v>
      </c>
      <c r="AB27" s="1536">
        <v>0</v>
      </c>
      <c r="AC27" s="1932">
        <f>COMPOSITE!H$488</f>
        <v>0</v>
      </c>
      <c r="AD27" s="2597">
        <v>0</v>
      </c>
    </row>
    <row r="28" spans="2:30" ht="20.100000000000001" customHeight="1">
      <c r="B28" s="1534">
        <v>42491</v>
      </c>
      <c r="C28" s="1535">
        <f t="shared" si="0"/>
        <v>42</v>
      </c>
      <c r="D28" s="1536">
        <f t="shared" si="1"/>
        <v>6.41025641025641E-3</v>
      </c>
      <c r="E28" s="1932">
        <f>COMPOSITE!J476</f>
        <v>6</v>
      </c>
      <c r="F28" s="1536">
        <f>COMPOSITE!K$476/E28</f>
        <v>0</v>
      </c>
      <c r="G28" s="1535">
        <f>COMPOSITE!J$477</f>
        <v>8</v>
      </c>
      <c r="H28" s="1536">
        <f>COMPOSITE!K$477/G28</f>
        <v>0</v>
      </c>
      <c r="I28" s="1535">
        <f>COMPOSITE!J$478</f>
        <v>2</v>
      </c>
      <c r="J28" s="1536">
        <f>COMPOSITE!K$478/I28</f>
        <v>0</v>
      </c>
      <c r="K28" s="1535">
        <f>COMPOSITE!J$479</f>
        <v>12</v>
      </c>
      <c r="L28" s="2685">
        <f>COMPOSITE!K$479/K28</f>
        <v>8.3333333333333329E-2</v>
      </c>
      <c r="M28" s="1932">
        <f>COMPOSITE!J$480</f>
        <v>0</v>
      </c>
      <c r="N28" s="1536">
        <v>0</v>
      </c>
      <c r="O28" s="1537">
        <f>COMPOSITE!J$481</f>
        <v>0</v>
      </c>
      <c r="P28" s="1536">
        <v>0</v>
      </c>
      <c r="Q28" s="1535">
        <f>COMPOSITE!J$482</f>
        <v>1</v>
      </c>
      <c r="R28" s="1536">
        <f>COMPOSITE!K$482/Q28</f>
        <v>0</v>
      </c>
      <c r="S28" s="1538">
        <f>COMPOSITE!J$483</f>
        <v>0</v>
      </c>
      <c r="T28" s="1539">
        <v>0</v>
      </c>
      <c r="U28" s="1535">
        <f>COMPOSITE!J$484</f>
        <v>4</v>
      </c>
      <c r="V28" s="1540">
        <f>COMPOSITE!K$484/U28</f>
        <v>0</v>
      </c>
      <c r="W28" s="1535">
        <f>COMPOSITE!J$485</f>
        <v>0</v>
      </c>
      <c r="X28" s="1536">
        <v>0</v>
      </c>
      <c r="Y28" s="1535">
        <f>COMPOSITE!J$486</f>
        <v>9</v>
      </c>
      <c r="Z28" s="1536">
        <f>COMPOSITE!K$486/Y28</f>
        <v>0</v>
      </c>
      <c r="AA28" s="1535">
        <f>COMPOSITE!J$487</f>
        <v>0</v>
      </c>
      <c r="AB28" s="1536">
        <v>0</v>
      </c>
      <c r="AC28" s="1932">
        <f>COMPOSITE!J$488</f>
        <v>0</v>
      </c>
      <c r="AD28" s="2597">
        <v>0</v>
      </c>
    </row>
    <row r="29" spans="2:30" ht="20.100000000000001" customHeight="1">
      <c r="B29" s="1534">
        <v>42522</v>
      </c>
      <c r="C29" s="1535">
        <f t="shared" si="0"/>
        <v>50</v>
      </c>
      <c r="D29" s="1536">
        <f t="shared" si="1"/>
        <v>0</v>
      </c>
      <c r="E29" s="1932">
        <f>COMPOSITE!L476</f>
        <v>6</v>
      </c>
      <c r="F29" s="1536">
        <f>COMPOSITE!M$476/E29</f>
        <v>0</v>
      </c>
      <c r="G29" s="1535">
        <f>COMPOSITE!L$477</f>
        <v>5</v>
      </c>
      <c r="H29" s="1536">
        <f>COMPOSITE!M$477/G29</f>
        <v>0</v>
      </c>
      <c r="I29" s="1535">
        <f>COMPOSITE!L$478</f>
        <v>6</v>
      </c>
      <c r="J29" s="1536">
        <f>COMPOSITE!M$478/I29</f>
        <v>0</v>
      </c>
      <c r="K29" s="1535">
        <f>COMPOSITE!L$479</f>
        <v>15</v>
      </c>
      <c r="L29" s="1536">
        <f>COMPOSITE!M$479/K29</f>
        <v>0</v>
      </c>
      <c r="M29" s="1932">
        <f>COMPOSITE!L$480</f>
        <v>0</v>
      </c>
      <c r="N29" s="1536">
        <v>0</v>
      </c>
      <c r="O29" s="1537">
        <f>COMPOSITE!L$481</f>
        <v>0</v>
      </c>
      <c r="P29" s="1536">
        <v>0</v>
      </c>
      <c r="Q29" s="1535">
        <f>COMPOSITE!L$482</f>
        <v>6</v>
      </c>
      <c r="R29" s="1536">
        <f>COMPOSITE!M$482/Q29</f>
        <v>0</v>
      </c>
      <c r="S29" s="1538">
        <f>COMPOSITE!L$483</f>
        <v>2</v>
      </c>
      <c r="T29" s="1539">
        <f>COMPOSITE!M$483/S29</f>
        <v>0</v>
      </c>
      <c r="U29" s="1535">
        <f>COMPOSITE!L$484</f>
        <v>3</v>
      </c>
      <c r="V29" s="1540">
        <f>COMPOSITE!M$484/U29</f>
        <v>0</v>
      </c>
      <c r="W29" s="1932">
        <f>COMPOSITE!L$485</f>
        <v>0</v>
      </c>
      <c r="X29" s="1536">
        <v>0</v>
      </c>
      <c r="Y29" s="1535">
        <f>COMPOSITE!L$486</f>
        <v>6</v>
      </c>
      <c r="Z29" s="1536">
        <f>COMPOSITE!M$486/Y29</f>
        <v>0</v>
      </c>
      <c r="AA29" s="1535">
        <f>COMPOSITE!L$487</f>
        <v>1</v>
      </c>
      <c r="AB29" s="1536">
        <f>COMPOSITE!M$487/AA29</f>
        <v>0</v>
      </c>
      <c r="AC29" s="1932">
        <f>COMPOSITE!L$488</f>
        <v>0</v>
      </c>
      <c r="AD29" s="2597">
        <v>0</v>
      </c>
    </row>
    <row r="30" spans="2:30" ht="20.100000000000001" customHeight="1">
      <c r="B30" s="1534">
        <v>42552</v>
      </c>
      <c r="C30" s="1535">
        <f t="shared" si="0"/>
        <v>53</v>
      </c>
      <c r="D30" s="1536">
        <f t="shared" si="1"/>
        <v>0</v>
      </c>
      <c r="E30" s="1932">
        <f>COMPOSITE!N$476</f>
        <v>7</v>
      </c>
      <c r="F30" s="1536">
        <f>COMPOSITE!O$476/E30</f>
        <v>0</v>
      </c>
      <c r="G30" s="1535">
        <f>COMPOSITE!N$477</f>
        <v>13</v>
      </c>
      <c r="H30" s="1536">
        <f>COMPOSITE!O$477/G30</f>
        <v>0</v>
      </c>
      <c r="I30" s="1535">
        <f>COMPOSITE!N$478</f>
        <v>0</v>
      </c>
      <c r="J30" s="1536">
        <v>0</v>
      </c>
      <c r="K30" s="1535">
        <f>COMPOSITE!N$479</f>
        <v>17</v>
      </c>
      <c r="L30" s="1536">
        <f>COMPOSITE!O$479/K30</f>
        <v>0</v>
      </c>
      <c r="M30" s="1932">
        <f>COMPOSITE!N$480</f>
        <v>0</v>
      </c>
      <c r="N30" s="1536">
        <v>0</v>
      </c>
      <c r="O30" s="1537">
        <f>COMPOSITE!N$481</f>
        <v>0</v>
      </c>
      <c r="P30" s="1536">
        <v>0</v>
      </c>
      <c r="Q30" s="1535">
        <f>COMPOSITE!N$482</f>
        <v>3</v>
      </c>
      <c r="R30" s="1536">
        <f>COMPOSITE!O$482/Q30</f>
        <v>0</v>
      </c>
      <c r="S30" s="1538">
        <f>COMPOSITE!N$483</f>
        <v>2</v>
      </c>
      <c r="T30" s="1539">
        <f>COMPOSITE!O$483/S30</f>
        <v>0</v>
      </c>
      <c r="U30" s="1535">
        <f>COMPOSITE!N$484</f>
        <v>3</v>
      </c>
      <c r="V30" s="1540">
        <f>COMPOSITE!O$484/U30</f>
        <v>0</v>
      </c>
      <c r="W30" s="1932">
        <f>COMPOSITE!N$485</f>
        <v>1</v>
      </c>
      <c r="X30" s="1536">
        <f>COMPOSITE!O$485/W30</f>
        <v>0</v>
      </c>
      <c r="Y30" s="1535">
        <f>COMPOSITE!N$486</f>
        <v>7</v>
      </c>
      <c r="Z30" s="1536">
        <f>COMPOSITE!O$486/Y30</f>
        <v>0</v>
      </c>
      <c r="AA30" s="1932">
        <f>COMPOSITE!N$487</f>
        <v>0</v>
      </c>
      <c r="AB30" s="1536">
        <v>0</v>
      </c>
      <c r="AC30" s="1932">
        <f>COMPOSITE!N$488</f>
        <v>0</v>
      </c>
      <c r="AD30" s="2597">
        <v>0</v>
      </c>
    </row>
    <row r="31" spans="2:30" ht="20.100000000000001" customHeight="1">
      <c r="B31" s="1534">
        <v>42583</v>
      </c>
      <c r="C31" s="1535">
        <f t="shared" si="0"/>
        <v>36</v>
      </c>
      <c r="D31" s="1536">
        <f t="shared" si="1"/>
        <v>0</v>
      </c>
      <c r="E31" s="1932">
        <f>COMPOSITE!P$476</f>
        <v>5</v>
      </c>
      <c r="F31" s="1536">
        <f>COMPOSITE!Q$476/E31</f>
        <v>0</v>
      </c>
      <c r="G31" s="1535">
        <f>COMPOSITE!P$477</f>
        <v>7</v>
      </c>
      <c r="H31" s="1536">
        <f>COMPOSITE!Q$477/G31</f>
        <v>0</v>
      </c>
      <c r="I31" s="1535">
        <f>COMPOSITE!P$478</f>
        <v>3</v>
      </c>
      <c r="J31" s="1536">
        <f>COMPOSITE!Q$478/I31</f>
        <v>0</v>
      </c>
      <c r="K31" s="1535">
        <f>COMPOSITE!P$479</f>
        <v>12</v>
      </c>
      <c r="L31" s="1536">
        <v>0</v>
      </c>
      <c r="M31" s="2406"/>
      <c r="N31" s="2407"/>
      <c r="O31" s="1537">
        <f>COMPOSITE!P$481</f>
        <v>1</v>
      </c>
      <c r="P31" s="1536">
        <f>COMPOSITE!Q$481/O31</f>
        <v>0</v>
      </c>
      <c r="Q31" s="1535">
        <f>COMPOSITE!P$482</f>
        <v>5</v>
      </c>
      <c r="R31" s="1536">
        <f>COMPOSITE!Q$482/Q31</f>
        <v>0</v>
      </c>
      <c r="S31" s="1538">
        <f>COMPOSITE!P$483</f>
        <v>0</v>
      </c>
      <c r="T31" s="1539">
        <v>0</v>
      </c>
      <c r="U31" s="1535">
        <f>COMPOSITE!P$484</f>
        <v>3</v>
      </c>
      <c r="V31" s="1540">
        <f>COMPOSITE!Q$484/U31</f>
        <v>0</v>
      </c>
      <c r="W31" s="1932">
        <f>COMPOSITE!P$485</f>
        <v>0</v>
      </c>
      <c r="X31" s="1536">
        <v>0</v>
      </c>
      <c r="Y31" s="1535" t="s">
        <v>766</v>
      </c>
      <c r="Z31" s="1536" t="s">
        <v>766</v>
      </c>
      <c r="AA31" s="1932" t="s">
        <v>766</v>
      </c>
      <c r="AB31" s="1536" t="s">
        <v>766</v>
      </c>
      <c r="AC31" s="1932" t="s">
        <v>766</v>
      </c>
      <c r="AD31" s="2597" t="s">
        <v>766</v>
      </c>
    </row>
    <row r="32" spans="2:30" ht="20.100000000000001" customHeight="1">
      <c r="B32" s="1534">
        <v>42614</v>
      </c>
      <c r="C32" s="1535">
        <f t="shared" si="0"/>
        <v>35</v>
      </c>
      <c r="D32" s="1536">
        <f t="shared" si="1"/>
        <v>0</v>
      </c>
      <c r="E32" s="1932">
        <f>COMPOSITE!R$476</f>
        <v>4</v>
      </c>
      <c r="F32" s="1536">
        <f>COMPOSITE!S$476/E32</f>
        <v>0</v>
      </c>
      <c r="G32" s="1535">
        <f>COMPOSITE!R$477</f>
        <v>14</v>
      </c>
      <c r="H32" s="1536">
        <f>COMPOSITE!S$477/G32</f>
        <v>0</v>
      </c>
      <c r="I32" s="1535">
        <f>COMPOSITE!R$478</f>
        <v>0</v>
      </c>
      <c r="J32" s="1536">
        <v>0</v>
      </c>
      <c r="K32" s="1535">
        <f>COMPOSITE!R$479</f>
        <v>12</v>
      </c>
      <c r="L32" s="1536">
        <f>COMPOSITE!S$479/K32</f>
        <v>0</v>
      </c>
      <c r="M32" s="2408"/>
      <c r="N32" s="2409"/>
      <c r="O32" s="1537">
        <f>COMPOSITE!R$481</f>
        <v>0</v>
      </c>
      <c r="P32" s="1536">
        <v>0</v>
      </c>
      <c r="Q32" s="1535">
        <f>COMPOSITE!R$482</f>
        <v>0</v>
      </c>
      <c r="R32" s="1536">
        <v>0</v>
      </c>
      <c r="S32" s="1538">
        <f>COMPOSITE!R$483</f>
        <v>1</v>
      </c>
      <c r="T32" s="1539">
        <f>COMPOSITE!S$483/S32</f>
        <v>0</v>
      </c>
      <c r="U32" s="1535">
        <f>COMPOSITE!R$484</f>
        <v>3</v>
      </c>
      <c r="V32" s="1540">
        <f>COMPOSITE!S$484/U32</f>
        <v>0</v>
      </c>
      <c r="W32" s="1932">
        <f>COMPOSITE!R$485</f>
        <v>1</v>
      </c>
      <c r="X32" s="1536">
        <f>COMPOSITE!S$485/W32</f>
        <v>0</v>
      </c>
      <c r="Y32" s="1535" t="s">
        <v>766</v>
      </c>
      <c r="Z32" s="1536" t="s">
        <v>766</v>
      </c>
      <c r="AA32" s="1932" t="s">
        <v>766</v>
      </c>
      <c r="AB32" s="1536" t="s">
        <v>766</v>
      </c>
      <c r="AC32" s="1932" t="s">
        <v>766</v>
      </c>
      <c r="AD32" s="2597" t="s">
        <v>766</v>
      </c>
    </row>
    <row r="33" spans="2:30" ht="20.100000000000001" customHeight="1">
      <c r="B33" s="1534">
        <v>42644</v>
      </c>
      <c r="C33" s="1535">
        <f>SUM(E33,G33,I33,K33,M33,O33,Q33,S33,U33,W33,Y33,AA33,AC33)</f>
        <v>59</v>
      </c>
      <c r="D33" s="1536">
        <f>AVERAGE(F33,H33,J33,L33,N33,P33,R33,T33,V33,X33,Z33,AB33,AD33)</f>
        <v>0</v>
      </c>
      <c r="E33" s="1932">
        <f>COMPOSITE!T$476</f>
        <v>9</v>
      </c>
      <c r="F33" s="1536">
        <f>COMPOSITE!U$476/E33</f>
        <v>0</v>
      </c>
      <c r="G33" s="1535">
        <f>COMPOSITE!T$477</f>
        <v>16</v>
      </c>
      <c r="H33" s="1536">
        <f>COMPOSITE!U$477/G33</f>
        <v>0</v>
      </c>
      <c r="I33" s="1535">
        <f>COMPOSITE!T$478</f>
        <v>3</v>
      </c>
      <c r="J33" s="1536">
        <f>COMPOSITE!U$478/I33</f>
        <v>0</v>
      </c>
      <c r="K33" s="1535">
        <f>COMPOSITE!T$479</f>
        <v>12</v>
      </c>
      <c r="L33" s="1536">
        <f>COMPOSITE!U$479/K33</f>
        <v>0</v>
      </c>
      <c r="M33" s="2408"/>
      <c r="N33" s="2409"/>
      <c r="O33" s="1537">
        <f>COMPOSITE!T$481</f>
        <v>0</v>
      </c>
      <c r="P33" s="1536">
        <v>0</v>
      </c>
      <c r="Q33" s="1535">
        <f>COMPOSITE!T$482</f>
        <v>4</v>
      </c>
      <c r="R33" s="1536">
        <f>COMPOSITE!U$482/Q33</f>
        <v>0</v>
      </c>
      <c r="S33" s="1538">
        <f>COMPOSITE!T$483</f>
        <v>0</v>
      </c>
      <c r="T33" s="1539">
        <v>0</v>
      </c>
      <c r="U33" s="1535">
        <f>COMPOSITE!T$484</f>
        <v>5</v>
      </c>
      <c r="V33" s="1540">
        <f>COMPOSITE!U$484/U33</f>
        <v>0</v>
      </c>
      <c r="W33" s="1932">
        <f>COMPOSITE!T$485</f>
        <v>1</v>
      </c>
      <c r="X33" s="1536">
        <f>COMPOSITE!U$485/W33</f>
        <v>0</v>
      </c>
      <c r="Y33" s="1535" t="s">
        <v>766</v>
      </c>
      <c r="Z33" s="1536" t="s">
        <v>766</v>
      </c>
      <c r="AA33" s="1535" t="s">
        <v>766</v>
      </c>
      <c r="AB33" s="1536" t="s">
        <v>766</v>
      </c>
      <c r="AC33" s="1932">
        <f>COMPOSITE!T$488</f>
        <v>9</v>
      </c>
      <c r="AD33" s="2597">
        <f>COMPOSITE!U$488/AC33</f>
        <v>0</v>
      </c>
    </row>
    <row r="34" spans="2:30" ht="20.100000000000001" customHeight="1">
      <c r="B34" s="1534">
        <v>42675</v>
      </c>
      <c r="C34" s="1535">
        <f>SUM(E34,G34,I34,K34,M34,O34,Q34,S34,U34,W34,Y34,AA34,AC34)</f>
        <v>55</v>
      </c>
      <c r="D34" s="1536">
        <f>AVERAGE(F34,H34,J34,L34,N34,P34,R34,T34,V34,X34,Z34,AB34,AD34)</f>
        <v>0</v>
      </c>
      <c r="E34" s="1932" t="s">
        <v>766</v>
      </c>
      <c r="F34" s="1536" t="s">
        <v>766</v>
      </c>
      <c r="G34" s="1535">
        <f>COMPOSITE!V$477</f>
        <v>14</v>
      </c>
      <c r="H34" s="1536">
        <f>COMPOSITE!W$477/G34</f>
        <v>0</v>
      </c>
      <c r="I34" s="1535">
        <f>COMPOSITE!V$478</f>
        <v>4</v>
      </c>
      <c r="J34" s="1536">
        <f>COMPOSITE!W$478/I34</f>
        <v>0</v>
      </c>
      <c r="K34" s="1535">
        <f>COMPOSITE!V$479</f>
        <v>15</v>
      </c>
      <c r="L34" s="1536">
        <f>COMPOSITE!W$479/K34</f>
        <v>0</v>
      </c>
      <c r="M34" s="2408"/>
      <c r="N34" s="2409"/>
      <c r="O34" s="1537" t="s">
        <v>766</v>
      </c>
      <c r="P34" s="1536" t="s">
        <v>766</v>
      </c>
      <c r="Q34" s="1535">
        <f>COMPOSITE!V$482</f>
        <v>5</v>
      </c>
      <c r="R34" s="1536">
        <f>COMPOSITE!W$482/Q34</f>
        <v>0</v>
      </c>
      <c r="S34" s="1538">
        <f>COMPOSITE!V$483</f>
        <v>1</v>
      </c>
      <c r="T34" s="1539">
        <f>COMPOSITE!W$483/S34</f>
        <v>0</v>
      </c>
      <c r="U34" s="1535">
        <f>COMPOSITE!V$484</f>
        <v>5</v>
      </c>
      <c r="V34" s="1540">
        <f>COMPOSITE!W$484/U34</f>
        <v>0</v>
      </c>
      <c r="W34" s="1932">
        <f>COMPOSITE!V$485</f>
        <v>1</v>
      </c>
      <c r="X34" s="1536">
        <f>COMPOSITE!W$485/W34</f>
        <v>0</v>
      </c>
      <c r="Y34" s="1535" t="s">
        <v>766</v>
      </c>
      <c r="Z34" s="1536" t="s">
        <v>766</v>
      </c>
      <c r="AA34" s="1535" t="s">
        <v>766</v>
      </c>
      <c r="AB34" s="1536" t="s">
        <v>766</v>
      </c>
      <c r="AC34" s="1932">
        <f>COMPOSITE!V$488</f>
        <v>10</v>
      </c>
      <c r="AD34" s="2597">
        <f>COMPOSITE!W$488/AC34</f>
        <v>0</v>
      </c>
    </row>
    <row r="35" spans="2:30" ht="20.100000000000001" customHeight="1">
      <c r="B35" s="1534">
        <v>42705</v>
      </c>
      <c r="C35" s="1535">
        <f>SUM(E35,G35,I35,K35,M35,O35,Q35,S35,U35,W35,Y35,AA35,AC35)</f>
        <v>56</v>
      </c>
      <c r="D35" s="1536">
        <f>AVERAGE(F35,H35,J35,L35,N35,P35,R35,T35,V35,X35,Z35,AB35,AD35)</f>
        <v>0</v>
      </c>
      <c r="E35" s="1932" t="s">
        <v>766</v>
      </c>
      <c r="F35" s="1536" t="s">
        <v>766</v>
      </c>
      <c r="G35" s="1535">
        <f>COMPOSITE!X$477</f>
        <v>18</v>
      </c>
      <c r="H35" s="1536">
        <f>COMPOSITE!Y$477/G35</f>
        <v>0</v>
      </c>
      <c r="I35" s="1535" t="s">
        <v>766</v>
      </c>
      <c r="J35" s="1536" t="s">
        <v>766</v>
      </c>
      <c r="K35" s="1535">
        <f>COMPOSITE!X$479</f>
        <v>16</v>
      </c>
      <c r="L35" s="1536">
        <f>COMPOSITE!Y$479/K35</f>
        <v>0</v>
      </c>
      <c r="M35" s="2410"/>
      <c r="N35" s="2411"/>
      <c r="O35" s="1537" t="s">
        <v>766</v>
      </c>
      <c r="P35" s="1536" t="s">
        <v>766</v>
      </c>
      <c r="Q35" s="1535" t="s">
        <v>766</v>
      </c>
      <c r="R35" s="1536" t="s">
        <v>766</v>
      </c>
      <c r="S35" s="1538">
        <f>COMPOSITE!X$483</f>
        <v>5</v>
      </c>
      <c r="T35" s="1539">
        <f>COMPOSITE!Y$483/S35</f>
        <v>0</v>
      </c>
      <c r="U35" s="1535">
        <f>COMPOSITE!X$484</f>
        <v>4</v>
      </c>
      <c r="V35" s="1540">
        <f>COMPOSITE!Y$484/U35</f>
        <v>0</v>
      </c>
      <c r="W35" s="1932">
        <f>COMPOSITE!X$485</f>
        <v>0</v>
      </c>
      <c r="X35" s="1536">
        <v>0</v>
      </c>
      <c r="Y35" s="1535" t="s">
        <v>766</v>
      </c>
      <c r="Z35" s="1536" t="s">
        <v>766</v>
      </c>
      <c r="AA35" s="1535" t="s">
        <v>766</v>
      </c>
      <c r="AB35" s="1536" t="s">
        <v>766</v>
      </c>
      <c r="AC35" s="1932">
        <f>COMPOSITE!X$488</f>
        <v>13</v>
      </c>
      <c r="AD35" s="2597">
        <f>COMPOSITE!Y$488/AC35</f>
        <v>0</v>
      </c>
    </row>
    <row r="36" spans="2:30" ht="20.100000000000001" customHeight="1" thickBot="1">
      <c r="B36" s="1546" t="s">
        <v>277</v>
      </c>
      <c r="C36" s="1541">
        <f>SUM(C24:C35)</f>
        <v>616</v>
      </c>
      <c r="D36" s="1542">
        <f>AVERAGE(D24:D35)</f>
        <v>5.3418803418803429E-3</v>
      </c>
      <c r="E36" s="1541">
        <f>SUM(E24:E35)</f>
        <v>75</v>
      </c>
      <c r="F36" s="1542">
        <f>AVERAGE(F24:F35)</f>
        <v>0</v>
      </c>
      <c r="G36" s="1541">
        <f>SUM(G24:G35)</f>
        <v>147</v>
      </c>
      <c r="H36" s="1542">
        <f>AVERAGE(H24:H35)</f>
        <v>0</v>
      </c>
      <c r="I36" s="1541">
        <f>SUM(I24:I35)</f>
        <v>31</v>
      </c>
      <c r="J36" s="1542">
        <f>AVERAGE(J24:J35)</f>
        <v>0</v>
      </c>
      <c r="K36" s="1541">
        <f>SUM(K24:K35)</f>
        <v>172</v>
      </c>
      <c r="L36" s="1542">
        <f>AVERAGE(L24:L35)</f>
        <v>6.9444444444444441E-3</v>
      </c>
      <c r="M36" s="1541">
        <f>SUM(M24:M35)</f>
        <v>2</v>
      </c>
      <c r="N36" s="1542">
        <f>IFERROR(SUM(COMPOSITE!C480,COMPOSITE!E480)/M36,0)</f>
        <v>0</v>
      </c>
      <c r="O36" s="1541">
        <f>SUM(O24:O35)</f>
        <v>2</v>
      </c>
      <c r="P36" s="1542">
        <f>AVERAGE(P24:P35)</f>
        <v>0</v>
      </c>
      <c r="Q36" s="1541">
        <f>SUM(Q24:Q35)</f>
        <v>39</v>
      </c>
      <c r="R36" s="1542">
        <f>AVERAGE(R24:R35)</f>
        <v>2.2727272727272728E-2</v>
      </c>
      <c r="S36" s="1541">
        <f>SUM(S24:S35)</f>
        <v>15</v>
      </c>
      <c r="T36" s="1542">
        <f>AVERAGE(T24:T35)</f>
        <v>0</v>
      </c>
      <c r="U36" s="1541">
        <f>SUM(U24:U35)</f>
        <v>38</v>
      </c>
      <c r="V36" s="1542">
        <f>AVERAGE(V24:V35)</f>
        <v>0</v>
      </c>
      <c r="W36" s="1541">
        <f>SUM(W24:W35)</f>
        <v>6</v>
      </c>
      <c r="X36" s="1542">
        <f>AVERAGE(X24:X35)</f>
        <v>4.1666666666666664E-2</v>
      </c>
      <c r="Y36" s="1541">
        <f>SUM(Y24:Y35)</f>
        <v>53</v>
      </c>
      <c r="Z36" s="1542">
        <f>AVERAGE(Z24:Z35)</f>
        <v>0</v>
      </c>
      <c r="AA36" s="1541">
        <f>SUM(AA24:AA35)</f>
        <v>4</v>
      </c>
      <c r="AB36" s="1542">
        <f>AVERAGE(AB24:AB35)</f>
        <v>0</v>
      </c>
      <c r="AC36" s="1541">
        <f>SUM(AC24:AC35)</f>
        <v>32</v>
      </c>
      <c r="AD36" s="1543">
        <f>AVERAGE(AD24:AD35)</f>
        <v>0</v>
      </c>
    </row>
    <row r="37" spans="2:30" ht="20.100000000000001" customHeight="1" thickTop="1"/>
    <row r="38" spans="2:30" ht="20.100000000000001" customHeight="1"/>
    <row r="39" spans="2:30" ht="20.100000000000001" customHeight="1"/>
    <row r="40" spans="2:30" ht="20.100000000000001" customHeight="1"/>
    <row r="41" spans="2:30" ht="20.100000000000001" customHeight="1"/>
    <row r="42" spans="2:30" ht="20.100000000000001" customHeight="1"/>
    <row r="43" spans="2:30" ht="20.100000000000001" customHeight="1"/>
    <row r="44" spans="2:30" ht="20.100000000000001" customHeight="1"/>
    <row r="45" spans="2:30" ht="20.100000000000001" customHeight="1"/>
    <row r="46" spans="2:30" ht="20.100000000000001" customHeight="1"/>
    <row r="47" spans="2:30" ht="20.100000000000001" customHeight="1"/>
    <row r="48" spans="2:30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</sheetData>
  <mergeCells count="15">
    <mergeCell ref="B22:B23"/>
    <mergeCell ref="Y22:Z22"/>
    <mergeCell ref="AA22:AB22"/>
    <mergeCell ref="AC22:AD22"/>
    <mergeCell ref="C22:D22"/>
    <mergeCell ref="E22:F22"/>
    <mergeCell ref="G22:H22"/>
    <mergeCell ref="I22:J22"/>
    <mergeCell ref="W22:X22"/>
    <mergeCell ref="K22:L22"/>
    <mergeCell ref="M22:N22"/>
    <mergeCell ref="Q22:R22"/>
    <mergeCell ref="S22:T22"/>
    <mergeCell ref="U22:V22"/>
    <mergeCell ref="O22:P22"/>
  </mergeCells>
  <conditionalFormatting sqref="N3:N12">
    <cfRule type="cellIs" dxfId="12" priority="2" operator="greaterThan">
      <formula>1</formula>
    </cfRule>
  </conditionalFormatting>
  <printOptions horizontalCentered="1"/>
  <pageMargins left="0" right="0" top="0.5" bottom="0" header="0" footer="0"/>
  <pageSetup paperSize="5" scale="51" fitToHeight="0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59999389629810485"/>
    <pageSetUpPr fitToPage="1"/>
  </sheetPr>
  <dimension ref="A1:Q49"/>
  <sheetViews>
    <sheetView workbookViewId="0"/>
  </sheetViews>
  <sheetFormatPr defaultColWidth="9.140625" defaultRowHeight="15"/>
  <cols>
    <col min="1" max="1" width="9.28515625" style="23" bestFit="1" customWidth="1"/>
    <col min="2" max="2" width="10" style="23" customWidth="1"/>
    <col min="3" max="3" width="9.140625" style="23"/>
    <col min="4" max="4" width="11" style="23" customWidth="1"/>
    <col min="5" max="6" width="9.140625" style="23"/>
    <col min="7" max="7" width="10.42578125" style="23" customWidth="1"/>
    <col min="8" max="9" width="11.42578125" style="23" customWidth="1"/>
    <col min="10" max="10" width="9.140625" style="23"/>
    <col min="11" max="11" width="10.140625" style="23" customWidth="1"/>
    <col min="12" max="12" width="13.42578125" style="23" customWidth="1"/>
    <col min="13" max="13" width="12.140625" style="23" customWidth="1"/>
    <col min="14" max="14" width="12.7109375" style="23" customWidth="1"/>
    <col min="15" max="15" width="12" style="23" customWidth="1"/>
    <col min="16" max="16" width="12.140625" style="23" bestFit="1" customWidth="1"/>
    <col min="17" max="17" width="12.28515625" style="23" bestFit="1" customWidth="1"/>
    <col min="18" max="16384" width="9.140625" style="23"/>
  </cols>
  <sheetData>
    <row r="1" spans="1:17" ht="9.75" customHeight="1"/>
    <row r="2" spans="1:17" ht="15.75" thickBot="1">
      <c r="A2" s="204" t="s">
        <v>355</v>
      </c>
      <c r="B2" s="212"/>
      <c r="C2" s="213"/>
      <c r="D2" s="213"/>
      <c r="E2" s="213"/>
    </row>
    <row r="3" spans="1:17" s="4" customFormat="1" ht="31.5" thickTop="1" thickBot="1">
      <c r="A3" s="1159" t="s">
        <v>276</v>
      </c>
      <c r="B3" s="1160" t="s">
        <v>293</v>
      </c>
      <c r="C3" s="1160" t="s">
        <v>6</v>
      </c>
      <c r="D3" s="1160" t="s">
        <v>29</v>
      </c>
      <c r="E3" s="1160" t="s">
        <v>41</v>
      </c>
      <c r="F3" s="1160" t="s">
        <v>9</v>
      </c>
      <c r="G3" s="1160" t="s">
        <v>84</v>
      </c>
      <c r="H3" s="1160" t="s">
        <v>28</v>
      </c>
      <c r="I3" s="1160" t="s">
        <v>219</v>
      </c>
      <c r="J3" s="1160" t="s">
        <v>30</v>
      </c>
      <c r="K3" s="1160" t="s">
        <v>314</v>
      </c>
      <c r="L3" s="1160" t="s">
        <v>85</v>
      </c>
      <c r="M3" s="1160" t="s">
        <v>286</v>
      </c>
      <c r="N3" s="1160" t="s">
        <v>81</v>
      </c>
      <c r="O3" s="1160" t="s">
        <v>378</v>
      </c>
      <c r="P3" s="1160" t="s">
        <v>379</v>
      </c>
      <c r="Q3" s="1161" t="s">
        <v>377</v>
      </c>
    </row>
    <row r="4" spans="1:17" ht="15.75" thickTop="1">
      <c r="A4" s="785">
        <v>42370</v>
      </c>
      <c r="B4" s="952">
        <f>AVERAGE(C4:N4)</f>
        <v>0</v>
      </c>
      <c r="C4" s="846">
        <f>FACILITIES!B$220</f>
        <v>0</v>
      </c>
      <c r="D4" s="846"/>
      <c r="E4" s="846"/>
      <c r="F4" s="953"/>
      <c r="G4" s="846"/>
      <c r="H4" s="846"/>
      <c r="I4" s="846"/>
      <c r="J4" s="846"/>
      <c r="K4" s="845"/>
      <c r="L4" s="846"/>
      <c r="M4" s="846"/>
      <c r="N4" s="846"/>
      <c r="O4" s="846"/>
      <c r="P4" s="846"/>
      <c r="Q4" s="847"/>
    </row>
    <row r="5" spans="1:17">
      <c r="A5" s="395">
        <v>42401</v>
      </c>
      <c r="B5" s="848"/>
      <c r="C5" s="849"/>
      <c r="D5" s="849"/>
      <c r="E5" s="849"/>
      <c r="F5" s="850"/>
      <c r="G5" s="849"/>
      <c r="H5" s="849"/>
      <c r="I5" s="849"/>
      <c r="J5" s="849"/>
      <c r="K5" s="851"/>
      <c r="L5" s="849"/>
      <c r="M5" s="849"/>
      <c r="N5" s="849"/>
      <c r="O5" s="849"/>
      <c r="P5" s="849"/>
      <c r="Q5" s="852"/>
    </row>
    <row r="6" spans="1:17">
      <c r="A6" s="395">
        <v>42430</v>
      </c>
      <c r="B6" s="848"/>
      <c r="C6" s="849"/>
      <c r="D6" s="849"/>
      <c r="E6" s="849"/>
      <c r="F6" s="850"/>
      <c r="G6" s="849"/>
      <c r="H6" s="849"/>
      <c r="I6" s="849"/>
      <c r="J6" s="849"/>
      <c r="K6" s="851"/>
      <c r="L6" s="849"/>
      <c r="M6" s="849"/>
      <c r="N6" s="849"/>
      <c r="O6" s="849"/>
      <c r="P6" s="849"/>
      <c r="Q6" s="852"/>
    </row>
    <row r="7" spans="1:17">
      <c r="A7" s="395">
        <v>42461</v>
      </c>
      <c r="B7" s="848"/>
      <c r="C7" s="849"/>
      <c r="D7" s="849"/>
      <c r="E7" s="849"/>
      <c r="F7" s="850"/>
      <c r="G7" s="849"/>
      <c r="H7" s="849"/>
      <c r="I7" s="849"/>
      <c r="J7" s="849"/>
      <c r="K7" s="851"/>
      <c r="L7" s="849"/>
      <c r="M7" s="849"/>
      <c r="N7" s="849"/>
      <c r="O7" s="849"/>
      <c r="P7" s="849"/>
      <c r="Q7" s="852"/>
    </row>
    <row r="8" spans="1:17">
      <c r="A8" s="395">
        <v>42491</v>
      </c>
      <c r="B8" s="848"/>
      <c r="C8" s="849"/>
      <c r="D8" s="849"/>
      <c r="E8" s="849"/>
      <c r="F8" s="850"/>
      <c r="G8" s="849"/>
      <c r="H8" s="849"/>
      <c r="I8" s="849"/>
      <c r="J8" s="849"/>
      <c r="K8" s="851"/>
      <c r="L8" s="849"/>
      <c r="M8" s="849"/>
      <c r="N8" s="849"/>
      <c r="O8" s="849"/>
      <c r="P8" s="849"/>
      <c r="Q8" s="852"/>
    </row>
    <row r="9" spans="1:17">
      <c r="A9" s="395">
        <v>42522</v>
      </c>
      <c r="B9" s="848"/>
      <c r="C9" s="849"/>
      <c r="D9" s="849"/>
      <c r="E9" s="849"/>
      <c r="F9" s="850"/>
      <c r="G9" s="849"/>
      <c r="H9" s="849"/>
      <c r="I9" s="849"/>
      <c r="J9" s="849"/>
      <c r="K9" s="849"/>
      <c r="L9" s="849"/>
      <c r="M9" s="849"/>
      <c r="N9" s="849"/>
      <c r="O9" s="849"/>
      <c r="P9" s="849"/>
      <c r="Q9" s="852"/>
    </row>
    <row r="10" spans="1:17">
      <c r="A10" s="395">
        <v>42552</v>
      </c>
      <c r="B10" s="848"/>
      <c r="C10" s="849"/>
      <c r="D10" s="849"/>
      <c r="E10" s="849"/>
      <c r="F10" s="850"/>
      <c r="G10" s="849"/>
      <c r="H10" s="849"/>
      <c r="I10" s="849"/>
      <c r="J10" s="849"/>
      <c r="K10" s="849"/>
      <c r="L10" s="849"/>
      <c r="M10" s="849"/>
      <c r="N10" s="849"/>
      <c r="O10" s="849"/>
      <c r="P10" s="849"/>
      <c r="Q10" s="852"/>
    </row>
    <row r="11" spans="1:17">
      <c r="A11" s="395">
        <v>42583</v>
      </c>
      <c r="B11" s="848"/>
      <c r="C11" s="849"/>
      <c r="D11" s="853"/>
      <c r="E11" s="853"/>
      <c r="F11" s="853"/>
      <c r="G11" s="853"/>
      <c r="H11" s="853"/>
      <c r="I11" s="853"/>
      <c r="J11" s="853"/>
      <c r="K11" s="853"/>
      <c r="L11" s="853"/>
      <c r="M11" s="853"/>
      <c r="N11" s="853"/>
      <c r="O11" s="853"/>
      <c r="P11" s="853"/>
      <c r="Q11" s="854"/>
    </row>
    <row r="12" spans="1:17">
      <c r="A12" s="395">
        <v>42614</v>
      </c>
      <c r="B12" s="848"/>
      <c r="C12" s="853"/>
      <c r="D12" s="853"/>
      <c r="E12" s="853"/>
      <c r="F12" s="853"/>
      <c r="G12" s="853"/>
      <c r="H12" s="853"/>
      <c r="I12" s="853"/>
      <c r="J12" s="853"/>
      <c r="K12" s="853"/>
      <c r="L12" s="853"/>
      <c r="M12" s="853"/>
      <c r="N12" s="853"/>
      <c r="O12" s="853"/>
      <c r="P12" s="853"/>
      <c r="Q12" s="854"/>
    </row>
    <row r="13" spans="1:17">
      <c r="A13" s="395">
        <v>42644</v>
      </c>
      <c r="B13" s="848"/>
      <c r="C13" s="853"/>
      <c r="D13" s="853"/>
      <c r="E13" s="853"/>
      <c r="F13" s="853"/>
      <c r="G13" s="853"/>
      <c r="H13" s="853"/>
      <c r="I13" s="853"/>
      <c r="J13" s="853"/>
      <c r="K13" s="853"/>
      <c r="L13" s="853"/>
      <c r="M13" s="853"/>
      <c r="N13" s="853"/>
      <c r="O13" s="853"/>
      <c r="P13" s="853"/>
      <c r="Q13" s="854"/>
    </row>
    <row r="14" spans="1:17">
      <c r="A14" s="395">
        <v>42675</v>
      </c>
      <c r="B14" s="848"/>
      <c r="C14" s="853"/>
      <c r="D14" s="853"/>
      <c r="E14" s="853"/>
      <c r="F14" s="853"/>
      <c r="G14" s="853"/>
      <c r="H14" s="853"/>
      <c r="I14" s="853"/>
      <c r="J14" s="853"/>
      <c r="K14" s="853"/>
      <c r="L14" s="853"/>
      <c r="M14" s="853"/>
      <c r="N14" s="853"/>
      <c r="O14" s="853"/>
      <c r="P14" s="853"/>
      <c r="Q14" s="854"/>
    </row>
    <row r="15" spans="1:17">
      <c r="A15" s="395">
        <v>42705</v>
      </c>
      <c r="B15" s="855"/>
      <c r="C15" s="856"/>
      <c r="D15" s="856"/>
      <c r="E15" s="856"/>
      <c r="F15" s="856"/>
      <c r="G15" s="856"/>
      <c r="H15" s="856"/>
      <c r="I15" s="856"/>
      <c r="J15" s="856"/>
      <c r="K15" s="856"/>
      <c r="L15" s="856"/>
      <c r="M15" s="856"/>
      <c r="N15" s="856"/>
      <c r="O15" s="856"/>
      <c r="P15" s="856"/>
      <c r="Q15" s="857"/>
    </row>
    <row r="16" spans="1:17" ht="15.75" thickBot="1">
      <c r="A16" s="1140" t="s">
        <v>294</v>
      </c>
      <c r="B16" s="1141">
        <f>AVERAGE(B4:B15)</f>
        <v>0</v>
      </c>
      <c r="C16" s="1141">
        <f>AVERAGE(C4:C15)</f>
        <v>0</v>
      </c>
      <c r="D16" s="1162">
        <f t="shared" ref="D16:J16" si="0">IFERROR(AVERAGE(D9:D15),0)</f>
        <v>0</v>
      </c>
      <c r="E16" s="1162">
        <f t="shared" si="0"/>
        <v>0</v>
      </c>
      <c r="F16" s="1162">
        <f t="shared" si="0"/>
        <v>0</v>
      </c>
      <c r="G16" s="1162">
        <f t="shared" si="0"/>
        <v>0</v>
      </c>
      <c r="H16" s="1162">
        <f t="shared" si="0"/>
        <v>0</v>
      </c>
      <c r="I16" s="1162">
        <f t="shared" si="0"/>
        <v>0</v>
      </c>
      <c r="J16" s="1162">
        <f t="shared" si="0"/>
        <v>0</v>
      </c>
      <c r="K16" s="1162">
        <f>IFERROR(AVERAGE(K9:K15),0)</f>
        <v>0</v>
      </c>
      <c r="L16" s="1162">
        <f t="shared" ref="L16:Q16" si="1">IFERROR(AVERAGE(L9:L15),0)</f>
        <v>0</v>
      </c>
      <c r="M16" s="1162">
        <f t="shared" si="1"/>
        <v>0</v>
      </c>
      <c r="N16" s="1162">
        <f t="shared" si="1"/>
        <v>0</v>
      </c>
      <c r="O16" s="1162">
        <f t="shared" si="1"/>
        <v>0</v>
      </c>
      <c r="P16" s="1162">
        <f t="shared" si="1"/>
        <v>0</v>
      </c>
      <c r="Q16" s="1925">
        <f t="shared" si="1"/>
        <v>0</v>
      </c>
    </row>
    <row r="17" spans="1:17" ht="9.75" customHeight="1" thickTop="1">
      <c r="B17" s="144"/>
    </row>
    <row r="18" spans="1:17" ht="15.75" thickBot="1">
      <c r="A18" s="1922" t="s">
        <v>356</v>
      </c>
      <c r="B18" s="1923"/>
      <c r="C18" s="1924"/>
      <c r="D18" s="1924"/>
      <c r="E18" s="1924"/>
    </row>
    <row r="19" spans="1:17" ht="31.5" thickTop="1" thickBot="1">
      <c r="A19" s="1163" t="s">
        <v>276</v>
      </c>
      <c r="B19" s="1160" t="s">
        <v>295</v>
      </c>
      <c r="C19" s="1164" t="s">
        <v>6</v>
      </c>
      <c r="D19" s="1164" t="s">
        <v>29</v>
      </c>
      <c r="E19" s="1164" t="s">
        <v>41</v>
      </c>
      <c r="F19" s="1164" t="s">
        <v>9</v>
      </c>
      <c r="G19" s="1164" t="s">
        <v>84</v>
      </c>
      <c r="H19" s="1164" t="s">
        <v>28</v>
      </c>
      <c r="I19" s="1164" t="s">
        <v>219</v>
      </c>
      <c r="J19" s="1164" t="s">
        <v>30</v>
      </c>
      <c r="K19" s="1164" t="s">
        <v>314</v>
      </c>
      <c r="L19" s="1164" t="s">
        <v>85</v>
      </c>
      <c r="M19" s="1160" t="s">
        <v>286</v>
      </c>
      <c r="N19" s="1164" t="s">
        <v>81</v>
      </c>
      <c r="O19" s="1164" t="s">
        <v>378</v>
      </c>
      <c r="P19" s="1164" t="s">
        <v>379</v>
      </c>
      <c r="Q19" s="1165" t="s">
        <v>377</v>
      </c>
    </row>
    <row r="20" spans="1:17" ht="15.75" thickTop="1">
      <c r="A20" s="886">
        <v>42370</v>
      </c>
      <c r="B20" s="883">
        <f>AVERAGE(C20:N20)</f>
        <v>1</v>
      </c>
      <c r="C20" s="879"/>
      <c r="D20" s="878"/>
      <c r="E20" s="878"/>
      <c r="F20" s="878"/>
      <c r="G20" s="880">
        <f>FACILITIES!B$181</f>
        <v>1</v>
      </c>
      <c r="H20" s="878"/>
      <c r="I20" s="878"/>
      <c r="J20" s="878"/>
      <c r="K20" s="881"/>
      <c r="L20" s="878"/>
      <c r="M20" s="878"/>
      <c r="N20" s="878"/>
      <c r="O20" s="878"/>
      <c r="P20" s="878"/>
      <c r="Q20" s="882"/>
    </row>
    <row r="21" spans="1:17">
      <c r="A21" s="395">
        <v>42401</v>
      </c>
      <c r="B21" s="884"/>
      <c r="C21" s="858"/>
      <c r="D21" s="859"/>
      <c r="E21" s="859"/>
      <c r="F21" s="859"/>
      <c r="G21" s="860"/>
      <c r="H21" s="859"/>
      <c r="I21" s="859"/>
      <c r="J21" s="859"/>
      <c r="K21" s="851"/>
      <c r="L21" s="859"/>
      <c r="M21" s="859"/>
      <c r="N21" s="859"/>
      <c r="O21" s="859"/>
      <c r="P21" s="859"/>
      <c r="Q21" s="861"/>
    </row>
    <row r="22" spans="1:17">
      <c r="A22" s="395">
        <v>42430</v>
      </c>
      <c r="B22" s="884"/>
      <c r="C22" s="858"/>
      <c r="D22" s="859"/>
      <c r="E22" s="859"/>
      <c r="F22" s="859"/>
      <c r="G22" s="860"/>
      <c r="H22" s="859"/>
      <c r="I22" s="859"/>
      <c r="J22" s="859"/>
      <c r="K22" s="851"/>
      <c r="L22" s="859"/>
      <c r="M22" s="859"/>
      <c r="N22" s="859"/>
      <c r="O22" s="859"/>
      <c r="P22" s="859"/>
      <c r="Q22" s="861"/>
    </row>
    <row r="23" spans="1:17">
      <c r="A23" s="395">
        <v>42461</v>
      </c>
      <c r="B23" s="884"/>
      <c r="C23" s="858"/>
      <c r="D23" s="859"/>
      <c r="E23" s="859"/>
      <c r="F23" s="859"/>
      <c r="G23" s="860"/>
      <c r="H23" s="859"/>
      <c r="I23" s="859"/>
      <c r="J23" s="859"/>
      <c r="K23" s="851"/>
      <c r="L23" s="859"/>
      <c r="M23" s="859"/>
      <c r="N23" s="859"/>
      <c r="O23" s="859"/>
      <c r="P23" s="859"/>
      <c r="Q23" s="861"/>
    </row>
    <row r="24" spans="1:17">
      <c r="A24" s="395">
        <v>42491</v>
      </c>
      <c r="B24" s="884"/>
      <c r="C24" s="858"/>
      <c r="D24" s="859"/>
      <c r="E24" s="859"/>
      <c r="F24" s="859"/>
      <c r="G24" s="860"/>
      <c r="H24" s="859"/>
      <c r="I24" s="859"/>
      <c r="J24" s="859"/>
      <c r="K24" s="851"/>
      <c r="L24" s="859"/>
      <c r="M24" s="859"/>
      <c r="N24" s="859"/>
      <c r="O24" s="859"/>
      <c r="P24" s="859"/>
      <c r="Q24" s="861"/>
    </row>
    <row r="25" spans="1:17">
      <c r="A25" s="395">
        <v>42522</v>
      </c>
      <c r="B25" s="884"/>
      <c r="C25" s="858"/>
      <c r="D25" s="859"/>
      <c r="E25" s="859"/>
      <c r="F25" s="859"/>
      <c r="G25" s="860"/>
      <c r="H25" s="859"/>
      <c r="I25" s="859"/>
      <c r="J25" s="859"/>
      <c r="K25" s="860"/>
      <c r="L25" s="859"/>
      <c r="M25" s="859"/>
      <c r="N25" s="859"/>
      <c r="O25" s="859"/>
      <c r="P25" s="859"/>
      <c r="Q25" s="861"/>
    </row>
    <row r="26" spans="1:17">
      <c r="A26" s="395">
        <v>42552</v>
      </c>
      <c r="B26" s="884"/>
      <c r="C26" s="858"/>
      <c r="D26" s="859"/>
      <c r="E26" s="859"/>
      <c r="F26" s="859"/>
      <c r="G26" s="860"/>
      <c r="H26" s="859"/>
      <c r="I26" s="859"/>
      <c r="J26" s="859"/>
      <c r="K26" s="860"/>
      <c r="L26" s="859"/>
      <c r="M26" s="859"/>
      <c r="N26" s="859"/>
      <c r="O26" s="859"/>
      <c r="P26" s="859"/>
      <c r="Q26" s="861"/>
    </row>
    <row r="27" spans="1:17">
      <c r="A27" s="395">
        <v>42583</v>
      </c>
      <c r="B27" s="884"/>
      <c r="C27" s="858"/>
      <c r="D27" s="859"/>
      <c r="E27" s="859"/>
      <c r="F27" s="859"/>
      <c r="G27" s="860"/>
      <c r="H27" s="859"/>
      <c r="I27" s="859"/>
      <c r="J27" s="859"/>
      <c r="K27" s="860"/>
      <c r="L27" s="859"/>
      <c r="M27" s="859"/>
      <c r="N27" s="859"/>
      <c r="O27" s="859"/>
      <c r="P27" s="859"/>
      <c r="Q27" s="861"/>
    </row>
    <row r="28" spans="1:17">
      <c r="A28" s="395">
        <v>42614</v>
      </c>
      <c r="B28" s="884"/>
      <c r="C28" s="858"/>
      <c r="D28" s="859"/>
      <c r="E28" s="859"/>
      <c r="F28" s="859"/>
      <c r="G28" s="859"/>
      <c r="H28" s="859"/>
      <c r="I28" s="859"/>
      <c r="J28" s="859"/>
      <c r="K28" s="859"/>
      <c r="L28" s="859"/>
      <c r="M28" s="859"/>
      <c r="N28" s="859"/>
      <c r="O28" s="859"/>
      <c r="P28" s="859"/>
      <c r="Q28" s="861"/>
    </row>
    <row r="29" spans="1:17">
      <c r="A29" s="395">
        <v>42644</v>
      </c>
      <c r="B29" s="884"/>
      <c r="C29" s="858"/>
      <c r="D29" s="859"/>
      <c r="E29" s="859"/>
      <c r="F29" s="859"/>
      <c r="G29" s="860"/>
      <c r="H29" s="859"/>
      <c r="I29" s="859"/>
      <c r="J29" s="859"/>
      <c r="K29" s="859"/>
      <c r="L29" s="859"/>
      <c r="M29" s="859"/>
      <c r="N29" s="859"/>
      <c r="O29" s="859"/>
      <c r="P29" s="859"/>
      <c r="Q29" s="861"/>
    </row>
    <row r="30" spans="1:17">
      <c r="A30" s="395">
        <v>42675</v>
      </c>
      <c r="B30" s="884"/>
      <c r="C30" s="858"/>
      <c r="D30" s="859"/>
      <c r="E30" s="859"/>
      <c r="F30" s="859"/>
      <c r="G30" s="859"/>
      <c r="H30" s="859"/>
      <c r="I30" s="859"/>
      <c r="J30" s="859"/>
      <c r="K30" s="859"/>
      <c r="L30" s="859"/>
      <c r="M30" s="859"/>
      <c r="N30" s="859"/>
      <c r="O30" s="859"/>
      <c r="P30" s="859"/>
      <c r="Q30" s="861"/>
    </row>
    <row r="31" spans="1:17">
      <c r="A31" s="395">
        <v>42705</v>
      </c>
      <c r="B31" s="885"/>
      <c r="C31" s="862"/>
      <c r="D31" s="863"/>
      <c r="E31" s="863"/>
      <c r="F31" s="863"/>
      <c r="G31" s="863"/>
      <c r="H31" s="863"/>
      <c r="I31" s="863"/>
      <c r="J31" s="863"/>
      <c r="K31" s="863"/>
      <c r="L31" s="863"/>
      <c r="M31" s="863"/>
      <c r="N31" s="863"/>
      <c r="O31" s="863"/>
      <c r="P31" s="863"/>
      <c r="Q31" s="864"/>
    </row>
    <row r="32" spans="1:17" ht="15.75" thickBot="1">
      <c r="A32" s="1140" t="s">
        <v>261</v>
      </c>
      <c r="B32" s="1166">
        <f>AVERAGE(B20:B31)</f>
        <v>1</v>
      </c>
      <c r="C32" s="1166">
        <f>IFERROR(AVERAGE(C20:C31),0)</f>
        <v>0</v>
      </c>
      <c r="D32" s="1166">
        <f>IFERROR(AVERAGE(D20:D31),0)</f>
        <v>0</v>
      </c>
      <c r="E32" s="1166">
        <f>IFERROR(AVERAGE(E20:E31),0)</f>
        <v>0</v>
      </c>
      <c r="F32" s="1166">
        <f>IFERROR(AVERAGE(F20:F31),0)</f>
        <v>0</v>
      </c>
      <c r="G32" s="1166">
        <f>AVERAGE(G20:G31)</f>
        <v>1</v>
      </c>
      <c r="H32" s="1166">
        <f t="shared" ref="H32:Q32" si="2">IFERROR(AVERAGE(H20:H31),0)</f>
        <v>0</v>
      </c>
      <c r="I32" s="1166">
        <f t="shared" si="2"/>
        <v>0</v>
      </c>
      <c r="J32" s="1166">
        <f t="shared" si="2"/>
        <v>0</v>
      </c>
      <c r="K32" s="1166">
        <f t="shared" si="2"/>
        <v>0</v>
      </c>
      <c r="L32" s="1166">
        <f t="shared" si="2"/>
        <v>0</v>
      </c>
      <c r="M32" s="1166">
        <f t="shared" si="2"/>
        <v>0</v>
      </c>
      <c r="N32" s="1166">
        <f t="shared" si="2"/>
        <v>0</v>
      </c>
      <c r="O32" s="1166">
        <f t="shared" si="2"/>
        <v>0</v>
      </c>
      <c r="P32" s="1166">
        <f t="shared" si="2"/>
        <v>0</v>
      </c>
      <c r="Q32" s="1926">
        <f t="shared" si="2"/>
        <v>0</v>
      </c>
    </row>
    <row r="33" spans="1:17" ht="9.75" customHeight="1" thickTop="1"/>
    <row r="34" spans="1:17" ht="16.5" thickTop="1" thickBot="1">
      <c r="A34" s="124" t="s">
        <v>357</v>
      </c>
      <c r="B34" s="144"/>
    </row>
    <row r="35" spans="1:17" s="4" customFormat="1" ht="31.5" thickTop="1" thickBot="1">
      <c r="A35" s="1159" t="s">
        <v>276</v>
      </c>
      <c r="B35" s="1167" t="s">
        <v>293</v>
      </c>
      <c r="C35" s="1167" t="s">
        <v>6</v>
      </c>
      <c r="D35" s="1167" t="s">
        <v>358</v>
      </c>
      <c r="E35" s="1167" t="s">
        <v>41</v>
      </c>
      <c r="F35" s="1167" t="s">
        <v>9</v>
      </c>
      <c r="G35" s="1167" t="s">
        <v>84</v>
      </c>
      <c r="H35" s="1167" t="s">
        <v>28</v>
      </c>
      <c r="I35" s="1167" t="s">
        <v>219</v>
      </c>
      <c r="J35" s="1167" t="s">
        <v>30</v>
      </c>
      <c r="K35" s="1167" t="s">
        <v>314</v>
      </c>
      <c r="L35" s="1167" t="s">
        <v>85</v>
      </c>
      <c r="M35" s="1167" t="s">
        <v>286</v>
      </c>
      <c r="N35" s="1167" t="s">
        <v>81</v>
      </c>
      <c r="O35" s="1168" t="s">
        <v>378</v>
      </c>
      <c r="P35" s="1168" t="s">
        <v>379</v>
      </c>
      <c r="Q35" s="1169" t="s">
        <v>377</v>
      </c>
    </row>
    <row r="36" spans="1:17" ht="15.75" thickTop="1">
      <c r="A36" s="396">
        <v>42370</v>
      </c>
      <c r="B36" s="865">
        <f>AVERAGE(C36:N36)</f>
        <v>38.81666666666667</v>
      </c>
      <c r="C36" s="866">
        <f>FACILITIES!B$222</f>
        <v>46</v>
      </c>
      <c r="D36" s="866">
        <f>FACILITIES!B$62</f>
        <v>0.45</v>
      </c>
      <c r="E36" s="866"/>
      <c r="F36" s="867"/>
      <c r="G36" s="866">
        <f>FACILITIES!B$182</f>
        <v>70</v>
      </c>
      <c r="H36" s="866"/>
      <c r="I36" s="866"/>
      <c r="J36" s="866"/>
      <c r="K36" s="868"/>
      <c r="L36" s="866"/>
      <c r="M36" s="866"/>
      <c r="N36" s="866"/>
      <c r="O36" s="866"/>
      <c r="P36" s="866"/>
      <c r="Q36" s="869"/>
    </row>
    <row r="37" spans="1:17">
      <c r="A37" s="396">
        <v>42401</v>
      </c>
      <c r="B37" s="870"/>
      <c r="C37" s="871"/>
      <c r="D37" s="871"/>
      <c r="E37" s="871"/>
      <c r="F37" s="872"/>
      <c r="G37" s="871"/>
      <c r="H37" s="871"/>
      <c r="I37" s="871"/>
      <c r="J37" s="871"/>
      <c r="K37" s="873"/>
      <c r="L37" s="871"/>
      <c r="M37" s="871"/>
      <c r="N37" s="871"/>
      <c r="O37" s="871"/>
      <c r="P37" s="871"/>
      <c r="Q37" s="874"/>
    </row>
    <row r="38" spans="1:17">
      <c r="A38" s="396">
        <v>42430</v>
      </c>
      <c r="B38" s="870"/>
      <c r="C38" s="871"/>
      <c r="D38" s="871"/>
      <c r="E38" s="871"/>
      <c r="F38" s="872"/>
      <c r="G38" s="871"/>
      <c r="H38" s="871"/>
      <c r="I38" s="871"/>
      <c r="J38" s="871"/>
      <c r="K38" s="873"/>
      <c r="L38" s="871"/>
      <c r="M38" s="871"/>
      <c r="N38" s="871"/>
      <c r="O38" s="871"/>
      <c r="P38" s="871"/>
      <c r="Q38" s="874"/>
    </row>
    <row r="39" spans="1:17">
      <c r="A39" s="396">
        <v>42461</v>
      </c>
      <c r="B39" s="870"/>
      <c r="C39" s="871"/>
      <c r="D39" s="871"/>
      <c r="E39" s="871"/>
      <c r="F39" s="872"/>
      <c r="G39" s="871"/>
      <c r="H39" s="871"/>
      <c r="I39" s="871"/>
      <c r="J39" s="871"/>
      <c r="K39" s="873"/>
      <c r="L39" s="871"/>
      <c r="M39" s="871"/>
      <c r="N39" s="871"/>
      <c r="O39" s="871"/>
      <c r="P39" s="871"/>
      <c r="Q39" s="874"/>
    </row>
    <row r="40" spans="1:17">
      <c r="A40" s="396">
        <v>42491</v>
      </c>
      <c r="B40" s="870"/>
      <c r="C40" s="871"/>
      <c r="D40" s="871"/>
      <c r="E40" s="871"/>
      <c r="F40" s="872"/>
      <c r="G40" s="871"/>
      <c r="H40" s="871"/>
      <c r="I40" s="871"/>
      <c r="J40" s="871"/>
      <c r="K40" s="873"/>
      <c r="L40" s="871"/>
      <c r="M40" s="871"/>
      <c r="N40" s="871"/>
      <c r="O40" s="871"/>
      <c r="P40" s="871"/>
      <c r="Q40" s="874"/>
    </row>
    <row r="41" spans="1:17">
      <c r="A41" s="396">
        <v>42522</v>
      </c>
      <c r="B41" s="870"/>
      <c r="C41" s="871"/>
      <c r="D41" s="871"/>
      <c r="E41" s="871"/>
      <c r="F41" s="872"/>
      <c r="G41" s="871"/>
      <c r="H41" s="871"/>
      <c r="I41" s="871"/>
      <c r="J41" s="871"/>
      <c r="K41" s="871"/>
      <c r="L41" s="871"/>
      <c r="M41" s="871"/>
      <c r="N41" s="871"/>
      <c r="O41" s="871"/>
      <c r="P41" s="871"/>
      <c r="Q41" s="874"/>
    </row>
    <row r="42" spans="1:17">
      <c r="A42" s="396">
        <v>42552</v>
      </c>
      <c r="B42" s="870"/>
      <c r="C42" s="871"/>
      <c r="D42" s="871"/>
      <c r="E42" s="871"/>
      <c r="F42" s="872"/>
      <c r="G42" s="871"/>
      <c r="H42" s="871"/>
      <c r="I42" s="871"/>
      <c r="J42" s="871"/>
      <c r="K42" s="871"/>
      <c r="L42" s="871"/>
      <c r="M42" s="871"/>
      <c r="N42" s="871"/>
      <c r="O42" s="871"/>
      <c r="P42" s="871"/>
      <c r="Q42" s="874"/>
    </row>
    <row r="43" spans="1:17">
      <c r="A43" s="396">
        <v>42583</v>
      </c>
      <c r="B43" s="870"/>
      <c r="C43" s="871"/>
      <c r="D43" s="871"/>
      <c r="E43" s="871"/>
      <c r="F43" s="871"/>
      <c r="G43" s="871"/>
      <c r="H43" s="871"/>
      <c r="I43" s="871"/>
      <c r="J43" s="871"/>
      <c r="K43" s="871"/>
      <c r="L43" s="871"/>
      <c r="M43" s="871"/>
      <c r="N43" s="871"/>
      <c r="O43" s="871"/>
      <c r="P43" s="871"/>
      <c r="Q43" s="874"/>
    </row>
    <row r="44" spans="1:17">
      <c r="A44" s="396">
        <v>42614</v>
      </c>
      <c r="B44" s="870"/>
      <c r="C44" s="871"/>
      <c r="D44" s="871"/>
      <c r="E44" s="871"/>
      <c r="F44" s="871"/>
      <c r="G44" s="871"/>
      <c r="H44" s="871"/>
      <c r="I44" s="871"/>
      <c r="J44" s="871"/>
      <c r="K44" s="871"/>
      <c r="L44" s="871"/>
      <c r="M44" s="871"/>
      <c r="N44" s="871"/>
      <c r="O44" s="871"/>
      <c r="P44" s="871"/>
      <c r="Q44" s="874"/>
    </row>
    <row r="45" spans="1:17">
      <c r="A45" s="396">
        <v>42644</v>
      </c>
      <c r="B45" s="870"/>
      <c r="C45" s="871"/>
      <c r="D45" s="871"/>
      <c r="E45" s="871"/>
      <c r="F45" s="871"/>
      <c r="G45" s="871"/>
      <c r="H45" s="871"/>
      <c r="I45" s="871"/>
      <c r="J45" s="871"/>
      <c r="K45" s="871"/>
      <c r="L45" s="871"/>
      <c r="M45" s="871"/>
      <c r="N45" s="871"/>
      <c r="O45" s="871"/>
      <c r="P45" s="871"/>
      <c r="Q45" s="874"/>
    </row>
    <row r="46" spans="1:17">
      <c r="A46" s="396">
        <v>42675</v>
      </c>
      <c r="B46" s="870"/>
      <c r="C46" s="871"/>
      <c r="D46" s="871"/>
      <c r="E46" s="871"/>
      <c r="F46" s="871"/>
      <c r="G46" s="871"/>
      <c r="H46" s="871"/>
      <c r="I46" s="871"/>
      <c r="J46" s="871"/>
      <c r="K46" s="871"/>
      <c r="L46" s="871"/>
      <c r="M46" s="871"/>
      <c r="N46" s="871"/>
      <c r="O46" s="871"/>
      <c r="P46" s="871"/>
      <c r="Q46" s="874"/>
    </row>
    <row r="47" spans="1:17">
      <c r="A47" s="396">
        <v>42705</v>
      </c>
      <c r="B47" s="875"/>
      <c r="C47" s="876"/>
      <c r="D47" s="876"/>
      <c r="E47" s="876"/>
      <c r="F47" s="876"/>
      <c r="G47" s="876"/>
      <c r="H47" s="876"/>
      <c r="I47" s="876"/>
      <c r="J47" s="876"/>
      <c r="K47" s="876"/>
      <c r="L47" s="876"/>
      <c r="M47" s="876"/>
      <c r="N47" s="876"/>
      <c r="O47" s="876"/>
      <c r="P47" s="876"/>
      <c r="Q47" s="877"/>
    </row>
    <row r="48" spans="1:17" ht="15.75" thickBot="1">
      <c r="A48" s="1170" t="s">
        <v>294</v>
      </c>
      <c r="B48" s="1171">
        <f>AVERAGE(B36:B47)</f>
        <v>38.81666666666667</v>
      </c>
      <c r="C48" s="1171">
        <f>AVERAGE(C36:C47)</f>
        <v>46</v>
      </c>
      <c r="D48" s="1171">
        <f>AVERAGE(D36:D47)</f>
        <v>0.45</v>
      </c>
      <c r="E48" s="1171"/>
      <c r="F48" s="1171"/>
      <c r="G48" s="1171">
        <f>AVERAGE(G36:G47)</f>
        <v>70</v>
      </c>
      <c r="H48" s="1171"/>
      <c r="I48" s="1171"/>
      <c r="J48" s="1171"/>
      <c r="K48" s="1171"/>
      <c r="L48" s="1171"/>
      <c r="M48" s="1171"/>
      <c r="N48" s="1171"/>
      <c r="O48" s="1171"/>
      <c r="P48" s="1171"/>
      <c r="Q48" s="1927"/>
    </row>
    <row r="49" ht="15.75" thickTop="1"/>
  </sheetData>
  <conditionalFormatting sqref="B36:F36 L36:N40 H41:N43 B37:G43 B44:N47 B48:D48 H36:J40">
    <cfRule type="cellIs" dxfId="11" priority="13" operator="greaterThan">
      <formula>62</formula>
    </cfRule>
  </conditionalFormatting>
  <conditionalFormatting sqref="D20:J20 L20:N24 H25:N27 H21:J24 D21:G27 B20:B31 D28:N31 B32:G32">
    <cfRule type="cellIs" dxfId="10" priority="12" operator="greaterThan">
      <formula>1</formula>
    </cfRule>
  </conditionalFormatting>
  <conditionalFormatting sqref="B4:J4 L4:N8 D5:J8 B5:C10 B11:N15 D9:N10 B16:C16">
    <cfRule type="cellIs" dxfId="9" priority="11" operator="greaterThan">
      <formula>1</formula>
    </cfRule>
  </conditionalFormatting>
  <conditionalFormatting sqref="O4:O15">
    <cfRule type="cellIs" dxfId="8" priority="10" operator="greaterThan">
      <formula>1</formula>
    </cfRule>
  </conditionalFormatting>
  <conditionalFormatting sqref="P4:P15">
    <cfRule type="cellIs" dxfId="7" priority="9" operator="greaterThan">
      <formula>1</formula>
    </cfRule>
  </conditionalFormatting>
  <conditionalFormatting sqref="Q4:Q15">
    <cfRule type="cellIs" dxfId="6" priority="8" operator="greaterThan">
      <formula>1</formula>
    </cfRule>
  </conditionalFormatting>
  <conditionalFormatting sqref="O20:Q31">
    <cfRule type="cellIs" dxfId="5" priority="7" operator="greaterThan">
      <formula>1</formula>
    </cfRule>
  </conditionalFormatting>
  <conditionalFormatting sqref="O36:Q47">
    <cfRule type="cellIs" dxfId="4" priority="6" operator="greaterThan">
      <formula>62</formula>
    </cfRule>
  </conditionalFormatting>
  <conditionalFormatting sqref="K16">
    <cfRule type="cellIs" dxfId="3" priority="5" operator="greaterThan">
      <formula>1</formula>
    </cfRule>
  </conditionalFormatting>
  <conditionalFormatting sqref="D16:J16">
    <cfRule type="cellIs" dxfId="2" priority="4" operator="greaterThan">
      <formula>1</formula>
    </cfRule>
  </conditionalFormatting>
  <conditionalFormatting sqref="L16:Q16">
    <cfRule type="cellIs" dxfId="1" priority="3" operator="greaterThan">
      <formula>1</formula>
    </cfRule>
  </conditionalFormatting>
  <conditionalFormatting sqref="H32:Q32">
    <cfRule type="cellIs" dxfId="0" priority="1" operator="greaterThan">
      <formula>1</formula>
    </cfRule>
  </conditionalFormatting>
  <printOptions horizontalCentered="1"/>
  <pageMargins left="0" right="0" top="0" bottom="0" header="0" footer="0"/>
  <pageSetup scale="74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34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36</vt:i4>
      </vt:variant>
    </vt:vector>
  </HeadingPairs>
  <TitlesOfParts>
    <vt:vector size="73" baseType="lpstr">
      <vt:lpstr>JV QUARTER</vt:lpstr>
      <vt:lpstr>JV DATA YTD</vt:lpstr>
      <vt:lpstr>EDP PREMIUM LABOR (COST &amp; HRS)</vt:lpstr>
      <vt:lpstr>BUDGET HOURS</vt:lpstr>
      <vt:lpstr>MLP PREMIUM LABOR</vt:lpstr>
      <vt:lpstr>LABOR COST VARIANCE</vt:lpstr>
      <vt:lpstr>LABOR COST PER CASE</vt:lpstr>
      <vt:lpstr>PQRS GRAPH</vt:lpstr>
      <vt:lpstr>GRAPH DATA</vt:lpstr>
      <vt:lpstr>TOTAL LABOR COST</vt:lpstr>
      <vt:lpstr> CASE  VOLUME - BUDGET VARIANCE</vt:lpstr>
      <vt:lpstr>COMPOSITE</vt:lpstr>
      <vt:lpstr>FACILITIES</vt:lpstr>
      <vt:lpstr>TABLE OF CONTENTS</vt:lpstr>
      <vt:lpstr>2016 EM EXECUTIVE COMMITTEE</vt:lpstr>
      <vt:lpstr>EM ACTION PLAN</vt:lpstr>
      <vt:lpstr>JV All Sites Exec Committee</vt:lpstr>
      <vt:lpstr>QUALITY COMPOSITE</vt:lpstr>
      <vt:lpstr>ARR TO PROVIDER</vt:lpstr>
      <vt:lpstr>PPH</vt:lpstr>
      <vt:lpstr>EDP PREMIUM LABOR (HOURS)</vt:lpstr>
      <vt:lpstr>EDP PREMIUM LABOR (HOURS) (2)</vt:lpstr>
      <vt:lpstr>LBBS</vt:lpstr>
      <vt:lpstr>ADMISSIONS</vt:lpstr>
      <vt:lpstr>REASON CODES</vt:lpstr>
      <vt:lpstr>TERMINATIONS</vt:lpstr>
      <vt:lpstr>PROVIDER PRODUCTIVITY</vt:lpstr>
      <vt:lpstr>EFFICIENCY</vt:lpstr>
      <vt:lpstr>PT SATISFACTION</vt:lpstr>
      <vt:lpstr>FPPE_OPPE</vt:lpstr>
      <vt:lpstr>PQRS</vt:lpstr>
      <vt:lpstr>72HR RETURNS</vt:lpstr>
      <vt:lpstr>MORTALITIES</vt:lpstr>
      <vt:lpstr>NATIONAL QUALITY MEASURES</vt:lpstr>
      <vt:lpstr>Timeliness Graph by Month</vt:lpstr>
      <vt:lpstr>PPH Graph</vt:lpstr>
      <vt:lpstr>Labor Cost_Case</vt:lpstr>
      <vt:lpstr>' CASE  VOLUME - BUDGET VARIANCE'!Print_Area</vt:lpstr>
      <vt:lpstr>'2016 EM EXECUTIVE COMMITTEE'!Print_Area</vt:lpstr>
      <vt:lpstr>'72HR RETURNS'!Print_Area</vt:lpstr>
      <vt:lpstr>ADMISSIONS!Print_Area</vt:lpstr>
      <vt:lpstr>'ARR TO PROVIDER'!Print_Area</vt:lpstr>
      <vt:lpstr>'BUDGET HOURS'!Print_Area</vt:lpstr>
      <vt:lpstr>COMPOSITE!Print_Area</vt:lpstr>
      <vt:lpstr>'EDP PREMIUM LABOR (COST &amp; HRS)'!Print_Area</vt:lpstr>
      <vt:lpstr>'EDP PREMIUM LABOR (HOURS)'!Print_Area</vt:lpstr>
      <vt:lpstr>'EDP PREMIUM LABOR (HOURS) (2)'!Print_Area</vt:lpstr>
      <vt:lpstr>EFFICIENCY!Print_Area</vt:lpstr>
      <vt:lpstr>'EM ACTION PLAN'!Print_Area</vt:lpstr>
      <vt:lpstr>FACILITIES!Print_Area</vt:lpstr>
      <vt:lpstr>FPPE_OPPE!Print_Area</vt:lpstr>
      <vt:lpstr>'GRAPH DATA'!Print_Area</vt:lpstr>
      <vt:lpstr>'JV All Sites Exec Committee'!Print_Area</vt:lpstr>
      <vt:lpstr>'JV DATA YTD'!Print_Area</vt:lpstr>
      <vt:lpstr>'JV QUARTER'!Print_Area</vt:lpstr>
      <vt:lpstr>'LABOR COST PER CASE'!Print_Area</vt:lpstr>
      <vt:lpstr>'LABOR COST VARIANCE'!Print_Area</vt:lpstr>
      <vt:lpstr>LBBS!Print_Area</vt:lpstr>
      <vt:lpstr>'MLP PREMIUM LABOR'!Print_Area</vt:lpstr>
      <vt:lpstr>MORTALITIES!Print_Area</vt:lpstr>
      <vt:lpstr>'NATIONAL QUALITY MEASURES'!Print_Area</vt:lpstr>
      <vt:lpstr>PPH!Print_Area</vt:lpstr>
      <vt:lpstr>PQRS!Print_Area</vt:lpstr>
      <vt:lpstr>'PQRS GRAPH'!Print_Area</vt:lpstr>
      <vt:lpstr>'PROVIDER PRODUCTIVITY'!Print_Area</vt:lpstr>
      <vt:lpstr>'PT SATISFACTION'!Print_Area</vt:lpstr>
      <vt:lpstr>'QUALITY COMPOSITE'!Print_Area</vt:lpstr>
      <vt:lpstr>'REASON CODES'!Print_Area</vt:lpstr>
      <vt:lpstr>'TABLE OF CONTENTS'!Print_Area</vt:lpstr>
      <vt:lpstr>TERMINATIONS!Print_Area</vt:lpstr>
      <vt:lpstr>'TOTAL LABOR COST'!Print_Area</vt:lpstr>
      <vt:lpstr>'REASON CODES'!Print_Titles</vt:lpstr>
      <vt:lpstr>'TOTAL LABOR COST'!Print_Titles</vt:lpstr>
    </vt:vector>
  </TitlesOfParts>
  <Company>Sheridan Healthcorp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Sheridan Healthcorp</dc:creator>
  <cp:lastModifiedBy>Baumgarten, Allen</cp:lastModifiedBy>
  <cp:lastPrinted>2017-02-08T21:07:37Z</cp:lastPrinted>
  <dcterms:created xsi:type="dcterms:W3CDTF">2012-04-12T18:16:52Z</dcterms:created>
  <dcterms:modified xsi:type="dcterms:W3CDTF">2017-12-21T16:16:31Z</dcterms:modified>
</cp:coreProperties>
</file>